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stimat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color theme="1"/>
      <sz val="14"/>
      <scheme val="minor"/>
    </font>
    <font>
      <name val="Calibri"/>
      <family val="2"/>
      <i val="1"/>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2"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selection activeCell="A1" sqref="A1"/>
    </sheetView>
  </sheetViews>
  <sheetFormatPr baseColWidth="8" defaultRowHeight="15"/>
  <cols>
    <col width="8" customWidth="1" min="1" max="1"/>
    <col width="60" customWidth="1" min="2" max="2"/>
    <col width="12" customWidth="1" min="3" max="3"/>
    <col width="8" customWidth="1" min="4" max="4"/>
    <col width="12" customWidth="1" min="5" max="5"/>
    <col width="15" customWidth="1" min="6" max="6"/>
    <col width="8" customWidth="1" min="7" max="7"/>
    <col width="25" customWidth="1" min="8" max="8"/>
  </cols>
  <sheetData>
    <row r="1">
      <c r="A1" s="1" t="inlineStr"/>
      <c r="B1" s="2" t="n"/>
      <c r="C1" s="2" t="n"/>
      <c r="D1" s="2" t="n"/>
      <c r="E1" s="2" t="n"/>
      <c r="F1" s="2" t="n"/>
      <c r="G1" s="2" t="n"/>
      <c r="H1" s="2" t="n"/>
      <c r="I1" t="inlineStr"/>
    </row>
    <row r="2" ht="15" customHeight="1">
      <c r="A2" s="3" t="inlineStr"/>
      <c r="B2" s="2" t="n"/>
      <c r="C2" s="2" t="n"/>
      <c r="D2" s="2" t="n"/>
      <c r="E2" s="2" t="n"/>
      <c r="F2" s="2" t="n"/>
      <c r="G2" s="2" t="n"/>
      <c r="H2" s="2" t="n"/>
      <c r="I2" t="inlineStr"/>
    </row>
    <row r="3">
      <c r="A3" s="2" t="inlineStr">
        <is>
          <t>Sl.No</t>
        </is>
      </c>
      <c r="B3" s="2" t="inlineStr">
        <is>
          <t>Item Name</t>
        </is>
      </c>
      <c r="C3" s="2" t="inlineStr">
        <is>
          <t>Qty</t>
        </is>
      </c>
      <c r="D3" s="2" t="inlineStr">
        <is>
          <t>Unit</t>
        </is>
      </c>
      <c r="E3" s="2" t="inlineStr">
        <is>
          <t>Rate</t>
        </is>
      </c>
      <c r="F3" s="2" t="inlineStr">
        <is>
          <t>Total</t>
        </is>
      </c>
      <c r="G3" s="2" t="inlineStr">
        <is>
          <t>GST</t>
        </is>
      </c>
      <c r="H3" s="2" t="inlineStr">
        <is>
          <t>Remarks</t>
        </is>
      </c>
    </row>
    <row r="4">
      <c r="A4" s="2" t="n">
        <v>1</v>
      </c>
      <c r="B4" s="4" t="inlineStr">
        <is>
          <t>Flushing (Developing) Borewell (Code: GWDDR105)</t>
        </is>
      </c>
      <c r="C4" s="2" t="n">
        <v>1</v>
      </c>
      <c r="D4" s="2" t="inlineStr">
        <is>
          <t>each</t>
        </is>
      </c>
      <c r="E4" s="2" t="n">
        <v>5790</v>
      </c>
      <c r="F4" s="2">
        <f>C4*E4</f>
        <v/>
      </c>
      <c r="G4" s="2" t="inlineStr">
        <is>
          <t>Yes</t>
        </is>
      </c>
      <c r="H4" s="2" t="inlineStr"/>
    </row>
    <row r="5">
      <c r="A5" s="2" t="inlineStr">
        <is>
          <t xml:space="preserve"> Pump &amp; Accessories</t>
        </is>
      </c>
      <c r="B5" s="4" t="n"/>
      <c r="C5" s="2" t="n"/>
      <c r="D5" s="2" t="n"/>
      <c r="E5" s="2" t="n"/>
      <c r="F5" s="2" t="n"/>
      <c r="G5" s="2" t="n"/>
      <c r="H5" s="2" t="n"/>
    </row>
    <row r="6">
      <c r="A6" s="2" t="n">
        <v>2</v>
      </c>
      <c r="B6" s="4" t="inlineStr">
        <is>
          <t>Compressor pump 2 HP single phase (Code: GWDMR065)</t>
        </is>
      </c>
      <c r="C6" s="2" t="n">
        <v>1</v>
      </c>
      <c r="D6" s="2" t="inlineStr">
        <is>
          <t>each</t>
        </is>
      </c>
      <c r="E6" s="2" t="n">
        <v>27540</v>
      </c>
      <c r="F6" s="2">
        <f>C6*E6</f>
        <v/>
      </c>
      <c r="G6" s="2" t="inlineStr">
        <is>
          <t>Yes</t>
        </is>
      </c>
      <c r="H6" s="2" t="inlineStr"/>
    </row>
    <row r="7">
      <c r="A7" s="2" t="n">
        <v>3</v>
      </c>
      <c r="B7" s="4" t="inlineStr">
        <is>
          <t>Compressor pump fitting charge (Code: GWDDR055)</t>
        </is>
      </c>
      <c r="C7" s="2" t="n">
        <v>1</v>
      </c>
      <c r="D7" s="2" t="inlineStr">
        <is>
          <t>each</t>
        </is>
      </c>
      <c r="E7" s="2" t="n">
        <v>3615.75</v>
      </c>
      <c r="F7" s="2">
        <f>C7*E7</f>
        <v/>
      </c>
      <c r="G7" s="2" t="inlineStr">
        <is>
          <t>Yes</t>
        </is>
      </c>
      <c r="H7" s="2" t="inlineStr"/>
    </row>
    <row r="8">
      <c r="A8" s="2" t="n">
        <v>4</v>
      </c>
      <c r="B8" s="4" t="inlineStr">
        <is>
          <t>Providing and fixing G.I. pipes complete with G.I fittings: 15 mm dia nominal bore (Code: GWDDR377)</t>
        </is>
      </c>
      <c r="C8" s="2" t="n">
        <v>15</v>
      </c>
      <c r="D8" s="2" t="inlineStr">
        <is>
          <t>metre</t>
        </is>
      </c>
      <c r="E8" s="2" t="n">
        <v>189.25</v>
      </c>
      <c r="F8" s="2">
        <f>C8*E8</f>
        <v/>
      </c>
      <c r="G8" s="2" t="inlineStr">
        <is>
          <t>Yes</t>
        </is>
      </c>
      <c r="H8" s="2" t="inlineStr"/>
    </row>
    <row r="9">
      <c r="A9" s="2" t="n">
        <v>5</v>
      </c>
      <c r="B9" s="4" t="inlineStr">
        <is>
          <t>20 mm dia HDPE pipe (DG) (8kg) (Code: GWDMR076)</t>
        </is>
      </c>
      <c r="C9" s="2" t="n">
        <v>50</v>
      </c>
      <c r="D9" s="2" t="inlineStr">
        <is>
          <t>metre</t>
        </is>
      </c>
      <c r="E9" s="2" t="n">
        <v>15</v>
      </c>
      <c r="F9" s="2">
        <f>C9*E9</f>
        <v/>
      </c>
      <c r="G9" s="2" t="inlineStr">
        <is>
          <t>Yes</t>
        </is>
      </c>
      <c r="H9" s="2" t="inlineStr"/>
    </row>
    <row r="10">
      <c r="A10" s="2" t="n">
        <v>6</v>
      </c>
      <c r="B10" s="4" t="inlineStr">
        <is>
          <t>32 mm dia UPVC pipe (Code: GWDMR072)</t>
        </is>
      </c>
      <c r="C10" s="2" t="n">
        <v>60</v>
      </c>
      <c r="D10" s="2" t="inlineStr">
        <is>
          <t>metre</t>
        </is>
      </c>
      <c r="E10" s="2" t="n">
        <v>270</v>
      </c>
      <c r="F10" s="2">
        <f>C10*E10</f>
        <v/>
      </c>
      <c r="G10" s="2" t="inlineStr">
        <is>
          <t>Yes</t>
        </is>
      </c>
      <c r="H10" s="2" t="inlineStr"/>
    </row>
    <row r="11">
      <c r="A11" s="2" t="n">
        <v>7</v>
      </c>
      <c r="B11" s="4" t="inlineStr">
        <is>
          <t>Providing and fixing G.I. Union in G.I pipe including cutting and threading the pipe and making long screws etc. complete ( New work): 32 mm nominal bore (18.46.4) (Code: GWDDR271)</t>
        </is>
      </c>
      <c r="C11" s="2" t="n">
        <v>1</v>
      </c>
      <c r="D11" s="2" t="inlineStr">
        <is>
          <t>each</t>
        </is>
      </c>
      <c r="E11" s="2" t="n">
        <v>355.48</v>
      </c>
      <c r="F11" s="2">
        <f>C11*E11</f>
        <v/>
      </c>
      <c r="G11" s="2" t="inlineStr">
        <is>
          <t>Yes</t>
        </is>
      </c>
      <c r="H11" s="2" t="inlineStr"/>
    </row>
    <row r="12">
      <c r="A12" s="2" t="n">
        <v>8</v>
      </c>
      <c r="B12" s="4" t="inlineStr">
        <is>
          <t>14 mm thick nylon rope (Code: GWDMR069)</t>
        </is>
      </c>
      <c r="C12" s="2" t="n">
        <v>65</v>
      </c>
      <c r="D12" s="2" t="inlineStr">
        <is>
          <t>metre</t>
        </is>
      </c>
      <c r="E12" s="2" t="n">
        <v>49.2</v>
      </c>
      <c r="F12" s="2">
        <f>C12*E12</f>
        <v/>
      </c>
      <c r="G12" s="2" t="inlineStr">
        <is>
          <t>Yes</t>
        </is>
      </c>
      <c r="H12" s="2" t="inlineStr"/>
    </row>
    <row r="13">
      <c r="A13" s="2" t="n">
        <v>9</v>
      </c>
      <c r="B13" s="4" t="inlineStr">
        <is>
          <t>Supply and drawing FRLS PVC insulated &amp; sheathed 650/1100 V grade 3 core copper conductor flat cable for submersible pump motor conforming to IS 694 part I 1990 as required including giving necessary connections of the following sizes. 4 sq mm (90.6.6.3) (Code: GWDDR117)</t>
        </is>
      </c>
      <c r="C13" s="2" t="n">
        <v>20</v>
      </c>
      <c r="D13" s="2" t="inlineStr">
        <is>
          <t>metre</t>
        </is>
      </c>
      <c r="E13" s="2" t="n">
        <v>132.45</v>
      </c>
      <c r="F13" s="2">
        <f>C13*E13</f>
        <v/>
      </c>
      <c r="G13" s="2" t="inlineStr">
        <is>
          <t>Yes</t>
        </is>
      </c>
      <c r="H13" s="2" t="inlineStr"/>
    </row>
    <row r="14">
      <c r="A14" s="2" t="n">
        <v>10</v>
      </c>
      <c r="B14" s="4" t="inlineStr">
        <is>
          <t>Providing and fixing gun metal non-return valve of approved quality (screwed end): 40 mm nominal bore Horizontal (18.19.3.1) (Code: GWDDR260)</t>
        </is>
      </c>
      <c r="C14" s="2" t="n">
        <v>1</v>
      </c>
      <c r="D14" s="2" t="inlineStr">
        <is>
          <t>each</t>
        </is>
      </c>
      <c r="E14" s="2" t="n">
        <v>707.55</v>
      </c>
      <c r="F14" s="2">
        <f>C14*E14</f>
        <v/>
      </c>
      <c r="G14" s="2" t="inlineStr">
        <is>
          <t>Yes</t>
        </is>
      </c>
      <c r="H14" s="2" t="inlineStr"/>
    </row>
    <row r="15">
      <c r="A15" s="2" t="n">
        <v>11</v>
      </c>
      <c r="B15" s="4" t="inlineStr">
        <is>
          <t>40 mm SS Adapter (Code: GWDMR080)</t>
        </is>
      </c>
      <c r="C15" s="2" t="n">
        <v>1</v>
      </c>
      <c r="D15" s="2" t="inlineStr">
        <is>
          <t>each</t>
        </is>
      </c>
      <c r="E15" s="2" t="n">
        <v>960</v>
      </c>
      <c r="F15" s="2">
        <f>C15*E15</f>
        <v/>
      </c>
      <c r="G15" s="2" t="inlineStr">
        <is>
          <t>Yes</t>
        </is>
      </c>
      <c r="H15" s="2" t="inlineStr"/>
    </row>
    <row r="16">
      <c r="A16" s="2" t="inlineStr">
        <is>
          <t xml:space="preserve"> Electrification</t>
        </is>
      </c>
      <c r="B16" s="4" t="n"/>
      <c r="C16" s="2" t="n"/>
      <c r="D16" s="2" t="n"/>
      <c r="E16" s="2" t="n"/>
      <c r="F16" s="2" t="n"/>
      <c r="G16" s="2" t="n"/>
      <c r="H16" s="2" t="n"/>
    </row>
    <row r="17">
      <c r="A17" s="2" t="n">
        <v>12</v>
      </c>
      <c r="B17" s="4" t="inlineStr">
        <is>
          <t>Installation of Single Phase Panel board where new electricity connection is required (Excluding Motor Starter) (Code: GWDDR363)</t>
        </is>
      </c>
      <c r="C17" s="2" t="n">
        <v>1</v>
      </c>
      <c r="D17" s="2" t="inlineStr">
        <is>
          <t>each</t>
        </is>
      </c>
      <c r="E17" s="2" t="n">
        <v>12394.15</v>
      </c>
      <c r="F17" s="2">
        <f>C17*E17</f>
        <v/>
      </c>
      <c r="G17" s="2" t="inlineStr">
        <is>
          <t>Yes</t>
        </is>
      </c>
      <c r="H17" s="2" t="inlineStr"/>
    </row>
    <row r="18">
      <c r="A18" s="2" t="n">
        <v>13</v>
      </c>
      <c r="B18" s="4" t="inlineStr">
        <is>
          <t>S &amp; F Single phase starters suitable for Compressor pump upto 2HP (Code: GWDDR368)</t>
        </is>
      </c>
      <c r="C18" s="2" t="n">
        <v>1</v>
      </c>
      <c r="D18" s="2" t="inlineStr">
        <is>
          <t>each</t>
        </is>
      </c>
      <c r="E18" s="2" t="n">
        <v>3001.33</v>
      </c>
      <c r="F18" s="2">
        <f>C18*E18</f>
        <v/>
      </c>
      <c r="G18" s="2" t="inlineStr">
        <is>
          <t>Yes</t>
        </is>
      </c>
      <c r="H18" s="2" t="inlineStr"/>
    </row>
    <row r="19">
      <c r="A19" s="2" t="inlineStr">
        <is>
          <t xml:space="preserve"> Civil Structures</t>
        </is>
      </c>
      <c r="B19" s="4" t="n"/>
      <c r="C19" s="2" t="n"/>
      <c r="D19" s="2" t="n"/>
      <c r="E19" s="2" t="n"/>
      <c r="F19" s="2" t="n"/>
      <c r="G19" s="2" t="n"/>
      <c r="H19" s="2" t="n"/>
    </row>
    <row r="20">
      <c r="A20" s="2" t="n">
        <v>14</v>
      </c>
      <c r="B20" s="4" t="inlineStr">
        <is>
          <t>Well Protection Cover (Code: GWDDR001)</t>
        </is>
      </c>
      <c r="C20" s="2" t="n">
        <v>1</v>
      </c>
      <c r="D20" s="2" t="inlineStr">
        <is>
          <t>each</t>
        </is>
      </c>
      <c r="E20" s="2" t="n">
        <v>3800</v>
      </c>
      <c r="F20" s="2">
        <f>C20*E20</f>
        <v/>
      </c>
      <c r="G20" s="2" t="inlineStr">
        <is>
          <t>Yes</t>
        </is>
      </c>
      <c r="H20" s="2" t="inlineStr"/>
    </row>
    <row r="21">
      <c r="A21" s="2" t="n">
        <v>15</v>
      </c>
      <c r="B21" s="4" t="inlineStr">
        <is>
          <t>Metallic Pump House of size 1.2 x 0.9 x 2 m (Code: GWDDR006)</t>
        </is>
      </c>
      <c r="C21" s="2" t="n">
        <v>1</v>
      </c>
      <c r="D21" s="2" t="inlineStr">
        <is>
          <t>each</t>
        </is>
      </c>
      <c r="E21" s="2" t="n">
        <v>26000</v>
      </c>
      <c r="F21" s="2">
        <f>C21*E21</f>
        <v/>
      </c>
      <c r="G21" s="2" t="inlineStr">
        <is>
          <t>Yes</t>
        </is>
      </c>
      <c r="H21" s="2" t="inlineStr"/>
    </row>
    <row r="22">
      <c r="A22" s="2" t="n">
        <v>16</v>
      </c>
      <c r="B22" s="4" t="inlineStr">
        <is>
          <t>Angle Iron Structure To Support 3000 Litres Capacity Water Tank At 4 m Height (Code: GWDDR003)</t>
        </is>
      </c>
      <c r="C22" s="2" t="n">
        <v>1</v>
      </c>
      <c r="D22" s="2" t="inlineStr">
        <is>
          <t>each</t>
        </is>
      </c>
      <c r="E22" s="2" t="n">
        <v>62000</v>
      </c>
      <c r="F22" s="2">
        <f>C22*E22</f>
        <v/>
      </c>
      <c r="G22" s="2" t="inlineStr">
        <is>
          <t>Yes</t>
        </is>
      </c>
      <c r="H22" s="2" t="inlineStr"/>
    </row>
    <row r="23">
      <c r="A23" s="2" t="inlineStr">
        <is>
          <t xml:space="preserve"> Water Tank &amp; Fittings</t>
        </is>
      </c>
      <c r="B23" s="4" t="n"/>
      <c r="C23" s="2" t="n"/>
      <c r="D23" s="2" t="n"/>
      <c r="E23" s="2" t="n"/>
      <c r="F23" s="2" t="n"/>
      <c r="G23" s="2" t="n"/>
      <c r="H23" s="2" t="n"/>
    </row>
    <row r="24">
      <c r="A24" s="2" t="n">
        <v>17</v>
      </c>
      <c r="B24" s="4" t="inlineStr">
        <is>
          <t>Providing and placing on terrace (at all floor levels) polyethylene water storage tank :ISI 12701 marked, with cover and suitable locking arrangement and making necessary holes for inlet, outlet and overflow pipes but without fittings and the base support for tank. (Code: 18.48)</t>
        </is>
      </c>
      <c r="C24" s="2" t="n">
        <v>3000</v>
      </c>
      <c r="D24" s="2" t="inlineStr">
        <is>
          <t>Litre</t>
        </is>
      </c>
      <c r="E24" s="2" t="n">
        <v>8.41</v>
      </c>
      <c r="F24" s="2">
        <f>C24*E24</f>
        <v/>
      </c>
      <c r="G24" s="2" t="inlineStr">
        <is>
          <t>Yes</t>
        </is>
      </c>
      <c r="H24" s="2" t="inlineStr"/>
    </row>
    <row r="25">
      <c r="A25" s="2" t="n">
        <v>18</v>
      </c>
      <c r="B25" s="4" t="inlineStr">
        <is>
          <t>PVC Tank connector 40 mm (Code: GWDMR035)</t>
        </is>
      </c>
      <c r="C25" s="2" t="n">
        <v>1</v>
      </c>
      <c r="D25" s="2" t="inlineStr">
        <is>
          <t>each</t>
        </is>
      </c>
      <c r="E25" s="2" t="n">
        <v>240</v>
      </c>
      <c r="F25" s="2">
        <f>C25*E25</f>
        <v/>
      </c>
      <c r="G25" s="2" t="inlineStr">
        <is>
          <t>Yes</t>
        </is>
      </c>
      <c r="H25" s="2" t="inlineStr"/>
    </row>
    <row r="26">
      <c r="A26" s="2" t="n">
        <v>19</v>
      </c>
      <c r="B26" s="4" t="inlineStr">
        <is>
          <t>PVC Tank connector 50 mm (Code: GWDMR036)</t>
        </is>
      </c>
      <c r="C26" s="2" t="n">
        <v>1</v>
      </c>
      <c r="D26" s="2" t="inlineStr">
        <is>
          <t>each</t>
        </is>
      </c>
      <c r="E26" s="2" t="n">
        <v>288</v>
      </c>
      <c r="F26" s="2">
        <f>C26*E26</f>
        <v/>
      </c>
      <c r="G26" s="2" t="inlineStr">
        <is>
          <t>Yes</t>
        </is>
      </c>
      <c r="H26" s="2" t="inlineStr"/>
    </row>
    <row r="27">
      <c r="A27" s="2" t="n">
        <v>20</v>
      </c>
      <c r="B27" s="4" t="inlineStr">
        <is>
          <t>PVC Ball valve 40 mm (Code: GWDMR042)</t>
        </is>
      </c>
      <c r="C27" s="2" t="n">
        <v>1</v>
      </c>
      <c r="D27" s="2" t="inlineStr">
        <is>
          <t>each</t>
        </is>
      </c>
      <c r="E27" s="2" t="n">
        <v>336</v>
      </c>
      <c r="F27" s="2">
        <f>C27*E27</f>
        <v/>
      </c>
      <c r="G27" s="2" t="inlineStr">
        <is>
          <t>Yes</t>
        </is>
      </c>
      <c r="H27" s="2" t="inlineStr"/>
    </row>
    <row r="28">
      <c r="A28" s="2" t="n">
        <v>21</v>
      </c>
      <c r="B28" s="4" t="inlineStr">
        <is>
          <t>PVC Ball valve 50 mm (Code: GWDMR043)</t>
        </is>
      </c>
      <c r="C28" s="2" t="n">
        <v>1</v>
      </c>
      <c r="D28" s="2" t="inlineStr">
        <is>
          <t>each</t>
        </is>
      </c>
      <c r="E28" s="2" t="n">
        <v>456</v>
      </c>
      <c r="F28" s="2">
        <f>C28*E28</f>
        <v/>
      </c>
      <c r="G28" s="2" t="inlineStr">
        <is>
          <t>Yes</t>
        </is>
      </c>
      <c r="H28" s="2" t="inlineStr"/>
    </row>
    <row r="29">
      <c r="A29" s="2" t="inlineStr">
        <is>
          <t xml:space="preserve"> Pumping &amp; Distribution Network</t>
        </is>
      </c>
      <c r="B29" s="4" t="n"/>
      <c r="C29" s="2" t="n"/>
      <c r="D29" s="2" t="n"/>
      <c r="E29" s="2" t="n"/>
      <c r="F29" s="2" t="n"/>
      <c r="G29" s="2" t="n"/>
      <c r="H29" s="2" t="n"/>
    </row>
    <row r="30">
      <c r="A30" s="2" t="n">
        <v>22</v>
      </c>
      <c r="B30" s="4" t="inlineStr">
        <is>
          <t>Providing and fixing PVC pipes including jointing of pipes with one step PVC solvent cement, trenching, refilling &amp; testing of joints complete as per direction of Engineer in Charge. 50 mm dia 10Kgf/cm2 (50.18.9.6.1) (Code: GWDDR192)</t>
        </is>
      </c>
      <c r="C30" s="2" t="n">
        <v>100</v>
      </c>
      <c r="D30" s="2" t="inlineStr">
        <is>
          <t>metre</t>
        </is>
      </c>
      <c r="E30" s="2" t="n">
        <v>258.4</v>
      </c>
      <c r="F30" s="2">
        <f>C30*E30</f>
        <v/>
      </c>
      <c r="G30" s="2" t="inlineStr">
        <is>
          <t>Yes</t>
        </is>
      </c>
      <c r="H30" s="2" t="inlineStr"/>
    </row>
    <row r="31">
      <c r="A31" s="2" t="n">
        <v>23</v>
      </c>
      <c r="B31" s="4" t="inlineStr">
        <is>
          <t>Providing and fixing PVC pipes including jointing of pipes with one step PVC solvent cement, trenching refilling &amp; testing of joints complete as per direction of Engineer in Charge 40 mm dia 10Kgf/cm2 (50.18.9.5.1) (Code: GWDDR190)</t>
        </is>
      </c>
      <c r="C31" s="2" t="n">
        <v>100</v>
      </c>
      <c r="D31" s="2" t="inlineStr">
        <is>
          <t>metre</t>
        </is>
      </c>
      <c r="E31" s="2" t="n">
        <v>250.38</v>
      </c>
      <c r="F31" s="2">
        <f>C31*E31</f>
        <v/>
      </c>
      <c r="G31" s="2" t="inlineStr">
        <is>
          <t>Yes</t>
        </is>
      </c>
      <c r="H31" s="2" t="inlineStr"/>
    </row>
    <row r="32">
      <c r="A32" s="2" t="n">
        <v>24</v>
      </c>
      <c r="B32" s="4" t="inlineStr">
        <is>
          <t>Providing and fixing PVC pipes including jointing of pipes with one step PVC solvent cement, trenching, refilling &amp; testing of joints complete as per direction of Engineer in Charge.32 mm dia 10.Kgf/cm2 (50.18.9.4.1) (Code: GWDDR188)</t>
        </is>
      </c>
      <c r="C32" s="2" t="n">
        <v>100</v>
      </c>
      <c r="D32" s="2" t="inlineStr">
        <is>
          <t>metre</t>
        </is>
      </c>
      <c r="E32" s="2" t="n">
        <v>215.37</v>
      </c>
      <c r="F32" s="2">
        <f>C32*E32</f>
        <v/>
      </c>
      <c r="G32" s="2" t="inlineStr">
        <is>
          <t>Yes</t>
        </is>
      </c>
      <c r="H32" s="2" t="inlineStr"/>
    </row>
    <row r="33">
      <c r="A33" s="2" t="n">
        <v>25</v>
      </c>
      <c r="B33" s="4" t="inlineStr">
        <is>
          <t>Providing and fixing PVC pipes includes jointing of pipes with one step PVC solvent cement, trenching, refilling &amp; testing of joints complete as per direction of Engineer in Charge. 25 mm dia 10KGF/cm2 (50.18.9.3.2) (Code: GWDDR187)</t>
        </is>
      </c>
      <c r="C33" s="2" t="n">
        <v>100</v>
      </c>
      <c r="D33" s="2" t="inlineStr">
        <is>
          <t>metre</t>
        </is>
      </c>
      <c r="E33" s="2" t="n">
        <v>192.66</v>
      </c>
      <c r="F33" s="2">
        <f>C33*E33</f>
        <v/>
      </c>
      <c r="G33" s="2" t="inlineStr">
        <is>
          <t>Yes</t>
        </is>
      </c>
      <c r="H33" s="2" t="inlineStr"/>
    </row>
    <row r="34">
      <c r="A34" s="2" t="n">
        <v>26</v>
      </c>
      <c r="B34" s="4" t="inlineStr">
        <is>
          <t>Hydrants with tap ( for individual families of size 0.6 X 0.3 M platform) (Code: GWDDR062)</t>
        </is>
      </c>
      <c r="C34" s="2" t="n">
        <v>10</v>
      </c>
      <c r="D34" s="2" t="inlineStr">
        <is>
          <t>each</t>
        </is>
      </c>
      <c r="E34" s="2" t="n">
        <v>1702.31</v>
      </c>
      <c r="F34" s="2">
        <f>C34*E34</f>
        <v/>
      </c>
      <c r="G34" s="2" t="inlineStr">
        <is>
          <t>Yes</t>
        </is>
      </c>
      <c r="H34" s="2" t="inlineStr"/>
    </row>
    <row r="35">
      <c r="A35" s="2" t="inlineStr">
        <is>
          <t xml:space="preserve"> Supplementory Works</t>
        </is>
      </c>
      <c r="B35" s="4" t="n"/>
      <c r="C35" s="2" t="n"/>
      <c r="D35" s="2" t="n"/>
      <c r="E35" s="2" t="n"/>
      <c r="F35" s="2" t="n"/>
      <c r="G35" s="2" t="n"/>
      <c r="H35" s="2" t="n"/>
    </row>
    <row r="36">
      <c r="A36" s="2" t="n">
        <v>27</v>
      </c>
      <c r="B36" s="4" t="inlineStr">
        <is>
          <t>Excavating trenches of required width for pipes, cables, etc including excavation for sockets, and dressing of sides, ramming of bottoms, depth up to 1.5 m, including getting out the excavated soil. and then returning the soil as required, in layers not exceeding 20 cm in depth, including consolidating each deposited layer by ramming, watering, etc. and disposing of surplus excavated soil as directed, within a lead of 50 m: All kinds of soil Pipes, cables etc, not exceeding 80 mm dia (Code: 2.10.1.1)</t>
        </is>
      </c>
      <c r="C36" s="2" t="n">
        <v>250</v>
      </c>
      <c r="D36" s="2" t="inlineStr">
        <is>
          <t>metre</t>
        </is>
      </c>
      <c r="E36" s="2" t="n">
        <v>221.83</v>
      </c>
      <c r="F36" s="2">
        <f>C36*E36</f>
        <v/>
      </c>
      <c r="G36" s="2" t="inlineStr">
        <is>
          <t>Yes</t>
        </is>
      </c>
      <c r="H36" s="2" t="inlineStr"/>
    </row>
    <row r="37">
      <c r="A37" s="2" t="n">
        <v>28</v>
      </c>
      <c r="B37" s="4" t="inlineStr">
        <is>
          <t>Demolishing cement concrete manually / by mechanical means including disposal of material within 50 metres lead as per direction of Engineer - in-Charge. Nominal concrete 1:3:6 or richer mix (i/c equivalent design mix) (Code: 15.2.1)</t>
        </is>
      </c>
      <c r="C37" s="2" t="n">
        <v>6</v>
      </c>
      <c r="D37" s="2" t="inlineStr">
        <is>
          <t>cum</t>
        </is>
      </c>
      <c r="E37" s="2" t="n">
        <v>1742.42</v>
      </c>
      <c r="F37" s="2">
        <f>C37*E37</f>
        <v/>
      </c>
      <c r="G37" s="2" t="inlineStr">
        <is>
          <t>Yes</t>
        </is>
      </c>
      <c r="H37" s="2" t="inlineStr"/>
    </row>
    <row r="38">
      <c r="A38" s="2" t="n">
        <v>29</v>
      </c>
      <c r="B38" s="4" t="inlineStr">
        <is>
          <t>Providing and laying in position cement concrete of specified grade excluding the cost of centering and shuttering - All work up to plinth level: 1:2:4 )1 cement : 2 coarse sand : 4 graded stone aggregate 40 mm nominal size) (Code: 4.1.4)</t>
        </is>
      </c>
      <c r="C38" s="2" t="n">
        <v>6</v>
      </c>
      <c r="D38" s="2" t="inlineStr">
        <is>
          <t>cum</t>
        </is>
      </c>
      <c r="E38" s="2" t="n">
        <v>6273.9</v>
      </c>
      <c r="F38" s="2">
        <f>C38*E38</f>
        <v/>
      </c>
      <c r="G38" s="2" t="inlineStr">
        <is>
          <t>Yes</t>
        </is>
      </c>
      <c r="H38" s="2" t="inlineStr"/>
    </row>
    <row r="39">
      <c r="A39" s="2" t="n">
        <v>30</v>
      </c>
      <c r="B39" s="4" t="inlineStr">
        <is>
          <t>KSEB Charges</t>
        </is>
      </c>
      <c r="C39" s="2" t="n">
        <v>300000</v>
      </c>
      <c r="D39" s="2" t="inlineStr">
        <is>
          <t>each</t>
        </is>
      </c>
      <c r="E39" s="2" t="n">
        <v>1</v>
      </c>
      <c r="F39" s="2">
        <f>C39*E39</f>
        <v/>
      </c>
      <c r="G39" s="2" t="inlineStr">
        <is>
          <t>No</t>
        </is>
      </c>
      <c r="H39" s="2" t="inlineStr"/>
    </row>
    <row r="40">
      <c r="A40" s="2" t="inlineStr">
        <is>
          <t>Subtotal</t>
        </is>
      </c>
      <c r="B40" s="4" t="n"/>
      <c r="C40" s="2" t="n"/>
      <c r="D40" s="2" t="n"/>
      <c r="E40" s="2" t="n"/>
      <c r="F40" s="2">
        <f>SUM(F4:F39)</f>
        <v/>
      </c>
      <c r="G40" s="2" t="n"/>
      <c r="H40" s="2" t="n"/>
    </row>
    <row r="41">
      <c r="A41" s="2" t="inlineStr">
        <is>
          <t>GST (18%)</t>
        </is>
      </c>
      <c r="B41" s="4" t="n"/>
      <c r="C41" s="2" t="n"/>
      <c r="D41" s="2" t="n"/>
      <c r="E41" s="2" t="n"/>
      <c r="F41" s="2" t="n">
        <v>73909.72</v>
      </c>
      <c r="G41" s="2" t="n"/>
      <c r="H41" s="2" t="n"/>
    </row>
    <row r="42">
      <c r="A42" s="2" t="inlineStr">
        <is>
          <t>Unforeseen</t>
        </is>
      </c>
      <c r="B42" s="4" t="n"/>
      <c r="C42" s="2" t="n"/>
      <c r="D42" s="2" t="n"/>
      <c r="E42" s="2" t="n"/>
      <c r="F42" s="2" t="inlineStr">
        <is>
          <t>12480</t>
        </is>
      </c>
      <c r="G42" s="2" t="n"/>
      <c r="H42" s="2" t="n"/>
    </row>
    <row r="43">
      <c r="A43" s="5" t="inlineStr">
        <is>
          <t>Four Lakh, Ninety-Seven Thousand Rupees Only</t>
        </is>
      </c>
      <c r="B43" s="4" t="n"/>
      <c r="C43" s="2" t="n"/>
      <c r="D43" s="2" t="n"/>
      <c r="E43" s="2" t="n"/>
      <c r="F43" s="2" t="n"/>
      <c r="G43" s="2" t="n"/>
      <c r="H43" s="2" t="n"/>
    </row>
    <row r="44">
      <c r="A44" s="3" t="inlineStr">
        <is>
          <t>All items shall conform to ISI standards. GI pipes shall be Class B, unless specified otherwise.</t>
        </is>
      </c>
      <c r="B44" s="4" t="n"/>
      <c r="C44" s="2" t="n"/>
      <c r="D44" s="2" t="n"/>
      <c r="E44" s="2" t="n"/>
      <c r="F44" s="2" t="n"/>
      <c r="G44" s="2" t="n"/>
      <c r="H44" s="2" t="n"/>
    </row>
  </sheetData>
  <mergeCells count="14">
    <mergeCell ref="A1:H1"/>
    <mergeCell ref="A43:E43"/>
    <mergeCell ref="A29:H29"/>
    <mergeCell ref="A35:H35"/>
    <mergeCell ref="A43:H43"/>
    <mergeCell ref="A16:H16"/>
    <mergeCell ref="A2:H2"/>
    <mergeCell ref="A41:E41"/>
    <mergeCell ref="A42:E42"/>
    <mergeCell ref="A19:H19"/>
    <mergeCell ref="A44:H44"/>
    <mergeCell ref="A5:H5"/>
    <mergeCell ref="A23:H23"/>
    <mergeCell ref="A40:E4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2025-10-08T05:47:35Z</dcterms:created>
  <dcterms:modified xsi:type="dcterms:W3CDTF">2025-10-08T05:47:35Z</dcterms:modified>
</cp:coreProperties>
</file>