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<sst xmlns="http://schemas.openxmlformats.org/spreadsheetml/2006/main" count="120" uniqueCount="41">
  <si>
    <t>Filter Media for ARS</t>
  </si>
  <si>
    <t>Supply and filling of 40mm metal as filter medium</t>
  </si>
  <si>
    <t>Code</t>
  </si>
  <si>
    <t>Description</t>
  </si>
  <si>
    <t>Unit</t>
  </si>
  <si>
    <t>Quantity</t>
  </si>
  <si>
    <t>Rate</t>
  </si>
  <si>
    <t>Amount</t>
  </si>
  <si>
    <t>Details of cost for 1 cum</t>
  </si>
  <si>
    <t>MATERIAL:</t>
  </si>
  <si>
    <t>Stone Aggregate (Single size) : 40 mm nominal size</t>
  </si>
  <si>
    <t>m3</t>
  </si>
  <si>
    <t>LABOUR:</t>
  </si>
  <si>
    <t>Carriage of Stone aggregate 40 mm nominal size and above</t>
  </si>
  <si>
    <t>Coolie</t>
  </si>
  <si>
    <t>Day</t>
  </si>
  <si>
    <t>TOTAL  </t>
  </si>
  <si>
    <t>Add Water Charges @ 1%</t>
  </si>
  <si>
    <t>TOTAL</t>
  </si>
  <si>
    <t>Add CPOH @ 15%</t>
  </si>
  <si>
    <t>Cost per 1 cum</t>
  </si>
  <si>
    <t>Say</t>
  </si>
  <si>
    <t>Supply and filling of 25mm metal as filter medium</t>
  </si>
  <si>
    <t>Stone Aggregate (Single size) : 25 mm nominal size</t>
  </si>
  <si>
    <t>Carriage of Stone aggregate below 40 mm nominal size</t>
  </si>
  <si>
    <t>Supply and filling of 20mm/6mm metal as filter medium</t>
  </si>
  <si>
    <t>0295/0298</t>
  </si>
  <si>
    <t>Stone Aggregate (Single size) : 20 mm / 6 mm nominal size</t>
  </si>
  <si>
    <t>Supply and filling of Coarse Sand as filter medium</t>
  </si>
  <si>
    <t>Coarse sand (zone III)</t>
  </si>
  <si>
    <t>Carriage of Coarse sand</t>
  </si>
  <si>
    <t>Supply and filling of Charcoal as filter medium</t>
  </si>
  <si>
    <t>Details of cost for 1 quintal</t>
  </si>
  <si>
    <t>MR1266</t>
  </si>
  <si>
    <t>Charcoal</t>
  </si>
  <si>
    <t>quintal</t>
  </si>
  <si>
    <t>Carriage of Steam coal</t>
  </si>
  <si>
    <t>tonne</t>
  </si>
  <si>
    <t>Cost per 100 kg</t>
  </si>
  <si>
    <t>Cost per 1 kg</t>
  </si>
  <si>
    <t>Cost per 1 cum (200 kg)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</si>
</sst>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2"/>
      <color theme="1"/>
      <name val="Cambria"/>
      <family val="2"/>
    </font>
    <font>
      <b/>
      <sz val="12"/>
      <color theme="1"/>
      <name val="Cambria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2" fillId="3" borderId="4" xfId="0" applyFont="1" applyBorder="1" applyAlignment="1">
      <alignment horizontal="center" vertical="center" wrapText="1"/>
    </xf>
    <xf numFmtId="0" fontId="1" fillId="3" borderId="1" xfId="0" applyFont="1" applyBorder="1" applyAlignment="1">
      <alignment vertical="center" wrapText="1"/>
    </xf>
    <xf numFmtId="4" fontId="2" fillId="3" borderId="4" xfId="0" applyNumberFormat="1" applyFont="1" applyBorder="1" applyAlignment="1">
      <alignment horizontal="center" vertical="center" wrapText="1"/>
    </xf>
    <xf numFmtId="0" fontId="1" fillId="3" borderId="5" xfId="0" applyFont="1" applyBorder="1" applyAlignment="1">
      <alignment horizontal="center" vertical="center" wrapText="1"/>
    </xf>
    <xf numFmtId="0" fontId="1" fillId="3" borderId="4" xfId="0" applyFont="1" applyBorder="1" applyAlignment="1">
      <alignment vertical="center" wrapText="1"/>
    </xf>
    <xf numFmtId="4" fontId="1" fillId="3" borderId="5" xfId="0" applyNumberFormat="1" applyFont="1" applyBorder="1" applyAlignment="1">
      <alignment horizontal="center" vertical="center" wrapText="1"/>
    </xf>
    <xf numFmtId="0" fontId="3" fillId="0" borderId="6" xfId="0" applyFont="1" applyBorder="1"/>
    <xf numFmtId="0" fontId="1" fillId="3" borderId="4" xfId="0" applyFont="1" applyBorder="1" applyAlignment="1">
      <alignment horizontal="center" vertical="center" wrapText="1"/>
    </xf>
    <xf numFmtId="4" fontId="1" fillId="3" borderId="4" xfId="0" applyNumberFormat="1" applyFont="1" applyBorder="1" applyAlignment="1">
      <alignment horizontal="center" vertical="center" wrapText="1"/>
    </xf>
    <xf numFmtId="0" fontId="1" fillId="3" borderId="4" xfId="0" applyFont="1" applyBorder="1" applyAlignment="1">
      <alignment horizontal="right" vertical="center" wrapText="1"/>
    </xf>
    <xf numFmtId="0" fontId="2" fillId="3" borderId="1" xfId="0" applyFont="1" applyBorder="1" applyAlignment="1">
      <alignment horizontal="center" vertical="center" wrapText="1"/>
    </xf>
    <xf numFmtId="0" fontId="2" fillId="2" borderId="4" xfId="0" applyFont="1" applyBorder="1" applyAlignment="1">
      <alignment horizontal="center" vertical="center" wrapText="1"/>
    </xf>
    <xf numFmtId="0" fontId="1" fillId="2" borderId="1" xfId="0" applyFont="1" applyBorder="1" applyAlignment="1">
      <alignment vertical="center" wrapText="1"/>
    </xf>
    <xf numFmtId="4" fontId="2" fillId="2" borderId="4" xfId="0" applyNumberFormat="1" applyFont="1" applyBorder="1" applyAlignment="1">
      <alignment horizontal="center" vertical="center" wrapText="1"/>
    </xf>
    <xf numFmtId="0" fontId="1" fillId="2" borderId="5" xfId="0" applyFont="1" applyBorder="1" applyAlignment="1">
      <alignment horizontal="center" vertical="center" wrapText="1"/>
    </xf>
    <xf numFmtId="0" fontId="1" fillId="2" borderId="4" xfId="0" applyFont="1" applyBorder="1" applyAlignment="1">
      <alignment vertical="center" wrapText="1"/>
    </xf>
    <xf numFmtId="4" fontId="1" fillId="2" borderId="5" xfId="0" applyNumberFormat="1" applyFont="1" applyBorder="1" applyAlignment="1">
      <alignment horizontal="center" vertical="center" wrapText="1"/>
    </xf>
    <xf numFmtId="0" fontId="1" fillId="2" borderId="4" xfId="0" applyFont="1" applyBorder="1" applyAlignment="1">
      <alignment horizontal="center" vertical="center" wrapText="1"/>
    </xf>
    <xf numFmtId="4" fontId="1" fillId="2" borderId="4" xfId="0" applyNumberFormat="1" applyFont="1" applyBorder="1" applyAlignment="1">
      <alignment horizontal="center" vertical="center" wrapText="1"/>
    </xf>
    <xf numFmtId="0" fontId="1" fillId="2" borderId="4" xfId="0" applyFont="1" applyBorder="1" applyAlignment="1">
      <alignment horizontal="right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916A292-7024-41A3-9431-55977753B9A6}">
  <dimension ref="A1:F83"/>
  <sheetViews>
    <sheetView tabSelected="1" workbookViewId="0" topLeftCell="A1"/>
  </sheetViews>
  <sheetFormatPr defaultRowHeight="12.75"/>
  <sheetData>
    <row r="1" spans="1:6" ht="12.75">
      <c r="A1" s="1" t="s">
        <v>0</v>
      </c>
      <c r="B1" s="2"/>
      <c r="C1" s="2"/>
      <c r="D1" s="2"/>
      <c r="E1" s="2"/>
      <c r="F1" s="3"/>
    </row>
    <row r="2" spans="1:6" ht="12.75">
      <c r="A2" s="4">
        <v>0</v>
      </c>
      <c r="B2" s="5" t="s">
        <v>1</v>
      </c>
      <c r="C2" s="2"/>
      <c r="D2" s="2"/>
      <c r="E2" s="2"/>
      <c r="F2" s="3"/>
    </row>
    <row r="3" spans="1:6" ht="12.7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6" t="s">
        <v>7</v>
      </c>
    </row>
    <row r="4" spans="1:6" ht="12.75">
      <c r="A4" s="7"/>
      <c r="B4" s="8" t="s">
        <v>8</v>
      </c>
      <c r="C4" s="7"/>
      <c r="D4" s="7"/>
      <c r="E4" s="7"/>
      <c r="F4" s="9"/>
    </row>
    <row r="5" spans="1:6" ht="12.75">
      <c r="A5" s="10"/>
      <c r="B5" s="8" t="s">
        <v>9</v>
      </c>
      <c r="C5" s="10"/>
      <c r="D5" s="10"/>
      <c r="E5" s="10"/>
      <c r="F5" s="10"/>
    </row>
    <row r="6" spans="1:6" ht="12.75">
      <c r="A6" s="11">
        <v>293</v>
      </c>
      <c r="B6" s="8" t="s">
        <v>10</v>
      </c>
      <c r="C6" s="11" t="s">
        <v>11</v>
      </c>
      <c r="D6" s="11">
        <v>1</v>
      </c>
      <c r="E6" s="11">
        <v>1300</v>
      </c>
      <c r="F6" s="12">
        <f>D6*E6</f>
        <v>1300</v>
      </c>
    </row>
    <row r="7" spans="1:6" ht="12.75">
      <c r="A7" s="11"/>
      <c r="B7" s="8" t="s">
        <v>12</v>
      </c>
      <c r="C7" s="11"/>
      <c r="D7" s="11"/>
      <c r="E7" s="11"/>
      <c r="F7" s="12"/>
    </row>
    <row r="8" spans="1:6" ht="12.75">
      <c r="A8" s="11">
        <v>2206</v>
      </c>
      <c r="B8" s="8" t="s">
        <v>13</v>
      </c>
      <c r="C8" s="11" t="s">
        <v>11</v>
      </c>
      <c r="D8" s="11">
        <v>1</v>
      </c>
      <c r="E8" s="11">
        <v>178.19</v>
      </c>
      <c r="F8" s="12">
        <f>D8*E8</f>
        <v>178.19</v>
      </c>
    </row>
    <row r="9" spans="1:6" ht="12.75">
      <c r="A9" s="11">
        <v>115</v>
      </c>
      <c r="B9" s="8" t="s">
        <v>14</v>
      </c>
      <c r="C9" s="11" t="s">
        <v>15</v>
      </c>
      <c r="D9" s="11">
        <v>0.40</v>
      </c>
      <c r="E9" s="11">
        <v>645</v>
      </c>
      <c r="F9" s="12">
        <f>E9*D9</f>
        <v>258</v>
      </c>
    </row>
    <row r="10" spans="1:6" ht="12.75">
      <c r="A10" s="11"/>
      <c r="B10" s="13" t="s">
        <v>16</v>
      </c>
      <c r="C10" s="11"/>
      <c r="D10" s="11"/>
      <c r="E10" s="11"/>
      <c r="F10" s="12">
        <f>SUM(F6:F9)</f>
        <v>1736.19</v>
      </c>
    </row>
    <row r="11" spans="1:6" ht="12.75">
      <c r="A11" s="11"/>
      <c r="B11" s="13" t="s">
        <v>17</v>
      </c>
      <c r="C11" s="11"/>
      <c r="D11" s="11"/>
      <c r="E11" s="11"/>
      <c r="F11" s="12">
        <f>F10*1%</f>
        <v>17.361899999999999</v>
      </c>
    </row>
    <row r="12" spans="1:6" ht="12.75">
      <c r="A12" s="11"/>
      <c r="B12" s="13" t="s">
        <v>18</v>
      </c>
      <c r="C12" s="11"/>
      <c r="D12" s="11"/>
      <c r="E12" s="11"/>
      <c r="F12" s="12">
        <f>SUM(F10:F11)</f>
        <v>1753.5518999999999</v>
      </c>
    </row>
    <row r="13" spans="1:6" ht="12.75">
      <c r="A13" s="11"/>
      <c r="B13" s="13" t="s">
        <v>19</v>
      </c>
      <c r="C13" s="11"/>
      <c r="D13" s="11"/>
      <c r="E13" s="11"/>
      <c r="F13" s="12">
        <f>F12*15%</f>
        <v>263.03278499999999</v>
      </c>
    </row>
    <row r="14" spans="1:6" ht="12.75">
      <c r="A14" s="11"/>
      <c r="B14" s="13" t="s">
        <v>18</v>
      </c>
      <c r="C14" s="11"/>
      <c r="D14" s="11"/>
      <c r="E14" s="11"/>
      <c r="F14" s="12">
        <f>SUM(F12:F13)</f>
        <v>2016.584685</v>
      </c>
    </row>
    <row r="15" spans="1:6" ht="12.75">
      <c r="A15" s="11"/>
      <c r="B15" s="13" t="s">
        <v>20</v>
      </c>
      <c r="C15" s="11"/>
      <c r="D15" s="11"/>
      <c r="E15" s="11"/>
      <c r="F15" s="12">
        <f>F14</f>
        <v>2016.584685</v>
      </c>
    </row>
    <row r="16" spans="1:6" ht="12.75">
      <c r="A16" s="11"/>
      <c r="B16" s="13" t="s">
        <v>21</v>
      </c>
      <c r="C16" s="11"/>
      <c r="D16" s="11"/>
      <c r="E16" s="11"/>
      <c r="F16" s="12">
        <f>MROUND(F15,0.05)</f>
        <v>2016.60</v>
      </c>
    </row>
    <row r="17" spans="1:6" ht="12.75">
      <c r="A17" s="14" t="str">
        <f>CONCATENATE("Say ",F16," x Cost Index")</f>
        <v>Say 2016.6 x Cost Index</v>
      </c>
      <c r="B17" s="2"/>
      <c r="C17" s="2"/>
      <c r="D17" s="2"/>
      <c r="E17" s="2"/>
      <c r="F17" s="3"/>
    </row>
    <row r="18" spans="1:6" ht="12.75">
      <c r="A18" s="15">
        <v>0</v>
      </c>
      <c r="B18" s="16" t="s">
        <v>22</v>
      </c>
      <c r="C18" s="2"/>
      <c r="D18" s="2"/>
      <c r="E18" s="2"/>
      <c r="F18" s="3"/>
    </row>
    <row r="19" spans="1:6" ht="12.75">
      <c r="A19" s="15" t="s">
        <v>2</v>
      </c>
      <c r="B19" s="15" t="s">
        <v>3</v>
      </c>
      <c r="C19" s="15" t="s">
        <v>4</v>
      </c>
      <c r="D19" s="15" t="s">
        <v>5</v>
      </c>
      <c r="E19" s="15" t="s">
        <v>6</v>
      </c>
      <c r="F19" s="17" t="s">
        <v>7</v>
      </c>
    </row>
    <row r="20" spans="1:6" ht="12.75">
      <c r="A20" s="18"/>
      <c r="B20" s="19" t="s">
        <v>8</v>
      </c>
      <c r="C20" s="18"/>
      <c r="D20" s="18"/>
      <c r="E20" s="18"/>
      <c r="F20" s="20"/>
    </row>
    <row r="21" spans="1:6" ht="12.75">
      <c r="A21" s="10"/>
      <c r="B21" s="19" t="s">
        <v>9</v>
      </c>
      <c r="C21" s="10"/>
      <c r="D21" s="10"/>
      <c r="E21" s="10"/>
      <c r="F21" s="10"/>
    </row>
    <row r="22" spans="1:6" ht="12.75">
      <c r="A22" s="21">
        <v>294</v>
      </c>
      <c r="B22" s="19" t="s">
        <v>23</v>
      </c>
      <c r="C22" s="21" t="s">
        <v>11</v>
      </c>
      <c r="D22" s="21">
        <v>1</v>
      </c>
      <c r="E22" s="21">
        <v>1350</v>
      </c>
      <c r="F22" s="22">
        <f>D22*E22</f>
        <v>1350</v>
      </c>
    </row>
    <row r="23" spans="1:6" ht="12.75">
      <c r="A23" s="21"/>
      <c r="B23" s="19" t="s">
        <v>12</v>
      </c>
      <c r="C23" s="21"/>
      <c r="D23" s="21"/>
      <c r="E23" s="21"/>
      <c r="F23" s="22"/>
    </row>
    <row r="24" spans="1:6" ht="12.75">
      <c r="A24" s="21">
        <v>2202</v>
      </c>
      <c r="B24" s="19" t="s">
        <v>24</v>
      </c>
      <c r="C24" s="21" t="s">
        <v>11</v>
      </c>
      <c r="D24" s="21">
        <v>1</v>
      </c>
      <c r="E24" s="21">
        <v>163.93</v>
      </c>
      <c r="F24" s="22">
        <f>D24*E24</f>
        <v>163.93</v>
      </c>
    </row>
    <row r="25" spans="1:6" ht="12.75">
      <c r="A25" s="21">
        <v>115</v>
      </c>
      <c r="B25" s="19" t="s">
        <v>14</v>
      </c>
      <c r="C25" s="21" t="s">
        <v>15</v>
      </c>
      <c r="D25" s="21">
        <v>0.40</v>
      </c>
      <c r="E25" s="21">
        <v>645</v>
      </c>
      <c r="F25" s="22">
        <f>E25*D25</f>
        <v>258</v>
      </c>
    </row>
    <row r="26" spans="1:6" ht="12.75">
      <c r="A26" s="21"/>
      <c r="B26" s="23" t="s">
        <v>16</v>
      </c>
      <c r="C26" s="21"/>
      <c r="D26" s="21"/>
      <c r="E26" s="21"/>
      <c r="F26" s="22">
        <f>SUM(F22:F25)</f>
        <v>1771.93</v>
      </c>
    </row>
    <row r="27" spans="1:6" ht="12.75">
      <c r="A27" s="21"/>
      <c r="B27" s="23" t="s">
        <v>17</v>
      </c>
      <c r="C27" s="21"/>
      <c r="D27" s="21"/>
      <c r="E27" s="21"/>
      <c r="F27" s="22">
        <f>F26*1%</f>
        <v>17.7193</v>
      </c>
    </row>
    <row r="28" spans="1:6" ht="12.75">
      <c r="A28" s="21"/>
      <c r="B28" s="23" t="s">
        <v>18</v>
      </c>
      <c r="C28" s="21"/>
      <c r="D28" s="21"/>
      <c r="E28" s="21"/>
      <c r="F28" s="22">
        <f>SUM(F26:F27)</f>
        <v>1789.6493</v>
      </c>
    </row>
    <row r="29" spans="1:6" ht="12.75">
      <c r="A29" s="21"/>
      <c r="B29" s="23" t="s">
        <v>19</v>
      </c>
      <c r="C29" s="21"/>
      <c r="D29" s="21"/>
      <c r="E29" s="21"/>
      <c r="F29" s="22">
        <f>F28*15%</f>
        <v>268.44739499999997</v>
      </c>
    </row>
    <row r="30" spans="1:6" ht="12.75">
      <c r="A30" s="21"/>
      <c r="B30" s="23" t="s">
        <v>18</v>
      </c>
      <c r="C30" s="21"/>
      <c r="D30" s="21"/>
      <c r="E30" s="21"/>
      <c r="F30" s="22">
        <f>SUM(F28:F29)</f>
        <v>2058.0966950000002</v>
      </c>
    </row>
    <row r="31" spans="1:6" ht="12.75">
      <c r="A31" s="21"/>
      <c r="B31" s="23" t="s">
        <v>20</v>
      </c>
      <c r="C31" s="21"/>
      <c r="D31" s="21"/>
      <c r="E31" s="21"/>
      <c r="F31" s="22">
        <f>F30</f>
        <v>2058.0966950000002</v>
      </c>
    </row>
    <row r="32" spans="1:6" ht="12.75">
      <c r="A32" s="21"/>
      <c r="B32" s="23" t="s">
        <v>21</v>
      </c>
      <c r="C32" s="21"/>
      <c r="D32" s="21"/>
      <c r="E32" s="21"/>
      <c r="F32" s="22">
        <f>MROUND(F31,0.05)</f>
        <v>2058.10</v>
      </c>
    </row>
    <row r="33" spans="1:6" ht="12.75">
      <c r="A33" s="1" t="str">
        <f>CONCATENATE("Say ",F32," x Cost Index")</f>
        <v>Say 2058.1 x Cost Index</v>
      </c>
      <c r="B33" s="2"/>
      <c r="C33" s="2"/>
      <c r="D33" s="2"/>
      <c r="E33" s="2"/>
      <c r="F33" s="3"/>
    </row>
    <row r="34" spans="1:6" ht="12.75">
      <c r="A34" s="4">
        <v>0</v>
      </c>
      <c r="B34" s="5" t="s">
        <v>25</v>
      </c>
      <c r="C34" s="2"/>
      <c r="D34" s="2"/>
      <c r="E34" s="2"/>
      <c r="F34" s="3"/>
    </row>
    <row r="35" spans="1:6" ht="12.75">
      <c r="A35" s="4" t="s">
        <v>2</v>
      </c>
      <c r="B35" s="4" t="s">
        <v>3</v>
      </c>
      <c r="C35" s="4" t="s">
        <v>4</v>
      </c>
      <c r="D35" s="4" t="s">
        <v>5</v>
      </c>
      <c r="E35" s="4" t="s">
        <v>6</v>
      </c>
      <c r="F35" s="6" t="s">
        <v>7</v>
      </c>
    </row>
    <row r="36" spans="1:6" ht="12.75">
      <c r="A36" s="7"/>
      <c r="B36" s="8" t="s">
        <v>8</v>
      </c>
      <c r="C36" s="7"/>
      <c r="D36" s="7"/>
      <c r="E36" s="7"/>
      <c r="F36" s="9"/>
    </row>
    <row r="37" spans="1:6" ht="12.75">
      <c r="A37" s="10"/>
      <c r="B37" s="8" t="s">
        <v>9</v>
      </c>
      <c r="C37" s="10"/>
      <c r="D37" s="10"/>
      <c r="E37" s="10"/>
      <c r="F37" s="10"/>
    </row>
    <row r="38" spans="1:6" ht="12.75">
      <c r="A38" s="11" t="s">
        <v>26</v>
      </c>
      <c r="B38" s="8" t="s">
        <v>27</v>
      </c>
      <c r="C38" s="11" t="s">
        <v>11</v>
      </c>
      <c r="D38" s="11">
        <v>1</v>
      </c>
      <c r="E38" s="11">
        <v>1400</v>
      </c>
      <c r="F38" s="12">
        <f>D38*E38</f>
        <v>1400</v>
      </c>
    </row>
    <row r="39" spans="1:6" ht="12.75">
      <c r="A39" s="11"/>
      <c r="B39" s="8" t="s">
        <v>12</v>
      </c>
      <c r="C39" s="11"/>
      <c r="D39" s="11"/>
      <c r="E39" s="11"/>
      <c r="F39" s="12"/>
    </row>
    <row r="40" spans="1:6" ht="12.75">
      <c r="A40" s="11">
        <v>2202</v>
      </c>
      <c r="B40" s="8" t="s">
        <v>24</v>
      </c>
      <c r="C40" s="11" t="s">
        <v>11</v>
      </c>
      <c r="D40" s="11">
        <v>1</v>
      </c>
      <c r="E40" s="11">
        <v>163.93</v>
      </c>
      <c r="F40" s="12">
        <f>D40*E40</f>
        <v>163.93</v>
      </c>
    </row>
    <row r="41" spans="1:6" ht="12.75">
      <c r="A41" s="11">
        <v>115</v>
      </c>
      <c r="B41" s="8" t="s">
        <v>14</v>
      </c>
      <c r="C41" s="11" t="s">
        <v>15</v>
      </c>
      <c r="D41" s="11">
        <v>0.40</v>
      </c>
      <c r="E41" s="11">
        <v>645</v>
      </c>
      <c r="F41" s="12">
        <f>E41*D41</f>
        <v>258</v>
      </c>
    </row>
    <row r="42" spans="1:6" ht="12.75">
      <c r="A42" s="11"/>
      <c r="B42" s="13" t="s">
        <v>16</v>
      </c>
      <c r="C42" s="11"/>
      <c r="D42" s="11"/>
      <c r="E42" s="11"/>
      <c r="F42" s="12">
        <f>SUM(F38:F41)</f>
        <v>1821.93</v>
      </c>
    </row>
    <row r="43" spans="1:6" ht="12.75">
      <c r="A43" s="11"/>
      <c r="B43" s="13" t="s">
        <v>17</v>
      </c>
      <c r="C43" s="11"/>
      <c r="D43" s="11"/>
      <c r="E43" s="11"/>
      <c r="F43" s="12">
        <f>F42*1%</f>
        <v>18.2193</v>
      </c>
    </row>
    <row r="44" spans="1:6" ht="12.75">
      <c r="A44" s="11"/>
      <c r="B44" s="13" t="s">
        <v>18</v>
      </c>
      <c r="C44" s="11"/>
      <c r="D44" s="11"/>
      <c r="E44" s="11"/>
      <c r="F44" s="12">
        <f>SUM(F42:F43)</f>
        <v>1840.1493</v>
      </c>
    </row>
    <row r="45" spans="1:6" ht="12.75">
      <c r="A45" s="11"/>
      <c r="B45" s="13" t="s">
        <v>19</v>
      </c>
      <c r="C45" s="11"/>
      <c r="D45" s="11"/>
      <c r="E45" s="11"/>
      <c r="F45" s="12">
        <f>F44*15%</f>
        <v>276.02239500000002</v>
      </c>
    </row>
    <row r="46" spans="1:6" ht="12.75">
      <c r="A46" s="11"/>
      <c r="B46" s="13" t="s">
        <v>18</v>
      </c>
      <c r="C46" s="11"/>
      <c r="D46" s="11"/>
      <c r="E46" s="11"/>
      <c r="F46" s="12">
        <f>SUM(F44:F45)</f>
        <v>2116.171695</v>
      </c>
    </row>
    <row r="47" spans="1:6" ht="12.75">
      <c r="A47" s="11"/>
      <c r="B47" s="13" t="s">
        <v>20</v>
      </c>
      <c r="C47" s="11"/>
      <c r="D47" s="11"/>
      <c r="E47" s="11"/>
      <c r="F47" s="12">
        <f>F46</f>
        <v>2116.171695</v>
      </c>
    </row>
    <row r="48" spans="1:6" ht="12.75">
      <c r="A48" s="11"/>
      <c r="B48" s="13" t="s">
        <v>21</v>
      </c>
      <c r="C48" s="11"/>
      <c r="D48" s="11"/>
      <c r="E48" s="11"/>
      <c r="F48" s="12">
        <f>MROUND(F47,0.05)</f>
        <v>2116.15</v>
      </c>
    </row>
    <row r="49" spans="1:6" ht="12.75">
      <c r="A49" s="14" t="str">
        <f>CONCATENATE("Say ",F48," x Cost Index")</f>
        <v>Say 2116.15 x Cost Index</v>
      </c>
      <c r="B49" s="2"/>
      <c r="C49" s="2"/>
      <c r="D49" s="2"/>
      <c r="E49" s="2"/>
      <c r="F49" s="3"/>
    </row>
    <row r="50" spans="1:6" ht="12.75">
      <c r="A50" s="15">
        <v>0</v>
      </c>
      <c r="B50" s="16" t="s">
        <v>28</v>
      </c>
      <c r="C50" s="2"/>
      <c r="D50" s="2"/>
      <c r="E50" s="2"/>
      <c r="F50" s="3"/>
    </row>
    <row r="51" spans="1:6" ht="12.75">
      <c r="A51" s="15" t="s">
        <v>2</v>
      </c>
      <c r="B51" s="15" t="s">
        <v>3</v>
      </c>
      <c r="C51" s="15" t="s">
        <v>4</v>
      </c>
      <c r="D51" s="15" t="s">
        <v>5</v>
      </c>
      <c r="E51" s="15" t="s">
        <v>6</v>
      </c>
      <c r="F51" s="17" t="s">
        <v>7</v>
      </c>
    </row>
    <row r="52" spans="1:6" ht="12.75">
      <c r="A52" s="18"/>
      <c r="B52" s="19" t="s">
        <v>8</v>
      </c>
      <c r="C52" s="18"/>
      <c r="D52" s="18"/>
      <c r="E52" s="18"/>
      <c r="F52" s="20"/>
    </row>
    <row r="53" spans="1:6" ht="12.75">
      <c r="A53" s="10"/>
      <c r="B53" s="19" t="s">
        <v>9</v>
      </c>
      <c r="C53" s="10"/>
      <c r="D53" s="10"/>
      <c r="E53" s="10"/>
      <c r="F53" s="10"/>
    </row>
    <row r="54" spans="1:6" ht="12.75">
      <c r="A54" s="21">
        <v>982</v>
      </c>
      <c r="B54" s="19" t="s">
        <v>29</v>
      </c>
      <c r="C54" s="21" t="s">
        <v>11</v>
      </c>
      <c r="D54" s="21">
        <v>1</v>
      </c>
      <c r="E54" s="21">
        <v>1500</v>
      </c>
      <c r="F54" s="22">
        <f>D54*E54</f>
        <v>1500</v>
      </c>
    </row>
    <row r="55" spans="1:6" ht="12.75">
      <c r="A55" s="21"/>
      <c r="B55" s="19" t="s">
        <v>12</v>
      </c>
      <c r="C55" s="21"/>
      <c r="D55" s="21"/>
      <c r="E55" s="21"/>
      <c r="F55" s="22"/>
    </row>
    <row r="56" spans="1:6" ht="12.75">
      <c r="A56" s="21">
        <v>2203</v>
      </c>
      <c r="B56" s="19" t="s">
        <v>30</v>
      </c>
      <c r="C56" s="21" t="s">
        <v>11</v>
      </c>
      <c r="D56" s="21">
        <v>1</v>
      </c>
      <c r="E56" s="21">
        <v>163.93</v>
      </c>
      <c r="F56" s="22">
        <f>D56*E56</f>
        <v>163.93</v>
      </c>
    </row>
    <row r="57" spans="1:6" ht="12.75">
      <c r="A57" s="21">
        <v>115</v>
      </c>
      <c r="B57" s="19" t="s">
        <v>14</v>
      </c>
      <c r="C57" s="21" t="s">
        <v>15</v>
      </c>
      <c r="D57" s="21">
        <v>0.60</v>
      </c>
      <c r="E57" s="21">
        <v>645</v>
      </c>
      <c r="F57" s="22">
        <f>E57*D57</f>
        <v>387</v>
      </c>
    </row>
    <row r="58" spans="1:6" ht="12.75">
      <c r="A58" s="21"/>
      <c r="B58" s="23" t="s">
        <v>16</v>
      </c>
      <c r="C58" s="21"/>
      <c r="D58" s="21"/>
      <c r="E58" s="21"/>
      <c r="F58" s="22">
        <f>SUM(F54:F57)</f>
        <v>2050.93</v>
      </c>
    </row>
    <row r="59" spans="1:6" ht="12.75">
      <c r="A59" s="21"/>
      <c r="B59" s="23" t="s">
        <v>17</v>
      </c>
      <c r="C59" s="21"/>
      <c r="D59" s="21"/>
      <c r="E59" s="21"/>
      <c r="F59" s="22">
        <f>F58*1%</f>
        <v>20.5093</v>
      </c>
    </row>
    <row r="60" spans="1:6" ht="12.75">
      <c r="A60" s="21"/>
      <c r="B60" s="23" t="s">
        <v>18</v>
      </c>
      <c r="C60" s="21"/>
      <c r="D60" s="21"/>
      <c r="E60" s="21"/>
      <c r="F60" s="22">
        <f>SUM(F58:F59)</f>
        <v>2071.4393</v>
      </c>
    </row>
    <row r="61" spans="1:6" ht="12.75">
      <c r="A61" s="21"/>
      <c r="B61" s="23" t="s">
        <v>19</v>
      </c>
      <c r="C61" s="21"/>
      <c r="D61" s="21"/>
      <c r="E61" s="21"/>
      <c r="F61" s="22">
        <f>F60*15%</f>
        <v>310.71589499999999</v>
      </c>
    </row>
    <row r="62" spans="1:6" ht="12.75">
      <c r="A62" s="21"/>
      <c r="B62" s="23" t="s">
        <v>18</v>
      </c>
      <c r="C62" s="21"/>
      <c r="D62" s="21"/>
      <c r="E62" s="21"/>
      <c r="F62" s="22">
        <f>SUM(F60:F61)</f>
        <v>2382.1551949999998</v>
      </c>
    </row>
    <row r="63" spans="1:6" ht="12.75">
      <c r="A63" s="21"/>
      <c r="B63" s="23" t="s">
        <v>20</v>
      </c>
      <c r="C63" s="21"/>
      <c r="D63" s="21"/>
      <c r="E63" s="21"/>
      <c r="F63" s="22">
        <f>F62</f>
        <v>2382.1551949999998</v>
      </c>
    </row>
    <row r="64" spans="1:6" ht="12.75">
      <c r="A64" s="21"/>
      <c r="B64" s="23" t="s">
        <v>21</v>
      </c>
      <c r="C64" s="21"/>
      <c r="D64" s="21"/>
      <c r="E64" s="21"/>
      <c r="F64" s="22">
        <f>MROUND(F63,0.05)</f>
        <v>2382.15</v>
      </c>
    </row>
    <row r="65" spans="1:6" ht="12.75">
      <c r="A65" s="1" t="str">
        <f>CONCATENATE("Say ",F64," x Cost Index")</f>
        <v>Say 2382.15 x Cost Index</v>
      </c>
      <c r="B65" s="2"/>
      <c r="C65" s="2"/>
      <c r="D65" s="2"/>
      <c r="E65" s="2"/>
      <c r="F65" s="3"/>
    </row>
    <row r="66" spans="1:6" ht="12.75">
      <c r="A66" s="4">
        <v>0</v>
      </c>
      <c r="B66" s="5" t="s">
        <v>31</v>
      </c>
      <c r="C66" s="2"/>
      <c r="D66" s="2"/>
      <c r="E66" s="2"/>
      <c r="F66" s="3"/>
    </row>
    <row r="67" spans="1:6" ht="12.75">
      <c r="A67" s="4" t="s">
        <v>2</v>
      </c>
      <c r="B67" s="4" t="s">
        <v>3</v>
      </c>
      <c r="C67" s="4" t="s">
        <v>4</v>
      </c>
      <c r="D67" s="4" t="s">
        <v>5</v>
      </c>
      <c r="E67" s="4" t="s">
        <v>6</v>
      </c>
      <c r="F67" s="6" t="s">
        <v>7</v>
      </c>
    </row>
    <row r="68" spans="1:6" ht="12.75">
      <c r="A68" s="7"/>
      <c r="B68" s="8" t="s">
        <v>32</v>
      </c>
      <c r="C68" s="7"/>
      <c r="D68" s="7"/>
      <c r="E68" s="7"/>
      <c r="F68" s="9"/>
    </row>
    <row r="69" spans="1:6" ht="12.75">
      <c r="A69" s="10"/>
      <c r="B69" s="8" t="s">
        <v>9</v>
      </c>
      <c r="C69" s="10"/>
      <c r="D69" s="10"/>
      <c r="E69" s="10"/>
      <c r="F69" s="10"/>
    </row>
    <row r="70" spans="1:6" ht="12.75">
      <c r="A70" s="11" t="s">
        <v>33</v>
      </c>
      <c r="B70" s="8" t="s">
        <v>34</v>
      </c>
      <c r="C70" s="11" t="s">
        <v>35</v>
      </c>
      <c r="D70" s="11">
        <v>1</v>
      </c>
      <c r="E70" s="11">
        <v>675</v>
      </c>
      <c r="F70" s="12">
        <f>D70*E70</f>
        <v>675</v>
      </c>
    </row>
    <row r="71" spans="1:6" ht="12.75">
      <c r="A71" s="11"/>
      <c r="B71" s="8" t="s">
        <v>12</v>
      </c>
      <c r="C71" s="11"/>
      <c r="D71" s="11"/>
      <c r="E71" s="11"/>
      <c r="F71" s="12"/>
    </row>
    <row r="72" spans="1:6" ht="12.75">
      <c r="A72" s="11">
        <v>2200</v>
      </c>
      <c r="B72" s="8" t="s">
        <v>36</v>
      </c>
      <c r="C72" s="11" t="s">
        <v>37</v>
      </c>
      <c r="D72" s="11">
        <v>0.10</v>
      </c>
      <c r="E72" s="11">
        <v>187</v>
      </c>
      <c r="F72" s="12">
        <f>D72*E72</f>
        <v>18.70</v>
      </c>
    </row>
    <row r="73" spans="1:6" ht="12.75">
      <c r="A73" s="11">
        <v>115</v>
      </c>
      <c r="B73" s="8" t="s">
        <v>14</v>
      </c>
      <c r="C73" s="11" t="s">
        <v>15</v>
      </c>
      <c r="D73" s="11">
        <v>0.60</v>
      </c>
      <c r="E73" s="11">
        <v>645</v>
      </c>
      <c r="F73" s="12">
        <f>E73*D73</f>
        <v>387</v>
      </c>
    </row>
    <row r="74" spans="1:6" ht="12.75">
      <c r="A74" s="11"/>
      <c r="B74" s="13" t="s">
        <v>16</v>
      </c>
      <c r="C74" s="11"/>
      <c r="D74" s="11"/>
      <c r="E74" s="11"/>
      <c r="F74" s="12">
        <f>SUM(F70:F73)</f>
        <v>1080.70</v>
      </c>
    </row>
    <row r="75" spans="1:6" ht="12.75">
      <c r="A75" s="11"/>
      <c r="B75" s="13" t="s">
        <v>17</v>
      </c>
      <c r="C75" s="11"/>
      <c r="D75" s="11"/>
      <c r="E75" s="11"/>
      <c r="F75" s="12">
        <f>F74*1%</f>
        <v>10.807</v>
      </c>
    </row>
    <row r="76" spans="1:6" ht="12.75">
      <c r="A76" s="11"/>
      <c r="B76" s="13" t="s">
        <v>18</v>
      </c>
      <c r="C76" s="11"/>
      <c r="D76" s="11"/>
      <c r="E76" s="11"/>
      <c r="F76" s="12">
        <f>SUM(F74:F75)</f>
        <v>1091.5070000000001</v>
      </c>
    </row>
    <row r="77" spans="1:6" ht="12.75">
      <c r="A77" s="11"/>
      <c r="B77" s="13" t="s">
        <v>19</v>
      </c>
      <c r="C77" s="11"/>
      <c r="D77" s="11"/>
      <c r="E77" s="11"/>
      <c r="F77" s="12">
        <f>F76*15%</f>
        <v>163.72604999999999</v>
      </c>
    </row>
    <row r="78" spans="1:6" ht="12.75">
      <c r="A78" s="11"/>
      <c r="B78" s="13" t="s">
        <v>18</v>
      </c>
      <c r="C78" s="11"/>
      <c r="D78" s="11"/>
      <c r="E78" s="11"/>
      <c r="F78" s="12">
        <f>SUM(F76:F77)</f>
        <v>1255.23305</v>
      </c>
    </row>
    <row r="79" spans="1:6" ht="12.75">
      <c r="A79" s="11"/>
      <c r="B79" s="13" t="s">
        <v>38</v>
      </c>
      <c r="C79" s="11"/>
      <c r="D79" s="11"/>
      <c r="E79" s="11"/>
      <c r="F79" s="12">
        <f>F78</f>
        <v>1255.23305</v>
      </c>
    </row>
    <row r="80" spans="1:6" ht="12.75">
      <c r="A80" s="11"/>
      <c r="B80" s="13" t="s">
        <v>39</v>
      </c>
      <c r="C80" s="11"/>
      <c r="D80" s="11"/>
      <c r="E80" s="11"/>
      <c r="F80" s="12">
        <f>F79/100</f>
        <v>12.5523305</v>
      </c>
    </row>
    <row r="81" spans="1:6" ht="12.75">
      <c r="A81" s="11"/>
      <c r="B81" s="13" t="s">
        <v>40</v>
      </c>
      <c r="C81" s="11"/>
      <c r="D81" s="11"/>
      <c r="E81" s="11"/>
      <c r="F81" s="12">
        <f>F80*200</f>
        <v>2510.4661000000001</v>
      </c>
    </row>
    <row r="82" spans="1:6" ht="12.75">
      <c r="A82" s="11"/>
      <c r="B82" s="13" t="s">
        <v>21</v>
      </c>
      <c r="C82" s="11"/>
      <c r="D82" s="11"/>
      <c r="E82" s="11"/>
      <c r="F82" s="12">
        <f>MROUND(F81,0.05)</f>
        <v>2510.45</v>
      </c>
    </row>
    <row r="83" spans="1:6" ht="12.75">
      <c r="A83" s="14" t="str">
        <f>CONCATENATE("Say ",F82," x Cost Index")</f>
        <v>Say 2510.45 x Cost Index</v>
      </c>
      <c r="B83" s="2"/>
      <c r="C83" s="2"/>
      <c r="D83" s="2"/>
      <c r="E83" s="2"/>
      <c r="F83" s="3"/>
    </row>
  </sheetData>
  <mergeCells count="36">
    <mergeCell ref="A1:F1"/>
    <mergeCell ref="B2:F2"/>
    <mergeCell ref="A4:A5"/>
    <mergeCell ref="C4:C5"/>
    <mergeCell ref="D4:D5"/>
    <mergeCell ref="E4:E5"/>
    <mergeCell ref="F4:F5"/>
    <mergeCell ref="A17:F17"/>
    <mergeCell ref="B18:F18"/>
    <mergeCell ref="A20:A21"/>
    <mergeCell ref="C20:C21"/>
    <mergeCell ref="D20:D21"/>
    <mergeCell ref="E20:E21"/>
    <mergeCell ref="F20:F21"/>
    <mergeCell ref="A33:F33"/>
    <mergeCell ref="B34:F34"/>
    <mergeCell ref="A36:A37"/>
    <mergeCell ref="C36:C37"/>
    <mergeCell ref="D36:D37"/>
    <mergeCell ref="E36:E37"/>
    <mergeCell ref="F36:F37"/>
    <mergeCell ref="A65:F65"/>
    <mergeCell ref="B66:F66"/>
    <mergeCell ref="A68:A69"/>
    <mergeCell ref="C68:C69"/>
    <mergeCell ref="D68:D69"/>
    <mergeCell ref="E68:E69"/>
    <mergeCell ref="F68:F69"/>
    <mergeCell ref="A83:F83"/>
    <mergeCell ref="A49:F49"/>
    <mergeCell ref="B50:F50"/>
    <mergeCell ref="A52:A53"/>
    <mergeCell ref="C52:C53"/>
    <mergeCell ref="D52:D53"/>
    <mergeCell ref="E52:E53"/>
    <mergeCell ref="F52:F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