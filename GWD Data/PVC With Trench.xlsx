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<sst xmlns="http://schemas.openxmlformats.org/spreadsheetml/2006/main" count="71" uniqueCount="28">
  <si>
    <t>PVC Pipe With Trenching</t>
  </si>
  <si>
    <t>Providing and fixing PVC pipes includes jointing of pipes with one step PVC solvent cement, trenching, refilling &amp; testing of joints complete as per direction of Engineer in Charge. 140 mm dia 6 KGF/cm2</t>
  </si>
  <si>
    <t>Code</t>
  </si>
  <si>
    <t>Description</t>
  </si>
  <si>
    <t>Unit</t>
  </si>
  <si>
    <t>Quantity</t>
  </si>
  <si>
    <t>Rate</t>
  </si>
  <si>
    <t>Amount</t>
  </si>
  <si>
    <t>Details of cost for 10 metre</t>
  </si>
  <si>
    <t>MATERIALS:</t>
  </si>
  <si>
    <t>MR10215</t>
  </si>
  <si>
    <t>PVC Pipe, 6kg/cm2, 140mm Dia</t>
  </si>
  <si>
    <t>metre</t>
  </si>
  <si>
    <t>Add 15% for fittings and wastage etc. on (A)</t>
  </si>
  <si>
    <t>Add Water Charges @ 1%</t>
  </si>
  <si>
    <t>TOTAL</t>
  </si>
  <si>
    <t>Add CPOH @ 15%</t>
  </si>
  <si>
    <t>Cost of 10.0 metre</t>
  </si>
  <si>
    <t>Cost per metre</t>
  </si>
  <si>
    <t>Fitter(grade1)</t>
  </si>
  <si>
    <t>Day</t>
  </si>
  <si>
    <t>Beldar</t>
  </si>
  <si>
    <t>Trenching and refilling etc.</t>
  </si>
  <si>
    <t>Coolie</t>
  </si>
  <si>
    <t>TOTAL  </t>
  </si>
  <si>
    <t>Providing and fixing PVC pipes includes jointing of pipes with one step PVC solvent cement, trenching, refilling &amp; testing of joints complete as per direction of Engineer in Charge. 63 mm dia 10 KGF/cm2</t>
  </si>
  <si>
    <t>MR10234</t>
  </si>
  <si>
    <t>PVC Pipe, 10kg/cm2, 63mm Dia.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</si>
</sst>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b/>
      <sz val="12"/>
      <color theme="1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/>
      <top style="thin">
        <color rgb="FF3D3D3D"/>
      </top>
      <bottom style="thin">
        <color rgb="FF3D3D3D"/>
      </bottom>
    </border>
    <border>
      <left/>
      <right/>
      <top style="thin">
        <color rgb="FF3D3D3D"/>
      </top>
      <bottom style="thin">
        <color rgb="FF3D3D3D"/>
      </bottom>
    </border>
    <border>
      <left/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 style="thin">
        <color rgb="FF3D3D3D"/>
      </right>
      <top style="thin">
        <color rgb="FF3D3D3D"/>
      </top>
      <bottom/>
    </border>
    <border>
      <left style="thin">
        <color rgb="FF3D3D3D"/>
      </left>
      <right style="thin">
        <color rgb="FF3D3D3D"/>
      </right>
      <top/>
      <bottom style="thin">
        <color rgb="FF3D3D3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2" fillId="3" borderId="5" xfId="0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2" fillId="3" borderId="8" xfId="0" applyFont="1" applyBorder="1" applyAlignment="1">
      <alignment vertical="center" wrapText="1"/>
    </xf>
    <xf numFmtId="0" fontId="2" fillId="3" borderId="4" xfId="0" applyFont="1" applyBorder="1" applyAlignment="1">
      <alignment vertical="center" wrapText="1"/>
    </xf>
    <xf numFmtId="0" fontId="3" fillId="0" borderId="9" xfId="0" applyFont="1" applyBorder="1"/>
    <xf numFmtId="0" fontId="2" fillId="3" borderId="8" xfId="0" applyFont="1" applyBorder="1" applyAlignment="1">
      <alignment horizontal="center" vertical="center" wrapText="1"/>
    </xf>
    <xf numFmtId="0" fontId="2" fillId="3" borderId="8" xfId="0" applyFont="1" applyBorder="1" applyAlignment="1">
      <alignment horizontal="right" vertical="center" wrapText="1"/>
    </xf>
    <xf numFmtId="0" fontId="2" fillId="3" borderId="4" xfId="0" applyFont="1" applyBorder="1" applyAlignment="1">
      <alignment horizontal="center" vertical="center" wrapText="1"/>
    </xf>
    <xf numFmtId="0" fontId="2" fillId="3" borderId="5" xfId="0" applyFont="1" applyBorder="1" applyAlignment="1">
      <alignment horizontal="right" vertical="center" wrapText="1"/>
    </xf>
    <xf numFmtId="177" fontId="2" fillId="3" borderId="4" xfId="0" applyNumberFormat="1" applyFont="1" applyBorder="1" applyAlignment="1">
      <alignment horizontal="right" vertical="center" wrapText="1"/>
    </xf>
    <xf numFmtId="2" fontId="2" fillId="3" borderId="10" xfId="0" applyNumberFormat="1" applyFont="1" applyBorder="1" applyAlignment="1">
      <alignment horizontal="right" vertical="center" wrapText="1"/>
    </xf>
    <xf numFmtId="177" fontId="2" fillId="3" borderId="8" xfId="0" applyNumberFormat="1" applyFont="1" applyBorder="1" applyAlignment="1">
      <alignment horizontal="right" vertical="center" wrapText="1"/>
    </xf>
    <xf numFmtId="0" fontId="2" fillId="3" borderId="10" xfId="0" applyFont="1" applyBorder="1" applyAlignment="1">
      <alignment horizontal="center" vertical="center" wrapText="1"/>
    </xf>
    <xf numFmtId="0" fontId="2" fillId="3" borderId="10" xfId="0" applyFont="1" applyBorder="1" applyAlignment="1">
      <alignment vertical="center" wrapText="1"/>
    </xf>
    <xf numFmtId="177" fontId="2" fillId="3" borderId="10" xfId="0" applyNumberFormat="1" applyFont="1" applyBorder="1" applyAlignment="1">
      <alignment horizontal="right" vertical="center" wrapText="1"/>
    </xf>
    <xf numFmtId="0" fontId="2" fillId="3" borderId="1" xfId="0" applyFont="1" applyBorder="1" applyAlignment="1">
      <alignment horizontal="right" vertical="center" wrapText="1"/>
    </xf>
    <xf numFmtId="0" fontId="1" fillId="3" borderId="1" xfId="0" applyFont="1" applyBorder="1" applyAlignment="1">
      <alignment horizontal="center" vertical="center" wrapText="1"/>
    </xf>
    <xf numFmtId="0" fontId="1" fillId="4" borderId="4" xfId="0" applyFont="1" applyBorder="1" applyAlignment="1">
      <alignment horizontal="center" vertical="center" wrapText="1"/>
    </xf>
    <xf numFmtId="0" fontId="2" fillId="4" borderId="5" xfId="0" applyFont="1" applyBorder="1" applyAlignment="1">
      <alignment vertical="center" wrapText="1"/>
    </xf>
    <xf numFmtId="0" fontId="2" fillId="4" borderId="8" xfId="0" applyFont="1" applyBorder="1" applyAlignment="1">
      <alignment vertical="center" wrapText="1"/>
    </xf>
    <xf numFmtId="0" fontId="2" fillId="4" borderId="4" xfId="0" applyFont="1" applyBorder="1" applyAlignment="1">
      <alignment vertical="center" wrapText="1"/>
    </xf>
    <xf numFmtId="0" fontId="2" fillId="4" borderId="8" xfId="0" applyFont="1" applyBorder="1" applyAlignment="1">
      <alignment horizontal="center" vertical="center" wrapText="1"/>
    </xf>
    <xf numFmtId="0" fontId="2" fillId="4" borderId="8" xfId="0" applyFont="1" applyBorder="1" applyAlignment="1">
      <alignment horizontal="right" vertical="center" wrapText="1"/>
    </xf>
    <xf numFmtId="0" fontId="2" fillId="4" borderId="4" xfId="0" applyFont="1" applyBorder="1" applyAlignment="1">
      <alignment horizontal="center" vertical="center" wrapText="1"/>
    </xf>
    <xf numFmtId="0" fontId="2" fillId="4" borderId="5" xfId="0" applyFont="1" applyBorder="1" applyAlignment="1">
      <alignment horizontal="right" vertical="center" wrapText="1"/>
    </xf>
    <xf numFmtId="177" fontId="2" fillId="4" borderId="4" xfId="0" applyNumberFormat="1" applyFont="1" applyBorder="1" applyAlignment="1">
      <alignment horizontal="right" vertical="center" wrapText="1"/>
    </xf>
    <xf numFmtId="2" fontId="2" fillId="4" borderId="10" xfId="0" applyNumberFormat="1" applyFont="1" applyBorder="1" applyAlignment="1">
      <alignment horizontal="right" vertical="center" wrapText="1"/>
    </xf>
    <xf numFmtId="177" fontId="2" fillId="4" borderId="8" xfId="0" applyNumberFormat="1" applyFont="1" applyBorder="1" applyAlignment="1">
      <alignment horizontal="right" vertical="center" wrapText="1"/>
    </xf>
    <xf numFmtId="0" fontId="2" fillId="4" borderId="10" xfId="0" applyFont="1" applyBorder="1" applyAlignment="1">
      <alignment horizontal="center" vertical="center" wrapText="1"/>
    </xf>
    <xf numFmtId="0" fontId="2" fillId="4" borderId="10" xfId="0" applyFont="1" applyBorder="1" applyAlignment="1">
      <alignment vertical="center" wrapText="1"/>
    </xf>
    <xf numFmtId="177" fontId="2" fillId="4" borderId="10" xfId="0" applyNumberFormat="1" applyFont="1" applyBorder="1" applyAlignment="1">
      <alignment horizontal="right" vertical="center" wrapText="1"/>
    </xf>
    <xf numFmtId="0" fontId="2" fillId="4" borderId="1" xfId="0" applyFont="1" applyBorder="1" applyAlignment="1">
      <alignment horizontal="right" vertical="center" wrapText="1"/>
    </xf>
    <xf numFmtId="0" fontId="1" fillId="4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6A751D6-6F22-48F9-BA03-042F37A8B9A6}">
  <dimension ref="A1:F51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6"/>
      <c r="D2" s="6"/>
      <c r="E2" s="6"/>
      <c r="F2" s="7"/>
    </row>
    <row r="3" spans="1:6" ht="12.7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12.75">
      <c r="A4" s="8"/>
      <c r="B4" s="9" t="s">
        <v>8</v>
      </c>
      <c r="C4" s="8"/>
      <c r="D4" s="8"/>
      <c r="E4" s="8"/>
      <c r="F4" s="8"/>
    </row>
    <row r="5" spans="1:6" ht="12.75">
      <c r="A5" s="10"/>
      <c r="B5" s="9" t="s">
        <v>9</v>
      </c>
      <c r="C5" s="10"/>
      <c r="D5" s="10"/>
      <c r="E5" s="10"/>
      <c r="F5" s="10"/>
    </row>
    <row r="6" spans="1:6" ht="12.75">
      <c r="A6" s="11" t="s">
        <v>10</v>
      </c>
      <c r="B6" s="9" t="s">
        <v>11</v>
      </c>
      <c r="C6" s="11" t="s">
        <v>12</v>
      </c>
      <c r="D6" s="11">
        <v>11.50</v>
      </c>
      <c r="E6" s="11">
        <v>475</v>
      </c>
      <c r="F6" s="12">
        <f>D6*E6</f>
        <v>5462.50</v>
      </c>
    </row>
    <row r="7" spans="1:6" ht="12.75">
      <c r="A7" s="10"/>
      <c r="B7" s="9" t="s">
        <v>13</v>
      </c>
      <c r="C7" s="10"/>
      <c r="D7" s="10"/>
      <c r="E7" s="10"/>
      <c r="F7" s="10"/>
    </row>
    <row r="8" spans="1:6" ht="12.75">
      <c r="A8" s="13"/>
      <c r="B8" s="14" t="s">
        <v>14</v>
      </c>
      <c r="C8" s="6"/>
      <c r="D8" s="6"/>
      <c r="E8" s="7"/>
      <c r="F8" s="15">
        <f>F6*0.01</f>
        <v>54.625</v>
      </c>
    </row>
    <row r="9" spans="1:6" ht="12.75">
      <c r="A9" s="13"/>
      <c r="B9" s="14" t="s">
        <v>15</v>
      </c>
      <c r="C9" s="6"/>
      <c r="D9" s="6"/>
      <c r="E9" s="7"/>
      <c r="F9" s="15">
        <f>SUM(F6:F8)</f>
        <v>5517.125</v>
      </c>
    </row>
    <row r="10" spans="1:6" ht="12.75">
      <c r="A10" s="13"/>
      <c r="B10" s="14" t="s">
        <v>16</v>
      </c>
      <c r="C10" s="6"/>
      <c r="D10" s="6"/>
      <c r="E10" s="7"/>
      <c r="F10" s="15">
        <f>F9*0.15</f>
        <v>827.56875000000002</v>
      </c>
    </row>
    <row r="11" spans="1:6" ht="12.75">
      <c r="A11" s="13"/>
      <c r="B11" s="14" t="s">
        <v>15</v>
      </c>
      <c r="C11" s="6"/>
      <c r="D11" s="6"/>
      <c r="E11" s="7"/>
      <c r="F11" s="15">
        <f>SUM(F9:F10)</f>
        <v>6344.6937500000004</v>
      </c>
    </row>
    <row r="12" spans="1:6" ht="12.75">
      <c r="A12" s="13"/>
      <c r="B12" s="14" t="s">
        <v>17</v>
      </c>
      <c r="C12" s="6"/>
      <c r="D12" s="6"/>
      <c r="E12" s="7"/>
      <c r="F12" s="15">
        <f>F11</f>
        <v>6344.6937500000004</v>
      </c>
    </row>
    <row r="13" spans="1:6" ht="12.75">
      <c r="A13" s="13"/>
      <c r="B13" s="14" t="s">
        <v>18</v>
      </c>
      <c r="C13" s="6"/>
      <c r="D13" s="6"/>
      <c r="E13" s="7"/>
      <c r="F13" s="16">
        <f>ROUND(F12/10,2)</f>
        <v>634.47</v>
      </c>
    </row>
    <row r="14" spans="1:6" ht="12.75">
      <c r="A14" s="13">
        <v>116</v>
      </c>
      <c r="B14" s="9" t="s">
        <v>19</v>
      </c>
      <c r="C14" s="13" t="s">
        <v>20</v>
      </c>
      <c r="D14" s="13">
        <v>0.12</v>
      </c>
      <c r="E14" s="13">
        <v>784</v>
      </c>
      <c r="F14" s="15">
        <f>D14*E14</f>
        <v>94.08</v>
      </c>
    </row>
    <row r="15" spans="1:6" ht="12.75">
      <c r="A15" s="11">
        <v>114</v>
      </c>
      <c r="B15" s="9" t="s">
        <v>21</v>
      </c>
      <c r="C15" s="11" t="s">
        <v>20</v>
      </c>
      <c r="D15" s="11">
        <v>0.25</v>
      </c>
      <c r="E15" s="11">
        <v>645</v>
      </c>
      <c r="F15" s="17">
        <f>D15*E15</f>
        <v>161.25</v>
      </c>
    </row>
    <row r="16" spans="1:6" ht="12.75">
      <c r="A16" s="10"/>
      <c r="B16" s="9" t="s">
        <v>22</v>
      </c>
      <c r="C16" s="10"/>
      <c r="D16" s="10"/>
      <c r="E16" s="10"/>
      <c r="F16" s="10"/>
    </row>
    <row r="17" spans="1:6" ht="12.75">
      <c r="A17" s="11">
        <v>114</v>
      </c>
      <c r="B17" s="8" t="s">
        <v>21</v>
      </c>
      <c r="C17" s="11" t="s">
        <v>20</v>
      </c>
      <c r="D17" s="11">
        <v>0.66</v>
      </c>
      <c r="E17" s="11">
        <v>645</v>
      </c>
      <c r="F17" s="17">
        <f>D17*E17</f>
        <v>425.70</v>
      </c>
    </row>
    <row r="18" spans="1:6" ht="12.75">
      <c r="A18" s="18">
        <v>115</v>
      </c>
      <c r="B18" s="19" t="s">
        <v>23</v>
      </c>
      <c r="C18" s="18" t="s">
        <v>20</v>
      </c>
      <c r="D18" s="18">
        <v>0.66</v>
      </c>
      <c r="E18" s="18">
        <v>645</v>
      </c>
      <c r="F18" s="20">
        <f>D18*E18</f>
        <v>425.70</v>
      </c>
    </row>
    <row r="19" spans="1:6" ht="12.75">
      <c r="A19" s="19"/>
      <c r="B19" s="21" t="s">
        <v>24</v>
      </c>
      <c r="C19" s="2"/>
      <c r="D19" s="2"/>
      <c r="E19" s="3"/>
      <c r="F19" s="20">
        <f>SUM(F14:F18)</f>
        <v>1106.73</v>
      </c>
    </row>
    <row r="20" spans="1:6" ht="12.75">
      <c r="A20" s="19"/>
      <c r="B20" s="21" t="s">
        <v>14</v>
      </c>
      <c r="C20" s="2"/>
      <c r="D20" s="2"/>
      <c r="E20" s="3"/>
      <c r="F20" s="20">
        <f>F19*0.01</f>
        <v>11.067299999999999</v>
      </c>
    </row>
    <row r="21" spans="1:6" ht="12.75">
      <c r="A21" s="19"/>
      <c r="B21" s="21" t="s">
        <v>15</v>
      </c>
      <c r="C21" s="2"/>
      <c r="D21" s="2"/>
      <c r="E21" s="3"/>
      <c r="F21" s="20">
        <f>SUM(F19:F20)</f>
        <v>1117.7973</v>
      </c>
    </row>
    <row r="22" spans="1:6" ht="12.75">
      <c r="A22" s="19"/>
      <c r="B22" s="21" t="s">
        <v>16</v>
      </c>
      <c r="C22" s="2"/>
      <c r="D22" s="2"/>
      <c r="E22" s="3"/>
      <c r="F22" s="20">
        <f>F21*0.15</f>
        <v>167.66959499999999</v>
      </c>
    </row>
    <row r="23" spans="1:6" ht="12.75">
      <c r="A23" s="19"/>
      <c r="B23" s="21" t="s">
        <v>15</v>
      </c>
      <c r="C23" s="2"/>
      <c r="D23" s="2"/>
      <c r="E23" s="3"/>
      <c r="F23" s="20">
        <f>SUM(F21:F22)</f>
        <v>1285.466895</v>
      </c>
    </row>
    <row r="24" spans="1:6" ht="12.75">
      <c r="A24" s="19"/>
      <c r="B24" s="21" t="s">
        <v>17</v>
      </c>
      <c r="C24" s="2"/>
      <c r="D24" s="2"/>
      <c r="E24" s="3"/>
      <c r="F24" s="20">
        <f>F23</f>
        <v>1285.466895</v>
      </c>
    </row>
    <row r="25" spans="1:6" ht="12.75">
      <c r="A25" s="19"/>
      <c r="B25" s="21" t="s">
        <v>18</v>
      </c>
      <c r="C25" s="2"/>
      <c r="D25" s="2"/>
      <c r="E25" s="3"/>
      <c r="F25" s="16">
        <f>ROUND(F24/10,2)</f>
        <v>128.55</v>
      </c>
    </row>
    <row r="26" spans="1:6" ht="12.75">
      <c r="A26" s="22" t="str">
        <f>CONCATENATE("Say ₹ ",F13," + ",F25," x Cost Index")</f>
        <v>Say ₹ 634.47 + 128.55 x Cost Index</v>
      </c>
      <c r="B26" s="2"/>
      <c r="C26" s="2"/>
      <c r="D26" s="2"/>
      <c r="E26" s="2"/>
      <c r="F26" s="3"/>
    </row>
    <row r="27" spans="1:6" ht="12.75">
      <c r="A27" s="23">
        <v>0</v>
      </c>
      <c r="B27" s="24" t="s">
        <v>25</v>
      </c>
      <c r="C27" s="6"/>
      <c r="D27" s="6"/>
      <c r="E27" s="6"/>
      <c r="F27" s="7"/>
    </row>
    <row r="28" spans="1:6" ht="12.75">
      <c r="A28" s="23" t="s">
        <v>2</v>
      </c>
      <c r="B28" s="23" t="s">
        <v>3</v>
      </c>
      <c r="C28" s="23" t="s">
        <v>4</v>
      </c>
      <c r="D28" s="23" t="s">
        <v>5</v>
      </c>
      <c r="E28" s="23" t="s">
        <v>6</v>
      </c>
      <c r="F28" s="23" t="s">
        <v>7</v>
      </c>
    </row>
    <row r="29" spans="1:6" ht="12.75">
      <c r="A29" s="25"/>
      <c r="B29" s="26" t="s">
        <v>8</v>
      </c>
      <c r="C29" s="25"/>
      <c r="D29" s="25"/>
      <c r="E29" s="25"/>
      <c r="F29" s="25"/>
    </row>
    <row r="30" spans="1:6" ht="12.75">
      <c r="A30" s="10"/>
      <c r="B30" s="26" t="s">
        <v>9</v>
      </c>
      <c r="C30" s="10"/>
      <c r="D30" s="10"/>
      <c r="E30" s="10"/>
      <c r="F30" s="10"/>
    </row>
    <row r="31" spans="1:6" ht="12.75">
      <c r="A31" s="27" t="s">
        <v>26</v>
      </c>
      <c r="B31" s="26" t="s">
        <v>27</v>
      </c>
      <c r="C31" s="27" t="s">
        <v>12</v>
      </c>
      <c r="D31" s="27">
        <v>11.50</v>
      </c>
      <c r="E31" s="27">
        <v>150</v>
      </c>
      <c r="F31" s="28">
        <f>D31*E31</f>
        <v>1725</v>
      </c>
    </row>
    <row r="32" spans="1:6" ht="12.75">
      <c r="A32" s="10"/>
      <c r="B32" s="26" t="s">
        <v>13</v>
      </c>
      <c r="C32" s="10"/>
      <c r="D32" s="10"/>
      <c r="E32" s="10"/>
      <c r="F32" s="10"/>
    </row>
    <row r="33" spans="1:6" ht="12.75">
      <c r="A33" s="29"/>
      <c r="B33" s="30" t="s">
        <v>14</v>
      </c>
      <c r="C33" s="6"/>
      <c r="D33" s="6"/>
      <c r="E33" s="7"/>
      <c r="F33" s="31">
        <f>F31*0.01</f>
        <v>17.25</v>
      </c>
    </row>
    <row r="34" spans="1:6" ht="12.75">
      <c r="A34" s="29"/>
      <c r="B34" s="30" t="s">
        <v>15</v>
      </c>
      <c r="C34" s="6"/>
      <c r="D34" s="6"/>
      <c r="E34" s="7"/>
      <c r="F34" s="31">
        <f>SUM(F31:F33)</f>
        <v>1742.25</v>
      </c>
    </row>
    <row r="35" spans="1:6" ht="12.75">
      <c r="A35" s="29"/>
      <c r="B35" s="30" t="s">
        <v>16</v>
      </c>
      <c r="C35" s="6"/>
      <c r="D35" s="6"/>
      <c r="E35" s="7"/>
      <c r="F35" s="31">
        <f>F34*0.15</f>
        <v>261.3375</v>
      </c>
    </row>
    <row r="36" spans="1:6" ht="12.75">
      <c r="A36" s="29"/>
      <c r="B36" s="30" t="s">
        <v>15</v>
      </c>
      <c r="C36" s="6"/>
      <c r="D36" s="6"/>
      <c r="E36" s="7"/>
      <c r="F36" s="31">
        <f>SUM(F34:F35)</f>
        <v>2003.5875000000001</v>
      </c>
    </row>
    <row r="37" spans="1:6" ht="12.75">
      <c r="A37" s="29"/>
      <c r="B37" s="30" t="s">
        <v>17</v>
      </c>
      <c r="C37" s="6"/>
      <c r="D37" s="6"/>
      <c r="E37" s="7"/>
      <c r="F37" s="31">
        <f>F36</f>
        <v>2003.5875000000001</v>
      </c>
    </row>
    <row r="38" spans="1:6" ht="12.75">
      <c r="A38" s="29"/>
      <c r="B38" s="30" t="s">
        <v>18</v>
      </c>
      <c r="C38" s="6"/>
      <c r="D38" s="6"/>
      <c r="E38" s="7"/>
      <c r="F38" s="32">
        <f>ROUND(F37/10,2)</f>
        <v>200.36</v>
      </c>
    </row>
    <row r="39" spans="1:6" ht="12.75">
      <c r="A39" s="29">
        <v>116</v>
      </c>
      <c r="B39" s="26" t="s">
        <v>19</v>
      </c>
      <c r="C39" s="29" t="s">
        <v>20</v>
      </c>
      <c r="D39" s="29">
        <v>0.12</v>
      </c>
      <c r="E39" s="29">
        <v>784</v>
      </c>
      <c r="F39" s="31">
        <f>D39*E39</f>
        <v>94.08</v>
      </c>
    </row>
    <row r="40" spans="1:6" ht="12.75">
      <c r="A40" s="27">
        <v>114</v>
      </c>
      <c r="B40" s="26" t="s">
        <v>21</v>
      </c>
      <c r="C40" s="27" t="s">
        <v>20</v>
      </c>
      <c r="D40" s="27">
        <v>0.25</v>
      </c>
      <c r="E40" s="27">
        <v>645</v>
      </c>
      <c r="F40" s="33">
        <f>D40*E40</f>
        <v>161.25</v>
      </c>
    </row>
    <row r="41" spans="1:6" ht="12.75">
      <c r="A41" s="10"/>
      <c r="B41" s="26" t="s">
        <v>22</v>
      </c>
      <c r="C41" s="10"/>
      <c r="D41" s="10"/>
      <c r="E41" s="10"/>
      <c r="F41" s="10"/>
    </row>
    <row r="42" spans="1:6" ht="12.75">
      <c r="A42" s="27">
        <v>114</v>
      </c>
      <c r="B42" s="25" t="s">
        <v>21</v>
      </c>
      <c r="C42" s="27" t="s">
        <v>20</v>
      </c>
      <c r="D42" s="27">
        <v>0.66</v>
      </c>
      <c r="E42" s="27">
        <v>645</v>
      </c>
      <c r="F42" s="33">
        <f>D42*E42</f>
        <v>425.70</v>
      </c>
    </row>
    <row r="43" spans="1:6" ht="12.75">
      <c r="A43" s="34">
        <v>115</v>
      </c>
      <c r="B43" s="35" t="s">
        <v>23</v>
      </c>
      <c r="C43" s="34" t="s">
        <v>20</v>
      </c>
      <c r="D43" s="34">
        <v>0.66</v>
      </c>
      <c r="E43" s="34">
        <v>645</v>
      </c>
      <c r="F43" s="36">
        <f>D43*E43</f>
        <v>425.70</v>
      </c>
    </row>
    <row r="44" spans="1:6" ht="12.75">
      <c r="A44" s="35"/>
      <c r="B44" s="37" t="s">
        <v>24</v>
      </c>
      <c r="C44" s="2"/>
      <c r="D44" s="2"/>
      <c r="E44" s="3"/>
      <c r="F44" s="36">
        <f>SUM(F39:F43)</f>
        <v>1106.73</v>
      </c>
    </row>
    <row r="45" spans="1:6" ht="12.75">
      <c r="A45" s="35"/>
      <c r="B45" s="37" t="s">
        <v>14</v>
      </c>
      <c r="C45" s="2"/>
      <c r="D45" s="2"/>
      <c r="E45" s="3"/>
      <c r="F45" s="36">
        <f>F44*0.01</f>
        <v>11.067299999999999</v>
      </c>
    </row>
    <row r="46" spans="1:6" ht="12.75">
      <c r="A46" s="35"/>
      <c r="B46" s="37" t="s">
        <v>15</v>
      </c>
      <c r="C46" s="2"/>
      <c r="D46" s="2"/>
      <c r="E46" s="3"/>
      <c r="F46" s="36">
        <f>SUM(F44:F45)</f>
        <v>1117.7973</v>
      </c>
    </row>
    <row r="47" spans="1:6" ht="12.75">
      <c r="A47" s="35"/>
      <c r="B47" s="37" t="s">
        <v>16</v>
      </c>
      <c r="C47" s="2"/>
      <c r="D47" s="2"/>
      <c r="E47" s="3"/>
      <c r="F47" s="36">
        <f>F46*0.15</f>
        <v>167.66959499999999</v>
      </c>
    </row>
    <row r="48" spans="1:6" ht="12.75">
      <c r="A48" s="35"/>
      <c r="B48" s="37" t="s">
        <v>15</v>
      </c>
      <c r="C48" s="2"/>
      <c r="D48" s="2"/>
      <c r="E48" s="3"/>
      <c r="F48" s="36">
        <f>SUM(F46:F47)</f>
        <v>1285.466895</v>
      </c>
    </row>
    <row r="49" spans="1:6" ht="12.75">
      <c r="A49" s="35"/>
      <c r="B49" s="37" t="s">
        <v>17</v>
      </c>
      <c r="C49" s="2"/>
      <c r="D49" s="2"/>
      <c r="E49" s="3"/>
      <c r="F49" s="36">
        <f>F48</f>
        <v>1285.466895</v>
      </c>
    </row>
    <row r="50" spans="1:6" ht="12.75">
      <c r="A50" s="35"/>
      <c r="B50" s="37" t="s">
        <v>18</v>
      </c>
      <c r="C50" s="2"/>
      <c r="D50" s="2"/>
      <c r="E50" s="3"/>
      <c r="F50" s="32">
        <f>ROUND(F49/10,2)</f>
        <v>128.55</v>
      </c>
    </row>
    <row r="51" spans="1:6" ht="12.75">
      <c r="A51" s="38" t="str">
        <f>CONCATENATE("Say ₹ ",F38," + ",F50," x Cost Index")</f>
        <v>Say ₹ 200.36 + 128.55 x Cost Index</v>
      </c>
      <c r="B51" s="2"/>
      <c r="C51" s="2"/>
      <c r="D51" s="2"/>
      <c r="E51" s="2"/>
      <c r="F51" s="3"/>
    </row>
  </sheetData>
  <mergeCells count="61">
    <mergeCell ref="A29:A30"/>
    <mergeCell ref="C29:C30"/>
    <mergeCell ref="D29:D30"/>
    <mergeCell ref="E29:E30"/>
    <mergeCell ref="F29:F30"/>
    <mergeCell ref="A31:A32"/>
    <mergeCell ref="F31:F32"/>
    <mergeCell ref="C31:C32"/>
    <mergeCell ref="B33:E33"/>
    <mergeCell ref="B34:E34"/>
    <mergeCell ref="B35:E35"/>
    <mergeCell ref="B36:E36"/>
    <mergeCell ref="B37:E37"/>
    <mergeCell ref="B38:E38"/>
    <mergeCell ref="B46:E46"/>
    <mergeCell ref="B47:E47"/>
    <mergeCell ref="B48:E48"/>
    <mergeCell ref="B49:E49"/>
    <mergeCell ref="B50:E50"/>
    <mergeCell ref="A51:F51"/>
    <mergeCell ref="A40:A41"/>
    <mergeCell ref="C40:C41"/>
    <mergeCell ref="D40:D41"/>
    <mergeCell ref="E40:E41"/>
    <mergeCell ref="F40:F41"/>
    <mergeCell ref="B44:E44"/>
    <mergeCell ref="B45:E45"/>
    <mergeCell ref="C4:C5"/>
    <mergeCell ref="C6:C7"/>
    <mergeCell ref="D6:D7"/>
    <mergeCell ref="E6:E7"/>
    <mergeCell ref="A1:F1"/>
    <mergeCell ref="B2:F2"/>
    <mergeCell ref="A4:A5"/>
    <mergeCell ref="D4:D5"/>
    <mergeCell ref="E4:E5"/>
    <mergeCell ref="F4:F5"/>
    <mergeCell ref="A6:A7"/>
    <mergeCell ref="F6:F7"/>
    <mergeCell ref="B8:E8"/>
    <mergeCell ref="B9:E9"/>
    <mergeCell ref="B10:E10"/>
    <mergeCell ref="B11:E11"/>
    <mergeCell ref="B12:E12"/>
    <mergeCell ref="B13:E13"/>
    <mergeCell ref="A15:A16"/>
    <mergeCell ref="C15:C16"/>
    <mergeCell ref="D15:D16"/>
    <mergeCell ref="E15:E16"/>
    <mergeCell ref="F15:F16"/>
    <mergeCell ref="B19:E19"/>
    <mergeCell ref="B20:E20"/>
    <mergeCell ref="B21:E21"/>
    <mergeCell ref="B22:E22"/>
    <mergeCell ref="B23:E23"/>
    <mergeCell ref="B24:E24"/>
    <mergeCell ref="B25:E25"/>
    <mergeCell ref="A26:F26"/>
    <mergeCell ref="B27:F27"/>
    <mergeCell ref="D31:D32"/>
    <mergeCell ref="E31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