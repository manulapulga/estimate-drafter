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<sst xmlns="http://schemas.openxmlformats.org/spreadsheetml/2006/main" count="1262" uniqueCount="122">
  <si>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</si>
  <si>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</si>
  <si>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</si>
  <si>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</si>
  <si>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</si>
  <si>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</si>
  <si>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</si>
  <si>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</si>
  <si>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</si>
  <si>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Providing and fixing PVC moulded fitting / accessories for Rigid PVC pipes, including jointing with PVC solvent cement-63 mm dia Socket /coupling (50.18.9.20.9)</t>
  </si>
  <si>
    <t>Header Unit</t>
  </si>
  <si>
    <t>no</t>
  </si>
  <si>
    <t>Header Quantity</t>
  </si>
  <si>
    <t>Header Details</t>
  </si>
  <si>
    <t>Details of cost for one no.</t>
  </si>
  <si>
    <t>Material</t>
  </si>
  <si>
    <t>M</t>
  </si>
  <si>
    <t>MR65</t>
  </si>
  <si>
    <t>PVC Socket/coupling 63 mm dia</t>
  </si>
  <si>
    <t>each</t>
  </si>
  <si>
    <t>M1</t>
  </si>
  <si>
    <t>TOTAL (Material)</t>
  </si>
  <si>
    <t>UNIT TOTAL</t>
  </si>
  <si>
    <t>Water Charge@ 1.00 %</t>
  </si>
  <si>
    <t>TOTAL</t>
  </si>
  <si>
    <t>Contractors Profit &amp; Overhead@ 15.00 %</t>
  </si>
  <si>
    <t>Tools &amp; Plants</t>
  </si>
  <si>
    <t>L</t>
  </si>
  <si>
    <t>Sundries
Adhesive, and sundries etc.</t>
  </si>
  <si>
    <t>L.S</t>
  </si>
  <si>
    <t>T1</t>
  </si>
  <si>
    <t>Sundries
Carriage and fixing charges</t>
  </si>
  <si>
    <t>T2</t>
  </si>
  <si>
    <t>TOTAL (Tools &amp; Plants)</t>
  </si>
  <si>
    <t>Providing and fixing PVC moulded fittings/ accessories for Rigid PVC pipes, including jointing with PVC solvent cement - 75 mm dia Socket /coupling (50.18.9.21.9)</t>
  </si>
  <si>
    <t>MR75</t>
  </si>
  <si>
    <t>PVC Socket/coupling 75 mm dia</t>
  </si>
  <si>
    <t>Providing and fixing PVC moulded fittings/accessories for Rigid PVC pipes,including jointing with PVC solvent cement - 110 mm dia Socket/ coupling (50.18.9.22.11)</t>
  </si>
  <si>
    <t>Details of cost for 1.00 no.</t>
  </si>
  <si>
    <t>MR87</t>
  </si>
  <si>
    <t>PVC Socket/coupling 110 mm dia</t>
  </si>
  <si>
    <t>Sundries
Adhesive, and sundries etc,</t>
  </si>
  <si>
    <t>Providing and fixing PVC moulded fittings/ accessories for Rigid PVC pipes, including jointing with PVC solvent cement - 63 mm dia Bend (50.18.9.20.4)</t>
  </si>
  <si>
    <t>MR60</t>
  </si>
  <si>
    <t>PVC bend 63 mm dia</t>
  </si>
  <si>
    <t>Providing and fixing PVC moulded fittings/ accessories for Rigid PVC pipes, including jointing with PVC solvent cement - 75 mm dia Bend (50.18.9.21.4)</t>
  </si>
  <si>
    <t>MR70</t>
  </si>
  <si>
    <t>PVC bend 75 mm dia</t>
  </si>
  <si>
    <t>Providing and fixing PVC moulded fittings/ accessories for Rigid PVC pipes, including jointing with PVC solvent cement- 110 mm dia Bend (50.18.9.22.4)</t>
  </si>
  <si>
    <t>MR80</t>
  </si>
  <si>
    <t>PVC bend 110 mm dia</t>
  </si>
  <si>
    <t>Providing and fixing PVC moulded fittings/ accessories for Rigid PVC pipes, including jointing with PVC solvent cement -63x63x63 mm dia Tee (50.18.9.20.5)</t>
  </si>
  <si>
    <t>MR61</t>
  </si>
  <si>
    <t>PVC Tee 63x63x63 mm dia</t>
  </si>
  <si>
    <t>Sundries
Adhesive, and sundries etc</t>
  </si>
  <si>
    <t>Providing and fixing PVC moulded fittings/ accessories for Rigid PVC pipes, including jointing with PVC solvent cement -75x75x75 mm dia Tee (50.18.9.21.5)</t>
  </si>
  <si>
    <t>MR71</t>
  </si>
  <si>
    <t>PVC Tee 75x75x75 mm dia</t>
  </si>
  <si>
    <t>Providing and fixing PVC moulded fittings/ accessories for Rigid PVC pipes including jointing with PVC solvent cement 110x110x110 mm dia Tee (50.18.9.22.5)</t>
  </si>
  <si>
    <t>Details of cost for 1 no.</t>
  </si>
  <si>
    <t>MR81</t>
  </si>
  <si>
    <t>PVC Tee 110x110x110mm dia</t>
  </si>
  <si>
    <t>Providing and fixing PVC moulded fittings/ accessories for Rigid PVC pipes, including jointing with PVC solvent cement -63x63x63 mm dia Door Tee (50.18.9.20.6)</t>
  </si>
  <si>
    <t>MR62</t>
  </si>
  <si>
    <t>PVC Door Tee 63x63x63 mm dia</t>
  </si>
  <si>
    <t>Providing and fixing PVC moulded fittings/ accessories for Rigid PVC pipes, including jointing with PVC solvent cement -75x75x75 mm dia Door Tee (50.18.9.21.6)</t>
  </si>
  <si>
    <t>MR72</t>
  </si>
  <si>
    <t>PVC Door Tee 75x75x75 mm dia</t>
  </si>
  <si>
    <t>Providing and fixing PVC moulded fittings/ accessories for Rigid PVC pipes including jointing with PVC solvent cement 110x110x110 mm dia Door Tee (50.18.9.22.6)</t>
  </si>
  <si>
    <t>MR82</t>
  </si>
  <si>
    <t>PVC Door Tee 110x110x110mm dia</t>
  </si>
  <si>
    <t>Providing and fixing PVC moulded fittings/ accessories for Rigid PVC pipes including jointing with PVC solvent cement 110x110x75 mm dia Door Tee (50.18.9.22.7)</t>
  </si>
  <si>
    <t>MR83</t>
  </si>
  <si>
    <t>PVC Door Tee 110x110x75mm dia</t>
  </si>
  <si>
    <t>Providing and fixing PVC moulded fittings/accessories for Rigid PVC pipes, including jointing with PVC solvent cement -63 mm dia Elbow (50.18.9.20.1)</t>
  </si>
  <si>
    <t>Details of cost for 1. no</t>
  </si>
  <si>
    <t>MR57</t>
  </si>
  <si>
    <t>PVC Elbow 63 mm dia</t>
  </si>
  <si>
    <t>Providing and fixing PVC moulded fittings/accessories for Rigid PVC pipes, including jointing with PVC solvent cement -63 mm dia 45 degree Elbow (50.18.9.20.2)</t>
  </si>
  <si>
    <t>MR58</t>
  </si>
  <si>
    <t>PVC 45 degree Elbow 63 mm dia</t>
  </si>
  <si>
    <t>Providing and fixing PVC moulded fittings/accessories for Rigid PVC pipes, including jointing with PVC solvent cement -63 mm dia Door Elbow (50.18.9.20.3)</t>
  </si>
  <si>
    <t>MR59</t>
  </si>
  <si>
    <t>PVC Door Elbow 63 mm dia</t>
  </si>
  <si>
    <t>Providing and fixing PVC moulded fittings/accessories for Rigid PVC pipes, including jointing with PVC solvent cement -75 mm dia Elbow (50.18.9.21.1)</t>
  </si>
  <si>
    <t>MR67</t>
  </si>
  <si>
    <t>PVC Elbow 75 mm dia</t>
  </si>
  <si>
    <t>Providing and fixing PVC moulded fittings/accessories for Rigid PVC pipes, including jointing with PVC solvent cement -75 mm dia 45 degree Elbow (50.18.9.21.2)</t>
  </si>
  <si>
    <t>MR68</t>
  </si>
  <si>
    <t>PVC 45 degree Elbow 75 mm dia</t>
  </si>
  <si>
    <t>Providing and fixing PVC moulded fittings/accessories for Rigid PVC pipes, including jointing with PVC solvent cement -75 mm dia Door Elbow (50.18.9.21.3)</t>
  </si>
  <si>
    <t>MR69</t>
  </si>
  <si>
    <t>PVC Door Elbow 75 mm dia</t>
  </si>
  <si>
    <t>Providing and fixing PVC moulded fittings / accessories for Rigid PVC pipes, including jointing with PVC solvent cement - 110 mm dia Elbow (50.18.9.22.1)</t>
  </si>
  <si>
    <t>MR77</t>
  </si>
  <si>
    <t>PVC Elbow 110 mm dia</t>
  </si>
  <si>
    <t>Providing and fixing PVC moulded fittings / accessories for Rigid PVC pipes, including jointing with PVC solvent cement - 110 mm dia 45 degree Elbow (50.18.9.22.2)</t>
  </si>
  <si>
    <t>MR78</t>
  </si>
  <si>
    <t>PVC 45 degree Elbow 110 mm dia</t>
  </si>
  <si>
    <t>Providing and fixing PVC moulded fittings / accessories for Rigid PVC pipes, including jointing with PVC solvent cement - 110 mm Door Elbow (50.18.9.22.3)</t>
  </si>
  <si>
    <t>MR79</t>
  </si>
  <si>
    <t>PVC Door Elbow 110 mm dia</t>
  </si>
  <si>
    <t>Providing and fixing PVC moulded fittings/ accessories for Rigid PVC pipes, including jointing with PVC solvent cement - 63 mm dia End cap (50.18.9.20.8)</t>
  </si>
  <si>
    <t>MR64</t>
  </si>
  <si>
    <t>PVC end cap 63 mm dia</t>
  </si>
  <si>
    <t>Providing and fixing PVC moulded fittings/ accessories for Rigid PVC pipes, including jointing with PVC solvent cement -75 mm dia End cap (50.18.9.21.8)</t>
  </si>
  <si>
    <t>MR74</t>
  </si>
  <si>
    <t>PVC end cap 75 mm dia</t>
  </si>
  <si>
    <t>Providing and fixing PVC moulded fittings/accessories for Rigid PVC pipes, including jointing with PVC solvent cement -110 mm dia End Cap (50.18.9.22.10)</t>
  </si>
  <si>
    <t>MR86</t>
  </si>
  <si>
    <t>PVC end cap 110 mm dia</t>
  </si>
  <si>
    <t>Grand Total</t>
  </si>
  <si>
    <t>₹65.81 no</t>
  </si>
  <si>
    <t>Providing and fixing PVC moulded fittings/ accessories for Rigid PVC pipes, including jointing with PVC solvent cement - 63x50 mm dia Reducer (50.18.9.20.10)</t>
  </si>
  <si>
    <t>MR66</t>
  </si>
  <si>
    <t>PVC Reducer 63x50 mm dia</t>
  </si>
  <si>
    <t>Providing and fixing PVC moulded fittings/ accessories for Rigid PVC pipes, including jointing with PVC solvent cement - 75x63 mm dia Reducer (50.18.9.21.10)</t>
  </si>
  <si>
    <t>MR76</t>
  </si>
  <si>
    <t>PVC Reducer 75x63 mm dia</t>
  </si>
  <si>
    <t>Providing and fixing PVC moulded fittings/ accessories for Rigid PVC pipes, including jointing with PVC solvent cement - 110x75 mm dia Reducer (50.18.9.22.12)</t>
  </si>
  <si>
    <t>MR88</t>
  </si>
  <si>
    <t>PVC Reducer 110x75 mm dia</t>
  </si>
</sst>
</file>

<file path=xl/styles.xml><?xml version="1.0" encoding="utf-8"?>
<styleSheet xmlns="http://schemas.openxmlformats.org/spreadsheetml/2006/main">
  <fonts count="8">
    <font>
      <sz val="10"/>
      <color theme="1"/>
      <name val="Arial"/>
      <family val="2"/>
    </font>
    <font>
      <sz val="12"/>
      <color rgb="FF212529"/>
      <name val="Cambria"/>
      <family val="2"/>
    </font>
    <font>
      <b/>
      <sz val="12"/>
      <color rgb="FF212529"/>
      <name val="Cambria"/>
      <family val="2"/>
    </font>
    <font>
      <b/>
      <sz val="12"/>
      <color theme="1"/>
      <name val="Cambria"/>
      <family val="2"/>
    </font>
    <font>
      <sz val="11"/>
      <color theme="1"/>
      <name val="Cambria"/>
      <family val="2"/>
    </font>
    <font>
      <b/>
      <sz val="12"/>
      <color rgb="FFFFFFFF"/>
      <name val="Cambria"/>
      <family val="2"/>
    </font>
    <font>
      <b/>
      <sz val="12"/>
      <color rgb="FF000000"/>
      <name val="Cambria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27BA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7">
    <xf numFmtId="0" fontId="0" fillId="0" borderId="0" xfId="0"/>
    <xf numFmtId="0" fontId="5" fillId="2" borderId="1" xfId="0" applyFont="1" applyBorder="1" applyAlignment="1">
      <alignment vertical="center" wrapText="1"/>
    </xf>
    <xf numFmtId="0" fontId="5" fillId="2" borderId="2" xfId="0" applyFont="1" applyBorder="1" applyAlignment="1">
      <alignment vertical="center" wrapText="1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5" fillId="2" borderId="6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1" fillId="4" borderId="6" xfId="0" applyFont="1" applyBorder="1" applyAlignment="1">
      <alignment horizontal="center" vertical="center" wrapText="1"/>
    </xf>
    <xf numFmtId="0" fontId="1" fillId="4" borderId="6" xfId="0" applyFont="1" applyBorder="1" applyAlignment="1">
      <alignment horizontal="right" vertical="center" wrapText="1"/>
    </xf>
    <xf numFmtId="0" fontId="1" fillId="4" borderId="2" xfId="0" applyFont="1" applyBorder="1" applyAlignment="1">
      <alignment horizontal="left" vertical="center" wrapText="1"/>
    </xf>
    <xf numFmtId="0" fontId="1" fillId="5" borderId="2" xfId="0" applyFont="1" applyBorder="1" applyAlignment="1">
      <alignment horizontal="left" vertical="center" wrapText="1"/>
    </xf>
    <xf numFmtId="0" fontId="1" fillId="5" borderId="6" xfId="0" applyFont="1" applyBorder="1" applyAlignment="1">
      <alignment horizontal="center" vertical="center" wrapText="1"/>
    </xf>
    <xf numFmtId="0" fontId="1" fillId="4" borderId="1" xfId="0" applyFont="1" applyBorder="1" applyAlignment="1">
      <alignment horizontal="center" vertical="center" wrapText="1"/>
    </xf>
    <xf numFmtId="0" fontId="2" fillId="4" borderId="2" xfId="0" applyFont="1" applyBorder="1" applyAlignment="1">
      <alignment horizontal="center" vertical="center" wrapText="1"/>
    </xf>
    <xf numFmtId="0" fontId="1" fillId="4" borderId="6" xfId="0" applyFont="1" applyBorder="1" applyAlignment="1">
      <alignment horizontal="left" vertical="center" wrapText="1"/>
    </xf>
    <xf numFmtId="0" fontId="1" fillId="4" borderId="2" xfId="0" applyFont="1" applyBorder="1" applyAlignment="1">
      <alignment horizontal="center" vertical="center" wrapText="1"/>
    </xf>
    <xf numFmtId="0" fontId="2" fillId="4" borderId="6" xfId="0" applyFont="1" applyBorder="1" applyAlignment="1">
      <alignment horizontal="right" vertical="center" wrapText="1"/>
    </xf>
    <xf numFmtId="0" fontId="6" fillId="5" borderId="2" xfId="0" applyFont="1" applyBorder="1" applyAlignment="1">
      <alignment horizontal="center" vertical="center" wrapText="1"/>
    </xf>
    <xf numFmtId="0" fontId="2" fillId="6" borderId="2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7" borderId="2" xfId="0" applyFont="1" applyBorder="1" applyAlignment="1">
      <alignment vertical="center" wrapText="1"/>
    </xf>
    <xf numFmtId="0" fontId="5" fillId="2" borderId="1" xfId="0" applyFont="1" applyBorder="1" applyAlignment="1">
      <alignment wrapText="1"/>
    </xf>
    <xf numFmtId="0" fontId="5" fillId="2" borderId="2" xfId="0" applyFont="1" applyBorder="1" applyAlignment="1">
      <alignment wrapText="1"/>
    </xf>
    <xf numFmtId="0" fontId="5" fillId="2" borderId="6" xfId="0" applyFont="1" applyBorder="1" applyAlignment="1">
      <alignment wrapText="1"/>
    </xf>
    <xf numFmtId="0" fontId="2" fillId="3" borderId="2" xfId="0" applyFont="1" applyBorder="1" applyAlignment="1">
      <alignment wrapText="1"/>
    </xf>
    <xf numFmtId="0" fontId="4" fillId="4" borderId="6" xfId="0" applyFont="1" applyBorder="1"/>
    <xf numFmtId="0" fontId="1" fillId="4" borderId="6" xfId="0" applyFont="1" applyBorder="1" applyAlignment="1">
      <alignment horizontal="center" wrapText="1"/>
    </xf>
    <xf numFmtId="0" fontId="1" fillId="4" borderId="6" xfId="0" applyFont="1" applyBorder="1" applyAlignment="1">
      <alignment horizontal="right" wrapText="1"/>
    </xf>
    <xf numFmtId="0" fontId="4" fillId="4" borderId="2" xfId="0" applyFont="1" applyBorder="1"/>
    <xf numFmtId="0" fontId="1" fillId="4" borderId="2" xfId="0" applyFont="1" applyBorder="1" applyAlignment="1">
      <alignment wrapText="1"/>
    </xf>
    <xf numFmtId="0" fontId="1" fillId="5" borderId="2" xfId="0" applyFont="1" applyBorder="1" applyAlignment="1">
      <alignment wrapText="1"/>
    </xf>
    <xf numFmtId="0" fontId="1" fillId="5" borderId="6" xfId="0" applyFont="1" applyBorder="1" applyAlignment="1">
      <alignment horizontal="center" wrapText="1"/>
    </xf>
    <xf numFmtId="0" fontId="4" fillId="4" borderId="1" xfId="0" applyFont="1" applyBorder="1"/>
    <xf numFmtId="0" fontId="1" fillId="4" borderId="1" xfId="0" applyFont="1" applyBorder="1" applyAlignment="1">
      <alignment horizontal="center" wrapText="1"/>
    </xf>
    <xf numFmtId="0" fontId="2" fillId="4" borderId="2" xfId="0" applyFont="1" applyBorder="1" applyAlignment="1">
      <alignment horizontal="center" wrapText="1"/>
    </xf>
    <xf numFmtId="0" fontId="1" fillId="4" borderId="6" xfId="0" applyFont="1" applyBorder="1" applyAlignment="1">
      <alignment wrapText="1"/>
    </xf>
    <xf numFmtId="0" fontId="1" fillId="4" borderId="2" xfId="0" applyFont="1" applyBorder="1" applyAlignment="1">
      <alignment horizontal="center" wrapText="1"/>
    </xf>
    <xf numFmtId="0" fontId="2" fillId="4" borderId="6" xfId="0" applyFont="1" applyBorder="1" applyAlignment="1">
      <alignment horizontal="right" wrapText="1"/>
    </xf>
    <xf numFmtId="0" fontId="3" fillId="5" borderId="2" xfId="0" applyFont="1" applyBorder="1" applyAlignment="1">
      <alignment horizontal="center" wrapText="1"/>
    </xf>
    <xf numFmtId="0" fontId="2" fillId="8" borderId="2" xfId="0" applyFont="1" applyFill="1" applyBorder="1" applyAlignment="1">
      <alignment vertical="center" wrapText="1"/>
    </xf>
    <xf numFmtId="0" fontId="1" fillId="5" borderId="2" xfId="0" applyFont="1" applyBorder="1" applyAlignment="1">
      <alignment horizontal="center" vertical="center" wrapText="1"/>
    </xf>
    <xf numFmtId="0" fontId="1" fillId="5" borderId="6" xfId="0" applyFont="1" applyBorder="1" applyAlignment="1">
      <alignment horizontal="left" vertical="center" wrapText="1"/>
    </xf>
    <xf numFmtId="0" fontId="1" fillId="5" borderId="6" xfId="0" applyFont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2509CE5-3297-4195-A0F5-398D934AB9A6}">
  <dimension ref="A1:G728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9">
        <v>1</v>
      </c>
      <c r="F4" s="10"/>
      <c r="G4" s="4"/>
    </row>
    <row r="5" spans="1:7" ht="12.75">
      <c r="A5" s="8" t="s">
        <v>13</v>
      </c>
      <c r="B5" s="10" t="s">
        <v>14</v>
      </c>
      <c r="C5" s="3"/>
      <c r="D5" s="3"/>
      <c r="E5" s="3"/>
      <c r="F5" s="3"/>
      <c r="G5" s="4"/>
    </row>
    <row r="6" spans="1:7" ht="12.75">
      <c r="A6" s="11" t="s">
        <v>15</v>
      </c>
      <c r="B6" s="3"/>
      <c r="C6" s="3"/>
      <c r="D6" s="3"/>
      <c r="E6" s="3"/>
      <c r="F6" s="4"/>
      <c r="G6" s="12" t="s">
        <v>16</v>
      </c>
    </row>
    <row r="7" spans="1:7" ht="12.75">
      <c r="A7" s="13"/>
      <c r="B7" s="13" t="s">
        <v>17</v>
      </c>
      <c r="C7" s="10" t="s">
        <v>18</v>
      </c>
      <c r="D7" s="3"/>
      <c r="E7" s="4"/>
      <c r="F7" s="10"/>
      <c r="G7" s="4"/>
    </row>
    <row r="8" spans="1:7" ht="12.75">
      <c r="A8" s="5"/>
      <c r="B8" s="5"/>
      <c r="C8" s="8" t="s">
        <v>19</v>
      </c>
      <c r="D8" s="9">
        <v>1</v>
      </c>
      <c r="E8" s="9">
        <v>24.50</v>
      </c>
      <c r="F8" s="9">
        <f>D8*E8</f>
        <v>24.50</v>
      </c>
      <c r="G8" s="8" t="s">
        <v>20</v>
      </c>
    </row>
    <row r="9" spans="1:7" ht="12.75">
      <c r="A9" s="14" t="s">
        <v>21</v>
      </c>
      <c r="B9" s="3"/>
      <c r="C9" s="4"/>
      <c r="D9" s="9">
        <v>1</v>
      </c>
      <c r="E9" s="15" t="s">
        <v>11</v>
      </c>
      <c r="F9" s="9">
        <f>F8</f>
        <v>24.50</v>
      </c>
      <c r="G9" s="8"/>
    </row>
    <row r="10" spans="1:7" ht="12.75">
      <c r="A10" s="14" t="s">
        <v>22</v>
      </c>
      <c r="B10" s="3"/>
      <c r="C10" s="4"/>
      <c r="D10" s="9">
        <v>1</v>
      </c>
      <c r="E10" s="15" t="s">
        <v>11</v>
      </c>
      <c r="F10" s="9">
        <f>F9/D9</f>
        <v>24.50</v>
      </c>
      <c r="G10" s="8"/>
    </row>
    <row r="11" spans="1:7" ht="12.75">
      <c r="A11" s="16" t="s">
        <v>23</v>
      </c>
      <c r="B11" s="3"/>
      <c r="C11" s="3"/>
      <c r="D11" s="4"/>
      <c r="E11" s="9"/>
      <c r="F11" s="9">
        <f>F10*1%</f>
        <v>0.245</v>
      </c>
      <c r="G11" s="8"/>
    </row>
    <row r="12" spans="1:7" ht="12.75">
      <c r="A12" s="16" t="s">
        <v>24</v>
      </c>
      <c r="B12" s="3"/>
      <c r="C12" s="3"/>
      <c r="D12" s="4"/>
      <c r="E12" s="15"/>
      <c r="F12" s="9">
        <f>F11+F10</f>
        <v>24.745</v>
      </c>
      <c r="G12" s="8"/>
    </row>
    <row r="13" spans="1:7" ht="12.75">
      <c r="A13" s="16" t="s">
        <v>25</v>
      </c>
      <c r="B13" s="3"/>
      <c r="C13" s="3"/>
      <c r="D13" s="4"/>
      <c r="E13" s="9"/>
      <c r="F13" s="9">
        <f>F12*15%</f>
        <v>3.7117499999999999</v>
      </c>
      <c r="G13" s="8"/>
    </row>
    <row r="14" spans="1:7" ht="12.75">
      <c r="A14" s="16" t="s">
        <v>24</v>
      </c>
      <c r="B14" s="3"/>
      <c r="C14" s="3"/>
      <c r="D14" s="4"/>
      <c r="E14" s="15"/>
      <c r="F14" s="17">
        <f>ROUND(F13+F12,2)</f>
        <v>28.46</v>
      </c>
      <c r="G14" s="8"/>
    </row>
    <row r="15" spans="1:7" ht="12.75">
      <c r="A15" s="11" t="s">
        <v>26</v>
      </c>
      <c r="B15" s="3"/>
      <c r="C15" s="3"/>
      <c r="D15" s="3"/>
      <c r="E15" s="3"/>
      <c r="F15" s="4"/>
      <c r="G15" s="12" t="s">
        <v>27</v>
      </c>
    </row>
    <row r="16" spans="1:7" ht="12.75">
      <c r="A16" s="13">
        <v>9999</v>
      </c>
      <c r="B16" s="13"/>
      <c r="C16" s="10" t="s">
        <v>28</v>
      </c>
      <c r="D16" s="3"/>
      <c r="E16" s="4"/>
      <c r="F16" s="10"/>
      <c r="G16" s="4"/>
    </row>
    <row r="17" spans="1:7" ht="12.75">
      <c r="A17" s="5"/>
      <c r="B17" s="5"/>
      <c r="C17" s="8" t="s">
        <v>29</v>
      </c>
      <c r="D17" s="9">
        <v>2.73</v>
      </c>
      <c r="E17" s="9">
        <v>2.12</v>
      </c>
      <c r="F17" s="9">
        <f>D17*E17</f>
        <v>5.7876000000000003</v>
      </c>
      <c r="G17" s="8" t="s">
        <v>30</v>
      </c>
    </row>
    <row r="18" spans="1:7" ht="12.75">
      <c r="A18" s="13">
        <v>9999</v>
      </c>
      <c r="B18" s="13"/>
      <c r="C18" s="10" t="s">
        <v>31</v>
      </c>
      <c r="D18" s="3"/>
      <c r="E18" s="4"/>
      <c r="F18" s="10"/>
      <c r="G18" s="4"/>
    </row>
    <row r="19" spans="1:7" ht="12.75">
      <c r="A19" s="5"/>
      <c r="B19" s="5"/>
      <c r="C19" s="8" t="s">
        <v>29</v>
      </c>
      <c r="D19" s="9">
        <v>9.36</v>
      </c>
      <c r="E19" s="9">
        <v>2.12</v>
      </c>
      <c r="F19" s="9">
        <f>D19*E19</f>
        <v>19.8432</v>
      </c>
      <c r="G19" s="8" t="s">
        <v>32</v>
      </c>
    </row>
    <row r="20" spans="1:7" ht="12.75">
      <c r="A20" s="14" t="s">
        <v>33</v>
      </c>
      <c r="B20" s="3"/>
      <c r="C20" s="4"/>
      <c r="D20" s="9">
        <v>1</v>
      </c>
      <c r="E20" s="15" t="s">
        <v>11</v>
      </c>
      <c r="F20" s="9">
        <f>F19+F17</f>
        <v>25.630800000000001</v>
      </c>
      <c r="G20" s="15"/>
    </row>
    <row r="21" spans="1:7" ht="12.75">
      <c r="A21" s="14" t="s">
        <v>22</v>
      </c>
      <c r="B21" s="3"/>
      <c r="C21" s="4"/>
      <c r="D21" s="9">
        <v>1</v>
      </c>
      <c r="E21" s="15" t="s">
        <v>11</v>
      </c>
      <c r="F21" s="9">
        <f>F20/D20</f>
        <v>25.630800000000001</v>
      </c>
      <c r="G21" s="15"/>
    </row>
    <row r="22" spans="1:7" ht="12.75">
      <c r="A22" s="16" t="s">
        <v>23</v>
      </c>
      <c r="B22" s="3"/>
      <c r="C22" s="3"/>
      <c r="D22" s="4"/>
      <c r="E22" s="9"/>
      <c r="F22" s="9">
        <f>F21*1%</f>
        <v>0.25630799999999998</v>
      </c>
      <c r="G22" s="15"/>
    </row>
    <row r="23" spans="1:7" ht="12.75">
      <c r="A23" s="16" t="s">
        <v>24</v>
      </c>
      <c r="B23" s="3"/>
      <c r="C23" s="3"/>
      <c r="D23" s="4"/>
      <c r="E23" s="15"/>
      <c r="F23" s="9">
        <f>F22+F21</f>
        <v>25.887108000000001</v>
      </c>
      <c r="G23" s="15"/>
    </row>
    <row r="24" spans="1:7" ht="12.75">
      <c r="A24" s="16" t="s">
        <v>25</v>
      </c>
      <c r="B24" s="3"/>
      <c r="C24" s="3"/>
      <c r="D24" s="4"/>
      <c r="E24" s="9"/>
      <c r="F24" s="9">
        <f>F23*15%</f>
        <v>3.8830662</v>
      </c>
      <c r="G24" s="15"/>
    </row>
    <row r="25" spans="1:7" ht="12.75">
      <c r="A25" s="16" t="s">
        <v>24</v>
      </c>
      <c r="B25" s="3"/>
      <c r="C25" s="3"/>
      <c r="D25" s="4"/>
      <c r="E25" s="15"/>
      <c r="F25" s="17">
        <f>ROUND(F24+F23,2)</f>
        <v>29.77</v>
      </c>
      <c r="G25" s="15"/>
    </row>
    <row r="26" spans="1:7" ht="12.75">
      <c r="A26" s="18" t="str">
        <f>CONCATENATE("Say ₹ ",F14," + ",F25," x Cost Index")</f>
        <v>Say ₹ 28.46 + 29.77 x Cost Index</v>
      </c>
      <c r="B26" s="3"/>
      <c r="C26" s="3"/>
      <c r="D26" s="3"/>
      <c r="E26" s="3"/>
      <c r="F26" s="3"/>
      <c r="G26" s="4"/>
    </row>
    <row r="27" spans="1:7" ht="12.75">
      <c r="A27" s="1" t="s">
        <v>0</v>
      </c>
      <c r="B27" s="1" t="s">
        <v>1</v>
      </c>
      <c r="C27" s="2" t="s">
        <v>2</v>
      </c>
      <c r="D27" s="3"/>
      <c r="E27" s="4"/>
      <c r="F27" s="2" t="s">
        <v>3</v>
      </c>
      <c r="G27" s="4"/>
    </row>
    <row r="28" spans="1:7" ht="12.75">
      <c r="A28" s="5"/>
      <c r="B28" s="5"/>
      <c r="C28" s="6" t="s">
        <v>4</v>
      </c>
      <c r="D28" s="6" t="s">
        <v>5</v>
      </c>
      <c r="E28" s="6" t="s">
        <v>6</v>
      </c>
      <c r="F28" s="6" t="s">
        <v>7</v>
      </c>
      <c r="G28" s="6" t="s">
        <v>8</v>
      </c>
    </row>
    <row r="29" spans="1:7" ht="12.75">
      <c r="A29" s="7" t="s">
        <v>34</v>
      </c>
      <c r="B29" s="3"/>
      <c r="C29" s="3"/>
      <c r="D29" s="3"/>
      <c r="E29" s="3"/>
      <c r="F29" s="3"/>
      <c r="G29" s="4"/>
    </row>
    <row r="30" spans="1:7" ht="12.75">
      <c r="A30" s="8"/>
      <c r="B30" s="8" t="s">
        <v>10</v>
      </c>
      <c r="C30" s="8" t="s">
        <v>11</v>
      </c>
      <c r="D30" s="8" t="s">
        <v>12</v>
      </c>
      <c r="E30" s="9">
        <v>1</v>
      </c>
      <c r="F30" s="10"/>
      <c r="G30" s="4"/>
    </row>
    <row r="31" spans="1:7" ht="12.75">
      <c r="A31" s="8" t="s">
        <v>13</v>
      </c>
      <c r="B31" s="10" t="s">
        <v>14</v>
      </c>
      <c r="C31" s="3"/>
      <c r="D31" s="3"/>
      <c r="E31" s="3"/>
      <c r="F31" s="3"/>
      <c r="G31" s="4"/>
    </row>
    <row r="32" spans="1:7" ht="12.75">
      <c r="A32" s="11" t="s">
        <v>15</v>
      </c>
      <c r="B32" s="3"/>
      <c r="C32" s="3"/>
      <c r="D32" s="3"/>
      <c r="E32" s="3"/>
      <c r="F32" s="4"/>
      <c r="G32" s="12" t="s">
        <v>16</v>
      </c>
    </row>
    <row r="33" spans="1:7" ht="12.75">
      <c r="A33" s="13"/>
      <c r="B33" s="13" t="s">
        <v>35</v>
      </c>
      <c r="C33" s="10" t="s">
        <v>36</v>
      </c>
      <c r="D33" s="3"/>
      <c r="E33" s="4"/>
      <c r="F33" s="10"/>
      <c r="G33" s="4"/>
    </row>
    <row r="34" spans="1:7" ht="12.75">
      <c r="A34" s="5"/>
      <c r="B34" s="5"/>
      <c r="C34" s="8" t="s">
        <v>19</v>
      </c>
      <c r="D34" s="9">
        <v>1</v>
      </c>
      <c r="E34" s="9">
        <v>30</v>
      </c>
      <c r="F34" s="9">
        <f>D34*E34</f>
        <v>30</v>
      </c>
      <c r="G34" s="8" t="s">
        <v>20</v>
      </c>
    </row>
    <row r="35" spans="1:7" ht="12.75">
      <c r="A35" s="14" t="s">
        <v>21</v>
      </c>
      <c r="B35" s="3"/>
      <c r="C35" s="4"/>
      <c r="D35" s="9">
        <v>1</v>
      </c>
      <c r="E35" s="15" t="s">
        <v>11</v>
      </c>
      <c r="F35" s="9">
        <f>F34</f>
        <v>30</v>
      </c>
      <c r="G35" s="8"/>
    </row>
    <row r="36" spans="1:7" ht="12.75">
      <c r="A36" s="14" t="s">
        <v>22</v>
      </c>
      <c r="B36" s="3"/>
      <c r="C36" s="4"/>
      <c r="D36" s="9">
        <v>1</v>
      </c>
      <c r="E36" s="15" t="s">
        <v>11</v>
      </c>
      <c r="F36" s="9">
        <f>F35/D35</f>
        <v>30</v>
      </c>
      <c r="G36" s="8"/>
    </row>
    <row r="37" spans="1:7" ht="12.75">
      <c r="A37" s="16" t="s">
        <v>23</v>
      </c>
      <c r="B37" s="3"/>
      <c r="C37" s="3"/>
      <c r="D37" s="4"/>
      <c r="E37" s="9"/>
      <c r="F37" s="9">
        <f>F36*1%</f>
        <v>0.30</v>
      </c>
      <c r="G37" s="8"/>
    </row>
    <row r="38" spans="1:7" ht="12.75">
      <c r="A38" s="16" t="s">
        <v>24</v>
      </c>
      <c r="B38" s="3"/>
      <c r="C38" s="3"/>
      <c r="D38" s="4"/>
      <c r="E38" s="15"/>
      <c r="F38" s="9">
        <f>F37+F36</f>
        <v>30.30</v>
      </c>
      <c r="G38" s="8"/>
    </row>
    <row r="39" spans="1:7" ht="12.75">
      <c r="A39" s="16" t="s">
        <v>25</v>
      </c>
      <c r="B39" s="3"/>
      <c r="C39" s="3"/>
      <c r="D39" s="4"/>
      <c r="E39" s="9"/>
      <c r="F39" s="9">
        <f>F38*15%</f>
        <v>4.545</v>
      </c>
      <c r="G39" s="8"/>
    </row>
    <row r="40" spans="1:7" ht="12.75">
      <c r="A40" s="16" t="s">
        <v>24</v>
      </c>
      <c r="B40" s="3"/>
      <c r="C40" s="3"/>
      <c r="D40" s="4"/>
      <c r="E40" s="15"/>
      <c r="F40" s="17">
        <f>ROUND(F39+F38,2)</f>
        <v>34.85</v>
      </c>
      <c r="G40" s="8"/>
    </row>
    <row r="41" spans="1:7" ht="12.75">
      <c r="A41" s="11" t="s">
        <v>26</v>
      </c>
      <c r="B41" s="3"/>
      <c r="C41" s="3"/>
      <c r="D41" s="3"/>
      <c r="E41" s="3"/>
      <c r="F41" s="4"/>
      <c r="G41" s="12" t="s">
        <v>27</v>
      </c>
    </row>
    <row r="42" spans="1:7" ht="12.75">
      <c r="A42" s="13">
        <v>9999</v>
      </c>
      <c r="B42" s="13"/>
      <c r="C42" s="10" t="s">
        <v>28</v>
      </c>
      <c r="D42" s="3"/>
      <c r="E42" s="4"/>
      <c r="F42" s="10"/>
      <c r="G42" s="4"/>
    </row>
    <row r="43" spans="1:7" ht="12.75">
      <c r="A43" s="5"/>
      <c r="B43" s="5"/>
      <c r="C43" s="8" t="s">
        <v>29</v>
      </c>
      <c r="D43" s="9">
        <v>2.73</v>
      </c>
      <c r="E43" s="9">
        <v>2.12</v>
      </c>
      <c r="F43" s="9">
        <f>E43*D43</f>
        <v>5.7876000000000003</v>
      </c>
      <c r="G43" s="8" t="s">
        <v>30</v>
      </c>
    </row>
    <row r="44" spans="1:7" ht="12.75">
      <c r="A44" s="13">
        <v>9999</v>
      </c>
      <c r="B44" s="13"/>
      <c r="C44" s="10" t="s">
        <v>31</v>
      </c>
      <c r="D44" s="3"/>
      <c r="E44" s="4"/>
      <c r="F44" s="10"/>
      <c r="G44" s="4"/>
    </row>
    <row r="45" spans="1:7" ht="12.75">
      <c r="A45" s="5"/>
      <c r="B45" s="5"/>
      <c r="C45" s="8" t="s">
        <v>29</v>
      </c>
      <c r="D45" s="9">
        <v>9.36</v>
      </c>
      <c r="E45" s="9">
        <v>2.12</v>
      </c>
      <c r="F45" s="9">
        <f>D45*E45</f>
        <v>19.8432</v>
      </c>
      <c r="G45" s="8" t="s">
        <v>32</v>
      </c>
    </row>
    <row r="46" spans="1:7" ht="12.75">
      <c r="A46" s="14" t="s">
        <v>33</v>
      </c>
      <c r="B46" s="3"/>
      <c r="C46" s="4"/>
      <c r="D46" s="9">
        <v>1</v>
      </c>
      <c r="E46" s="15" t="s">
        <v>11</v>
      </c>
      <c r="F46" s="9">
        <f>F45+F43</f>
        <v>25.630800000000001</v>
      </c>
      <c r="G46" s="15"/>
    </row>
    <row r="47" spans="1:7" ht="12.75">
      <c r="A47" s="14" t="s">
        <v>22</v>
      </c>
      <c r="B47" s="3"/>
      <c r="C47" s="4"/>
      <c r="D47" s="9">
        <v>1</v>
      </c>
      <c r="E47" s="15" t="s">
        <v>11</v>
      </c>
      <c r="F47" s="9">
        <f>F46/D46</f>
        <v>25.630800000000001</v>
      </c>
      <c r="G47" s="15"/>
    </row>
    <row r="48" spans="1:7" ht="12.75">
      <c r="A48" s="16" t="s">
        <v>23</v>
      </c>
      <c r="B48" s="3"/>
      <c r="C48" s="3"/>
      <c r="D48" s="4"/>
      <c r="E48" s="9"/>
      <c r="F48" s="9">
        <f>F47*1%</f>
        <v>0.25630799999999998</v>
      </c>
      <c r="G48" s="15"/>
    </row>
    <row r="49" spans="1:7" ht="12.75">
      <c r="A49" s="16" t="s">
        <v>24</v>
      </c>
      <c r="B49" s="3"/>
      <c r="C49" s="3"/>
      <c r="D49" s="4"/>
      <c r="E49" s="15"/>
      <c r="F49" s="9">
        <f>F48+F47</f>
        <v>25.887108000000001</v>
      </c>
      <c r="G49" s="15"/>
    </row>
    <row r="50" spans="1:7" ht="12.75">
      <c r="A50" s="16" t="s">
        <v>25</v>
      </c>
      <c r="B50" s="3"/>
      <c r="C50" s="3"/>
      <c r="D50" s="4"/>
      <c r="E50" s="9"/>
      <c r="F50" s="9">
        <f>F49*15%</f>
        <v>3.8830662</v>
      </c>
      <c r="G50" s="15"/>
    </row>
    <row r="51" spans="1:7" ht="12.75">
      <c r="A51" s="16" t="s">
        <v>24</v>
      </c>
      <c r="B51" s="3"/>
      <c r="C51" s="3"/>
      <c r="D51" s="4"/>
      <c r="E51" s="15"/>
      <c r="F51" s="17">
        <f>ROUND(F50+F49,2)</f>
        <v>29.77</v>
      </c>
      <c r="G51" s="15"/>
    </row>
    <row r="52" spans="1:7" ht="12.75">
      <c r="A52" s="18" t="str">
        <f>CONCATENATE("Say ₹ ",F40," + ",F51," x Cost Index")</f>
        <v>Say ₹ 34.85 + 29.77 x Cost Index</v>
      </c>
      <c r="B52" s="3"/>
      <c r="C52" s="3"/>
      <c r="D52" s="3"/>
      <c r="E52" s="3"/>
      <c r="F52" s="3"/>
      <c r="G52" s="4"/>
    </row>
    <row r="53" spans="1:7" ht="12.75">
      <c r="A53" s="1" t="s">
        <v>0</v>
      </c>
      <c r="B53" s="1" t="s">
        <v>1</v>
      </c>
      <c r="C53" s="2" t="s">
        <v>2</v>
      </c>
      <c r="D53" s="3"/>
      <c r="E53" s="4"/>
      <c r="F53" s="2" t="s">
        <v>3</v>
      </c>
      <c r="G53" s="4"/>
    </row>
    <row r="54" spans="1:7" ht="12.75">
      <c r="A54" s="5"/>
      <c r="B54" s="5"/>
      <c r="C54" s="6" t="s">
        <v>4</v>
      </c>
      <c r="D54" s="6" t="s">
        <v>5</v>
      </c>
      <c r="E54" s="6" t="s">
        <v>6</v>
      </c>
      <c r="F54" s="6" t="s">
        <v>7</v>
      </c>
      <c r="G54" s="6" t="s">
        <v>8</v>
      </c>
    </row>
    <row r="55" spans="1:7" ht="12.75">
      <c r="A55" s="7" t="s">
        <v>37</v>
      </c>
      <c r="B55" s="3"/>
      <c r="C55" s="3"/>
      <c r="D55" s="3"/>
      <c r="E55" s="3"/>
      <c r="F55" s="3"/>
      <c r="G55" s="4"/>
    </row>
    <row r="56" spans="1:7" ht="12.75">
      <c r="A56" s="8"/>
      <c r="B56" s="8" t="s">
        <v>10</v>
      </c>
      <c r="C56" s="8" t="s">
        <v>11</v>
      </c>
      <c r="D56" s="8" t="s">
        <v>12</v>
      </c>
      <c r="E56" s="9">
        <v>1</v>
      </c>
      <c r="F56" s="10"/>
      <c r="G56" s="4"/>
    </row>
    <row r="57" spans="1:7" ht="12.75">
      <c r="A57" s="8" t="s">
        <v>13</v>
      </c>
      <c r="B57" s="10" t="s">
        <v>38</v>
      </c>
      <c r="C57" s="3"/>
      <c r="D57" s="3"/>
      <c r="E57" s="3"/>
      <c r="F57" s="3"/>
      <c r="G57" s="4"/>
    </row>
    <row r="58" spans="1:7" ht="12.75">
      <c r="A58" s="11" t="s">
        <v>15</v>
      </c>
      <c r="B58" s="3"/>
      <c r="C58" s="3"/>
      <c r="D58" s="3"/>
      <c r="E58" s="3"/>
      <c r="F58" s="4"/>
      <c r="G58" s="12" t="s">
        <v>16</v>
      </c>
    </row>
    <row r="59" spans="1:7" ht="12.75">
      <c r="A59" s="13"/>
      <c r="B59" s="13" t="s">
        <v>39</v>
      </c>
      <c r="C59" s="10" t="s">
        <v>40</v>
      </c>
      <c r="D59" s="3"/>
      <c r="E59" s="4"/>
      <c r="F59" s="10"/>
      <c r="G59" s="4"/>
    </row>
    <row r="60" spans="1:7" ht="12.75">
      <c r="A60" s="5"/>
      <c r="B60" s="5"/>
      <c r="C60" s="8" t="s">
        <v>19</v>
      </c>
      <c r="D60" s="9">
        <v>1</v>
      </c>
      <c r="E60" s="9">
        <v>59</v>
      </c>
      <c r="F60" s="9">
        <f>D60*E60</f>
        <v>59</v>
      </c>
      <c r="G60" s="8" t="s">
        <v>20</v>
      </c>
    </row>
    <row r="61" spans="1:7" ht="12.75">
      <c r="A61" s="14" t="s">
        <v>21</v>
      </c>
      <c r="B61" s="3"/>
      <c r="C61" s="4"/>
      <c r="D61" s="9">
        <v>1</v>
      </c>
      <c r="E61" s="15" t="s">
        <v>11</v>
      </c>
      <c r="F61" s="9">
        <f>F60</f>
        <v>59</v>
      </c>
      <c r="G61" s="8"/>
    </row>
    <row r="62" spans="1:7" ht="12.75">
      <c r="A62" s="14" t="s">
        <v>22</v>
      </c>
      <c r="B62" s="3"/>
      <c r="C62" s="4"/>
      <c r="D62" s="9">
        <v>1</v>
      </c>
      <c r="E62" s="15" t="s">
        <v>11</v>
      </c>
      <c r="F62" s="9">
        <f>F61/D61</f>
        <v>59</v>
      </c>
      <c r="G62" s="8"/>
    </row>
    <row r="63" spans="1:7" ht="12.75">
      <c r="A63" s="16" t="s">
        <v>23</v>
      </c>
      <c r="B63" s="3"/>
      <c r="C63" s="3"/>
      <c r="D63" s="4"/>
      <c r="E63" s="9"/>
      <c r="F63" s="9">
        <f>F62*1%</f>
        <v>0.59</v>
      </c>
      <c r="G63" s="8"/>
    </row>
    <row r="64" spans="1:7" ht="12.75">
      <c r="A64" s="16" t="s">
        <v>24</v>
      </c>
      <c r="B64" s="3"/>
      <c r="C64" s="3"/>
      <c r="D64" s="4"/>
      <c r="E64" s="15"/>
      <c r="F64" s="9">
        <f>F63+F62</f>
        <v>59.59</v>
      </c>
      <c r="G64" s="8"/>
    </row>
    <row r="65" spans="1:7" ht="12.75">
      <c r="A65" s="16" t="s">
        <v>25</v>
      </c>
      <c r="B65" s="3"/>
      <c r="C65" s="3"/>
      <c r="D65" s="4"/>
      <c r="E65" s="9"/>
      <c r="F65" s="9">
        <f>F64*15%</f>
        <v>8.9384999999999994</v>
      </c>
      <c r="G65" s="8"/>
    </row>
    <row r="66" spans="1:7" ht="12.75">
      <c r="A66" s="16" t="s">
        <v>24</v>
      </c>
      <c r="B66" s="3"/>
      <c r="C66" s="3"/>
      <c r="D66" s="4"/>
      <c r="E66" s="15"/>
      <c r="F66" s="17">
        <f>ROUND(F65+F64,2)</f>
        <v>68.53</v>
      </c>
      <c r="G66" s="8"/>
    </row>
    <row r="67" spans="1:7" ht="12.75">
      <c r="A67" s="11" t="s">
        <v>26</v>
      </c>
      <c r="B67" s="3"/>
      <c r="C67" s="3"/>
      <c r="D67" s="3"/>
      <c r="E67" s="3"/>
      <c r="F67" s="4"/>
      <c r="G67" s="12" t="s">
        <v>27</v>
      </c>
    </row>
    <row r="68" spans="1:7" ht="12.75">
      <c r="A68" s="13">
        <v>9999</v>
      </c>
      <c r="B68" s="13"/>
      <c r="C68" s="10" t="s">
        <v>41</v>
      </c>
      <c r="D68" s="3"/>
      <c r="E68" s="4"/>
      <c r="F68" s="10"/>
      <c r="G68" s="4"/>
    </row>
    <row r="69" spans="1:7" ht="12.75">
      <c r="A69" s="5"/>
      <c r="B69" s="5"/>
      <c r="C69" s="8" t="s">
        <v>29</v>
      </c>
      <c r="D69" s="9">
        <v>2.73</v>
      </c>
      <c r="E69" s="9">
        <v>2.12</v>
      </c>
      <c r="F69" s="9">
        <f>E69*D69</f>
        <v>5.7876000000000003</v>
      </c>
      <c r="G69" s="8" t="s">
        <v>30</v>
      </c>
    </row>
    <row r="70" spans="1:7" ht="12.75">
      <c r="A70" s="13">
        <v>9999</v>
      </c>
      <c r="B70" s="13"/>
      <c r="C70" s="10" t="s">
        <v>31</v>
      </c>
      <c r="D70" s="3"/>
      <c r="E70" s="4"/>
      <c r="F70" s="10"/>
      <c r="G70" s="4"/>
    </row>
    <row r="71" spans="1:7" ht="12.75">
      <c r="A71" s="5"/>
      <c r="B71" s="5"/>
      <c r="C71" s="8" t="s">
        <v>29</v>
      </c>
      <c r="D71" s="9">
        <v>10.79</v>
      </c>
      <c r="E71" s="9">
        <v>2.12</v>
      </c>
      <c r="F71" s="9">
        <f>D71*E71</f>
        <v>22.8748</v>
      </c>
      <c r="G71" s="8" t="s">
        <v>32</v>
      </c>
    </row>
    <row r="72" spans="1:7" ht="12.75">
      <c r="A72" s="14" t="s">
        <v>33</v>
      </c>
      <c r="B72" s="3"/>
      <c r="C72" s="4"/>
      <c r="D72" s="9">
        <v>1</v>
      </c>
      <c r="E72" s="15" t="s">
        <v>11</v>
      </c>
      <c r="F72" s="9">
        <f>F71+F69</f>
        <v>28.662400000000002</v>
      </c>
      <c r="G72" s="15"/>
    </row>
    <row r="73" spans="1:7" ht="12.75">
      <c r="A73" s="14" t="s">
        <v>22</v>
      </c>
      <c r="B73" s="3"/>
      <c r="C73" s="4"/>
      <c r="D73" s="9">
        <v>1</v>
      </c>
      <c r="E73" s="15" t="s">
        <v>11</v>
      </c>
      <c r="F73" s="9">
        <f>F72/D72</f>
        <v>28.662400000000002</v>
      </c>
      <c r="G73" s="15"/>
    </row>
    <row r="74" spans="1:7" ht="12.75">
      <c r="A74" s="16" t="s">
        <v>23</v>
      </c>
      <c r="B74" s="3"/>
      <c r="C74" s="3"/>
      <c r="D74" s="4"/>
      <c r="E74" s="9"/>
      <c r="F74" s="9">
        <f>F73*1%</f>
        <v>0.28662399999999999</v>
      </c>
      <c r="G74" s="15"/>
    </row>
    <row r="75" spans="1:7" ht="12.75">
      <c r="A75" s="16" t="s">
        <v>24</v>
      </c>
      <c r="B75" s="3"/>
      <c r="C75" s="3"/>
      <c r="D75" s="4"/>
      <c r="E75" s="15"/>
      <c r="F75" s="9">
        <f>F74+F73</f>
        <v>28.949024000000001</v>
      </c>
      <c r="G75" s="15"/>
    </row>
    <row r="76" spans="1:7" ht="12.75">
      <c r="A76" s="16" t="s">
        <v>25</v>
      </c>
      <c r="B76" s="3"/>
      <c r="C76" s="3"/>
      <c r="D76" s="4"/>
      <c r="E76" s="9"/>
      <c r="F76" s="9">
        <f>F75*15%</f>
        <v>4.3423536</v>
      </c>
      <c r="G76" s="15"/>
    </row>
    <row r="77" spans="1:7" ht="12.75">
      <c r="A77" s="16" t="s">
        <v>24</v>
      </c>
      <c r="B77" s="3"/>
      <c r="C77" s="3"/>
      <c r="D77" s="4"/>
      <c r="E77" s="15"/>
      <c r="F77" s="17">
        <f>ROUND(F76+F75,2)</f>
        <v>33.29</v>
      </c>
      <c r="G77" s="15"/>
    </row>
    <row r="78" spans="1:7" ht="12.75">
      <c r="A78" s="18" t="str">
        <f>CONCATENATE("Say ₹ ",F66," + ",F77," x Cost Index")</f>
        <v>Say ₹ 68.53 + 33.29 x Cost Index</v>
      </c>
      <c r="B78" s="3"/>
      <c r="C78" s="3"/>
      <c r="D78" s="3"/>
      <c r="E78" s="3"/>
      <c r="F78" s="3"/>
      <c r="G78" s="4"/>
    </row>
    <row r="79" spans="1:7" ht="12.75">
      <c r="A79" s="1" t="s">
        <v>0</v>
      </c>
      <c r="B79" s="1" t="s">
        <v>1</v>
      </c>
      <c r="C79" s="2" t="s">
        <v>2</v>
      </c>
      <c r="D79" s="3"/>
      <c r="E79" s="4"/>
      <c r="F79" s="2" t="s">
        <v>3</v>
      </c>
      <c r="G79" s="4"/>
    </row>
    <row r="80" spans="1:7" ht="12.75">
      <c r="A80" s="5"/>
      <c r="B80" s="5"/>
      <c r="C80" s="6" t="s">
        <v>4</v>
      </c>
      <c r="D80" s="6" t="s">
        <v>5</v>
      </c>
      <c r="E80" s="6" t="s">
        <v>6</v>
      </c>
      <c r="F80" s="6" t="s">
        <v>7</v>
      </c>
      <c r="G80" s="6" t="s">
        <v>8</v>
      </c>
    </row>
    <row r="81" spans="1:7" ht="12.75">
      <c r="A81" s="19" t="s">
        <v>42</v>
      </c>
      <c r="B81" s="3"/>
      <c r="C81" s="3"/>
      <c r="D81" s="3"/>
      <c r="E81" s="3"/>
      <c r="F81" s="3"/>
      <c r="G81" s="4"/>
    </row>
    <row r="82" spans="1:7" ht="12.75">
      <c r="A82" s="8"/>
      <c r="B82" s="8" t="s">
        <v>10</v>
      </c>
      <c r="C82" s="8" t="s">
        <v>11</v>
      </c>
      <c r="D82" s="8" t="s">
        <v>12</v>
      </c>
      <c r="E82" s="9">
        <v>1</v>
      </c>
      <c r="F82" s="10"/>
      <c r="G82" s="4"/>
    </row>
    <row r="83" spans="1:7" ht="12.75">
      <c r="A83" s="8" t="s">
        <v>13</v>
      </c>
      <c r="B83" s="10" t="s">
        <v>14</v>
      </c>
      <c r="C83" s="3"/>
      <c r="D83" s="3"/>
      <c r="E83" s="3"/>
      <c r="F83" s="3"/>
      <c r="G83" s="4"/>
    </row>
    <row r="84" spans="1:7" ht="12.75">
      <c r="A84" s="11" t="s">
        <v>15</v>
      </c>
      <c r="B84" s="3"/>
      <c r="C84" s="3"/>
      <c r="D84" s="3"/>
      <c r="E84" s="3"/>
      <c r="F84" s="4"/>
      <c r="G84" s="12" t="s">
        <v>16</v>
      </c>
    </row>
    <row r="85" spans="1:7" ht="12.75">
      <c r="A85" s="13"/>
      <c r="B85" s="13" t="s">
        <v>43</v>
      </c>
      <c r="C85" s="10" t="s">
        <v>44</v>
      </c>
      <c r="D85" s="3"/>
      <c r="E85" s="4"/>
      <c r="F85" s="10"/>
      <c r="G85" s="4"/>
    </row>
    <row r="86" spans="1:7" ht="12.75">
      <c r="A86" s="5"/>
      <c r="B86" s="5"/>
      <c r="C86" s="8" t="s">
        <v>19</v>
      </c>
      <c r="D86" s="9">
        <v>1</v>
      </c>
      <c r="E86" s="9">
        <v>35.50</v>
      </c>
      <c r="F86" s="9">
        <f>D86*E86</f>
        <v>35.50</v>
      </c>
      <c r="G86" s="8" t="s">
        <v>20</v>
      </c>
    </row>
    <row r="87" spans="1:7" ht="12.75">
      <c r="A87" s="14" t="s">
        <v>21</v>
      </c>
      <c r="B87" s="3"/>
      <c r="C87" s="4"/>
      <c r="D87" s="9">
        <v>1</v>
      </c>
      <c r="E87" s="15" t="s">
        <v>11</v>
      </c>
      <c r="F87" s="9">
        <f>F86</f>
        <v>35.50</v>
      </c>
      <c r="G87" s="8"/>
    </row>
    <row r="88" spans="1:7" ht="12.75">
      <c r="A88" s="14" t="s">
        <v>22</v>
      </c>
      <c r="B88" s="3"/>
      <c r="C88" s="4"/>
      <c r="D88" s="9">
        <v>1</v>
      </c>
      <c r="E88" s="15" t="s">
        <v>11</v>
      </c>
      <c r="F88" s="9">
        <f>F87/D87</f>
        <v>35.50</v>
      </c>
      <c r="G88" s="8"/>
    </row>
    <row r="89" spans="1:7" ht="12.75">
      <c r="A89" s="16" t="s">
        <v>23</v>
      </c>
      <c r="B89" s="3"/>
      <c r="C89" s="3"/>
      <c r="D89" s="4"/>
      <c r="E89" s="9"/>
      <c r="F89" s="9">
        <f>F88*1%</f>
        <v>0.355</v>
      </c>
      <c r="G89" s="8"/>
    </row>
    <row r="90" spans="1:7" ht="12.75">
      <c r="A90" s="16" t="s">
        <v>24</v>
      </c>
      <c r="B90" s="3"/>
      <c r="C90" s="3"/>
      <c r="D90" s="4"/>
      <c r="E90" s="15"/>
      <c r="F90" s="9">
        <f>F89+F88</f>
        <v>35.855</v>
      </c>
      <c r="G90" s="8"/>
    </row>
    <row r="91" spans="1:7" ht="12.75">
      <c r="A91" s="16" t="s">
        <v>25</v>
      </c>
      <c r="B91" s="3"/>
      <c r="C91" s="3"/>
      <c r="D91" s="4"/>
      <c r="E91" s="9"/>
      <c r="F91" s="9">
        <f>F90*15%</f>
        <v>5.3782500000000004</v>
      </c>
      <c r="G91" s="8"/>
    </row>
    <row r="92" spans="1:7" ht="12.75">
      <c r="A92" s="16" t="s">
        <v>24</v>
      </c>
      <c r="B92" s="3"/>
      <c r="C92" s="3"/>
      <c r="D92" s="4"/>
      <c r="E92" s="15"/>
      <c r="F92" s="17">
        <f>ROUND(F91+F90,2)</f>
        <v>41.23</v>
      </c>
      <c r="G92" s="8"/>
    </row>
    <row r="93" spans="1:7" ht="12.75">
      <c r="A93" s="11" t="s">
        <v>26</v>
      </c>
      <c r="B93" s="3"/>
      <c r="C93" s="3"/>
      <c r="D93" s="3"/>
      <c r="E93" s="3"/>
      <c r="F93" s="4"/>
      <c r="G93" s="12" t="s">
        <v>27</v>
      </c>
    </row>
    <row r="94" spans="1:7" ht="12.75">
      <c r="A94" s="13">
        <v>9999</v>
      </c>
      <c r="B94" s="13"/>
      <c r="C94" s="10" t="s">
        <v>28</v>
      </c>
      <c r="D94" s="3"/>
      <c r="E94" s="4"/>
      <c r="F94" s="10"/>
      <c r="G94" s="4"/>
    </row>
    <row r="95" spans="1:7" ht="12.75">
      <c r="A95" s="5"/>
      <c r="B95" s="5"/>
      <c r="C95" s="8" t="s">
        <v>29</v>
      </c>
      <c r="D95" s="9">
        <v>2.73</v>
      </c>
      <c r="E95" s="9">
        <v>2.12</v>
      </c>
      <c r="F95" s="9">
        <f>E95*D95</f>
        <v>5.7876000000000003</v>
      </c>
      <c r="G95" s="8" t="s">
        <v>30</v>
      </c>
    </row>
    <row r="96" spans="1:7" ht="12.75">
      <c r="A96" s="13">
        <v>9999</v>
      </c>
      <c r="B96" s="13"/>
      <c r="C96" s="10" t="s">
        <v>31</v>
      </c>
      <c r="D96" s="3"/>
      <c r="E96" s="4"/>
      <c r="F96" s="10"/>
      <c r="G96" s="4"/>
    </row>
    <row r="97" spans="1:7" ht="12.75">
      <c r="A97" s="5"/>
      <c r="B97" s="5"/>
      <c r="C97" s="8" t="s">
        <v>29</v>
      </c>
      <c r="D97" s="9">
        <v>9.36</v>
      </c>
      <c r="E97" s="9">
        <v>2.12</v>
      </c>
      <c r="F97" s="9">
        <f>D97*E97</f>
        <v>19.8432</v>
      </c>
      <c r="G97" s="8" t="s">
        <v>32</v>
      </c>
    </row>
    <row r="98" spans="1:7" ht="12.75">
      <c r="A98" s="14" t="s">
        <v>33</v>
      </c>
      <c r="B98" s="3"/>
      <c r="C98" s="4"/>
      <c r="D98" s="9">
        <v>1</v>
      </c>
      <c r="E98" s="15" t="s">
        <v>11</v>
      </c>
      <c r="F98" s="9">
        <f>F97+F95</f>
        <v>25.630800000000001</v>
      </c>
      <c r="G98" s="15"/>
    </row>
    <row r="99" spans="1:7" ht="12.75">
      <c r="A99" s="14" t="s">
        <v>22</v>
      </c>
      <c r="B99" s="3"/>
      <c r="C99" s="4"/>
      <c r="D99" s="9">
        <v>1</v>
      </c>
      <c r="E99" s="15" t="s">
        <v>11</v>
      </c>
      <c r="F99" s="9">
        <f>F98/D98</f>
        <v>25.630800000000001</v>
      </c>
      <c r="G99" s="15"/>
    </row>
    <row r="100" spans="1:7" ht="12.75">
      <c r="A100" s="16" t="s">
        <v>23</v>
      </c>
      <c r="B100" s="3"/>
      <c r="C100" s="3"/>
      <c r="D100" s="4"/>
      <c r="E100" s="9"/>
      <c r="F100" s="9">
        <f>F99*1%</f>
        <v>0.25630799999999998</v>
      </c>
      <c r="G100" s="15"/>
    </row>
    <row r="101" spans="1:7" ht="12.75">
      <c r="A101" s="16" t="s">
        <v>24</v>
      </c>
      <c r="B101" s="3"/>
      <c r="C101" s="3"/>
      <c r="D101" s="4"/>
      <c r="E101" s="15"/>
      <c r="F101" s="9">
        <f>F100+F99</f>
        <v>25.887108000000001</v>
      </c>
      <c r="G101" s="15"/>
    </row>
    <row r="102" spans="1:7" ht="12.75">
      <c r="A102" s="16" t="s">
        <v>25</v>
      </c>
      <c r="B102" s="3"/>
      <c r="C102" s="3"/>
      <c r="D102" s="4"/>
      <c r="E102" s="9"/>
      <c r="F102" s="9">
        <f>F101*15%</f>
        <v>3.8830662</v>
      </c>
      <c r="G102" s="15"/>
    </row>
    <row r="103" spans="1:7" ht="12.75">
      <c r="A103" s="16" t="s">
        <v>24</v>
      </c>
      <c r="B103" s="3"/>
      <c r="C103" s="3"/>
      <c r="D103" s="4"/>
      <c r="E103" s="15"/>
      <c r="F103" s="17">
        <f>ROUND(F102+F101,2)</f>
        <v>29.77</v>
      </c>
      <c r="G103" s="15"/>
    </row>
    <row r="104" spans="1:7" ht="12.75">
      <c r="A104" s="18" t="str">
        <f>CONCATENATE("Say ₹ ",F92," + ",F103," x Cost Index")</f>
        <v>Say ₹ 41.23 + 29.77 x Cost Index</v>
      </c>
      <c r="B104" s="3"/>
      <c r="C104" s="3"/>
      <c r="D104" s="3"/>
      <c r="E104" s="3"/>
      <c r="F104" s="3"/>
      <c r="G104" s="4"/>
    </row>
    <row r="105" spans="1:7" ht="12.75">
      <c r="A105" s="1" t="s">
        <v>0</v>
      </c>
      <c r="B105" s="1" t="s">
        <v>1</v>
      </c>
      <c r="C105" s="2" t="s">
        <v>2</v>
      </c>
      <c r="D105" s="3"/>
      <c r="E105" s="4"/>
      <c r="F105" s="2" t="s">
        <v>3</v>
      </c>
      <c r="G105" s="4"/>
    </row>
    <row r="106" spans="1:7" ht="12.75">
      <c r="A106" s="5"/>
      <c r="B106" s="5"/>
      <c r="C106" s="6" t="s">
        <v>4</v>
      </c>
      <c r="D106" s="6" t="s">
        <v>5</v>
      </c>
      <c r="E106" s="6" t="s">
        <v>6</v>
      </c>
      <c r="F106" s="6" t="s">
        <v>7</v>
      </c>
      <c r="G106" s="6" t="s">
        <v>8</v>
      </c>
    </row>
    <row r="107" spans="1:7" ht="12.75">
      <c r="A107" s="19" t="s">
        <v>45</v>
      </c>
      <c r="B107" s="3"/>
      <c r="C107" s="3"/>
      <c r="D107" s="3"/>
      <c r="E107" s="3"/>
      <c r="F107" s="3"/>
      <c r="G107" s="4"/>
    </row>
    <row r="108" spans="1:7" ht="12.75">
      <c r="A108" s="20"/>
      <c r="B108" s="20" t="s">
        <v>10</v>
      </c>
      <c r="C108" s="20" t="s">
        <v>11</v>
      </c>
      <c r="D108" s="20" t="s">
        <v>12</v>
      </c>
      <c r="E108" s="21">
        <v>1</v>
      </c>
      <c r="F108" s="22"/>
      <c r="G108" s="4"/>
    </row>
    <row r="109" spans="1:7" ht="12.75">
      <c r="A109" s="20" t="s">
        <v>13</v>
      </c>
      <c r="B109" s="22" t="s">
        <v>14</v>
      </c>
      <c r="C109" s="3"/>
      <c r="D109" s="3"/>
      <c r="E109" s="3"/>
      <c r="F109" s="3"/>
      <c r="G109" s="4"/>
    </row>
    <row r="110" spans="1:7" ht="12.75">
      <c r="A110" s="11" t="s">
        <v>15</v>
      </c>
      <c r="B110" s="3"/>
      <c r="C110" s="3"/>
      <c r="D110" s="3"/>
      <c r="E110" s="3"/>
      <c r="F110" s="4"/>
      <c r="G110" s="12" t="s">
        <v>16</v>
      </c>
    </row>
    <row r="111" spans="1:7" ht="12.75">
      <c r="A111" s="23"/>
      <c r="B111" s="23" t="s">
        <v>46</v>
      </c>
      <c r="C111" s="22" t="s">
        <v>47</v>
      </c>
      <c r="D111" s="3"/>
      <c r="E111" s="4"/>
      <c r="F111" s="22"/>
      <c r="G111" s="4"/>
    </row>
    <row r="112" spans="1:7" ht="12.75">
      <c r="A112" s="5"/>
      <c r="B112" s="5"/>
      <c r="C112" s="20" t="s">
        <v>19</v>
      </c>
      <c r="D112" s="21">
        <v>1</v>
      </c>
      <c r="E112" s="21">
        <v>43.50</v>
      </c>
      <c r="F112" s="21">
        <f>D112*E112</f>
        <v>43.50</v>
      </c>
      <c r="G112" s="20" t="s">
        <v>20</v>
      </c>
    </row>
    <row r="113" spans="1:7" ht="12.75">
      <c r="A113" s="14" t="s">
        <v>21</v>
      </c>
      <c r="B113" s="3"/>
      <c r="C113" s="4"/>
      <c r="D113" s="9">
        <v>1</v>
      </c>
      <c r="E113" s="15" t="s">
        <v>11</v>
      </c>
      <c r="F113" s="9">
        <f>F112</f>
        <v>43.50</v>
      </c>
      <c r="G113" s="8"/>
    </row>
    <row r="114" spans="1:7" ht="12.75">
      <c r="A114" s="14" t="s">
        <v>22</v>
      </c>
      <c r="B114" s="3"/>
      <c r="C114" s="4"/>
      <c r="D114" s="9">
        <v>1</v>
      </c>
      <c r="E114" s="15" t="s">
        <v>11</v>
      </c>
      <c r="F114" s="9">
        <f>F113/D113</f>
        <v>43.50</v>
      </c>
      <c r="G114" s="8"/>
    </row>
    <row r="115" spans="1:7" ht="12.75">
      <c r="A115" s="16" t="s">
        <v>23</v>
      </c>
      <c r="B115" s="3"/>
      <c r="C115" s="3"/>
      <c r="D115" s="4"/>
      <c r="E115" s="9"/>
      <c r="F115" s="9">
        <f>F114*1%</f>
        <v>0.435</v>
      </c>
      <c r="G115" s="8"/>
    </row>
    <row r="116" spans="1:7" ht="12.75">
      <c r="A116" s="16" t="s">
        <v>24</v>
      </c>
      <c r="B116" s="3"/>
      <c r="C116" s="3"/>
      <c r="D116" s="4"/>
      <c r="E116" s="15"/>
      <c r="F116" s="9">
        <f>F115+F114</f>
        <v>43.935</v>
      </c>
      <c r="G116" s="8"/>
    </row>
    <row r="117" spans="1:7" ht="12.75">
      <c r="A117" s="16" t="s">
        <v>25</v>
      </c>
      <c r="B117" s="3"/>
      <c r="C117" s="3"/>
      <c r="D117" s="4"/>
      <c r="E117" s="9"/>
      <c r="F117" s="9">
        <f>F116*15%</f>
        <v>6.5902500000000002</v>
      </c>
      <c r="G117" s="8"/>
    </row>
    <row r="118" spans="1:7" ht="12.75">
      <c r="A118" s="16" t="s">
        <v>24</v>
      </c>
      <c r="B118" s="3"/>
      <c r="C118" s="3"/>
      <c r="D118" s="4"/>
      <c r="E118" s="15"/>
      <c r="F118" s="17">
        <f>ROUND(F117+F116,2)</f>
        <v>50.53</v>
      </c>
      <c r="G118" s="8"/>
    </row>
    <row r="119" spans="1:7" ht="12.75">
      <c r="A119" s="11" t="s">
        <v>26</v>
      </c>
      <c r="B119" s="3"/>
      <c r="C119" s="3"/>
      <c r="D119" s="3"/>
      <c r="E119" s="3"/>
      <c r="F119" s="4"/>
      <c r="G119" s="12" t="s">
        <v>27</v>
      </c>
    </row>
    <row r="120" spans="1:7" ht="12.75">
      <c r="A120" s="23">
        <v>9999</v>
      </c>
      <c r="B120" s="23"/>
      <c r="C120" s="22" t="s">
        <v>28</v>
      </c>
      <c r="D120" s="3"/>
      <c r="E120" s="4"/>
      <c r="F120" s="22"/>
      <c r="G120" s="4"/>
    </row>
    <row r="121" spans="1:7" ht="12.75">
      <c r="A121" s="5"/>
      <c r="B121" s="5"/>
      <c r="C121" s="20" t="s">
        <v>29</v>
      </c>
      <c r="D121" s="21">
        <v>2.73</v>
      </c>
      <c r="E121" s="21">
        <v>2.12</v>
      </c>
      <c r="F121" s="21">
        <f>E121*D121</f>
        <v>5.7876000000000003</v>
      </c>
      <c r="G121" s="20" t="s">
        <v>30</v>
      </c>
    </row>
    <row r="122" spans="1:7" ht="12.75">
      <c r="A122" s="23">
        <v>9999</v>
      </c>
      <c r="B122" s="23"/>
      <c r="C122" s="22" t="s">
        <v>31</v>
      </c>
      <c r="D122" s="3"/>
      <c r="E122" s="4"/>
      <c r="F122" s="22"/>
      <c r="G122" s="4"/>
    </row>
    <row r="123" spans="1:7" ht="12.75">
      <c r="A123" s="5"/>
      <c r="B123" s="5"/>
      <c r="C123" s="20" t="s">
        <v>29</v>
      </c>
      <c r="D123" s="21">
        <v>9.36</v>
      </c>
      <c r="E123" s="21">
        <v>2.12</v>
      </c>
      <c r="F123" s="21">
        <f>D123*E123</f>
        <v>19.8432</v>
      </c>
      <c r="G123" s="20" t="s">
        <v>32</v>
      </c>
    </row>
    <row r="124" spans="1:7" ht="12.75">
      <c r="A124" s="14" t="s">
        <v>33</v>
      </c>
      <c r="B124" s="3"/>
      <c r="C124" s="4"/>
      <c r="D124" s="9">
        <v>1</v>
      </c>
      <c r="E124" s="15" t="s">
        <v>11</v>
      </c>
      <c r="F124" s="9">
        <f>F123+F121</f>
        <v>25.630800000000001</v>
      </c>
      <c r="G124" s="15"/>
    </row>
    <row r="125" spans="1:7" ht="12.75">
      <c r="A125" s="14" t="s">
        <v>22</v>
      </c>
      <c r="B125" s="3"/>
      <c r="C125" s="4"/>
      <c r="D125" s="9">
        <v>1</v>
      </c>
      <c r="E125" s="15" t="s">
        <v>11</v>
      </c>
      <c r="F125" s="9">
        <f>F124/D124</f>
        <v>25.630800000000001</v>
      </c>
      <c r="G125" s="15"/>
    </row>
    <row r="126" spans="1:7" ht="12.75">
      <c r="A126" s="16" t="s">
        <v>23</v>
      </c>
      <c r="B126" s="3"/>
      <c r="C126" s="3"/>
      <c r="D126" s="4"/>
      <c r="E126" s="9"/>
      <c r="F126" s="9">
        <f>F125*1%</f>
        <v>0.25630799999999998</v>
      </c>
      <c r="G126" s="15"/>
    </row>
    <row r="127" spans="1:7" ht="12.75">
      <c r="A127" s="16" t="s">
        <v>24</v>
      </c>
      <c r="B127" s="3"/>
      <c r="C127" s="3"/>
      <c r="D127" s="4"/>
      <c r="E127" s="15"/>
      <c r="F127" s="9">
        <f>F126+F125</f>
        <v>25.887108000000001</v>
      </c>
      <c r="G127" s="15"/>
    </row>
    <row r="128" spans="1:7" ht="12.75">
      <c r="A128" s="16" t="s">
        <v>25</v>
      </c>
      <c r="B128" s="3"/>
      <c r="C128" s="3"/>
      <c r="D128" s="4"/>
      <c r="E128" s="9"/>
      <c r="F128" s="9">
        <f>F127*15%</f>
        <v>3.8830662</v>
      </c>
      <c r="G128" s="15"/>
    </row>
    <row r="129" spans="1:7" ht="12.75">
      <c r="A129" s="16" t="s">
        <v>24</v>
      </c>
      <c r="B129" s="3"/>
      <c r="C129" s="3"/>
      <c r="D129" s="4"/>
      <c r="E129" s="15"/>
      <c r="F129" s="17">
        <f>ROUND(F128+F127,2)</f>
        <v>29.77</v>
      </c>
      <c r="G129" s="15"/>
    </row>
    <row r="130" spans="1:7" ht="12.75">
      <c r="A130" s="18" t="str">
        <f>CONCATENATE("Say ₹ ",F118," + ",F129," x Cost Index")</f>
        <v>Say ₹ 50.53 + 29.77 x Cost Index</v>
      </c>
      <c r="B130" s="3"/>
      <c r="C130" s="3"/>
      <c r="D130" s="3"/>
      <c r="E130" s="3"/>
      <c r="F130" s="3"/>
      <c r="G130" s="4"/>
    </row>
    <row r="131" spans="1:7" ht="12.75">
      <c r="A131" s="1" t="s">
        <v>0</v>
      </c>
      <c r="B131" s="1" t="s">
        <v>1</v>
      </c>
      <c r="C131" s="2" t="s">
        <v>2</v>
      </c>
      <c r="D131" s="3"/>
      <c r="E131" s="4"/>
      <c r="F131" s="2" t="s">
        <v>3</v>
      </c>
      <c r="G131" s="4"/>
    </row>
    <row r="132" spans="1:7" ht="12.75">
      <c r="A132" s="5"/>
      <c r="B132" s="5"/>
      <c r="C132" s="6" t="s">
        <v>4</v>
      </c>
      <c r="D132" s="6" t="s">
        <v>5</v>
      </c>
      <c r="E132" s="6" t="s">
        <v>6</v>
      </c>
      <c r="F132" s="6" t="s">
        <v>7</v>
      </c>
      <c r="G132" s="6" t="s">
        <v>8</v>
      </c>
    </row>
    <row r="133" spans="1:7" ht="12.75">
      <c r="A133" s="19" t="s">
        <v>48</v>
      </c>
      <c r="B133" s="3"/>
      <c r="C133" s="3"/>
      <c r="D133" s="3"/>
      <c r="E133" s="3"/>
      <c r="F133" s="3"/>
      <c r="G133" s="4"/>
    </row>
    <row r="134" spans="1:7" ht="12.75">
      <c r="A134" s="20"/>
      <c r="B134" s="20" t="s">
        <v>10</v>
      </c>
      <c r="C134" s="20" t="s">
        <v>11</v>
      </c>
      <c r="D134" s="20" t="s">
        <v>12</v>
      </c>
      <c r="E134" s="21">
        <v>1</v>
      </c>
      <c r="F134" s="22"/>
      <c r="G134" s="4"/>
    </row>
    <row r="135" spans="1:7" ht="12.75">
      <c r="A135" s="20" t="s">
        <v>13</v>
      </c>
      <c r="B135" s="22" t="s">
        <v>14</v>
      </c>
      <c r="C135" s="3"/>
      <c r="D135" s="3"/>
      <c r="E135" s="3"/>
      <c r="F135" s="3"/>
      <c r="G135" s="4"/>
    </row>
    <row r="136" spans="1:7" ht="12.75">
      <c r="A136" s="11" t="s">
        <v>15</v>
      </c>
      <c r="B136" s="3"/>
      <c r="C136" s="3"/>
      <c r="D136" s="3"/>
      <c r="E136" s="3"/>
      <c r="F136" s="4"/>
      <c r="G136" s="12" t="s">
        <v>16</v>
      </c>
    </row>
    <row r="137" spans="1:7" ht="12.75">
      <c r="A137" s="23"/>
      <c r="B137" s="23" t="s">
        <v>49</v>
      </c>
      <c r="C137" s="22" t="s">
        <v>50</v>
      </c>
      <c r="D137" s="3"/>
      <c r="E137" s="4"/>
      <c r="F137" s="22"/>
      <c r="G137" s="4"/>
    </row>
    <row r="138" spans="1:7" ht="12.75">
      <c r="A138" s="5"/>
      <c r="B138" s="5"/>
      <c r="C138" s="20" t="s">
        <v>19</v>
      </c>
      <c r="D138" s="21">
        <v>1</v>
      </c>
      <c r="E138" s="21">
        <v>102</v>
      </c>
      <c r="F138" s="21">
        <f>D138*E138</f>
        <v>102</v>
      </c>
      <c r="G138" s="20" t="s">
        <v>20</v>
      </c>
    </row>
    <row r="139" spans="1:7" ht="12.75">
      <c r="A139" s="14" t="s">
        <v>21</v>
      </c>
      <c r="B139" s="3"/>
      <c r="C139" s="4"/>
      <c r="D139" s="9">
        <v>1</v>
      </c>
      <c r="E139" s="15" t="s">
        <v>11</v>
      </c>
      <c r="F139" s="9">
        <f>F138</f>
        <v>102</v>
      </c>
      <c r="G139" s="8"/>
    </row>
    <row r="140" spans="1:7" ht="12.75">
      <c r="A140" s="14" t="s">
        <v>22</v>
      </c>
      <c r="B140" s="3"/>
      <c r="C140" s="4"/>
      <c r="D140" s="9">
        <v>1</v>
      </c>
      <c r="E140" s="15" t="s">
        <v>11</v>
      </c>
      <c r="F140" s="9">
        <f>F139/D139</f>
        <v>102</v>
      </c>
      <c r="G140" s="8"/>
    </row>
    <row r="141" spans="1:7" ht="12.75">
      <c r="A141" s="16" t="s">
        <v>23</v>
      </c>
      <c r="B141" s="3"/>
      <c r="C141" s="3"/>
      <c r="D141" s="4"/>
      <c r="E141" s="9"/>
      <c r="F141" s="9">
        <f>F140*1%</f>
        <v>1.02</v>
      </c>
      <c r="G141" s="8"/>
    </row>
    <row r="142" spans="1:7" ht="12.75">
      <c r="A142" s="16" t="s">
        <v>24</v>
      </c>
      <c r="B142" s="3"/>
      <c r="C142" s="3"/>
      <c r="D142" s="4"/>
      <c r="E142" s="15"/>
      <c r="F142" s="9">
        <f>F141+F140</f>
        <v>103.02</v>
      </c>
      <c r="G142" s="8"/>
    </row>
    <row r="143" spans="1:7" ht="12.75">
      <c r="A143" s="16" t="s">
        <v>25</v>
      </c>
      <c r="B143" s="3"/>
      <c r="C143" s="3"/>
      <c r="D143" s="4"/>
      <c r="E143" s="9"/>
      <c r="F143" s="9">
        <f>F142*15%</f>
        <v>15.452999999999999</v>
      </c>
      <c r="G143" s="8"/>
    </row>
    <row r="144" spans="1:7" ht="12.75">
      <c r="A144" s="16" t="s">
        <v>24</v>
      </c>
      <c r="B144" s="3"/>
      <c r="C144" s="3"/>
      <c r="D144" s="4"/>
      <c r="E144" s="15"/>
      <c r="F144" s="17">
        <f>ROUND(F143+F142,2)</f>
        <v>118.47</v>
      </c>
      <c r="G144" s="8"/>
    </row>
    <row r="145" spans="1:7" ht="12.75">
      <c r="A145" s="11" t="s">
        <v>26</v>
      </c>
      <c r="B145" s="3"/>
      <c r="C145" s="3"/>
      <c r="D145" s="3"/>
      <c r="E145" s="3"/>
      <c r="F145" s="4"/>
      <c r="G145" s="12" t="s">
        <v>27</v>
      </c>
    </row>
    <row r="146" spans="1:7" ht="12.75">
      <c r="A146" s="23">
        <v>9999</v>
      </c>
      <c r="B146" s="23"/>
      <c r="C146" s="22" t="s">
        <v>28</v>
      </c>
      <c r="D146" s="3"/>
      <c r="E146" s="4"/>
      <c r="F146" s="22"/>
      <c r="G146" s="4"/>
    </row>
    <row r="147" spans="1:7" ht="12.75">
      <c r="A147" s="5"/>
      <c r="B147" s="5"/>
      <c r="C147" s="20" t="s">
        <v>29</v>
      </c>
      <c r="D147" s="21">
        <v>2.73</v>
      </c>
      <c r="E147" s="21">
        <v>2.12</v>
      </c>
      <c r="F147" s="21">
        <f>E147*D147</f>
        <v>5.7876000000000003</v>
      </c>
      <c r="G147" s="20" t="s">
        <v>30</v>
      </c>
    </row>
    <row r="148" spans="1:7" ht="12.75">
      <c r="A148" s="23">
        <v>9999</v>
      </c>
      <c r="B148" s="23"/>
      <c r="C148" s="22" t="s">
        <v>31</v>
      </c>
      <c r="D148" s="3"/>
      <c r="E148" s="4"/>
      <c r="F148" s="22"/>
      <c r="G148" s="4"/>
    </row>
    <row r="149" spans="1:7" ht="12.75">
      <c r="A149" s="5"/>
      <c r="B149" s="5"/>
      <c r="C149" s="20" t="s">
        <v>29</v>
      </c>
      <c r="D149" s="21">
        <v>10.79</v>
      </c>
      <c r="E149" s="21">
        <v>2.12</v>
      </c>
      <c r="F149" s="21">
        <f>D149*E149</f>
        <v>22.8748</v>
      </c>
      <c r="G149" s="20" t="s">
        <v>32</v>
      </c>
    </row>
    <row r="150" spans="1:7" ht="12.75">
      <c r="A150" s="14" t="s">
        <v>33</v>
      </c>
      <c r="B150" s="3"/>
      <c r="C150" s="4"/>
      <c r="D150" s="9">
        <v>1</v>
      </c>
      <c r="E150" s="15" t="s">
        <v>11</v>
      </c>
      <c r="F150" s="9">
        <f>F149+F147</f>
        <v>28.662400000000002</v>
      </c>
      <c r="G150" s="15"/>
    </row>
    <row r="151" spans="1:7" ht="12.75">
      <c r="A151" s="14" t="s">
        <v>22</v>
      </c>
      <c r="B151" s="3"/>
      <c r="C151" s="4"/>
      <c r="D151" s="9">
        <v>1</v>
      </c>
      <c r="E151" s="15" t="s">
        <v>11</v>
      </c>
      <c r="F151" s="9">
        <f>F150/D150</f>
        <v>28.662400000000002</v>
      </c>
      <c r="G151" s="15"/>
    </row>
    <row r="152" spans="1:7" ht="12.75">
      <c r="A152" s="16" t="s">
        <v>23</v>
      </c>
      <c r="B152" s="3"/>
      <c r="C152" s="3"/>
      <c r="D152" s="4"/>
      <c r="E152" s="9"/>
      <c r="F152" s="9">
        <f>F151*1%</f>
        <v>0.28662399999999999</v>
      </c>
      <c r="G152" s="15"/>
    </row>
    <row r="153" spans="1:7" ht="12.75">
      <c r="A153" s="16" t="s">
        <v>24</v>
      </c>
      <c r="B153" s="3"/>
      <c r="C153" s="3"/>
      <c r="D153" s="4"/>
      <c r="E153" s="15"/>
      <c r="F153" s="9">
        <f>F152+F151</f>
        <v>28.949024000000001</v>
      </c>
      <c r="G153" s="15"/>
    </row>
    <row r="154" spans="1:7" ht="12.75">
      <c r="A154" s="16" t="s">
        <v>25</v>
      </c>
      <c r="B154" s="3"/>
      <c r="C154" s="3"/>
      <c r="D154" s="4"/>
      <c r="E154" s="9"/>
      <c r="F154" s="9">
        <f>F153*15%</f>
        <v>4.3423536</v>
      </c>
      <c r="G154" s="15"/>
    </row>
    <row r="155" spans="1:7" ht="12.75">
      <c r="A155" s="16" t="s">
        <v>24</v>
      </c>
      <c r="B155" s="3"/>
      <c r="C155" s="3"/>
      <c r="D155" s="4"/>
      <c r="E155" s="15"/>
      <c r="F155" s="17">
        <f>ROUND(F154+F153,2)</f>
        <v>33.29</v>
      </c>
      <c r="G155" s="15"/>
    </row>
    <row r="156" spans="1:7" ht="12.75">
      <c r="A156" s="18" t="str">
        <f>CONCATENATE("Say ₹ ",F144," + ",F155," x Cost Index")</f>
        <v>Say ₹ 118.47 + 33.29 x Cost Index</v>
      </c>
      <c r="B156" s="3"/>
      <c r="C156" s="3"/>
      <c r="D156" s="3"/>
      <c r="E156" s="3"/>
      <c r="F156" s="3"/>
      <c r="G156" s="4"/>
    </row>
    <row r="157" spans="1:7" ht="12.75">
      <c r="A157" s="1" t="s">
        <v>0</v>
      </c>
      <c r="B157" s="1" t="s">
        <v>1</v>
      </c>
      <c r="C157" s="2" t="s">
        <v>2</v>
      </c>
      <c r="D157" s="3"/>
      <c r="E157" s="4"/>
      <c r="F157" s="2" t="s">
        <v>3</v>
      </c>
      <c r="G157" s="4"/>
    </row>
    <row r="158" spans="1:7" ht="12.75">
      <c r="A158" s="5"/>
      <c r="B158" s="5"/>
      <c r="C158" s="6" t="s">
        <v>4</v>
      </c>
      <c r="D158" s="6" t="s">
        <v>5</v>
      </c>
      <c r="E158" s="6" t="s">
        <v>6</v>
      </c>
      <c r="F158" s="6" t="s">
        <v>7</v>
      </c>
      <c r="G158" s="6" t="s">
        <v>8</v>
      </c>
    </row>
    <row r="159" spans="1:7" ht="12.75">
      <c r="A159" s="24" t="s">
        <v>51</v>
      </c>
      <c r="B159" s="3"/>
      <c r="C159" s="3"/>
      <c r="D159" s="3"/>
      <c r="E159" s="3"/>
      <c r="F159" s="3"/>
      <c r="G159" s="4"/>
    </row>
    <row r="160" spans="1:7" ht="12.75">
      <c r="A160" s="8"/>
      <c r="B160" s="8" t="s">
        <v>10</v>
      </c>
      <c r="C160" s="8" t="s">
        <v>11</v>
      </c>
      <c r="D160" s="8" t="s">
        <v>12</v>
      </c>
      <c r="E160" s="9">
        <v>1</v>
      </c>
      <c r="F160" s="10"/>
      <c r="G160" s="4"/>
    </row>
    <row r="161" spans="1:7" ht="12.75">
      <c r="A161" s="8" t="s">
        <v>13</v>
      </c>
      <c r="B161" s="10" t="s">
        <v>14</v>
      </c>
      <c r="C161" s="3"/>
      <c r="D161" s="3"/>
      <c r="E161" s="3"/>
      <c r="F161" s="3"/>
      <c r="G161" s="4"/>
    </row>
    <row r="162" spans="1:7" ht="12.75">
      <c r="A162" s="11" t="s">
        <v>15</v>
      </c>
      <c r="B162" s="3"/>
      <c r="C162" s="3"/>
      <c r="D162" s="3"/>
      <c r="E162" s="3"/>
      <c r="F162" s="4"/>
      <c r="G162" s="12" t="s">
        <v>16</v>
      </c>
    </row>
    <row r="163" spans="1:7" ht="12.75">
      <c r="A163" s="13"/>
      <c r="B163" s="13" t="s">
        <v>52</v>
      </c>
      <c r="C163" s="10" t="s">
        <v>53</v>
      </c>
      <c r="D163" s="3"/>
      <c r="E163" s="4"/>
      <c r="F163" s="10"/>
      <c r="G163" s="4"/>
    </row>
    <row r="164" spans="1:7" ht="12.75">
      <c r="A164" s="5"/>
      <c r="B164" s="5"/>
      <c r="C164" s="8" t="s">
        <v>19</v>
      </c>
      <c r="D164" s="9">
        <v>1</v>
      </c>
      <c r="E164" s="9">
        <v>39.50</v>
      </c>
      <c r="F164" s="9">
        <f>D164*E164</f>
        <v>39.50</v>
      </c>
      <c r="G164" s="8" t="s">
        <v>20</v>
      </c>
    </row>
    <row r="165" spans="1:7" ht="12.75">
      <c r="A165" s="14" t="s">
        <v>21</v>
      </c>
      <c r="B165" s="3"/>
      <c r="C165" s="4"/>
      <c r="D165" s="9">
        <v>1</v>
      </c>
      <c r="E165" s="15" t="s">
        <v>11</v>
      </c>
      <c r="F165" s="9">
        <f>F164</f>
        <v>39.50</v>
      </c>
      <c r="G165" s="8"/>
    </row>
    <row r="166" spans="1:7" ht="12.75">
      <c r="A166" s="14" t="s">
        <v>22</v>
      </c>
      <c r="B166" s="3"/>
      <c r="C166" s="4"/>
      <c r="D166" s="9">
        <v>1</v>
      </c>
      <c r="E166" s="15" t="s">
        <v>11</v>
      </c>
      <c r="F166" s="9">
        <f>F165/D165</f>
        <v>39.50</v>
      </c>
      <c r="G166" s="8"/>
    </row>
    <row r="167" spans="1:7" ht="12.75">
      <c r="A167" s="16" t="s">
        <v>23</v>
      </c>
      <c r="B167" s="3"/>
      <c r="C167" s="3"/>
      <c r="D167" s="4"/>
      <c r="E167" s="9"/>
      <c r="F167" s="9">
        <f>F166*1%</f>
        <v>0.395</v>
      </c>
      <c r="G167" s="8"/>
    </row>
    <row r="168" spans="1:7" ht="12.75">
      <c r="A168" s="16" t="s">
        <v>24</v>
      </c>
      <c r="B168" s="3"/>
      <c r="C168" s="3"/>
      <c r="D168" s="4"/>
      <c r="E168" s="15"/>
      <c r="F168" s="9">
        <f>F167+F166</f>
        <v>39.895</v>
      </c>
      <c r="G168" s="8"/>
    </row>
    <row r="169" spans="1:7" ht="12.75">
      <c r="A169" s="16" t="s">
        <v>25</v>
      </c>
      <c r="B169" s="3"/>
      <c r="C169" s="3"/>
      <c r="D169" s="4"/>
      <c r="E169" s="9"/>
      <c r="F169" s="9">
        <f>F168*15%</f>
        <v>5.9842500000000003</v>
      </c>
      <c r="G169" s="8"/>
    </row>
    <row r="170" spans="1:7" ht="12.75">
      <c r="A170" s="16" t="s">
        <v>24</v>
      </c>
      <c r="B170" s="3"/>
      <c r="C170" s="3"/>
      <c r="D170" s="4"/>
      <c r="E170" s="15"/>
      <c r="F170" s="17">
        <f>ROUND(F169+F168,2)</f>
        <v>45.88</v>
      </c>
      <c r="G170" s="8"/>
    </row>
    <row r="171" spans="1:7" ht="12.75">
      <c r="A171" s="11" t="s">
        <v>26</v>
      </c>
      <c r="B171" s="3"/>
      <c r="C171" s="3"/>
      <c r="D171" s="3"/>
      <c r="E171" s="3"/>
      <c r="F171" s="4"/>
      <c r="G171" s="12" t="s">
        <v>27</v>
      </c>
    </row>
    <row r="172" spans="1:7" ht="12.75">
      <c r="A172" s="13">
        <v>9999</v>
      </c>
      <c r="B172" s="13"/>
      <c r="C172" s="10" t="s">
        <v>54</v>
      </c>
      <c r="D172" s="3"/>
      <c r="E172" s="4"/>
      <c r="F172" s="10"/>
      <c r="G172" s="4"/>
    </row>
    <row r="173" spans="1:7" ht="12.75">
      <c r="A173" s="5"/>
      <c r="B173" s="5"/>
      <c r="C173" s="8" t="s">
        <v>29</v>
      </c>
      <c r="D173" s="9">
        <v>3.41</v>
      </c>
      <c r="E173" s="9">
        <v>2.12</v>
      </c>
      <c r="F173" s="9">
        <f>E173*D173</f>
        <v>7.2291999999999996</v>
      </c>
      <c r="G173" s="8" t="s">
        <v>30</v>
      </c>
    </row>
    <row r="174" spans="1:7" ht="12.75">
      <c r="A174" s="13">
        <v>9999</v>
      </c>
      <c r="B174" s="13"/>
      <c r="C174" s="10" t="s">
        <v>31</v>
      </c>
      <c r="D174" s="3"/>
      <c r="E174" s="4"/>
      <c r="F174" s="10"/>
      <c r="G174" s="4"/>
    </row>
    <row r="175" spans="1:7" ht="12.75">
      <c r="A175" s="5"/>
      <c r="B175" s="5"/>
      <c r="C175" s="8" t="s">
        <v>29</v>
      </c>
      <c r="D175" s="9">
        <v>9.36</v>
      </c>
      <c r="E175" s="9">
        <v>2.12</v>
      </c>
      <c r="F175" s="9">
        <f>D175*E175</f>
        <v>19.8432</v>
      </c>
      <c r="G175" s="8" t="s">
        <v>32</v>
      </c>
    </row>
    <row r="176" spans="1:7" ht="12.75">
      <c r="A176" s="14" t="s">
        <v>33</v>
      </c>
      <c r="B176" s="3"/>
      <c r="C176" s="4"/>
      <c r="D176" s="9">
        <v>1</v>
      </c>
      <c r="E176" s="15" t="s">
        <v>11</v>
      </c>
      <c r="F176" s="9">
        <f>F175+F173</f>
        <v>27.072399999999998</v>
      </c>
      <c r="G176" s="15"/>
    </row>
    <row r="177" spans="1:7" ht="12.75">
      <c r="A177" s="14" t="s">
        <v>22</v>
      </c>
      <c r="B177" s="3"/>
      <c r="C177" s="4"/>
      <c r="D177" s="9">
        <v>1</v>
      </c>
      <c r="E177" s="15" t="s">
        <v>11</v>
      </c>
      <c r="F177" s="9">
        <f>F176/D176</f>
        <v>27.072399999999998</v>
      </c>
      <c r="G177" s="15"/>
    </row>
    <row r="178" spans="1:7" ht="12.75">
      <c r="A178" s="16" t="s">
        <v>23</v>
      </c>
      <c r="B178" s="3"/>
      <c r="C178" s="3"/>
      <c r="D178" s="4"/>
      <c r="E178" s="9"/>
      <c r="F178" s="9">
        <f>F177*1%</f>
        <v>0.27072400000000002</v>
      </c>
      <c r="G178" s="15"/>
    </row>
    <row r="179" spans="1:7" ht="12.75">
      <c r="A179" s="16" t="s">
        <v>24</v>
      </c>
      <c r="B179" s="3"/>
      <c r="C179" s="3"/>
      <c r="D179" s="4"/>
      <c r="E179" s="15"/>
      <c r="F179" s="9">
        <f>F178+F177</f>
        <v>27.343124</v>
      </c>
      <c r="G179" s="15"/>
    </row>
    <row r="180" spans="1:7" ht="12.75">
      <c r="A180" s="16" t="s">
        <v>25</v>
      </c>
      <c r="B180" s="3"/>
      <c r="C180" s="3"/>
      <c r="D180" s="4"/>
      <c r="E180" s="9"/>
      <c r="F180" s="9">
        <f>F179*15%</f>
        <v>4.1014685999999996</v>
      </c>
      <c r="G180" s="15"/>
    </row>
    <row r="181" spans="1:7" ht="12.75">
      <c r="A181" s="16" t="s">
        <v>24</v>
      </c>
      <c r="B181" s="3"/>
      <c r="C181" s="3"/>
      <c r="D181" s="4"/>
      <c r="E181" s="15"/>
      <c r="F181" s="17">
        <f>ROUND(F180+F179,2)</f>
        <v>31.44</v>
      </c>
      <c r="G181" s="15"/>
    </row>
    <row r="182" spans="1:7" ht="12.75">
      <c r="A182" s="18" t="str">
        <f>CONCATENATE("Say ₹ ",F170," + ",F181," x Cost Index")</f>
        <v>Say ₹ 45.88 + 31.44 x Cost Index</v>
      </c>
      <c r="B182" s="3"/>
      <c r="C182" s="3"/>
      <c r="D182" s="3"/>
      <c r="E182" s="3"/>
      <c r="F182" s="3"/>
      <c r="G182" s="4"/>
    </row>
    <row r="183" spans="1:7" ht="12.75">
      <c r="A183" s="1" t="s">
        <v>0</v>
      </c>
      <c r="B183" s="1" t="s">
        <v>1</v>
      </c>
      <c r="C183" s="2" t="s">
        <v>2</v>
      </c>
      <c r="D183" s="3"/>
      <c r="E183" s="4"/>
      <c r="F183" s="2" t="s">
        <v>3</v>
      </c>
      <c r="G183" s="4"/>
    </row>
    <row r="184" spans="1:7" ht="12.75">
      <c r="A184" s="5"/>
      <c r="B184" s="5"/>
      <c r="C184" s="6" t="s">
        <v>4</v>
      </c>
      <c r="D184" s="6" t="s">
        <v>5</v>
      </c>
      <c r="E184" s="6" t="s">
        <v>6</v>
      </c>
      <c r="F184" s="6" t="s">
        <v>7</v>
      </c>
      <c r="G184" s="6" t="s">
        <v>8</v>
      </c>
    </row>
    <row r="185" spans="1:7" ht="12.75">
      <c r="A185" s="24" t="s">
        <v>55</v>
      </c>
      <c r="B185" s="3"/>
      <c r="C185" s="3"/>
      <c r="D185" s="3"/>
      <c r="E185" s="3"/>
      <c r="F185" s="3"/>
      <c r="G185" s="4"/>
    </row>
    <row r="186" spans="1:7" ht="12.75">
      <c r="A186" s="8"/>
      <c r="B186" s="8" t="s">
        <v>10</v>
      </c>
      <c r="C186" s="8" t="s">
        <v>11</v>
      </c>
      <c r="D186" s="8" t="s">
        <v>12</v>
      </c>
      <c r="E186" s="9">
        <v>1</v>
      </c>
      <c r="F186" s="10"/>
      <c r="G186" s="4"/>
    </row>
    <row r="187" spans="1:7" ht="12.75">
      <c r="A187" s="8" t="s">
        <v>13</v>
      </c>
      <c r="B187" s="10" t="s">
        <v>14</v>
      </c>
      <c r="C187" s="3"/>
      <c r="D187" s="3"/>
      <c r="E187" s="3"/>
      <c r="F187" s="3"/>
      <c r="G187" s="4"/>
    </row>
    <row r="188" spans="1:7" ht="12.75">
      <c r="A188" s="11" t="s">
        <v>15</v>
      </c>
      <c r="B188" s="3"/>
      <c r="C188" s="3"/>
      <c r="D188" s="3"/>
      <c r="E188" s="3"/>
      <c r="F188" s="4"/>
      <c r="G188" s="12" t="s">
        <v>16</v>
      </c>
    </row>
    <row r="189" spans="1:7" ht="12.75">
      <c r="A189" s="13"/>
      <c r="B189" s="13" t="s">
        <v>56</v>
      </c>
      <c r="C189" s="10" t="s">
        <v>57</v>
      </c>
      <c r="D189" s="3"/>
      <c r="E189" s="4"/>
      <c r="F189" s="10"/>
      <c r="G189" s="4"/>
    </row>
    <row r="190" spans="1:7" ht="12.75">
      <c r="A190" s="5"/>
      <c r="B190" s="5"/>
      <c r="C190" s="8" t="s">
        <v>19</v>
      </c>
      <c r="D190" s="9">
        <v>1</v>
      </c>
      <c r="E190" s="9">
        <v>47.50</v>
      </c>
      <c r="F190" s="9">
        <f>D190*E190</f>
        <v>47.50</v>
      </c>
      <c r="G190" s="8" t="s">
        <v>20</v>
      </c>
    </row>
    <row r="191" spans="1:7" ht="12.75">
      <c r="A191" s="14" t="s">
        <v>21</v>
      </c>
      <c r="B191" s="3"/>
      <c r="C191" s="4"/>
      <c r="D191" s="9">
        <v>1</v>
      </c>
      <c r="E191" s="15" t="s">
        <v>11</v>
      </c>
      <c r="F191" s="9">
        <f>F190</f>
        <v>47.50</v>
      </c>
      <c r="G191" s="8"/>
    </row>
    <row r="192" spans="1:7" ht="12.75">
      <c r="A192" s="14" t="s">
        <v>22</v>
      </c>
      <c r="B192" s="3"/>
      <c r="C192" s="4"/>
      <c r="D192" s="9">
        <v>1</v>
      </c>
      <c r="E192" s="15" t="s">
        <v>11</v>
      </c>
      <c r="F192" s="9">
        <f>F191/D191</f>
        <v>47.50</v>
      </c>
      <c r="G192" s="8"/>
    </row>
    <row r="193" spans="1:7" ht="12.75">
      <c r="A193" s="16" t="s">
        <v>23</v>
      </c>
      <c r="B193" s="3"/>
      <c r="C193" s="3"/>
      <c r="D193" s="4"/>
      <c r="E193" s="9"/>
      <c r="F193" s="9">
        <f>F192*1%</f>
        <v>0.475</v>
      </c>
      <c r="G193" s="8"/>
    </row>
    <row r="194" spans="1:7" ht="12.75">
      <c r="A194" s="16" t="s">
        <v>24</v>
      </c>
      <c r="B194" s="3"/>
      <c r="C194" s="3"/>
      <c r="D194" s="4"/>
      <c r="E194" s="15"/>
      <c r="F194" s="9">
        <f>F193+F192</f>
        <v>47.975</v>
      </c>
      <c r="G194" s="8"/>
    </row>
    <row r="195" spans="1:7" ht="12.75">
      <c r="A195" s="16" t="s">
        <v>25</v>
      </c>
      <c r="B195" s="3"/>
      <c r="C195" s="3"/>
      <c r="D195" s="4"/>
      <c r="E195" s="9"/>
      <c r="F195" s="9">
        <f>F194*15%</f>
        <v>7.19625</v>
      </c>
      <c r="G195" s="8"/>
    </row>
    <row r="196" spans="1:7" ht="12.75">
      <c r="A196" s="16" t="s">
        <v>24</v>
      </c>
      <c r="B196" s="3"/>
      <c r="C196" s="3"/>
      <c r="D196" s="4"/>
      <c r="E196" s="15"/>
      <c r="F196" s="17">
        <f>ROUND(F195+F194,2)</f>
        <v>55.17</v>
      </c>
      <c r="G196" s="8"/>
    </row>
    <row r="197" spans="1:7" ht="12.75">
      <c r="A197" s="11" t="s">
        <v>26</v>
      </c>
      <c r="B197" s="3"/>
      <c r="C197" s="3"/>
      <c r="D197" s="3"/>
      <c r="E197" s="3"/>
      <c r="F197" s="4"/>
      <c r="G197" s="12" t="s">
        <v>27</v>
      </c>
    </row>
    <row r="198" spans="1:7" ht="12.75">
      <c r="A198" s="13">
        <v>9999</v>
      </c>
      <c r="B198" s="13"/>
      <c r="C198" s="10" t="s">
        <v>54</v>
      </c>
      <c r="D198" s="3"/>
      <c r="E198" s="4"/>
      <c r="F198" s="10"/>
      <c r="G198" s="4"/>
    </row>
    <row r="199" spans="1:7" ht="12.75">
      <c r="A199" s="5"/>
      <c r="B199" s="5"/>
      <c r="C199" s="8" t="s">
        <v>29</v>
      </c>
      <c r="D199" s="9">
        <v>3.41</v>
      </c>
      <c r="E199" s="9">
        <v>2.12</v>
      </c>
      <c r="F199" s="9">
        <f>E199*D199</f>
        <v>7.2291999999999996</v>
      </c>
      <c r="G199" s="8" t="s">
        <v>30</v>
      </c>
    </row>
    <row r="200" spans="1:7" ht="12.75">
      <c r="A200" s="13">
        <v>9999</v>
      </c>
      <c r="B200" s="13"/>
      <c r="C200" s="10" t="s">
        <v>31</v>
      </c>
      <c r="D200" s="3"/>
      <c r="E200" s="4"/>
      <c r="F200" s="10"/>
      <c r="G200" s="4"/>
    </row>
    <row r="201" spans="1:7" ht="12.75">
      <c r="A201" s="5"/>
      <c r="B201" s="5"/>
      <c r="C201" s="8" t="s">
        <v>29</v>
      </c>
      <c r="D201" s="9">
        <v>9.36</v>
      </c>
      <c r="E201" s="9">
        <v>2.12</v>
      </c>
      <c r="F201" s="9">
        <f>D201*E201</f>
        <v>19.8432</v>
      </c>
      <c r="G201" s="8" t="s">
        <v>32</v>
      </c>
    </row>
    <row r="202" spans="1:7" ht="12.75">
      <c r="A202" s="14" t="s">
        <v>33</v>
      </c>
      <c r="B202" s="3"/>
      <c r="C202" s="4"/>
      <c r="D202" s="9">
        <v>1</v>
      </c>
      <c r="E202" s="15" t="s">
        <v>11</v>
      </c>
      <c r="F202" s="9">
        <f>F201+F199</f>
        <v>27.072399999999998</v>
      </c>
      <c r="G202" s="15"/>
    </row>
    <row r="203" spans="1:7" ht="12.75">
      <c r="A203" s="14" t="s">
        <v>22</v>
      </c>
      <c r="B203" s="3"/>
      <c r="C203" s="4"/>
      <c r="D203" s="9">
        <v>1</v>
      </c>
      <c r="E203" s="15" t="s">
        <v>11</v>
      </c>
      <c r="F203" s="9">
        <f>F202/D202</f>
        <v>27.072399999999998</v>
      </c>
      <c r="G203" s="15"/>
    </row>
    <row r="204" spans="1:7" ht="12.75">
      <c r="A204" s="16" t="s">
        <v>23</v>
      </c>
      <c r="B204" s="3"/>
      <c r="C204" s="3"/>
      <c r="D204" s="4"/>
      <c r="E204" s="9"/>
      <c r="F204" s="9">
        <f>F203*1%</f>
        <v>0.27072400000000002</v>
      </c>
      <c r="G204" s="15"/>
    </row>
    <row r="205" spans="1:7" ht="12.75">
      <c r="A205" s="16" t="s">
        <v>24</v>
      </c>
      <c r="B205" s="3"/>
      <c r="C205" s="3"/>
      <c r="D205" s="4"/>
      <c r="E205" s="15"/>
      <c r="F205" s="9">
        <f>F204+F203</f>
        <v>27.343124</v>
      </c>
      <c r="G205" s="15"/>
    </row>
    <row r="206" spans="1:7" ht="12.75">
      <c r="A206" s="16" t="s">
        <v>25</v>
      </c>
      <c r="B206" s="3"/>
      <c r="C206" s="3"/>
      <c r="D206" s="4"/>
      <c r="E206" s="9"/>
      <c r="F206" s="9">
        <f>F205*15%</f>
        <v>4.1014685999999996</v>
      </c>
      <c r="G206" s="15"/>
    </row>
    <row r="207" spans="1:7" ht="12.75">
      <c r="A207" s="16" t="s">
        <v>24</v>
      </c>
      <c r="B207" s="3"/>
      <c r="C207" s="3"/>
      <c r="D207" s="4"/>
      <c r="E207" s="15"/>
      <c r="F207" s="17">
        <f>ROUND(F206+F205,2)</f>
        <v>31.44</v>
      </c>
      <c r="G207" s="15"/>
    </row>
    <row r="208" spans="1:7" ht="12.75">
      <c r="A208" s="18" t="str">
        <f>CONCATENATE("Say ₹ ",F196," + ",F207," x Cost Index")</f>
        <v>Say ₹ 55.17 + 31.44 x Cost Index</v>
      </c>
      <c r="B208" s="3"/>
      <c r="C208" s="3"/>
      <c r="D208" s="3"/>
      <c r="E208" s="3"/>
      <c r="F208" s="3"/>
      <c r="G208" s="4"/>
    </row>
    <row r="209" spans="1:7" ht="12.75">
      <c r="A209" s="1" t="s">
        <v>0</v>
      </c>
      <c r="B209" s="1" t="s">
        <v>1</v>
      </c>
      <c r="C209" s="2" t="s">
        <v>2</v>
      </c>
      <c r="D209" s="3"/>
      <c r="E209" s="4"/>
      <c r="F209" s="2" t="s">
        <v>3</v>
      </c>
      <c r="G209" s="4"/>
    </row>
    <row r="210" spans="1:7" ht="12.75">
      <c r="A210" s="5"/>
      <c r="B210" s="5"/>
      <c r="C210" s="6" t="s">
        <v>4</v>
      </c>
      <c r="D210" s="6" t="s">
        <v>5</v>
      </c>
      <c r="E210" s="6" t="s">
        <v>6</v>
      </c>
      <c r="F210" s="6" t="s">
        <v>7</v>
      </c>
      <c r="G210" s="6" t="s">
        <v>8</v>
      </c>
    </row>
    <row r="211" spans="1:7" ht="12.75">
      <c r="A211" s="24" t="s">
        <v>58</v>
      </c>
      <c r="B211" s="3"/>
      <c r="C211" s="3"/>
      <c r="D211" s="3"/>
      <c r="E211" s="3"/>
      <c r="F211" s="3"/>
      <c r="G211" s="4"/>
    </row>
    <row r="212" spans="1:7" ht="12.75">
      <c r="A212" s="8"/>
      <c r="B212" s="8" t="s">
        <v>10</v>
      </c>
      <c r="C212" s="8" t="s">
        <v>11</v>
      </c>
      <c r="D212" s="8" t="s">
        <v>12</v>
      </c>
      <c r="E212" s="9">
        <v>1</v>
      </c>
      <c r="F212" s="10"/>
      <c r="G212" s="4"/>
    </row>
    <row r="213" spans="1:7" ht="12.75">
      <c r="A213" s="8" t="s">
        <v>13</v>
      </c>
      <c r="B213" s="10" t="s">
        <v>59</v>
      </c>
      <c r="C213" s="3"/>
      <c r="D213" s="3"/>
      <c r="E213" s="3"/>
      <c r="F213" s="3"/>
      <c r="G213" s="4"/>
    </row>
    <row r="214" spans="1:7" ht="12.75">
      <c r="A214" s="11" t="s">
        <v>15</v>
      </c>
      <c r="B214" s="3"/>
      <c r="C214" s="3"/>
      <c r="D214" s="3"/>
      <c r="E214" s="3"/>
      <c r="F214" s="4"/>
      <c r="G214" s="12" t="s">
        <v>16</v>
      </c>
    </row>
    <row r="215" spans="1:7" ht="12.75">
      <c r="A215" s="13"/>
      <c r="B215" s="13" t="s">
        <v>60</v>
      </c>
      <c r="C215" s="10" t="s">
        <v>61</v>
      </c>
      <c r="D215" s="3"/>
      <c r="E215" s="4"/>
      <c r="F215" s="10"/>
      <c r="G215" s="4"/>
    </row>
    <row r="216" spans="1:7" ht="12.75">
      <c r="A216" s="5"/>
      <c r="B216" s="5"/>
      <c r="C216" s="8" t="s">
        <v>19</v>
      </c>
      <c r="D216" s="9">
        <v>1</v>
      </c>
      <c r="E216" s="9">
        <v>112</v>
      </c>
      <c r="F216" s="9">
        <f>D216*E216</f>
        <v>112</v>
      </c>
      <c r="G216" s="8" t="s">
        <v>20</v>
      </c>
    </row>
    <row r="217" spans="1:7" ht="12.75">
      <c r="A217" s="14" t="s">
        <v>21</v>
      </c>
      <c r="B217" s="3"/>
      <c r="C217" s="4"/>
      <c r="D217" s="9">
        <v>1</v>
      </c>
      <c r="E217" s="15" t="s">
        <v>11</v>
      </c>
      <c r="F217" s="9">
        <f>F216</f>
        <v>112</v>
      </c>
      <c r="G217" s="8"/>
    </row>
    <row r="218" spans="1:7" ht="12.75">
      <c r="A218" s="14" t="s">
        <v>22</v>
      </c>
      <c r="B218" s="3"/>
      <c r="C218" s="4"/>
      <c r="D218" s="9">
        <v>1</v>
      </c>
      <c r="E218" s="15" t="s">
        <v>11</v>
      </c>
      <c r="F218" s="9">
        <f>F217/D217</f>
        <v>112</v>
      </c>
      <c r="G218" s="8"/>
    </row>
    <row r="219" spans="1:7" ht="12.75">
      <c r="A219" s="16" t="s">
        <v>23</v>
      </c>
      <c r="B219" s="3"/>
      <c r="C219" s="3"/>
      <c r="D219" s="4"/>
      <c r="E219" s="9"/>
      <c r="F219" s="9">
        <f>F218*1%</f>
        <v>1.12</v>
      </c>
      <c r="G219" s="8"/>
    </row>
    <row r="220" spans="1:7" ht="12.75">
      <c r="A220" s="16" t="s">
        <v>24</v>
      </c>
      <c r="B220" s="3"/>
      <c r="C220" s="3"/>
      <c r="D220" s="4"/>
      <c r="E220" s="15"/>
      <c r="F220" s="9">
        <f>F219+F218</f>
        <v>113.12</v>
      </c>
      <c r="G220" s="8"/>
    </row>
    <row r="221" spans="1:7" ht="12.75">
      <c r="A221" s="16" t="s">
        <v>25</v>
      </c>
      <c r="B221" s="3"/>
      <c r="C221" s="3"/>
      <c r="D221" s="4"/>
      <c r="E221" s="9"/>
      <c r="F221" s="9">
        <f>F220*15%</f>
        <v>16.968</v>
      </c>
      <c r="G221" s="8"/>
    </row>
    <row r="222" spans="1:7" ht="12.75">
      <c r="A222" s="16" t="s">
        <v>24</v>
      </c>
      <c r="B222" s="3"/>
      <c r="C222" s="3"/>
      <c r="D222" s="4"/>
      <c r="E222" s="15"/>
      <c r="F222" s="17">
        <f>ROUND(F221+F220,2)</f>
        <v>130.09</v>
      </c>
      <c r="G222" s="8"/>
    </row>
    <row r="223" spans="1:7" ht="12.75">
      <c r="A223" s="11" t="s">
        <v>26</v>
      </c>
      <c r="B223" s="3"/>
      <c r="C223" s="3"/>
      <c r="D223" s="3"/>
      <c r="E223" s="3"/>
      <c r="F223" s="4"/>
      <c r="G223" s="12" t="s">
        <v>27</v>
      </c>
    </row>
    <row r="224" spans="1:7" ht="12.75">
      <c r="A224" s="13">
        <v>9999</v>
      </c>
      <c r="B224" s="13"/>
      <c r="C224" s="10" t="s">
        <v>28</v>
      </c>
      <c r="D224" s="3"/>
      <c r="E224" s="4"/>
      <c r="F224" s="10"/>
      <c r="G224" s="4"/>
    </row>
    <row r="225" spans="1:7" ht="12.75">
      <c r="A225" s="5"/>
      <c r="B225" s="5"/>
      <c r="C225" s="8" t="s">
        <v>29</v>
      </c>
      <c r="D225" s="9">
        <v>3.41</v>
      </c>
      <c r="E225" s="9">
        <v>2.12</v>
      </c>
      <c r="F225" s="9">
        <f>E225*D225</f>
        <v>7.2291999999999996</v>
      </c>
      <c r="G225" s="8" t="s">
        <v>30</v>
      </c>
    </row>
    <row r="226" spans="1:7" ht="12.75">
      <c r="A226" s="13">
        <v>9999</v>
      </c>
      <c r="B226" s="13"/>
      <c r="C226" s="10" t="s">
        <v>31</v>
      </c>
      <c r="D226" s="3"/>
      <c r="E226" s="4"/>
      <c r="F226" s="10"/>
      <c r="G226" s="4"/>
    </row>
    <row r="227" spans="1:7" ht="12.75">
      <c r="A227" s="5"/>
      <c r="B227" s="5"/>
      <c r="C227" s="8" t="s">
        <v>29</v>
      </c>
      <c r="D227" s="9">
        <v>10.79</v>
      </c>
      <c r="E227" s="9">
        <v>2.12</v>
      </c>
      <c r="F227" s="9">
        <f>D227*E227</f>
        <v>22.8748</v>
      </c>
      <c r="G227" s="8" t="s">
        <v>32</v>
      </c>
    </row>
    <row r="228" spans="1:7" ht="12.75">
      <c r="A228" s="14" t="s">
        <v>33</v>
      </c>
      <c r="B228" s="3"/>
      <c r="C228" s="4"/>
      <c r="D228" s="9">
        <v>1</v>
      </c>
      <c r="E228" s="15" t="s">
        <v>11</v>
      </c>
      <c r="F228" s="9">
        <f>F227+F225</f>
        <v>30.103999999999999</v>
      </c>
      <c r="G228" s="15"/>
    </row>
    <row r="229" spans="1:7" ht="12.75">
      <c r="A229" s="14" t="s">
        <v>22</v>
      </c>
      <c r="B229" s="3"/>
      <c r="C229" s="4"/>
      <c r="D229" s="9">
        <v>1</v>
      </c>
      <c r="E229" s="15" t="s">
        <v>11</v>
      </c>
      <c r="F229" s="9">
        <f>F228/D228</f>
        <v>30.103999999999999</v>
      </c>
      <c r="G229" s="15"/>
    </row>
    <row r="230" spans="1:7" ht="12.75">
      <c r="A230" s="16" t="s">
        <v>23</v>
      </c>
      <c r="B230" s="3"/>
      <c r="C230" s="3"/>
      <c r="D230" s="4"/>
      <c r="E230" s="9"/>
      <c r="F230" s="9">
        <f>F229*1%</f>
        <v>0.30103999999999997</v>
      </c>
      <c r="G230" s="15"/>
    </row>
    <row r="231" spans="1:7" ht="12.75">
      <c r="A231" s="16" t="s">
        <v>24</v>
      </c>
      <c r="B231" s="3"/>
      <c r="C231" s="3"/>
      <c r="D231" s="4"/>
      <c r="E231" s="15"/>
      <c r="F231" s="9">
        <f>F230+F229</f>
        <v>30.40504</v>
      </c>
      <c r="G231" s="15"/>
    </row>
    <row r="232" spans="1:7" ht="12.75">
      <c r="A232" s="16" t="s">
        <v>25</v>
      </c>
      <c r="B232" s="3"/>
      <c r="C232" s="3"/>
      <c r="D232" s="4"/>
      <c r="E232" s="9"/>
      <c r="F232" s="9">
        <f>F231*15%</f>
        <v>4.5607559999999996</v>
      </c>
      <c r="G232" s="15"/>
    </row>
    <row r="233" spans="1:7" ht="12.75">
      <c r="A233" s="16" t="s">
        <v>24</v>
      </c>
      <c r="B233" s="3"/>
      <c r="C233" s="3"/>
      <c r="D233" s="4"/>
      <c r="E233" s="15"/>
      <c r="F233" s="17">
        <f>ROUND(F232+F231,2)</f>
        <v>34.97</v>
      </c>
      <c r="G233" s="15"/>
    </row>
    <row r="234" spans="1:7" ht="12.75">
      <c r="A234" s="18" t="str">
        <f>CONCATENATE("Say ₹ ",F222," + ",F233," x Cost Index")</f>
        <v>Say ₹ 130.09 + 34.97 x Cost Index</v>
      </c>
      <c r="B234" s="3"/>
      <c r="C234" s="3"/>
      <c r="D234" s="3"/>
      <c r="E234" s="3"/>
      <c r="F234" s="3"/>
      <c r="G234" s="4"/>
    </row>
    <row r="235" spans="1:7" ht="12.75">
      <c r="A235" s="1" t="s">
        <v>0</v>
      </c>
      <c r="B235" s="1" t="s">
        <v>1</v>
      </c>
      <c r="C235" s="2" t="s">
        <v>2</v>
      </c>
      <c r="D235" s="3"/>
      <c r="E235" s="4"/>
      <c r="F235" s="2" t="s">
        <v>3</v>
      </c>
      <c r="G235" s="4"/>
    </row>
    <row r="236" spans="1:7" ht="12.75">
      <c r="A236" s="5"/>
      <c r="B236" s="5"/>
      <c r="C236" s="6" t="s">
        <v>4</v>
      </c>
      <c r="D236" s="6" t="s">
        <v>5</v>
      </c>
      <c r="E236" s="6" t="s">
        <v>6</v>
      </c>
      <c r="F236" s="6" t="s">
        <v>7</v>
      </c>
      <c r="G236" s="6" t="s">
        <v>8</v>
      </c>
    </row>
    <row r="237" spans="1:7" ht="12.75">
      <c r="A237" s="24" t="s">
        <v>62</v>
      </c>
      <c r="B237" s="3"/>
      <c r="C237" s="3"/>
      <c r="D237" s="3"/>
      <c r="E237" s="3"/>
      <c r="F237" s="3"/>
      <c r="G237" s="4"/>
    </row>
    <row r="238" spans="1:7" ht="12.75">
      <c r="A238" s="8"/>
      <c r="B238" s="8" t="s">
        <v>10</v>
      </c>
      <c r="C238" s="8" t="s">
        <v>11</v>
      </c>
      <c r="D238" s="8" t="s">
        <v>12</v>
      </c>
      <c r="E238" s="9">
        <v>1</v>
      </c>
      <c r="F238" s="10"/>
      <c r="G238" s="4"/>
    </row>
    <row r="239" spans="1:7" ht="12.75">
      <c r="A239" s="8" t="s">
        <v>13</v>
      </c>
      <c r="B239" s="10" t="s">
        <v>14</v>
      </c>
      <c r="C239" s="3"/>
      <c r="D239" s="3"/>
      <c r="E239" s="3"/>
      <c r="F239" s="3"/>
      <c r="G239" s="4"/>
    </row>
    <row r="240" spans="1:7" ht="12.75">
      <c r="A240" s="11" t="s">
        <v>15</v>
      </c>
      <c r="B240" s="3"/>
      <c r="C240" s="3"/>
      <c r="D240" s="3"/>
      <c r="E240" s="3"/>
      <c r="F240" s="4"/>
      <c r="G240" s="12" t="s">
        <v>16</v>
      </c>
    </row>
    <row r="241" spans="1:7" ht="12.75">
      <c r="A241" s="13"/>
      <c r="B241" s="13" t="s">
        <v>63</v>
      </c>
      <c r="C241" s="10" t="s">
        <v>64</v>
      </c>
      <c r="D241" s="3"/>
      <c r="E241" s="4"/>
      <c r="F241" s="10"/>
      <c r="G241" s="4"/>
    </row>
    <row r="242" spans="1:7" ht="12.75">
      <c r="A242" s="5"/>
      <c r="B242" s="5"/>
      <c r="C242" s="8" t="s">
        <v>19</v>
      </c>
      <c r="D242" s="9">
        <v>1</v>
      </c>
      <c r="E242" s="9">
        <v>46.50</v>
      </c>
      <c r="F242" s="9">
        <f>D242*E242</f>
        <v>46.50</v>
      </c>
      <c r="G242" s="8" t="s">
        <v>20</v>
      </c>
    </row>
    <row r="243" spans="1:7" ht="12.75">
      <c r="A243" s="14" t="s">
        <v>21</v>
      </c>
      <c r="B243" s="3"/>
      <c r="C243" s="4"/>
      <c r="D243" s="9">
        <v>1</v>
      </c>
      <c r="E243" s="15" t="s">
        <v>11</v>
      </c>
      <c r="F243" s="9">
        <f>F242</f>
        <v>46.50</v>
      </c>
      <c r="G243" s="8"/>
    </row>
    <row r="244" spans="1:7" ht="12.75">
      <c r="A244" s="14" t="s">
        <v>22</v>
      </c>
      <c r="B244" s="3"/>
      <c r="C244" s="4"/>
      <c r="D244" s="9">
        <v>1</v>
      </c>
      <c r="E244" s="15" t="s">
        <v>11</v>
      </c>
      <c r="F244" s="9">
        <f>F243/D243</f>
        <v>46.50</v>
      </c>
      <c r="G244" s="8"/>
    </row>
    <row r="245" spans="1:7" ht="12.75">
      <c r="A245" s="16" t="s">
        <v>23</v>
      </c>
      <c r="B245" s="3"/>
      <c r="C245" s="3"/>
      <c r="D245" s="4"/>
      <c r="E245" s="9"/>
      <c r="F245" s="9">
        <f>F244*1%</f>
        <v>0.465</v>
      </c>
      <c r="G245" s="8"/>
    </row>
    <row r="246" spans="1:7" ht="12.75">
      <c r="A246" s="16" t="s">
        <v>24</v>
      </c>
      <c r="B246" s="3"/>
      <c r="C246" s="3"/>
      <c r="D246" s="4"/>
      <c r="E246" s="15"/>
      <c r="F246" s="9">
        <f>F245+F244</f>
        <v>46.965</v>
      </c>
      <c r="G246" s="8"/>
    </row>
    <row r="247" spans="1:7" ht="12.75">
      <c r="A247" s="16" t="s">
        <v>25</v>
      </c>
      <c r="B247" s="3"/>
      <c r="C247" s="3"/>
      <c r="D247" s="4"/>
      <c r="E247" s="9"/>
      <c r="F247" s="9">
        <f>F246*15%</f>
        <v>7.0447499999999996</v>
      </c>
      <c r="G247" s="8"/>
    </row>
    <row r="248" spans="1:7" ht="12.75">
      <c r="A248" s="16" t="s">
        <v>24</v>
      </c>
      <c r="B248" s="3"/>
      <c r="C248" s="3"/>
      <c r="D248" s="4"/>
      <c r="E248" s="15"/>
      <c r="F248" s="17">
        <f>ROUND(F247+F246,2)</f>
        <v>54.01</v>
      </c>
      <c r="G248" s="8"/>
    </row>
    <row r="249" spans="1:7" ht="12.75">
      <c r="A249" s="11" t="s">
        <v>26</v>
      </c>
      <c r="B249" s="3"/>
      <c r="C249" s="3"/>
      <c r="D249" s="3"/>
      <c r="E249" s="3"/>
      <c r="F249" s="4"/>
      <c r="G249" s="12" t="s">
        <v>27</v>
      </c>
    </row>
    <row r="250" spans="1:7" ht="12.75">
      <c r="A250" s="13">
        <v>9999</v>
      </c>
      <c r="B250" s="13"/>
      <c r="C250" s="10" t="s">
        <v>54</v>
      </c>
      <c r="D250" s="3"/>
      <c r="E250" s="4"/>
      <c r="F250" s="10"/>
      <c r="G250" s="4"/>
    </row>
    <row r="251" spans="1:7" ht="12.75">
      <c r="A251" s="5"/>
      <c r="B251" s="5"/>
      <c r="C251" s="8" t="s">
        <v>29</v>
      </c>
      <c r="D251" s="9">
        <v>3.41</v>
      </c>
      <c r="E251" s="9">
        <v>2.12</v>
      </c>
      <c r="F251" s="9">
        <f>E251*D251</f>
        <v>7.2291999999999996</v>
      </c>
      <c r="G251" s="8" t="s">
        <v>30</v>
      </c>
    </row>
    <row r="252" spans="1:7" ht="12.75">
      <c r="A252" s="13">
        <v>9999</v>
      </c>
      <c r="B252" s="13"/>
      <c r="C252" s="10" t="s">
        <v>31</v>
      </c>
      <c r="D252" s="3"/>
      <c r="E252" s="4"/>
      <c r="F252" s="10"/>
      <c r="G252" s="4"/>
    </row>
    <row r="253" spans="1:7" ht="12.75">
      <c r="A253" s="5"/>
      <c r="B253" s="5"/>
      <c r="C253" s="8" t="s">
        <v>29</v>
      </c>
      <c r="D253" s="9">
        <v>9.36</v>
      </c>
      <c r="E253" s="9">
        <v>2.12</v>
      </c>
      <c r="F253" s="9">
        <f>D253*E253</f>
        <v>19.8432</v>
      </c>
      <c r="G253" s="8" t="s">
        <v>32</v>
      </c>
    </row>
    <row r="254" spans="1:7" ht="12.75">
      <c r="A254" s="14" t="s">
        <v>33</v>
      </c>
      <c r="B254" s="3"/>
      <c r="C254" s="4"/>
      <c r="D254" s="9">
        <v>1</v>
      </c>
      <c r="E254" s="15" t="s">
        <v>11</v>
      </c>
      <c r="F254" s="9">
        <f>F253+F251</f>
        <v>27.072399999999998</v>
      </c>
      <c r="G254" s="15"/>
    </row>
    <row r="255" spans="1:7" ht="12.75">
      <c r="A255" s="14" t="s">
        <v>22</v>
      </c>
      <c r="B255" s="3"/>
      <c r="C255" s="4"/>
      <c r="D255" s="9">
        <v>1</v>
      </c>
      <c r="E255" s="15" t="s">
        <v>11</v>
      </c>
      <c r="F255" s="9">
        <f>F254/D254</f>
        <v>27.072399999999998</v>
      </c>
      <c r="G255" s="15"/>
    </row>
    <row r="256" spans="1:7" ht="12.75">
      <c r="A256" s="16" t="s">
        <v>23</v>
      </c>
      <c r="B256" s="3"/>
      <c r="C256" s="3"/>
      <c r="D256" s="4"/>
      <c r="E256" s="9"/>
      <c r="F256" s="9">
        <f>F255*1%</f>
        <v>0.27072400000000002</v>
      </c>
      <c r="G256" s="15"/>
    </row>
    <row r="257" spans="1:7" ht="12.75">
      <c r="A257" s="16" t="s">
        <v>24</v>
      </c>
      <c r="B257" s="3"/>
      <c r="C257" s="3"/>
      <c r="D257" s="4"/>
      <c r="E257" s="15"/>
      <c r="F257" s="9">
        <f>F256+F255</f>
        <v>27.343124</v>
      </c>
      <c r="G257" s="15"/>
    </row>
    <row r="258" spans="1:7" ht="12.75">
      <c r="A258" s="16" t="s">
        <v>25</v>
      </c>
      <c r="B258" s="3"/>
      <c r="C258" s="3"/>
      <c r="D258" s="4"/>
      <c r="E258" s="9"/>
      <c r="F258" s="9">
        <f>F257*15%</f>
        <v>4.1014685999999996</v>
      </c>
      <c r="G258" s="15"/>
    </row>
    <row r="259" spans="1:7" ht="12.75">
      <c r="A259" s="16" t="s">
        <v>24</v>
      </c>
      <c r="B259" s="3"/>
      <c r="C259" s="3"/>
      <c r="D259" s="4"/>
      <c r="E259" s="15"/>
      <c r="F259" s="17">
        <f>ROUND(F258+F257,2)</f>
        <v>31.44</v>
      </c>
      <c r="G259" s="15"/>
    </row>
    <row r="260" spans="1:7" ht="12.75">
      <c r="A260" s="18" t="str">
        <f>CONCATENATE("Say ₹ ",F248," + ",F259," x Cost Index")</f>
        <v>Say ₹ 54.01 + 31.44 x Cost Index</v>
      </c>
      <c r="B260" s="3"/>
      <c r="C260" s="3"/>
      <c r="D260" s="3"/>
      <c r="E260" s="3"/>
      <c r="F260" s="3"/>
      <c r="G260" s="4"/>
    </row>
    <row r="261" spans="1:7" ht="12.75">
      <c r="A261" s="1" t="s">
        <v>0</v>
      </c>
      <c r="B261" s="1" t="s">
        <v>1</v>
      </c>
      <c r="C261" s="2" t="s">
        <v>2</v>
      </c>
      <c r="D261" s="3"/>
      <c r="E261" s="4"/>
      <c r="F261" s="2" t="s">
        <v>3</v>
      </c>
      <c r="G261" s="4"/>
    </row>
    <row r="262" spans="1:7" ht="12.75">
      <c r="A262" s="5"/>
      <c r="B262" s="5"/>
      <c r="C262" s="6" t="s">
        <v>4</v>
      </c>
      <c r="D262" s="6" t="s">
        <v>5</v>
      </c>
      <c r="E262" s="6" t="s">
        <v>6</v>
      </c>
      <c r="F262" s="6" t="s">
        <v>7</v>
      </c>
      <c r="G262" s="6" t="s">
        <v>8</v>
      </c>
    </row>
    <row r="263" spans="1:7" ht="12.75">
      <c r="A263" s="24" t="s">
        <v>65</v>
      </c>
      <c r="B263" s="3"/>
      <c r="C263" s="3"/>
      <c r="D263" s="3"/>
      <c r="E263" s="3"/>
      <c r="F263" s="3"/>
      <c r="G263" s="4"/>
    </row>
    <row r="264" spans="1:7" ht="12.75">
      <c r="A264" s="8"/>
      <c r="B264" s="8" t="s">
        <v>10</v>
      </c>
      <c r="C264" s="8" t="s">
        <v>11</v>
      </c>
      <c r="D264" s="8" t="s">
        <v>12</v>
      </c>
      <c r="E264" s="9">
        <v>1</v>
      </c>
      <c r="F264" s="10"/>
      <c r="G264" s="4"/>
    </row>
    <row r="265" spans="1:7" ht="12.75">
      <c r="A265" s="8" t="s">
        <v>13</v>
      </c>
      <c r="B265" s="10" t="s">
        <v>14</v>
      </c>
      <c r="C265" s="3"/>
      <c r="D265" s="3"/>
      <c r="E265" s="3"/>
      <c r="F265" s="3"/>
      <c r="G265" s="4"/>
    </row>
    <row r="266" spans="1:7" ht="12.75">
      <c r="A266" s="11" t="s">
        <v>15</v>
      </c>
      <c r="B266" s="3"/>
      <c r="C266" s="3"/>
      <c r="D266" s="3"/>
      <c r="E266" s="3"/>
      <c r="F266" s="4"/>
      <c r="G266" s="12" t="s">
        <v>16</v>
      </c>
    </row>
    <row r="267" spans="1:7" ht="12.75">
      <c r="A267" s="13"/>
      <c r="B267" s="13" t="s">
        <v>66</v>
      </c>
      <c r="C267" s="10" t="s">
        <v>67</v>
      </c>
      <c r="D267" s="3"/>
      <c r="E267" s="4"/>
      <c r="F267" s="10"/>
      <c r="G267" s="4"/>
    </row>
    <row r="268" spans="1:7" ht="12.75">
      <c r="A268" s="5"/>
      <c r="B268" s="5"/>
      <c r="C268" s="8" t="s">
        <v>19</v>
      </c>
      <c r="D268" s="9">
        <v>1</v>
      </c>
      <c r="E268" s="9">
        <v>57.50</v>
      </c>
      <c r="F268" s="9">
        <f>D268*E268</f>
        <v>57.50</v>
      </c>
      <c r="G268" s="8" t="s">
        <v>20</v>
      </c>
    </row>
    <row r="269" spans="1:7" ht="12.75">
      <c r="A269" s="14" t="s">
        <v>21</v>
      </c>
      <c r="B269" s="3"/>
      <c r="C269" s="4"/>
      <c r="D269" s="9">
        <v>1</v>
      </c>
      <c r="E269" s="15" t="s">
        <v>11</v>
      </c>
      <c r="F269" s="9">
        <f>F268</f>
        <v>57.50</v>
      </c>
      <c r="G269" s="8"/>
    </row>
    <row r="270" spans="1:7" ht="12.75">
      <c r="A270" s="14" t="s">
        <v>22</v>
      </c>
      <c r="B270" s="3"/>
      <c r="C270" s="4"/>
      <c r="D270" s="9">
        <v>1</v>
      </c>
      <c r="E270" s="15" t="s">
        <v>11</v>
      </c>
      <c r="F270" s="9">
        <f>F269/D269</f>
        <v>57.50</v>
      </c>
      <c r="G270" s="8"/>
    </row>
    <row r="271" spans="1:7" ht="12.75">
      <c r="A271" s="16" t="s">
        <v>23</v>
      </c>
      <c r="B271" s="3"/>
      <c r="C271" s="3"/>
      <c r="D271" s="4"/>
      <c r="E271" s="9"/>
      <c r="F271" s="9">
        <f>F270*1%</f>
        <v>0.575</v>
      </c>
      <c r="G271" s="8"/>
    </row>
    <row r="272" spans="1:7" ht="12.75">
      <c r="A272" s="16" t="s">
        <v>24</v>
      </c>
      <c r="B272" s="3"/>
      <c r="C272" s="3"/>
      <c r="D272" s="4"/>
      <c r="E272" s="15"/>
      <c r="F272" s="9">
        <f>F271+F270</f>
        <v>58.075</v>
      </c>
      <c r="G272" s="8"/>
    </row>
    <row r="273" spans="1:7" ht="12.75">
      <c r="A273" s="16" t="s">
        <v>25</v>
      </c>
      <c r="B273" s="3"/>
      <c r="C273" s="3"/>
      <c r="D273" s="4"/>
      <c r="E273" s="9"/>
      <c r="F273" s="9">
        <f>F272*15%</f>
        <v>8.71125</v>
      </c>
      <c r="G273" s="8"/>
    </row>
    <row r="274" spans="1:7" ht="12.75">
      <c r="A274" s="16" t="s">
        <v>24</v>
      </c>
      <c r="B274" s="3"/>
      <c r="C274" s="3"/>
      <c r="D274" s="4"/>
      <c r="E274" s="15"/>
      <c r="F274" s="17">
        <f>ROUND(F273+F272,2)</f>
        <v>66.79</v>
      </c>
      <c r="G274" s="8"/>
    </row>
    <row r="275" spans="1:7" ht="12.75">
      <c r="A275" s="11" t="s">
        <v>26</v>
      </c>
      <c r="B275" s="3"/>
      <c r="C275" s="3"/>
      <c r="D275" s="3"/>
      <c r="E275" s="3"/>
      <c r="F275" s="4"/>
      <c r="G275" s="12" t="s">
        <v>27</v>
      </c>
    </row>
    <row r="276" spans="1:7" ht="12.75">
      <c r="A276" s="13">
        <v>9999</v>
      </c>
      <c r="B276" s="13"/>
      <c r="C276" s="10" t="s">
        <v>54</v>
      </c>
      <c r="D276" s="3"/>
      <c r="E276" s="4"/>
      <c r="F276" s="10"/>
      <c r="G276" s="4"/>
    </row>
    <row r="277" spans="1:7" ht="12.75">
      <c r="A277" s="5"/>
      <c r="B277" s="5"/>
      <c r="C277" s="8" t="s">
        <v>29</v>
      </c>
      <c r="D277" s="9">
        <v>3.41</v>
      </c>
      <c r="E277" s="9">
        <v>2.12</v>
      </c>
      <c r="F277" s="9">
        <f>E277*D277</f>
        <v>7.2291999999999996</v>
      </c>
      <c r="G277" s="8" t="s">
        <v>30</v>
      </c>
    </row>
    <row r="278" spans="1:7" ht="12.75">
      <c r="A278" s="13">
        <v>9999</v>
      </c>
      <c r="B278" s="13"/>
      <c r="C278" s="10" t="s">
        <v>31</v>
      </c>
      <c r="D278" s="3"/>
      <c r="E278" s="4"/>
      <c r="F278" s="10"/>
      <c r="G278" s="4"/>
    </row>
    <row r="279" spans="1:7" ht="12.75">
      <c r="A279" s="5"/>
      <c r="B279" s="5"/>
      <c r="C279" s="8" t="s">
        <v>29</v>
      </c>
      <c r="D279" s="9">
        <v>9.36</v>
      </c>
      <c r="E279" s="9">
        <v>2.12</v>
      </c>
      <c r="F279" s="9">
        <f>D279*E279</f>
        <v>19.8432</v>
      </c>
      <c r="G279" s="8" t="s">
        <v>32</v>
      </c>
    </row>
    <row r="280" spans="1:7" ht="12.75">
      <c r="A280" s="14" t="s">
        <v>33</v>
      </c>
      <c r="B280" s="3"/>
      <c r="C280" s="4"/>
      <c r="D280" s="9">
        <v>1</v>
      </c>
      <c r="E280" s="15" t="s">
        <v>11</v>
      </c>
      <c r="F280" s="9">
        <f>F279+F277</f>
        <v>27.072399999999998</v>
      </c>
      <c r="G280" s="15"/>
    </row>
    <row r="281" spans="1:7" ht="12.75">
      <c r="A281" s="14" t="s">
        <v>22</v>
      </c>
      <c r="B281" s="3"/>
      <c r="C281" s="4"/>
      <c r="D281" s="9">
        <v>1</v>
      </c>
      <c r="E281" s="15" t="s">
        <v>11</v>
      </c>
      <c r="F281" s="9">
        <f>F280/D280</f>
        <v>27.072399999999998</v>
      </c>
      <c r="G281" s="15"/>
    </row>
    <row r="282" spans="1:7" ht="12.75">
      <c r="A282" s="16" t="s">
        <v>23</v>
      </c>
      <c r="B282" s="3"/>
      <c r="C282" s="3"/>
      <c r="D282" s="4"/>
      <c r="E282" s="9"/>
      <c r="F282" s="9">
        <f>F281*1%</f>
        <v>0.27072400000000002</v>
      </c>
      <c r="G282" s="15"/>
    </row>
    <row r="283" spans="1:7" ht="12.75">
      <c r="A283" s="16" t="s">
        <v>24</v>
      </c>
      <c r="B283" s="3"/>
      <c r="C283" s="3"/>
      <c r="D283" s="4"/>
      <c r="E283" s="15"/>
      <c r="F283" s="9">
        <f>F282+F281</f>
        <v>27.343124</v>
      </c>
      <c r="G283" s="15"/>
    </row>
    <row r="284" spans="1:7" ht="12.75">
      <c r="A284" s="16" t="s">
        <v>25</v>
      </c>
      <c r="B284" s="3"/>
      <c r="C284" s="3"/>
      <c r="D284" s="4"/>
      <c r="E284" s="9"/>
      <c r="F284" s="9">
        <f>F283*15%</f>
        <v>4.1014685999999996</v>
      </c>
      <c r="G284" s="15"/>
    </row>
    <row r="285" spans="1:7" ht="12.75">
      <c r="A285" s="16" t="s">
        <v>24</v>
      </c>
      <c r="B285" s="3"/>
      <c r="C285" s="3"/>
      <c r="D285" s="4"/>
      <c r="E285" s="15"/>
      <c r="F285" s="17">
        <f>ROUND(F284+F283,2)</f>
        <v>31.44</v>
      </c>
      <c r="G285" s="15"/>
    </row>
    <row r="286" spans="1:7" ht="12.75">
      <c r="A286" s="18" t="str">
        <f>CONCATENATE("Say ₹ ",F274," + ",F285," x Cost Index")</f>
        <v>Say ₹ 66.79 + 31.44 x Cost Index</v>
      </c>
      <c r="B286" s="3"/>
      <c r="C286" s="3"/>
      <c r="D286" s="3"/>
      <c r="E286" s="3"/>
      <c r="F286" s="3"/>
      <c r="G286" s="4"/>
    </row>
    <row r="287" spans="1:7" ht="12.75">
      <c r="A287" s="1" t="s">
        <v>0</v>
      </c>
      <c r="B287" s="1" t="s">
        <v>1</v>
      </c>
      <c r="C287" s="2" t="s">
        <v>2</v>
      </c>
      <c r="D287" s="3"/>
      <c r="E287" s="4"/>
      <c r="F287" s="2" t="s">
        <v>3</v>
      </c>
      <c r="G287" s="4"/>
    </row>
    <row r="288" spans="1:7" ht="12.75">
      <c r="A288" s="5"/>
      <c r="B288" s="5"/>
      <c r="C288" s="6" t="s">
        <v>4</v>
      </c>
      <c r="D288" s="6" t="s">
        <v>5</v>
      </c>
      <c r="E288" s="6" t="s">
        <v>6</v>
      </c>
      <c r="F288" s="6" t="s">
        <v>7</v>
      </c>
      <c r="G288" s="6" t="s">
        <v>8</v>
      </c>
    </row>
    <row r="289" spans="1:7" ht="12.75">
      <c r="A289" s="24" t="s">
        <v>68</v>
      </c>
      <c r="B289" s="3"/>
      <c r="C289" s="3"/>
      <c r="D289" s="3"/>
      <c r="E289" s="3"/>
      <c r="F289" s="3"/>
      <c r="G289" s="4"/>
    </row>
    <row r="290" spans="1:7" ht="12.75">
      <c r="A290" s="8"/>
      <c r="B290" s="8" t="s">
        <v>10</v>
      </c>
      <c r="C290" s="8" t="s">
        <v>11</v>
      </c>
      <c r="D290" s="8" t="s">
        <v>12</v>
      </c>
      <c r="E290" s="9">
        <v>1</v>
      </c>
      <c r="F290" s="10"/>
      <c r="G290" s="4"/>
    </row>
    <row r="291" spans="1:7" ht="12.75">
      <c r="A291" s="8" t="s">
        <v>13</v>
      </c>
      <c r="B291" s="10" t="s">
        <v>59</v>
      </c>
      <c r="C291" s="3"/>
      <c r="D291" s="3"/>
      <c r="E291" s="3"/>
      <c r="F291" s="3"/>
      <c r="G291" s="4"/>
    </row>
    <row r="292" spans="1:7" ht="12.75">
      <c r="A292" s="11" t="s">
        <v>15</v>
      </c>
      <c r="B292" s="3"/>
      <c r="C292" s="3"/>
      <c r="D292" s="3"/>
      <c r="E292" s="3"/>
      <c r="F292" s="4"/>
      <c r="G292" s="12" t="s">
        <v>16</v>
      </c>
    </row>
    <row r="293" spans="1:7" ht="12.75">
      <c r="A293" s="13"/>
      <c r="B293" s="13" t="s">
        <v>69</v>
      </c>
      <c r="C293" s="10" t="s">
        <v>70</v>
      </c>
      <c r="D293" s="3"/>
      <c r="E293" s="4"/>
      <c r="F293" s="10"/>
      <c r="G293" s="4"/>
    </row>
    <row r="294" spans="1:7" ht="12.75">
      <c r="A294" s="5"/>
      <c r="B294" s="5"/>
      <c r="C294" s="8" t="s">
        <v>19</v>
      </c>
      <c r="D294" s="9">
        <v>1</v>
      </c>
      <c r="E294" s="9">
        <v>123</v>
      </c>
      <c r="F294" s="9">
        <f>D294*E294</f>
        <v>123</v>
      </c>
      <c r="G294" s="8" t="s">
        <v>20</v>
      </c>
    </row>
    <row r="295" spans="1:7" ht="12.75">
      <c r="A295" s="14" t="s">
        <v>21</v>
      </c>
      <c r="B295" s="3"/>
      <c r="C295" s="4"/>
      <c r="D295" s="9">
        <v>1</v>
      </c>
      <c r="E295" s="15" t="s">
        <v>11</v>
      </c>
      <c r="F295" s="9">
        <f>F294</f>
        <v>123</v>
      </c>
      <c r="G295" s="8"/>
    </row>
    <row r="296" spans="1:7" ht="12.75">
      <c r="A296" s="14" t="s">
        <v>22</v>
      </c>
      <c r="B296" s="3"/>
      <c r="C296" s="4"/>
      <c r="D296" s="9">
        <v>1</v>
      </c>
      <c r="E296" s="15" t="s">
        <v>11</v>
      </c>
      <c r="F296" s="9">
        <f>F295/D295</f>
        <v>123</v>
      </c>
      <c r="G296" s="8"/>
    </row>
    <row r="297" spans="1:7" ht="12.75">
      <c r="A297" s="16" t="s">
        <v>23</v>
      </c>
      <c r="B297" s="3"/>
      <c r="C297" s="3"/>
      <c r="D297" s="4"/>
      <c r="E297" s="9"/>
      <c r="F297" s="9">
        <f>F296*1%</f>
        <v>1.23</v>
      </c>
      <c r="G297" s="8"/>
    </row>
    <row r="298" spans="1:7" ht="12.75">
      <c r="A298" s="16" t="s">
        <v>24</v>
      </c>
      <c r="B298" s="3"/>
      <c r="C298" s="3"/>
      <c r="D298" s="4"/>
      <c r="E298" s="15"/>
      <c r="F298" s="9">
        <f>F297+F296</f>
        <v>124.23</v>
      </c>
      <c r="G298" s="8"/>
    </row>
    <row r="299" spans="1:7" ht="12.75">
      <c r="A299" s="16" t="s">
        <v>25</v>
      </c>
      <c r="B299" s="3"/>
      <c r="C299" s="3"/>
      <c r="D299" s="4"/>
      <c r="E299" s="9"/>
      <c r="F299" s="9">
        <f>F298*15%</f>
        <v>18.634499999999999</v>
      </c>
      <c r="G299" s="8"/>
    </row>
    <row r="300" spans="1:7" ht="12.75">
      <c r="A300" s="16" t="s">
        <v>24</v>
      </c>
      <c r="B300" s="3"/>
      <c r="C300" s="3"/>
      <c r="D300" s="4"/>
      <c r="E300" s="15"/>
      <c r="F300" s="17">
        <f>ROUND(F299+F298,2)</f>
        <v>142.86</v>
      </c>
      <c r="G300" s="8"/>
    </row>
    <row r="301" spans="1:7" ht="12.75">
      <c r="A301" s="11" t="s">
        <v>26</v>
      </c>
      <c r="B301" s="3"/>
      <c r="C301" s="3"/>
      <c r="D301" s="3"/>
      <c r="E301" s="3"/>
      <c r="F301" s="4"/>
      <c r="G301" s="12" t="s">
        <v>27</v>
      </c>
    </row>
    <row r="302" spans="1:7" ht="12.75">
      <c r="A302" s="13">
        <v>9999</v>
      </c>
      <c r="B302" s="13"/>
      <c r="C302" s="10" t="s">
        <v>28</v>
      </c>
      <c r="D302" s="3"/>
      <c r="E302" s="4"/>
      <c r="F302" s="10"/>
      <c r="G302" s="4"/>
    </row>
    <row r="303" spans="1:7" ht="12.75">
      <c r="A303" s="5"/>
      <c r="B303" s="5"/>
      <c r="C303" s="8" t="s">
        <v>29</v>
      </c>
      <c r="D303" s="9">
        <v>3.41</v>
      </c>
      <c r="E303" s="9">
        <v>2.12</v>
      </c>
      <c r="F303" s="9">
        <f>E303*D303</f>
        <v>7.2291999999999996</v>
      </c>
      <c r="G303" s="8" t="s">
        <v>30</v>
      </c>
    </row>
    <row r="304" spans="1:7" ht="12.75">
      <c r="A304" s="13">
        <v>9999</v>
      </c>
      <c r="B304" s="13"/>
      <c r="C304" s="10" t="s">
        <v>31</v>
      </c>
      <c r="D304" s="3"/>
      <c r="E304" s="4"/>
      <c r="F304" s="10"/>
      <c r="G304" s="4"/>
    </row>
    <row r="305" spans="1:7" ht="12.75">
      <c r="A305" s="5"/>
      <c r="B305" s="5"/>
      <c r="C305" s="8" t="s">
        <v>29</v>
      </c>
      <c r="D305" s="9">
        <v>10.79</v>
      </c>
      <c r="E305" s="9">
        <v>2.12</v>
      </c>
      <c r="F305" s="9">
        <f>D305*E305</f>
        <v>22.8748</v>
      </c>
      <c r="G305" s="8" t="s">
        <v>32</v>
      </c>
    </row>
    <row r="306" spans="1:7" ht="12.75">
      <c r="A306" s="14" t="s">
        <v>33</v>
      </c>
      <c r="B306" s="3"/>
      <c r="C306" s="4"/>
      <c r="D306" s="9">
        <v>1</v>
      </c>
      <c r="E306" s="15" t="s">
        <v>11</v>
      </c>
      <c r="F306" s="9">
        <f>F305+F303</f>
        <v>30.103999999999999</v>
      </c>
      <c r="G306" s="15"/>
    </row>
    <row r="307" spans="1:7" ht="12.75">
      <c r="A307" s="14" t="s">
        <v>22</v>
      </c>
      <c r="B307" s="3"/>
      <c r="C307" s="4"/>
      <c r="D307" s="9">
        <v>1</v>
      </c>
      <c r="E307" s="15" t="s">
        <v>11</v>
      </c>
      <c r="F307" s="9">
        <f>F306/D306</f>
        <v>30.103999999999999</v>
      </c>
      <c r="G307" s="15"/>
    </row>
    <row r="308" spans="1:7" ht="12.75">
      <c r="A308" s="16" t="s">
        <v>23</v>
      </c>
      <c r="B308" s="3"/>
      <c r="C308" s="3"/>
      <c r="D308" s="4"/>
      <c r="E308" s="9"/>
      <c r="F308" s="9">
        <f>F307*1%</f>
        <v>0.30103999999999997</v>
      </c>
      <c r="G308" s="15"/>
    </row>
    <row r="309" spans="1:7" ht="12.75">
      <c r="A309" s="16" t="s">
        <v>24</v>
      </c>
      <c r="B309" s="3"/>
      <c r="C309" s="3"/>
      <c r="D309" s="4"/>
      <c r="E309" s="15"/>
      <c r="F309" s="9">
        <f>F308+F307</f>
        <v>30.40504</v>
      </c>
      <c r="G309" s="15"/>
    </row>
    <row r="310" spans="1:7" ht="12.75">
      <c r="A310" s="16" t="s">
        <v>25</v>
      </c>
      <c r="B310" s="3"/>
      <c r="C310" s="3"/>
      <c r="D310" s="4"/>
      <c r="E310" s="9"/>
      <c r="F310" s="9">
        <f>F309*15%</f>
        <v>4.5607559999999996</v>
      </c>
      <c r="G310" s="15"/>
    </row>
    <row r="311" spans="1:7" ht="12.75">
      <c r="A311" s="16" t="s">
        <v>24</v>
      </c>
      <c r="B311" s="3"/>
      <c r="C311" s="3"/>
      <c r="D311" s="4"/>
      <c r="E311" s="15"/>
      <c r="F311" s="17">
        <f>ROUND(F310+F309,2)</f>
        <v>34.97</v>
      </c>
      <c r="G311" s="15"/>
    </row>
    <row r="312" spans="1:7" ht="12.75">
      <c r="A312" s="18" t="str">
        <f>CONCATENATE("Say ₹ ",F300," + ",F311," x Cost Index")</f>
        <v>Say ₹ 142.86 + 34.97 x Cost Index</v>
      </c>
      <c r="B312" s="3"/>
      <c r="C312" s="3"/>
      <c r="D312" s="3"/>
      <c r="E312" s="3"/>
      <c r="F312" s="3"/>
      <c r="G312" s="4"/>
    </row>
    <row r="313" spans="1:7" ht="12.75">
      <c r="A313" s="1" t="s">
        <v>0</v>
      </c>
      <c r="B313" s="1" t="s">
        <v>1</v>
      </c>
      <c r="C313" s="2" t="s">
        <v>2</v>
      </c>
      <c r="D313" s="3"/>
      <c r="E313" s="4"/>
      <c r="F313" s="2" t="s">
        <v>3</v>
      </c>
      <c r="G313" s="4"/>
    </row>
    <row r="314" spans="1:7" ht="12.75">
      <c r="A314" s="5"/>
      <c r="B314" s="5"/>
      <c r="C314" s="6" t="s">
        <v>4</v>
      </c>
      <c r="D314" s="6" t="s">
        <v>5</v>
      </c>
      <c r="E314" s="6" t="s">
        <v>6</v>
      </c>
      <c r="F314" s="6" t="s">
        <v>7</v>
      </c>
      <c r="G314" s="6" t="s">
        <v>8</v>
      </c>
    </row>
    <row r="315" spans="1:7" ht="12.75">
      <c r="A315" s="24" t="s">
        <v>71</v>
      </c>
      <c r="B315" s="3"/>
      <c r="C315" s="3"/>
      <c r="D315" s="3"/>
      <c r="E315" s="3"/>
      <c r="F315" s="3"/>
      <c r="G315" s="4"/>
    </row>
    <row r="316" spans="1:7" ht="12.75">
      <c r="A316" s="8"/>
      <c r="B316" s="8" t="s">
        <v>10</v>
      </c>
      <c r="C316" s="8" t="s">
        <v>11</v>
      </c>
      <c r="D316" s="8" t="s">
        <v>12</v>
      </c>
      <c r="E316" s="9">
        <v>1</v>
      </c>
      <c r="F316" s="10"/>
      <c r="G316" s="4"/>
    </row>
    <row r="317" spans="1:7" ht="12.75">
      <c r="A317" s="8" t="s">
        <v>13</v>
      </c>
      <c r="B317" s="10" t="s">
        <v>59</v>
      </c>
      <c r="C317" s="3"/>
      <c r="D317" s="3"/>
      <c r="E317" s="3"/>
      <c r="F317" s="3"/>
      <c r="G317" s="4"/>
    </row>
    <row r="318" spans="1:7" ht="12.75">
      <c r="A318" s="11" t="s">
        <v>15</v>
      </c>
      <c r="B318" s="3"/>
      <c r="C318" s="3"/>
      <c r="D318" s="3"/>
      <c r="E318" s="3"/>
      <c r="F318" s="4"/>
      <c r="G318" s="12" t="s">
        <v>16</v>
      </c>
    </row>
    <row r="319" spans="1:7" ht="12.75">
      <c r="A319" s="13"/>
      <c r="B319" s="13" t="s">
        <v>72</v>
      </c>
      <c r="C319" s="10" t="s">
        <v>73</v>
      </c>
      <c r="D319" s="3"/>
      <c r="E319" s="4"/>
      <c r="F319" s="10"/>
      <c r="G319" s="4"/>
    </row>
    <row r="320" spans="1:7" ht="12.75">
      <c r="A320" s="5"/>
      <c r="B320" s="5"/>
      <c r="C320" s="8" t="s">
        <v>19</v>
      </c>
      <c r="D320" s="9">
        <v>1</v>
      </c>
      <c r="E320" s="9">
        <v>117</v>
      </c>
      <c r="F320" s="9">
        <f>D320*E320</f>
        <v>117</v>
      </c>
      <c r="G320" s="8" t="s">
        <v>20</v>
      </c>
    </row>
    <row r="321" spans="1:7" ht="12.75">
      <c r="A321" s="14" t="s">
        <v>21</v>
      </c>
      <c r="B321" s="3"/>
      <c r="C321" s="4"/>
      <c r="D321" s="9">
        <v>1</v>
      </c>
      <c r="E321" s="15" t="s">
        <v>11</v>
      </c>
      <c r="F321" s="9">
        <f>F320</f>
        <v>117</v>
      </c>
      <c r="G321" s="8"/>
    </row>
    <row r="322" spans="1:7" ht="12.75">
      <c r="A322" s="14" t="s">
        <v>22</v>
      </c>
      <c r="B322" s="3"/>
      <c r="C322" s="4"/>
      <c r="D322" s="9">
        <v>1</v>
      </c>
      <c r="E322" s="15" t="s">
        <v>11</v>
      </c>
      <c r="F322" s="9">
        <f>F321/D321</f>
        <v>117</v>
      </c>
      <c r="G322" s="8"/>
    </row>
    <row r="323" spans="1:7" ht="12.75">
      <c r="A323" s="16" t="s">
        <v>23</v>
      </c>
      <c r="B323" s="3"/>
      <c r="C323" s="3"/>
      <c r="D323" s="4"/>
      <c r="E323" s="9"/>
      <c r="F323" s="9">
        <f>F322*1%</f>
        <v>1.17</v>
      </c>
      <c r="G323" s="8"/>
    </row>
    <row r="324" spans="1:7" ht="12.75">
      <c r="A324" s="16" t="s">
        <v>24</v>
      </c>
      <c r="B324" s="3"/>
      <c r="C324" s="3"/>
      <c r="D324" s="4"/>
      <c r="E324" s="15"/>
      <c r="F324" s="9">
        <f>F323+F322</f>
        <v>118.17</v>
      </c>
      <c r="G324" s="8"/>
    </row>
    <row r="325" spans="1:7" ht="12.75">
      <c r="A325" s="16" t="s">
        <v>25</v>
      </c>
      <c r="B325" s="3"/>
      <c r="C325" s="3"/>
      <c r="D325" s="4"/>
      <c r="E325" s="9"/>
      <c r="F325" s="9">
        <f>F324*15%</f>
        <v>17.7255</v>
      </c>
      <c r="G325" s="8"/>
    </row>
    <row r="326" spans="1:7" ht="12.75">
      <c r="A326" s="16" t="s">
        <v>24</v>
      </c>
      <c r="B326" s="3"/>
      <c r="C326" s="3"/>
      <c r="D326" s="4"/>
      <c r="E326" s="15"/>
      <c r="F326" s="17">
        <f>ROUND(F325+F324,2)</f>
        <v>135.90</v>
      </c>
      <c r="G326" s="8"/>
    </row>
    <row r="327" spans="1:7" ht="12.75">
      <c r="A327" s="11" t="s">
        <v>26</v>
      </c>
      <c r="B327" s="3"/>
      <c r="C327" s="3"/>
      <c r="D327" s="3"/>
      <c r="E327" s="3"/>
      <c r="F327" s="4"/>
      <c r="G327" s="12" t="s">
        <v>27</v>
      </c>
    </row>
    <row r="328" spans="1:7" ht="12.75">
      <c r="A328" s="13">
        <v>9999</v>
      </c>
      <c r="B328" s="13"/>
      <c r="C328" s="10" t="s">
        <v>28</v>
      </c>
      <c r="D328" s="3"/>
      <c r="E328" s="4"/>
      <c r="F328" s="10"/>
      <c r="G328" s="4"/>
    </row>
    <row r="329" spans="1:7" ht="12.75">
      <c r="A329" s="5"/>
      <c r="B329" s="5"/>
      <c r="C329" s="8" t="s">
        <v>29</v>
      </c>
      <c r="D329" s="9">
        <v>3.41</v>
      </c>
      <c r="E329" s="9">
        <v>2.12</v>
      </c>
      <c r="F329" s="9">
        <f>E329*D329</f>
        <v>7.2291999999999996</v>
      </c>
      <c r="G329" s="8" t="s">
        <v>30</v>
      </c>
    </row>
    <row r="330" spans="1:7" ht="12.75">
      <c r="A330" s="13">
        <v>9999</v>
      </c>
      <c r="B330" s="13"/>
      <c r="C330" s="10" t="s">
        <v>31</v>
      </c>
      <c r="D330" s="3"/>
      <c r="E330" s="4"/>
      <c r="F330" s="10"/>
      <c r="G330" s="4"/>
    </row>
    <row r="331" spans="1:7" ht="12.75">
      <c r="A331" s="5"/>
      <c r="B331" s="5"/>
      <c r="C331" s="8" t="s">
        <v>29</v>
      </c>
      <c r="D331" s="9">
        <v>10.79</v>
      </c>
      <c r="E331" s="9">
        <v>2.12</v>
      </c>
      <c r="F331" s="9">
        <f>D331*E331</f>
        <v>22.8748</v>
      </c>
      <c r="G331" s="8" t="s">
        <v>32</v>
      </c>
    </row>
    <row r="332" spans="1:7" ht="12.75">
      <c r="A332" s="14" t="s">
        <v>33</v>
      </c>
      <c r="B332" s="3"/>
      <c r="C332" s="4"/>
      <c r="D332" s="9">
        <v>1</v>
      </c>
      <c r="E332" s="15" t="s">
        <v>11</v>
      </c>
      <c r="F332" s="9">
        <f>F331+F329</f>
        <v>30.103999999999999</v>
      </c>
      <c r="G332" s="15"/>
    </row>
    <row r="333" spans="1:7" ht="12.75">
      <c r="A333" s="14" t="s">
        <v>22</v>
      </c>
      <c r="B333" s="3"/>
      <c r="C333" s="4"/>
      <c r="D333" s="9">
        <v>1</v>
      </c>
      <c r="E333" s="15" t="s">
        <v>11</v>
      </c>
      <c r="F333" s="9">
        <f>F332/D332</f>
        <v>30.103999999999999</v>
      </c>
      <c r="G333" s="15"/>
    </row>
    <row r="334" spans="1:7" ht="12.75">
      <c r="A334" s="16" t="s">
        <v>23</v>
      </c>
      <c r="B334" s="3"/>
      <c r="C334" s="3"/>
      <c r="D334" s="4"/>
      <c r="E334" s="9"/>
      <c r="F334" s="9">
        <f>F333*1%</f>
        <v>0.30103999999999997</v>
      </c>
      <c r="G334" s="15"/>
    </row>
    <row r="335" spans="1:7" ht="12.75">
      <c r="A335" s="16" t="s">
        <v>24</v>
      </c>
      <c r="B335" s="3"/>
      <c r="C335" s="3"/>
      <c r="D335" s="4"/>
      <c r="E335" s="15"/>
      <c r="F335" s="9">
        <f>F334+F333</f>
        <v>30.40504</v>
      </c>
      <c r="G335" s="15"/>
    </row>
    <row r="336" spans="1:7" ht="12.75">
      <c r="A336" s="16" t="s">
        <v>25</v>
      </c>
      <c r="B336" s="3"/>
      <c r="C336" s="3"/>
      <c r="D336" s="4"/>
      <c r="E336" s="9"/>
      <c r="F336" s="9">
        <f>F335*15%</f>
        <v>4.5607559999999996</v>
      </c>
      <c r="G336" s="15"/>
    </row>
    <row r="337" spans="1:7" ht="12.75">
      <c r="A337" s="16" t="s">
        <v>24</v>
      </c>
      <c r="B337" s="3"/>
      <c r="C337" s="3"/>
      <c r="D337" s="4"/>
      <c r="E337" s="15"/>
      <c r="F337" s="17">
        <f>ROUND(F336+F335,2)</f>
        <v>34.97</v>
      </c>
      <c r="G337" s="15"/>
    </row>
    <row r="338" spans="1:7" ht="12.75">
      <c r="A338" s="18" t="str">
        <f>CONCATENATE("Say ₹ ",F326," + ",F337," x Cost Index")</f>
        <v>Say ₹ 135.9 + 34.97 x Cost Index</v>
      </c>
      <c r="B338" s="3"/>
      <c r="C338" s="3"/>
      <c r="D338" s="3"/>
      <c r="E338" s="3"/>
      <c r="F338" s="3"/>
      <c r="G338" s="4"/>
    </row>
    <row r="339" spans="1:7" ht="12.75">
      <c r="A339" s="1" t="s">
        <v>0</v>
      </c>
      <c r="B339" s="1" t="s">
        <v>1</v>
      </c>
      <c r="C339" s="2" t="s">
        <v>2</v>
      </c>
      <c r="D339" s="3"/>
      <c r="E339" s="4"/>
      <c r="F339" s="2" t="s">
        <v>3</v>
      </c>
      <c r="G339" s="4"/>
    </row>
    <row r="340" spans="1:7" ht="12.75">
      <c r="A340" s="5"/>
      <c r="B340" s="5"/>
      <c r="C340" s="6" t="s">
        <v>4</v>
      </c>
      <c r="D340" s="6" t="s">
        <v>5</v>
      </c>
      <c r="E340" s="6" t="s">
        <v>6</v>
      </c>
      <c r="F340" s="6" t="s">
        <v>7</v>
      </c>
      <c r="G340" s="6" t="s">
        <v>8</v>
      </c>
    </row>
    <row r="341" spans="1:7" ht="12.75">
      <c r="A341" s="7" t="s">
        <v>74</v>
      </c>
      <c r="B341" s="3"/>
      <c r="C341" s="3"/>
      <c r="D341" s="3"/>
      <c r="E341" s="3"/>
      <c r="F341" s="3"/>
      <c r="G341" s="4"/>
    </row>
    <row r="342" spans="1:7" ht="12.75">
      <c r="A342" s="8"/>
      <c r="B342" s="8" t="s">
        <v>10</v>
      </c>
      <c r="C342" s="8" t="s">
        <v>11</v>
      </c>
      <c r="D342" s="8" t="s">
        <v>12</v>
      </c>
      <c r="E342" s="9">
        <v>1</v>
      </c>
      <c r="F342" s="10"/>
      <c r="G342" s="4"/>
    </row>
    <row r="343" spans="1:7" ht="12.75">
      <c r="A343" s="8" t="s">
        <v>13</v>
      </c>
      <c r="B343" s="10" t="s">
        <v>75</v>
      </c>
      <c r="C343" s="3"/>
      <c r="D343" s="3"/>
      <c r="E343" s="3"/>
      <c r="F343" s="3"/>
      <c r="G343" s="4"/>
    </row>
    <row r="344" spans="1:7" ht="12.75">
      <c r="A344" s="11" t="s">
        <v>15</v>
      </c>
      <c r="B344" s="3"/>
      <c r="C344" s="3"/>
      <c r="D344" s="3"/>
      <c r="E344" s="3"/>
      <c r="F344" s="4"/>
      <c r="G344" s="12" t="s">
        <v>16</v>
      </c>
    </row>
    <row r="345" spans="1:7" ht="12.75">
      <c r="A345" s="13"/>
      <c r="B345" s="13" t="s">
        <v>76</v>
      </c>
      <c r="C345" s="10" t="s">
        <v>77</v>
      </c>
      <c r="D345" s="3"/>
      <c r="E345" s="4"/>
      <c r="F345" s="10"/>
      <c r="G345" s="4"/>
    </row>
    <row r="346" spans="1:7" ht="12.75">
      <c r="A346" s="5"/>
      <c r="B346" s="5"/>
      <c r="C346" s="8" t="s">
        <v>19</v>
      </c>
      <c r="D346" s="9">
        <v>1</v>
      </c>
      <c r="E346" s="9">
        <v>30</v>
      </c>
      <c r="F346" s="9">
        <f>D346*E346</f>
        <v>30</v>
      </c>
      <c r="G346" s="8" t="s">
        <v>20</v>
      </c>
    </row>
    <row r="347" spans="1:7" ht="12.75">
      <c r="A347" s="14" t="s">
        <v>21</v>
      </c>
      <c r="B347" s="3"/>
      <c r="C347" s="4"/>
      <c r="D347" s="9">
        <v>1</v>
      </c>
      <c r="E347" s="15" t="s">
        <v>11</v>
      </c>
      <c r="F347" s="9">
        <f>F346</f>
        <v>30</v>
      </c>
      <c r="G347" s="8"/>
    </row>
    <row r="348" spans="1:7" ht="12.75">
      <c r="A348" s="14" t="s">
        <v>22</v>
      </c>
      <c r="B348" s="3"/>
      <c r="C348" s="4"/>
      <c r="D348" s="9">
        <v>1</v>
      </c>
      <c r="E348" s="15" t="s">
        <v>11</v>
      </c>
      <c r="F348" s="9">
        <f>F347/D347</f>
        <v>30</v>
      </c>
      <c r="G348" s="8"/>
    </row>
    <row r="349" spans="1:7" ht="12.75">
      <c r="A349" s="16" t="s">
        <v>23</v>
      </c>
      <c r="B349" s="3"/>
      <c r="C349" s="3"/>
      <c r="D349" s="4"/>
      <c r="E349" s="9"/>
      <c r="F349" s="9">
        <f>F348*1%</f>
        <v>0.30</v>
      </c>
      <c r="G349" s="8"/>
    </row>
    <row r="350" spans="1:7" ht="12.75">
      <c r="A350" s="16" t="s">
        <v>24</v>
      </c>
      <c r="B350" s="3"/>
      <c r="C350" s="3"/>
      <c r="D350" s="4"/>
      <c r="E350" s="15"/>
      <c r="F350" s="9">
        <f>F349+F348</f>
        <v>30.30</v>
      </c>
      <c r="G350" s="8"/>
    </row>
    <row r="351" spans="1:7" ht="12.75">
      <c r="A351" s="16" t="s">
        <v>25</v>
      </c>
      <c r="B351" s="3"/>
      <c r="C351" s="3"/>
      <c r="D351" s="4"/>
      <c r="E351" s="9"/>
      <c r="F351" s="9">
        <f>F350*15%</f>
        <v>4.545</v>
      </c>
      <c r="G351" s="8"/>
    </row>
    <row r="352" spans="1:7" ht="12.75">
      <c r="A352" s="16" t="s">
        <v>24</v>
      </c>
      <c r="B352" s="3"/>
      <c r="C352" s="3"/>
      <c r="D352" s="4"/>
      <c r="E352" s="15"/>
      <c r="F352" s="17">
        <f>ROUND(F351+F350,2)</f>
        <v>34.85</v>
      </c>
      <c r="G352" s="8"/>
    </row>
    <row r="353" spans="1:7" ht="12.75">
      <c r="A353" s="11" t="s">
        <v>26</v>
      </c>
      <c r="B353" s="3"/>
      <c r="C353" s="3"/>
      <c r="D353" s="3"/>
      <c r="E353" s="3"/>
      <c r="F353" s="4"/>
      <c r="G353" s="12" t="s">
        <v>27</v>
      </c>
    </row>
    <row r="354" spans="1:7" ht="12.75">
      <c r="A354" s="13">
        <v>9999</v>
      </c>
      <c r="B354" s="13"/>
      <c r="C354" s="10" t="s">
        <v>54</v>
      </c>
      <c r="D354" s="3"/>
      <c r="E354" s="4"/>
      <c r="F354" s="10"/>
      <c r="G354" s="4"/>
    </row>
    <row r="355" spans="1:7" ht="12.75">
      <c r="A355" s="5"/>
      <c r="B355" s="5"/>
      <c r="C355" s="8" t="s">
        <v>29</v>
      </c>
      <c r="D355" s="9">
        <v>2.73</v>
      </c>
      <c r="E355" s="9">
        <v>2.12</v>
      </c>
      <c r="F355" s="9">
        <f>D355*E355</f>
        <v>5.7876000000000003</v>
      </c>
      <c r="G355" s="8" t="s">
        <v>30</v>
      </c>
    </row>
    <row r="356" spans="1:7" ht="12.75">
      <c r="A356" s="13">
        <v>9999</v>
      </c>
      <c r="B356" s="13"/>
      <c r="C356" s="10" t="s">
        <v>31</v>
      </c>
      <c r="D356" s="3"/>
      <c r="E356" s="4"/>
      <c r="F356" s="10"/>
      <c r="G356" s="4"/>
    </row>
    <row r="357" spans="1:7" ht="12.75">
      <c r="A357" s="5"/>
      <c r="B357" s="5"/>
      <c r="C357" s="8" t="s">
        <v>29</v>
      </c>
      <c r="D357" s="9">
        <v>9.36</v>
      </c>
      <c r="E357" s="9">
        <v>2.12</v>
      </c>
      <c r="F357" s="9">
        <f>D357*E357</f>
        <v>19.8432</v>
      </c>
      <c r="G357" s="8" t="s">
        <v>32</v>
      </c>
    </row>
    <row r="358" spans="1:7" ht="12.75">
      <c r="A358" s="14" t="s">
        <v>33</v>
      </c>
      <c r="B358" s="3"/>
      <c r="C358" s="4"/>
      <c r="D358" s="9">
        <v>1</v>
      </c>
      <c r="E358" s="15" t="s">
        <v>11</v>
      </c>
      <c r="F358" s="9">
        <f>F357+F355</f>
        <v>25.630800000000001</v>
      </c>
      <c r="G358" s="15"/>
    </row>
    <row r="359" spans="1:7" ht="12.75">
      <c r="A359" s="14" t="s">
        <v>22</v>
      </c>
      <c r="B359" s="3"/>
      <c r="C359" s="4"/>
      <c r="D359" s="9">
        <v>1</v>
      </c>
      <c r="E359" s="15" t="s">
        <v>11</v>
      </c>
      <c r="F359" s="9">
        <f>F358/D358</f>
        <v>25.630800000000001</v>
      </c>
      <c r="G359" s="15"/>
    </row>
    <row r="360" spans="1:7" ht="12.75">
      <c r="A360" s="16" t="s">
        <v>23</v>
      </c>
      <c r="B360" s="3"/>
      <c r="C360" s="3"/>
      <c r="D360" s="4"/>
      <c r="E360" s="9"/>
      <c r="F360" s="9">
        <f>F359*1%</f>
        <v>0.25630799999999998</v>
      </c>
      <c r="G360" s="15"/>
    </row>
    <row r="361" spans="1:7" ht="12.75">
      <c r="A361" s="16" t="s">
        <v>24</v>
      </c>
      <c r="B361" s="3"/>
      <c r="C361" s="3"/>
      <c r="D361" s="4"/>
      <c r="E361" s="15"/>
      <c r="F361" s="9">
        <f>F360+F359</f>
        <v>25.887108000000001</v>
      </c>
      <c r="G361" s="15"/>
    </row>
    <row r="362" spans="1:7" ht="12.75">
      <c r="A362" s="16" t="s">
        <v>25</v>
      </c>
      <c r="B362" s="3"/>
      <c r="C362" s="3"/>
      <c r="D362" s="4"/>
      <c r="E362" s="9"/>
      <c r="F362" s="9">
        <f>F361*15%</f>
        <v>3.8830662</v>
      </c>
      <c r="G362" s="15"/>
    </row>
    <row r="363" spans="1:7" ht="12.75">
      <c r="A363" s="16" t="s">
        <v>24</v>
      </c>
      <c r="B363" s="3"/>
      <c r="C363" s="3"/>
      <c r="D363" s="4"/>
      <c r="E363" s="15"/>
      <c r="F363" s="17">
        <f>ROUND(F362+F361,2)</f>
        <v>29.77</v>
      </c>
      <c r="G363" s="15"/>
    </row>
    <row r="364" spans="1:7" ht="12.75">
      <c r="A364" s="18" t="str">
        <f>CONCATENATE("Say ₹ ",F352," + ",F363," x Cost Index")</f>
        <v>Say ₹ 34.85 + 29.77 x Cost Index</v>
      </c>
      <c r="B364" s="3"/>
      <c r="C364" s="3"/>
      <c r="D364" s="3"/>
      <c r="E364" s="3"/>
      <c r="F364" s="3"/>
      <c r="G364" s="4"/>
    </row>
    <row r="365" spans="1:7" ht="12.75">
      <c r="A365" s="25" t="s">
        <v>0</v>
      </c>
      <c r="B365" s="25" t="s">
        <v>1</v>
      </c>
      <c r="C365" s="26" t="s">
        <v>2</v>
      </c>
      <c r="D365" s="3"/>
      <c r="E365" s="4"/>
      <c r="F365" s="26" t="s">
        <v>3</v>
      </c>
      <c r="G365" s="4"/>
    </row>
    <row r="366" spans="1:7" ht="12.75">
      <c r="A366" s="5"/>
      <c r="B366" s="5"/>
      <c r="C366" s="27" t="s">
        <v>4</v>
      </c>
      <c r="D366" s="27" t="s">
        <v>5</v>
      </c>
      <c r="E366" s="27" t="s">
        <v>6</v>
      </c>
      <c r="F366" s="27" t="s">
        <v>7</v>
      </c>
      <c r="G366" s="27" t="s">
        <v>8</v>
      </c>
    </row>
    <row r="367" spans="1:7" ht="12.75">
      <c r="A367" s="28" t="s">
        <v>78</v>
      </c>
      <c r="B367" s="3"/>
      <c r="C367" s="3"/>
      <c r="D367" s="3"/>
      <c r="E367" s="3"/>
      <c r="F367" s="3"/>
      <c r="G367" s="4"/>
    </row>
    <row r="368" spans="1:7" ht="12.75">
      <c r="A368" s="29"/>
      <c r="B368" s="30" t="s">
        <v>10</v>
      </c>
      <c r="C368" s="30" t="s">
        <v>11</v>
      </c>
      <c r="D368" s="30" t="s">
        <v>12</v>
      </c>
      <c r="E368" s="31">
        <v>1</v>
      </c>
      <c r="F368" s="32"/>
      <c r="G368" s="4"/>
    </row>
    <row r="369" spans="1:7" ht="12.75">
      <c r="A369" s="30" t="s">
        <v>13</v>
      </c>
      <c r="B369" s="33" t="s">
        <v>75</v>
      </c>
      <c r="C369" s="3"/>
      <c r="D369" s="3"/>
      <c r="E369" s="3"/>
      <c r="F369" s="3"/>
      <c r="G369" s="4"/>
    </row>
    <row r="370" spans="1:7" ht="12.75">
      <c r="A370" s="34" t="s">
        <v>15</v>
      </c>
      <c r="B370" s="3"/>
      <c r="C370" s="3"/>
      <c r="D370" s="3"/>
      <c r="E370" s="3"/>
      <c r="F370" s="4"/>
      <c r="G370" s="35" t="s">
        <v>16</v>
      </c>
    </row>
    <row r="371" spans="1:7" ht="12.75">
      <c r="A371" s="36"/>
      <c r="B371" s="37" t="s">
        <v>79</v>
      </c>
      <c r="C371" s="33" t="s">
        <v>80</v>
      </c>
      <c r="D371" s="3"/>
      <c r="E371" s="4"/>
      <c r="F371" s="32"/>
      <c r="G371" s="4"/>
    </row>
    <row r="372" spans="1:7" ht="12.75">
      <c r="A372" s="5"/>
      <c r="B372" s="5"/>
      <c r="C372" s="30" t="s">
        <v>19</v>
      </c>
      <c r="D372" s="31">
        <v>1</v>
      </c>
      <c r="E372" s="31">
        <v>22.50</v>
      </c>
      <c r="F372" s="31">
        <f>D372*E372</f>
        <v>22.50</v>
      </c>
      <c r="G372" s="30" t="s">
        <v>20</v>
      </c>
    </row>
    <row r="373" spans="1:7" ht="12.75">
      <c r="A373" s="38" t="s">
        <v>21</v>
      </c>
      <c r="B373" s="3"/>
      <c r="C373" s="4"/>
      <c r="D373" s="31">
        <v>1</v>
      </c>
      <c r="E373" s="39" t="s">
        <v>11</v>
      </c>
      <c r="F373" s="31">
        <f>F372</f>
        <v>22.50</v>
      </c>
      <c r="G373" s="29"/>
    </row>
    <row r="374" spans="1:7" ht="12.75">
      <c r="A374" s="38" t="s">
        <v>22</v>
      </c>
      <c r="B374" s="3"/>
      <c r="C374" s="4"/>
      <c r="D374" s="31">
        <v>1</v>
      </c>
      <c r="E374" s="39" t="s">
        <v>11</v>
      </c>
      <c r="F374" s="31">
        <f>F373/D373</f>
        <v>22.50</v>
      </c>
      <c r="G374" s="29"/>
    </row>
    <row r="375" spans="1:7" ht="12.75">
      <c r="A375" s="40" t="s">
        <v>23</v>
      </c>
      <c r="B375" s="3"/>
      <c r="C375" s="3"/>
      <c r="D375" s="4"/>
      <c r="E375" s="29"/>
      <c r="F375" s="31">
        <f>F374*1%</f>
        <v>0.225</v>
      </c>
      <c r="G375" s="29"/>
    </row>
    <row r="376" spans="1:7" ht="12.75">
      <c r="A376" s="40" t="s">
        <v>24</v>
      </c>
      <c r="B376" s="3"/>
      <c r="C376" s="3"/>
      <c r="D376" s="4"/>
      <c r="E376" s="29"/>
      <c r="F376" s="31">
        <f>F375+F374</f>
        <v>22.725</v>
      </c>
      <c r="G376" s="29"/>
    </row>
    <row r="377" spans="1:7" ht="12.75">
      <c r="A377" s="40" t="s">
        <v>25</v>
      </c>
      <c r="B377" s="3"/>
      <c r="C377" s="3"/>
      <c r="D377" s="4"/>
      <c r="E377" s="29"/>
      <c r="F377" s="31">
        <f>F376*15%</f>
        <v>3.40875</v>
      </c>
      <c r="G377" s="29"/>
    </row>
    <row r="378" spans="1:7" ht="12.75">
      <c r="A378" s="40" t="s">
        <v>24</v>
      </c>
      <c r="B378" s="3"/>
      <c r="C378" s="3"/>
      <c r="D378" s="4"/>
      <c r="E378" s="29"/>
      <c r="F378" s="41">
        <f>ROUND(F377+F376,2)</f>
        <v>26.13</v>
      </c>
      <c r="G378" s="29"/>
    </row>
    <row r="379" spans="1:7" ht="12.75">
      <c r="A379" s="34" t="s">
        <v>26</v>
      </c>
      <c r="B379" s="3"/>
      <c r="C379" s="3"/>
      <c r="D379" s="3"/>
      <c r="E379" s="3"/>
      <c r="F379" s="4"/>
      <c r="G379" s="35" t="s">
        <v>27</v>
      </c>
    </row>
    <row r="380" spans="1:7" ht="12.75">
      <c r="A380" s="37">
        <v>9999</v>
      </c>
      <c r="B380" s="36"/>
      <c r="C380" s="33" t="s">
        <v>54</v>
      </c>
      <c r="D380" s="3"/>
      <c r="E380" s="4"/>
      <c r="F380" s="32"/>
      <c r="G380" s="4"/>
    </row>
    <row r="381" spans="1:7" ht="12.75">
      <c r="A381" s="5"/>
      <c r="B381" s="5"/>
      <c r="C381" s="30" t="s">
        <v>29</v>
      </c>
      <c r="D381" s="31">
        <v>2.73</v>
      </c>
      <c r="E381" s="31">
        <v>2.12</v>
      </c>
      <c r="F381" s="31">
        <f>D381*E381</f>
        <v>5.7876000000000003</v>
      </c>
      <c r="G381" s="30" t="s">
        <v>30</v>
      </c>
    </row>
    <row r="382" spans="1:7" ht="12.75">
      <c r="A382" s="37">
        <v>9999</v>
      </c>
      <c r="B382" s="36"/>
      <c r="C382" s="33" t="s">
        <v>31</v>
      </c>
      <c r="D382" s="3"/>
      <c r="E382" s="4"/>
      <c r="F382" s="32"/>
      <c r="G382" s="4"/>
    </row>
    <row r="383" spans="1:7" ht="12.75">
      <c r="A383" s="5"/>
      <c r="B383" s="5"/>
      <c r="C383" s="30" t="s">
        <v>29</v>
      </c>
      <c r="D383" s="31">
        <v>9.36</v>
      </c>
      <c r="E383" s="31">
        <v>2.12</v>
      </c>
      <c r="F383" s="31">
        <f>D383*E383</f>
        <v>19.8432</v>
      </c>
      <c r="G383" s="30" t="s">
        <v>32</v>
      </c>
    </row>
    <row r="384" spans="1:7" ht="12.75">
      <c r="A384" s="38" t="s">
        <v>33</v>
      </c>
      <c r="B384" s="3"/>
      <c r="C384" s="4"/>
      <c r="D384" s="31">
        <v>1</v>
      </c>
      <c r="E384" s="39" t="s">
        <v>11</v>
      </c>
      <c r="F384" s="31">
        <f>F383+F381</f>
        <v>25.630800000000001</v>
      </c>
      <c r="G384" s="29"/>
    </row>
    <row r="385" spans="1:7" ht="12.75">
      <c r="A385" s="38" t="s">
        <v>22</v>
      </c>
      <c r="B385" s="3"/>
      <c r="C385" s="4"/>
      <c r="D385" s="31">
        <v>1</v>
      </c>
      <c r="E385" s="39" t="s">
        <v>11</v>
      </c>
      <c r="F385" s="31">
        <f>F384/D384</f>
        <v>25.630800000000001</v>
      </c>
      <c r="G385" s="29"/>
    </row>
    <row r="386" spans="1:7" ht="12.75">
      <c r="A386" s="40" t="s">
        <v>23</v>
      </c>
      <c r="B386" s="3"/>
      <c r="C386" s="3"/>
      <c r="D386" s="4"/>
      <c r="E386" s="29"/>
      <c r="F386" s="31">
        <f>F385*1%</f>
        <v>0.25630799999999998</v>
      </c>
      <c r="G386" s="29"/>
    </row>
    <row r="387" spans="1:7" ht="12.75">
      <c r="A387" s="40" t="s">
        <v>24</v>
      </c>
      <c r="B387" s="3"/>
      <c r="C387" s="3"/>
      <c r="D387" s="4"/>
      <c r="E387" s="29"/>
      <c r="F387" s="31">
        <f>F386+F385</f>
        <v>25.887108000000001</v>
      </c>
      <c r="G387" s="29"/>
    </row>
    <row r="388" spans="1:7" ht="12.75">
      <c r="A388" s="40" t="s">
        <v>25</v>
      </c>
      <c r="B388" s="3"/>
      <c r="C388" s="3"/>
      <c r="D388" s="4"/>
      <c r="E388" s="29"/>
      <c r="F388" s="31">
        <f>F387*15%</f>
        <v>3.8830662</v>
      </c>
      <c r="G388" s="29"/>
    </row>
    <row r="389" spans="1:7" ht="12.75">
      <c r="A389" s="40" t="s">
        <v>24</v>
      </c>
      <c r="B389" s="3"/>
      <c r="C389" s="3"/>
      <c r="D389" s="4"/>
      <c r="E389" s="29"/>
      <c r="F389" s="41">
        <f>ROUND(F388+F387,2)</f>
        <v>29.77</v>
      </c>
      <c r="G389" s="29"/>
    </row>
    <row r="390" spans="1:7" ht="12.75">
      <c r="A390" s="42" t="str">
        <f>CONCATENATE("Say ₹ ",F378," + ",F389," x Cost Index")</f>
        <v>Say ₹ 26.13 + 29.77 x Cost Index</v>
      </c>
      <c r="B390" s="3"/>
      <c r="C390" s="3"/>
      <c r="D390" s="3"/>
      <c r="E390" s="3"/>
      <c r="F390" s="3"/>
      <c r="G390" s="4"/>
    </row>
    <row r="391" spans="1:7" ht="12.75">
      <c r="A391" s="25" t="s">
        <v>0</v>
      </c>
      <c r="B391" s="25" t="s">
        <v>1</v>
      </c>
      <c r="C391" s="26" t="s">
        <v>2</v>
      </c>
      <c r="D391" s="3"/>
      <c r="E391" s="4"/>
      <c r="F391" s="26" t="s">
        <v>3</v>
      </c>
      <c r="G391" s="4"/>
    </row>
    <row r="392" spans="1:7" ht="12.75">
      <c r="A392" s="5"/>
      <c r="B392" s="5"/>
      <c r="C392" s="27" t="s">
        <v>4</v>
      </c>
      <c r="D392" s="27" t="s">
        <v>5</v>
      </c>
      <c r="E392" s="27" t="s">
        <v>6</v>
      </c>
      <c r="F392" s="27" t="s">
        <v>7</v>
      </c>
      <c r="G392" s="27" t="s">
        <v>8</v>
      </c>
    </row>
    <row r="393" spans="1:7" ht="12.75">
      <c r="A393" s="28" t="s">
        <v>81</v>
      </c>
      <c r="B393" s="3"/>
      <c r="C393" s="3"/>
      <c r="D393" s="3"/>
      <c r="E393" s="3"/>
      <c r="F393" s="3"/>
      <c r="G393" s="4"/>
    </row>
    <row r="394" spans="1:7" ht="12.75">
      <c r="A394" s="29"/>
      <c r="B394" s="30" t="s">
        <v>10</v>
      </c>
      <c r="C394" s="30" t="s">
        <v>11</v>
      </c>
      <c r="D394" s="30" t="s">
        <v>12</v>
      </c>
      <c r="E394" s="31">
        <v>1</v>
      </c>
      <c r="F394" s="32"/>
      <c r="G394" s="4"/>
    </row>
    <row r="395" spans="1:7" ht="12.75">
      <c r="A395" s="30" t="s">
        <v>13</v>
      </c>
      <c r="B395" s="33" t="s">
        <v>75</v>
      </c>
      <c r="C395" s="3"/>
      <c r="D395" s="3"/>
      <c r="E395" s="3"/>
      <c r="F395" s="3"/>
      <c r="G395" s="4"/>
    </row>
    <row r="396" spans="1:7" ht="12.75">
      <c r="A396" s="34" t="s">
        <v>15</v>
      </c>
      <c r="B396" s="3"/>
      <c r="C396" s="3"/>
      <c r="D396" s="3"/>
      <c r="E396" s="3"/>
      <c r="F396" s="4"/>
      <c r="G396" s="35" t="s">
        <v>16</v>
      </c>
    </row>
    <row r="397" spans="1:7" ht="12.75">
      <c r="A397" s="36"/>
      <c r="B397" s="37" t="s">
        <v>82</v>
      </c>
      <c r="C397" s="33" t="s">
        <v>83</v>
      </c>
      <c r="D397" s="3"/>
      <c r="E397" s="4"/>
      <c r="F397" s="32"/>
      <c r="G397" s="4"/>
    </row>
    <row r="398" spans="1:7" ht="12.75">
      <c r="A398" s="5"/>
      <c r="B398" s="5"/>
      <c r="C398" s="30" t="s">
        <v>19</v>
      </c>
      <c r="D398" s="31">
        <v>1</v>
      </c>
      <c r="E398" s="31">
        <v>36.50</v>
      </c>
      <c r="F398" s="31">
        <f>D398*E398</f>
        <v>36.50</v>
      </c>
      <c r="G398" s="30" t="s">
        <v>20</v>
      </c>
    </row>
    <row r="399" spans="1:7" ht="12.75">
      <c r="A399" s="38" t="s">
        <v>21</v>
      </c>
      <c r="B399" s="3"/>
      <c r="C399" s="4"/>
      <c r="D399" s="31">
        <v>1</v>
      </c>
      <c r="E399" s="39" t="s">
        <v>11</v>
      </c>
      <c r="F399" s="31">
        <f>F398</f>
        <v>36.50</v>
      </c>
      <c r="G399" s="29"/>
    </row>
    <row r="400" spans="1:7" ht="12.75">
      <c r="A400" s="38" t="s">
        <v>22</v>
      </c>
      <c r="B400" s="3"/>
      <c r="C400" s="4"/>
      <c r="D400" s="31">
        <v>1</v>
      </c>
      <c r="E400" s="39" t="s">
        <v>11</v>
      </c>
      <c r="F400" s="31">
        <f>F399/D399</f>
        <v>36.50</v>
      </c>
      <c r="G400" s="29"/>
    </row>
    <row r="401" spans="1:7" ht="12.75">
      <c r="A401" s="40" t="s">
        <v>23</v>
      </c>
      <c r="B401" s="3"/>
      <c r="C401" s="3"/>
      <c r="D401" s="4"/>
      <c r="E401" s="29"/>
      <c r="F401" s="31">
        <f>F400*1%</f>
        <v>0.365</v>
      </c>
      <c r="G401" s="29"/>
    </row>
    <row r="402" spans="1:7" ht="12.75">
      <c r="A402" s="40" t="s">
        <v>24</v>
      </c>
      <c r="B402" s="3"/>
      <c r="C402" s="3"/>
      <c r="D402" s="4"/>
      <c r="E402" s="29"/>
      <c r="F402" s="31">
        <f>F401+F400</f>
        <v>36.865</v>
      </c>
      <c r="G402" s="29"/>
    </row>
    <row r="403" spans="1:7" ht="12.75">
      <c r="A403" s="40" t="s">
        <v>25</v>
      </c>
      <c r="B403" s="3"/>
      <c r="C403" s="3"/>
      <c r="D403" s="4"/>
      <c r="E403" s="29"/>
      <c r="F403" s="31">
        <f>F402*15%</f>
        <v>5.5297499999999999</v>
      </c>
      <c r="G403" s="29"/>
    </row>
    <row r="404" spans="1:7" ht="12.75">
      <c r="A404" s="40" t="s">
        <v>24</v>
      </c>
      <c r="B404" s="3"/>
      <c r="C404" s="3"/>
      <c r="D404" s="4"/>
      <c r="E404" s="29"/>
      <c r="F404" s="41">
        <f>ROUND(F403+F402,2)</f>
        <v>42.39</v>
      </c>
      <c r="G404" s="29"/>
    </row>
    <row r="405" spans="1:7" ht="12.75">
      <c r="A405" s="34" t="s">
        <v>26</v>
      </c>
      <c r="B405" s="3"/>
      <c r="C405" s="3"/>
      <c r="D405" s="3"/>
      <c r="E405" s="3"/>
      <c r="F405" s="4"/>
      <c r="G405" s="35" t="s">
        <v>27</v>
      </c>
    </row>
    <row r="406" spans="1:7" ht="12.75">
      <c r="A406" s="37">
        <v>9999</v>
      </c>
      <c r="B406" s="36"/>
      <c r="C406" s="33" t="s">
        <v>54</v>
      </c>
      <c r="D406" s="3"/>
      <c r="E406" s="4"/>
      <c r="F406" s="32"/>
      <c r="G406" s="4"/>
    </row>
    <row r="407" spans="1:7" ht="12.75">
      <c r="A407" s="5"/>
      <c r="B407" s="5"/>
      <c r="C407" s="30" t="s">
        <v>29</v>
      </c>
      <c r="D407" s="31">
        <v>2.73</v>
      </c>
      <c r="E407" s="31">
        <v>2.12</v>
      </c>
      <c r="F407" s="31">
        <f>D407*E407</f>
        <v>5.7876000000000003</v>
      </c>
      <c r="G407" s="30" t="s">
        <v>30</v>
      </c>
    </row>
    <row r="408" spans="1:7" ht="12.75">
      <c r="A408" s="37">
        <v>9999</v>
      </c>
      <c r="B408" s="36"/>
      <c r="C408" s="33" t="s">
        <v>31</v>
      </c>
      <c r="D408" s="3"/>
      <c r="E408" s="4"/>
      <c r="F408" s="32"/>
      <c r="G408" s="4"/>
    </row>
    <row r="409" spans="1:7" ht="12.75">
      <c r="A409" s="5"/>
      <c r="B409" s="5"/>
      <c r="C409" s="30" t="s">
        <v>29</v>
      </c>
      <c r="D409" s="31">
        <v>9.36</v>
      </c>
      <c r="E409" s="31">
        <v>2.12</v>
      </c>
      <c r="F409" s="31">
        <f>D409*E409</f>
        <v>19.8432</v>
      </c>
      <c r="G409" s="30" t="s">
        <v>32</v>
      </c>
    </row>
    <row r="410" spans="1:7" ht="12.75">
      <c r="A410" s="38" t="s">
        <v>33</v>
      </c>
      <c r="B410" s="3"/>
      <c r="C410" s="4"/>
      <c r="D410" s="31">
        <v>1</v>
      </c>
      <c r="E410" s="39" t="s">
        <v>11</v>
      </c>
      <c r="F410" s="31">
        <f>F409+F407</f>
        <v>25.630800000000001</v>
      </c>
      <c r="G410" s="29"/>
    </row>
    <row r="411" spans="1:7" ht="12.75">
      <c r="A411" s="38" t="s">
        <v>22</v>
      </c>
      <c r="B411" s="3"/>
      <c r="C411" s="4"/>
      <c r="D411" s="31">
        <v>1</v>
      </c>
      <c r="E411" s="39" t="s">
        <v>11</v>
      </c>
      <c r="F411" s="31">
        <f>F410/D410</f>
        <v>25.630800000000001</v>
      </c>
      <c r="G411" s="29"/>
    </row>
    <row r="412" spans="1:7" ht="12.75">
      <c r="A412" s="40" t="s">
        <v>23</v>
      </c>
      <c r="B412" s="3"/>
      <c r="C412" s="3"/>
      <c r="D412" s="4"/>
      <c r="E412" s="29"/>
      <c r="F412" s="31">
        <f>F411*1%</f>
        <v>0.25630799999999998</v>
      </c>
      <c r="G412" s="29"/>
    </row>
    <row r="413" spans="1:7" ht="12.75">
      <c r="A413" s="40" t="s">
        <v>24</v>
      </c>
      <c r="B413" s="3"/>
      <c r="C413" s="3"/>
      <c r="D413" s="4"/>
      <c r="E413" s="29"/>
      <c r="F413" s="31">
        <f>F412+F411</f>
        <v>25.887108000000001</v>
      </c>
      <c r="G413" s="29"/>
    </row>
    <row r="414" spans="1:7" ht="12.75">
      <c r="A414" s="40" t="s">
        <v>25</v>
      </c>
      <c r="B414" s="3"/>
      <c r="C414" s="3"/>
      <c r="D414" s="4"/>
      <c r="E414" s="29"/>
      <c r="F414" s="31">
        <f>F413*15%</f>
        <v>3.8830662</v>
      </c>
      <c r="G414" s="29"/>
    </row>
    <row r="415" spans="1:7" ht="12.75">
      <c r="A415" s="40" t="s">
        <v>24</v>
      </c>
      <c r="B415" s="3"/>
      <c r="C415" s="3"/>
      <c r="D415" s="4"/>
      <c r="E415" s="29"/>
      <c r="F415" s="41">
        <f>ROUND(F414+F413,2)</f>
        <v>29.77</v>
      </c>
      <c r="G415" s="29"/>
    </row>
    <row r="416" spans="1:7" ht="12.75">
      <c r="A416" s="42" t="str">
        <f>CONCATENATE("Say ₹ ",F404," + ",F415," x Cost Index")</f>
        <v>Say ₹ 42.39 + 29.77 x Cost Index</v>
      </c>
      <c r="B416" s="3"/>
      <c r="C416" s="3"/>
      <c r="D416" s="3"/>
      <c r="E416" s="3"/>
      <c r="F416" s="3"/>
      <c r="G416" s="4"/>
    </row>
    <row r="417" spans="1:7" ht="12.75">
      <c r="A417" s="25" t="s">
        <v>0</v>
      </c>
      <c r="B417" s="25" t="s">
        <v>1</v>
      </c>
      <c r="C417" s="26" t="s">
        <v>2</v>
      </c>
      <c r="D417" s="3"/>
      <c r="E417" s="4"/>
      <c r="F417" s="26" t="s">
        <v>3</v>
      </c>
      <c r="G417" s="4"/>
    </row>
    <row r="418" spans="1:7" ht="12.75">
      <c r="A418" s="5"/>
      <c r="B418" s="5"/>
      <c r="C418" s="27" t="s">
        <v>4</v>
      </c>
      <c r="D418" s="27" t="s">
        <v>5</v>
      </c>
      <c r="E418" s="27" t="s">
        <v>6</v>
      </c>
      <c r="F418" s="27" t="s">
        <v>7</v>
      </c>
      <c r="G418" s="27" t="s">
        <v>8</v>
      </c>
    </row>
    <row r="419" spans="1:7" ht="12.75">
      <c r="A419" s="28" t="s">
        <v>84</v>
      </c>
      <c r="B419" s="3"/>
      <c r="C419" s="3"/>
      <c r="D419" s="3"/>
      <c r="E419" s="3"/>
      <c r="F419" s="3"/>
      <c r="G419" s="4"/>
    </row>
    <row r="420" spans="1:7" ht="12.75">
      <c r="A420" s="29"/>
      <c r="B420" s="30" t="s">
        <v>10</v>
      </c>
      <c r="C420" s="30" t="s">
        <v>11</v>
      </c>
      <c r="D420" s="30" t="s">
        <v>12</v>
      </c>
      <c r="E420" s="31">
        <v>1</v>
      </c>
      <c r="F420" s="32"/>
      <c r="G420" s="4"/>
    </row>
    <row r="421" spans="1:7" ht="12.75">
      <c r="A421" s="30" t="s">
        <v>13</v>
      </c>
      <c r="B421" s="33" t="s">
        <v>75</v>
      </c>
      <c r="C421" s="3"/>
      <c r="D421" s="3"/>
      <c r="E421" s="3"/>
      <c r="F421" s="3"/>
      <c r="G421" s="4"/>
    </row>
    <row r="422" spans="1:7" ht="12.75">
      <c r="A422" s="34" t="s">
        <v>15</v>
      </c>
      <c r="B422" s="3"/>
      <c r="C422" s="3"/>
      <c r="D422" s="3"/>
      <c r="E422" s="3"/>
      <c r="F422" s="4"/>
      <c r="G422" s="35" t="s">
        <v>16</v>
      </c>
    </row>
    <row r="423" spans="1:7" ht="12.75">
      <c r="A423" s="36"/>
      <c r="B423" s="37" t="s">
        <v>85</v>
      </c>
      <c r="C423" s="33" t="s">
        <v>86</v>
      </c>
      <c r="D423" s="3"/>
      <c r="E423" s="4"/>
      <c r="F423" s="32"/>
      <c r="G423" s="4"/>
    </row>
    <row r="424" spans="1:7" ht="12.75">
      <c r="A424" s="5"/>
      <c r="B424" s="5"/>
      <c r="C424" s="30" t="s">
        <v>19</v>
      </c>
      <c r="D424" s="31">
        <v>1</v>
      </c>
      <c r="E424" s="31">
        <v>49</v>
      </c>
      <c r="F424" s="31">
        <f>D424*E424</f>
        <v>49</v>
      </c>
      <c r="G424" s="30" t="s">
        <v>20</v>
      </c>
    </row>
    <row r="425" spans="1:7" ht="12.75">
      <c r="A425" s="38" t="s">
        <v>21</v>
      </c>
      <c r="B425" s="3"/>
      <c r="C425" s="4"/>
      <c r="D425" s="31">
        <v>1</v>
      </c>
      <c r="E425" s="39" t="s">
        <v>11</v>
      </c>
      <c r="F425" s="31">
        <f>F424</f>
        <v>49</v>
      </c>
      <c r="G425" s="29"/>
    </row>
    <row r="426" spans="1:7" ht="12.75">
      <c r="A426" s="38" t="s">
        <v>22</v>
      </c>
      <c r="B426" s="3"/>
      <c r="C426" s="4"/>
      <c r="D426" s="31">
        <v>1</v>
      </c>
      <c r="E426" s="39" t="s">
        <v>11</v>
      </c>
      <c r="F426" s="31">
        <f>F425/D425</f>
        <v>49</v>
      </c>
      <c r="G426" s="29"/>
    </row>
    <row r="427" spans="1:7" ht="12.75">
      <c r="A427" s="40" t="s">
        <v>23</v>
      </c>
      <c r="B427" s="3"/>
      <c r="C427" s="3"/>
      <c r="D427" s="4"/>
      <c r="E427" s="29"/>
      <c r="F427" s="31">
        <f>F426*1%</f>
        <v>0.49</v>
      </c>
      <c r="G427" s="29"/>
    </row>
    <row r="428" spans="1:7" ht="12.75">
      <c r="A428" s="40" t="s">
        <v>24</v>
      </c>
      <c r="B428" s="3"/>
      <c r="C428" s="3"/>
      <c r="D428" s="4"/>
      <c r="E428" s="29"/>
      <c r="F428" s="31">
        <f>F427+F426</f>
        <v>49.49</v>
      </c>
      <c r="G428" s="29"/>
    </row>
    <row r="429" spans="1:7" ht="12.75">
      <c r="A429" s="40" t="s">
        <v>25</v>
      </c>
      <c r="B429" s="3"/>
      <c r="C429" s="3"/>
      <c r="D429" s="4"/>
      <c r="E429" s="29"/>
      <c r="F429" s="31">
        <f>F428*15%</f>
        <v>7.4234999999999998</v>
      </c>
      <c r="G429" s="29"/>
    </row>
    <row r="430" spans="1:7" ht="12.75">
      <c r="A430" s="40" t="s">
        <v>24</v>
      </c>
      <c r="B430" s="3"/>
      <c r="C430" s="3"/>
      <c r="D430" s="4"/>
      <c r="E430" s="29"/>
      <c r="F430" s="41">
        <f>ROUND(F429+F428,2)</f>
        <v>56.91</v>
      </c>
      <c r="G430" s="29"/>
    </row>
    <row r="431" spans="1:7" ht="12.75">
      <c r="A431" s="34" t="s">
        <v>26</v>
      </c>
      <c r="B431" s="3"/>
      <c r="C431" s="3"/>
      <c r="D431" s="3"/>
      <c r="E431" s="3"/>
      <c r="F431" s="4"/>
      <c r="G431" s="35" t="s">
        <v>27</v>
      </c>
    </row>
    <row r="432" spans="1:7" ht="12.75">
      <c r="A432" s="37">
        <v>9999</v>
      </c>
      <c r="B432" s="36"/>
      <c r="C432" s="33" t="s">
        <v>54</v>
      </c>
      <c r="D432" s="3"/>
      <c r="E432" s="4"/>
      <c r="F432" s="32"/>
      <c r="G432" s="4"/>
    </row>
    <row r="433" spans="1:7" ht="12.75">
      <c r="A433" s="5"/>
      <c r="B433" s="5"/>
      <c r="C433" s="30" t="s">
        <v>29</v>
      </c>
      <c r="D433" s="31">
        <v>2.73</v>
      </c>
      <c r="E433" s="31">
        <v>2.12</v>
      </c>
      <c r="F433" s="31">
        <f>D433*E433</f>
        <v>5.7876000000000003</v>
      </c>
      <c r="G433" s="30" t="s">
        <v>30</v>
      </c>
    </row>
    <row r="434" spans="1:7" ht="12.75">
      <c r="A434" s="37">
        <v>9999</v>
      </c>
      <c r="B434" s="36"/>
      <c r="C434" s="33" t="s">
        <v>31</v>
      </c>
      <c r="D434" s="3"/>
      <c r="E434" s="4"/>
      <c r="F434" s="32"/>
      <c r="G434" s="4"/>
    </row>
    <row r="435" spans="1:7" ht="12.75">
      <c r="A435" s="5"/>
      <c r="B435" s="5"/>
      <c r="C435" s="30" t="s">
        <v>29</v>
      </c>
      <c r="D435" s="31">
        <v>9.36</v>
      </c>
      <c r="E435" s="31">
        <v>2.12</v>
      </c>
      <c r="F435" s="31">
        <f>D435*E435</f>
        <v>19.8432</v>
      </c>
      <c r="G435" s="30" t="s">
        <v>32</v>
      </c>
    </row>
    <row r="436" spans="1:7" ht="12.75">
      <c r="A436" s="38" t="s">
        <v>33</v>
      </c>
      <c r="B436" s="3"/>
      <c r="C436" s="4"/>
      <c r="D436" s="31">
        <v>1</v>
      </c>
      <c r="E436" s="39" t="s">
        <v>11</v>
      </c>
      <c r="F436" s="31">
        <f>F435+F433</f>
        <v>25.630800000000001</v>
      </c>
      <c r="G436" s="29"/>
    </row>
    <row r="437" spans="1:7" ht="12.75">
      <c r="A437" s="38" t="s">
        <v>22</v>
      </c>
      <c r="B437" s="3"/>
      <c r="C437" s="4"/>
      <c r="D437" s="31">
        <v>1</v>
      </c>
      <c r="E437" s="39" t="s">
        <v>11</v>
      </c>
      <c r="F437" s="31">
        <f>F436/D436</f>
        <v>25.630800000000001</v>
      </c>
      <c r="G437" s="29"/>
    </row>
    <row r="438" spans="1:7" ht="12.75">
      <c r="A438" s="40" t="s">
        <v>23</v>
      </c>
      <c r="B438" s="3"/>
      <c r="C438" s="3"/>
      <c r="D438" s="4"/>
      <c r="E438" s="29"/>
      <c r="F438" s="31">
        <f>F437*1%</f>
        <v>0.25630799999999998</v>
      </c>
      <c r="G438" s="29"/>
    </row>
    <row r="439" spans="1:7" ht="12.75">
      <c r="A439" s="40" t="s">
        <v>24</v>
      </c>
      <c r="B439" s="3"/>
      <c r="C439" s="3"/>
      <c r="D439" s="4"/>
      <c r="E439" s="29"/>
      <c r="F439" s="31">
        <f>F438+F437</f>
        <v>25.887108000000001</v>
      </c>
      <c r="G439" s="29"/>
    </row>
    <row r="440" spans="1:7" ht="12.75">
      <c r="A440" s="40" t="s">
        <v>25</v>
      </c>
      <c r="B440" s="3"/>
      <c r="C440" s="3"/>
      <c r="D440" s="4"/>
      <c r="E440" s="29"/>
      <c r="F440" s="31">
        <f>F439*15%</f>
        <v>3.8830662</v>
      </c>
      <c r="G440" s="29"/>
    </row>
    <row r="441" spans="1:7" ht="12.75">
      <c r="A441" s="40" t="s">
        <v>24</v>
      </c>
      <c r="B441" s="3"/>
      <c r="C441" s="3"/>
      <c r="D441" s="4"/>
      <c r="E441" s="29"/>
      <c r="F441" s="41">
        <f>ROUND(F440+F439,2)</f>
        <v>29.77</v>
      </c>
      <c r="G441" s="29"/>
    </row>
    <row r="442" spans="1:7" ht="12.75">
      <c r="A442" s="42" t="str">
        <f>CONCATENATE("Say ₹ ",F430," + ",F441," x Cost Index")</f>
        <v>Say ₹ 56.91 + 29.77 x Cost Index</v>
      </c>
      <c r="B442" s="3"/>
      <c r="C442" s="3"/>
      <c r="D442" s="3"/>
      <c r="E442" s="3"/>
      <c r="F442" s="3"/>
      <c r="G442" s="4"/>
    </row>
    <row r="443" spans="1:7" ht="12.75">
      <c r="A443" s="1" t="s">
        <v>0</v>
      </c>
      <c r="B443" s="1" t="s">
        <v>1</v>
      </c>
      <c r="C443" s="2" t="s">
        <v>2</v>
      </c>
      <c r="D443" s="3"/>
      <c r="E443" s="4"/>
      <c r="F443" s="2" t="s">
        <v>3</v>
      </c>
      <c r="G443" s="4"/>
    </row>
    <row r="444" spans="1:7" ht="12.75">
      <c r="A444" s="5"/>
      <c r="B444" s="5"/>
      <c r="C444" s="6" t="s">
        <v>4</v>
      </c>
      <c r="D444" s="6" t="s">
        <v>5</v>
      </c>
      <c r="E444" s="6" t="s">
        <v>6</v>
      </c>
      <c r="F444" s="6" t="s">
        <v>7</v>
      </c>
      <c r="G444" s="6" t="s">
        <v>8</v>
      </c>
    </row>
    <row r="445" spans="1:7" ht="12.75">
      <c r="A445" s="7" t="s">
        <v>87</v>
      </c>
      <c r="B445" s="3"/>
      <c r="C445" s="3"/>
      <c r="D445" s="3"/>
      <c r="E445" s="3"/>
      <c r="F445" s="3"/>
      <c r="G445" s="4"/>
    </row>
    <row r="446" spans="1:7" ht="12.75">
      <c r="A446" s="8"/>
      <c r="B446" s="8" t="s">
        <v>10</v>
      </c>
      <c r="C446" s="8" t="s">
        <v>11</v>
      </c>
      <c r="D446" s="8" t="s">
        <v>12</v>
      </c>
      <c r="E446" s="9">
        <v>1</v>
      </c>
      <c r="F446" s="10"/>
      <c r="G446" s="4"/>
    </row>
    <row r="447" spans="1:7" ht="12.75">
      <c r="A447" s="8" t="s">
        <v>13</v>
      </c>
      <c r="B447" s="10" t="s">
        <v>75</v>
      </c>
      <c r="C447" s="3"/>
      <c r="D447" s="3"/>
      <c r="E447" s="3"/>
      <c r="F447" s="3"/>
      <c r="G447" s="4"/>
    </row>
    <row r="448" spans="1:7" ht="12.75">
      <c r="A448" s="11" t="s">
        <v>15</v>
      </c>
      <c r="B448" s="3"/>
      <c r="C448" s="3"/>
      <c r="D448" s="3"/>
      <c r="E448" s="3"/>
      <c r="F448" s="4"/>
      <c r="G448" s="12" t="s">
        <v>16</v>
      </c>
    </row>
    <row r="449" spans="1:7" ht="12.75">
      <c r="A449" s="13"/>
      <c r="B449" s="13" t="s">
        <v>88</v>
      </c>
      <c r="C449" s="10" t="s">
        <v>89</v>
      </c>
      <c r="D449" s="3"/>
      <c r="E449" s="4"/>
      <c r="F449" s="10"/>
      <c r="G449" s="4"/>
    </row>
    <row r="450" spans="1:7" ht="12.75">
      <c r="A450" s="5"/>
      <c r="B450" s="5"/>
      <c r="C450" s="8" t="s">
        <v>19</v>
      </c>
      <c r="D450" s="9">
        <v>1</v>
      </c>
      <c r="E450" s="9">
        <v>28</v>
      </c>
      <c r="F450" s="9">
        <f>D450*E450</f>
        <v>28</v>
      </c>
      <c r="G450" s="8" t="s">
        <v>20</v>
      </c>
    </row>
    <row r="451" spans="1:7" ht="12.75">
      <c r="A451" s="14" t="s">
        <v>21</v>
      </c>
      <c r="B451" s="3"/>
      <c r="C451" s="4"/>
      <c r="D451" s="9">
        <v>1</v>
      </c>
      <c r="E451" s="15" t="s">
        <v>11</v>
      </c>
      <c r="F451" s="9">
        <f>F450</f>
        <v>28</v>
      </c>
      <c r="G451" s="8"/>
    </row>
    <row r="452" spans="1:7" ht="12.75">
      <c r="A452" s="14" t="s">
        <v>22</v>
      </c>
      <c r="B452" s="3"/>
      <c r="C452" s="4"/>
      <c r="D452" s="9">
        <v>1</v>
      </c>
      <c r="E452" s="15" t="s">
        <v>11</v>
      </c>
      <c r="F452" s="9">
        <f>F451/D451</f>
        <v>28</v>
      </c>
      <c r="G452" s="8"/>
    </row>
    <row r="453" spans="1:7" ht="12.75">
      <c r="A453" s="16" t="s">
        <v>23</v>
      </c>
      <c r="B453" s="3"/>
      <c r="C453" s="3"/>
      <c r="D453" s="4"/>
      <c r="E453" s="9"/>
      <c r="F453" s="9">
        <f>F452*1%</f>
        <v>0.28</v>
      </c>
      <c r="G453" s="8"/>
    </row>
    <row r="454" spans="1:7" ht="12.75">
      <c r="A454" s="16" t="s">
        <v>24</v>
      </c>
      <c r="B454" s="3"/>
      <c r="C454" s="3"/>
      <c r="D454" s="4"/>
      <c r="E454" s="15"/>
      <c r="F454" s="9">
        <f>F453+F452</f>
        <v>28.28</v>
      </c>
      <c r="G454" s="8"/>
    </row>
    <row r="455" spans="1:7" ht="12.75">
      <c r="A455" s="16" t="s">
        <v>25</v>
      </c>
      <c r="B455" s="3"/>
      <c r="C455" s="3"/>
      <c r="D455" s="4"/>
      <c r="E455" s="9"/>
      <c r="F455" s="9">
        <f>F454*15%</f>
        <v>4.242</v>
      </c>
      <c r="G455" s="8"/>
    </row>
    <row r="456" spans="1:7" ht="12.75">
      <c r="A456" s="16" t="s">
        <v>24</v>
      </c>
      <c r="B456" s="3"/>
      <c r="C456" s="3"/>
      <c r="D456" s="4"/>
      <c r="E456" s="15"/>
      <c r="F456" s="17">
        <f>ROUND(F455+F454,2)</f>
        <v>32.52</v>
      </c>
      <c r="G456" s="8"/>
    </row>
    <row r="457" spans="1:7" ht="12.75">
      <c r="A457" s="11" t="s">
        <v>26</v>
      </c>
      <c r="B457" s="3"/>
      <c r="C457" s="3"/>
      <c r="D457" s="3"/>
      <c r="E457" s="3"/>
      <c r="F457" s="4"/>
      <c r="G457" s="12" t="s">
        <v>27</v>
      </c>
    </row>
    <row r="458" spans="1:7" ht="12.75">
      <c r="A458" s="13">
        <v>9999</v>
      </c>
      <c r="B458" s="13"/>
      <c r="C458" s="10" t="s">
        <v>54</v>
      </c>
      <c r="D458" s="3"/>
      <c r="E458" s="4"/>
      <c r="F458" s="10"/>
      <c r="G458" s="4"/>
    </row>
    <row r="459" spans="1:7" ht="12.75">
      <c r="A459" s="5"/>
      <c r="B459" s="5"/>
      <c r="C459" s="8" t="s">
        <v>29</v>
      </c>
      <c r="D459" s="9">
        <v>2.73</v>
      </c>
      <c r="E459" s="9">
        <v>2.12</v>
      </c>
      <c r="F459" s="9">
        <f>D459*E459</f>
        <v>5.7876000000000003</v>
      </c>
      <c r="G459" s="8" t="s">
        <v>30</v>
      </c>
    </row>
    <row r="460" spans="1:7" ht="12.75">
      <c r="A460" s="13">
        <v>9999</v>
      </c>
      <c r="B460" s="13"/>
      <c r="C460" s="10" t="s">
        <v>31</v>
      </c>
      <c r="D460" s="3"/>
      <c r="E460" s="4"/>
      <c r="F460" s="10"/>
      <c r="G460" s="4"/>
    </row>
    <row r="461" spans="1:7" ht="12.75">
      <c r="A461" s="5"/>
      <c r="B461" s="5"/>
      <c r="C461" s="8" t="s">
        <v>29</v>
      </c>
      <c r="D461" s="9">
        <v>9.36</v>
      </c>
      <c r="E461" s="9">
        <v>2.12</v>
      </c>
      <c r="F461" s="9">
        <f>D461*E461</f>
        <v>19.8432</v>
      </c>
      <c r="G461" s="8" t="s">
        <v>32</v>
      </c>
    </row>
    <row r="462" spans="1:7" ht="12.75">
      <c r="A462" s="14" t="s">
        <v>33</v>
      </c>
      <c r="B462" s="3"/>
      <c r="C462" s="4"/>
      <c r="D462" s="9">
        <v>1</v>
      </c>
      <c r="E462" s="15" t="s">
        <v>11</v>
      </c>
      <c r="F462" s="9">
        <f>F461+F459</f>
        <v>25.630800000000001</v>
      </c>
      <c r="G462" s="15"/>
    </row>
    <row r="463" spans="1:7" ht="12.75">
      <c r="A463" s="14" t="s">
        <v>22</v>
      </c>
      <c r="B463" s="3"/>
      <c r="C463" s="4"/>
      <c r="D463" s="9">
        <v>1</v>
      </c>
      <c r="E463" s="15" t="s">
        <v>11</v>
      </c>
      <c r="F463" s="9">
        <f>F462/D462</f>
        <v>25.630800000000001</v>
      </c>
      <c r="G463" s="15"/>
    </row>
    <row r="464" spans="1:7" ht="12.75">
      <c r="A464" s="16" t="s">
        <v>23</v>
      </c>
      <c r="B464" s="3"/>
      <c r="C464" s="3"/>
      <c r="D464" s="4"/>
      <c r="E464" s="9"/>
      <c r="F464" s="9">
        <f>F463*1%</f>
        <v>0.25630799999999998</v>
      </c>
      <c r="G464" s="15"/>
    </row>
    <row r="465" spans="1:7" ht="12.75">
      <c r="A465" s="16" t="s">
        <v>24</v>
      </c>
      <c r="B465" s="3"/>
      <c r="C465" s="3"/>
      <c r="D465" s="4"/>
      <c r="E465" s="15"/>
      <c r="F465" s="9">
        <f>F464+F463</f>
        <v>25.887108000000001</v>
      </c>
      <c r="G465" s="15"/>
    </row>
    <row r="466" spans="1:7" ht="12.75">
      <c r="A466" s="16" t="s">
        <v>25</v>
      </c>
      <c r="B466" s="3"/>
      <c r="C466" s="3"/>
      <c r="D466" s="4"/>
      <c r="E466" s="9"/>
      <c r="F466" s="9">
        <f>F465*15%</f>
        <v>3.8830662</v>
      </c>
      <c r="G466" s="15"/>
    </row>
    <row r="467" spans="1:7" ht="12.75">
      <c r="A467" s="16" t="s">
        <v>24</v>
      </c>
      <c r="B467" s="3"/>
      <c r="C467" s="3"/>
      <c r="D467" s="4"/>
      <c r="E467" s="15"/>
      <c r="F467" s="17">
        <f>ROUND(F466+F465,2)</f>
        <v>29.77</v>
      </c>
      <c r="G467" s="15"/>
    </row>
    <row r="468" spans="1:7" ht="12.75">
      <c r="A468" s="18" t="str">
        <f>CONCATENATE("Say ₹ ",F456," + ",F467," x Cost Index")</f>
        <v>Say ₹ 32.52 + 29.77 x Cost Index</v>
      </c>
      <c r="B468" s="3"/>
      <c r="C468" s="3"/>
      <c r="D468" s="3"/>
      <c r="E468" s="3"/>
      <c r="F468" s="3"/>
      <c r="G468" s="4"/>
    </row>
    <row r="469" spans="1:7" ht="12.75">
      <c r="A469" s="25" t="s">
        <v>0</v>
      </c>
      <c r="B469" s="25" t="s">
        <v>1</v>
      </c>
      <c r="C469" s="26" t="s">
        <v>2</v>
      </c>
      <c r="D469" s="3"/>
      <c r="E469" s="4"/>
      <c r="F469" s="26" t="s">
        <v>3</v>
      </c>
      <c r="G469" s="4"/>
    </row>
    <row r="470" spans="1:7" ht="12.75">
      <c r="A470" s="5"/>
      <c r="B470" s="5"/>
      <c r="C470" s="27" t="s">
        <v>4</v>
      </c>
      <c r="D470" s="27" t="s">
        <v>5</v>
      </c>
      <c r="E470" s="27" t="s">
        <v>6</v>
      </c>
      <c r="F470" s="27" t="s">
        <v>7</v>
      </c>
      <c r="G470" s="27" t="s">
        <v>8</v>
      </c>
    </row>
    <row r="471" spans="1:7" ht="12.75">
      <c r="A471" s="28" t="s">
        <v>90</v>
      </c>
      <c r="B471" s="3"/>
      <c r="C471" s="3"/>
      <c r="D471" s="3"/>
      <c r="E471" s="3"/>
      <c r="F471" s="3"/>
      <c r="G471" s="4"/>
    </row>
    <row r="472" spans="1:7" ht="12.75">
      <c r="A472" s="29"/>
      <c r="B472" s="30" t="s">
        <v>10</v>
      </c>
      <c r="C472" s="30" t="s">
        <v>11</v>
      </c>
      <c r="D472" s="30" t="s">
        <v>12</v>
      </c>
      <c r="E472" s="31">
        <v>1</v>
      </c>
      <c r="F472" s="32"/>
      <c r="G472" s="4"/>
    </row>
    <row r="473" spans="1:7" ht="12.75">
      <c r="A473" s="30" t="s">
        <v>13</v>
      </c>
      <c r="B473" s="33" t="s">
        <v>75</v>
      </c>
      <c r="C473" s="3"/>
      <c r="D473" s="3"/>
      <c r="E473" s="3"/>
      <c r="F473" s="3"/>
      <c r="G473" s="4"/>
    </row>
    <row r="474" spans="1:7" ht="12.75">
      <c r="A474" s="34" t="s">
        <v>15</v>
      </c>
      <c r="B474" s="3"/>
      <c r="C474" s="3"/>
      <c r="D474" s="3"/>
      <c r="E474" s="3"/>
      <c r="F474" s="4"/>
      <c r="G474" s="35" t="s">
        <v>16</v>
      </c>
    </row>
    <row r="475" spans="1:7" ht="12.75">
      <c r="A475" s="36"/>
      <c r="B475" s="37" t="s">
        <v>91</v>
      </c>
      <c r="C475" s="33" t="s">
        <v>92</v>
      </c>
      <c r="D475" s="3"/>
      <c r="E475" s="4"/>
      <c r="F475" s="32"/>
      <c r="G475" s="4"/>
    </row>
    <row r="476" spans="1:7" ht="12.75">
      <c r="A476" s="5"/>
      <c r="B476" s="5"/>
      <c r="C476" s="30" t="s">
        <v>19</v>
      </c>
      <c r="D476" s="31">
        <v>1</v>
      </c>
      <c r="E476" s="31">
        <v>49</v>
      </c>
      <c r="F476" s="31">
        <f>D476*E476</f>
        <v>49</v>
      </c>
      <c r="G476" s="30" t="s">
        <v>20</v>
      </c>
    </row>
    <row r="477" spans="1:7" ht="12.75">
      <c r="A477" s="38" t="s">
        <v>21</v>
      </c>
      <c r="B477" s="3"/>
      <c r="C477" s="4"/>
      <c r="D477" s="31">
        <v>1</v>
      </c>
      <c r="E477" s="39" t="s">
        <v>11</v>
      </c>
      <c r="F477" s="31">
        <f>F476</f>
        <v>49</v>
      </c>
      <c r="G477" s="29"/>
    </row>
    <row r="478" spans="1:7" ht="12.75">
      <c r="A478" s="38" t="s">
        <v>22</v>
      </c>
      <c r="B478" s="3"/>
      <c r="C478" s="4"/>
      <c r="D478" s="31">
        <v>1</v>
      </c>
      <c r="E478" s="39" t="s">
        <v>11</v>
      </c>
      <c r="F478" s="31">
        <f>F477/D477</f>
        <v>49</v>
      </c>
      <c r="G478" s="29"/>
    </row>
    <row r="479" spans="1:7" ht="12.75">
      <c r="A479" s="40" t="s">
        <v>23</v>
      </c>
      <c r="B479" s="3"/>
      <c r="C479" s="3"/>
      <c r="D479" s="4"/>
      <c r="E479" s="29"/>
      <c r="F479" s="31">
        <f>F478*1%</f>
        <v>0.49</v>
      </c>
      <c r="G479" s="29"/>
    </row>
    <row r="480" spans="1:7" ht="12.75">
      <c r="A480" s="40" t="s">
        <v>24</v>
      </c>
      <c r="B480" s="3"/>
      <c r="C480" s="3"/>
      <c r="D480" s="4"/>
      <c r="E480" s="29"/>
      <c r="F480" s="31">
        <f>F479+F478</f>
        <v>49.49</v>
      </c>
      <c r="G480" s="29"/>
    </row>
    <row r="481" spans="1:7" ht="12.75">
      <c r="A481" s="40" t="s">
        <v>25</v>
      </c>
      <c r="B481" s="3"/>
      <c r="C481" s="3"/>
      <c r="D481" s="4"/>
      <c r="E481" s="29"/>
      <c r="F481" s="31">
        <f>F480*15%</f>
        <v>7.4234999999999998</v>
      </c>
      <c r="G481" s="29"/>
    </row>
    <row r="482" spans="1:7" ht="12.75">
      <c r="A482" s="40" t="s">
        <v>24</v>
      </c>
      <c r="B482" s="3"/>
      <c r="C482" s="3"/>
      <c r="D482" s="4"/>
      <c r="E482" s="29"/>
      <c r="F482" s="41">
        <f>ROUND(F481+F480,2)</f>
        <v>56.91</v>
      </c>
      <c r="G482" s="29"/>
    </row>
    <row r="483" spans="1:7" ht="12.75">
      <c r="A483" s="34" t="s">
        <v>26</v>
      </c>
      <c r="B483" s="3"/>
      <c r="C483" s="3"/>
      <c r="D483" s="3"/>
      <c r="E483" s="3"/>
      <c r="F483" s="4"/>
      <c r="G483" s="35" t="s">
        <v>27</v>
      </c>
    </row>
    <row r="484" spans="1:7" ht="12.75">
      <c r="A484" s="37">
        <v>9999</v>
      </c>
      <c r="B484" s="36"/>
      <c r="C484" s="33" t="s">
        <v>54</v>
      </c>
      <c r="D484" s="3"/>
      <c r="E484" s="4"/>
      <c r="F484" s="32"/>
      <c r="G484" s="4"/>
    </row>
    <row r="485" spans="1:7" ht="12.75">
      <c r="A485" s="5"/>
      <c r="B485" s="5"/>
      <c r="C485" s="30" t="s">
        <v>29</v>
      </c>
      <c r="D485" s="31">
        <v>2.73</v>
      </c>
      <c r="E485" s="31">
        <v>2.12</v>
      </c>
      <c r="F485" s="31">
        <f>D485*E485</f>
        <v>5.7876000000000003</v>
      </c>
      <c r="G485" s="30" t="s">
        <v>30</v>
      </c>
    </row>
    <row r="486" spans="1:7" ht="12.75">
      <c r="A486" s="37">
        <v>9999</v>
      </c>
      <c r="B486" s="36"/>
      <c r="C486" s="33" t="s">
        <v>31</v>
      </c>
      <c r="D486" s="3"/>
      <c r="E486" s="4"/>
      <c r="F486" s="32"/>
      <c r="G486" s="4"/>
    </row>
    <row r="487" spans="1:7" ht="12.75">
      <c r="A487" s="5"/>
      <c r="B487" s="5"/>
      <c r="C487" s="30" t="s">
        <v>29</v>
      </c>
      <c r="D487" s="31">
        <v>9.36</v>
      </c>
      <c r="E487" s="31">
        <v>2.12</v>
      </c>
      <c r="F487" s="31">
        <f>D487*E487</f>
        <v>19.8432</v>
      </c>
      <c r="G487" s="30" t="s">
        <v>32</v>
      </c>
    </row>
    <row r="488" spans="1:7" ht="12.75">
      <c r="A488" s="38" t="s">
        <v>33</v>
      </c>
      <c r="B488" s="3"/>
      <c r="C488" s="4"/>
      <c r="D488" s="31">
        <v>1</v>
      </c>
      <c r="E488" s="39" t="s">
        <v>11</v>
      </c>
      <c r="F488" s="31">
        <f>F487+F485</f>
        <v>25.630800000000001</v>
      </c>
      <c r="G488" s="29"/>
    </row>
    <row r="489" spans="1:7" ht="12.75">
      <c r="A489" s="38" t="s">
        <v>22</v>
      </c>
      <c r="B489" s="3"/>
      <c r="C489" s="4"/>
      <c r="D489" s="31">
        <v>1</v>
      </c>
      <c r="E489" s="39" t="s">
        <v>11</v>
      </c>
      <c r="F489" s="31">
        <f>F488/D488</f>
        <v>25.630800000000001</v>
      </c>
      <c r="G489" s="29"/>
    </row>
    <row r="490" spans="1:7" ht="12.75">
      <c r="A490" s="40" t="s">
        <v>23</v>
      </c>
      <c r="B490" s="3"/>
      <c r="C490" s="3"/>
      <c r="D490" s="4"/>
      <c r="E490" s="29"/>
      <c r="F490" s="31">
        <f>F489*1%</f>
        <v>0.25630799999999998</v>
      </c>
      <c r="G490" s="29"/>
    </row>
    <row r="491" spans="1:7" ht="12.75">
      <c r="A491" s="40" t="s">
        <v>24</v>
      </c>
      <c r="B491" s="3"/>
      <c r="C491" s="3"/>
      <c r="D491" s="4"/>
      <c r="E491" s="29"/>
      <c r="F491" s="31">
        <f>F490+F489</f>
        <v>25.887108000000001</v>
      </c>
      <c r="G491" s="29"/>
    </row>
    <row r="492" spans="1:7" ht="12.75">
      <c r="A492" s="40" t="s">
        <v>25</v>
      </c>
      <c r="B492" s="3"/>
      <c r="C492" s="3"/>
      <c r="D492" s="4"/>
      <c r="E492" s="29"/>
      <c r="F492" s="31">
        <f>F491*15%</f>
        <v>3.8830662</v>
      </c>
      <c r="G492" s="29"/>
    </row>
    <row r="493" spans="1:7" ht="12.75">
      <c r="A493" s="40" t="s">
        <v>24</v>
      </c>
      <c r="B493" s="3"/>
      <c r="C493" s="3"/>
      <c r="D493" s="4"/>
      <c r="E493" s="29"/>
      <c r="F493" s="41">
        <f>ROUND(F492+F491,2)</f>
        <v>29.77</v>
      </c>
      <c r="G493" s="29"/>
    </row>
    <row r="494" spans="1:7" ht="12.75">
      <c r="A494" s="42" t="str">
        <f>CONCATENATE("Say ₹ ",F482," + ",F493," x Cost Index")</f>
        <v>Say ₹ 56.91 + 29.77 x Cost Index</v>
      </c>
      <c r="B494" s="3"/>
      <c r="C494" s="3"/>
      <c r="D494" s="3"/>
      <c r="E494" s="3"/>
      <c r="F494" s="3"/>
      <c r="G494" s="4"/>
    </row>
    <row r="495" spans="1:7" ht="12.75">
      <c r="A495" s="25" t="s">
        <v>0</v>
      </c>
      <c r="B495" s="25" t="s">
        <v>1</v>
      </c>
      <c r="C495" s="26" t="s">
        <v>2</v>
      </c>
      <c r="D495" s="3"/>
      <c r="E495" s="4"/>
      <c r="F495" s="26" t="s">
        <v>3</v>
      </c>
      <c r="G495" s="4"/>
    </row>
    <row r="496" spans="1:7" ht="12.75">
      <c r="A496" s="5"/>
      <c r="B496" s="5"/>
      <c r="C496" s="27" t="s">
        <v>4</v>
      </c>
      <c r="D496" s="27" t="s">
        <v>5</v>
      </c>
      <c r="E496" s="27" t="s">
        <v>6</v>
      </c>
      <c r="F496" s="27" t="s">
        <v>7</v>
      </c>
      <c r="G496" s="27" t="s">
        <v>8</v>
      </c>
    </row>
    <row r="497" spans="1:7" ht="12.75">
      <c r="A497" s="28" t="s">
        <v>93</v>
      </c>
      <c r="B497" s="3"/>
      <c r="C497" s="3"/>
      <c r="D497" s="3"/>
      <c r="E497" s="3"/>
      <c r="F497" s="3"/>
      <c r="G497" s="4"/>
    </row>
    <row r="498" spans="1:7" ht="12.75">
      <c r="A498" s="29"/>
      <c r="B498" s="30" t="s">
        <v>10</v>
      </c>
      <c r="C498" s="30" t="s">
        <v>11</v>
      </c>
      <c r="D498" s="30" t="s">
        <v>12</v>
      </c>
      <c r="E498" s="31">
        <v>1</v>
      </c>
      <c r="F498" s="32"/>
      <c r="G498" s="4"/>
    </row>
    <row r="499" spans="1:7" ht="12.75">
      <c r="A499" s="30" t="s">
        <v>13</v>
      </c>
      <c r="B499" s="33" t="s">
        <v>14</v>
      </c>
      <c r="C499" s="3"/>
      <c r="D499" s="3"/>
      <c r="E499" s="3"/>
      <c r="F499" s="3"/>
      <c r="G499" s="4"/>
    </row>
    <row r="500" spans="1:7" ht="12.75">
      <c r="A500" s="34" t="s">
        <v>15</v>
      </c>
      <c r="B500" s="3"/>
      <c r="C500" s="3"/>
      <c r="D500" s="3"/>
      <c r="E500" s="3"/>
      <c r="F500" s="4"/>
      <c r="G500" s="35" t="s">
        <v>16</v>
      </c>
    </row>
    <row r="501" spans="1:7" ht="12.75">
      <c r="A501" s="36"/>
      <c r="B501" s="37" t="s">
        <v>94</v>
      </c>
      <c r="C501" s="33" t="s">
        <v>95</v>
      </c>
      <c r="D501" s="3"/>
      <c r="E501" s="4"/>
      <c r="F501" s="32"/>
      <c r="G501" s="4"/>
    </row>
    <row r="502" spans="1:7" ht="12.75">
      <c r="A502" s="5"/>
      <c r="B502" s="5"/>
      <c r="C502" s="30" t="s">
        <v>19</v>
      </c>
      <c r="D502" s="31">
        <v>1</v>
      </c>
      <c r="E502" s="31">
        <v>56</v>
      </c>
      <c r="F502" s="31">
        <f>D502*E502</f>
        <v>56</v>
      </c>
      <c r="G502" s="30" t="s">
        <v>20</v>
      </c>
    </row>
    <row r="503" spans="1:7" ht="12.75">
      <c r="A503" s="38" t="s">
        <v>21</v>
      </c>
      <c r="B503" s="3"/>
      <c r="C503" s="4"/>
      <c r="D503" s="31">
        <v>1</v>
      </c>
      <c r="E503" s="39" t="s">
        <v>11</v>
      </c>
      <c r="F503" s="31">
        <f>F502</f>
        <v>56</v>
      </c>
      <c r="G503" s="29"/>
    </row>
    <row r="504" spans="1:7" ht="12.75">
      <c r="A504" s="38" t="s">
        <v>22</v>
      </c>
      <c r="B504" s="3"/>
      <c r="C504" s="4"/>
      <c r="D504" s="31">
        <v>1</v>
      </c>
      <c r="E504" s="39" t="s">
        <v>11</v>
      </c>
      <c r="F504" s="31">
        <f>F503/D503</f>
        <v>56</v>
      </c>
      <c r="G504" s="29"/>
    </row>
    <row r="505" spans="1:7" ht="12.75">
      <c r="A505" s="40" t="s">
        <v>23</v>
      </c>
      <c r="B505" s="3"/>
      <c r="C505" s="3"/>
      <c r="D505" s="4"/>
      <c r="E505" s="29"/>
      <c r="F505" s="31">
        <f>F504*1%</f>
        <v>0.56</v>
      </c>
      <c r="G505" s="29"/>
    </row>
    <row r="506" spans="1:7" ht="12.75">
      <c r="A506" s="40" t="s">
        <v>24</v>
      </c>
      <c r="B506" s="3"/>
      <c r="C506" s="3"/>
      <c r="D506" s="4"/>
      <c r="E506" s="29"/>
      <c r="F506" s="31">
        <f>F505+F504</f>
        <v>56.56</v>
      </c>
      <c r="G506" s="29"/>
    </row>
    <row r="507" spans="1:7" ht="12.75">
      <c r="A507" s="40" t="s">
        <v>25</v>
      </c>
      <c r="B507" s="3"/>
      <c r="C507" s="3"/>
      <c r="D507" s="4"/>
      <c r="E507" s="29"/>
      <c r="F507" s="31">
        <f>F506*15%</f>
        <v>8.484</v>
      </c>
      <c r="G507" s="29"/>
    </row>
    <row r="508" spans="1:7" ht="12.75">
      <c r="A508" s="40" t="s">
        <v>24</v>
      </c>
      <c r="B508" s="3"/>
      <c r="C508" s="3"/>
      <c r="D508" s="4"/>
      <c r="E508" s="29"/>
      <c r="F508" s="41">
        <f>ROUND(F507+F506,2)</f>
        <v>65.04</v>
      </c>
      <c r="G508" s="29"/>
    </row>
    <row r="509" spans="1:7" ht="12.75">
      <c r="A509" s="34" t="s">
        <v>26</v>
      </c>
      <c r="B509" s="3"/>
      <c r="C509" s="3"/>
      <c r="D509" s="3"/>
      <c r="E509" s="3"/>
      <c r="F509" s="4"/>
      <c r="G509" s="35" t="s">
        <v>27</v>
      </c>
    </row>
    <row r="510" spans="1:7" ht="12.75">
      <c r="A510" s="37">
        <v>9999</v>
      </c>
      <c r="B510" s="36"/>
      <c r="C510" s="33" t="s">
        <v>28</v>
      </c>
      <c r="D510" s="3"/>
      <c r="E510" s="4"/>
      <c r="F510" s="32"/>
      <c r="G510" s="4"/>
    </row>
    <row r="511" spans="1:7" ht="12.75">
      <c r="A511" s="5"/>
      <c r="B511" s="5"/>
      <c r="C511" s="30" t="s">
        <v>29</v>
      </c>
      <c r="D511" s="31">
        <v>2.73</v>
      </c>
      <c r="E511" s="31">
        <v>2.12</v>
      </c>
      <c r="F511" s="31">
        <f>E511*D511</f>
        <v>5.7876000000000003</v>
      </c>
      <c r="G511" s="30" t="s">
        <v>30</v>
      </c>
    </row>
    <row r="512" spans="1:7" ht="12.75">
      <c r="A512" s="37">
        <v>9999</v>
      </c>
      <c r="B512" s="36"/>
      <c r="C512" s="33" t="s">
        <v>31</v>
      </c>
      <c r="D512" s="3"/>
      <c r="E512" s="4"/>
      <c r="F512" s="32"/>
      <c r="G512" s="4"/>
    </row>
    <row r="513" spans="1:7" ht="12.75">
      <c r="A513" s="5"/>
      <c r="B513" s="5"/>
      <c r="C513" s="30" t="s">
        <v>29</v>
      </c>
      <c r="D513" s="31">
        <v>10.79</v>
      </c>
      <c r="E513" s="31">
        <v>2.12</v>
      </c>
      <c r="F513" s="31">
        <f>D513*E513</f>
        <v>22.8748</v>
      </c>
      <c r="G513" s="30" t="s">
        <v>32</v>
      </c>
    </row>
    <row r="514" spans="1:7" ht="12.75">
      <c r="A514" s="38" t="s">
        <v>33</v>
      </c>
      <c r="B514" s="3"/>
      <c r="C514" s="4"/>
      <c r="D514" s="31">
        <v>1</v>
      </c>
      <c r="E514" s="39" t="s">
        <v>11</v>
      </c>
      <c r="F514" s="31">
        <f>F513+F511</f>
        <v>28.662400000000002</v>
      </c>
      <c r="G514" s="29"/>
    </row>
    <row r="515" spans="1:7" ht="12.75">
      <c r="A515" s="38" t="s">
        <v>22</v>
      </c>
      <c r="B515" s="3"/>
      <c r="C515" s="4"/>
      <c r="D515" s="31">
        <v>1</v>
      </c>
      <c r="E515" s="39" t="s">
        <v>11</v>
      </c>
      <c r="F515" s="31">
        <f>F514/D514</f>
        <v>28.662400000000002</v>
      </c>
      <c r="G515" s="29"/>
    </row>
    <row r="516" spans="1:7" ht="12.75">
      <c r="A516" s="40" t="s">
        <v>23</v>
      </c>
      <c r="B516" s="3"/>
      <c r="C516" s="3"/>
      <c r="D516" s="4"/>
      <c r="E516" s="29"/>
      <c r="F516" s="31">
        <f>F515*1%</f>
        <v>0.28662399999999999</v>
      </c>
      <c r="G516" s="29"/>
    </row>
    <row r="517" spans="1:7" ht="12.75">
      <c r="A517" s="40" t="s">
        <v>24</v>
      </c>
      <c r="B517" s="3"/>
      <c r="C517" s="3"/>
      <c r="D517" s="4"/>
      <c r="E517" s="29"/>
      <c r="F517" s="31">
        <f>F516+F515</f>
        <v>28.949024000000001</v>
      </c>
      <c r="G517" s="29"/>
    </row>
    <row r="518" spans="1:7" ht="12.75">
      <c r="A518" s="40" t="s">
        <v>25</v>
      </c>
      <c r="B518" s="3"/>
      <c r="C518" s="3"/>
      <c r="D518" s="4"/>
      <c r="E518" s="29"/>
      <c r="F518" s="31">
        <f>F517*15%</f>
        <v>4.3423536</v>
      </c>
      <c r="G518" s="29"/>
    </row>
    <row r="519" spans="1:7" ht="12.75">
      <c r="A519" s="40" t="s">
        <v>24</v>
      </c>
      <c r="B519" s="3"/>
      <c r="C519" s="3"/>
      <c r="D519" s="4"/>
      <c r="E519" s="29"/>
      <c r="F519" s="41">
        <f>ROUND(F518+F517,2)</f>
        <v>33.29</v>
      </c>
      <c r="G519" s="29"/>
    </row>
    <row r="520" spans="1:7" ht="12.75">
      <c r="A520" s="42" t="str">
        <f>CONCATENATE("Say ₹ ",F508," + ",F519," x Cost Index")</f>
        <v>Say ₹ 65.04 + 33.29 x Cost Index</v>
      </c>
      <c r="B520" s="3"/>
      <c r="C520" s="3"/>
      <c r="D520" s="3"/>
      <c r="E520" s="3"/>
      <c r="F520" s="3"/>
      <c r="G520" s="4"/>
    </row>
    <row r="521" spans="1:7" ht="12.75">
      <c r="A521" s="1" t="s">
        <v>0</v>
      </c>
      <c r="B521" s="1" t="s">
        <v>1</v>
      </c>
      <c r="C521" s="2" t="s">
        <v>2</v>
      </c>
      <c r="D521" s="3"/>
      <c r="E521" s="4"/>
      <c r="F521" s="2" t="s">
        <v>3</v>
      </c>
      <c r="G521" s="4"/>
    </row>
    <row r="522" spans="1:7" ht="12.75">
      <c r="A522" s="5"/>
      <c r="B522" s="5"/>
      <c r="C522" s="6" t="s">
        <v>4</v>
      </c>
      <c r="D522" s="6" t="s">
        <v>5</v>
      </c>
      <c r="E522" s="6" t="s">
        <v>6</v>
      </c>
      <c r="F522" s="6" t="s">
        <v>7</v>
      </c>
      <c r="G522" s="6" t="s">
        <v>8</v>
      </c>
    </row>
    <row r="523" spans="1:7" ht="12.75">
      <c r="A523" s="7" t="s">
        <v>96</v>
      </c>
      <c r="B523" s="3"/>
      <c r="C523" s="3"/>
      <c r="D523" s="3"/>
      <c r="E523" s="3"/>
      <c r="F523" s="3"/>
      <c r="G523" s="4"/>
    </row>
    <row r="524" spans="1:7" ht="12.75">
      <c r="A524" s="8"/>
      <c r="B524" s="8" t="s">
        <v>10</v>
      </c>
      <c r="C524" s="8" t="s">
        <v>11</v>
      </c>
      <c r="D524" s="8" t="s">
        <v>12</v>
      </c>
      <c r="E524" s="9">
        <v>1</v>
      </c>
      <c r="F524" s="10"/>
      <c r="G524" s="4"/>
    </row>
    <row r="525" spans="1:7" ht="12.75">
      <c r="A525" s="8" t="s">
        <v>13</v>
      </c>
      <c r="B525" s="10" t="s">
        <v>14</v>
      </c>
      <c r="C525" s="3"/>
      <c r="D525" s="3"/>
      <c r="E525" s="3"/>
      <c r="F525" s="3"/>
      <c r="G525" s="4"/>
    </row>
    <row r="526" spans="1:7" ht="12.75">
      <c r="A526" s="11" t="s">
        <v>15</v>
      </c>
      <c r="B526" s="3"/>
      <c r="C526" s="3"/>
      <c r="D526" s="3"/>
      <c r="E526" s="3"/>
      <c r="F526" s="4"/>
      <c r="G526" s="12" t="s">
        <v>16</v>
      </c>
    </row>
    <row r="527" spans="1:7" ht="12.75">
      <c r="A527" s="13"/>
      <c r="B527" s="13" t="s">
        <v>97</v>
      </c>
      <c r="C527" s="10" t="s">
        <v>98</v>
      </c>
      <c r="D527" s="3"/>
      <c r="E527" s="4"/>
      <c r="F527" s="10"/>
      <c r="G527" s="4"/>
    </row>
    <row r="528" spans="1:7" ht="12.75">
      <c r="A528" s="5"/>
      <c r="B528" s="5"/>
      <c r="C528" s="8" t="s">
        <v>19</v>
      </c>
      <c r="D528" s="9">
        <v>1</v>
      </c>
      <c r="E528" s="9">
        <v>54</v>
      </c>
      <c r="F528" s="9">
        <f>D528*E528</f>
        <v>54</v>
      </c>
      <c r="G528" s="8" t="s">
        <v>20</v>
      </c>
    </row>
    <row r="529" spans="1:7" ht="12.75">
      <c r="A529" s="14" t="s">
        <v>21</v>
      </c>
      <c r="B529" s="3"/>
      <c r="C529" s="4"/>
      <c r="D529" s="9">
        <v>1</v>
      </c>
      <c r="E529" s="15" t="s">
        <v>11</v>
      </c>
      <c r="F529" s="9">
        <f>F528</f>
        <v>54</v>
      </c>
      <c r="G529" s="8"/>
    </row>
    <row r="530" spans="1:7" ht="12.75">
      <c r="A530" s="14" t="s">
        <v>22</v>
      </c>
      <c r="B530" s="3"/>
      <c r="C530" s="4"/>
      <c r="D530" s="9">
        <v>1</v>
      </c>
      <c r="E530" s="15" t="s">
        <v>11</v>
      </c>
      <c r="F530" s="9">
        <f>F529/D529</f>
        <v>54</v>
      </c>
      <c r="G530" s="8"/>
    </row>
    <row r="531" spans="1:7" ht="12.75">
      <c r="A531" s="16" t="s">
        <v>23</v>
      </c>
      <c r="B531" s="3"/>
      <c r="C531" s="3"/>
      <c r="D531" s="4"/>
      <c r="E531" s="9"/>
      <c r="F531" s="9">
        <f>F530*1%</f>
        <v>0.54</v>
      </c>
      <c r="G531" s="8"/>
    </row>
    <row r="532" spans="1:7" ht="12.75">
      <c r="A532" s="16" t="s">
        <v>24</v>
      </c>
      <c r="B532" s="3"/>
      <c r="C532" s="3"/>
      <c r="D532" s="4"/>
      <c r="E532" s="15"/>
      <c r="F532" s="9">
        <f>F531+F530</f>
        <v>54.54</v>
      </c>
      <c r="G532" s="8"/>
    </row>
    <row r="533" spans="1:7" ht="12.75">
      <c r="A533" s="16" t="s">
        <v>25</v>
      </c>
      <c r="B533" s="3"/>
      <c r="C533" s="3"/>
      <c r="D533" s="4"/>
      <c r="E533" s="9"/>
      <c r="F533" s="9">
        <f>F532*15%</f>
        <v>8.1809999999999992</v>
      </c>
      <c r="G533" s="8"/>
    </row>
    <row r="534" spans="1:7" ht="12.75">
      <c r="A534" s="16" t="s">
        <v>24</v>
      </c>
      <c r="B534" s="3"/>
      <c r="C534" s="3"/>
      <c r="D534" s="4"/>
      <c r="E534" s="15"/>
      <c r="F534" s="17">
        <f>ROUND(F533+F532,2)</f>
        <v>62.72</v>
      </c>
      <c r="G534" s="8"/>
    </row>
    <row r="535" spans="1:7" ht="12.75">
      <c r="A535" s="11" t="s">
        <v>26</v>
      </c>
      <c r="B535" s="3"/>
      <c r="C535" s="3"/>
      <c r="D535" s="3"/>
      <c r="E535" s="3"/>
      <c r="F535" s="4"/>
      <c r="G535" s="12" t="s">
        <v>27</v>
      </c>
    </row>
    <row r="536" spans="1:7" ht="12.75">
      <c r="A536" s="13">
        <v>9999</v>
      </c>
      <c r="B536" s="13"/>
      <c r="C536" s="10" t="s">
        <v>28</v>
      </c>
      <c r="D536" s="3"/>
      <c r="E536" s="4"/>
      <c r="F536" s="10"/>
      <c r="G536" s="4"/>
    </row>
    <row r="537" spans="1:7" ht="12.75">
      <c r="A537" s="5"/>
      <c r="B537" s="5"/>
      <c r="C537" s="8" t="s">
        <v>29</v>
      </c>
      <c r="D537" s="9">
        <v>2.73</v>
      </c>
      <c r="E537" s="9">
        <v>2.12</v>
      </c>
      <c r="F537" s="9">
        <f>E537*D537</f>
        <v>5.7876000000000003</v>
      </c>
      <c r="G537" s="8" t="s">
        <v>30</v>
      </c>
    </row>
    <row r="538" spans="1:7" ht="12.75">
      <c r="A538" s="13">
        <v>9999</v>
      </c>
      <c r="B538" s="13"/>
      <c r="C538" s="10" t="s">
        <v>31</v>
      </c>
      <c r="D538" s="3"/>
      <c r="E538" s="4"/>
      <c r="F538" s="10"/>
      <c r="G538" s="4"/>
    </row>
    <row r="539" spans="1:7" ht="12.75">
      <c r="A539" s="5"/>
      <c r="B539" s="5"/>
      <c r="C539" s="8" t="s">
        <v>29</v>
      </c>
      <c r="D539" s="9">
        <v>10.79</v>
      </c>
      <c r="E539" s="9">
        <v>2.12</v>
      </c>
      <c r="F539" s="9">
        <f>D539*E539</f>
        <v>22.8748</v>
      </c>
      <c r="G539" s="8" t="s">
        <v>32</v>
      </c>
    </row>
    <row r="540" spans="1:7" ht="12.75">
      <c r="A540" s="14" t="s">
        <v>33</v>
      </c>
      <c r="B540" s="3"/>
      <c r="C540" s="4"/>
      <c r="D540" s="9">
        <v>1</v>
      </c>
      <c r="E540" s="15" t="s">
        <v>11</v>
      </c>
      <c r="F540" s="9">
        <f>F539+F537</f>
        <v>28.662400000000002</v>
      </c>
      <c r="G540" s="15"/>
    </row>
    <row r="541" spans="1:7" ht="12.75">
      <c r="A541" s="14" t="s">
        <v>22</v>
      </c>
      <c r="B541" s="3"/>
      <c r="C541" s="4"/>
      <c r="D541" s="9">
        <v>1</v>
      </c>
      <c r="E541" s="15" t="s">
        <v>11</v>
      </c>
      <c r="F541" s="9">
        <f>F540/D540</f>
        <v>28.662400000000002</v>
      </c>
      <c r="G541" s="15"/>
    </row>
    <row r="542" spans="1:7" ht="12.75">
      <c r="A542" s="16" t="s">
        <v>23</v>
      </c>
      <c r="B542" s="3"/>
      <c r="C542" s="3"/>
      <c r="D542" s="4"/>
      <c r="E542" s="9"/>
      <c r="F542" s="9">
        <f>F541*1%</f>
        <v>0.28662399999999999</v>
      </c>
      <c r="G542" s="15"/>
    </row>
    <row r="543" spans="1:7" ht="12.75">
      <c r="A543" s="16" t="s">
        <v>24</v>
      </c>
      <c r="B543" s="3"/>
      <c r="C543" s="3"/>
      <c r="D543" s="4"/>
      <c r="E543" s="15"/>
      <c r="F543" s="9">
        <f>F542+F541</f>
        <v>28.949024000000001</v>
      </c>
      <c r="G543" s="15"/>
    </row>
    <row r="544" spans="1:7" ht="12.75">
      <c r="A544" s="16" t="s">
        <v>25</v>
      </c>
      <c r="B544" s="3"/>
      <c r="C544" s="3"/>
      <c r="D544" s="4"/>
      <c r="E544" s="9"/>
      <c r="F544" s="9">
        <f>F543*15%</f>
        <v>4.3423536</v>
      </c>
      <c r="G544" s="15"/>
    </row>
    <row r="545" spans="1:7" ht="12.75">
      <c r="A545" s="16" t="s">
        <v>24</v>
      </c>
      <c r="B545" s="3"/>
      <c r="C545" s="3"/>
      <c r="D545" s="4"/>
      <c r="E545" s="15"/>
      <c r="F545" s="17">
        <f>ROUND(F544+F543,2)</f>
        <v>33.29</v>
      </c>
      <c r="G545" s="15"/>
    </row>
    <row r="546" spans="1:7" ht="12.75">
      <c r="A546" s="18" t="str">
        <f>CONCATENATE("Say ₹ ",F534," + ",F545," x Cost Index")</f>
        <v>Say ₹ 62.72 + 33.29 x Cost Index</v>
      </c>
      <c r="B546" s="3"/>
      <c r="C546" s="3"/>
      <c r="D546" s="3"/>
      <c r="E546" s="3"/>
      <c r="F546" s="3"/>
      <c r="G546" s="4"/>
    </row>
    <row r="547" spans="1:7" ht="12.75">
      <c r="A547" s="25" t="s">
        <v>0</v>
      </c>
      <c r="B547" s="25" t="s">
        <v>1</v>
      </c>
      <c r="C547" s="26" t="s">
        <v>2</v>
      </c>
      <c r="D547" s="3"/>
      <c r="E547" s="4"/>
      <c r="F547" s="26" t="s">
        <v>3</v>
      </c>
      <c r="G547" s="4"/>
    </row>
    <row r="548" spans="1:7" ht="12.75">
      <c r="A548" s="5"/>
      <c r="B548" s="5"/>
      <c r="C548" s="27" t="s">
        <v>4</v>
      </c>
      <c r="D548" s="27" t="s">
        <v>5</v>
      </c>
      <c r="E548" s="27" t="s">
        <v>6</v>
      </c>
      <c r="F548" s="27" t="s">
        <v>7</v>
      </c>
      <c r="G548" s="27" t="s">
        <v>8</v>
      </c>
    </row>
    <row r="549" spans="1:7" ht="12.75">
      <c r="A549" s="28" t="s">
        <v>99</v>
      </c>
      <c r="B549" s="3"/>
      <c r="C549" s="3"/>
      <c r="D549" s="3"/>
      <c r="E549" s="3"/>
      <c r="F549" s="3"/>
      <c r="G549" s="4"/>
    </row>
    <row r="550" spans="1:7" ht="12.75">
      <c r="A550" s="29"/>
      <c r="B550" s="30" t="s">
        <v>10</v>
      </c>
      <c r="C550" s="30" t="s">
        <v>11</v>
      </c>
      <c r="D550" s="30" t="s">
        <v>12</v>
      </c>
      <c r="E550" s="31">
        <v>1</v>
      </c>
      <c r="F550" s="32"/>
      <c r="G550" s="4"/>
    </row>
    <row r="551" spans="1:7" ht="12.75">
      <c r="A551" s="30" t="s">
        <v>13</v>
      </c>
      <c r="B551" s="33" t="s">
        <v>14</v>
      </c>
      <c r="C551" s="3"/>
      <c r="D551" s="3"/>
      <c r="E551" s="3"/>
      <c r="F551" s="3"/>
      <c r="G551" s="4"/>
    </row>
    <row r="552" spans="1:7" ht="12.75">
      <c r="A552" s="34" t="s">
        <v>15</v>
      </c>
      <c r="B552" s="3"/>
      <c r="C552" s="3"/>
      <c r="D552" s="3"/>
      <c r="E552" s="3"/>
      <c r="F552" s="4"/>
      <c r="G552" s="35" t="s">
        <v>16</v>
      </c>
    </row>
    <row r="553" spans="1:7" ht="12.75">
      <c r="A553" s="36"/>
      <c r="B553" s="37" t="s">
        <v>100</v>
      </c>
      <c r="C553" s="33" t="s">
        <v>101</v>
      </c>
      <c r="D553" s="3"/>
      <c r="E553" s="4"/>
      <c r="F553" s="32"/>
      <c r="G553" s="4"/>
    </row>
    <row r="554" spans="1:7" ht="12.75">
      <c r="A554" s="5"/>
      <c r="B554" s="5"/>
      <c r="C554" s="30" t="s">
        <v>19</v>
      </c>
      <c r="D554" s="31">
        <v>1</v>
      </c>
      <c r="E554" s="31">
        <v>77</v>
      </c>
      <c r="F554" s="31">
        <f>D554*E554</f>
        <v>77</v>
      </c>
      <c r="G554" s="30" t="s">
        <v>20</v>
      </c>
    </row>
    <row r="555" spans="1:7" ht="12.75">
      <c r="A555" s="38" t="s">
        <v>21</v>
      </c>
      <c r="B555" s="3"/>
      <c r="C555" s="4"/>
      <c r="D555" s="31">
        <v>1</v>
      </c>
      <c r="E555" s="39" t="s">
        <v>11</v>
      </c>
      <c r="F555" s="31">
        <f>F554</f>
        <v>77</v>
      </c>
      <c r="G555" s="29"/>
    </row>
    <row r="556" spans="1:7" ht="12.75">
      <c r="A556" s="38" t="s">
        <v>22</v>
      </c>
      <c r="B556" s="3"/>
      <c r="C556" s="4"/>
      <c r="D556" s="31">
        <v>1</v>
      </c>
      <c r="E556" s="39" t="s">
        <v>11</v>
      </c>
      <c r="F556" s="31">
        <f>F555/D555</f>
        <v>77</v>
      </c>
      <c r="G556" s="29"/>
    </row>
    <row r="557" spans="1:7" ht="12.75">
      <c r="A557" s="40" t="s">
        <v>23</v>
      </c>
      <c r="B557" s="3"/>
      <c r="C557" s="3"/>
      <c r="D557" s="4"/>
      <c r="E557" s="29"/>
      <c r="F557" s="31">
        <f>F556*1%</f>
        <v>0.77</v>
      </c>
      <c r="G557" s="29"/>
    </row>
    <row r="558" spans="1:7" ht="12.75">
      <c r="A558" s="40" t="s">
        <v>24</v>
      </c>
      <c r="B558" s="3"/>
      <c r="C558" s="3"/>
      <c r="D558" s="4"/>
      <c r="E558" s="29"/>
      <c r="F558" s="31">
        <f>F557+F556</f>
        <v>77.77</v>
      </c>
      <c r="G558" s="29"/>
    </row>
    <row r="559" spans="1:7" ht="12.75">
      <c r="A559" s="40" t="s">
        <v>25</v>
      </c>
      <c r="B559" s="3"/>
      <c r="C559" s="3"/>
      <c r="D559" s="4"/>
      <c r="E559" s="29"/>
      <c r="F559" s="31">
        <f>F558*15%</f>
        <v>11.6655</v>
      </c>
      <c r="G559" s="29"/>
    </row>
    <row r="560" spans="1:7" ht="12.75">
      <c r="A560" s="40" t="s">
        <v>24</v>
      </c>
      <c r="B560" s="3"/>
      <c r="C560" s="3"/>
      <c r="D560" s="4"/>
      <c r="E560" s="29"/>
      <c r="F560" s="41">
        <f>ROUND(F559+F558,2)</f>
        <v>89.44</v>
      </c>
      <c r="G560" s="29"/>
    </row>
    <row r="561" spans="1:7" ht="12.75">
      <c r="A561" s="34" t="s">
        <v>26</v>
      </c>
      <c r="B561" s="3"/>
      <c r="C561" s="3"/>
      <c r="D561" s="3"/>
      <c r="E561" s="3"/>
      <c r="F561" s="4"/>
      <c r="G561" s="35" t="s">
        <v>27</v>
      </c>
    </row>
    <row r="562" spans="1:7" ht="12.75">
      <c r="A562" s="37">
        <v>9999</v>
      </c>
      <c r="B562" s="36"/>
      <c r="C562" s="33" t="s">
        <v>28</v>
      </c>
      <c r="D562" s="3"/>
      <c r="E562" s="4"/>
      <c r="F562" s="32"/>
      <c r="G562" s="4"/>
    </row>
    <row r="563" spans="1:7" ht="12.75">
      <c r="A563" s="5"/>
      <c r="B563" s="5"/>
      <c r="C563" s="30" t="s">
        <v>29</v>
      </c>
      <c r="D563" s="31">
        <v>2.73</v>
      </c>
      <c r="E563" s="31">
        <v>2.12</v>
      </c>
      <c r="F563" s="31">
        <f>E563*D563</f>
        <v>5.7876000000000003</v>
      </c>
      <c r="G563" s="30" t="s">
        <v>30</v>
      </c>
    </row>
    <row r="564" spans="1:7" ht="12.75">
      <c r="A564" s="37">
        <v>9999</v>
      </c>
      <c r="B564" s="36"/>
      <c r="C564" s="33" t="s">
        <v>31</v>
      </c>
      <c r="D564" s="3"/>
      <c r="E564" s="4"/>
      <c r="F564" s="32"/>
      <c r="G564" s="4"/>
    </row>
    <row r="565" spans="1:7" ht="12.75">
      <c r="A565" s="5"/>
      <c r="B565" s="5"/>
      <c r="C565" s="30" t="s">
        <v>29</v>
      </c>
      <c r="D565" s="31">
        <v>10.79</v>
      </c>
      <c r="E565" s="31">
        <v>2.12</v>
      </c>
      <c r="F565" s="31">
        <f>D565*E565</f>
        <v>22.8748</v>
      </c>
      <c r="G565" s="30" t="s">
        <v>32</v>
      </c>
    </row>
    <row r="566" spans="1:7" ht="12.75">
      <c r="A566" s="38" t="s">
        <v>33</v>
      </c>
      <c r="B566" s="3"/>
      <c r="C566" s="4"/>
      <c r="D566" s="31">
        <v>1</v>
      </c>
      <c r="E566" s="39" t="s">
        <v>11</v>
      </c>
      <c r="F566" s="31">
        <f>F565+F563</f>
        <v>28.662400000000002</v>
      </c>
      <c r="G566" s="29"/>
    </row>
    <row r="567" spans="1:7" ht="12.75">
      <c r="A567" s="38" t="s">
        <v>22</v>
      </c>
      <c r="B567" s="3"/>
      <c r="C567" s="4"/>
      <c r="D567" s="31">
        <v>1</v>
      </c>
      <c r="E567" s="39" t="s">
        <v>11</v>
      </c>
      <c r="F567" s="31">
        <f>F566/D566</f>
        <v>28.662400000000002</v>
      </c>
      <c r="G567" s="29"/>
    </row>
    <row r="568" spans="1:7" ht="12.75">
      <c r="A568" s="40" t="s">
        <v>23</v>
      </c>
      <c r="B568" s="3"/>
      <c r="C568" s="3"/>
      <c r="D568" s="4"/>
      <c r="E568" s="29"/>
      <c r="F568" s="31">
        <f>F567*1%</f>
        <v>0.28662399999999999</v>
      </c>
      <c r="G568" s="29"/>
    </row>
    <row r="569" spans="1:7" ht="12.75">
      <c r="A569" s="40" t="s">
        <v>24</v>
      </c>
      <c r="B569" s="3"/>
      <c r="C569" s="3"/>
      <c r="D569" s="4"/>
      <c r="E569" s="29"/>
      <c r="F569" s="31">
        <f>F568+F567</f>
        <v>28.949024000000001</v>
      </c>
      <c r="G569" s="29"/>
    </row>
    <row r="570" spans="1:7" ht="12.75">
      <c r="A570" s="40" t="s">
        <v>25</v>
      </c>
      <c r="B570" s="3"/>
      <c r="C570" s="3"/>
      <c r="D570" s="4"/>
      <c r="E570" s="29"/>
      <c r="F570" s="31">
        <f>F569*15%</f>
        <v>4.3423536</v>
      </c>
      <c r="G570" s="29"/>
    </row>
    <row r="571" spans="1:7" ht="12.75">
      <c r="A571" s="40" t="s">
        <v>24</v>
      </c>
      <c r="B571" s="3"/>
      <c r="C571" s="3"/>
      <c r="D571" s="4"/>
      <c r="E571" s="29"/>
      <c r="F571" s="41">
        <f>ROUND(F570+F569,2)</f>
        <v>33.29</v>
      </c>
      <c r="G571" s="29"/>
    </row>
    <row r="572" spans="1:7" ht="12.75">
      <c r="A572" s="42" t="str">
        <f>CONCATENATE("Say ₹ ",F560," + ",F571," x Cost Index")</f>
        <v>Say ₹ 89.44 + 33.29 x Cost Index</v>
      </c>
      <c r="B572" s="3"/>
      <c r="C572" s="3"/>
      <c r="D572" s="3"/>
      <c r="E572" s="3"/>
      <c r="F572" s="3"/>
      <c r="G572" s="4"/>
    </row>
    <row r="573" spans="1:7" ht="12.75">
      <c r="A573" s="1" t="s">
        <v>0</v>
      </c>
      <c r="B573" s="1" t="s">
        <v>1</v>
      </c>
      <c r="C573" s="2" t="s">
        <v>2</v>
      </c>
      <c r="D573" s="3"/>
      <c r="E573" s="4"/>
      <c r="F573" s="2" t="s">
        <v>3</v>
      </c>
      <c r="G573" s="4"/>
    </row>
    <row r="574" spans="1:7" ht="12.75">
      <c r="A574" s="5"/>
      <c r="B574" s="5"/>
      <c r="C574" s="6" t="s">
        <v>4</v>
      </c>
      <c r="D574" s="6" t="s">
        <v>5</v>
      </c>
      <c r="E574" s="6" t="s">
        <v>6</v>
      </c>
      <c r="F574" s="6" t="s">
        <v>7</v>
      </c>
      <c r="G574" s="6" t="s">
        <v>8</v>
      </c>
    </row>
    <row r="575" spans="1:7" ht="12.75">
      <c r="A575" s="43" t="s">
        <v>102</v>
      </c>
      <c r="B575" s="3"/>
      <c r="C575" s="3"/>
      <c r="D575" s="3"/>
      <c r="E575" s="3"/>
      <c r="F575" s="3"/>
      <c r="G575" s="4"/>
    </row>
    <row r="576" spans="1:7" ht="12.75">
      <c r="A576" s="8"/>
      <c r="B576" s="8" t="s">
        <v>10</v>
      </c>
      <c r="C576" s="8" t="s">
        <v>11</v>
      </c>
      <c r="D576" s="8" t="s">
        <v>12</v>
      </c>
      <c r="E576" s="9">
        <v>1</v>
      </c>
      <c r="F576" s="10"/>
      <c r="G576" s="4"/>
    </row>
    <row r="577" spans="1:7" ht="12.75">
      <c r="A577" s="8" t="s">
        <v>13</v>
      </c>
      <c r="B577" s="10" t="s">
        <v>14</v>
      </c>
      <c r="C577" s="3"/>
      <c r="D577" s="3"/>
      <c r="E577" s="3"/>
      <c r="F577" s="3"/>
      <c r="G577" s="4"/>
    </row>
    <row r="578" spans="1:7" ht="12.75">
      <c r="A578" s="11" t="s">
        <v>15</v>
      </c>
      <c r="B578" s="3"/>
      <c r="C578" s="3"/>
      <c r="D578" s="3"/>
      <c r="E578" s="3"/>
      <c r="F578" s="4"/>
      <c r="G578" s="12" t="s">
        <v>16</v>
      </c>
    </row>
    <row r="579" spans="1:7" ht="12.75">
      <c r="A579" s="13"/>
      <c r="B579" s="13" t="s">
        <v>103</v>
      </c>
      <c r="C579" s="10" t="s">
        <v>104</v>
      </c>
      <c r="D579" s="3"/>
      <c r="E579" s="4"/>
      <c r="F579" s="10"/>
      <c r="G579" s="4"/>
    </row>
    <row r="580" spans="1:7" ht="12.75">
      <c r="A580" s="5"/>
      <c r="B580" s="5"/>
      <c r="C580" s="8" t="s">
        <v>19</v>
      </c>
      <c r="D580" s="9">
        <v>1</v>
      </c>
      <c r="E580" s="9">
        <v>19</v>
      </c>
      <c r="F580" s="9">
        <f>D580*E580</f>
        <v>19</v>
      </c>
      <c r="G580" s="8" t="s">
        <v>20</v>
      </c>
    </row>
    <row r="581" spans="1:7" ht="12.75">
      <c r="A581" s="14" t="s">
        <v>21</v>
      </c>
      <c r="B581" s="3"/>
      <c r="C581" s="4"/>
      <c r="D581" s="9">
        <v>1</v>
      </c>
      <c r="E581" s="15" t="s">
        <v>11</v>
      </c>
      <c r="F581" s="9">
        <f>F580</f>
        <v>19</v>
      </c>
      <c r="G581" s="8"/>
    </row>
    <row r="582" spans="1:7" ht="12.75">
      <c r="A582" s="14" t="s">
        <v>22</v>
      </c>
      <c r="B582" s="3"/>
      <c r="C582" s="4"/>
      <c r="D582" s="9">
        <v>1</v>
      </c>
      <c r="E582" s="15" t="s">
        <v>11</v>
      </c>
      <c r="F582" s="9">
        <f>F581/D581</f>
        <v>19</v>
      </c>
      <c r="G582" s="8"/>
    </row>
    <row r="583" spans="1:7" ht="12.75">
      <c r="A583" s="16" t="s">
        <v>23</v>
      </c>
      <c r="B583" s="3"/>
      <c r="C583" s="3"/>
      <c r="D583" s="4"/>
      <c r="E583" s="9"/>
      <c r="F583" s="9">
        <f>F582*1%</f>
        <v>0.19</v>
      </c>
      <c r="G583" s="8"/>
    </row>
    <row r="584" spans="1:7" ht="12.75">
      <c r="A584" s="16" t="s">
        <v>24</v>
      </c>
      <c r="B584" s="3"/>
      <c r="C584" s="3"/>
      <c r="D584" s="4"/>
      <c r="E584" s="15"/>
      <c r="F584" s="9">
        <f>F583+F582</f>
        <v>19.19</v>
      </c>
      <c r="G584" s="8"/>
    </row>
    <row r="585" spans="1:7" ht="12.75">
      <c r="A585" s="16" t="s">
        <v>25</v>
      </c>
      <c r="B585" s="3"/>
      <c r="C585" s="3"/>
      <c r="D585" s="4"/>
      <c r="E585" s="9"/>
      <c r="F585" s="9">
        <f>F584*15%</f>
        <v>2.8784999999999998</v>
      </c>
      <c r="G585" s="8"/>
    </row>
    <row r="586" spans="1:7" ht="12.75">
      <c r="A586" s="16" t="s">
        <v>24</v>
      </c>
      <c r="B586" s="3"/>
      <c r="C586" s="3"/>
      <c r="D586" s="4"/>
      <c r="E586" s="15"/>
      <c r="F586" s="17">
        <f>ROUND(F585+F584,2)</f>
        <v>22.07</v>
      </c>
      <c r="G586" s="8"/>
    </row>
    <row r="587" spans="1:7" ht="12.75">
      <c r="A587" s="11" t="s">
        <v>26</v>
      </c>
      <c r="B587" s="3"/>
      <c r="C587" s="3"/>
      <c r="D587" s="3"/>
      <c r="E587" s="3"/>
      <c r="F587" s="4"/>
      <c r="G587" s="12" t="s">
        <v>27</v>
      </c>
    </row>
    <row r="588" spans="1:7" ht="12.75">
      <c r="A588" s="13">
        <v>9999</v>
      </c>
      <c r="B588" s="13"/>
      <c r="C588" s="10" t="s">
        <v>28</v>
      </c>
      <c r="D588" s="3"/>
      <c r="E588" s="4"/>
      <c r="F588" s="10"/>
      <c r="G588" s="4"/>
    </row>
    <row r="589" spans="1:7" ht="12.75">
      <c r="A589" s="5"/>
      <c r="B589" s="5"/>
      <c r="C589" s="8" t="s">
        <v>29</v>
      </c>
      <c r="D589" s="9">
        <v>2.73</v>
      </c>
      <c r="E589" s="9">
        <v>2.12</v>
      </c>
      <c r="F589" s="9">
        <f>D589*E589</f>
        <v>5.7876000000000003</v>
      </c>
      <c r="G589" s="8" t="s">
        <v>30</v>
      </c>
    </row>
    <row r="590" spans="1:7" ht="12.75">
      <c r="A590" s="13">
        <v>9999</v>
      </c>
      <c r="B590" s="13"/>
      <c r="C590" s="10" t="s">
        <v>31</v>
      </c>
      <c r="D590" s="3"/>
      <c r="E590" s="4"/>
      <c r="F590" s="10"/>
      <c r="G590" s="4"/>
    </row>
    <row r="591" spans="1:7" ht="12.75">
      <c r="A591" s="5"/>
      <c r="B591" s="5"/>
      <c r="C591" s="8" t="s">
        <v>29</v>
      </c>
      <c r="D591" s="9">
        <v>9.36</v>
      </c>
      <c r="E591" s="9">
        <v>2.12</v>
      </c>
      <c r="F591" s="9">
        <f>D591*E591</f>
        <v>19.8432</v>
      </c>
      <c r="G591" s="8" t="s">
        <v>32</v>
      </c>
    </row>
    <row r="592" spans="1:7" ht="12.75">
      <c r="A592" s="14" t="s">
        <v>24</v>
      </c>
      <c r="B592" s="3"/>
      <c r="C592" s="4"/>
      <c r="D592" s="9">
        <v>1</v>
      </c>
      <c r="E592" s="15" t="s">
        <v>11</v>
      </c>
      <c r="F592" s="9">
        <f>F591+F589</f>
        <v>25.630800000000001</v>
      </c>
      <c r="G592" s="15"/>
    </row>
    <row r="593" spans="1:7" ht="12.75">
      <c r="A593" s="14" t="s">
        <v>22</v>
      </c>
      <c r="B593" s="3"/>
      <c r="C593" s="4"/>
      <c r="D593" s="9">
        <v>1</v>
      </c>
      <c r="E593" s="15" t="s">
        <v>11</v>
      </c>
      <c r="F593" s="9">
        <f>F592/D592</f>
        <v>25.630800000000001</v>
      </c>
      <c r="G593" s="15"/>
    </row>
    <row r="594" spans="1:7" ht="12.75">
      <c r="A594" s="16" t="s">
        <v>23</v>
      </c>
      <c r="B594" s="3"/>
      <c r="C594" s="3"/>
      <c r="D594" s="4"/>
      <c r="E594" s="9">
        <v>44.63</v>
      </c>
      <c r="F594" s="9">
        <f>F593*1%</f>
        <v>0.25630799999999998</v>
      </c>
      <c r="G594" s="15"/>
    </row>
    <row r="595" spans="1:7" ht="12.75">
      <c r="A595" s="16" t="s">
        <v>24</v>
      </c>
      <c r="B595" s="3"/>
      <c r="C595" s="3"/>
      <c r="D595" s="4"/>
      <c r="E595" s="15"/>
      <c r="F595" s="9">
        <f>F594+F593</f>
        <v>25.887108000000001</v>
      </c>
      <c r="G595" s="15"/>
    </row>
    <row r="596" spans="1:7" ht="12.75">
      <c r="A596" s="16" t="s">
        <v>25</v>
      </c>
      <c r="B596" s="3"/>
      <c r="C596" s="3"/>
      <c r="D596" s="4"/>
      <c r="E596" s="9">
        <v>45.08</v>
      </c>
      <c r="F596" s="9">
        <f>F595*15%</f>
        <v>3.8830662</v>
      </c>
      <c r="G596" s="15"/>
    </row>
    <row r="597" spans="1:7" ht="12.75">
      <c r="A597" s="16" t="s">
        <v>24</v>
      </c>
      <c r="B597" s="3"/>
      <c r="C597" s="3"/>
      <c r="D597" s="4"/>
      <c r="E597" s="15"/>
      <c r="F597" s="17">
        <f>ROUND(F596+F595,2)</f>
        <v>29.77</v>
      </c>
      <c r="G597" s="15"/>
    </row>
    <row r="598" spans="1:7" ht="12.75">
      <c r="A598" s="18" t="str">
        <f>CONCATENATE("Say ₹ ",F586," + ",F597," x Cost Index")</f>
        <v>Say ₹ 22.07 + 29.77 x Cost Index</v>
      </c>
      <c r="B598" s="3"/>
      <c r="C598" s="3"/>
      <c r="D598" s="3"/>
      <c r="E598" s="3"/>
      <c r="F598" s="3"/>
      <c r="G598" s="4"/>
    </row>
    <row r="599" spans="1:7" ht="12.75">
      <c r="A599" s="1" t="s">
        <v>0</v>
      </c>
      <c r="B599" s="1" t="s">
        <v>1</v>
      </c>
      <c r="C599" s="2" t="s">
        <v>2</v>
      </c>
      <c r="D599" s="3"/>
      <c r="E599" s="4"/>
      <c r="F599" s="2" t="s">
        <v>3</v>
      </c>
      <c r="G599" s="4"/>
    </row>
    <row r="600" spans="1:7" ht="12.75">
      <c r="A600" s="5"/>
      <c r="B600" s="5"/>
      <c r="C600" s="6" t="s">
        <v>4</v>
      </c>
      <c r="D600" s="6" t="s">
        <v>5</v>
      </c>
      <c r="E600" s="6" t="s">
        <v>6</v>
      </c>
      <c r="F600" s="6" t="s">
        <v>7</v>
      </c>
      <c r="G600" s="6" t="s">
        <v>8</v>
      </c>
    </row>
    <row r="601" spans="1:7" ht="12.75">
      <c r="A601" s="43" t="s">
        <v>105</v>
      </c>
      <c r="B601" s="3"/>
      <c r="C601" s="3"/>
      <c r="D601" s="3"/>
      <c r="E601" s="3"/>
      <c r="F601" s="3"/>
      <c r="G601" s="4"/>
    </row>
    <row r="602" spans="1:7" ht="12.75">
      <c r="A602" s="8"/>
      <c r="B602" s="8" t="s">
        <v>10</v>
      </c>
      <c r="C602" s="8" t="s">
        <v>11</v>
      </c>
      <c r="D602" s="8" t="s">
        <v>12</v>
      </c>
      <c r="E602" s="9">
        <v>1</v>
      </c>
      <c r="F602" s="10"/>
      <c r="G602" s="4"/>
    </row>
    <row r="603" spans="1:7" ht="12.75">
      <c r="A603" s="8" t="s">
        <v>13</v>
      </c>
      <c r="B603" s="10" t="s">
        <v>14</v>
      </c>
      <c r="C603" s="3"/>
      <c r="D603" s="3"/>
      <c r="E603" s="3"/>
      <c r="F603" s="3"/>
      <c r="G603" s="4"/>
    </row>
    <row r="604" spans="1:7" ht="12.75">
      <c r="A604" s="11" t="s">
        <v>15</v>
      </c>
      <c r="B604" s="3"/>
      <c r="C604" s="3"/>
      <c r="D604" s="3"/>
      <c r="E604" s="3"/>
      <c r="F604" s="4"/>
      <c r="G604" s="12" t="s">
        <v>16</v>
      </c>
    </row>
    <row r="605" spans="1:7" ht="12.75">
      <c r="A605" s="13"/>
      <c r="B605" s="13" t="s">
        <v>106</v>
      </c>
      <c r="C605" s="10" t="s">
        <v>107</v>
      </c>
      <c r="D605" s="3"/>
      <c r="E605" s="4"/>
      <c r="F605" s="10"/>
      <c r="G605" s="4"/>
    </row>
    <row r="606" spans="1:7" ht="12.75">
      <c r="A606" s="5"/>
      <c r="B606" s="5"/>
      <c r="C606" s="8" t="s">
        <v>19</v>
      </c>
      <c r="D606" s="9">
        <v>1</v>
      </c>
      <c r="E606" s="9">
        <v>23</v>
      </c>
      <c r="F606" s="9">
        <f>D606*E606</f>
        <v>23</v>
      </c>
      <c r="G606" s="8" t="s">
        <v>20</v>
      </c>
    </row>
    <row r="607" spans="1:7" ht="12.75">
      <c r="A607" s="14" t="s">
        <v>21</v>
      </c>
      <c r="B607" s="3"/>
      <c r="C607" s="4"/>
      <c r="D607" s="9">
        <v>1</v>
      </c>
      <c r="E607" s="15" t="s">
        <v>11</v>
      </c>
      <c r="F607" s="9">
        <f>F606</f>
        <v>23</v>
      </c>
      <c r="G607" s="8"/>
    </row>
    <row r="608" spans="1:7" ht="12.75">
      <c r="A608" s="14" t="s">
        <v>22</v>
      </c>
      <c r="B608" s="3"/>
      <c r="C608" s="4"/>
      <c r="D608" s="9">
        <v>1</v>
      </c>
      <c r="E608" s="15" t="s">
        <v>11</v>
      </c>
      <c r="F608" s="9">
        <f>F607/D607</f>
        <v>23</v>
      </c>
      <c r="G608" s="8"/>
    </row>
    <row r="609" spans="1:7" ht="12.75">
      <c r="A609" s="16" t="s">
        <v>23</v>
      </c>
      <c r="B609" s="3"/>
      <c r="C609" s="3"/>
      <c r="D609" s="4"/>
      <c r="E609" s="9"/>
      <c r="F609" s="9">
        <f>F608*1%</f>
        <v>0.23</v>
      </c>
      <c r="G609" s="8"/>
    </row>
    <row r="610" spans="1:7" ht="12.75">
      <c r="A610" s="16" t="s">
        <v>24</v>
      </c>
      <c r="B610" s="3"/>
      <c r="C610" s="3"/>
      <c r="D610" s="4"/>
      <c r="E610" s="15"/>
      <c r="F610" s="9">
        <f>F609+F608</f>
        <v>23.23</v>
      </c>
      <c r="G610" s="8"/>
    </row>
    <row r="611" spans="1:7" ht="12.75">
      <c r="A611" s="16" t="s">
        <v>25</v>
      </c>
      <c r="B611" s="3"/>
      <c r="C611" s="3"/>
      <c r="D611" s="4"/>
      <c r="E611" s="9"/>
      <c r="F611" s="9">
        <f>F610*15%</f>
        <v>3.4845000000000002</v>
      </c>
      <c r="G611" s="8"/>
    </row>
    <row r="612" spans="1:7" ht="12.75">
      <c r="A612" s="16" t="s">
        <v>24</v>
      </c>
      <c r="B612" s="3"/>
      <c r="C612" s="3"/>
      <c r="D612" s="4"/>
      <c r="E612" s="15"/>
      <c r="F612" s="17">
        <f>ROUND(F611+F610,2)</f>
        <v>26.71</v>
      </c>
      <c r="G612" s="8"/>
    </row>
    <row r="613" spans="1:7" ht="12.75">
      <c r="A613" s="11" t="s">
        <v>26</v>
      </c>
      <c r="B613" s="3"/>
      <c r="C613" s="3"/>
      <c r="D613" s="3"/>
      <c r="E613" s="3"/>
      <c r="F613" s="4"/>
      <c r="G613" s="12" t="s">
        <v>27</v>
      </c>
    </row>
    <row r="614" spans="1:7" ht="12.75">
      <c r="A614" s="13">
        <v>9999</v>
      </c>
      <c r="B614" s="13"/>
      <c r="C614" s="10" t="s">
        <v>28</v>
      </c>
      <c r="D614" s="3"/>
      <c r="E614" s="4"/>
      <c r="F614" s="10"/>
      <c r="G614" s="4"/>
    </row>
    <row r="615" spans="1:7" ht="12.75">
      <c r="A615" s="5"/>
      <c r="B615" s="5"/>
      <c r="C615" s="8" t="s">
        <v>29</v>
      </c>
      <c r="D615" s="9">
        <v>2.73</v>
      </c>
      <c r="E615" s="9">
        <v>2.12</v>
      </c>
      <c r="F615" s="9">
        <v>5.79</v>
      </c>
      <c r="G615" s="8" t="s">
        <v>30</v>
      </c>
    </row>
    <row r="616" spans="1:7" ht="12.75">
      <c r="A616" s="13">
        <v>9999</v>
      </c>
      <c r="B616" s="13"/>
      <c r="C616" s="10" t="s">
        <v>31</v>
      </c>
      <c r="D616" s="3"/>
      <c r="E616" s="4"/>
      <c r="F616" s="10"/>
      <c r="G616" s="4"/>
    </row>
    <row r="617" spans="1:7" ht="12.75">
      <c r="A617" s="5"/>
      <c r="B617" s="5"/>
      <c r="C617" s="8" t="s">
        <v>29</v>
      </c>
      <c r="D617" s="9">
        <v>9.36</v>
      </c>
      <c r="E617" s="9">
        <v>2.12</v>
      </c>
      <c r="F617" s="9">
        <f>D617*E617</f>
        <v>19.8432</v>
      </c>
      <c r="G617" s="8" t="s">
        <v>32</v>
      </c>
    </row>
    <row r="618" spans="1:7" ht="12.75">
      <c r="A618" s="14" t="s">
        <v>24</v>
      </c>
      <c r="B618" s="3"/>
      <c r="C618" s="4"/>
      <c r="D618" s="9">
        <v>1</v>
      </c>
      <c r="E618" s="15" t="s">
        <v>11</v>
      </c>
      <c r="F618" s="9">
        <f>F617+F615</f>
        <v>25.633199999999999</v>
      </c>
      <c r="G618" s="15"/>
    </row>
    <row r="619" spans="1:7" ht="12.75">
      <c r="A619" s="14" t="s">
        <v>22</v>
      </c>
      <c r="B619" s="3"/>
      <c r="C619" s="4"/>
      <c r="D619" s="9">
        <v>1</v>
      </c>
      <c r="E619" s="15" t="s">
        <v>11</v>
      </c>
      <c r="F619" s="9">
        <f>F618/D618</f>
        <v>25.633199999999999</v>
      </c>
      <c r="G619" s="15"/>
    </row>
    <row r="620" spans="1:7" ht="12.75">
      <c r="A620" s="16" t="s">
        <v>23</v>
      </c>
      <c r="B620" s="3"/>
      <c r="C620" s="3"/>
      <c r="D620" s="4"/>
      <c r="E620" s="9">
        <v>48.63</v>
      </c>
      <c r="F620" s="9">
        <f>F619*1%</f>
        <v>0.256332</v>
      </c>
      <c r="G620" s="15"/>
    </row>
    <row r="621" spans="1:7" ht="12.75">
      <c r="A621" s="16" t="s">
        <v>24</v>
      </c>
      <c r="B621" s="3"/>
      <c r="C621" s="3"/>
      <c r="D621" s="4"/>
      <c r="E621" s="15"/>
      <c r="F621" s="9">
        <f>F620+F619</f>
        <v>25.889531999999999</v>
      </c>
      <c r="G621" s="15"/>
    </row>
    <row r="622" spans="1:7" ht="12.75">
      <c r="A622" s="16" t="s">
        <v>25</v>
      </c>
      <c r="B622" s="3"/>
      <c r="C622" s="3"/>
      <c r="D622" s="4"/>
      <c r="E622" s="9">
        <v>49.12</v>
      </c>
      <c r="F622" s="9">
        <f>F621*15%</f>
        <v>3.8834298</v>
      </c>
      <c r="G622" s="15"/>
    </row>
    <row r="623" spans="1:7" ht="12.75">
      <c r="A623" s="16" t="s">
        <v>24</v>
      </c>
      <c r="B623" s="3"/>
      <c r="C623" s="3"/>
      <c r="D623" s="4"/>
      <c r="E623" s="15"/>
      <c r="F623" s="17">
        <f>ROUND(F622+F621,2)</f>
        <v>29.77</v>
      </c>
      <c r="G623" s="15"/>
    </row>
    <row r="624" spans="1:7" ht="12.75">
      <c r="A624" s="18" t="str">
        <f>CONCATENATE("Say ₹ ",F612," + ",F623," x Cost Index")</f>
        <v>Say ₹ 26.71 + 29.77 x Cost Index</v>
      </c>
      <c r="B624" s="3"/>
      <c r="C624" s="3"/>
      <c r="D624" s="3"/>
      <c r="E624" s="3"/>
      <c r="F624" s="3"/>
      <c r="G624" s="4"/>
    </row>
    <row r="625" spans="1:7" ht="12.75">
      <c r="A625" s="1" t="s">
        <v>0</v>
      </c>
      <c r="B625" s="1" t="s">
        <v>1</v>
      </c>
      <c r="C625" s="2" t="s">
        <v>2</v>
      </c>
      <c r="D625" s="3"/>
      <c r="E625" s="4"/>
      <c r="F625" s="2" t="s">
        <v>3</v>
      </c>
      <c r="G625" s="4"/>
    </row>
    <row r="626" spans="1:7" ht="12.75">
      <c r="A626" s="5"/>
      <c r="B626" s="5"/>
      <c r="C626" s="6" t="s">
        <v>4</v>
      </c>
      <c r="D626" s="6" t="s">
        <v>5</v>
      </c>
      <c r="E626" s="6" t="s">
        <v>6</v>
      </c>
      <c r="F626" s="6" t="s">
        <v>7</v>
      </c>
      <c r="G626" s="6" t="s">
        <v>8</v>
      </c>
    </row>
    <row r="627" spans="1:7" ht="12.75">
      <c r="A627" s="43" t="s">
        <v>108</v>
      </c>
      <c r="B627" s="3"/>
      <c r="C627" s="3"/>
      <c r="D627" s="3"/>
      <c r="E627" s="3"/>
      <c r="F627" s="3"/>
      <c r="G627" s="4"/>
    </row>
    <row r="628" spans="1:7" ht="12.75">
      <c r="A628" s="8"/>
      <c r="B628" s="8" t="s">
        <v>10</v>
      </c>
      <c r="C628" s="8" t="s">
        <v>11</v>
      </c>
      <c r="D628" s="8" t="s">
        <v>12</v>
      </c>
      <c r="E628" s="9">
        <v>1</v>
      </c>
      <c r="F628" s="10"/>
      <c r="G628" s="4"/>
    </row>
    <row r="629" spans="1:7" ht="12.75">
      <c r="A629" s="8" t="s">
        <v>13</v>
      </c>
      <c r="B629" s="10" t="s">
        <v>14</v>
      </c>
      <c r="C629" s="3"/>
      <c r="D629" s="3"/>
      <c r="E629" s="3"/>
      <c r="F629" s="3"/>
      <c r="G629" s="4"/>
    </row>
    <row r="630" spans="1:7" ht="12.75">
      <c r="A630" s="11" t="s">
        <v>15</v>
      </c>
      <c r="B630" s="3"/>
      <c r="C630" s="3"/>
      <c r="D630" s="3"/>
      <c r="E630" s="3"/>
      <c r="F630" s="4"/>
      <c r="G630" s="12" t="s">
        <v>16</v>
      </c>
    </row>
    <row r="631" spans="1:7" ht="12.75">
      <c r="A631" s="13"/>
      <c r="B631" s="13" t="s">
        <v>109</v>
      </c>
      <c r="C631" s="10" t="s">
        <v>110</v>
      </c>
      <c r="D631" s="3"/>
      <c r="E631" s="4"/>
      <c r="F631" s="10"/>
      <c r="G631" s="4"/>
    </row>
    <row r="632" spans="1:7" ht="12.75">
      <c r="A632" s="5"/>
      <c r="B632" s="5"/>
      <c r="C632" s="8" t="s">
        <v>19</v>
      </c>
      <c r="D632" s="9">
        <v>1</v>
      </c>
      <c r="E632" s="9">
        <v>28</v>
      </c>
      <c r="F632" s="9">
        <f>D632*E632</f>
        <v>28</v>
      </c>
      <c r="G632" s="8" t="s">
        <v>20</v>
      </c>
    </row>
    <row r="633" spans="1:7" ht="12.75">
      <c r="A633" s="14" t="s">
        <v>21</v>
      </c>
      <c r="B633" s="3"/>
      <c r="C633" s="4"/>
      <c r="D633" s="9">
        <v>1</v>
      </c>
      <c r="E633" s="15" t="s">
        <v>11</v>
      </c>
      <c r="F633" s="9">
        <f>F632</f>
        <v>28</v>
      </c>
      <c r="G633" s="8"/>
    </row>
    <row r="634" spans="1:7" ht="12.75">
      <c r="A634" s="14" t="s">
        <v>22</v>
      </c>
      <c r="B634" s="3"/>
      <c r="C634" s="4"/>
      <c r="D634" s="9">
        <v>1</v>
      </c>
      <c r="E634" s="15" t="s">
        <v>11</v>
      </c>
      <c r="F634" s="9">
        <f>F633/D633</f>
        <v>28</v>
      </c>
      <c r="G634" s="8"/>
    </row>
    <row r="635" spans="1:7" ht="12.75">
      <c r="A635" s="16" t="s">
        <v>23</v>
      </c>
      <c r="B635" s="3"/>
      <c r="C635" s="3"/>
      <c r="D635" s="4"/>
      <c r="E635" s="9"/>
      <c r="F635" s="9">
        <f>F634*1%</f>
        <v>0.28</v>
      </c>
      <c r="G635" s="8"/>
    </row>
    <row r="636" spans="1:7" ht="12.75">
      <c r="A636" s="16" t="s">
        <v>24</v>
      </c>
      <c r="B636" s="3"/>
      <c r="C636" s="3"/>
      <c r="D636" s="4"/>
      <c r="E636" s="15"/>
      <c r="F636" s="9">
        <f>F635+F634</f>
        <v>28.28</v>
      </c>
      <c r="G636" s="8"/>
    </row>
    <row r="637" spans="1:7" ht="12.75">
      <c r="A637" s="16" t="s">
        <v>25</v>
      </c>
      <c r="B637" s="3"/>
      <c r="C637" s="3"/>
      <c r="D637" s="4"/>
      <c r="E637" s="9"/>
      <c r="F637" s="9">
        <f>F636*15%</f>
        <v>4.242</v>
      </c>
      <c r="G637" s="8"/>
    </row>
    <row r="638" spans="1:7" ht="12.75">
      <c r="A638" s="16" t="s">
        <v>24</v>
      </c>
      <c r="B638" s="3"/>
      <c r="C638" s="3"/>
      <c r="D638" s="4"/>
      <c r="E638" s="15"/>
      <c r="F638" s="17">
        <f>ROUND(F637+F636,2)</f>
        <v>32.52</v>
      </c>
      <c r="G638" s="8"/>
    </row>
    <row r="639" spans="1:7" ht="12.75">
      <c r="A639" s="11" t="s">
        <v>26</v>
      </c>
      <c r="B639" s="3"/>
      <c r="C639" s="3"/>
      <c r="D639" s="3"/>
      <c r="E639" s="3"/>
      <c r="F639" s="4"/>
      <c r="G639" s="12" t="s">
        <v>27</v>
      </c>
    </row>
    <row r="640" spans="1:7" ht="12.75">
      <c r="A640" s="13">
        <v>9999</v>
      </c>
      <c r="B640" s="13"/>
      <c r="C640" s="10" t="s">
        <v>28</v>
      </c>
      <c r="D640" s="3"/>
      <c r="E640" s="4"/>
      <c r="F640" s="10"/>
      <c r="G640" s="4"/>
    </row>
    <row r="641" spans="1:7" ht="12.75">
      <c r="A641" s="5"/>
      <c r="B641" s="5"/>
      <c r="C641" s="8" t="s">
        <v>29</v>
      </c>
      <c r="D641" s="9">
        <v>2.73</v>
      </c>
      <c r="E641" s="9">
        <v>2.12</v>
      </c>
      <c r="F641" s="9">
        <f>D641*E641</f>
        <v>5.7876000000000003</v>
      </c>
      <c r="G641" s="8" t="s">
        <v>30</v>
      </c>
    </row>
    <row r="642" spans="1:7" ht="12.75">
      <c r="A642" s="13">
        <v>9999</v>
      </c>
      <c r="B642" s="13"/>
      <c r="C642" s="10" t="s">
        <v>31</v>
      </c>
      <c r="D642" s="3"/>
      <c r="E642" s="4"/>
      <c r="F642" s="10"/>
      <c r="G642" s="4"/>
    </row>
    <row r="643" spans="1:7" ht="12.75">
      <c r="A643" s="5"/>
      <c r="B643" s="5"/>
      <c r="C643" s="8" t="s">
        <v>29</v>
      </c>
      <c r="D643" s="9">
        <v>10.79</v>
      </c>
      <c r="E643" s="9">
        <v>2.12</v>
      </c>
      <c r="F643" s="9">
        <f>D643*E643</f>
        <v>22.8748</v>
      </c>
      <c r="G643" s="8" t="s">
        <v>32</v>
      </c>
    </row>
    <row r="644" spans="1:7" ht="12.75">
      <c r="A644" s="14" t="s">
        <v>24</v>
      </c>
      <c r="B644" s="3"/>
      <c r="C644" s="4"/>
      <c r="D644" s="9">
        <v>1</v>
      </c>
      <c r="E644" s="15" t="s">
        <v>11</v>
      </c>
      <c r="F644" s="9">
        <f>F643+F641</f>
        <v>28.662400000000002</v>
      </c>
      <c r="G644" s="15"/>
    </row>
    <row r="645" spans="1:7" ht="12.75">
      <c r="A645" s="14" t="s">
        <v>22</v>
      </c>
      <c r="B645" s="3"/>
      <c r="C645" s="4"/>
      <c r="D645" s="9">
        <v>1</v>
      </c>
      <c r="E645" s="15" t="s">
        <v>11</v>
      </c>
      <c r="F645" s="9">
        <f>F644/D644</f>
        <v>28.662400000000002</v>
      </c>
      <c r="G645" s="15"/>
    </row>
    <row r="646" spans="1:7" ht="12.75">
      <c r="A646" s="16" t="s">
        <v>23</v>
      </c>
      <c r="B646" s="3"/>
      <c r="C646" s="3"/>
      <c r="D646" s="4"/>
      <c r="E646" s="9">
        <v>56.66</v>
      </c>
      <c r="F646" s="9">
        <f>F645*1%</f>
        <v>0.28662399999999999</v>
      </c>
      <c r="G646" s="15"/>
    </row>
    <row r="647" spans="1:7" ht="12.75">
      <c r="A647" s="16" t="s">
        <v>24</v>
      </c>
      <c r="B647" s="3"/>
      <c r="C647" s="3"/>
      <c r="D647" s="4"/>
      <c r="E647" s="15"/>
      <c r="F647" s="9">
        <f>F646+F645</f>
        <v>28.949024000000001</v>
      </c>
      <c r="G647" s="15"/>
    </row>
    <row r="648" spans="1:7" ht="12.75">
      <c r="A648" s="16" t="s">
        <v>25</v>
      </c>
      <c r="B648" s="3"/>
      <c r="C648" s="3"/>
      <c r="D648" s="4"/>
      <c r="E648" s="9">
        <v>57.23</v>
      </c>
      <c r="F648" s="9">
        <f>F647*15%</f>
        <v>4.3423536</v>
      </c>
      <c r="G648" s="15"/>
    </row>
    <row r="649" spans="1:7" ht="12.75">
      <c r="A649" s="16" t="s">
        <v>24</v>
      </c>
      <c r="B649" s="3"/>
      <c r="C649" s="3"/>
      <c r="D649" s="4"/>
      <c r="E649" s="15"/>
      <c r="F649" s="17">
        <f>ROUND(F648+F647,2)</f>
        <v>33.29</v>
      </c>
      <c r="G649" s="15"/>
    </row>
    <row r="650" spans="1:7" ht="12.75">
      <c r="A650" s="44" t="s">
        <v>111</v>
      </c>
      <c r="B650" s="3"/>
      <c r="C650" s="3"/>
      <c r="D650" s="4"/>
      <c r="E650" s="45"/>
      <c r="F650" s="46" t="s">
        <v>112</v>
      </c>
      <c r="G650" s="45"/>
    </row>
    <row r="651" spans="1:7" ht="12.75">
      <c r="A651" s="1" t="s">
        <v>0</v>
      </c>
      <c r="B651" s="1" t="s">
        <v>1</v>
      </c>
      <c r="C651" s="2" t="s">
        <v>2</v>
      </c>
      <c r="D651" s="3"/>
      <c r="E651" s="4"/>
      <c r="F651" s="2" t="s">
        <v>3</v>
      </c>
      <c r="G651" s="4"/>
    </row>
    <row r="652" spans="1:7" ht="12.75">
      <c r="A652" s="5"/>
      <c r="B652" s="5"/>
      <c r="C652" s="6" t="s">
        <v>4</v>
      </c>
      <c r="D652" s="6" t="s">
        <v>5</v>
      </c>
      <c r="E652" s="6" t="s">
        <v>6</v>
      </c>
      <c r="F652" s="6" t="s">
        <v>7</v>
      </c>
      <c r="G652" s="6" t="s">
        <v>8</v>
      </c>
    </row>
    <row r="653" spans="1:7" ht="12.75">
      <c r="A653" s="24" t="s">
        <v>113</v>
      </c>
      <c r="B653" s="3"/>
      <c r="C653" s="3"/>
      <c r="D653" s="3"/>
      <c r="E653" s="3"/>
      <c r="F653" s="3"/>
      <c r="G653" s="4"/>
    </row>
    <row r="654" spans="1:7" ht="12.75">
      <c r="A654" s="8"/>
      <c r="B654" s="8" t="s">
        <v>10</v>
      </c>
      <c r="C654" s="8" t="s">
        <v>11</v>
      </c>
      <c r="D654" s="8" t="s">
        <v>12</v>
      </c>
      <c r="E654" s="9">
        <v>1</v>
      </c>
      <c r="F654" s="10"/>
      <c r="G654" s="4"/>
    </row>
    <row r="655" spans="1:7" ht="12.75">
      <c r="A655" s="8" t="s">
        <v>13</v>
      </c>
      <c r="B655" s="10" t="s">
        <v>14</v>
      </c>
      <c r="C655" s="3"/>
      <c r="D655" s="3"/>
      <c r="E655" s="3"/>
      <c r="F655" s="3"/>
      <c r="G655" s="4"/>
    </row>
    <row r="656" spans="1:7" ht="12.75">
      <c r="A656" s="11" t="s">
        <v>15</v>
      </c>
      <c r="B656" s="3"/>
      <c r="C656" s="3"/>
      <c r="D656" s="3"/>
      <c r="E656" s="3"/>
      <c r="F656" s="4"/>
      <c r="G656" s="12" t="s">
        <v>16</v>
      </c>
    </row>
    <row r="657" spans="1:7" ht="12.75">
      <c r="A657" s="13"/>
      <c r="B657" s="13" t="s">
        <v>114</v>
      </c>
      <c r="C657" s="10" t="s">
        <v>115</v>
      </c>
      <c r="D657" s="3"/>
      <c r="E657" s="4"/>
      <c r="F657" s="10"/>
      <c r="G657" s="4"/>
    </row>
    <row r="658" spans="1:7" ht="12.75">
      <c r="A658" s="5"/>
      <c r="B658" s="5"/>
      <c r="C658" s="8" t="s">
        <v>19</v>
      </c>
      <c r="D658" s="9">
        <v>1</v>
      </c>
      <c r="E658" s="9">
        <v>22</v>
      </c>
      <c r="F658" s="9">
        <f>D658*E658</f>
        <v>22</v>
      </c>
      <c r="G658" s="8" t="s">
        <v>20</v>
      </c>
    </row>
    <row r="659" spans="1:7" ht="12.75">
      <c r="A659" s="14" t="s">
        <v>21</v>
      </c>
      <c r="B659" s="3"/>
      <c r="C659" s="4"/>
      <c r="D659" s="9">
        <v>1</v>
      </c>
      <c r="E659" s="15" t="s">
        <v>11</v>
      </c>
      <c r="F659" s="9">
        <f>F658</f>
        <v>22</v>
      </c>
      <c r="G659" s="8"/>
    </row>
    <row r="660" spans="1:7" ht="12.75">
      <c r="A660" s="14" t="s">
        <v>22</v>
      </c>
      <c r="B660" s="3"/>
      <c r="C660" s="4"/>
      <c r="D660" s="9">
        <v>1</v>
      </c>
      <c r="E660" s="15" t="s">
        <v>11</v>
      </c>
      <c r="F660" s="9">
        <f>F659/D659</f>
        <v>22</v>
      </c>
      <c r="G660" s="8"/>
    </row>
    <row r="661" spans="1:7" ht="12.75">
      <c r="A661" s="16" t="s">
        <v>23</v>
      </c>
      <c r="B661" s="3"/>
      <c r="C661" s="3"/>
      <c r="D661" s="4"/>
      <c r="E661" s="9"/>
      <c r="F661" s="9">
        <f>F660*1%</f>
        <v>0.22</v>
      </c>
      <c r="G661" s="8"/>
    </row>
    <row r="662" spans="1:7" ht="12.75">
      <c r="A662" s="16" t="s">
        <v>24</v>
      </c>
      <c r="B662" s="3"/>
      <c r="C662" s="3"/>
      <c r="D662" s="4"/>
      <c r="E662" s="15"/>
      <c r="F662" s="9">
        <f>F661+F660</f>
        <v>22.22</v>
      </c>
      <c r="G662" s="8"/>
    </row>
    <row r="663" spans="1:7" ht="12.75">
      <c r="A663" s="16" t="s">
        <v>25</v>
      </c>
      <c r="B663" s="3"/>
      <c r="C663" s="3"/>
      <c r="D663" s="4"/>
      <c r="E663" s="9"/>
      <c r="F663" s="9">
        <f>F662*15%</f>
        <v>3.3330000000000002</v>
      </c>
      <c r="G663" s="8"/>
    </row>
    <row r="664" spans="1:7" ht="12.75">
      <c r="A664" s="16" t="s">
        <v>24</v>
      </c>
      <c r="B664" s="3"/>
      <c r="C664" s="3"/>
      <c r="D664" s="4"/>
      <c r="E664" s="15"/>
      <c r="F664" s="17">
        <f>ROUND(F663+F662,2)</f>
        <v>25.55</v>
      </c>
      <c r="G664" s="8"/>
    </row>
    <row r="665" spans="1:7" ht="12.75">
      <c r="A665" s="11" t="s">
        <v>26</v>
      </c>
      <c r="B665" s="3"/>
      <c r="C665" s="3"/>
      <c r="D665" s="3"/>
      <c r="E665" s="3"/>
      <c r="F665" s="4"/>
      <c r="G665" s="12" t="s">
        <v>27</v>
      </c>
    </row>
    <row r="666" spans="1:7" ht="12.75">
      <c r="A666" s="13">
        <v>9999</v>
      </c>
      <c r="B666" s="13"/>
      <c r="C666" s="10" t="s">
        <v>28</v>
      </c>
      <c r="D666" s="3"/>
      <c r="E666" s="4"/>
      <c r="F666" s="10"/>
      <c r="G666" s="4"/>
    </row>
    <row r="667" spans="1:7" ht="12.75">
      <c r="A667" s="5"/>
      <c r="B667" s="5"/>
      <c r="C667" s="8" t="s">
        <v>29</v>
      </c>
      <c r="D667" s="9">
        <v>2.73</v>
      </c>
      <c r="E667" s="9">
        <v>2.12</v>
      </c>
      <c r="F667" s="9">
        <f>D667*E667</f>
        <v>5.7876000000000003</v>
      </c>
      <c r="G667" s="8" t="s">
        <v>30</v>
      </c>
    </row>
    <row r="668" spans="1:7" ht="12.75">
      <c r="A668" s="13">
        <v>9999</v>
      </c>
      <c r="B668" s="13"/>
      <c r="C668" s="10" t="s">
        <v>31</v>
      </c>
      <c r="D668" s="3"/>
      <c r="E668" s="4"/>
      <c r="F668" s="10"/>
      <c r="G668" s="4"/>
    </row>
    <row r="669" spans="1:7" ht="12.75">
      <c r="A669" s="5"/>
      <c r="B669" s="5"/>
      <c r="C669" s="8" t="s">
        <v>29</v>
      </c>
      <c r="D669" s="9">
        <v>9.36</v>
      </c>
      <c r="E669" s="9">
        <v>2.12</v>
      </c>
      <c r="F669" s="9">
        <f>D669*E669</f>
        <v>19.8432</v>
      </c>
      <c r="G669" s="8" t="s">
        <v>32</v>
      </c>
    </row>
    <row r="670" spans="1:7" ht="12.75">
      <c r="A670" s="14" t="s">
        <v>24</v>
      </c>
      <c r="B670" s="3"/>
      <c r="C670" s="4"/>
      <c r="D670" s="9">
        <v>1</v>
      </c>
      <c r="E670" s="15" t="s">
        <v>11</v>
      </c>
      <c r="F670" s="9">
        <f>F669+F667</f>
        <v>25.630800000000001</v>
      </c>
      <c r="G670" s="15"/>
    </row>
    <row r="671" spans="1:7" ht="12.75">
      <c r="A671" s="14" t="s">
        <v>22</v>
      </c>
      <c r="B671" s="3"/>
      <c r="C671" s="4"/>
      <c r="D671" s="9">
        <v>1</v>
      </c>
      <c r="E671" s="15" t="s">
        <v>11</v>
      </c>
      <c r="F671" s="9">
        <f>F670/D670</f>
        <v>25.630800000000001</v>
      </c>
      <c r="G671" s="15"/>
    </row>
    <row r="672" spans="1:7" ht="12.75">
      <c r="A672" s="16" t="s">
        <v>23</v>
      </c>
      <c r="B672" s="3"/>
      <c r="C672" s="3"/>
      <c r="D672" s="4"/>
      <c r="E672" s="9">
        <v>44.63</v>
      </c>
      <c r="F672" s="9">
        <f>F671*1%</f>
        <v>0.25630799999999998</v>
      </c>
      <c r="G672" s="15"/>
    </row>
    <row r="673" spans="1:7" ht="12.75">
      <c r="A673" s="16" t="s">
        <v>24</v>
      </c>
      <c r="B673" s="3"/>
      <c r="C673" s="3"/>
      <c r="D673" s="4"/>
      <c r="E673" s="15"/>
      <c r="F673" s="9">
        <f>F672+F671</f>
        <v>25.887108000000001</v>
      </c>
      <c r="G673" s="15"/>
    </row>
    <row r="674" spans="1:7" ht="12.75">
      <c r="A674" s="16" t="s">
        <v>25</v>
      </c>
      <c r="B674" s="3"/>
      <c r="C674" s="3"/>
      <c r="D674" s="4"/>
      <c r="E674" s="9">
        <v>45.08</v>
      </c>
      <c r="F674" s="9">
        <f>F673*15%</f>
        <v>3.8830662</v>
      </c>
      <c r="G674" s="15"/>
    </row>
    <row r="675" spans="1:7" ht="12.75">
      <c r="A675" s="16" t="s">
        <v>24</v>
      </c>
      <c r="B675" s="3"/>
      <c r="C675" s="3"/>
      <c r="D675" s="4"/>
      <c r="E675" s="15"/>
      <c r="F675" s="17">
        <f>ROUND(F674+F673,2)</f>
        <v>29.77</v>
      </c>
      <c r="G675" s="15"/>
    </row>
    <row r="676" spans="1:7" ht="12.75">
      <c r="A676" s="18" t="str">
        <f>CONCATENATE("Say ₹ ",F664," + ",F675," x Cost Index")</f>
        <v>Say ₹ 25.55 + 29.77 x Cost Index</v>
      </c>
      <c r="B676" s="3"/>
      <c r="C676" s="3"/>
      <c r="D676" s="3"/>
      <c r="E676" s="3"/>
      <c r="F676" s="3"/>
      <c r="G676" s="4"/>
    </row>
    <row r="677" spans="1:7" ht="12.75">
      <c r="A677" s="1" t="s">
        <v>0</v>
      </c>
      <c r="B677" s="1" t="s">
        <v>1</v>
      </c>
      <c r="C677" s="2" t="s">
        <v>2</v>
      </c>
      <c r="D677" s="3"/>
      <c r="E677" s="4"/>
      <c r="F677" s="2" t="s">
        <v>3</v>
      </c>
      <c r="G677" s="4"/>
    </row>
    <row r="678" spans="1:7" ht="12.75">
      <c r="A678" s="5"/>
      <c r="B678" s="5"/>
      <c r="C678" s="6" t="s">
        <v>4</v>
      </c>
      <c r="D678" s="6" t="s">
        <v>5</v>
      </c>
      <c r="E678" s="6" t="s">
        <v>6</v>
      </c>
      <c r="F678" s="6" t="s">
        <v>7</v>
      </c>
      <c r="G678" s="6" t="s">
        <v>8</v>
      </c>
    </row>
    <row r="679" spans="1:7" ht="12.75">
      <c r="A679" s="24" t="s">
        <v>116</v>
      </c>
      <c r="B679" s="3"/>
      <c r="C679" s="3"/>
      <c r="D679" s="3"/>
      <c r="E679" s="3"/>
      <c r="F679" s="3"/>
      <c r="G679" s="4"/>
    </row>
    <row r="680" spans="1:7" ht="12.75">
      <c r="A680" s="8"/>
      <c r="B680" s="8" t="s">
        <v>10</v>
      </c>
      <c r="C680" s="8" t="s">
        <v>11</v>
      </c>
      <c r="D680" s="8" t="s">
        <v>12</v>
      </c>
      <c r="E680" s="9">
        <v>1</v>
      </c>
      <c r="F680" s="10"/>
      <c r="G680" s="4"/>
    </row>
    <row r="681" spans="1:7" ht="12.75">
      <c r="A681" s="8" t="s">
        <v>13</v>
      </c>
      <c r="B681" s="10" t="s">
        <v>14</v>
      </c>
      <c r="C681" s="3"/>
      <c r="D681" s="3"/>
      <c r="E681" s="3"/>
      <c r="F681" s="3"/>
      <c r="G681" s="4"/>
    </row>
    <row r="682" spans="1:7" ht="12.75">
      <c r="A682" s="11" t="s">
        <v>15</v>
      </c>
      <c r="B682" s="3"/>
      <c r="C682" s="3"/>
      <c r="D682" s="3"/>
      <c r="E682" s="3"/>
      <c r="F682" s="4"/>
      <c r="G682" s="12" t="s">
        <v>16</v>
      </c>
    </row>
    <row r="683" spans="1:7" ht="12.75">
      <c r="A683" s="13"/>
      <c r="B683" s="13" t="s">
        <v>117</v>
      </c>
      <c r="C683" s="10" t="s">
        <v>118</v>
      </c>
      <c r="D683" s="3"/>
      <c r="E683" s="4"/>
      <c r="F683" s="10"/>
      <c r="G683" s="4"/>
    </row>
    <row r="684" spans="1:7" ht="12.75">
      <c r="A684" s="5"/>
      <c r="B684" s="5"/>
      <c r="C684" s="8" t="s">
        <v>19</v>
      </c>
      <c r="D684" s="9">
        <v>1</v>
      </c>
      <c r="E684" s="9">
        <v>28</v>
      </c>
      <c r="F684" s="9">
        <f>D684*E684</f>
        <v>28</v>
      </c>
      <c r="G684" s="8" t="s">
        <v>20</v>
      </c>
    </row>
    <row r="685" spans="1:7" ht="12.75">
      <c r="A685" s="14" t="s">
        <v>21</v>
      </c>
      <c r="B685" s="3"/>
      <c r="C685" s="4"/>
      <c r="D685" s="9">
        <v>1</v>
      </c>
      <c r="E685" s="15" t="s">
        <v>11</v>
      </c>
      <c r="F685" s="9">
        <f>F684</f>
        <v>28</v>
      </c>
      <c r="G685" s="8"/>
    </row>
    <row r="686" spans="1:7" ht="12.75">
      <c r="A686" s="14" t="s">
        <v>22</v>
      </c>
      <c r="B686" s="3"/>
      <c r="C686" s="4"/>
      <c r="D686" s="9">
        <v>1</v>
      </c>
      <c r="E686" s="15" t="s">
        <v>11</v>
      </c>
      <c r="F686" s="9">
        <f>F685/D685</f>
        <v>28</v>
      </c>
      <c r="G686" s="8"/>
    </row>
    <row r="687" spans="1:7" ht="12.75">
      <c r="A687" s="16" t="s">
        <v>23</v>
      </c>
      <c r="B687" s="3"/>
      <c r="C687" s="3"/>
      <c r="D687" s="4"/>
      <c r="E687" s="9"/>
      <c r="F687" s="9">
        <f>F686*1%</f>
        <v>0.28</v>
      </c>
      <c r="G687" s="8"/>
    </row>
    <row r="688" spans="1:7" ht="12.75">
      <c r="A688" s="16" t="s">
        <v>24</v>
      </c>
      <c r="B688" s="3"/>
      <c r="C688" s="3"/>
      <c r="D688" s="4"/>
      <c r="E688" s="15"/>
      <c r="F688" s="9">
        <f>F687+F686</f>
        <v>28.28</v>
      </c>
      <c r="G688" s="8"/>
    </row>
    <row r="689" spans="1:7" ht="12.75">
      <c r="A689" s="16" t="s">
        <v>25</v>
      </c>
      <c r="B689" s="3"/>
      <c r="C689" s="3"/>
      <c r="D689" s="4"/>
      <c r="E689" s="9"/>
      <c r="F689" s="9">
        <f>F688*15%</f>
        <v>4.242</v>
      </c>
      <c r="G689" s="8"/>
    </row>
    <row r="690" spans="1:7" ht="12.75">
      <c r="A690" s="16" t="s">
        <v>24</v>
      </c>
      <c r="B690" s="3"/>
      <c r="C690" s="3"/>
      <c r="D690" s="4"/>
      <c r="E690" s="15"/>
      <c r="F690" s="17">
        <f>ROUND(F689+F688,2)</f>
        <v>32.52</v>
      </c>
      <c r="G690" s="8"/>
    </row>
    <row r="691" spans="1:7" ht="12.75">
      <c r="A691" s="11" t="s">
        <v>26</v>
      </c>
      <c r="B691" s="3"/>
      <c r="C691" s="3"/>
      <c r="D691" s="3"/>
      <c r="E691" s="3"/>
      <c r="F691" s="4"/>
      <c r="G691" s="12" t="s">
        <v>27</v>
      </c>
    </row>
    <row r="692" spans="1:7" ht="12.75">
      <c r="A692" s="13">
        <v>9999</v>
      </c>
      <c r="B692" s="13"/>
      <c r="C692" s="10" t="s">
        <v>28</v>
      </c>
      <c r="D692" s="3"/>
      <c r="E692" s="4"/>
      <c r="F692" s="10"/>
      <c r="G692" s="4"/>
    </row>
    <row r="693" spans="1:7" ht="12.75">
      <c r="A693" s="5"/>
      <c r="B693" s="5"/>
      <c r="C693" s="8" t="s">
        <v>29</v>
      </c>
      <c r="D693" s="9">
        <v>2.73</v>
      </c>
      <c r="E693" s="9">
        <v>2.12</v>
      </c>
      <c r="F693" s="9">
        <f>D693*E693</f>
        <v>5.7876000000000003</v>
      </c>
      <c r="G693" s="8" t="s">
        <v>30</v>
      </c>
    </row>
    <row r="694" spans="1:7" ht="12.75">
      <c r="A694" s="13">
        <v>9999</v>
      </c>
      <c r="B694" s="13"/>
      <c r="C694" s="10" t="s">
        <v>31</v>
      </c>
      <c r="D694" s="3"/>
      <c r="E694" s="4"/>
      <c r="F694" s="10"/>
      <c r="G694" s="4"/>
    </row>
    <row r="695" spans="1:7" ht="12.75">
      <c r="A695" s="5"/>
      <c r="B695" s="5"/>
      <c r="C695" s="8" t="s">
        <v>29</v>
      </c>
      <c r="D695" s="9">
        <v>9.36</v>
      </c>
      <c r="E695" s="9">
        <v>2.12</v>
      </c>
      <c r="F695" s="9">
        <f>D695*E695</f>
        <v>19.8432</v>
      </c>
      <c r="G695" s="8" t="s">
        <v>32</v>
      </c>
    </row>
    <row r="696" spans="1:7" ht="12.75">
      <c r="A696" s="14" t="s">
        <v>24</v>
      </c>
      <c r="B696" s="3"/>
      <c r="C696" s="4"/>
      <c r="D696" s="9">
        <v>1</v>
      </c>
      <c r="E696" s="15" t="s">
        <v>11</v>
      </c>
      <c r="F696" s="9">
        <f>F695+F693</f>
        <v>25.630800000000001</v>
      </c>
      <c r="G696" s="15"/>
    </row>
    <row r="697" spans="1:7" ht="12.75">
      <c r="A697" s="14" t="s">
        <v>22</v>
      </c>
      <c r="B697" s="3"/>
      <c r="C697" s="4"/>
      <c r="D697" s="9">
        <v>1</v>
      </c>
      <c r="E697" s="15" t="s">
        <v>11</v>
      </c>
      <c r="F697" s="9">
        <f>F696/D696</f>
        <v>25.630800000000001</v>
      </c>
      <c r="G697" s="15"/>
    </row>
    <row r="698" spans="1:7" ht="12.75">
      <c r="A698" s="16" t="s">
        <v>23</v>
      </c>
      <c r="B698" s="3"/>
      <c r="C698" s="3"/>
      <c r="D698" s="4"/>
      <c r="E698" s="9">
        <v>44.63</v>
      </c>
      <c r="F698" s="9">
        <f>F697*1%</f>
        <v>0.25630799999999998</v>
      </c>
      <c r="G698" s="15"/>
    </row>
    <row r="699" spans="1:7" ht="12.75">
      <c r="A699" s="16" t="s">
        <v>24</v>
      </c>
      <c r="B699" s="3"/>
      <c r="C699" s="3"/>
      <c r="D699" s="4"/>
      <c r="E699" s="15"/>
      <c r="F699" s="9">
        <f>F698+F697</f>
        <v>25.887108000000001</v>
      </c>
      <c r="G699" s="15"/>
    </row>
    <row r="700" spans="1:7" ht="12.75">
      <c r="A700" s="16" t="s">
        <v>25</v>
      </c>
      <c r="B700" s="3"/>
      <c r="C700" s="3"/>
      <c r="D700" s="4"/>
      <c r="E700" s="9">
        <v>45.08</v>
      </c>
      <c r="F700" s="9">
        <f>F699*15%</f>
        <v>3.8830662</v>
      </c>
      <c r="G700" s="15"/>
    </row>
    <row r="701" spans="1:7" ht="12.75">
      <c r="A701" s="16" t="s">
        <v>24</v>
      </c>
      <c r="B701" s="3"/>
      <c r="C701" s="3"/>
      <c r="D701" s="4"/>
      <c r="E701" s="15"/>
      <c r="F701" s="17">
        <f>ROUND(F700+F699,2)</f>
        <v>29.77</v>
      </c>
      <c r="G701" s="15"/>
    </row>
    <row r="702" spans="1:7" ht="12.75">
      <c r="A702" s="18" t="str">
        <f>CONCATENATE("Say ₹ ",F690," + ",F701," x Cost Index")</f>
        <v>Say ₹ 32.52 + 29.77 x Cost Index</v>
      </c>
      <c r="B702" s="3"/>
      <c r="C702" s="3"/>
      <c r="D702" s="3"/>
      <c r="E702" s="3"/>
      <c r="F702" s="3"/>
      <c r="G702" s="4"/>
    </row>
    <row r="703" spans="1:7" ht="12.75">
      <c r="A703" s="1" t="s">
        <v>0</v>
      </c>
      <c r="B703" s="1" t="s">
        <v>1</v>
      </c>
      <c r="C703" s="2" t="s">
        <v>2</v>
      </c>
      <c r="D703" s="3"/>
      <c r="E703" s="4"/>
      <c r="F703" s="2" t="s">
        <v>3</v>
      </c>
      <c r="G703" s="4"/>
    </row>
    <row r="704" spans="1:7" ht="12.75">
      <c r="A704" s="5"/>
      <c r="B704" s="5"/>
      <c r="C704" s="6" t="s">
        <v>4</v>
      </c>
      <c r="D704" s="6" t="s">
        <v>5</v>
      </c>
      <c r="E704" s="6" t="s">
        <v>6</v>
      </c>
      <c r="F704" s="6" t="s">
        <v>7</v>
      </c>
      <c r="G704" s="6" t="s">
        <v>8</v>
      </c>
    </row>
    <row r="705" spans="1:7" ht="12.75">
      <c r="A705" s="24" t="s">
        <v>119</v>
      </c>
      <c r="B705" s="3"/>
      <c r="C705" s="3"/>
      <c r="D705" s="3"/>
      <c r="E705" s="3"/>
      <c r="F705" s="3"/>
      <c r="G705" s="4"/>
    </row>
    <row r="706" spans="1:7" ht="12.75">
      <c r="A706" s="8"/>
      <c r="B706" s="8" t="s">
        <v>10</v>
      </c>
      <c r="C706" s="8" t="s">
        <v>11</v>
      </c>
      <c r="D706" s="8" t="s">
        <v>12</v>
      </c>
      <c r="E706" s="9">
        <v>1</v>
      </c>
      <c r="F706" s="10"/>
      <c r="G706" s="4"/>
    </row>
    <row r="707" spans="1:7" ht="12.75">
      <c r="A707" s="8" t="s">
        <v>13</v>
      </c>
      <c r="B707" s="10" t="s">
        <v>14</v>
      </c>
      <c r="C707" s="3"/>
      <c r="D707" s="3"/>
      <c r="E707" s="3"/>
      <c r="F707" s="3"/>
      <c r="G707" s="4"/>
    </row>
    <row r="708" spans="1:7" ht="12.75">
      <c r="A708" s="11" t="s">
        <v>15</v>
      </c>
      <c r="B708" s="3"/>
      <c r="C708" s="3"/>
      <c r="D708" s="3"/>
      <c r="E708" s="3"/>
      <c r="F708" s="4"/>
      <c r="G708" s="12" t="s">
        <v>16</v>
      </c>
    </row>
    <row r="709" spans="1:7" ht="12.75">
      <c r="A709" s="13"/>
      <c r="B709" s="13" t="s">
        <v>120</v>
      </c>
      <c r="C709" s="10" t="s">
        <v>121</v>
      </c>
      <c r="D709" s="3"/>
      <c r="E709" s="4"/>
      <c r="F709" s="10"/>
      <c r="G709" s="4"/>
    </row>
    <row r="710" spans="1:7" ht="12.75">
      <c r="A710" s="5"/>
      <c r="B710" s="5"/>
      <c r="C710" s="8" t="s">
        <v>19</v>
      </c>
      <c r="D710" s="9">
        <v>1</v>
      </c>
      <c r="E710" s="9">
        <v>56</v>
      </c>
      <c r="F710" s="9">
        <f>D710*E710</f>
        <v>56</v>
      </c>
      <c r="G710" s="8" t="s">
        <v>20</v>
      </c>
    </row>
    <row r="711" spans="1:7" ht="12.75">
      <c r="A711" s="14" t="s">
        <v>21</v>
      </c>
      <c r="B711" s="3"/>
      <c r="C711" s="4"/>
      <c r="D711" s="9">
        <v>1</v>
      </c>
      <c r="E711" s="15" t="s">
        <v>11</v>
      </c>
      <c r="F711" s="9">
        <f>F710</f>
        <v>56</v>
      </c>
      <c r="G711" s="8"/>
    </row>
    <row r="712" spans="1:7" ht="12.75">
      <c r="A712" s="14" t="s">
        <v>22</v>
      </c>
      <c r="B712" s="3"/>
      <c r="C712" s="4"/>
      <c r="D712" s="9">
        <v>1</v>
      </c>
      <c r="E712" s="15" t="s">
        <v>11</v>
      </c>
      <c r="F712" s="9">
        <f>F711/D711</f>
        <v>56</v>
      </c>
      <c r="G712" s="8"/>
    </row>
    <row r="713" spans="1:7" ht="12.75">
      <c r="A713" s="16" t="s">
        <v>23</v>
      </c>
      <c r="B713" s="3"/>
      <c r="C713" s="3"/>
      <c r="D713" s="4"/>
      <c r="E713" s="9"/>
      <c r="F713" s="9">
        <f>F712*1%</f>
        <v>0.56</v>
      </c>
      <c r="G713" s="8"/>
    </row>
    <row r="714" spans="1:7" ht="12.75">
      <c r="A714" s="16" t="s">
        <v>24</v>
      </c>
      <c r="B714" s="3"/>
      <c r="C714" s="3"/>
      <c r="D714" s="4"/>
      <c r="E714" s="15"/>
      <c r="F714" s="9">
        <f>F713+F712</f>
        <v>56.56</v>
      </c>
      <c r="G714" s="8"/>
    </row>
    <row r="715" spans="1:7" ht="12.75">
      <c r="A715" s="16" t="s">
        <v>25</v>
      </c>
      <c r="B715" s="3"/>
      <c r="C715" s="3"/>
      <c r="D715" s="4"/>
      <c r="E715" s="9"/>
      <c r="F715" s="9">
        <f>F714*15%</f>
        <v>8.484</v>
      </c>
      <c r="G715" s="8"/>
    </row>
    <row r="716" spans="1:7" ht="12.75">
      <c r="A716" s="16" t="s">
        <v>24</v>
      </c>
      <c r="B716" s="3"/>
      <c r="C716" s="3"/>
      <c r="D716" s="4"/>
      <c r="E716" s="15"/>
      <c r="F716" s="17">
        <f>ROUND(F715+F714,2)</f>
        <v>65.04</v>
      </c>
      <c r="G716" s="8"/>
    </row>
    <row r="717" spans="1:7" ht="12.75">
      <c r="A717" s="11" t="s">
        <v>26</v>
      </c>
      <c r="B717" s="3"/>
      <c r="C717" s="3"/>
      <c r="D717" s="3"/>
      <c r="E717" s="3"/>
      <c r="F717" s="4"/>
      <c r="G717" s="12" t="s">
        <v>27</v>
      </c>
    </row>
    <row r="718" spans="1:7" ht="12.75">
      <c r="A718" s="13">
        <v>9999</v>
      </c>
      <c r="B718" s="13"/>
      <c r="C718" s="10" t="s">
        <v>28</v>
      </c>
      <c r="D718" s="3"/>
      <c r="E718" s="4"/>
      <c r="F718" s="10"/>
      <c r="G718" s="4"/>
    </row>
    <row r="719" spans="1:7" ht="12.75">
      <c r="A719" s="5"/>
      <c r="B719" s="5"/>
      <c r="C719" s="8" t="s">
        <v>29</v>
      </c>
      <c r="D719" s="9">
        <v>2.73</v>
      </c>
      <c r="E719" s="9">
        <v>2.12</v>
      </c>
      <c r="F719" s="9">
        <f>D719*E719</f>
        <v>5.7876000000000003</v>
      </c>
      <c r="G719" s="8" t="s">
        <v>30</v>
      </c>
    </row>
    <row r="720" spans="1:7" ht="12.75">
      <c r="A720" s="13">
        <v>9999</v>
      </c>
      <c r="B720" s="13"/>
      <c r="C720" s="10" t="s">
        <v>31</v>
      </c>
      <c r="D720" s="3"/>
      <c r="E720" s="4"/>
      <c r="F720" s="10"/>
      <c r="G720" s="4"/>
    </row>
    <row r="721" spans="1:7" ht="12.75">
      <c r="A721" s="5"/>
      <c r="B721" s="5"/>
      <c r="C721" s="8" t="s">
        <v>29</v>
      </c>
      <c r="D721" s="9">
        <v>10.79</v>
      </c>
      <c r="E721" s="9">
        <v>2.12</v>
      </c>
      <c r="F721" s="9">
        <f>D721*E721</f>
        <v>22.8748</v>
      </c>
      <c r="G721" s="8" t="s">
        <v>32</v>
      </c>
    </row>
    <row r="722" spans="1:7" ht="12.75">
      <c r="A722" s="14" t="s">
        <v>24</v>
      </c>
      <c r="B722" s="3"/>
      <c r="C722" s="4"/>
      <c r="D722" s="9">
        <v>1</v>
      </c>
      <c r="E722" s="15" t="s">
        <v>11</v>
      </c>
      <c r="F722" s="9">
        <f>F721+F719</f>
        <v>28.662400000000002</v>
      </c>
      <c r="G722" s="15"/>
    </row>
    <row r="723" spans="1:7" ht="12.75">
      <c r="A723" s="14" t="s">
        <v>22</v>
      </c>
      <c r="B723" s="3"/>
      <c r="C723" s="4"/>
      <c r="D723" s="9">
        <v>1</v>
      </c>
      <c r="E723" s="15" t="s">
        <v>11</v>
      </c>
      <c r="F723" s="9">
        <f>F722/D722</f>
        <v>28.662400000000002</v>
      </c>
      <c r="G723" s="15"/>
    </row>
    <row r="724" spans="1:7" ht="12.75">
      <c r="A724" s="16" t="s">
        <v>23</v>
      </c>
      <c r="B724" s="3"/>
      <c r="C724" s="3"/>
      <c r="D724" s="4"/>
      <c r="E724" s="9">
        <v>44.63</v>
      </c>
      <c r="F724" s="9">
        <f>F723*1%</f>
        <v>0.28662399999999999</v>
      </c>
      <c r="G724" s="15"/>
    </row>
    <row r="725" spans="1:7" ht="12.75">
      <c r="A725" s="16" t="s">
        <v>24</v>
      </c>
      <c r="B725" s="3"/>
      <c r="C725" s="3"/>
      <c r="D725" s="4"/>
      <c r="E725" s="15"/>
      <c r="F725" s="9">
        <f>F724+F723</f>
        <v>28.949024000000001</v>
      </c>
      <c r="G725" s="15"/>
    </row>
    <row r="726" spans="1:7" ht="12.75">
      <c r="A726" s="16" t="s">
        <v>25</v>
      </c>
      <c r="B726" s="3"/>
      <c r="C726" s="3"/>
      <c r="D726" s="4"/>
      <c r="E726" s="9">
        <v>45.08</v>
      </c>
      <c r="F726" s="9">
        <f>F725*15%</f>
        <v>4.3423536</v>
      </c>
      <c r="G726" s="15"/>
    </row>
    <row r="727" spans="1:7" ht="12.75">
      <c r="A727" s="16" t="s">
        <v>24</v>
      </c>
      <c r="B727" s="3"/>
      <c r="C727" s="3"/>
      <c r="D727" s="4"/>
      <c r="E727" s="15"/>
      <c r="F727" s="17">
        <f>ROUND(F726+F725,2)</f>
        <v>33.29</v>
      </c>
      <c r="G727" s="15"/>
    </row>
    <row r="728" spans="1:7" ht="12.75">
      <c r="A728" s="18" t="str">
        <f>CONCATENATE("Say ₹ ",F716," + ",F727," x Cost Index")</f>
        <v>Say ₹ 65.04 + 33.29 x Cost Index</v>
      </c>
      <c r="B728" s="3"/>
      <c r="C728" s="3"/>
      <c r="D728" s="3"/>
      <c r="E728" s="3"/>
      <c r="F728" s="3"/>
      <c r="G728" s="4"/>
    </row>
  </sheetData>
  <mergeCells count="952">
    <mergeCell ref="A23:D23"/>
    <mergeCell ref="A24:D24"/>
    <mergeCell ref="A25:D25"/>
    <mergeCell ref="A26:G26"/>
    <mergeCell ref="A27:A28"/>
    <mergeCell ref="B27:B28"/>
    <mergeCell ref="F27:G27"/>
    <mergeCell ref="C27:E27"/>
    <mergeCell ref="A29:G29"/>
    <mergeCell ref="F30:G30"/>
    <mergeCell ref="B31:G31"/>
    <mergeCell ref="A32:F32"/>
    <mergeCell ref="A33:A34"/>
    <mergeCell ref="B33:B34"/>
    <mergeCell ref="C7:E7"/>
    <mergeCell ref="F7:G7"/>
    <mergeCell ref="B1:B2"/>
    <mergeCell ref="C1:E1"/>
    <mergeCell ref="F1:G1"/>
    <mergeCell ref="A3:G3"/>
    <mergeCell ref="F4:G4"/>
    <mergeCell ref="B5:G5"/>
    <mergeCell ref="A6:F6"/>
    <mergeCell ref="A1:A2"/>
    <mergeCell ref="A7:A8"/>
    <mergeCell ref="B7:B8"/>
    <mergeCell ref="A9:C9"/>
    <mergeCell ref="A10:C10"/>
    <mergeCell ref="A11:D11"/>
    <mergeCell ref="A12:D12"/>
    <mergeCell ref="A13:D13"/>
    <mergeCell ref="A14:D14"/>
    <mergeCell ref="A15:F15"/>
    <mergeCell ref="A16:A17"/>
    <mergeCell ref="B16:B17"/>
    <mergeCell ref="C16:E16"/>
    <mergeCell ref="F16:G16"/>
    <mergeCell ref="A18:A19"/>
    <mergeCell ref="B18:B19"/>
    <mergeCell ref="C18:E18"/>
    <mergeCell ref="F18:G18"/>
    <mergeCell ref="A20:C20"/>
    <mergeCell ref="A21:C21"/>
    <mergeCell ref="A22:D22"/>
    <mergeCell ref="C33:E33"/>
    <mergeCell ref="F33:G33"/>
    <mergeCell ref="C42:E42"/>
    <mergeCell ref="F42:G42"/>
    <mergeCell ref="F53:G53"/>
    <mergeCell ref="A55:G55"/>
    <mergeCell ref="F56:G56"/>
    <mergeCell ref="B57:G57"/>
    <mergeCell ref="A58:F58"/>
    <mergeCell ref="A59:A60"/>
    <mergeCell ref="B59:B60"/>
    <mergeCell ref="A61:C61"/>
    <mergeCell ref="A62:C62"/>
    <mergeCell ref="A63:D63"/>
    <mergeCell ref="A64:D64"/>
    <mergeCell ref="A65:D65"/>
    <mergeCell ref="A66:D66"/>
    <mergeCell ref="A67:F67"/>
    <mergeCell ref="A35:C35"/>
    <mergeCell ref="A36:C36"/>
    <mergeCell ref="A37:D37"/>
    <mergeCell ref="A38:D38"/>
    <mergeCell ref="A39:D39"/>
    <mergeCell ref="A40:D40"/>
    <mergeCell ref="A41:F41"/>
    <mergeCell ref="A42:A43"/>
    <mergeCell ref="B42:B43"/>
    <mergeCell ref="A44:A45"/>
    <mergeCell ref="B44:B45"/>
    <mergeCell ref="C44:E44"/>
    <mergeCell ref="F44:G44"/>
    <mergeCell ref="A46:C46"/>
    <mergeCell ref="B53:B54"/>
    <mergeCell ref="C53:E53"/>
    <mergeCell ref="A47:C47"/>
    <mergeCell ref="A48:D48"/>
    <mergeCell ref="A49:D49"/>
    <mergeCell ref="A50:D50"/>
    <mergeCell ref="A51:D51"/>
    <mergeCell ref="A52:G52"/>
    <mergeCell ref="A53:A54"/>
    <mergeCell ref="C59:E59"/>
    <mergeCell ref="F59:G59"/>
    <mergeCell ref="C68:E68"/>
    <mergeCell ref="F68:G68"/>
    <mergeCell ref="C70:E70"/>
    <mergeCell ref="F70:G70"/>
    <mergeCell ref="A68:A69"/>
    <mergeCell ref="B68:B69"/>
    <mergeCell ref="A70:A71"/>
    <mergeCell ref="B70:B71"/>
    <mergeCell ref="A72:C72"/>
    <mergeCell ref="A73:C73"/>
    <mergeCell ref="A74:D74"/>
    <mergeCell ref="A75:D75"/>
    <mergeCell ref="A76:D76"/>
    <mergeCell ref="A77:D77"/>
    <mergeCell ref="A78:G78"/>
    <mergeCell ref="A79:A80"/>
    <mergeCell ref="B79:B80"/>
    <mergeCell ref="F79:G79"/>
    <mergeCell ref="C85:E85"/>
    <mergeCell ref="F85:G85"/>
    <mergeCell ref="C79:E79"/>
    <mergeCell ref="A81:G81"/>
    <mergeCell ref="F82:G82"/>
    <mergeCell ref="B83:G83"/>
    <mergeCell ref="A84:F84"/>
    <mergeCell ref="A85:A86"/>
    <mergeCell ref="B85:B86"/>
    <mergeCell ref="C94:E94"/>
    <mergeCell ref="F94:G94"/>
    <mergeCell ref="C96:E96"/>
    <mergeCell ref="F96:G96"/>
    <mergeCell ref="A87:C87"/>
    <mergeCell ref="A88:C88"/>
    <mergeCell ref="A89:D89"/>
    <mergeCell ref="A90:D90"/>
    <mergeCell ref="A91:D91"/>
    <mergeCell ref="A92:D92"/>
    <mergeCell ref="A93:F93"/>
    <mergeCell ref="A94:A95"/>
    <mergeCell ref="B94:B95"/>
    <mergeCell ref="A96:A97"/>
    <mergeCell ref="B96:B97"/>
    <mergeCell ref="A98:C98"/>
    <mergeCell ref="A99:C99"/>
    <mergeCell ref="A100:D100"/>
    <mergeCell ref="C111:E111"/>
    <mergeCell ref="F111:G111"/>
    <mergeCell ref="A127:D127"/>
    <mergeCell ref="A128:D128"/>
    <mergeCell ref="A129:D129"/>
    <mergeCell ref="A130:G130"/>
    <mergeCell ref="A131:A132"/>
    <mergeCell ref="B131:B132"/>
    <mergeCell ref="F131:G131"/>
    <mergeCell ref="C131:E131"/>
    <mergeCell ref="A133:G133"/>
    <mergeCell ref="F134:G134"/>
    <mergeCell ref="B135:G135"/>
    <mergeCell ref="A136:F136"/>
    <mergeCell ref="A137:A138"/>
    <mergeCell ref="B137:B138"/>
    <mergeCell ref="A101:D101"/>
    <mergeCell ref="A102:D102"/>
    <mergeCell ref="A103:D103"/>
    <mergeCell ref="A104:G104"/>
    <mergeCell ref="A105:A106"/>
    <mergeCell ref="B105:B106"/>
    <mergeCell ref="F105:G105"/>
    <mergeCell ref="C105:E105"/>
    <mergeCell ref="A107:G107"/>
    <mergeCell ref="F108:G108"/>
    <mergeCell ref="B109:G109"/>
    <mergeCell ref="A110:F110"/>
    <mergeCell ref="A111:A112"/>
    <mergeCell ref="B111:B112"/>
    <mergeCell ref="C120:E120"/>
    <mergeCell ref="F120:G120"/>
    <mergeCell ref="C122:E122"/>
    <mergeCell ref="F122:G122"/>
    <mergeCell ref="A113:C113"/>
    <mergeCell ref="A114:C114"/>
    <mergeCell ref="A115:D115"/>
    <mergeCell ref="A116:D116"/>
    <mergeCell ref="A117:D117"/>
    <mergeCell ref="A118:D118"/>
    <mergeCell ref="A119:F119"/>
    <mergeCell ref="A120:A121"/>
    <mergeCell ref="B120:B121"/>
    <mergeCell ref="A122:A123"/>
    <mergeCell ref="B122:B123"/>
    <mergeCell ref="A124:C124"/>
    <mergeCell ref="A125:C125"/>
    <mergeCell ref="A126:D126"/>
    <mergeCell ref="C137:E137"/>
    <mergeCell ref="F137:G137"/>
    <mergeCell ref="C146:E146"/>
    <mergeCell ref="F146:G146"/>
    <mergeCell ref="F157:G157"/>
    <mergeCell ref="A159:G159"/>
    <mergeCell ref="F160:G160"/>
    <mergeCell ref="B161:G161"/>
    <mergeCell ref="A162:F162"/>
    <mergeCell ref="A163:A164"/>
    <mergeCell ref="B163:B164"/>
    <mergeCell ref="A165:C165"/>
    <mergeCell ref="A166:C166"/>
    <mergeCell ref="A167:D167"/>
    <mergeCell ref="A168:D168"/>
    <mergeCell ref="A169:D169"/>
    <mergeCell ref="A170:D170"/>
    <mergeCell ref="A171:F171"/>
    <mergeCell ref="A139:C139"/>
    <mergeCell ref="A140:C140"/>
    <mergeCell ref="A141:D141"/>
    <mergeCell ref="A142:D142"/>
    <mergeCell ref="A143:D143"/>
    <mergeCell ref="A144:D144"/>
    <mergeCell ref="A145:F145"/>
    <mergeCell ref="A146:A147"/>
    <mergeCell ref="B146:B147"/>
    <mergeCell ref="A148:A149"/>
    <mergeCell ref="B148:B149"/>
    <mergeCell ref="C148:E148"/>
    <mergeCell ref="F148:G148"/>
    <mergeCell ref="A150:C150"/>
    <mergeCell ref="B157:B158"/>
    <mergeCell ref="C157:E157"/>
    <mergeCell ref="A151:C151"/>
    <mergeCell ref="A152:D152"/>
    <mergeCell ref="A153:D153"/>
    <mergeCell ref="A154:D154"/>
    <mergeCell ref="A155:D155"/>
    <mergeCell ref="A156:G156"/>
    <mergeCell ref="A157:A158"/>
    <mergeCell ref="C163:E163"/>
    <mergeCell ref="F163:G163"/>
    <mergeCell ref="C172:E172"/>
    <mergeCell ref="F172:G172"/>
    <mergeCell ref="C174:E174"/>
    <mergeCell ref="F174:G174"/>
    <mergeCell ref="A172:A173"/>
    <mergeCell ref="B172:B173"/>
    <mergeCell ref="A174:A175"/>
    <mergeCell ref="B174:B175"/>
    <mergeCell ref="A176:C176"/>
    <mergeCell ref="A177:C177"/>
    <mergeCell ref="A178:D178"/>
    <mergeCell ref="A179:D179"/>
    <mergeCell ref="A180:D180"/>
    <mergeCell ref="A181:D181"/>
    <mergeCell ref="A182:G182"/>
    <mergeCell ref="A183:A184"/>
    <mergeCell ref="B183:B184"/>
    <mergeCell ref="F183:G183"/>
    <mergeCell ref="C189:E189"/>
    <mergeCell ref="F189:G189"/>
    <mergeCell ref="C183:E183"/>
    <mergeCell ref="A185:G185"/>
    <mergeCell ref="F186:G186"/>
    <mergeCell ref="B187:G187"/>
    <mergeCell ref="A188:F188"/>
    <mergeCell ref="A189:A190"/>
    <mergeCell ref="B189:B190"/>
    <mergeCell ref="C198:E198"/>
    <mergeCell ref="F198:G198"/>
    <mergeCell ref="C200:E200"/>
    <mergeCell ref="F200:G200"/>
    <mergeCell ref="A191:C191"/>
    <mergeCell ref="A192:C192"/>
    <mergeCell ref="A193:D193"/>
    <mergeCell ref="A194:D194"/>
    <mergeCell ref="A195:D195"/>
    <mergeCell ref="A196:D196"/>
    <mergeCell ref="A197:F197"/>
    <mergeCell ref="A198:A199"/>
    <mergeCell ref="B198:B199"/>
    <mergeCell ref="A200:A201"/>
    <mergeCell ref="B200:B201"/>
    <mergeCell ref="A202:C202"/>
    <mergeCell ref="A203:C203"/>
    <mergeCell ref="A204:D204"/>
    <mergeCell ref="C215:E215"/>
    <mergeCell ref="F215:G215"/>
    <mergeCell ref="A231:D231"/>
    <mergeCell ref="A232:D232"/>
    <mergeCell ref="A233:D233"/>
    <mergeCell ref="A234:G234"/>
    <mergeCell ref="A235:A236"/>
    <mergeCell ref="B235:B236"/>
    <mergeCell ref="F235:G235"/>
    <mergeCell ref="C235:E235"/>
    <mergeCell ref="A237:G237"/>
    <mergeCell ref="F238:G238"/>
    <mergeCell ref="B239:G239"/>
    <mergeCell ref="A240:F240"/>
    <mergeCell ref="A241:A242"/>
    <mergeCell ref="B241:B242"/>
    <mergeCell ref="A205:D205"/>
    <mergeCell ref="A206:D206"/>
    <mergeCell ref="A207:D207"/>
    <mergeCell ref="A208:G208"/>
    <mergeCell ref="A209:A210"/>
    <mergeCell ref="B209:B210"/>
    <mergeCell ref="F209:G209"/>
    <mergeCell ref="C209:E209"/>
    <mergeCell ref="A211:G211"/>
    <mergeCell ref="F212:G212"/>
    <mergeCell ref="B213:G213"/>
    <mergeCell ref="A214:F214"/>
    <mergeCell ref="A215:A216"/>
    <mergeCell ref="B215:B216"/>
    <mergeCell ref="C224:E224"/>
    <mergeCell ref="F224:G224"/>
    <mergeCell ref="C226:E226"/>
    <mergeCell ref="F226:G226"/>
    <mergeCell ref="A217:C217"/>
    <mergeCell ref="A218:C218"/>
    <mergeCell ref="A219:D219"/>
    <mergeCell ref="A220:D220"/>
    <mergeCell ref="A221:D221"/>
    <mergeCell ref="A222:D222"/>
    <mergeCell ref="A223:F223"/>
    <mergeCell ref="A224:A225"/>
    <mergeCell ref="B224:B225"/>
    <mergeCell ref="A226:A227"/>
    <mergeCell ref="B226:B227"/>
    <mergeCell ref="A228:C228"/>
    <mergeCell ref="A229:C229"/>
    <mergeCell ref="A230:D230"/>
    <mergeCell ref="C241:E241"/>
    <mergeCell ref="F241:G241"/>
    <mergeCell ref="C250:E250"/>
    <mergeCell ref="F250:G250"/>
    <mergeCell ref="F261:G261"/>
    <mergeCell ref="A263:G263"/>
    <mergeCell ref="F264:G264"/>
    <mergeCell ref="B265:G265"/>
    <mergeCell ref="A266:F266"/>
    <mergeCell ref="A267:A268"/>
    <mergeCell ref="B267:B268"/>
    <mergeCell ref="A269:C269"/>
    <mergeCell ref="A270:C270"/>
    <mergeCell ref="A271:D271"/>
    <mergeCell ref="A272:D272"/>
    <mergeCell ref="A273:D273"/>
    <mergeCell ref="A274:D274"/>
    <mergeCell ref="A275:F275"/>
    <mergeCell ref="A243:C243"/>
    <mergeCell ref="A244:C244"/>
    <mergeCell ref="A245:D245"/>
    <mergeCell ref="A246:D246"/>
    <mergeCell ref="A247:D247"/>
    <mergeCell ref="A248:D248"/>
    <mergeCell ref="A249:F249"/>
    <mergeCell ref="A250:A251"/>
    <mergeCell ref="B250:B251"/>
    <mergeCell ref="A252:A253"/>
    <mergeCell ref="B252:B253"/>
    <mergeCell ref="C252:E252"/>
    <mergeCell ref="F252:G252"/>
    <mergeCell ref="A254:C254"/>
    <mergeCell ref="B261:B262"/>
    <mergeCell ref="C261:E261"/>
    <mergeCell ref="A255:C255"/>
    <mergeCell ref="A256:D256"/>
    <mergeCell ref="A257:D257"/>
    <mergeCell ref="A258:D258"/>
    <mergeCell ref="A259:D259"/>
    <mergeCell ref="A260:G260"/>
    <mergeCell ref="A261:A262"/>
    <mergeCell ref="C267:E267"/>
    <mergeCell ref="F267:G267"/>
    <mergeCell ref="C276:E276"/>
    <mergeCell ref="F276:G276"/>
    <mergeCell ref="C278:E278"/>
    <mergeCell ref="F278:G278"/>
    <mergeCell ref="A276:A277"/>
    <mergeCell ref="B276:B277"/>
    <mergeCell ref="A278:A279"/>
    <mergeCell ref="B278:B279"/>
    <mergeCell ref="A280:C280"/>
    <mergeCell ref="A281:C281"/>
    <mergeCell ref="A282:D282"/>
    <mergeCell ref="A439:D439"/>
    <mergeCell ref="A440:D440"/>
    <mergeCell ref="A441:D441"/>
    <mergeCell ref="A442:G442"/>
    <mergeCell ref="A443:A444"/>
    <mergeCell ref="B443:B444"/>
    <mergeCell ref="F443:G443"/>
    <mergeCell ref="C443:E443"/>
    <mergeCell ref="A445:G445"/>
    <mergeCell ref="F446:G446"/>
    <mergeCell ref="B447:G447"/>
    <mergeCell ref="A448:F448"/>
    <mergeCell ref="A449:A450"/>
    <mergeCell ref="B449:B450"/>
    <mergeCell ref="A413:D413"/>
    <mergeCell ref="A414:D414"/>
    <mergeCell ref="A415:D415"/>
    <mergeCell ref="A416:G416"/>
    <mergeCell ref="A417:A418"/>
    <mergeCell ref="B417:B418"/>
    <mergeCell ref="F417:G417"/>
    <mergeCell ref="C417:E417"/>
    <mergeCell ref="A419:G419"/>
    <mergeCell ref="F420:G420"/>
    <mergeCell ref="B421:G421"/>
    <mergeCell ref="A422:F422"/>
    <mergeCell ref="A423:A424"/>
    <mergeCell ref="B423:B424"/>
    <mergeCell ref="C432:E432"/>
    <mergeCell ref="F432:G432"/>
    <mergeCell ref="C434:E434"/>
    <mergeCell ref="F434:G434"/>
    <mergeCell ref="A425:C425"/>
    <mergeCell ref="A426:C426"/>
    <mergeCell ref="A427:D427"/>
    <mergeCell ref="A428:D428"/>
    <mergeCell ref="A429:D429"/>
    <mergeCell ref="A430:D430"/>
    <mergeCell ref="A431:F431"/>
    <mergeCell ref="A432:A433"/>
    <mergeCell ref="B432:B433"/>
    <mergeCell ref="A434:A435"/>
    <mergeCell ref="B434:B435"/>
    <mergeCell ref="A436:C436"/>
    <mergeCell ref="A437:C437"/>
    <mergeCell ref="A438:D438"/>
    <mergeCell ref="C449:E449"/>
    <mergeCell ref="F449:G449"/>
    <mergeCell ref="C458:E458"/>
    <mergeCell ref="F458:G458"/>
    <mergeCell ref="F469:G469"/>
    <mergeCell ref="A471:G471"/>
    <mergeCell ref="F472:G472"/>
    <mergeCell ref="B473:G473"/>
    <mergeCell ref="A474:F474"/>
    <mergeCell ref="A475:A476"/>
    <mergeCell ref="B475:B476"/>
    <mergeCell ref="A477:C477"/>
    <mergeCell ref="A478:C478"/>
    <mergeCell ref="A479:D479"/>
    <mergeCell ref="A480:D480"/>
    <mergeCell ref="A481:D481"/>
    <mergeCell ref="A482:D482"/>
    <mergeCell ref="A483:F483"/>
    <mergeCell ref="A451:C451"/>
    <mergeCell ref="A452:C452"/>
    <mergeCell ref="A453:D453"/>
    <mergeCell ref="A454:D454"/>
    <mergeCell ref="A455:D455"/>
    <mergeCell ref="A456:D456"/>
    <mergeCell ref="A457:F457"/>
    <mergeCell ref="A458:A459"/>
    <mergeCell ref="B458:B459"/>
    <mergeCell ref="A460:A461"/>
    <mergeCell ref="B460:B461"/>
    <mergeCell ref="C460:E460"/>
    <mergeCell ref="F460:G460"/>
    <mergeCell ref="A462:C462"/>
    <mergeCell ref="B469:B470"/>
    <mergeCell ref="C469:E469"/>
    <mergeCell ref="A463:C463"/>
    <mergeCell ref="A464:D464"/>
    <mergeCell ref="A465:D465"/>
    <mergeCell ref="A466:D466"/>
    <mergeCell ref="A467:D467"/>
    <mergeCell ref="A468:G468"/>
    <mergeCell ref="A469:A470"/>
    <mergeCell ref="C475:E475"/>
    <mergeCell ref="F475:G475"/>
    <mergeCell ref="C484:E484"/>
    <mergeCell ref="F484:G484"/>
    <mergeCell ref="C486:E486"/>
    <mergeCell ref="F486:G486"/>
    <mergeCell ref="A484:A485"/>
    <mergeCell ref="B484:B485"/>
    <mergeCell ref="A486:A487"/>
    <mergeCell ref="B486:B487"/>
    <mergeCell ref="A488:C488"/>
    <mergeCell ref="A489:C489"/>
    <mergeCell ref="A490:D490"/>
    <mergeCell ref="A283:D283"/>
    <mergeCell ref="A284:D284"/>
    <mergeCell ref="A285:D285"/>
    <mergeCell ref="A286:G286"/>
    <mergeCell ref="A287:A288"/>
    <mergeCell ref="B287:B288"/>
    <mergeCell ref="F287:G287"/>
    <mergeCell ref="C293:E293"/>
    <mergeCell ref="F293:G293"/>
    <mergeCell ref="C287:E287"/>
    <mergeCell ref="A289:G289"/>
    <mergeCell ref="F290:G290"/>
    <mergeCell ref="B291:G291"/>
    <mergeCell ref="A292:F292"/>
    <mergeCell ref="A293:A294"/>
    <mergeCell ref="B293:B294"/>
    <mergeCell ref="C302:E302"/>
    <mergeCell ref="F302:G302"/>
    <mergeCell ref="C304:E304"/>
    <mergeCell ref="F304:G304"/>
    <mergeCell ref="A295:C295"/>
    <mergeCell ref="A296:C296"/>
    <mergeCell ref="A297:D297"/>
    <mergeCell ref="A298:D298"/>
    <mergeCell ref="A299:D299"/>
    <mergeCell ref="A300:D300"/>
    <mergeCell ref="A301:F301"/>
    <mergeCell ref="A302:A303"/>
    <mergeCell ref="B302:B303"/>
    <mergeCell ref="A304:A305"/>
    <mergeCell ref="B304:B305"/>
    <mergeCell ref="A306:C306"/>
    <mergeCell ref="A307:C307"/>
    <mergeCell ref="A308:D308"/>
    <mergeCell ref="C319:E319"/>
    <mergeCell ref="F319:G319"/>
    <mergeCell ref="A335:D335"/>
    <mergeCell ref="A336:D336"/>
    <mergeCell ref="A337:D337"/>
    <mergeCell ref="A338:G338"/>
    <mergeCell ref="A339:A340"/>
    <mergeCell ref="B339:B340"/>
    <mergeCell ref="F339:G339"/>
    <mergeCell ref="C339:E339"/>
    <mergeCell ref="A341:G341"/>
    <mergeCell ref="F342:G342"/>
    <mergeCell ref="B343:G343"/>
    <mergeCell ref="A344:F344"/>
    <mergeCell ref="A345:A346"/>
    <mergeCell ref="B345:B346"/>
    <mergeCell ref="A309:D309"/>
    <mergeCell ref="A310:D310"/>
    <mergeCell ref="A311:D311"/>
    <mergeCell ref="A312:G312"/>
    <mergeCell ref="A313:A314"/>
    <mergeCell ref="B313:B314"/>
    <mergeCell ref="F313:G313"/>
    <mergeCell ref="C313:E313"/>
    <mergeCell ref="A315:G315"/>
    <mergeCell ref="F316:G316"/>
    <mergeCell ref="B317:G317"/>
    <mergeCell ref="A318:F318"/>
    <mergeCell ref="A319:A320"/>
    <mergeCell ref="B319:B320"/>
    <mergeCell ref="C328:E328"/>
    <mergeCell ref="F328:G328"/>
    <mergeCell ref="C330:E330"/>
    <mergeCell ref="F330:G330"/>
    <mergeCell ref="A321:C321"/>
    <mergeCell ref="A322:C322"/>
    <mergeCell ref="A323:D323"/>
    <mergeCell ref="A324:D324"/>
    <mergeCell ref="A325:D325"/>
    <mergeCell ref="A326:D326"/>
    <mergeCell ref="A327:F327"/>
    <mergeCell ref="A328:A329"/>
    <mergeCell ref="B328:B329"/>
    <mergeCell ref="A330:A331"/>
    <mergeCell ref="B330:B331"/>
    <mergeCell ref="A332:C332"/>
    <mergeCell ref="A333:C333"/>
    <mergeCell ref="A334:D334"/>
    <mergeCell ref="C345:E345"/>
    <mergeCell ref="F345:G345"/>
    <mergeCell ref="C354:E354"/>
    <mergeCell ref="F354:G354"/>
    <mergeCell ref="F365:G365"/>
    <mergeCell ref="A367:G367"/>
    <mergeCell ref="F368:G368"/>
    <mergeCell ref="B369:G369"/>
    <mergeCell ref="A370:F370"/>
    <mergeCell ref="A371:A372"/>
    <mergeCell ref="B371:B372"/>
    <mergeCell ref="A373:C373"/>
    <mergeCell ref="A374:C374"/>
    <mergeCell ref="A375:D375"/>
    <mergeCell ref="A376:D376"/>
    <mergeCell ref="A377:D377"/>
    <mergeCell ref="A378:D378"/>
    <mergeCell ref="A379:F379"/>
    <mergeCell ref="A347:C347"/>
    <mergeCell ref="A348:C348"/>
    <mergeCell ref="A349:D349"/>
    <mergeCell ref="A350:D350"/>
    <mergeCell ref="A351:D351"/>
    <mergeCell ref="A352:D352"/>
    <mergeCell ref="A353:F353"/>
    <mergeCell ref="A354:A355"/>
    <mergeCell ref="B354:B355"/>
    <mergeCell ref="A356:A357"/>
    <mergeCell ref="B356:B357"/>
    <mergeCell ref="C356:E356"/>
    <mergeCell ref="F356:G356"/>
    <mergeCell ref="A358:C358"/>
    <mergeCell ref="B365:B366"/>
    <mergeCell ref="C365:E365"/>
    <mergeCell ref="A359:C359"/>
    <mergeCell ref="A360:D360"/>
    <mergeCell ref="A361:D361"/>
    <mergeCell ref="A362:D362"/>
    <mergeCell ref="A363:D363"/>
    <mergeCell ref="A364:G364"/>
    <mergeCell ref="A365:A366"/>
    <mergeCell ref="C371:E371"/>
    <mergeCell ref="F371:G371"/>
    <mergeCell ref="C380:E380"/>
    <mergeCell ref="F380:G380"/>
    <mergeCell ref="C382:E382"/>
    <mergeCell ref="F382:G382"/>
    <mergeCell ref="A380:A381"/>
    <mergeCell ref="B380:B381"/>
    <mergeCell ref="A382:A383"/>
    <mergeCell ref="B382:B383"/>
    <mergeCell ref="A384:C384"/>
    <mergeCell ref="A385:C385"/>
    <mergeCell ref="A386:D386"/>
    <mergeCell ref="A387:D387"/>
    <mergeCell ref="A388:D388"/>
    <mergeCell ref="A389:D389"/>
    <mergeCell ref="A390:G390"/>
    <mergeCell ref="A391:A392"/>
    <mergeCell ref="B391:B392"/>
    <mergeCell ref="F391:G391"/>
    <mergeCell ref="C397:E397"/>
    <mergeCell ref="F397:G397"/>
    <mergeCell ref="C391:E391"/>
    <mergeCell ref="A393:G393"/>
    <mergeCell ref="F394:G394"/>
    <mergeCell ref="B395:G395"/>
    <mergeCell ref="A396:F396"/>
    <mergeCell ref="A397:A398"/>
    <mergeCell ref="B397:B398"/>
    <mergeCell ref="C406:E406"/>
    <mergeCell ref="F406:G406"/>
    <mergeCell ref="C408:E408"/>
    <mergeCell ref="F408:G408"/>
    <mergeCell ref="A399:C399"/>
    <mergeCell ref="A400:C400"/>
    <mergeCell ref="A401:D401"/>
    <mergeCell ref="A402:D402"/>
    <mergeCell ref="A403:D403"/>
    <mergeCell ref="A404:D404"/>
    <mergeCell ref="A405:F405"/>
    <mergeCell ref="A406:A407"/>
    <mergeCell ref="B406:B407"/>
    <mergeCell ref="A408:A409"/>
    <mergeCell ref="B408:B409"/>
    <mergeCell ref="A410:C410"/>
    <mergeCell ref="A411:C411"/>
    <mergeCell ref="A412:D412"/>
    <mergeCell ref="C423:E423"/>
    <mergeCell ref="F423:G423"/>
    <mergeCell ref="A491:D491"/>
    <mergeCell ref="A492:D492"/>
    <mergeCell ref="A493:D493"/>
    <mergeCell ref="A494:G494"/>
    <mergeCell ref="A495:A496"/>
    <mergeCell ref="B495:B496"/>
    <mergeCell ref="F495:G495"/>
    <mergeCell ref="C501:E501"/>
    <mergeCell ref="F501:G501"/>
    <mergeCell ref="C495:E495"/>
    <mergeCell ref="A497:G497"/>
    <mergeCell ref="F498:G498"/>
    <mergeCell ref="B499:G499"/>
    <mergeCell ref="A500:F500"/>
    <mergeCell ref="A501:A502"/>
    <mergeCell ref="B501:B502"/>
    <mergeCell ref="C510:E510"/>
    <mergeCell ref="F510:G510"/>
    <mergeCell ref="C512:E512"/>
    <mergeCell ref="F512:G512"/>
    <mergeCell ref="A503:C503"/>
    <mergeCell ref="A504:C504"/>
    <mergeCell ref="A505:D505"/>
    <mergeCell ref="A506:D506"/>
    <mergeCell ref="A507:D507"/>
    <mergeCell ref="A508:D508"/>
    <mergeCell ref="A509:F509"/>
    <mergeCell ref="A510:A511"/>
    <mergeCell ref="B510:B511"/>
    <mergeCell ref="A512:A513"/>
    <mergeCell ref="B512:B513"/>
    <mergeCell ref="A514:C514"/>
    <mergeCell ref="A515:C515"/>
    <mergeCell ref="A516:D516"/>
    <mergeCell ref="C527:E527"/>
    <mergeCell ref="F527:G527"/>
    <mergeCell ref="F677:G677"/>
    <mergeCell ref="A679:G679"/>
    <mergeCell ref="F680:G680"/>
    <mergeCell ref="B681:G681"/>
    <mergeCell ref="A682:F682"/>
    <mergeCell ref="A683:A684"/>
    <mergeCell ref="B683:B684"/>
    <mergeCell ref="A685:C685"/>
    <mergeCell ref="A686:C686"/>
    <mergeCell ref="A687:D687"/>
    <mergeCell ref="A688:D688"/>
    <mergeCell ref="A689:D689"/>
    <mergeCell ref="A690:D690"/>
    <mergeCell ref="A691:F691"/>
    <mergeCell ref="A699:D699"/>
    <mergeCell ref="A700:D700"/>
    <mergeCell ref="A701:D701"/>
    <mergeCell ref="A702:G702"/>
    <mergeCell ref="A703:A704"/>
    <mergeCell ref="B703:B704"/>
    <mergeCell ref="F703:G703"/>
    <mergeCell ref="C709:E709"/>
    <mergeCell ref="F709:G709"/>
    <mergeCell ref="C703:E703"/>
    <mergeCell ref="A705:G705"/>
    <mergeCell ref="F706:G706"/>
    <mergeCell ref="B707:G707"/>
    <mergeCell ref="A708:F708"/>
    <mergeCell ref="A709:A710"/>
    <mergeCell ref="B709:B710"/>
    <mergeCell ref="C718:E718"/>
    <mergeCell ref="F718:G718"/>
    <mergeCell ref="C720:E720"/>
    <mergeCell ref="F720:G720"/>
    <mergeCell ref="A711:C711"/>
    <mergeCell ref="A712:C712"/>
    <mergeCell ref="A713:D713"/>
    <mergeCell ref="A714:D714"/>
    <mergeCell ref="A715:D715"/>
    <mergeCell ref="A716:D716"/>
    <mergeCell ref="A717:F717"/>
    <mergeCell ref="A725:D725"/>
    <mergeCell ref="A726:D726"/>
    <mergeCell ref="A727:D727"/>
    <mergeCell ref="A728:G728"/>
    <mergeCell ref="A718:A719"/>
    <mergeCell ref="B718:B719"/>
    <mergeCell ref="A720:A721"/>
    <mergeCell ref="B720:B721"/>
    <mergeCell ref="A722:C722"/>
    <mergeCell ref="A723:C723"/>
    <mergeCell ref="A724:D724"/>
    <mergeCell ref="A659:C659"/>
    <mergeCell ref="A660:C660"/>
    <mergeCell ref="A661:D661"/>
    <mergeCell ref="A662:D662"/>
    <mergeCell ref="A663:D663"/>
    <mergeCell ref="A664:D664"/>
    <mergeCell ref="A665:F665"/>
    <mergeCell ref="A666:A667"/>
    <mergeCell ref="B666:B667"/>
    <mergeCell ref="A668:A669"/>
    <mergeCell ref="B668:B669"/>
    <mergeCell ref="C668:E668"/>
    <mergeCell ref="F668:G668"/>
    <mergeCell ref="A670:C670"/>
    <mergeCell ref="B677:B678"/>
    <mergeCell ref="C677:E677"/>
    <mergeCell ref="A671:C671"/>
    <mergeCell ref="A672:D672"/>
    <mergeCell ref="A673:D673"/>
    <mergeCell ref="A674:D674"/>
    <mergeCell ref="A675:D675"/>
    <mergeCell ref="A676:G676"/>
    <mergeCell ref="A677:A678"/>
    <mergeCell ref="C683:E683"/>
    <mergeCell ref="F683:G683"/>
    <mergeCell ref="C692:E692"/>
    <mergeCell ref="F692:G692"/>
    <mergeCell ref="C694:E694"/>
    <mergeCell ref="F694:G694"/>
    <mergeCell ref="A692:A693"/>
    <mergeCell ref="B692:B693"/>
    <mergeCell ref="A694:A695"/>
    <mergeCell ref="B694:B695"/>
    <mergeCell ref="A696:C696"/>
    <mergeCell ref="A697:C697"/>
    <mergeCell ref="A698:D698"/>
    <mergeCell ref="A543:D543"/>
    <mergeCell ref="A544:D544"/>
    <mergeCell ref="A545:D545"/>
    <mergeCell ref="A546:G546"/>
    <mergeCell ref="A547:A548"/>
    <mergeCell ref="B547:B548"/>
    <mergeCell ref="F547:G547"/>
    <mergeCell ref="C547:E547"/>
    <mergeCell ref="A549:G549"/>
    <mergeCell ref="F550:G550"/>
    <mergeCell ref="B551:G551"/>
    <mergeCell ref="A552:F552"/>
    <mergeCell ref="A553:A554"/>
    <mergeCell ref="B553:B554"/>
    <mergeCell ref="A517:D517"/>
    <mergeCell ref="A518:D518"/>
    <mergeCell ref="A519:D519"/>
    <mergeCell ref="A520:G520"/>
    <mergeCell ref="A521:A522"/>
    <mergeCell ref="B521:B522"/>
    <mergeCell ref="F521:G521"/>
    <mergeCell ref="C521:E521"/>
    <mergeCell ref="A523:G523"/>
    <mergeCell ref="F524:G524"/>
    <mergeCell ref="B525:G525"/>
    <mergeCell ref="A526:F526"/>
    <mergeCell ref="A527:A528"/>
    <mergeCell ref="B527:B528"/>
    <mergeCell ref="C536:E536"/>
    <mergeCell ref="F536:G536"/>
    <mergeCell ref="C538:E538"/>
    <mergeCell ref="F538:G538"/>
    <mergeCell ref="A529:C529"/>
    <mergeCell ref="A530:C530"/>
    <mergeCell ref="A531:D531"/>
    <mergeCell ref="A532:D532"/>
    <mergeCell ref="A533:D533"/>
    <mergeCell ref="A534:D534"/>
    <mergeCell ref="A535:F535"/>
    <mergeCell ref="A536:A537"/>
    <mergeCell ref="B536:B537"/>
    <mergeCell ref="A538:A539"/>
    <mergeCell ref="B538:B539"/>
    <mergeCell ref="A540:C540"/>
    <mergeCell ref="A541:C541"/>
    <mergeCell ref="A542:D542"/>
    <mergeCell ref="C553:E553"/>
    <mergeCell ref="F553:G553"/>
    <mergeCell ref="C562:E562"/>
    <mergeCell ref="F562:G562"/>
    <mergeCell ref="F573:G573"/>
    <mergeCell ref="A575:G575"/>
    <mergeCell ref="F576:G576"/>
    <mergeCell ref="B577:G577"/>
    <mergeCell ref="A578:F578"/>
    <mergeCell ref="A579:A580"/>
    <mergeCell ref="B579:B580"/>
    <mergeCell ref="A581:C581"/>
    <mergeCell ref="A582:C582"/>
    <mergeCell ref="A583:D583"/>
    <mergeCell ref="A584:D584"/>
    <mergeCell ref="A585:D585"/>
    <mergeCell ref="A586:D586"/>
    <mergeCell ref="A587:F587"/>
    <mergeCell ref="A555:C555"/>
    <mergeCell ref="A556:C556"/>
    <mergeCell ref="A557:D557"/>
    <mergeCell ref="A558:D558"/>
    <mergeCell ref="A559:D559"/>
    <mergeCell ref="A560:D560"/>
    <mergeCell ref="A561:F561"/>
    <mergeCell ref="A562:A563"/>
    <mergeCell ref="B562:B563"/>
    <mergeCell ref="A564:A565"/>
    <mergeCell ref="B564:B565"/>
    <mergeCell ref="C564:E564"/>
    <mergeCell ref="F564:G564"/>
    <mergeCell ref="A566:C566"/>
    <mergeCell ref="B573:B574"/>
    <mergeCell ref="C573:E573"/>
    <mergeCell ref="A567:C567"/>
    <mergeCell ref="A568:D568"/>
    <mergeCell ref="A569:D569"/>
    <mergeCell ref="A570:D570"/>
    <mergeCell ref="A571:D571"/>
    <mergeCell ref="A572:G572"/>
    <mergeCell ref="A573:A574"/>
    <mergeCell ref="C579:E579"/>
    <mergeCell ref="F579:G579"/>
    <mergeCell ref="C588:E588"/>
    <mergeCell ref="F588:G588"/>
    <mergeCell ref="C590:E590"/>
    <mergeCell ref="F590:G590"/>
    <mergeCell ref="A588:A589"/>
    <mergeCell ref="B588:B589"/>
    <mergeCell ref="A590:A591"/>
    <mergeCell ref="B590:B591"/>
    <mergeCell ref="A592:C592"/>
    <mergeCell ref="A593:C593"/>
    <mergeCell ref="A594:D594"/>
    <mergeCell ref="A595:D595"/>
    <mergeCell ref="A596:D596"/>
    <mergeCell ref="A597:D597"/>
    <mergeCell ref="A598:G598"/>
    <mergeCell ref="A599:A600"/>
    <mergeCell ref="B599:B600"/>
    <mergeCell ref="F599:G599"/>
    <mergeCell ref="C605:E605"/>
    <mergeCell ref="F605:G605"/>
    <mergeCell ref="C599:E599"/>
    <mergeCell ref="A601:G601"/>
    <mergeCell ref="F602:G602"/>
    <mergeCell ref="B603:G603"/>
    <mergeCell ref="A604:F604"/>
    <mergeCell ref="A605:A606"/>
    <mergeCell ref="B605:B606"/>
    <mergeCell ref="C614:E614"/>
    <mergeCell ref="F614:G614"/>
    <mergeCell ref="C616:E616"/>
    <mergeCell ref="F616:G616"/>
    <mergeCell ref="A607:C607"/>
    <mergeCell ref="A608:C608"/>
    <mergeCell ref="A609:D609"/>
    <mergeCell ref="A610:D610"/>
    <mergeCell ref="A611:D611"/>
    <mergeCell ref="A612:D612"/>
    <mergeCell ref="A613:F613"/>
    <mergeCell ref="A614:A615"/>
    <mergeCell ref="B614:B615"/>
    <mergeCell ref="A616:A617"/>
    <mergeCell ref="B616:B617"/>
    <mergeCell ref="A618:C618"/>
    <mergeCell ref="A619:C619"/>
    <mergeCell ref="A620:D620"/>
    <mergeCell ref="C631:E631"/>
    <mergeCell ref="F631:G631"/>
    <mergeCell ref="A647:D647"/>
    <mergeCell ref="A648:D648"/>
    <mergeCell ref="A649:D649"/>
    <mergeCell ref="A650:D650"/>
    <mergeCell ref="A651:A652"/>
    <mergeCell ref="B651:B652"/>
    <mergeCell ref="F651:G651"/>
    <mergeCell ref="C651:E651"/>
    <mergeCell ref="A653:G653"/>
    <mergeCell ref="F654:G654"/>
    <mergeCell ref="B655:G655"/>
    <mergeCell ref="A656:F656"/>
    <mergeCell ref="A657:A658"/>
    <mergeCell ref="B657:B658"/>
    <mergeCell ref="A621:D621"/>
    <mergeCell ref="A622:D622"/>
    <mergeCell ref="A623:D623"/>
    <mergeCell ref="A624:G624"/>
    <mergeCell ref="A625:A626"/>
    <mergeCell ref="B625:B626"/>
    <mergeCell ref="F625:G625"/>
    <mergeCell ref="C625:E625"/>
    <mergeCell ref="A627:G627"/>
    <mergeCell ref="F628:G628"/>
    <mergeCell ref="B629:G629"/>
    <mergeCell ref="A630:F630"/>
    <mergeCell ref="A631:A632"/>
    <mergeCell ref="B631:B632"/>
    <mergeCell ref="C640:E640"/>
    <mergeCell ref="F640:G640"/>
    <mergeCell ref="C642:E642"/>
    <mergeCell ref="F642:G642"/>
    <mergeCell ref="A633:C633"/>
    <mergeCell ref="A634:C634"/>
    <mergeCell ref="A635:D635"/>
    <mergeCell ref="A636:D636"/>
    <mergeCell ref="A637:D637"/>
    <mergeCell ref="A638:D638"/>
    <mergeCell ref="A639:F639"/>
    <mergeCell ref="A640:A641"/>
    <mergeCell ref="B640:B641"/>
    <mergeCell ref="A642:A643"/>
    <mergeCell ref="B642:B643"/>
    <mergeCell ref="A644:C644"/>
    <mergeCell ref="A645:C645"/>
    <mergeCell ref="A646:D646"/>
    <mergeCell ref="C657:E657"/>
    <mergeCell ref="F657:G657"/>
    <mergeCell ref="C666:E666"/>
    <mergeCell ref="F666:G6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