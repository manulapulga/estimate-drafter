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<sst xmlns="http://schemas.openxmlformats.org/spreadsheetml/2006/main" count="731" uniqueCount="138">
  <si>
    <t>GROUND WATER DEPARTMENT REVISED RATES FOR WATER TREATMENT PLANTS</t>
  </si>
  <si>
    <t>I.  FRP VESSEL - (Fibre Reinforced Polymer Vessel)</t>
  </si>
  <si>
    <t>(i)</t>
  </si>
  <si>
    <t xml:space="preserve">Supplying, assembling, fibre reinforced polymer vessel (FRP) size  (14" Dia 65" Height) Weight - 21 kg, Tank Volume - 150 liter, Material- Polyethylene, Max Pressure -150 PSI, Max Vacuum- 5" Hg, Max temperature-49'c, Capacity- 1000-10000 L, opening at top &amp; bottom  including hire &amp; labour charges, fittings &amp; accessories etc.complete, as per direction of Engineer-in-charge </t>
  </si>
  <si>
    <t>FRP-1465 vessel (MR)</t>
  </si>
  <si>
    <t>no</t>
  </si>
  <si>
    <t>/e</t>
  </si>
  <si>
    <t>Water charges 1%</t>
  </si>
  <si>
    <t>Total</t>
  </si>
  <si>
    <t>CPOH 15%</t>
  </si>
  <si>
    <t xml:space="preserve">Total    </t>
  </si>
  <si>
    <t>0116</t>
  </si>
  <si>
    <t>Fitter (grade I)</t>
  </si>
  <si>
    <t>day</t>
  </si>
  <si>
    <t>/day</t>
  </si>
  <si>
    <t>0114</t>
  </si>
  <si>
    <t>Beldar</t>
  </si>
  <si>
    <t>Sub Total</t>
  </si>
  <si>
    <t>(ii)</t>
  </si>
  <si>
    <t xml:space="preserve">Supplying, assembling, fibre reinforced polymer vessel (FRP) size  (16" Dia 65" Height) Weight - 22 kg, Tank Volume - 185 liter, Material- Polyethylene, Max Pressure -150 PSI, Max Vacuum- 5" Hg, Max temperature-49'c, Capacity- 1000-10000 L, opening at top &amp; bottom  including hire &amp; labour charges, fittings &amp; accessories etc.complete, as per direction of Engineer-in-charge </t>
  </si>
  <si>
    <t>FRP-1665 vessel (MR)</t>
  </si>
  <si>
    <t>(iii)</t>
  </si>
  <si>
    <t xml:space="preserve">Supplying, assembling, fibre reinforced polymer vessel (FRP) Size-(18" Dia 65" Height), Weight-30kg,  Tank Volume - 242 liter , Material- Polyethylene,  Max Pressure -150 PSI, Max Vacuum- 5" Hg, Max Temperature -49'c, Capacity- 1000-10000 L, opening at top &amp; bottom  including hire &amp; labour charges, fittings &amp; accessories etc.complete, as per direction of Engineer-in-charge </t>
  </si>
  <si>
    <t>FRP-1865 vessel   (MR)</t>
  </si>
  <si>
    <t>(iv)</t>
  </si>
  <si>
    <t xml:space="preserve">Supplying, assembling, fibre reinforced polymer vessel (FRP) Size-(21" Dia 62" Height), Weight-43kg,  Tank Volume -318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</si>
  <si>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FRP-2162 vessel (MR)</t>
  </si>
  <si>
    <t>(v)</t>
  </si>
  <si>
    <t xml:space="preserve">Supplying, assembling, fibre reinforced polymer vessel (FRP) Size-(24" Dia 72" Height), Weight-49kg,  Tank Volume -451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</si>
  <si>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FRP-2472 vessel  (MR)</t>
  </si>
  <si>
    <t>(vi)</t>
  </si>
  <si>
    <t xml:space="preserve">Supplying, assembling, fibre reinforced polymer vessel (FRP) Size-(30" Dia 72" Height), Weight-90kg,  Tank Volume -708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</si>
  <si>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FRP-3072 vessel  (MR)</t>
  </si>
  <si>
    <t>(vii)</t>
  </si>
  <si>
    <t xml:space="preserve">Supplying, assembling, fibre reinforced polymer vessel (FRP) Size-(36" Dia 72" Height), Weight-105kg,  Tank Volume -1020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</si>
  <si>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FRP-3672 vessel  (MR)</t>
  </si>
  <si>
    <t xml:space="preserve">II.  MPV- (Multi port valve)    </t>
  </si>
  <si>
    <t>Supplying, assembling, manually operated multi port valve 40 NB Material -PVC, Max pressure - 4kg/cm2,   including hire &amp; labour charges, fittings &amp; accessories etc. all complete, as per direction of Engineer-in-charge</t>
  </si>
  <si>
    <t>MPV-40 NB  (MR)</t>
  </si>
  <si>
    <t>9988</t>
  </si>
  <si>
    <t xml:space="preserve">Carriage and sundries of materials and fixing charge </t>
  </si>
  <si>
    <t>LS</t>
  </si>
  <si>
    <t>Supplying, assembling, manually operated multi port valve flower type 50NB Material -PVC, Max pressure - 4kg/cm2,   including hire &amp; labour charges, fittings &amp; accessories etc. all complete, as per direction of Engineer-in-charge</t>
  </si>
  <si>
    <t>MPV-50 NB  (MR)</t>
  </si>
  <si>
    <t>Supplying, assembling, multi port valve 65 NB Manually Material -PVC, Max pressure - 4kg/cm2,   including hire &amp; labour charges, fittings &amp; accessories etc. all complete, as per direction of Engineer-in-charge including hire &amp; labour charges, fittings &amp; accessories etc. all complete, as per direction of Engineer-in-charge</t>
  </si>
  <si>
    <t>MPV-65 NB (MR)</t>
  </si>
  <si>
    <t>III.  Distributer</t>
  </si>
  <si>
    <t>Supplying, assembling, distributer 40 NB including hire &amp; labour charges, fittings &amp; accessories etc. all complete, as per direction of Engineer-in-charge</t>
  </si>
  <si>
    <t>Distributer-40 NB  (MR)</t>
  </si>
  <si>
    <t>Supplying, assembling, distributer 50 NB including hire &amp; labour charges, fittings &amp; accessories etc. all complete, as per direction of Engineer-in-charge</t>
  </si>
  <si>
    <t>Distributer-50 NB  (MR)</t>
  </si>
  <si>
    <t>Supplying, assembling, distributer 65 NB including hire &amp; labour charges, fittings &amp; accessories etc. all complete, as per direction of Engineer-in-charge</t>
  </si>
  <si>
    <t>Distributer-65 NB (MR)</t>
  </si>
  <si>
    <t>IV.  Dosing pump</t>
  </si>
  <si>
    <t>Supplying, assembling, and fixing Electrically operated Diaphragm type dosing pump 10 lph including hire &amp; labour charges, fittings &amp; accessories etc. all complete, as per direction of Engineer-in-charge</t>
  </si>
  <si>
    <t>Dosing pump-10 lph  (MR)</t>
  </si>
  <si>
    <t>Supplying, assembling, and fixing Electrically operated Diaphragm type dosing pump 40 lph including hire &amp; labour charges, fittings &amp; accessories etc. all complete, as per direction of Engineer-in-charge</t>
  </si>
  <si>
    <t>Dosing pump-40 lph  (MR)</t>
  </si>
  <si>
    <t>V.  Feed pump</t>
  </si>
  <si>
    <t>Supplying, assembling, and fixing single Phase Pure Copper , Self priming  monoblock feed  pump 1Hp including hire &amp; labour charges, fittings &amp; accessories etc. all complete, as per direction of Engineer-in-charge</t>
  </si>
  <si>
    <t>1 HP monoblock feed pump (ISI)  (MR)</t>
  </si>
  <si>
    <t>Supplying, assembling, and fixing single Phase Pure Copper , Self priming  monoblock feed  pump 1.5Hp including hire &amp; labour charges, fittings &amp; accessories etc. all complete, as per direction of Engineer-in-charge</t>
  </si>
  <si>
    <t>1.5 HP monoblock feed pump (ISI)  (MR)</t>
  </si>
  <si>
    <t>Supplying, assembling, and fixing single Phase Pure Copper , Self priming monoblock feed  pump 2Hp including hire &amp; labour charges, fittings &amp; accessories etc. all complete, as per direction of Engineer-in-charge</t>
  </si>
  <si>
    <t>2 HP monoblock feed pump (ISI)  (MR)</t>
  </si>
  <si>
    <t>VI.  Sludge pump</t>
  </si>
  <si>
    <t>Supplying, assembling, and fixing sludge pump 1Hp, 220v, Max head 20m , 750W, Max flw 15000 lph  including hire &amp; labour charges, fittings &amp; accessories etc. all complete, as per direction of Engineer-in-charge</t>
  </si>
  <si>
    <t>1 HP sludge pump(ISI)  (MR)</t>
  </si>
  <si>
    <t>VII.  UV Plant</t>
  </si>
  <si>
    <t>Supplying, assembling, and fixing 5000 lph Stainless Steel  UV Plant including hire &amp; labour charges, fittings &amp; accessories etc. all complete, as per direction of Engineer-in-charge</t>
  </si>
  <si>
    <t>UV plant- 5000 lph  (MR)</t>
  </si>
  <si>
    <t>Supplying, assembling, and fixing 10000 lph UV Plant including hire &amp; labour charges, fittings &amp; accessories etc. all complete, as per direction of Engineer-in-charge</t>
  </si>
  <si>
    <t>UV plant- 10000 lph  (MR)</t>
  </si>
  <si>
    <t>Supplying, assembling, and fixing 15000 lph UV Plant including hire &amp; labour charges, fittings &amp; accessories etc. all complete, as per direction of Engineer-in-charge</t>
  </si>
  <si>
    <t>UV plant- 15000 lph  (MR)</t>
  </si>
  <si>
    <t>VIII.  Automatic plant controller</t>
  </si>
  <si>
    <t>Supplying, assembling, and fixing automatic treatment plant controller including automation of plant,  hire &amp; labour charges, fittings &amp; accessories etc. all complete, as per direction of Engineer-in-charge</t>
  </si>
  <si>
    <t>Full automatic controller kit   (MR)</t>
  </si>
  <si>
    <t>IX.  Pressure Gauge</t>
  </si>
  <si>
    <t>Supplying, assembling, and fixing 63mm pressure gauge including hire &amp; labour charges, fittings &amp; accessories etc. all complete, as per direction of Engineer-in-charge</t>
  </si>
  <si>
    <t>Pressure gauge- 63mm   (MR)</t>
  </si>
  <si>
    <t>X.  Filter Medium   (MR)</t>
  </si>
  <si>
    <t>Supplying and filling, Silex, Fine sand and Pressure sand including hire &amp; labour charges, carriage etc complete, as per direction of Engineer-in-charge</t>
  </si>
  <si>
    <t>Silex, Fine sand and Pressure sand- Rate for   (MR)</t>
  </si>
  <si>
    <t>Kg</t>
  </si>
  <si>
    <t>Supplying and filling, Katalox iron remover including hire &amp; labour charges, carriage etc. all complete, as per direction of Engineer-in-charge</t>
  </si>
  <si>
    <t>Katalox iron remover (MR)</t>
  </si>
  <si>
    <t>Supplying and filling, Activated carbon IV 1050 including hire &amp; labour charges, carriage etc. all complete, as per direction of Engineer-in-charge</t>
  </si>
  <si>
    <t>Activated carbon IV 1050  (MR)</t>
  </si>
  <si>
    <t>XI.  Dosing Chemicals</t>
  </si>
  <si>
    <t>Supplying and filling, liquid chlorine including hire &amp; labour charges, carriage etc. all complete, as per direction of Engineer-in-charge</t>
  </si>
  <si>
    <t>Liquid chlorine  (MR)</t>
  </si>
  <si>
    <t>kg</t>
  </si>
  <si>
    <t>/kg</t>
  </si>
  <si>
    <t>Supplying and filling, liquid alum including hire &amp; labour charges, fittings &amp; accessories etc. all complete, as per direction of Engineer-in-charge</t>
  </si>
  <si>
    <t>Liquid alum   (MR)</t>
  </si>
  <si>
    <t>XII.  Plant Installation</t>
  </si>
  <si>
    <t>Plant installation charges including labour and materials for supports, stand, PVC connection pipes, PVC valves, air valves etc complete. all complete</t>
  </si>
  <si>
    <t>1</t>
  </si>
  <si>
    <t>Materials 1</t>
  </si>
  <si>
    <t>0</t>
  </si>
  <si>
    <t>Providing and fixing PVC pipes includes jointing of pipes with one step PVC solvent cement &amp; testing of joints complete as per direction of Engineer in Charge. 
50 mm dia 10 KGF/cm2</t>
  </si>
  <si>
    <t>Material</t>
  </si>
  <si>
    <t>m</t>
  </si>
  <si>
    <t>/m</t>
  </si>
  <si>
    <t>Labour</t>
  </si>
  <si>
    <t>Providing and fixing PVC pipes includes jointing of pipes with one step PVC solvent cement &amp; testing of joints complete as per direction of Engineer in Charge. 
40 mm dia 10 KGF/cm2</t>
  </si>
  <si>
    <t>Providing and fixing PVC pipes includes jointing of pipes with one step PVC solvent cement &amp; testing of joints complete as per direction of Engineer in Charge. 
32 mm dia 10 KGF/cm2</t>
  </si>
  <si>
    <t>Providing and fixing PVC pipes includes jointing of pipes with one step PVC solvent cement &amp; testing of joints complete as per direction of Engineer in Charge. 
25 mm dia 10 KGF/cm2</t>
  </si>
  <si>
    <t>90.14.28.1</t>
  </si>
  <si>
    <t>S &amp; F Motor starters of the following ratings Single phase DOL starters for 0.25HP to 3HP motor</t>
  </si>
  <si>
    <t>Total Material</t>
  </si>
  <si>
    <t>Total Labour</t>
  </si>
  <si>
    <t>2</t>
  </si>
  <si>
    <t>Materials 2</t>
  </si>
  <si>
    <t>GWDMR123</t>
  </si>
  <si>
    <t>PVC Wiring Pipe</t>
  </si>
  <si>
    <t>10% for fittings</t>
  </si>
  <si>
    <t>GWDMR043</t>
  </si>
  <si>
    <t>PVC Ball valve 50 mm</t>
  </si>
  <si>
    <t>GWDMR042</t>
  </si>
  <si>
    <t>PVC Ball valve 40 mm</t>
  </si>
  <si>
    <t>MR11045</t>
  </si>
  <si>
    <t>Air Valve, GM, Indian Standard, Class 2, 20mm ( ¾" )</t>
  </si>
  <si>
    <t>Screw, nail, Nut &amp; Bolt etc (MR)</t>
  </si>
  <si>
    <t>Wire 4 mm (MR)</t>
  </si>
  <si>
    <t>20 W LED tube light (MR)</t>
  </si>
  <si>
    <t>252x 5 MS angle for support and stand (20m) (MR)</t>
  </si>
  <si>
    <t>3</t>
  </si>
  <si>
    <t xml:space="preserve">0160 </t>
  </si>
  <si>
    <t>Technician</t>
  </si>
  <si>
    <t>0117</t>
  </si>
  <si>
    <t>Assistant Fitter or 2nd class Fitter</t>
  </si>
  <si>
    <t xml:space="preserve"> 0114</t>
  </si>
  <si>
    <t>XIII.  Plant Maintenance/ AMC</t>
  </si>
  <si>
    <t>Plant inspection, maintenance, cleaning, back wash, sludge removal, sample collection and correction of Dosing etc complete, and water quality checking (except filling chemicals)</t>
  </si>
  <si>
    <t>Water quality checking (Govt. Approved lab)</t>
  </si>
  <si>
    <t>Conveyance and carriage charges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</si>
</sst>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6">
    <font>
      <sz val="10"/>
      <color theme="1"/>
      <name val="Arial"/>
      <family val="2"/>
    </font>
    <font>
      <b/>
      <sz val="12"/>
      <color theme="1"/>
      <name val="Cambria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49" fontId="1" fillId="2" borderId="4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49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7" fontId="1" fillId="0" borderId="13" xfId="0" applyNumberFormat="1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0" borderId="14" xfId="0" applyFont="1" applyBorder="1"/>
    <xf numFmtId="49" fontId="1" fillId="4" borderId="7" xfId="0" applyNumberFormat="1" applyFont="1" applyBorder="1" applyAlignment="1">
      <alignment horizontal="center" vertical="center" wrapText="1"/>
    </xf>
    <xf numFmtId="0" fontId="4" fillId="4" borderId="8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77" fontId="1" fillId="0" borderId="10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GI on Wall PRICE"/>
      <sheetName val="GI wo Trench"/>
      <sheetName val="GI With Trench PRICE"/>
      <sheetName val="GI Works"/>
      <sheetName val="Gravel for TWC"/>
      <sheetName val="Gutter&amp;Clamp"/>
      <sheetName val="HDPE Pipe PRICE"/>
      <sheetName val="HP Repair Labour"/>
      <sheetName val="HP Repair Spares"/>
      <sheetName val="Hydrants"/>
      <sheetName val="Iron Structure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Erection "/>
      <sheetName val="Pump Pullout"/>
      <sheetName val="PVC Fittings"/>
      <sheetName val="PVC Fittings PRICE"/>
      <sheetName val="PVC on Wall PRICE"/>
      <sheetName val="PVC wo Trench"/>
      <sheetName val="PVC With Trench"/>
      <sheetName val="PVC With Trench PRICE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5B5533-7847-43C5-AAE3-F35D64B4B9A6}">
  <dimension ref="A1:G465"/>
  <sheetViews>
    <sheetView tabSelected="1" workbookViewId="0" topLeftCell="A1"/>
  </sheetViews>
  <sheetFormatPr defaultRowHeight="12.75"/>
  <sheetData>
    <row r="1" spans="1:7" ht="12.75">
      <c r="A1" s="1" t="s">
        <v>0</v>
      </c>
      <c r="B1" s="2"/>
      <c r="C1" s="2"/>
      <c r="D1" s="2"/>
      <c r="E1" s="2"/>
      <c r="F1" s="2"/>
      <c r="G1" s="3"/>
    </row>
    <row r="2" spans="1:7" ht="12.75">
      <c r="A2" s="4" t="s">
        <v>1</v>
      </c>
      <c r="B2" s="5"/>
      <c r="C2" s="5"/>
      <c r="D2" s="5"/>
      <c r="E2" s="5"/>
      <c r="F2" s="5"/>
      <c r="G2" s="6"/>
    </row>
    <row r="3" spans="1:7" ht="12.75">
      <c r="A3" s="7" t="s">
        <v>2</v>
      </c>
      <c r="B3" s="8" t="s">
        <v>3</v>
      </c>
      <c r="C3" s="5"/>
      <c r="D3" s="5"/>
      <c r="E3" s="5"/>
      <c r="F3" s="5"/>
      <c r="G3" s="6"/>
    </row>
    <row r="4" spans="1:7" ht="12.75">
      <c r="A4" s="9"/>
      <c r="B4" s="10" t="s">
        <v>4</v>
      </c>
      <c r="C4" s="11">
        <v>1</v>
      </c>
      <c r="D4" s="11" t="s">
        <v>5</v>
      </c>
      <c r="E4" s="11">
        <v>16500</v>
      </c>
      <c r="F4" s="12" t="s">
        <v>6</v>
      </c>
      <c r="G4" s="13">
        <f>E4*C4</f>
        <v>16500</v>
      </c>
    </row>
    <row r="5" spans="1:7" ht="12.75">
      <c r="A5" s="9"/>
      <c r="B5" s="14" t="s">
        <v>7</v>
      </c>
      <c r="C5" s="11"/>
      <c r="D5" s="11"/>
      <c r="E5" s="11"/>
      <c r="F5" s="12"/>
      <c r="G5" s="13">
        <f>G4*1%</f>
        <v>165</v>
      </c>
    </row>
    <row r="6" spans="1:7" ht="12.75">
      <c r="A6" s="9"/>
      <c r="B6" s="14" t="s">
        <v>8</v>
      </c>
      <c r="C6" s="11"/>
      <c r="D6" s="11"/>
      <c r="E6" s="11"/>
      <c r="F6" s="12"/>
      <c r="G6" s="13">
        <f>SUM(G4:G5)</f>
        <v>16665</v>
      </c>
    </row>
    <row r="7" spans="1:7" ht="12.75">
      <c r="A7" s="9"/>
      <c r="B7" s="14" t="s">
        <v>9</v>
      </c>
      <c r="C7" s="11"/>
      <c r="D7" s="11"/>
      <c r="E7" s="11"/>
      <c r="F7" s="12"/>
      <c r="G7" s="13">
        <f>G6*15%</f>
        <v>2499.75</v>
      </c>
    </row>
    <row r="8" spans="1:7" ht="12.75">
      <c r="A8" s="9"/>
      <c r="B8" s="15" t="s">
        <v>10</v>
      </c>
      <c r="C8" s="16"/>
      <c r="D8" s="17"/>
      <c r="E8" s="17"/>
      <c r="F8" s="18"/>
      <c r="G8" s="19">
        <f>ROUND(SUM(G6:G7),2)</f>
        <v>19164.75</v>
      </c>
    </row>
    <row r="9" spans="1:7" ht="12.75">
      <c r="A9" s="9" t="s">
        <v>11</v>
      </c>
      <c r="B9" s="10" t="s">
        <v>12</v>
      </c>
      <c r="C9" s="11">
        <v>0.30</v>
      </c>
      <c r="D9" s="11" t="s">
        <v>13</v>
      </c>
      <c r="E9" s="11">
        <v>784</v>
      </c>
      <c r="F9" s="12" t="s">
        <v>14</v>
      </c>
      <c r="G9" s="13">
        <f>C9*E9</f>
        <v>235.20</v>
      </c>
    </row>
    <row r="10" spans="1:7" ht="12.75">
      <c r="A10" s="9" t="s">
        <v>15</v>
      </c>
      <c r="B10" s="10" t="s">
        <v>16</v>
      </c>
      <c r="C10" s="11">
        <v>0.30</v>
      </c>
      <c r="D10" s="11" t="s">
        <v>13</v>
      </c>
      <c r="E10" s="11">
        <v>645</v>
      </c>
      <c r="F10" s="12" t="s">
        <v>14</v>
      </c>
      <c r="G10" s="13">
        <f>C10*E10</f>
        <v>193.50</v>
      </c>
    </row>
    <row r="11" spans="1:7" ht="12.75">
      <c r="A11" s="9"/>
      <c r="B11" s="14" t="s">
        <v>17</v>
      </c>
      <c r="C11" s="11"/>
      <c r="D11" s="11"/>
      <c r="E11" s="11"/>
      <c r="F11" s="12"/>
      <c r="G11" s="13">
        <f>SUM(G9:G10)</f>
        <v>428.70</v>
      </c>
    </row>
    <row r="12" spans="1:7" ht="12.75">
      <c r="A12" s="9"/>
      <c r="B12" s="14" t="s">
        <v>7</v>
      </c>
      <c r="C12" s="11"/>
      <c r="D12" s="11"/>
      <c r="E12" s="11"/>
      <c r="F12" s="12"/>
      <c r="G12" s="13">
        <f>G11*0.01</f>
        <v>4.2869999999999999</v>
      </c>
    </row>
    <row r="13" spans="1:7" ht="12.75">
      <c r="A13" s="9"/>
      <c r="B13" s="14" t="s">
        <v>8</v>
      </c>
      <c r="C13" s="11"/>
      <c r="D13" s="11"/>
      <c r="E13" s="11"/>
      <c r="F13" s="12"/>
      <c r="G13" s="13">
        <f>SUM(G11:G12)</f>
        <v>432.98700000000002</v>
      </c>
    </row>
    <row r="14" spans="1:7" ht="12.75">
      <c r="A14" s="9"/>
      <c r="B14" s="14" t="s">
        <v>9</v>
      </c>
      <c r="C14" s="11"/>
      <c r="D14" s="11"/>
      <c r="E14" s="11"/>
      <c r="F14" s="12"/>
      <c r="G14" s="13">
        <f>G13*15%</f>
        <v>64.948049999999995</v>
      </c>
    </row>
    <row r="15" spans="1:7" ht="12.75">
      <c r="A15" s="9"/>
      <c r="B15" s="15" t="s">
        <v>10</v>
      </c>
      <c r="C15" s="16"/>
      <c r="D15" s="17"/>
      <c r="E15" s="17"/>
      <c r="F15" s="18"/>
      <c r="G15" s="19">
        <f>ROUND(SUM(G13:G14),2)</f>
        <v>497.94</v>
      </c>
    </row>
    <row r="16" spans="1:7" ht="12.75">
      <c r="A16" s="20" t="str">
        <f>CONCATENATE("Say ₹ ",G8," + ",G15," x Cost Index")</f>
        <v>Say ₹ 19164.75 + 497.94 x Cost Index</v>
      </c>
      <c r="B16" s="5"/>
      <c r="C16" s="5"/>
      <c r="D16" s="5"/>
      <c r="E16" s="5"/>
      <c r="F16" s="5"/>
      <c r="G16" s="21"/>
    </row>
    <row r="17" spans="1:7" ht="12.75">
      <c r="A17" s="7" t="s">
        <v>18</v>
      </c>
      <c r="B17" s="8" t="s">
        <v>19</v>
      </c>
      <c r="C17" s="5"/>
      <c r="D17" s="5"/>
      <c r="E17" s="5"/>
      <c r="F17" s="5"/>
      <c r="G17" s="6"/>
    </row>
    <row r="18" spans="1:7" ht="12.75">
      <c r="A18" s="7"/>
      <c r="B18" s="10" t="s">
        <v>20</v>
      </c>
      <c r="C18" s="11">
        <v>1</v>
      </c>
      <c r="D18" s="11" t="s">
        <v>5</v>
      </c>
      <c r="E18" s="11">
        <v>26500</v>
      </c>
      <c r="F18" s="12" t="s">
        <v>6</v>
      </c>
      <c r="G18" s="13">
        <f>E18*C18</f>
        <v>26500</v>
      </c>
    </row>
    <row r="19" spans="1:7" ht="12.75">
      <c r="A19" s="9"/>
      <c r="B19" s="14" t="s">
        <v>7</v>
      </c>
      <c r="C19" s="11"/>
      <c r="D19" s="11"/>
      <c r="E19" s="11"/>
      <c r="F19" s="12"/>
      <c r="G19" s="13">
        <f>G18*1%</f>
        <v>265</v>
      </c>
    </row>
    <row r="20" spans="1:7" ht="12.75">
      <c r="A20" s="9"/>
      <c r="B20" s="14" t="s">
        <v>8</v>
      </c>
      <c r="C20" s="11"/>
      <c r="D20" s="11"/>
      <c r="E20" s="11"/>
      <c r="F20" s="12"/>
      <c r="G20" s="13">
        <f>SUM(G18:G19)</f>
        <v>26765</v>
      </c>
    </row>
    <row r="21" spans="1:7" ht="12.75">
      <c r="A21" s="9"/>
      <c r="B21" s="14" t="s">
        <v>9</v>
      </c>
      <c r="C21" s="11"/>
      <c r="D21" s="11"/>
      <c r="E21" s="11"/>
      <c r="F21" s="12"/>
      <c r="G21" s="13">
        <f>G20*15%</f>
        <v>4014.75</v>
      </c>
    </row>
    <row r="22" spans="1:7" ht="12.75">
      <c r="A22" s="9"/>
      <c r="B22" s="15" t="s">
        <v>10</v>
      </c>
      <c r="C22" s="16"/>
      <c r="D22" s="17"/>
      <c r="E22" s="17"/>
      <c r="F22" s="18"/>
      <c r="G22" s="19">
        <f>ROUND(SUM(G20:G21),2)</f>
        <v>30779.75</v>
      </c>
    </row>
    <row r="23" spans="1:7" ht="12.75">
      <c r="A23" s="9" t="s">
        <v>11</v>
      </c>
      <c r="B23" s="10" t="s">
        <v>12</v>
      </c>
      <c r="C23" s="11">
        <v>0.30</v>
      </c>
      <c r="D23" s="11" t="s">
        <v>13</v>
      </c>
      <c r="E23" s="11">
        <v>784</v>
      </c>
      <c r="F23" s="12" t="s">
        <v>14</v>
      </c>
      <c r="G23" s="13">
        <f>C23*E23</f>
        <v>235.20</v>
      </c>
    </row>
    <row r="24" spans="1:7" ht="12.75">
      <c r="A24" s="9" t="s">
        <v>15</v>
      </c>
      <c r="B24" s="10" t="s">
        <v>16</v>
      </c>
      <c r="C24" s="11">
        <v>0.30</v>
      </c>
      <c r="D24" s="11" t="s">
        <v>13</v>
      </c>
      <c r="E24" s="11">
        <v>645</v>
      </c>
      <c r="F24" s="12" t="s">
        <v>14</v>
      </c>
      <c r="G24" s="13">
        <f>C24*E24</f>
        <v>193.50</v>
      </c>
    </row>
    <row r="25" spans="1:7" ht="12.75">
      <c r="A25" s="9"/>
      <c r="B25" s="14" t="s">
        <v>17</v>
      </c>
      <c r="C25" s="11"/>
      <c r="D25" s="11"/>
      <c r="E25" s="11"/>
      <c r="F25" s="12"/>
      <c r="G25" s="13">
        <f>SUM(G23:G24)</f>
        <v>428.70</v>
      </c>
    </row>
    <row r="26" spans="1:7" ht="12.75">
      <c r="A26" s="9"/>
      <c r="B26" s="14" t="s">
        <v>7</v>
      </c>
      <c r="C26" s="11"/>
      <c r="D26" s="11"/>
      <c r="E26" s="11"/>
      <c r="F26" s="12"/>
      <c r="G26" s="13">
        <f>G25*0.01</f>
        <v>4.2869999999999999</v>
      </c>
    </row>
    <row r="27" spans="1:7" ht="12.75">
      <c r="A27" s="9"/>
      <c r="B27" s="14" t="s">
        <v>8</v>
      </c>
      <c r="C27" s="11"/>
      <c r="D27" s="11"/>
      <c r="E27" s="11"/>
      <c r="F27" s="12"/>
      <c r="G27" s="13">
        <f>SUM(G25:G26)</f>
        <v>432.98700000000002</v>
      </c>
    </row>
    <row r="28" spans="1:7" ht="12.75">
      <c r="A28" s="9"/>
      <c r="B28" s="14" t="s">
        <v>9</v>
      </c>
      <c r="C28" s="11"/>
      <c r="D28" s="11"/>
      <c r="E28" s="11"/>
      <c r="F28" s="12"/>
      <c r="G28" s="13">
        <f>G27*15%</f>
        <v>64.948049999999995</v>
      </c>
    </row>
    <row r="29" spans="1:7" ht="12.75">
      <c r="A29" s="9"/>
      <c r="B29" s="15" t="s">
        <v>10</v>
      </c>
      <c r="C29" s="16"/>
      <c r="D29" s="17"/>
      <c r="E29" s="17"/>
      <c r="F29" s="18"/>
      <c r="G29" s="19">
        <f>ROUND(SUM(G27:G28),2)</f>
        <v>497.94</v>
      </c>
    </row>
    <row r="30" spans="1:7" ht="12.75">
      <c r="A30" s="20" t="str">
        <f>CONCATENATE("Say ₹ ",G22," + ",G29," x Cost Index")</f>
        <v>Say ₹ 30779.75 + 497.94 x Cost Index</v>
      </c>
      <c r="B30" s="5"/>
      <c r="C30" s="5"/>
      <c r="D30" s="5"/>
      <c r="E30" s="5"/>
      <c r="F30" s="5"/>
      <c r="G30" s="21"/>
    </row>
    <row r="31" spans="1:7" ht="12.75">
      <c r="A31" s="7" t="s">
        <v>21</v>
      </c>
      <c r="B31" s="8" t="s">
        <v>22</v>
      </c>
      <c r="C31" s="5"/>
      <c r="D31" s="5"/>
      <c r="E31" s="5"/>
      <c r="F31" s="5"/>
      <c r="G31" s="6"/>
    </row>
    <row r="32" spans="1:7" ht="12.75">
      <c r="A32" s="7"/>
      <c r="B32" s="10" t="s">
        <v>23</v>
      </c>
      <c r="C32" s="11">
        <v>1</v>
      </c>
      <c r="D32" s="11" t="s">
        <v>5</v>
      </c>
      <c r="E32" s="11">
        <v>36000</v>
      </c>
      <c r="F32" s="12" t="s">
        <v>6</v>
      </c>
      <c r="G32" s="13">
        <f>E32*C32</f>
        <v>36000</v>
      </c>
    </row>
    <row r="33" spans="1:7" ht="12.75">
      <c r="A33" s="9"/>
      <c r="B33" s="14" t="s">
        <v>7</v>
      </c>
      <c r="C33" s="11"/>
      <c r="D33" s="11"/>
      <c r="E33" s="11"/>
      <c r="F33" s="12"/>
      <c r="G33" s="13">
        <f>G32*1%</f>
        <v>360</v>
      </c>
    </row>
    <row r="34" spans="1:7" ht="12.75">
      <c r="A34" s="9"/>
      <c r="B34" s="14" t="s">
        <v>8</v>
      </c>
      <c r="C34" s="11"/>
      <c r="D34" s="11"/>
      <c r="E34" s="11"/>
      <c r="F34" s="12"/>
      <c r="G34" s="13">
        <f>SUM(G32:G33)</f>
        <v>36360</v>
      </c>
    </row>
    <row r="35" spans="1:7" ht="12.75">
      <c r="A35" s="9"/>
      <c r="B35" s="14" t="s">
        <v>9</v>
      </c>
      <c r="C35" s="11"/>
      <c r="D35" s="11"/>
      <c r="E35" s="11"/>
      <c r="F35" s="12"/>
      <c r="G35" s="13">
        <f>G34*15%</f>
        <v>5454</v>
      </c>
    </row>
    <row r="36" spans="1:7" ht="12.75">
      <c r="A36" s="9"/>
      <c r="B36" s="15" t="s">
        <v>10</v>
      </c>
      <c r="C36" s="16"/>
      <c r="D36" s="17"/>
      <c r="E36" s="17"/>
      <c r="F36" s="18"/>
      <c r="G36" s="19">
        <f>ROUND(SUM(G34:G35),2)</f>
        <v>41814</v>
      </c>
    </row>
    <row r="37" spans="1:7" ht="12.75">
      <c r="A37" s="9" t="s">
        <v>11</v>
      </c>
      <c r="B37" s="10" t="s">
        <v>12</v>
      </c>
      <c r="C37" s="11">
        <v>0.30</v>
      </c>
      <c r="D37" s="11" t="s">
        <v>13</v>
      </c>
      <c r="E37" s="11">
        <v>784</v>
      </c>
      <c r="F37" s="12" t="s">
        <v>14</v>
      </c>
      <c r="G37" s="13">
        <f>C37*E37</f>
        <v>235.20</v>
      </c>
    </row>
    <row r="38" spans="1:7" ht="12.75">
      <c r="A38" s="9" t="s">
        <v>15</v>
      </c>
      <c r="B38" s="10" t="s">
        <v>16</v>
      </c>
      <c r="C38" s="11">
        <v>0.30</v>
      </c>
      <c r="D38" s="11" t="s">
        <v>13</v>
      </c>
      <c r="E38" s="11">
        <v>645</v>
      </c>
      <c r="F38" s="12" t="s">
        <v>14</v>
      </c>
      <c r="G38" s="13">
        <f>C38*E38</f>
        <v>193.50</v>
      </c>
    </row>
    <row r="39" spans="1:7" ht="12.75">
      <c r="A39" s="9"/>
      <c r="B39" s="14" t="s">
        <v>17</v>
      </c>
      <c r="C39" s="11"/>
      <c r="D39" s="11"/>
      <c r="E39" s="11"/>
      <c r="F39" s="12"/>
      <c r="G39" s="13">
        <f>SUM(G37:G38)</f>
        <v>428.70</v>
      </c>
    </row>
    <row r="40" spans="1:7" ht="12.75">
      <c r="A40" s="9"/>
      <c r="B40" s="14" t="s">
        <v>7</v>
      </c>
      <c r="C40" s="11"/>
      <c r="D40" s="11"/>
      <c r="E40" s="11"/>
      <c r="F40" s="12"/>
      <c r="G40" s="13">
        <f>G39*0.01</f>
        <v>4.2869999999999999</v>
      </c>
    </row>
    <row r="41" spans="1:7" ht="12.75">
      <c r="A41" s="9"/>
      <c r="B41" s="14" t="s">
        <v>8</v>
      </c>
      <c r="C41" s="11"/>
      <c r="D41" s="11"/>
      <c r="E41" s="11"/>
      <c r="F41" s="12"/>
      <c r="G41" s="13">
        <f>SUM(G39:G40)</f>
        <v>432.98700000000002</v>
      </c>
    </row>
    <row r="42" spans="1:7" ht="12.75">
      <c r="A42" s="9"/>
      <c r="B42" s="14" t="s">
        <v>9</v>
      </c>
      <c r="C42" s="11"/>
      <c r="D42" s="11"/>
      <c r="E42" s="11"/>
      <c r="F42" s="12"/>
      <c r="G42" s="13">
        <f>G41*15%</f>
        <v>64.948049999999995</v>
      </c>
    </row>
    <row r="43" spans="1:7" ht="12.75">
      <c r="A43" s="9"/>
      <c r="B43" s="15" t="s">
        <v>10</v>
      </c>
      <c r="C43" s="16"/>
      <c r="D43" s="17"/>
      <c r="E43" s="17"/>
      <c r="F43" s="18"/>
      <c r="G43" s="19">
        <f>ROUND(SUM(G41:G42),2)</f>
        <v>497.94</v>
      </c>
    </row>
    <row r="44" spans="1:7" ht="12.75">
      <c r="A44" s="20" t="str">
        <f>CONCATENATE("Say ₹ ",G36," + ",G43," x Cost Index")</f>
        <v>Say ₹ 41814 + 497.94 x Cost Index</v>
      </c>
      <c r="B44" s="5"/>
      <c r="C44" s="5"/>
      <c r="D44" s="5"/>
      <c r="E44" s="5"/>
      <c r="F44" s="5"/>
      <c r="G44" s="21"/>
    </row>
    <row r="45" spans="1:7" ht="12.75">
      <c r="A45" s="7" t="s">
        <v>24</v>
      </c>
      <c r="B45" s="8" t="s">
        <v>25</v>
      </c>
      <c r="C45" s="5"/>
      <c r="D45" s="5"/>
      <c r="E45" s="5"/>
      <c r="F45" s="5"/>
      <c r="G45" s="6"/>
    </row>
    <row r="46" spans="1:7" ht="12.75">
      <c r="A46" s="7"/>
      <c r="B46" s="10" t="s">
        <v>26</v>
      </c>
      <c r="C46" s="11">
        <v>1</v>
      </c>
      <c r="D46" s="11" t="s">
        <v>5</v>
      </c>
      <c r="E46" s="11">
        <v>40500</v>
      </c>
      <c r="F46" s="12" t="s">
        <v>6</v>
      </c>
      <c r="G46" s="13">
        <f>E46*C46</f>
        <v>40500</v>
      </c>
    </row>
    <row r="47" spans="1:7" ht="12.75">
      <c r="A47" s="9"/>
      <c r="B47" s="14" t="s">
        <v>7</v>
      </c>
      <c r="C47" s="11"/>
      <c r="D47" s="11"/>
      <c r="E47" s="11"/>
      <c r="F47" s="12"/>
      <c r="G47" s="13">
        <f>G46*1%</f>
        <v>405</v>
      </c>
    </row>
    <row r="48" spans="1:7" ht="12.75">
      <c r="A48" s="9"/>
      <c r="B48" s="14" t="s">
        <v>8</v>
      </c>
      <c r="C48" s="11"/>
      <c r="D48" s="11"/>
      <c r="E48" s="11"/>
      <c r="F48" s="12"/>
      <c r="G48" s="13">
        <f>SUM(G46:G47)</f>
        <v>40905</v>
      </c>
    </row>
    <row r="49" spans="1:7" ht="12.75">
      <c r="A49" s="9"/>
      <c r="B49" s="14" t="s">
        <v>9</v>
      </c>
      <c r="C49" s="11"/>
      <c r="D49" s="11"/>
      <c r="E49" s="11"/>
      <c r="F49" s="12"/>
      <c r="G49" s="13">
        <f>G48*15%</f>
        <v>6135.75</v>
      </c>
    </row>
    <row r="50" spans="1:7" ht="12.75">
      <c r="A50" s="9"/>
      <c r="B50" s="15" t="s">
        <v>10</v>
      </c>
      <c r="C50" s="16"/>
      <c r="D50" s="17"/>
      <c r="E50" s="17"/>
      <c r="F50" s="18"/>
      <c r="G50" s="19">
        <f>ROUND(SUM(G48:G49),2)</f>
        <v>47040.75</v>
      </c>
    </row>
    <row r="51" spans="1:7" ht="12.75">
      <c r="A51" s="9" t="s">
        <v>11</v>
      </c>
      <c r="B51" s="10" t="s">
        <v>12</v>
      </c>
      <c r="C51" s="11">
        <v>0.30</v>
      </c>
      <c r="D51" s="11" t="s">
        <v>13</v>
      </c>
      <c r="E51" s="11">
        <v>784</v>
      </c>
      <c r="F51" s="12" t="s">
        <v>14</v>
      </c>
      <c r="G51" s="13">
        <f>C51*E51</f>
        <v>235.20</v>
      </c>
    </row>
    <row r="52" spans="1:7" ht="12.75">
      <c r="A52" s="9" t="s">
        <v>15</v>
      </c>
      <c r="B52" s="10" t="s">
        <v>16</v>
      </c>
      <c r="C52" s="11">
        <v>0.30</v>
      </c>
      <c r="D52" s="11" t="s">
        <v>13</v>
      </c>
      <c r="E52" s="11">
        <v>645</v>
      </c>
      <c r="F52" s="12" t="s">
        <v>14</v>
      </c>
      <c r="G52" s="13">
        <f>C52*E52</f>
        <v>193.50</v>
      </c>
    </row>
    <row r="53" spans="1:7" ht="12.75">
      <c r="A53" s="9"/>
      <c r="B53" s="14" t="s">
        <v>17</v>
      </c>
      <c r="C53" s="11"/>
      <c r="D53" s="11"/>
      <c r="E53" s="11"/>
      <c r="F53" s="12"/>
      <c r="G53" s="13">
        <f>SUM(G51:G52)</f>
        <v>428.70</v>
      </c>
    </row>
    <row r="54" spans="1:7" ht="12.75">
      <c r="A54" s="9"/>
      <c r="B54" s="14" t="s">
        <v>7</v>
      </c>
      <c r="C54" s="11"/>
      <c r="D54" s="11"/>
      <c r="E54" s="11"/>
      <c r="F54" s="12"/>
      <c r="G54" s="13">
        <f>G53*0.01</f>
        <v>4.2869999999999999</v>
      </c>
    </row>
    <row r="55" spans="1:7" ht="12.75">
      <c r="A55" s="9"/>
      <c r="B55" s="14" t="s">
        <v>8</v>
      </c>
      <c r="C55" s="11"/>
      <c r="D55" s="11"/>
      <c r="E55" s="11"/>
      <c r="F55" s="12"/>
      <c r="G55" s="13">
        <f>SUM(G53:G54)</f>
        <v>432.98700000000002</v>
      </c>
    </row>
    <row r="56" spans="1:7" ht="12.75">
      <c r="A56" s="9"/>
      <c r="B56" s="14" t="s">
        <v>9</v>
      </c>
      <c r="C56" s="11"/>
      <c r="D56" s="11"/>
      <c r="E56" s="11"/>
      <c r="F56" s="12"/>
      <c r="G56" s="13">
        <f>G55*15%</f>
        <v>64.948049999999995</v>
      </c>
    </row>
    <row r="57" spans="1:7" ht="12.75">
      <c r="A57" s="9"/>
      <c r="B57" s="15" t="s">
        <v>10</v>
      </c>
      <c r="C57" s="16"/>
      <c r="D57" s="17"/>
      <c r="E57" s="17"/>
      <c r="F57" s="18"/>
      <c r="G57" s="19">
        <f>ROUND(SUM(G55:G56),2)</f>
        <v>497.94</v>
      </c>
    </row>
    <row r="58" spans="1:7" ht="12.75">
      <c r="A58" s="20" t="str">
        <f>CONCATENATE("Say ₹ ",G50," + ",G57," x Cost Index")</f>
        <v>Say ₹ 47040.75 + 497.94 x Cost Index</v>
      </c>
      <c r="B58" s="5"/>
      <c r="C58" s="5"/>
      <c r="D58" s="5"/>
      <c r="E58" s="5"/>
      <c r="F58" s="5"/>
      <c r="G58" s="21"/>
    </row>
    <row r="59" spans="1:7" ht="12.75">
      <c r="A59" s="7" t="s">
        <v>27</v>
      </c>
      <c r="B59" s="8" t="s">
        <v>28</v>
      </c>
      <c r="C59" s="5"/>
      <c r="D59" s="5"/>
      <c r="E59" s="5"/>
      <c r="F59" s="5"/>
      <c r="G59" s="6"/>
    </row>
    <row r="60" spans="1:7" ht="12.75">
      <c r="A60" s="7"/>
      <c r="B60" s="10" t="s">
        <v>29</v>
      </c>
      <c r="C60" s="11">
        <v>1</v>
      </c>
      <c r="D60" s="11" t="s">
        <v>5</v>
      </c>
      <c r="E60" s="11">
        <v>49000</v>
      </c>
      <c r="F60" s="12" t="s">
        <v>6</v>
      </c>
      <c r="G60" s="13">
        <f>E60*C60</f>
        <v>49000</v>
      </c>
    </row>
    <row r="61" spans="1:7" ht="12.75">
      <c r="A61" s="9"/>
      <c r="B61" s="14" t="s">
        <v>7</v>
      </c>
      <c r="C61" s="11"/>
      <c r="D61" s="11"/>
      <c r="E61" s="11"/>
      <c r="F61" s="12"/>
      <c r="G61" s="13">
        <f>G60*1%</f>
        <v>490</v>
      </c>
    </row>
    <row r="62" spans="1:7" ht="12.75">
      <c r="A62" s="9"/>
      <c r="B62" s="14" t="s">
        <v>8</v>
      </c>
      <c r="C62" s="11"/>
      <c r="D62" s="11"/>
      <c r="E62" s="11"/>
      <c r="F62" s="12"/>
      <c r="G62" s="13">
        <f>SUM(G60:G61)</f>
        <v>49490</v>
      </c>
    </row>
    <row r="63" spans="1:7" ht="12.75">
      <c r="A63" s="9"/>
      <c r="B63" s="14" t="s">
        <v>9</v>
      </c>
      <c r="C63" s="11"/>
      <c r="D63" s="11"/>
      <c r="E63" s="11"/>
      <c r="F63" s="12"/>
      <c r="G63" s="13">
        <f>G62*15%</f>
        <v>7423.50</v>
      </c>
    </row>
    <row r="64" spans="1:7" ht="12.75">
      <c r="A64" s="9"/>
      <c r="B64" s="15" t="s">
        <v>10</v>
      </c>
      <c r="C64" s="16"/>
      <c r="D64" s="17"/>
      <c r="E64" s="17"/>
      <c r="F64" s="18"/>
      <c r="G64" s="19">
        <f>ROUND(SUM(G62:G63),2)</f>
        <v>56913.50</v>
      </c>
    </row>
    <row r="65" spans="1:7" ht="12.75">
      <c r="A65" s="9" t="s">
        <v>11</v>
      </c>
      <c r="B65" s="10" t="s">
        <v>12</v>
      </c>
      <c r="C65" s="11">
        <v>0.30</v>
      </c>
      <c r="D65" s="11" t="s">
        <v>13</v>
      </c>
      <c r="E65" s="11">
        <v>784</v>
      </c>
      <c r="F65" s="12" t="s">
        <v>14</v>
      </c>
      <c r="G65" s="13">
        <f>C65*E65</f>
        <v>235.20</v>
      </c>
    </row>
    <row r="66" spans="1:7" ht="12.75">
      <c r="A66" s="9" t="s">
        <v>15</v>
      </c>
      <c r="B66" s="10" t="s">
        <v>16</v>
      </c>
      <c r="C66" s="11">
        <v>0.40</v>
      </c>
      <c r="D66" s="11" t="s">
        <v>13</v>
      </c>
      <c r="E66" s="11">
        <v>645</v>
      </c>
      <c r="F66" s="12" t="s">
        <v>14</v>
      </c>
      <c r="G66" s="13">
        <f>C66*E66</f>
        <v>258</v>
      </c>
    </row>
    <row r="67" spans="1:7" ht="12.75">
      <c r="A67" s="9"/>
      <c r="B67" s="14" t="s">
        <v>17</v>
      </c>
      <c r="C67" s="11"/>
      <c r="D67" s="11"/>
      <c r="E67" s="11"/>
      <c r="F67" s="12"/>
      <c r="G67" s="13">
        <f>SUM(G65:G66)</f>
        <v>493.20</v>
      </c>
    </row>
    <row r="68" spans="1:7" ht="12.75">
      <c r="A68" s="9"/>
      <c r="B68" s="14" t="s">
        <v>7</v>
      </c>
      <c r="C68" s="11"/>
      <c r="D68" s="11"/>
      <c r="E68" s="11"/>
      <c r="F68" s="12"/>
      <c r="G68" s="13">
        <f>G67*0.01</f>
        <v>4.9320000000000004</v>
      </c>
    </row>
    <row r="69" spans="1:7" ht="12.75">
      <c r="A69" s="9"/>
      <c r="B69" s="14" t="s">
        <v>8</v>
      </c>
      <c r="C69" s="11"/>
      <c r="D69" s="11"/>
      <c r="E69" s="11"/>
      <c r="F69" s="12"/>
      <c r="G69" s="13">
        <f>SUM(G67:G68)</f>
        <v>498.13200000000001</v>
      </c>
    </row>
    <row r="70" spans="1:7" ht="12.75">
      <c r="A70" s="9"/>
      <c r="B70" s="14" t="s">
        <v>9</v>
      </c>
      <c r="C70" s="11"/>
      <c r="D70" s="11"/>
      <c r="E70" s="11"/>
      <c r="F70" s="12"/>
      <c r="G70" s="13">
        <f>G69*15%</f>
        <v>74.719800000000006</v>
      </c>
    </row>
    <row r="71" spans="1:7" ht="12.75">
      <c r="A71" s="9"/>
      <c r="B71" s="15" t="s">
        <v>10</v>
      </c>
      <c r="C71" s="16"/>
      <c r="D71" s="17"/>
      <c r="E71" s="17"/>
      <c r="F71" s="18"/>
      <c r="G71" s="19">
        <f>ROUND(SUM(G69:G70),2)</f>
        <v>572.85</v>
      </c>
    </row>
    <row r="72" spans="1:7" ht="12.75">
      <c r="A72" s="20" t="str">
        <f>CONCATENATE("Say ₹ ",G64," + ",G71," x Cost Index")</f>
        <v>Say ₹ 56913.5 + 572.85 x Cost Index</v>
      </c>
      <c r="B72" s="5"/>
      <c r="C72" s="5"/>
      <c r="D72" s="5"/>
      <c r="E72" s="5"/>
      <c r="F72" s="5"/>
      <c r="G72" s="21"/>
    </row>
    <row r="73" spans="1:7" ht="12.75">
      <c r="A73" s="7" t="s">
        <v>30</v>
      </c>
      <c r="B73" s="8" t="s">
        <v>31</v>
      </c>
      <c r="C73" s="5"/>
      <c r="D73" s="5"/>
      <c r="E73" s="5"/>
      <c r="F73" s="5"/>
      <c r="G73" s="6"/>
    </row>
    <row r="74" spans="1:7" ht="12.75">
      <c r="A74" s="7"/>
      <c r="B74" s="10" t="s">
        <v>32</v>
      </c>
      <c r="C74" s="11">
        <v>1</v>
      </c>
      <c r="D74" s="11" t="s">
        <v>5</v>
      </c>
      <c r="E74" s="11">
        <v>62000</v>
      </c>
      <c r="F74" s="12" t="s">
        <v>6</v>
      </c>
      <c r="G74" s="13">
        <f>E74*C74</f>
        <v>62000</v>
      </c>
    </row>
    <row r="75" spans="1:7" ht="12.75">
      <c r="A75" s="9"/>
      <c r="B75" s="14" t="s">
        <v>7</v>
      </c>
      <c r="C75" s="11"/>
      <c r="D75" s="11"/>
      <c r="E75" s="11"/>
      <c r="F75" s="12"/>
      <c r="G75" s="13">
        <f>G74*1%</f>
        <v>620</v>
      </c>
    </row>
    <row r="76" spans="1:7" ht="12.75">
      <c r="A76" s="9"/>
      <c r="B76" s="14" t="s">
        <v>8</v>
      </c>
      <c r="C76" s="11"/>
      <c r="D76" s="11"/>
      <c r="E76" s="11"/>
      <c r="F76" s="12"/>
      <c r="G76" s="13">
        <f>SUM(G74:G75)</f>
        <v>62620</v>
      </c>
    </row>
    <row r="77" spans="1:7" ht="12.75">
      <c r="A77" s="9"/>
      <c r="B77" s="14" t="s">
        <v>9</v>
      </c>
      <c r="C77" s="11"/>
      <c r="D77" s="11"/>
      <c r="E77" s="11"/>
      <c r="F77" s="12"/>
      <c r="G77" s="13">
        <f>G76*15%</f>
        <v>9393</v>
      </c>
    </row>
    <row r="78" spans="1:7" ht="12.75">
      <c r="A78" s="9"/>
      <c r="B78" s="15" t="s">
        <v>10</v>
      </c>
      <c r="C78" s="16"/>
      <c r="D78" s="17"/>
      <c r="E78" s="17"/>
      <c r="F78" s="18"/>
      <c r="G78" s="19">
        <f>ROUND(SUM(G76:G77),2)</f>
        <v>72013</v>
      </c>
    </row>
    <row r="79" spans="1:7" ht="12.75">
      <c r="A79" s="9" t="s">
        <v>11</v>
      </c>
      <c r="B79" s="10" t="s">
        <v>12</v>
      </c>
      <c r="C79" s="11">
        <v>0.50</v>
      </c>
      <c r="D79" s="11" t="s">
        <v>13</v>
      </c>
      <c r="E79" s="11">
        <v>784</v>
      </c>
      <c r="F79" s="12" t="s">
        <v>14</v>
      </c>
      <c r="G79" s="13">
        <f>C79*E79</f>
        <v>392</v>
      </c>
    </row>
    <row r="80" spans="1:7" ht="12.75">
      <c r="A80" s="9" t="s">
        <v>15</v>
      </c>
      <c r="B80" s="10" t="s">
        <v>16</v>
      </c>
      <c r="C80" s="11">
        <v>0.40</v>
      </c>
      <c r="D80" s="11" t="s">
        <v>13</v>
      </c>
      <c r="E80" s="11">
        <v>645</v>
      </c>
      <c r="F80" s="12" t="s">
        <v>14</v>
      </c>
      <c r="G80" s="13">
        <f>C80*E80</f>
        <v>258</v>
      </c>
    </row>
    <row r="81" spans="1:7" ht="12.75">
      <c r="A81" s="9"/>
      <c r="B81" s="14" t="s">
        <v>17</v>
      </c>
      <c r="C81" s="11"/>
      <c r="D81" s="11"/>
      <c r="E81" s="11"/>
      <c r="F81" s="12"/>
      <c r="G81" s="13">
        <f>SUM(G79:G80)</f>
        <v>650</v>
      </c>
    </row>
    <row r="82" spans="1:7" ht="12.75">
      <c r="A82" s="9"/>
      <c r="B82" s="14" t="s">
        <v>7</v>
      </c>
      <c r="C82" s="11"/>
      <c r="D82" s="11"/>
      <c r="E82" s="11"/>
      <c r="F82" s="12"/>
      <c r="G82" s="13">
        <f>G81*0.01</f>
        <v>6.50</v>
      </c>
    </row>
    <row r="83" spans="1:7" ht="12.75">
      <c r="A83" s="9"/>
      <c r="B83" s="14" t="s">
        <v>8</v>
      </c>
      <c r="C83" s="11"/>
      <c r="D83" s="11"/>
      <c r="E83" s="11"/>
      <c r="F83" s="12"/>
      <c r="G83" s="13">
        <f>SUM(G81:G82)</f>
        <v>656.50</v>
      </c>
    </row>
    <row r="84" spans="1:7" ht="12.75">
      <c r="A84" s="9"/>
      <c r="B84" s="14" t="s">
        <v>9</v>
      </c>
      <c r="C84" s="11"/>
      <c r="D84" s="11"/>
      <c r="E84" s="11"/>
      <c r="F84" s="12"/>
      <c r="G84" s="13">
        <f>G83*15%</f>
        <v>98.475</v>
      </c>
    </row>
    <row r="85" spans="1:7" ht="12.75">
      <c r="A85" s="9"/>
      <c r="B85" s="15" t="s">
        <v>10</v>
      </c>
      <c r="C85" s="16"/>
      <c r="D85" s="17"/>
      <c r="E85" s="17"/>
      <c r="F85" s="18"/>
      <c r="G85" s="19">
        <f>ROUND(SUM(G83:G84),2)</f>
        <v>754.98</v>
      </c>
    </row>
    <row r="86" spans="1:7" ht="12.75">
      <c r="A86" s="20" t="str">
        <f>CONCATENATE("Say ₹ ",G78," + ",G85," x Cost Index")</f>
        <v>Say ₹ 72013 + 754.98 x Cost Index</v>
      </c>
      <c r="B86" s="5"/>
      <c r="C86" s="5"/>
      <c r="D86" s="5"/>
      <c r="E86" s="5"/>
      <c r="F86" s="5"/>
      <c r="G86" s="21"/>
    </row>
    <row r="87" spans="1:7" ht="12.75">
      <c r="A87" s="7" t="s">
        <v>33</v>
      </c>
      <c r="B87" s="8" t="s">
        <v>34</v>
      </c>
      <c r="C87" s="5"/>
      <c r="D87" s="5"/>
      <c r="E87" s="5"/>
      <c r="F87" s="5"/>
      <c r="G87" s="6"/>
    </row>
    <row r="88" spans="1:7" ht="12.75">
      <c r="A88" s="7"/>
      <c r="B88" s="10" t="s">
        <v>35</v>
      </c>
      <c r="C88" s="11">
        <v>1</v>
      </c>
      <c r="D88" s="11" t="s">
        <v>5</v>
      </c>
      <c r="E88" s="11">
        <v>83000</v>
      </c>
      <c r="F88" s="12" t="s">
        <v>6</v>
      </c>
      <c r="G88" s="13">
        <f>E88*C88</f>
        <v>83000</v>
      </c>
    </row>
    <row r="89" spans="1:7" ht="12.75">
      <c r="A89" s="9"/>
      <c r="B89" s="14" t="s">
        <v>7</v>
      </c>
      <c r="C89" s="11"/>
      <c r="D89" s="11"/>
      <c r="E89" s="11"/>
      <c r="F89" s="12"/>
      <c r="G89" s="13">
        <f>G88*1%</f>
        <v>830</v>
      </c>
    </row>
    <row r="90" spans="1:7" ht="12.75">
      <c r="A90" s="9"/>
      <c r="B90" s="14" t="s">
        <v>8</v>
      </c>
      <c r="C90" s="11"/>
      <c r="D90" s="11"/>
      <c r="E90" s="11"/>
      <c r="F90" s="12"/>
      <c r="G90" s="13">
        <f>SUM(G88:G89)</f>
        <v>83830</v>
      </c>
    </row>
    <row r="91" spans="1:7" ht="12.75">
      <c r="A91" s="9"/>
      <c r="B91" s="14" t="s">
        <v>9</v>
      </c>
      <c r="C91" s="11"/>
      <c r="D91" s="11"/>
      <c r="E91" s="11"/>
      <c r="F91" s="12"/>
      <c r="G91" s="13">
        <f>G90*15%</f>
        <v>12574.50</v>
      </c>
    </row>
    <row r="92" spans="1:7" ht="12.75">
      <c r="A92" s="9"/>
      <c r="B92" s="15" t="s">
        <v>10</v>
      </c>
      <c r="C92" s="16"/>
      <c r="D92" s="17"/>
      <c r="E92" s="17"/>
      <c r="F92" s="18"/>
      <c r="G92" s="19">
        <f>ROUND(SUM(G90:G91),2)</f>
        <v>96404.50</v>
      </c>
    </row>
    <row r="93" spans="1:7" ht="12.75">
      <c r="A93" s="9" t="s">
        <v>11</v>
      </c>
      <c r="B93" s="10" t="s">
        <v>12</v>
      </c>
      <c r="C93" s="11">
        <v>0.50</v>
      </c>
      <c r="D93" s="11" t="s">
        <v>13</v>
      </c>
      <c r="E93" s="11">
        <v>784</v>
      </c>
      <c r="F93" s="12" t="s">
        <v>14</v>
      </c>
      <c r="G93" s="13">
        <f>C93*E93</f>
        <v>392</v>
      </c>
    </row>
    <row r="94" spans="1:7" ht="12.75">
      <c r="A94" s="9" t="s">
        <v>15</v>
      </c>
      <c r="B94" s="10" t="s">
        <v>16</v>
      </c>
      <c r="C94" s="11">
        <v>0.40</v>
      </c>
      <c r="D94" s="11" t="s">
        <v>13</v>
      </c>
      <c r="E94" s="11">
        <v>645</v>
      </c>
      <c r="F94" s="12" t="s">
        <v>14</v>
      </c>
      <c r="G94" s="13">
        <f>C94*E94</f>
        <v>258</v>
      </c>
    </row>
    <row r="95" spans="1:7" ht="12.75">
      <c r="A95" s="9"/>
      <c r="B95" s="14" t="s">
        <v>17</v>
      </c>
      <c r="C95" s="11"/>
      <c r="D95" s="11"/>
      <c r="E95" s="11"/>
      <c r="F95" s="12"/>
      <c r="G95" s="13">
        <f>SUM(G93:G94)</f>
        <v>650</v>
      </c>
    </row>
    <row r="96" spans="1:7" ht="12.75">
      <c r="A96" s="9"/>
      <c r="B96" s="14" t="s">
        <v>7</v>
      </c>
      <c r="C96" s="11"/>
      <c r="D96" s="11"/>
      <c r="E96" s="11"/>
      <c r="F96" s="12"/>
      <c r="G96" s="13">
        <f>G95*0.01</f>
        <v>6.50</v>
      </c>
    </row>
    <row r="97" spans="1:7" ht="12.75">
      <c r="A97" s="9"/>
      <c r="B97" s="14" t="s">
        <v>8</v>
      </c>
      <c r="C97" s="11"/>
      <c r="D97" s="11"/>
      <c r="E97" s="11"/>
      <c r="F97" s="12"/>
      <c r="G97" s="13">
        <f>SUM(G95:G96)</f>
        <v>656.50</v>
      </c>
    </row>
    <row r="98" spans="1:7" ht="12.75">
      <c r="A98" s="9"/>
      <c r="B98" s="14" t="s">
        <v>9</v>
      </c>
      <c r="C98" s="11"/>
      <c r="D98" s="11"/>
      <c r="E98" s="11"/>
      <c r="F98" s="12"/>
      <c r="G98" s="13">
        <f>G97*15%</f>
        <v>98.475</v>
      </c>
    </row>
    <row r="99" spans="1:7" ht="12.75">
      <c r="A99" s="9"/>
      <c r="B99" s="15" t="s">
        <v>10</v>
      </c>
      <c r="C99" s="16"/>
      <c r="D99" s="17"/>
      <c r="E99" s="17"/>
      <c r="F99" s="18"/>
      <c r="G99" s="19">
        <f>ROUND(SUM(G97:G98),2)</f>
        <v>754.98</v>
      </c>
    </row>
    <row r="100" spans="1:7" ht="12.75">
      <c r="A100" s="20" t="str">
        <f>CONCATENATE("Say ₹ ",G92," + ",G99," x Cost Index")</f>
        <v>Say ₹ 96404.5 + 754.98 x Cost Index</v>
      </c>
      <c r="B100" s="5"/>
      <c r="C100" s="5"/>
      <c r="D100" s="5"/>
      <c r="E100" s="5"/>
      <c r="F100" s="5"/>
      <c r="G100" s="21"/>
    </row>
    <row r="101" spans="1:7" ht="12.75">
      <c r="A101" s="4" t="s">
        <v>36</v>
      </c>
      <c r="B101" s="5"/>
      <c r="C101" s="5"/>
      <c r="D101" s="5"/>
      <c r="E101" s="5"/>
      <c r="F101" s="5"/>
      <c r="G101" s="6"/>
    </row>
    <row r="102" spans="1:7" ht="12.75">
      <c r="A102" s="7" t="s">
        <v>2</v>
      </c>
      <c r="B102" s="8" t="s">
        <v>37</v>
      </c>
      <c r="C102" s="5"/>
      <c r="D102" s="5"/>
      <c r="E102" s="5"/>
      <c r="F102" s="5"/>
      <c r="G102" s="6"/>
    </row>
    <row r="103" spans="1:7" ht="12.75">
      <c r="A103" s="7"/>
      <c r="B103" s="10" t="s">
        <v>38</v>
      </c>
      <c r="C103" s="11">
        <v>1</v>
      </c>
      <c r="D103" s="11" t="s">
        <v>5</v>
      </c>
      <c r="E103" s="11">
        <v>7677</v>
      </c>
      <c r="F103" s="12" t="s">
        <v>6</v>
      </c>
      <c r="G103" s="13">
        <f>E103*C103</f>
        <v>7677</v>
      </c>
    </row>
    <row r="104" spans="1:7" ht="12.75">
      <c r="A104" s="7"/>
      <c r="B104" s="14" t="s">
        <v>7</v>
      </c>
      <c r="C104" s="11"/>
      <c r="D104" s="11"/>
      <c r="E104" s="11"/>
      <c r="F104" s="12"/>
      <c r="G104" s="13">
        <f>G103*1%</f>
        <v>76.77</v>
      </c>
    </row>
    <row r="105" spans="1:7" ht="12.75">
      <c r="A105" s="7"/>
      <c r="B105" s="14" t="s">
        <v>8</v>
      </c>
      <c r="C105" s="11"/>
      <c r="D105" s="11"/>
      <c r="E105" s="11"/>
      <c r="F105" s="12"/>
      <c r="G105" s="13">
        <f>SUM(G103:G104)</f>
        <v>7753.77</v>
      </c>
    </row>
    <row r="106" spans="1:7" ht="12.75">
      <c r="A106" s="7"/>
      <c r="B106" s="14" t="s">
        <v>9</v>
      </c>
      <c r="C106" s="11"/>
      <c r="D106" s="11"/>
      <c r="E106" s="11"/>
      <c r="F106" s="12"/>
      <c r="G106" s="13">
        <f>G105*15%</f>
        <v>1163.0654999999999</v>
      </c>
    </row>
    <row r="107" spans="1:7" ht="12.75">
      <c r="A107" s="7"/>
      <c r="B107" s="15" t="s">
        <v>10</v>
      </c>
      <c r="C107" s="16"/>
      <c r="D107" s="17"/>
      <c r="E107" s="17"/>
      <c r="F107" s="18"/>
      <c r="G107" s="19">
        <f>ROUND(SUM(G105:G106),2)</f>
        <v>8916.84</v>
      </c>
    </row>
    <row r="108" spans="1:7" ht="12.75">
      <c r="A108" s="9" t="s">
        <v>39</v>
      </c>
      <c r="B108" s="10" t="s">
        <v>40</v>
      </c>
      <c r="C108" s="11">
        <v>15.50</v>
      </c>
      <c r="D108" s="11" t="s">
        <v>41</v>
      </c>
      <c r="E108" s="11">
        <v>2.12</v>
      </c>
      <c r="F108" s="12" t="s">
        <v>6</v>
      </c>
      <c r="G108" s="13">
        <f>C108*E108</f>
        <v>32.86</v>
      </c>
    </row>
    <row r="109" spans="1:7" ht="12.75">
      <c r="A109" s="7"/>
      <c r="B109" s="14" t="s">
        <v>17</v>
      </c>
      <c r="C109" s="11"/>
      <c r="D109" s="11"/>
      <c r="E109" s="11"/>
      <c r="F109" s="12"/>
      <c r="G109" s="13">
        <f>SUM(G108)</f>
        <v>32.86</v>
      </c>
    </row>
    <row r="110" spans="1:7" ht="12.75">
      <c r="A110" s="7"/>
      <c r="B110" s="14" t="s">
        <v>7</v>
      </c>
      <c r="C110" s="11"/>
      <c r="D110" s="11"/>
      <c r="E110" s="11"/>
      <c r="F110" s="12"/>
      <c r="G110" s="13">
        <f>G109*1%</f>
        <v>0.3286</v>
      </c>
    </row>
    <row r="111" spans="1:7" ht="12.75">
      <c r="A111" s="7"/>
      <c r="B111" s="14" t="s">
        <v>8</v>
      </c>
      <c r="C111" s="11"/>
      <c r="D111" s="11"/>
      <c r="E111" s="11"/>
      <c r="F111" s="12"/>
      <c r="G111" s="13">
        <f>SUM(G109:G110)</f>
        <v>33.188600000000001</v>
      </c>
    </row>
    <row r="112" spans="1:7" ht="12.75">
      <c r="A112" s="7"/>
      <c r="B112" s="14" t="s">
        <v>9</v>
      </c>
      <c r="C112" s="11"/>
      <c r="D112" s="11"/>
      <c r="E112" s="11"/>
      <c r="F112" s="12"/>
      <c r="G112" s="13">
        <f>G111*15%</f>
        <v>4.9782900000000003</v>
      </c>
    </row>
    <row r="113" spans="1:7" ht="12.75">
      <c r="A113" s="7"/>
      <c r="B113" s="15" t="s">
        <v>10</v>
      </c>
      <c r="C113" s="16"/>
      <c r="D113" s="17"/>
      <c r="E113" s="17"/>
      <c r="F113" s="18"/>
      <c r="G113" s="19">
        <f>ROUND(SUM(G111:G112),2)</f>
        <v>38.17</v>
      </c>
    </row>
    <row r="114" spans="1:7" ht="12.75">
      <c r="A114" s="20" t="str">
        <f>CONCATENATE("Say ₹ ",G107," + ",G113," x Cost Index")</f>
        <v>Say ₹ 8916.84 + 38.17 x Cost Index</v>
      </c>
      <c r="B114" s="5"/>
      <c r="C114" s="5"/>
      <c r="D114" s="5"/>
      <c r="E114" s="5"/>
      <c r="F114" s="5"/>
      <c r="G114" s="21"/>
    </row>
    <row r="115" spans="1:7" ht="12.75">
      <c r="A115" s="7" t="s">
        <v>18</v>
      </c>
      <c r="B115" s="8" t="s">
        <v>42</v>
      </c>
      <c r="C115" s="5"/>
      <c r="D115" s="5"/>
      <c r="E115" s="5"/>
      <c r="F115" s="5"/>
      <c r="G115" s="6"/>
    </row>
    <row r="116" spans="1:7" ht="12.75">
      <c r="A116" s="7"/>
      <c r="B116" s="10" t="s">
        <v>43</v>
      </c>
      <c r="C116" s="11">
        <v>1</v>
      </c>
      <c r="D116" s="11" t="s">
        <v>5</v>
      </c>
      <c r="E116" s="11">
        <v>9620</v>
      </c>
      <c r="F116" s="12" t="s">
        <v>6</v>
      </c>
      <c r="G116" s="13">
        <f>E116*C116</f>
        <v>9620</v>
      </c>
    </row>
    <row r="117" spans="1:7" ht="12.75">
      <c r="A117" s="7"/>
      <c r="B117" s="14" t="s">
        <v>7</v>
      </c>
      <c r="C117" s="11"/>
      <c r="D117" s="11"/>
      <c r="E117" s="11"/>
      <c r="F117" s="12"/>
      <c r="G117" s="13">
        <f>G116*1%</f>
        <v>96.20</v>
      </c>
    </row>
    <row r="118" spans="1:7" ht="12.75">
      <c r="A118" s="7"/>
      <c r="B118" s="14" t="s">
        <v>8</v>
      </c>
      <c r="C118" s="11"/>
      <c r="D118" s="11"/>
      <c r="E118" s="11"/>
      <c r="F118" s="12"/>
      <c r="G118" s="13">
        <f>SUM(G116:G117)</f>
        <v>9716.20</v>
      </c>
    </row>
    <row r="119" spans="1:7" ht="12.75">
      <c r="A119" s="7"/>
      <c r="B119" s="14" t="s">
        <v>9</v>
      </c>
      <c r="C119" s="11"/>
      <c r="D119" s="11"/>
      <c r="E119" s="11"/>
      <c r="F119" s="12"/>
      <c r="G119" s="13">
        <f>G118*15%</f>
        <v>1457.43</v>
      </c>
    </row>
    <row r="120" spans="1:7" ht="12.75">
      <c r="A120" s="7"/>
      <c r="B120" s="15" t="s">
        <v>10</v>
      </c>
      <c r="C120" s="16"/>
      <c r="D120" s="17"/>
      <c r="E120" s="17"/>
      <c r="F120" s="18"/>
      <c r="G120" s="19">
        <f>ROUND(SUM(G118:G119),2)</f>
        <v>11173.63</v>
      </c>
    </row>
    <row r="121" spans="1:7" ht="12.75">
      <c r="A121" s="9" t="s">
        <v>39</v>
      </c>
      <c r="B121" s="10" t="s">
        <v>40</v>
      </c>
      <c r="C121" s="11">
        <v>15.50</v>
      </c>
      <c r="D121" s="11" t="s">
        <v>41</v>
      </c>
      <c r="E121" s="11">
        <v>2.12</v>
      </c>
      <c r="F121" s="12" t="s">
        <v>6</v>
      </c>
      <c r="G121" s="13">
        <f>C121*E121</f>
        <v>32.86</v>
      </c>
    </row>
    <row r="122" spans="1:7" ht="12.75">
      <c r="A122" s="7"/>
      <c r="B122" s="14" t="s">
        <v>17</v>
      </c>
      <c r="C122" s="11"/>
      <c r="D122" s="11"/>
      <c r="E122" s="11"/>
      <c r="F122" s="12"/>
      <c r="G122" s="13">
        <f>SUM(G121)</f>
        <v>32.86</v>
      </c>
    </row>
    <row r="123" spans="1:7" ht="12.75">
      <c r="A123" s="7"/>
      <c r="B123" s="14" t="s">
        <v>7</v>
      </c>
      <c r="C123" s="11"/>
      <c r="D123" s="11"/>
      <c r="E123" s="11"/>
      <c r="F123" s="12"/>
      <c r="G123" s="13">
        <f>G122*1%</f>
        <v>0.3286</v>
      </c>
    </row>
    <row r="124" spans="1:7" ht="12.75">
      <c r="A124" s="7"/>
      <c r="B124" s="14" t="s">
        <v>8</v>
      </c>
      <c r="C124" s="11"/>
      <c r="D124" s="11"/>
      <c r="E124" s="11"/>
      <c r="F124" s="12"/>
      <c r="G124" s="13">
        <f>SUM(G122:G123)</f>
        <v>33.188600000000001</v>
      </c>
    </row>
    <row r="125" spans="1:7" ht="12.75">
      <c r="A125" s="7"/>
      <c r="B125" s="14" t="s">
        <v>9</v>
      </c>
      <c r="C125" s="11"/>
      <c r="D125" s="11"/>
      <c r="E125" s="11"/>
      <c r="F125" s="12"/>
      <c r="G125" s="13">
        <f>G124*15%</f>
        <v>4.9782900000000003</v>
      </c>
    </row>
    <row r="126" spans="1:7" ht="12.75">
      <c r="A126" s="7"/>
      <c r="B126" s="15" t="s">
        <v>10</v>
      </c>
      <c r="C126" s="16"/>
      <c r="D126" s="17"/>
      <c r="E126" s="17"/>
      <c r="F126" s="18"/>
      <c r="G126" s="19">
        <f>ROUND(SUM(G124:G125),2)</f>
        <v>38.17</v>
      </c>
    </row>
    <row r="127" spans="1:7" ht="12.75">
      <c r="A127" s="20" t="str">
        <f>CONCATENATE("Say ₹ ",G120," + ",G126," x Cost Index")</f>
        <v>Say ₹ 11173.63 + 38.17 x Cost Index</v>
      </c>
      <c r="B127" s="5"/>
      <c r="C127" s="5"/>
      <c r="D127" s="5"/>
      <c r="E127" s="5"/>
      <c r="F127" s="5"/>
      <c r="G127" s="21"/>
    </row>
    <row r="128" spans="1:7" ht="12.75">
      <c r="A128" s="7" t="s">
        <v>21</v>
      </c>
      <c r="B128" s="8" t="s">
        <v>44</v>
      </c>
      <c r="C128" s="5"/>
      <c r="D128" s="5"/>
      <c r="E128" s="5"/>
      <c r="F128" s="5"/>
      <c r="G128" s="6"/>
    </row>
    <row r="129" spans="1:7" ht="12.75">
      <c r="A129" s="7"/>
      <c r="B129" s="10" t="s">
        <v>45</v>
      </c>
      <c r="C129" s="11">
        <v>1</v>
      </c>
      <c r="D129" s="11" t="s">
        <v>5</v>
      </c>
      <c r="E129" s="11">
        <v>11487</v>
      </c>
      <c r="F129" s="12" t="s">
        <v>6</v>
      </c>
      <c r="G129" s="13">
        <f>E129*C129</f>
        <v>11487</v>
      </c>
    </row>
    <row r="130" spans="1:7" ht="12.75">
      <c r="A130" s="7"/>
      <c r="B130" s="14" t="s">
        <v>7</v>
      </c>
      <c r="C130" s="11"/>
      <c r="D130" s="11"/>
      <c r="E130" s="11"/>
      <c r="F130" s="12"/>
      <c r="G130" s="13">
        <f>G129*1%</f>
        <v>114.87</v>
      </c>
    </row>
    <row r="131" spans="1:7" ht="12.75">
      <c r="A131" s="7"/>
      <c r="B131" s="14" t="s">
        <v>8</v>
      </c>
      <c r="C131" s="11"/>
      <c r="D131" s="11"/>
      <c r="E131" s="11"/>
      <c r="F131" s="12"/>
      <c r="G131" s="13">
        <f>SUM(G129:G130)</f>
        <v>11601.87</v>
      </c>
    </row>
    <row r="132" spans="1:7" ht="12.75">
      <c r="A132" s="7"/>
      <c r="B132" s="14" t="s">
        <v>9</v>
      </c>
      <c r="C132" s="11"/>
      <c r="D132" s="11"/>
      <c r="E132" s="11"/>
      <c r="F132" s="12"/>
      <c r="G132" s="13">
        <f>G131*15%</f>
        <v>1740.2805000000001</v>
      </c>
    </row>
    <row r="133" spans="1:7" ht="12.75">
      <c r="A133" s="7"/>
      <c r="B133" s="15" t="s">
        <v>10</v>
      </c>
      <c r="C133" s="16"/>
      <c r="D133" s="17"/>
      <c r="E133" s="17"/>
      <c r="F133" s="18"/>
      <c r="G133" s="19">
        <f>ROUND(SUM(G131:G132),2)</f>
        <v>13342.15</v>
      </c>
    </row>
    <row r="134" spans="1:7" ht="12.75">
      <c r="A134" s="9" t="s">
        <v>39</v>
      </c>
      <c r="B134" s="10" t="s">
        <v>40</v>
      </c>
      <c r="C134" s="11">
        <v>15.50</v>
      </c>
      <c r="D134" s="11" t="s">
        <v>41</v>
      </c>
      <c r="E134" s="11">
        <v>2.12</v>
      </c>
      <c r="F134" s="12" t="s">
        <v>6</v>
      </c>
      <c r="G134" s="13">
        <f>C134*E134</f>
        <v>32.86</v>
      </c>
    </row>
    <row r="135" spans="1:7" ht="12.75">
      <c r="A135" s="7"/>
      <c r="B135" s="14" t="s">
        <v>17</v>
      </c>
      <c r="C135" s="11"/>
      <c r="D135" s="11"/>
      <c r="E135" s="11"/>
      <c r="F135" s="12"/>
      <c r="G135" s="13">
        <f>SUM(G134)</f>
        <v>32.86</v>
      </c>
    </row>
    <row r="136" spans="1:7" ht="12.75">
      <c r="A136" s="7"/>
      <c r="B136" s="14" t="s">
        <v>7</v>
      </c>
      <c r="C136" s="11"/>
      <c r="D136" s="11"/>
      <c r="E136" s="11"/>
      <c r="F136" s="12"/>
      <c r="G136" s="13">
        <f>G135*1%</f>
        <v>0.3286</v>
      </c>
    </row>
    <row r="137" spans="1:7" ht="12.75">
      <c r="A137" s="7"/>
      <c r="B137" s="14" t="s">
        <v>8</v>
      </c>
      <c r="C137" s="11"/>
      <c r="D137" s="11"/>
      <c r="E137" s="11"/>
      <c r="F137" s="12"/>
      <c r="G137" s="13">
        <f>SUM(G135:G136)</f>
        <v>33.188600000000001</v>
      </c>
    </row>
    <row r="138" spans="1:7" ht="12.75">
      <c r="A138" s="7"/>
      <c r="B138" s="14" t="s">
        <v>9</v>
      </c>
      <c r="C138" s="11"/>
      <c r="D138" s="11"/>
      <c r="E138" s="11"/>
      <c r="F138" s="12"/>
      <c r="G138" s="13">
        <f>G137*15%</f>
        <v>4.9782900000000003</v>
      </c>
    </row>
    <row r="139" spans="1:7" ht="12.75">
      <c r="A139" s="7"/>
      <c r="B139" s="15" t="s">
        <v>10</v>
      </c>
      <c r="C139" s="16"/>
      <c r="D139" s="17"/>
      <c r="E139" s="17"/>
      <c r="F139" s="18"/>
      <c r="G139" s="19">
        <f>ROUND(SUM(G137:G138),2)</f>
        <v>38.17</v>
      </c>
    </row>
    <row r="140" spans="1:7" ht="12.75">
      <c r="A140" s="20" t="str">
        <f>CONCATENATE("Say ₹ ",G133," + ",G139," x Cost Index")</f>
        <v>Say ₹ 13342.15 + 38.17 x Cost Index</v>
      </c>
      <c r="B140" s="5"/>
      <c r="C140" s="5"/>
      <c r="D140" s="5"/>
      <c r="E140" s="5"/>
      <c r="F140" s="5"/>
      <c r="G140" s="21"/>
    </row>
    <row r="141" spans="1:7" ht="12.75">
      <c r="A141" s="4" t="s">
        <v>46</v>
      </c>
      <c r="B141" s="5"/>
      <c r="C141" s="5"/>
      <c r="D141" s="5"/>
      <c r="E141" s="5"/>
      <c r="F141" s="5"/>
      <c r="G141" s="6"/>
    </row>
    <row r="142" spans="1:7" ht="12.75">
      <c r="A142" s="7" t="s">
        <v>2</v>
      </c>
      <c r="B142" s="8" t="s">
        <v>47</v>
      </c>
      <c r="C142" s="5"/>
      <c r="D142" s="5"/>
      <c r="E142" s="5"/>
      <c r="F142" s="5"/>
      <c r="G142" s="6"/>
    </row>
    <row r="143" spans="1:7" ht="12.75">
      <c r="A143" s="7"/>
      <c r="B143" s="10" t="s">
        <v>48</v>
      </c>
      <c r="C143" s="11">
        <v>1</v>
      </c>
      <c r="D143" s="11" t="s">
        <v>5</v>
      </c>
      <c r="E143" s="11">
        <v>4530</v>
      </c>
      <c r="F143" s="12" t="s">
        <v>6</v>
      </c>
      <c r="G143" s="13">
        <f>C143*E143</f>
        <v>4530</v>
      </c>
    </row>
    <row r="144" spans="1:7" ht="12.75">
      <c r="A144" s="7"/>
      <c r="B144" s="14" t="s">
        <v>7</v>
      </c>
      <c r="C144" s="11"/>
      <c r="D144" s="11"/>
      <c r="E144" s="11"/>
      <c r="F144" s="12"/>
      <c r="G144" s="13">
        <f>G143*1%</f>
        <v>45.30</v>
      </c>
    </row>
    <row r="145" spans="1:7" ht="12.75">
      <c r="A145" s="7"/>
      <c r="B145" s="14" t="s">
        <v>8</v>
      </c>
      <c r="C145" s="11"/>
      <c r="D145" s="11"/>
      <c r="E145" s="11"/>
      <c r="F145" s="12"/>
      <c r="G145" s="13">
        <f>SUM(G143:G144)</f>
        <v>4575.30</v>
      </c>
    </row>
    <row r="146" spans="1:7" ht="12.75">
      <c r="A146" s="7"/>
      <c r="B146" s="14" t="s">
        <v>9</v>
      </c>
      <c r="C146" s="11"/>
      <c r="D146" s="11"/>
      <c r="E146" s="11"/>
      <c r="F146" s="12"/>
      <c r="G146" s="13">
        <f>G145*15%</f>
        <v>686.295</v>
      </c>
    </row>
    <row r="147" spans="1:7" ht="12.75">
      <c r="A147" s="7"/>
      <c r="B147" s="15" t="s">
        <v>10</v>
      </c>
      <c r="C147" s="16"/>
      <c r="D147" s="17"/>
      <c r="E147" s="17"/>
      <c r="F147" s="18"/>
      <c r="G147" s="19">
        <f>ROUND(SUM(G145:G146),2)</f>
        <v>5261.60</v>
      </c>
    </row>
    <row r="148" spans="1:7" ht="12.75">
      <c r="A148" s="9" t="s">
        <v>39</v>
      </c>
      <c r="B148" s="10" t="s">
        <v>40</v>
      </c>
      <c r="C148" s="11">
        <v>15.50</v>
      </c>
      <c r="D148" s="11" t="s">
        <v>41</v>
      </c>
      <c r="E148" s="11">
        <v>2.12</v>
      </c>
      <c r="F148" s="12" t="s">
        <v>6</v>
      </c>
      <c r="G148" s="13">
        <f>C148*E148</f>
        <v>32.86</v>
      </c>
    </row>
    <row r="149" spans="1:7" ht="12.75">
      <c r="A149" s="7"/>
      <c r="B149" s="14" t="s">
        <v>17</v>
      </c>
      <c r="C149" s="11"/>
      <c r="D149" s="11"/>
      <c r="E149" s="11"/>
      <c r="F149" s="12"/>
      <c r="G149" s="13">
        <f>SUM(G148)</f>
        <v>32.86</v>
      </c>
    </row>
    <row r="150" spans="1:7" ht="12.75">
      <c r="A150" s="7"/>
      <c r="B150" s="14" t="s">
        <v>7</v>
      </c>
      <c r="C150" s="11"/>
      <c r="D150" s="11"/>
      <c r="E150" s="11"/>
      <c r="F150" s="12"/>
      <c r="G150" s="13">
        <f>G149*1%</f>
        <v>0.3286</v>
      </c>
    </row>
    <row r="151" spans="1:7" ht="12.75">
      <c r="A151" s="7"/>
      <c r="B151" s="14" t="s">
        <v>8</v>
      </c>
      <c r="C151" s="11"/>
      <c r="D151" s="11"/>
      <c r="E151" s="11"/>
      <c r="F151" s="12"/>
      <c r="G151" s="13">
        <f>SUM(G149:G150)</f>
        <v>33.188600000000001</v>
      </c>
    </row>
    <row r="152" spans="1:7" ht="12.75">
      <c r="A152" s="7"/>
      <c r="B152" s="14" t="s">
        <v>9</v>
      </c>
      <c r="C152" s="11"/>
      <c r="D152" s="11"/>
      <c r="E152" s="11"/>
      <c r="F152" s="12"/>
      <c r="G152" s="13">
        <f>G151*15%</f>
        <v>4.9782900000000003</v>
      </c>
    </row>
    <row r="153" spans="1:7" ht="12.75">
      <c r="A153" s="7"/>
      <c r="B153" s="15" t="s">
        <v>10</v>
      </c>
      <c r="C153" s="16"/>
      <c r="D153" s="17"/>
      <c r="E153" s="17"/>
      <c r="F153" s="18"/>
      <c r="G153" s="19">
        <f>ROUND(SUM(G151:G152),2)</f>
        <v>38.17</v>
      </c>
    </row>
    <row r="154" spans="1:7" ht="12.75">
      <c r="A154" s="20" t="str">
        <f>CONCATENATE("Say ₹ ",G147," + ",G153," x Cost Index")</f>
        <v>Say ₹ 5261.6 + 38.17 x Cost Index</v>
      </c>
      <c r="B154" s="5"/>
      <c r="C154" s="5"/>
      <c r="D154" s="5"/>
      <c r="E154" s="5"/>
      <c r="F154" s="5"/>
      <c r="G154" s="21"/>
    </row>
    <row r="155" spans="1:7" ht="12.75">
      <c r="A155" s="7" t="s">
        <v>18</v>
      </c>
      <c r="B155" s="8" t="s">
        <v>49</v>
      </c>
      <c r="C155" s="5"/>
      <c r="D155" s="5"/>
      <c r="E155" s="5"/>
      <c r="F155" s="5"/>
      <c r="G155" s="6"/>
    </row>
    <row r="156" spans="1:7" ht="12.75">
      <c r="A156" s="7"/>
      <c r="B156" s="10" t="s">
        <v>50</v>
      </c>
      <c r="C156" s="11">
        <v>1</v>
      </c>
      <c r="D156" s="11" t="s">
        <v>5</v>
      </c>
      <c r="E156" s="11">
        <v>6750</v>
      </c>
      <c r="F156" s="12" t="s">
        <v>6</v>
      </c>
      <c r="G156" s="13">
        <f>C156*E156</f>
        <v>6750</v>
      </c>
    </row>
    <row r="157" spans="1:7" ht="12.75">
      <c r="A157" s="7"/>
      <c r="B157" s="14" t="s">
        <v>7</v>
      </c>
      <c r="C157" s="11"/>
      <c r="D157" s="11"/>
      <c r="E157" s="11"/>
      <c r="F157" s="12"/>
      <c r="G157" s="13">
        <f>G156*1%</f>
        <v>67.50</v>
      </c>
    </row>
    <row r="158" spans="1:7" ht="12.75">
      <c r="A158" s="7"/>
      <c r="B158" s="14" t="s">
        <v>8</v>
      </c>
      <c r="C158" s="11"/>
      <c r="D158" s="11"/>
      <c r="E158" s="11"/>
      <c r="F158" s="12"/>
      <c r="G158" s="13">
        <f>SUM(G156:G157)</f>
        <v>6817.50</v>
      </c>
    </row>
    <row r="159" spans="1:7" ht="12.75">
      <c r="A159" s="7"/>
      <c r="B159" s="14" t="s">
        <v>9</v>
      </c>
      <c r="C159" s="11"/>
      <c r="D159" s="11"/>
      <c r="E159" s="11"/>
      <c r="F159" s="12"/>
      <c r="G159" s="13">
        <f>G158*15%</f>
        <v>1022.625</v>
      </c>
    </row>
    <row r="160" spans="1:7" ht="12.75">
      <c r="A160" s="7"/>
      <c r="B160" s="15" t="s">
        <v>10</v>
      </c>
      <c r="C160" s="16"/>
      <c r="D160" s="17"/>
      <c r="E160" s="17"/>
      <c r="F160" s="18"/>
      <c r="G160" s="19">
        <f>ROUND(SUM(G158:G159),2)</f>
        <v>7840.13</v>
      </c>
    </row>
    <row r="161" spans="1:7" ht="12.75">
      <c r="A161" s="9" t="s">
        <v>39</v>
      </c>
      <c r="B161" s="10" t="s">
        <v>40</v>
      </c>
      <c r="C161" s="11">
        <v>15.50</v>
      </c>
      <c r="D161" s="11" t="s">
        <v>41</v>
      </c>
      <c r="E161" s="11">
        <v>2.12</v>
      </c>
      <c r="F161" s="12" t="s">
        <v>6</v>
      </c>
      <c r="G161" s="13">
        <f>C161*E161</f>
        <v>32.86</v>
      </c>
    </row>
    <row r="162" spans="1:7" ht="12.75">
      <c r="A162" s="7"/>
      <c r="B162" s="14" t="s">
        <v>17</v>
      </c>
      <c r="C162" s="11"/>
      <c r="D162" s="11"/>
      <c r="E162" s="11"/>
      <c r="F162" s="12"/>
      <c r="G162" s="13">
        <f>SUM(G161)</f>
        <v>32.86</v>
      </c>
    </row>
    <row r="163" spans="1:7" ht="12.75">
      <c r="A163" s="7"/>
      <c r="B163" s="14" t="s">
        <v>7</v>
      </c>
      <c r="C163" s="11"/>
      <c r="D163" s="11"/>
      <c r="E163" s="11"/>
      <c r="F163" s="12"/>
      <c r="G163" s="13">
        <f>G162*1%</f>
        <v>0.3286</v>
      </c>
    </row>
    <row r="164" spans="1:7" ht="12.75">
      <c r="A164" s="7"/>
      <c r="B164" s="14" t="s">
        <v>8</v>
      </c>
      <c r="C164" s="11"/>
      <c r="D164" s="11"/>
      <c r="E164" s="11"/>
      <c r="F164" s="12"/>
      <c r="G164" s="13">
        <f>SUM(G162:G163)</f>
        <v>33.188600000000001</v>
      </c>
    </row>
    <row r="165" spans="1:7" ht="12.75">
      <c r="A165" s="7"/>
      <c r="B165" s="14" t="s">
        <v>9</v>
      </c>
      <c r="C165" s="11"/>
      <c r="D165" s="11"/>
      <c r="E165" s="11"/>
      <c r="F165" s="12"/>
      <c r="G165" s="13">
        <f>G164*15%</f>
        <v>4.9782900000000003</v>
      </c>
    </row>
    <row r="166" spans="1:7" ht="12.75">
      <c r="A166" s="7"/>
      <c r="B166" s="15" t="s">
        <v>10</v>
      </c>
      <c r="C166" s="16"/>
      <c r="D166" s="17"/>
      <c r="E166" s="17"/>
      <c r="F166" s="18"/>
      <c r="G166" s="19">
        <f>ROUND(SUM(G164:G165),2)</f>
        <v>38.17</v>
      </c>
    </row>
    <row r="167" spans="1:7" ht="12.75">
      <c r="A167" s="20" t="str">
        <f>CONCATENATE("Say ₹ ",G160," + ",G166," x Cost Index")</f>
        <v>Say ₹ 7840.13 + 38.17 x Cost Index</v>
      </c>
      <c r="B167" s="5"/>
      <c r="C167" s="5"/>
      <c r="D167" s="5"/>
      <c r="E167" s="5"/>
      <c r="F167" s="5"/>
      <c r="G167" s="21"/>
    </row>
    <row r="168" spans="1:7" ht="12.75">
      <c r="A168" s="7" t="s">
        <v>21</v>
      </c>
      <c r="B168" s="8" t="s">
        <v>51</v>
      </c>
      <c r="C168" s="5"/>
      <c r="D168" s="5"/>
      <c r="E168" s="5"/>
      <c r="F168" s="5"/>
      <c r="G168" s="6"/>
    </row>
    <row r="169" spans="1:7" ht="12.75">
      <c r="A169" s="7"/>
      <c r="B169" s="10" t="s">
        <v>52</v>
      </c>
      <c r="C169" s="11">
        <v>1</v>
      </c>
      <c r="D169" s="11" t="s">
        <v>5</v>
      </c>
      <c r="E169" s="11">
        <v>10266</v>
      </c>
      <c r="F169" s="12" t="s">
        <v>6</v>
      </c>
      <c r="G169" s="13">
        <f>C169*E169</f>
        <v>10266</v>
      </c>
    </row>
    <row r="170" spans="1:7" ht="12.75">
      <c r="A170" s="7"/>
      <c r="B170" s="14" t="s">
        <v>7</v>
      </c>
      <c r="C170" s="11"/>
      <c r="D170" s="11"/>
      <c r="E170" s="11"/>
      <c r="F170" s="12"/>
      <c r="G170" s="13">
        <f>G169*1%</f>
        <v>102.66</v>
      </c>
    </row>
    <row r="171" spans="1:7" ht="12.75">
      <c r="A171" s="7"/>
      <c r="B171" s="14" t="s">
        <v>8</v>
      </c>
      <c r="C171" s="11"/>
      <c r="D171" s="11"/>
      <c r="E171" s="11"/>
      <c r="F171" s="12"/>
      <c r="G171" s="13">
        <f>SUM(G169:G170)</f>
        <v>10368.66</v>
      </c>
    </row>
    <row r="172" spans="1:7" ht="12.75">
      <c r="A172" s="7"/>
      <c r="B172" s="14" t="s">
        <v>9</v>
      </c>
      <c r="C172" s="11"/>
      <c r="D172" s="11"/>
      <c r="E172" s="11"/>
      <c r="F172" s="12"/>
      <c r="G172" s="13">
        <f>G171*15%</f>
        <v>1555.299</v>
      </c>
    </row>
    <row r="173" spans="1:7" ht="12.75">
      <c r="A173" s="7"/>
      <c r="B173" s="15" t="s">
        <v>10</v>
      </c>
      <c r="C173" s="16"/>
      <c r="D173" s="17"/>
      <c r="E173" s="17"/>
      <c r="F173" s="18"/>
      <c r="G173" s="19">
        <f>ROUND(SUM(G171:G172),2)</f>
        <v>11923.96</v>
      </c>
    </row>
    <row r="174" spans="1:7" ht="12.75">
      <c r="A174" s="9" t="s">
        <v>39</v>
      </c>
      <c r="B174" s="10" t="s">
        <v>40</v>
      </c>
      <c r="C174" s="11">
        <v>15.50</v>
      </c>
      <c r="D174" s="11" t="s">
        <v>41</v>
      </c>
      <c r="E174" s="11">
        <v>2.12</v>
      </c>
      <c r="F174" s="12" t="s">
        <v>6</v>
      </c>
      <c r="G174" s="13">
        <f>C174*E174</f>
        <v>32.86</v>
      </c>
    </row>
    <row r="175" spans="1:7" ht="12.75">
      <c r="A175" s="7"/>
      <c r="B175" s="14" t="s">
        <v>17</v>
      </c>
      <c r="C175" s="11"/>
      <c r="D175" s="11"/>
      <c r="E175" s="11"/>
      <c r="F175" s="12"/>
      <c r="G175" s="13">
        <f>SUM(G174)</f>
        <v>32.86</v>
      </c>
    </row>
    <row r="176" spans="1:7" ht="12.75">
      <c r="A176" s="7"/>
      <c r="B176" s="14" t="s">
        <v>7</v>
      </c>
      <c r="C176" s="11"/>
      <c r="D176" s="11"/>
      <c r="E176" s="11"/>
      <c r="F176" s="12"/>
      <c r="G176" s="13">
        <f>G175*1%</f>
        <v>0.3286</v>
      </c>
    </row>
    <row r="177" spans="1:7" ht="12.75">
      <c r="A177" s="7"/>
      <c r="B177" s="14" t="s">
        <v>8</v>
      </c>
      <c r="C177" s="11"/>
      <c r="D177" s="11"/>
      <c r="E177" s="11"/>
      <c r="F177" s="12"/>
      <c r="G177" s="13">
        <f>SUM(G175:G176)</f>
        <v>33.188600000000001</v>
      </c>
    </row>
    <row r="178" spans="1:7" ht="12.75">
      <c r="A178" s="7"/>
      <c r="B178" s="14" t="s">
        <v>9</v>
      </c>
      <c r="C178" s="11"/>
      <c r="D178" s="11"/>
      <c r="E178" s="11"/>
      <c r="F178" s="12"/>
      <c r="G178" s="13">
        <f>G177*15%</f>
        <v>4.9782900000000003</v>
      </c>
    </row>
    <row r="179" spans="1:7" ht="12.75">
      <c r="A179" s="7"/>
      <c r="B179" s="15" t="s">
        <v>10</v>
      </c>
      <c r="C179" s="16"/>
      <c r="D179" s="17"/>
      <c r="E179" s="17"/>
      <c r="F179" s="18"/>
      <c r="G179" s="19">
        <f>ROUND(SUM(G177:G178),2)</f>
        <v>38.17</v>
      </c>
    </row>
    <row r="180" spans="1:7" ht="12.75">
      <c r="A180" s="20" t="str">
        <f>CONCATENATE("Say ₹ ",G173," + ",G179," x Cost Index")</f>
        <v>Say ₹ 11923.96 + 38.17 x Cost Index</v>
      </c>
      <c r="B180" s="5"/>
      <c r="C180" s="5"/>
      <c r="D180" s="5"/>
      <c r="E180" s="5"/>
      <c r="F180" s="5"/>
      <c r="G180" s="21"/>
    </row>
    <row r="181" spans="1:7" ht="12.75">
      <c r="A181" s="4" t="s">
        <v>53</v>
      </c>
      <c r="B181" s="5"/>
      <c r="C181" s="5"/>
      <c r="D181" s="5"/>
      <c r="E181" s="5"/>
      <c r="F181" s="5"/>
      <c r="G181" s="6"/>
    </row>
    <row r="182" spans="1:7" ht="12.75">
      <c r="A182" s="7" t="s">
        <v>2</v>
      </c>
      <c r="B182" s="8" t="s">
        <v>54</v>
      </c>
      <c r="C182" s="5"/>
      <c r="D182" s="5"/>
      <c r="E182" s="5"/>
      <c r="F182" s="5"/>
      <c r="G182" s="6"/>
    </row>
    <row r="183" spans="1:7" ht="12.75">
      <c r="A183" s="7"/>
      <c r="B183" s="10" t="s">
        <v>55</v>
      </c>
      <c r="C183" s="11">
        <v>1</v>
      </c>
      <c r="D183" s="11" t="s">
        <v>5</v>
      </c>
      <c r="E183" s="11">
        <v>15662</v>
      </c>
      <c r="F183" s="12" t="s">
        <v>6</v>
      </c>
      <c r="G183" s="13">
        <f>C183*E183</f>
        <v>15662</v>
      </c>
    </row>
    <row r="184" spans="1:7" ht="12.75">
      <c r="A184" s="9"/>
      <c r="B184" s="14" t="s">
        <v>7</v>
      </c>
      <c r="C184" s="11"/>
      <c r="D184" s="11"/>
      <c r="E184" s="11"/>
      <c r="F184" s="12"/>
      <c r="G184" s="13">
        <f>G183*1%</f>
        <v>156.62</v>
      </c>
    </row>
    <row r="185" spans="1:7" ht="12.75">
      <c r="A185" s="9"/>
      <c r="B185" s="14" t="s">
        <v>8</v>
      </c>
      <c r="C185" s="11"/>
      <c r="D185" s="11"/>
      <c r="E185" s="11"/>
      <c r="F185" s="12"/>
      <c r="G185" s="13">
        <f>SUM(G183:G184)</f>
        <v>15818.62</v>
      </c>
    </row>
    <row r="186" spans="1:7" ht="12.75">
      <c r="A186" s="9"/>
      <c r="B186" s="14" t="s">
        <v>9</v>
      </c>
      <c r="C186" s="11"/>
      <c r="D186" s="11"/>
      <c r="E186" s="11"/>
      <c r="F186" s="12"/>
      <c r="G186" s="13">
        <f>G185*15%</f>
        <v>2372.7930000000001</v>
      </c>
    </row>
    <row r="187" spans="1:7" ht="12.75">
      <c r="A187" s="9"/>
      <c r="B187" s="15" t="s">
        <v>10</v>
      </c>
      <c r="C187" s="11"/>
      <c r="D187" s="11"/>
      <c r="E187" s="11"/>
      <c r="F187" s="12"/>
      <c r="G187" s="19">
        <f>ROUND(SUM(G185:G186),2)</f>
        <v>18191.41</v>
      </c>
    </row>
    <row r="188" spans="1:7" ht="12.75">
      <c r="A188" s="9" t="s">
        <v>11</v>
      </c>
      <c r="B188" s="10" t="s">
        <v>12</v>
      </c>
      <c r="C188" s="11">
        <v>0.20</v>
      </c>
      <c r="D188" s="11" t="s">
        <v>13</v>
      </c>
      <c r="E188" s="11">
        <v>784</v>
      </c>
      <c r="F188" s="12" t="s">
        <v>14</v>
      </c>
      <c r="G188" s="13">
        <f>C188*E188</f>
        <v>156.80</v>
      </c>
    </row>
    <row r="189" spans="1:7" ht="12.75">
      <c r="A189" s="9" t="s">
        <v>15</v>
      </c>
      <c r="B189" s="10" t="s">
        <v>16</v>
      </c>
      <c r="C189" s="11">
        <v>0.20</v>
      </c>
      <c r="D189" s="11" t="s">
        <v>13</v>
      </c>
      <c r="E189" s="11">
        <v>645</v>
      </c>
      <c r="F189" s="12" t="s">
        <v>14</v>
      </c>
      <c r="G189" s="13">
        <f>C189*E189</f>
        <v>129</v>
      </c>
    </row>
    <row r="190" spans="1:7" ht="12.75">
      <c r="A190" s="9"/>
      <c r="B190" s="14" t="s">
        <v>17</v>
      </c>
      <c r="C190" s="11"/>
      <c r="D190" s="11"/>
      <c r="E190" s="11"/>
      <c r="F190" s="12"/>
      <c r="G190" s="13">
        <f>SUM(G188:G189)</f>
        <v>285.80</v>
      </c>
    </row>
    <row r="191" spans="1:7" ht="12.75">
      <c r="A191" s="9"/>
      <c r="B191" s="14" t="s">
        <v>7</v>
      </c>
      <c r="C191" s="11"/>
      <c r="D191" s="11"/>
      <c r="E191" s="11"/>
      <c r="F191" s="12"/>
      <c r="G191" s="13">
        <f>G190*0.01</f>
        <v>2.8580000000000001</v>
      </c>
    </row>
    <row r="192" spans="1:7" ht="12.75">
      <c r="A192" s="9"/>
      <c r="B192" s="14" t="s">
        <v>8</v>
      </c>
      <c r="C192" s="11"/>
      <c r="D192" s="11"/>
      <c r="E192" s="11"/>
      <c r="F192" s="12"/>
      <c r="G192" s="13">
        <f>SUM(G190:G191)</f>
        <v>288.65800000000002</v>
      </c>
    </row>
    <row r="193" spans="1:7" ht="12.75">
      <c r="A193" s="9"/>
      <c r="B193" s="14" t="s">
        <v>9</v>
      </c>
      <c r="C193" s="11"/>
      <c r="D193" s="11"/>
      <c r="E193" s="11"/>
      <c r="F193" s="12"/>
      <c r="G193" s="13">
        <f>G192*15%</f>
        <v>43.298699999999997</v>
      </c>
    </row>
    <row r="194" spans="1:7" ht="12.75">
      <c r="A194" s="9"/>
      <c r="B194" s="15" t="s">
        <v>10</v>
      </c>
      <c r="C194" s="16"/>
      <c r="D194" s="11"/>
      <c r="E194" s="11"/>
      <c r="F194" s="12"/>
      <c r="G194" s="19">
        <f>ROUND(SUM(G192:G193),2)</f>
        <v>331.96</v>
      </c>
    </row>
    <row r="195" spans="1:7" ht="12.75">
      <c r="A195" s="20" t="str">
        <f>CONCATENATE("Say ₹ ",G187," + ",G194," x Cost Index")</f>
        <v>Say ₹ 18191.41 + 331.96 x Cost Index</v>
      </c>
      <c r="B195" s="5"/>
      <c r="C195" s="5"/>
      <c r="D195" s="5"/>
      <c r="E195" s="5"/>
      <c r="F195" s="5"/>
      <c r="G195" s="21"/>
    </row>
    <row r="196" spans="1:7" ht="12.75">
      <c r="A196" s="7" t="s">
        <v>18</v>
      </c>
      <c r="B196" s="8" t="s">
        <v>56</v>
      </c>
      <c r="C196" s="5"/>
      <c r="D196" s="5"/>
      <c r="E196" s="5"/>
      <c r="F196" s="5"/>
      <c r="G196" s="6"/>
    </row>
    <row r="197" spans="1:7" ht="12.75">
      <c r="A197" s="7"/>
      <c r="B197" s="10" t="s">
        <v>57</v>
      </c>
      <c r="C197" s="11">
        <v>1</v>
      </c>
      <c r="D197" s="11" t="s">
        <v>5</v>
      </c>
      <c r="E197" s="11">
        <v>42500</v>
      </c>
      <c r="F197" s="12" t="s">
        <v>6</v>
      </c>
      <c r="G197" s="13">
        <f>C197*E197</f>
        <v>42500</v>
      </c>
    </row>
    <row r="198" spans="1:7" ht="12.75">
      <c r="A198" s="9"/>
      <c r="B198" s="14" t="s">
        <v>7</v>
      </c>
      <c r="C198" s="11"/>
      <c r="D198" s="11"/>
      <c r="E198" s="11"/>
      <c r="F198" s="12"/>
      <c r="G198" s="13">
        <f>G197*1%</f>
        <v>425</v>
      </c>
    </row>
    <row r="199" spans="1:7" ht="12.75">
      <c r="A199" s="9"/>
      <c r="B199" s="14" t="s">
        <v>8</v>
      </c>
      <c r="C199" s="11"/>
      <c r="D199" s="11"/>
      <c r="E199" s="11"/>
      <c r="F199" s="12"/>
      <c r="G199" s="13">
        <f>SUM(G197:G198)</f>
        <v>42925</v>
      </c>
    </row>
    <row r="200" spans="1:7" ht="12.75">
      <c r="A200" s="9"/>
      <c r="B200" s="14" t="s">
        <v>9</v>
      </c>
      <c r="C200" s="11"/>
      <c r="D200" s="11"/>
      <c r="E200" s="11"/>
      <c r="F200" s="12"/>
      <c r="G200" s="13">
        <f>G199*15%</f>
        <v>6438.75</v>
      </c>
    </row>
    <row r="201" spans="1:7" ht="12.75">
      <c r="A201" s="9"/>
      <c r="B201" s="15" t="s">
        <v>10</v>
      </c>
      <c r="C201" s="11"/>
      <c r="D201" s="11"/>
      <c r="E201" s="11"/>
      <c r="F201" s="12"/>
      <c r="G201" s="19">
        <f>ROUND(SUM(G199:G200),2)</f>
        <v>49363.75</v>
      </c>
    </row>
    <row r="202" spans="1:7" ht="12.75">
      <c r="A202" s="9" t="s">
        <v>11</v>
      </c>
      <c r="B202" s="10" t="s">
        <v>12</v>
      </c>
      <c r="C202" s="11">
        <v>0.20</v>
      </c>
      <c r="D202" s="11" t="s">
        <v>13</v>
      </c>
      <c r="E202" s="11">
        <v>784</v>
      </c>
      <c r="F202" s="12" t="s">
        <v>14</v>
      </c>
      <c r="G202" s="13">
        <f>C202*E202</f>
        <v>156.80</v>
      </c>
    </row>
    <row r="203" spans="1:7" ht="12.75">
      <c r="A203" s="9" t="s">
        <v>15</v>
      </c>
      <c r="B203" s="10" t="s">
        <v>16</v>
      </c>
      <c r="C203" s="11">
        <v>0.20</v>
      </c>
      <c r="D203" s="11" t="s">
        <v>13</v>
      </c>
      <c r="E203" s="11">
        <v>645</v>
      </c>
      <c r="F203" s="12" t="s">
        <v>14</v>
      </c>
      <c r="G203" s="13">
        <f>C203*E203</f>
        <v>129</v>
      </c>
    </row>
    <row r="204" spans="1:7" ht="12.75">
      <c r="A204" s="9"/>
      <c r="B204" s="14" t="s">
        <v>17</v>
      </c>
      <c r="C204" s="11"/>
      <c r="D204" s="11"/>
      <c r="E204" s="11"/>
      <c r="F204" s="12"/>
      <c r="G204" s="13">
        <f>SUM(G202:G203)</f>
        <v>285.80</v>
      </c>
    </row>
    <row r="205" spans="1:7" ht="12.75">
      <c r="A205" s="9"/>
      <c r="B205" s="14" t="s">
        <v>7</v>
      </c>
      <c r="C205" s="11"/>
      <c r="D205" s="11"/>
      <c r="E205" s="11"/>
      <c r="F205" s="12"/>
      <c r="G205" s="13">
        <f>G204*0.01</f>
        <v>2.8580000000000001</v>
      </c>
    </row>
    <row r="206" spans="1:7" ht="12.75">
      <c r="A206" s="9"/>
      <c r="B206" s="14" t="s">
        <v>8</v>
      </c>
      <c r="C206" s="11"/>
      <c r="D206" s="11"/>
      <c r="E206" s="11"/>
      <c r="F206" s="12"/>
      <c r="G206" s="13">
        <f>SUM(G204:G205)</f>
        <v>288.65800000000002</v>
      </c>
    </row>
    <row r="207" spans="1:7" ht="12.75">
      <c r="A207" s="9"/>
      <c r="B207" s="14" t="s">
        <v>9</v>
      </c>
      <c r="C207" s="11"/>
      <c r="D207" s="11"/>
      <c r="E207" s="11"/>
      <c r="F207" s="12"/>
      <c r="G207" s="13">
        <f>G206*15%</f>
        <v>43.298699999999997</v>
      </c>
    </row>
    <row r="208" spans="1:7" ht="12.75">
      <c r="A208" s="9"/>
      <c r="B208" s="15" t="s">
        <v>10</v>
      </c>
      <c r="C208" s="16"/>
      <c r="D208" s="11"/>
      <c r="E208" s="11"/>
      <c r="F208" s="12"/>
      <c r="G208" s="19">
        <f>ROUND(SUM(G206:G207),2)</f>
        <v>331.96</v>
      </c>
    </row>
    <row r="209" spans="1:7" ht="12.75">
      <c r="A209" s="20" t="str">
        <f>CONCATENATE("Say ₹ ",G201," + ",G208," x Cost Index")</f>
        <v>Say ₹ 49363.75 + 331.96 x Cost Index</v>
      </c>
      <c r="B209" s="5"/>
      <c r="C209" s="5"/>
      <c r="D209" s="5"/>
      <c r="E209" s="5"/>
      <c r="F209" s="5"/>
      <c r="G209" s="21"/>
    </row>
    <row r="210" spans="1:7" ht="12.75">
      <c r="A210" s="4" t="s">
        <v>58</v>
      </c>
      <c r="B210" s="5"/>
      <c r="C210" s="5"/>
      <c r="D210" s="5"/>
      <c r="E210" s="5"/>
      <c r="F210" s="5"/>
      <c r="G210" s="6"/>
    </row>
    <row r="211" spans="1:7" ht="12.75">
      <c r="A211" s="7" t="s">
        <v>2</v>
      </c>
      <c r="B211" s="8" t="s">
        <v>59</v>
      </c>
      <c r="C211" s="5"/>
      <c r="D211" s="5"/>
      <c r="E211" s="5"/>
      <c r="F211" s="5"/>
      <c r="G211" s="6"/>
    </row>
    <row r="212" spans="1:7" ht="12.75">
      <c r="A212" s="7"/>
      <c r="B212" s="10" t="s">
        <v>60</v>
      </c>
      <c r="C212" s="11">
        <v>1</v>
      </c>
      <c r="D212" s="11" t="s">
        <v>5</v>
      </c>
      <c r="E212" s="11">
        <v>12699</v>
      </c>
      <c r="F212" s="12" t="s">
        <v>6</v>
      </c>
      <c r="G212" s="13">
        <f>C212*E212</f>
        <v>12699</v>
      </c>
    </row>
    <row r="213" spans="1:7" ht="12.75">
      <c r="A213" s="9"/>
      <c r="B213" s="14" t="s">
        <v>7</v>
      </c>
      <c r="C213" s="11"/>
      <c r="D213" s="11"/>
      <c r="E213" s="11"/>
      <c r="F213" s="12"/>
      <c r="G213" s="13">
        <f>G212*1%</f>
        <v>126.99</v>
      </c>
    </row>
    <row r="214" spans="1:7" ht="12.75">
      <c r="A214" s="9"/>
      <c r="B214" s="14" t="s">
        <v>8</v>
      </c>
      <c r="C214" s="11"/>
      <c r="D214" s="11"/>
      <c r="E214" s="11"/>
      <c r="F214" s="12"/>
      <c r="G214" s="13">
        <f>SUM(G212:G213)</f>
        <v>12825.99</v>
      </c>
    </row>
    <row r="215" spans="1:7" ht="12.75">
      <c r="A215" s="9"/>
      <c r="B215" s="14" t="s">
        <v>9</v>
      </c>
      <c r="C215" s="11"/>
      <c r="D215" s="11"/>
      <c r="E215" s="11"/>
      <c r="F215" s="12"/>
      <c r="G215" s="13">
        <f>G214*15%</f>
        <v>1923.8985</v>
      </c>
    </row>
    <row r="216" spans="1:7" ht="12.75">
      <c r="A216" s="9"/>
      <c r="B216" s="15" t="s">
        <v>10</v>
      </c>
      <c r="C216" s="11"/>
      <c r="D216" s="11"/>
      <c r="E216" s="11"/>
      <c r="F216" s="12"/>
      <c r="G216" s="19">
        <f>ROUND(SUM(G214:G215),2)</f>
        <v>14749.89</v>
      </c>
    </row>
    <row r="217" spans="1:7" ht="12.75">
      <c r="A217" s="9" t="s">
        <v>11</v>
      </c>
      <c r="B217" s="10" t="s">
        <v>12</v>
      </c>
      <c r="C217" s="11">
        <v>0.20</v>
      </c>
      <c r="D217" s="11" t="s">
        <v>13</v>
      </c>
      <c r="E217" s="11">
        <v>784</v>
      </c>
      <c r="F217" s="12" t="s">
        <v>14</v>
      </c>
      <c r="G217" s="13">
        <f>C217*E217</f>
        <v>156.80</v>
      </c>
    </row>
    <row r="218" spans="1:7" ht="12.75">
      <c r="A218" s="9" t="s">
        <v>15</v>
      </c>
      <c r="B218" s="10" t="s">
        <v>16</v>
      </c>
      <c r="C218" s="11">
        <v>0.20</v>
      </c>
      <c r="D218" s="11" t="s">
        <v>13</v>
      </c>
      <c r="E218" s="11">
        <v>645</v>
      </c>
      <c r="F218" s="12" t="s">
        <v>14</v>
      </c>
      <c r="G218" s="13">
        <f>C218*E218</f>
        <v>129</v>
      </c>
    </row>
    <row r="219" spans="1:7" ht="12.75">
      <c r="A219" s="9"/>
      <c r="B219" s="14" t="s">
        <v>17</v>
      </c>
      <c r="C219" s="11"/>
      <c r="D219" s="11"/>
      <c r="E219" s="11"/>
      <c r="F219" s="12"/>
      <c r="G219" s="13">
        <f>SUM(G217:G218)</f>
        <v>285.80</v>
      </c>
    </row>
    <row r="220" spans="1:7" ht="12.75">
      <c r="A220" s="9"/>
      <c r="B220" s="14" t="s">
        <v>7</v>
      </c>
      <c r="C220" s="11"/>
      <c r="D220" s="11"/>
      <c r="E220" s="11"/>
      <c r="F220" s="12"/>
      <c r="G220" s="13">
        <f>G219*0.01</f>
        <v>2.8580000000000001</v>
      </c>
    </row>
    <row r="221" spans="1:7" ht="12.75">
      <c r="A221" s="9"/>
      <c r="B221" s="14" t="s">
        <v>8</v>
      </c>
      <c r="C221" s="11"/>
      <c r="D221" s="11"/>
      <c r="E221" s="11"/>
      <c r="F221" s="12"/>
      <c r="G221" s="13">
        <f>SUM(G219:G220)</f>
        <v>288.65800000000002</v>
      </c>
    </row>
    <row r="222" spans="1:7" ht="12.75">
      <c r="A222" s="9"/>
      <c r="B222" s="14" t="s">
        <v>9</v>
      </c>
      <c r="C222" s="11"/>
      <c r="D222" s="11"/>
      <c r="E222" s="11"/>
      <c r="F222" s="12"/>
      <c r="G222" s="13">
        <f>G221*15%</f>
        <v>43.298699999999997</v>
      </c>
    </row>
    <row r="223" spans="1:7" ht="12.75">
      <c r="A223" s="9"/>
      <c r="B223" s="15" t="s">
        <v>10</v>
      </c>
      <c r="C223" s="16"/>
      <c r="D223" s="11"/>
      <c r="E223" s="11"/>
      <c r="F223" s="12"/>
      <c r="G223" s="19">
        <f>ROUND(SUM(G221:G222),2)</f>
        <v>331.96</v>
      </c>
    </row>
    <row r="224" spans="1:7" ht="12.75">
      <c r="A224" s="20" t="str">
        <f>CONCATENATE("Say ₹ ",G216," + ",G223," x Cost Index")</f>
        <v>Say ₹ 14749.89 + 331.96 x Cost Index</v>
      </c>
      <c r="B224" s="5"/>
      <c r="C224" s="5"/>
      <c r="D224" s="5"/>
      <c r="E224" s="5"/>
      <c r="F224" s="5"/>
      <c r="G224" s="21"/>
    </row>
    <row r="225" spans="1:7" ht="12.75">
      <c r="A225" s="7" t="s">
        <v>18</v>
      </c>
      <c r="B225" s="8" t="s">
        <v>61</v>
      </c>
      <c r="C225" s="5"/>
      <c r="D225" s="5"/>
      <c r="E225" s="5"/>
      <c r="F225" s="5"/>
      <c r="G225" s="6"/>
    </row>
    <row r="226" spans="1:7" ht="12.75">
      <c r="A226" s="7"/>
      <c r="B226" s="10" t="s">
        <v>62</v>
      </c>
      <c r="C226" s="11">
        <v>1</v>
      </c>
      <c r="D226" s="11" t="s">
        <v>5</v>
      </c>
      <c r="E226" s="11">
        <v>15180</v>
      </c>
      <c r="F226" s="12" t="s">
        <v>6</v>
      </c>
      <c r="G226" s="13">
        <f>C226*E226</f>
        <v>15180</v>
      </c>
    </row>
    <row r="227" spans="1:7" ht="12.75">
      <c r="A227" s="9"/>
      <c r="B227" s="14" t="s">
        <v>7</v>
      </c>
      <c r="C227" s="11"/>
      <c r="D227" s="11"/>
      <c r="E227" s="11"/>
      <c r="F227" s="12"/>
      <c r="G227" s="13">
        <f>G226*1%</f>
        <v>151.80</v>
      </c>
    </row>
    <row r="228" spans="1:7" ht="12.75">
      <c r="A228" s="9"/>
      <c r="B228" s="14" t="s">
        <v>8</v>
      </c>
      <c r="C228" s="11"/>
      <c r="D228" s="11"/>
      <c r="E228" s="11"/>
      <c r="F228" s="12"/>
      <c r="G228" s="13">
        <f>SUM(G226:G227)</f>
        <v>15331.80</v>
      </c>
    </row>
    <row r="229" spans="1:7" ht="12.75">
      <c r="A229" s="9"/>
      <c r="B229" s="14" t="s">
        <v>9</v>
      </c>
      <c r="C229" s="11"/>
      <c r="D229" s="11"/>
      <c r="E229" s="11"/>
      <c r="F229" s="12"/>
      <c r="G229" s="13">
        <f>G228*15%</f>
        <v>2299.77</v>
      </c>
    </row>
    <row r="230" spans="1:7" ht="12.75">
      <c r="A230" s="9"/>
      <c r="B230" s="15" t="s">
        <v>10</v>
      </c>
      <c r="C230" s="11"/>
      <c r="D230" s="11"/>
      <c r="E230" s="11"/>
      <c r="F230" s="12"/>
      <c r="G230" s="19">
        <f>ROUND(SUM(G228:G229),2)</f>
        <v>17631.57</v>
      </c>
    </row>
    <row r="231" spans="1:7" ht="12.75">
      <c r="A231" s="9" t="s">
        <v>11</v>
      </c>
      <c r="B231" s="10" t="s">
        <v>12</v>
      </c>
      <c r="C231" s="11">
        <v>0.20</v>
      </c>
      <c r="D231" s="11" t="s">
        <v>13</v>
      </c>
      <c r="E231" s="11">
        <v>784</v>
      </c>
      <c r="F231" s="12" t="s">
        <v>14</v>
      </c>
      <c r="G231" s="13">
        <f>C231*E231</f>
        <v>156.80</v>
      </c>
    </row>
    <row r="232" spans="1:7" ht="12.75">
      <c r="A232" s="9" t="s">
        <v>15</v>
      </c>
      <c r="B232" s="10" t="s">
        <v>16</v>
      </c>
      <c r="C232" s="11">
        <v>0.20</v>
      </c>
      <c r="D232" s="11" t="s">
        <v>13</v>
      </c>
      <c r="E232" s="11">
        <v>645</v>
      </c>
      <c r="F232" s="12" t="s">
        <v>14</v>
      </c>
      <c r="G232" s="13">
        <f>C232*E232</f>
        <v>129</v>
      </c>
    </row>
    <row r="233" spans="1:7" ht="12.75">
      <c r="A233" s="9"/>
      <c r="B233" s="14" t="s">
        <v>17</v>
      </c>
      <c r="C233" s="11"/>
      <c r="D233" s="11"/>
      <c r="E233" s="11"/>
      <c r="F233" s="12"/>
      <c r="G233" s="13">
        <f>SUM(G231:G232)</f>
        <v>285.80</v>
      </c>
    </row>
    <row r="234" spans="1:7" ht="12.75">
      <c r="A234" s="9"/>
      <c r="B234" s="14" t="s">
        <v>7</v>
      </c>
      <c r="C234" s="11"/>
      <c r="D234" s="11"/>
      <c r="E234" s="11"/>
      <c r="F234" s="12"/>
      <c r="G234" s="13">
        <f>G233*0.01</f>
        <v>2.8580000000000001</v>
      </c>
    </row>
    <row r="235" spans="1:7" ht="12.75">
      <c r="A235" s="9"/>
      <c r="B235" s="14" t="s">
        <v>8</v>
      </c>
      <c r="C235" s="11"/>
      <c r="D235" s="11"/>
      <c r="E235" s="11"/>
      <c r="F235" s="12"/>
      <c r="G235" s="13">
        <f>SUM(G233:G234)</f>
        <v>288.65800000000002</v>
      </c>
    </row>
    <row r="236" spans="1:7" ht="12.75">
      <c r="A236" s="9"/>
      <c r="B236" s="14" t="s">
        <v>9</v>
      </c>
      <c r="C236" s="11"/>
      <c r="D236" s="11"/>
      <c r="E236" s="11"/>
      <c r="F236" s="12"/>
      <c r="G236" s="13">
        <f>G235*15%</f>
        <v>43.298699999999997</v>
      </c>
    </row>
    <row r="237" spans="1:7" ht="12.75">
      <c r="A237" s="9"/>
      <c r="B237" s="15" t="s">
        <v>10</v>
      </c>
      <c r="C237" s="16"/>
      <c r="D237" s="11"/>
      <c r="E237" s="11"/>
      <c r="F237" s="12"/>
      <c r="G237" s="19">
        <f>ROUND(SUM(G235:G236),2)</f>
        <v>331.96</v>
      </c>
    </row>
    <row r="238" spans="1:7" ht="12.75">
      <c r="A238" s="20" t="str">
        <f>CONCATENATE("Say ₹ ",G230," + ",G237," x Cost Index")</f>
        <v>Say ₹ 17631.57 + 331.96 x Cost Index</v>
      </c>
      <c r="B238" s="5"/>
      <c r="C238" s="5"/>
      <c r="D238" s="5"/>
      <c r="E238" s="5"/>
      <c r="F238" s="5"/>
      <c r="G238" s="21"/>
    </row>
    <row r="239" spans="1:7" ht="12.75">
      <c r="A239" s="7" t="s">
        <v>21</v>
      </c>
      <c r="B239" s="8" t="s">
        <v>63</v>
      </c>
      <c r="C239" s="5"/>
      <c r="D239" s="5"/>
      <c r="E239" s="5"/>
      <c r="F239" s="5"/>
      <c r="G239" s="6"/>
    </row>
    <row r="240" spans="1:7" ht="12.75">
      <c r="A240" s="7"/>
      <c r="B240" s="10" t="s">
        <v>64</v>
      </c>
      <c r="C240" s="11">
        <v>1</v>
      </c>
      <c r="D240" s="11" t="s">
        <v>5</v>
      </c>
      <c r="E240" s="11">
        <v>22270</v>
      </c>
      <c r="F240" s="12" t="s">
        <v>6</v>
      </c>
      <c r="G240" s="13">
        <f>C240*E240</f>
        <v>22270</v>
      </c>
    </row>
    <row r="241" spans="1:7" ht="12.75">
      <c r="A241" s="9"/>
      <c r="B241" s="14" t="s">
        <v>7</v>
      </c>
      <c r="C241" s="11"/>
      <c r="D241" s="11"/>
      <c r="E241" s="11"/>
      <c r="F241" s="12"/>
      <c r="G241" s="13">
        <f>G240*1%</f>
        <v>222.70</v>
      </c>
    </row>
    <row r="242" spans="1:7" ht="12.75">
      <c r="A242" s="9"/>
      <c r="B242" s="14" t="s">
        <v>8</v>
      </c>
      <c r="C242" s="11"/>
      <c r="D242" s="11"/>
      <c r="E242" s="11"/>
      <c r="F242" s="12"/>
      <c r="G242" s="13">
        <f>SUM(G240:G241)</f>
        <v>22492.70</v>
      </c>
    </row>
    <row r="243" spans="1:7" ht="12.75">
      <c r="A243" s="9"/>
      <c r="B243" s="14" t="s">
        <v>9</v>
      </c>
      <c r="C243" s="11"/>
      <c r="D243" s="11"/>
      <c r="E243" s="11"/>
      <c r="F243" s="12"/>
      <c r="G243" s="13">
        <f>G242*15%</f>
        <v>3373.9050000000002</v>
      </c>
    </row>
    <row r="244" spans="1:7" ht="12.75">
      <c r="A244" s="9"/>
      <c r="B244" s="15" t="s">
        <v>10</v>
      </c>
      <c r="C244" s="11"/>
      <c r="D244" s="11"/>
      <c r="E244" s="11"/>
      <c r="F244" s="12"/>
      <c r="G244" s="19">
        <f>ROUND(SUM(G242:G243),2)</f>
        <v>25866.61</v>
      </c>
    </row>
    <row r="245" spans="1:7" ht="12.75">
      <c r="A245" s="9" t="s">
        <v>11</v>
      </c>
      <c r="B245" s="10" t="s">
        <v>12</v>
      </c>
      <c r="C245" s="11">
        <v>0.20</v>
      </c>
      <c r="D245" s="11" t="s">
        <v>13</v>
      </c>
      <c r="E245" s="11">
        <v>784</v>
      </c>
      <c r="F245" s="12" t="s">
        <v>14</v>
      </c>
      <c r="G245" s="13">
        <f>C245*E245</f>
        <v>156.80</v>
      </c>
    </row>
    <row r="246" spans="1:7" ht="12.75">
      <c r="A246" s="9" t="s">
        <v>15</v>
      </c>
      <c r="B246" s="10" t="s">
        <v>16</v>
      </c>
      <c r="C246" s="11">
        <v>0.20</v>
      </c>
      <c r="D246" s="11" t="s">
        <v>13</v>
      </c>
      <c r="E246" s="11">
        <v>645</v>
      </c>
      <c r="F246" s="12" t="s">
        <v>14</v>
      </c>
      <c r="G246" s="13">
        <f>C246*E246</f>
        <v>129</v>
      </c>
    </row>
    <row r="247" spans="1:7" ht="12.75">
      <c r="A247" s="9"/>
      <c r="B247" s="14" t="s">
        <v>17</v>
      </c>
      <c r="C247" s="11"/>
      <c r="D247" s="11"/>
      <c r="E247" s="11"/>
      <c r="F247" s="12"/>
      <c r="G247" s="13">
        <f>SUM(G245:G246)</f>
        <v>285.80</v>
      </c>
    </row>
    <row r="248" spans="1:7" ht="12.75">
      <c r="A248" s="9"/>
      <c r="B248" s="14" t="s">
        <v>7</v>
      </c>
      <c r="C248" s="11"/>
      <c r="D248" s="11"/>
      <c r="E248" s="11"/>
      <c r="F248" s="12"/>
      <c r="G248" s="13">
        <f>G247*0.01</f>
        <v>2.8580000000000001</v>
      </c>
    </row>
    <row r="249" spans="1:7" ht="12.75">
      <c r="A249" s="9"/>
      <c r="B249" s="14" t="s">
        <v>8</v>
      </c>
      <c r="C249" s="11"/>
      <c r="D249" s="11"/>
      <c r="E249" s="11"/>
      <c r="F249" s="12"/>
      <c r="G249" s="13">
        <f>SUM(G247:G248)</f>
        <v>288.65800000000002</v>
      </c>
    </row>
    <row r="250" spans="1:7" ht="12.75">
      <c r="A250" s="9"/>
      <c r="B250" s="14" t="s">
        <v>9</v>
      </c>
      <c r="C250" s="11"/>
      <c r="D250" s="11"/>
      <c r="E250" s="11"/>
      <c r="F250" s="12"/>
      <c r="G250" s="13">
        <f>G249*15%</f>
        <v>43.298699999999997</v>
      </c>
    </row>
    <row r="251" spans="1:7" ht="12.75">
      <c r="A251" s="9"/>
      <c r="B251" s="15" t="s">
        <v>10</v>
      </c>
      <c r="C251" s="16"/>
      <c r="D251" s="11"/>
      <c r="E251" s="11"/>
      <c r="F251" s="12"/>
      <c r="G251" s="19">
        <f>ROUND(SUM(G249:G250),2)</f>
        <v>331.96</v>
      </c>
    </row>
    <row r="252" spans="1:7" ht="12.75">
      <c r="A252" s="20" t="str">
        <f>CONCATENATE("Say ₹ ",G244," + ",G251," x Cost Index")</f>
        <v>Say ₹ 25866.61 + 331.96 x Cost Index</v>
      </c>
      <c r="B252" s="5"/>
      <c r="C252" s="5"/>
      <c r="D252" s="5"/>
      <c r="E252" s="5"/>
      <c r="F252" s="5"/>
      <c r="G252" s="21"/>
    </row>
    <row r="253" spans="1:7" ht="12.75">
      <c r="A253" s="4" t="s">
        <v>65</v>
      </c>
      <c r="B253" s="5"/>
      <c r="C253" s="5"/>
      <c r="D253" s="5"/>
      <c r="E253" s="5"/>
      <c r="F253" s="5"/>
      <c r="G253" s="6"/>
    </row>
    <row r="254" spans="1:7" ht="12.75">
      <c r="A254" s="7" t="s">
        <v>2</v>
      </c>
      <c r="B254" s="8" t="s">
        <v>66</v>
      </c>
      <c r="C254" s="5"/>
      <c r="D254" s="5"/>
      <c r="E254" s="5"/>
      <c r="F254" s="5"/>
      <c r="G254" s="6"/>
    </row>
    <row r="255" spans="1:7" ht="12.75">
      <c r="A255" s="7"/>
      <c r="B255" s="10" t="s">
        <v>67</v>
      </c>
      <c r="C255" s="11">
        <v>1</v>
      </c>
      <c r="D255" s="11" t="s">
        <v>5</v>
      </c>
      <c r="E255" s="11">
        <v>16282</v>
      </c>
      <c r="F255" s="12" t="s">
        <v>6</v>
      </c>
      <c r="G255" s="13">
        <f>C255*E255</f>
        <v>16282</v>
      </c>
    </row>
    <row r="256" spans="1:7" ht="12.75">
      <c r="A256" s="9"/>
      <c r="B256" s="14" t="s">
        <v>7</v>
      </c>
      <c r="C256" s="11"/>
      <c r="D256" s="11"/>
      <c r="E256" s="11"/>
      <c r="F256" s="12"/>
      <c r="G256" s="13">
        <f>G255*1%</f>
        <v>162.82</v>
      </c>
    </row>
    <row r="257" spans="1:7" ht="12.75">
      <c r="A257" s="9"/>
      <c r="B257" s="14" t="s">
        <v>8</v>
      </c>
      <c r="C257" s="11"/>
      <c r="D257" s="11"/>
      <c r="E257" s="11"/>
      <c r="F257" s="12"/>
      <c r="G257" s="13">
        <f>SUM(G255:G256)</f>
        <v>16444.82</v>
      </c>
    </row>
    <row r="258" spans="1:7" ht="12.75">
      <c r="A258" s="9"/>
      <c r="B258" s="14" t="s">
        <v>9</v>
      </c>
      <c r="C258" s="11"/>
      <c r="D258" s="11"/>
      <c r="E258" s="11"/>
      <c r="F258" s="12"/>
      <c r="G258" s="13">
        <f>G257*15%</f>
        <v>2466.723</v>
      </c>
    </row>
    <row r="259" spans="1:7" ht="12.75">
      <c r="A259" s="9"/>
      <c r="B259" s="15" t="s">
        <v>10</v>
      </c>
      <c r="C259" s="11"/>
      <c r="D259" s="11"/>
      <c r="E259" s="11"/>
      <c r="F259" s="12"/>
      <c r="G259" s="19">
        <f>ROUND(SUM(G257:G258),2)</f>
        <v>18911.54</v>
      </c>
    </row>
    <row r="260" spans="1:7" ht="12.75">
      <c r="A260" s="9" t="s">
        <v>11</v>
      </c>
      <c r="B260" s="10" t="s">
        <v>12</v>
      </c>
      <c r="C260" s="11">
        <v>0.20</v>
      </c>
      <c r="D260" s="11" t="s">
        <v>13</v>
      </c>
      <c r="E260" s="11">
        <v>784</v>
      </c>
      <c r="F260" s="12" t="s">
        <v>14</v>
      </c>
      <c r="G260" s="13">
        <f>C260*E260</f>
        <v>156.80</v>
      </c>
    </row>
    <row r="261" spans="1:7" ht="12.75">
      <c r="A261" s="9" t="s">
        <v>15</v>
      </c>
      <c r="B261" s="10" t="s">
        <v>16</v>
      </c>
      <c r="C261" s="11">
        <v>0.20</v>
      </c>
      <c r="D261" s="11" t="s">
        <v>13</v>
      </c>
      <c r="E261" s="11">
        <v>645</v>
      </c>
      <c r="F261" s="12" t="s">
        <v>14</v>
      </c>
      <c r="G261" s="13">
        <f>C261*E261</f>
        <v>129</v>
      </c>
    </row>
    <row r="262" spans="1:7" ht="12.75">
      <c r="A262" s="9"/>
      <c r="B262" s="14" t="s">
        <v>17</v>
      </c>
      <c r="C262" s="11"/>
      <c r="D262" s="11"/>
      <c r="E262" s="11"/>
      <c r="F262" s="12"/>
      <c r="G262" s="13">
        <f>SUM(G260:G261)</f>
        <v>285.80</v>
      </c>
    </row>
    <row r="263" spans="1:7" ht="12.75">
      <c r="A263" s="9"/>
      <c r="B263" s="14" t="s">
        <v>7</v>
      </c>
      <c r="C263" s="11"/>
      <c r="D263" s="11"/>
      <c r="E263" s="11"/>
      <c r="F263" s="12"/>
      <c r="G263" s="13">
        <f>G262*0.01</f>
        <v>2.8580000000000001</v>
      </c>
    </row>
    <row r="264" spans="1:7" ht="12.75">
      <c r="A264" s="9"/>
      <c r="B264" s="14" t="s">
        <v>8</v>
      </c>
      <c r="C264" s="11"/>
      <c r="D264" s="11"/>
      <c r="E264" s="11"/>
      <c r="F264" s="12"/>
      <c r="G264" s="13">
        <f>SUM(G262:G263)</f>
        <v>288.65800000000002</v>
      </c>
    </row>
    <row r="265" spans="1:7" ht="12.75">
      <c r="A265" s="9"/>
      <c r="B265" s="14" t="s">
        <v>9</v>
      </c>
      <c r="C265" s="11"/>
      <c r="D265" s="11"/>
      <c r="E265" s="11"/>
      <c r="F265" s="12"/>
      <c r="G265" s="13">
        <f>G264*15%</f>
        <v>43.298699999999997</v>
      </c>
    </row>
    <row r="266" spans="1:7" ht="12.75">
      <c r="A266" s="9"/>
      <c r="B266" s="15" t="s">
        <v>10</v>
      </c>
      <c r="C266" s="16"/>
      <c r="D266" s="11"/>
      <c r="E266" s="11"/>
      <c r="F266" s="12"/>
      <c r="G266" s="19">
        <f>ROUND(SUM(G264:G265),2)</f>
        <v>331.96</v>
      </c>
    </row>
    <row r="267" spans="1:7" ht="12.75">
      <c r="A267" s="20" t="str">
        <f>CONCATENATE("Say ₹ ",G259," + ",G266," x Cost Index")</f>
        <v>Say ₹ 18911.54 + 331.96 x Cost Index</v>
      </c>
      <c r="B267" s="5"/>
      <c r="C267" s="5"/>
      <c r="D267" s="5"/>
      <c r="E267" s="5"/>
      <c r="F267" s="5"/>
      <c r="G267" s="21"/>
    </row>
    <row r="268" spans="1:7" ht="12.75">
      <c r="A268" s="4" t="s">
        <v>68</v>
      </c>
      <c r="B268" s="5"/>
      <c r="C268" s="5"/>
      <c r="D268" s="5"/>
      <c r="E268" s="5"/>
      <c r="F268" s="5"/>
      <c r="G268" s="6"/>
    </row>
    <row r="269" spans="1:7" ht="12.75">
      <c r="A269" s="7" t="s">
        <v>2</v>
      </c>
      <c r="B269" s="8" t="s">
        <v>69</v>
      </c>
      <c r="C269" s="5"/>
      <c r="D269" s="5"/>
      <c r="E269" s="5"/>
      <c r="F269" s="5"/>
      <c r="G269" s="6"/>
    </row>
    <row r="270" spans="1:7" ht="12.75">
      <c r="A270" s="7"/>
      <c r="B270" s="10" t="s">
        <v>70</v>
      </c>
      <c r="C270" s="11">
        <v>1</v>
      </c>
      <c r="D270" s="11" t="s">
        <v>5</v>
      </c>
      <c r="E270" s="11">
        <v>40522</v>
      </c>
      <c r="F270" s="12" t="s">
        <v>6</v>
      </c>
      <c r="G270" s="13">
        <f>C270*E270</f>
        <v>40522</v>
      </c>
    </row>
    <row r="271" spans="1:7" ht="12.75">
      <c r="A271" s="9"/>
      <c r="B271" s="14" t="s">
        <v>7</v>
      </c>
      <c r="C271" s="11"/>
      <c r="D271" s="11"/>
      <c r="E271" s="11"/>
      <c r="F271" s="12"/>
      <c r="G271" s="13">
        <f>G270*1%</f>
        <v>405.22</v>
      </c>
    </row>
    <row r="272" spans="1:7" ht="12.75">
      <c r="A272" s="9"/>
      <c r="B272" s="14" t="s">
        <v>8</v>
      </c>
      <c r="C272" s="11"/>
      <c r="D272" s="11"/>
      <c r="E272" s="11"/>
      <c r="F272" s="12"/>
      <c r="G272" s="13">
        <f>SUM(G270:G271)</f>
        <v>40927.22</v>
      </c>
    </row>
    <row r="273" spans="1:7" ht="12.75">
      <c r="A273" s="9"/>
      <c r="B273" s="14" t="s">
        <v>9</v>
      </c>
      <c r="C273" s="11"/>
      <c r="D273" s="11"/>
      <c r="E273" s="11"/>
      <c r="F273" s="12"/>
      <c r="G273" s="13">
        <f>G272*15%</f>
        <v>6139.0829999999996</v>
      </c>
    </row>
    <row r="274" spans="1:7" ht="12.75">
      <c r="A274" s="9"/>
      <c r="B274" s="15" t="s">
        <v>10</v>
      </c>
      <c r="C274" s="11"/>
      <c r="D274" s="11"/>
      <c r="E274" s="11"/>
      <c r="F274" s="12"/>
      <c r="G274" s="19">
        <f>ROUND(SUM(G272:G273),2)</f>
        <v>47066.30</v>
      </c>
    </row>
    <row r="275" spans="1:7" ht="12.75">
      <c r="A275" s="9" t="s">
        <v>11</v>
      </c>
      <c r="B275" s="10" t="s">
        <v>12</v>
      </c>
      <c r="C275" s="11">
        <v>0.20</v>
      </c>
      <c r="D275" s="11" t="s">
        <v>13</v>
      </c>
      <c r="E275" s="11">
        <v>784</v>
      </c>
      <c r="F275" s="12" t="s">
        <v>14</v>
      </c>
      <c r="G275" s="13">
        <f>C275*E275</f>
        <v>156.80</v>
      </c>
    </row>
    <row r="276" spans="1:7" ht="12.75">
      <c r="A276" s="9" t="s">
        <v>15</v>
      </c>
      <c r="B276" s="10" t="s">
        <v>16</v>
      </c>
      <c r="C276" s="11">
        <v>0.20</v>
      </c>
      <c r="D276" s="11" t="s">
        <v>13</v>
      </c>
      <c r="E276" s="11">
        <v>645</v>
      </c>
      <c r="F276" s="12" t="s">
        <v>14</v>
      </c>
      <c r="G276" s="13">
        <f>C276*E276</f>
        <v>129</v>
      </c>
    </row>
    <row r="277" spans="1:7" ht="12.75">
      <c r="A277" s="9"/>
      <c r="B277" s="14" t="s">
        <v>17</v>
      </c>
      <c r="C277" s="11"/>
      <c r="D277" s="11"/>
      <c r="E277" s="11"/>
      <c r="F277" s="12"/>
      <c r="G277" s="13">
        <f>SUM(G275:G276)</f>
        <v>285.80</v>
      </c>
    </row>
    <row r="278" spans="1:7" ht="12.75">
      <c r="A278" s="9"/>
      <c r="B278" s="14" t="s">
        <v>7</v>
      </c>
      <c r="C278" s="11"/>
      <c r="D278" s="11"/>
      <c r="E278" s="11"/>
      <c r="F278" s="12"/>
      <c r="G278" s="13">
        <f>G277*0.01</f>
        <v>2.8580000000000001</v>
      </c>
    </row>
    <row r="279" spans="1:7" ht="12.75">
      <c r="A279" s="9"/>
      <c r="B279" s="14" t="s">
        <v>8</v>
      </c>
      <c r="C279" s="11"/>
      <c r="D279" s="11"/>
      <c r="E279" s="11"/>
      <c r="F279" s="12"/>
      <c r="G279" s="13">
        <f>SUM(G277:G278)</f>
        <v>288.65800000000002</v>
      </c>
    </row>
    <row r="280" spans="1:7" ht="12.75">
      <c r="A280" s="9"/>
      <c r="B280" s="14" t="s">
        <v>9</v>
      </c>
      <c r="C280" s="11"/>
      <c r="D280" s="11"/>
      <c r="E280" s="11"/>
      <c r="F280" s="12"/>
      <c r="G280" s="13">
        <f>G279*15%</f>
        <v>43.298699999999997</v>
      </c>
    </row>
    <row r="281" spans="1:7" ht="12.75">
      <c r="A281" s="9"/>
      <c r="B281" s="15" t="s">
        <v>10</v>
      </c>
      <c r="C281" s="16"/>
      <c r="D281" s="11"/>
      <c r="E281" s="11"/>
      <c r="F281" s="12"/>
      <c r="G281" s="19">
        <f>ROUND(SUM(G279:G280),2)</f>
        <v>331.96</v>
      </c>
    </row>
    <row r="282" spans="1:7" ht="12.75">
      <c r="A282" s="20" t="str">
        <f>CONCATENATE("Say ₹ ",G274," + ",G281," x Cost Index")</f>
        <v>Say ₹ 47066.3 + 331.96 x Cost Index</v>
      </c>
      <c r="B282" s="5"/>
      <c r="C282" s="5"/>
      <c r="D282" s="5"/>
      <c r="E282" s="5"/>
      <c r="F282" s="5"/>
      <c r="G282" s="21"/>
    </row>
    <row r="283" spans="1:7" ht="12.75">
      <c r="A283" s="7" t="s">
        <v>18</v>
      </c>
      <c r="B283" s="8" t="s">
        <v>71</v>
      </c>
      <c r="C283" s="5"/>
      <c r="D283" s="5"/>
      <c r="E283" s="5"/>
      <c r="F283" s="5"/>
      <c r="G283" s="6"/>
    </row>
    <row r="284" spans="1:7" ht="12.75">
      <c r="A284" s="7"/>
      <c r="B284" s="10" t="s">
        <v>72</v>
      </c>
      <c r="C284" s="11">
        <v>1</v>
      </c>
      <c r="D284" s="11" t="s">
        <v>5</v>
      </c>
      <c r="E284" s="11">
        <v>62500</v>
      </c>
      <c r="F284" s="12" t="s">
        <v>6</v>
      </c>
      <c r="G284" s="13">
        <f>C284*E284</f>
        <v>62500</v>
      </c>
    </row>
    <row r="285" spans="1:7" ht="12.75">
      <c r="A285" s="9"/>
      <c r="B285" s="14" t="s">
        <v>7</v>
      </c>
      <c r="C285" s="11"/>
      <c r="D285" s="11"/>
      <c r="E285" s="11"/>
      <c r="F285" s="12"/>
      <c r="G285" s="13">
        <f>G284*1%</f>
        <v>625</v>
      </c>
    </row>
    <row r="286" spans="1:7" ht="12.75">
      <c r="A286" s="9"/>
      <c r="B286" s="14" t="s">
        <v>8</v>
      </c>
      <c r="C286" s="11"/>
      <c r="D286" s="11"/>
      <c r="E286" s="11"/>
      <c r="F286" s="12"/>
      <c r="G286" s="13">
        <f>SUM(G284:G285)</f>
        <v>63125</v>
      </c>
    </row>
    <row r="287" spans="1:7" ht="12.75">
      <c r="A287" s="9"/>
      <c r="B287" s="14" t="s">
        <v>9</v>
      </c>
      <c r="C287" s="11"/>
      <c r="D287" s="11"/>
      <c r="E287" s="11"/>
      <c r="F287" s="12"/>
      <c r="G287" s="13">
        <f>G286*15%</f>
        <v>9468.75</v>
      </c>
    </row>
    <row r="288" spans="1:7" ht="12.75">
      <c r="A288" s="9"/>
      <c r="B288" s="15" t="s">
        <v>10</v>
      </c>
      <c r="C288" s="11"/>
      <c r="D288" s="11"/>
      <c r="E288" s="11"/>
      <c r="F288" s="12"/>
      <c r="G288" s="19">
        <f>ROUND(SUM(G286:G287),2)</f>
        <v>72593.75</v>
      </c>
    </row>
    <row r="289" spans="1:7" ht="12.75">
      <c r="A289" s="9" t="s">
        <v>11</v>
      </c>
      <c r="B289" s="10" t="s">
        <v>12</v>
      </c>
      <c r="C289" s="11">
        <v>0.20</v>
      </c>
      <c r="D289" s="11" t="s">
        <v>13</v>
      </c>
      <c r="E289" s="11">
        <v>784</v>
      </c>
      <c r="F289" s="12" t="s">
        <v>14</v>
      </c>
      <c r="G289" s="13">
        <f>C289*E289</f>
        <v>156.80</v>
      </c>
    </row>
    <row r="290" spans="1:7" ht="12.75">
      <c r="A290" s="9" t="s">
        <v>15</v>
      </c>
      <c r="B290" s="10" t="s">
        <v>16</v>
      </c>
      <c r="C290" s="11">
        <v>0.20</v>
      </c>
      <c r="D290" s="11" t="s">
        <v>13</v>
      </c>
      <c r="E290" s="11">
        <v>645</v>
      </c>
      <c r="F290" s="12" t="s">
        <v>14</v>
      </c>
      <c r="G290" s="13">
        <f>C290*E290</f>
        <v>129</v>
      </c>
    </row>
    <row r="291" spans="1:7" ht="12.75">
      <c r="A291" s="9"/>
      <c r="B291" s="14" t="s">
        <v>17</v>
      </c>
      <c r="C291" s="11"/>
      <c r="D291" s="11"/>
      <c r="E291" s="11"/>
      <c r="F291" s="12"/>
      <c r="G291" s="13">
        <f>SUM(G289:G290)</f>
        <v>285.80</v>
      </c>
    </row>
    <row r="292" spans="1:7" ht="12.75">
      <c r="A292" s="9"/>
      <c r="B292" s="14" t="s">
        <v>7</v>
      </c>
      <c r="C292" s="11"/>
      <c r="D292" s="11"/>
      <c r="E292" s="11"/>
      <c r="F292" s="12"/>
      <c r="G292" s="13">
        <f>G291*0.01</f>
        <v>2.8580000000000001</v>
      </c>
    </row>
    <row r="293" spans="1:7" ht="12.75">
      <c r="A293" s="9"/>
      <c r="B293" s="14" t="s">
        <v>8</v>
      </c>
      <c r="C293" s="11"/>
      <c r="D293" s="11"/>
      <c r="E293" s="11"/>
      <c r="F293" s="12"/>
      <c r="G293" s="13">
        <f>SUM(G291:G292)</f>
        <v>288.65800000000002</v>
      </c>
    </row>
    <row r="294" spans="1:7" ht="12.75">
      <c r="A294" s="9"/>
      <c r="B294" s="14" t="s">
        <v>9</v>
      </c>
      <c r="C294" s="11"/>
      <c r="D294" s="11"/>
      <c r="E294" s="11"/>
      <c r="F294" s="12"/>
      <c r="G294" s="13">
        <f>G293*15%</f>
        <v>43.298699999999997</v>
      </c>
    </row>
    <row r="295" spans="1:7" ht="12.75">
      <c r="A295" s="9"/>
      <c r="B295" s="15" t="s">
        <v>10</v>
      </c>
      <c r="C295" s="16"/>
      <c r="D295" s="11"/>
      <c r="E295" s="11"/>
      <c r="F295" s="12"/>
      <c r="G295" s="19">
        <f>ROUND(SUM(G293:G294),2)</f>
        <v>331.96</v>
      </c>
    </row>
    <row r="296" spans="1:7" ht="12.75">
      <c r="A296" s="20" t="str">
        <f>CONCATENATE("Say ₹ ",G288," + ",G295," x Cost Index")</f>
        <v>Say ₹ 72593.75 + 331.96 x Cost Index</v>
      </c>
      <c r="B296" s="5"/>
      <c r="C296" s="5"/>
      <c r="D296" s="5"/>
      <c r="E296" s="5"/>
      <c r="F296" s="5"/>
      <c r="G296" s="21"/>
    </row>
    <row r="297" spans="1:7" ht="12.75">
      <c r="A297" s="7" t="s">
        <v>21</v>
      </c>
      <c r="B297" s="8" t="s">
        <v>73</v>
      </c>
      <c r="C297" s="5"/>
      <c r="D297" s="5"/>
      <c r="E297" s="5"/>
      <c r="F297" s="5"/>
      <c r="G297" s="6"/>
    </row>
    <row r="298" spans="1:7" ht="12.75">
      <c r="A298" s="7"/>
      <c r="B298" s="10" t="s">
        <v>74</v>
      </c>
      <c r="C298" s="11">
        <v>1</v>
      </c>
      <c r="D298" s="11" t="s">
        <v>5</v>
      </c>
      <c r="E298" s="11">
        <v>71266</v>
      </c>
      <c r="F298" s="12" t="s">
        <v>6</v>
      </c>
      <c r="G298" s="13">
        <f>C298*E298</f>
        <v>71266</v>
      </c>
    </row>
    <row r="299" spans="1:7" ht="12.75">
      <c r="A299" s="9"/>
      <c r="B299" s="14" t="s">
        <v>7</v>
      </c>
      <c r="C299" s="11"/>
      <c r="D299" s="11"/>
      <c r="E299" s="11"/>
      <c r="F299" s="12"/>
      <c r="G299" s="13">
        <f>G298*1%</f>
        <v>712.66</v>
      </c>
    </row>
    <row r="300" spans="1:7" ht="12.75">
      <c r="A300" s="9"/>
      <c r="B300" s="14" t="s">
        <v>8</v>
      </c>
      <c r="C300" s="11"/>
      <c r="D300" s="11"/>
      <c r="E300" s="11"/>
      <c r="F300" s="12"/>
      <c r="G300" s="13">
        <f>SUM(G298:G299)</f>
        <v>71978.66</v>
      </c>
    </row>
    <row r="301" spans="1:7" ht="12.75">
      <c r="A301" s="9"/>
      <c r="B301" s="14" t="s">
        <v>9</v>
      </c>
      <c r="C301" s="11"/>
      <c r="D301" s="11"/>
      <c r="E301" s="11"/>
      <c r="F301" s="12"/>
      <c r="G301" s="13">
        <f>G300*15%</f>
        <v>10796.799000000001</v>
      </c>
    </row>
    <row r="302" spans="1:7" ht="12.75">
      <c r="A302" s="9"/>
      <c r="B302" s="15" t="s">
        <v>10</v>
      </c>
      <c r="C302" s="11"/>
      <c r="D302" s="11"/>
      <c r="E302" s="11"/>
      <c r="F302" s="12"/>
      <c r="G302" s="19">
        <f>ROUND(SUM(G300:G301),2)</f>
        <v>82775.46</v>
      </c>
    </row>
    <row r="303" spans="1:7" ht="12.75">
      <c r="A303" s="9" t="s">
        <v>11</v>
      </c>
      <c r="B303" s="10" t="s">
        <v>12</v>
      </c>
      <c r="C303" s="11">
        <v>0.20</v>
      </c>
      <c r="D303" s="11" t="s">
        <v>13</v>
      </c>
      <c r="E303" s="11">
        <v>784</v>
      </c>
      <c r="F303" s="12" t="s">
        <v>14</v>
      </c>
      <c r="G303" s="13">
        <f>C303*E303</f>
        <v>156.80</v>
      </c>
    </row>
    <row r="304" spans="1:7" ht="12.75">
      <c r="A304" s="9" t="s">
        <v>15</v>
      </c>
      <c r="B304" s="10" t="s">
        <v>16</v>
      </c>
      <c r="C304" s="11">
        <v>0.20</v>
      </c>
      <c r="D304" s="11" t="s">
        <v>13</v>
      </c>
      <c r="E304" s="11">
        <v>645</v>
      </c>
      <c r="F304" s="12" t="s">
        <v>14</v>
      </c>
      <c r="G304" s="13">
        <f>C304*E304</f>
        <v>129</v>
      </c>
    </row>
    <row r="305" spans="1:7" ht="12.75">
      <c r="A305" s="9"/>
      <c r="B305" s="14" t="s">
        <v>17</v>
      </c>
      <c r="C305" s="11"/>
      <c r="D305" s="11"/>
      <c r="E305" s="11"/>
      <c r="F305" s="12"/>
      <c r="G305" s="13">
        <f>SUM(G303:G304)</f>
        <v>285.80</v>
      </c>
    </row>
    <row r="306" spans="1:7" ht="12.75">
      <c r="A306" s="9"/>
      <c r="B306" s="14" t="s">
        <v>7</v>
      </c>
      <c r="C306" s="11"/>
      <c r="D306" s="11"/>
      <c r="E306" s="11"/>
      <c r="F306" s="12"/>
      <c r="G306" s="13">
        <f>G305*0.01</f>
        <v>2.8580000000000001</v>
      </c>
    </row>
    <row r="307" spans="1:7" ht="12.75">
      <c r="A307" s="9"/>
      <c r="B307" s="14" t="s">
        <v>8</v>
      </c>
      <c r="C307" s="11"/>
      <c r="D307" s="11"/>
      <c r="E307" s="11"/>
      <c r="F307" s="12"/>
      <c r="G307" s="13">
        <f>SUM(G305:G306)</f>
        <v>288.65800000000002</v>
      </c>
    </row>
    <row r="308" spans="1:7" ht="12.75">
      <c r="A308" s="9"/>
      <c r="B308" s="14" t="s">
        <v>9</v>
      </c>
      <c r="C308" s="11"/>
      <c r="D308" s="11"/>
      <c r="E308" s="11"/>
      <c r="F308" s="12"/>
      <c r="G308" s="13">
        <f>G307*15%</f>
        <v>43.298699999999997</v>
      </c>
    </row>
    <row r="309" spans="1:7" ht="12.75">
      <c r="A309" s="9"/>
      <c r="B309" s="15" t="s">
        <v>10</v>
      </c>
      <c r="C309" s="16"/>
      <c r="D309" s="11"/>
      <c r="E309" s="11"/>
      <c r="F309" s="12"/>
      <c r="G309" s="19">
        <f>ROUND(SUM(G307:G308),2)</f>
        <v>331.96</v>
      </c>
    </row>
    <row r="310" spans="1:7" ht="12.75">
      <c r="A310" s="20" t="str">
        <f>CONCATENATE("Say ₹ ",G302," + ",G309," x Cost Index")</f>
        <v>Say ₹ 82775.46 + 331.96 x Cost Index</v>
      </c>
      <c r="B310" s="5"/>
      <c r="C310" s="5"/>
      <c r="D310" s="5"/>
      <c r="E310" s="5"/>
      <c r="F310" s="5"/>
      <c r="G310" s="21"/>
    </row>
    <row r="311" spans="1:7" ht="12.75">
      <c r="A311" s="4" t="s">
        <v>75</v>
      </c>
      <c r="B311" s="5"/>
      <c r="C311" s="5"/>
      <c r="D311" s="5"/>
      <c r="E311" s="5"/>
      <c r="F311" s="5"/>
      <c r="G311" s="6"/>
    </row>
    <row r="312" spans="1:7" ht="12.75">
      <c r="A312" s="7" t="s">
        <v>2</v>
      </c>
      <c r="B312" s="8" t="s">
        <v>76</v>
      </c>
      <c r="C312" s="5"/>
      <c r="D312" s="5"/>
      <c r="E312" s="5"/>
      <c r="F312" s="5"/>
      <c r="G312" s="6"/>
    </row>
    <row r="313" spans="1:7" ht="12.75">
      <c r="A313" s="7"/>
      <c r="B313" s="10" t="s">
        <v>77</v>
      </c>
      <c r="C313" s="11">
        <v>1</v>
      </c>
      <c r="D313" s="11" t="s">
        <v>5</v>
      </c>
      <c r="E313" s="11">
        <v>32500</v>
      </c>
      <c r="F313" s="12" t="s">
        <v>6</v>
      </c>
      <c r="G313" s="13">
        <f>C313*E313</f>
        <v>32500</v>
      </c>
    </row>
    <row r="314" spans="1:7" ht="12.75">
      <c r="A314" s="9"/>
      <c r="B314" s="14" t="s">
        <v>7</v>
      </c>
      <c r="C314" s="11"/>
      <c r="D314" s="11"/>
      <c r="E314" s="11"/>
      <c r="F314" s="12"/>
      <c r="G314" s="13">
        <f>G313*1%</f>
        <v>325</v>
      </c>
    </row>
    <row r="315" spans="1:7" ht="12.75">
      <c r="A315" s="9"/>
      <c r="B315" s="14" t="s">
        <v>8</v>
      </c>
      <c r="C315" s="11"/>
      <c r="D315" s="11"/>
      <c r="E315" s="11"/>
      <c r="F315" s="12"/>
      <c r="G315" s="13">
        <f>SUM(G313:G314)</f>
        <v>32825</v>
      </c>
    </row>
    <row r="316" spans="1:7" ht="12.75">
      <c r="A316" s="9"/>
      <c r="B316" s="14" t="s">
        <v>9</v>
      </c>
      <c r="C316" s="11"/>
      <c r="D316" s="11"/>
      <c r="E316" s="11"/>
      <c r="F316" s="12"/>
      <c r="G316" s="13">
        <f>G315*15%</f>
        <v>4923.75</v>
      </c>
    </row>
    <row r="317" spans="1:7" ht="12.75">
      <c r="A317" s="9"/>
      <c r="B317" s="15" t="s">
        <v>10</v>
      </c>
      <c r="C317" s="11"/>
      <c r="D317" s="11"/>
      <c r="E317" s="11"/>
      <c r="F317" s="12"/>
      <c r="G317" s="19">
        <f>ROUND(SUM(G315:G316),2)</f>
        <v>37748.75</v>
      </c>
    </row>
    <row r="318" spans="1:7" ht="12.75">
      <c r="A318" s="9" t="s">
        <v>11</v>
      </c>
      <c r="B318" s="10" t="s">
        <v>12</v>
      </c>
      <c r="C318" s="11">
        <v>0.20</v>
      </c>
      <c r="D318" s="11" t="s">
        <v>13</v>
      </c>
      <c r="E318" s="11">
        <v>784</v>
      </c>
      <c r="F318" s="12" t="s">
        <v>14</v>
      </c>
      <c r="G318" s="13">
        <f>C318*E318</f>
        <v>156.80</v>
      </c>
    </row>
    <row r="319" spans="1:7" ht="12.75">
      <c r="A319" s="9" t="s">
        <v>15</v>
      </c>
      <c r="B319" s="10" t="s">
        <v>16</v>
      </c>
      <c r="C319" s="11">
        <v>0.20</v>
      </c>
      <c r="D319" s="11" t="s">
        <v>13</v>
      </c>
      <c r="E319" s="11">
        <v>645</v>
      </c>
      <c r="F319" s="12" t="s">
        <v>14</v>
      </c>
      <c r="G319" s="13">
        <f>C319*E319</f>
        <v>129</v>
      </c>
    </row>
    <row r="320" spans="1:7" ht="12.75">
      <c r="A320" s="9"/>
      <c r="B320" s="14" t="s">
        <v>17</v>
      </c>
      <c r="C320" s="11"/>
      <c r="D320" s="11"/>
      <c r="E320" s="11"/>
      <c r="F320" s="12"/>
      <c r="G320" s="13">
        <f>SUM(G318:G319)</f>
        <v>285.80</v>
      </c>
    </row>
    <row r="321" spans="1:7" ht="12.75">
      <c r="A321" s="9"/>
      <c r="B321" s="14" t="s">
        <v>7</v>
      </c>
      <c r="C321" s="11"/>
      <c r="D321" s="11"/>
      <c r="E321" s="11"/>
      <c r="F321" s="12"/>
      <c r="G321" s="13">
        <f>G320*0.01</f>
        <v>2.8580000000000001</v>
      </c>
    </row>
    <row r="322" spans="1:7" ht="12.75">
      <c r="A322" s="9"/>
      <c r="B322" s="14" t="s">
        <v>8</v>
      </c>
      <c r="C322" s="11"/>
      <c r="D322" s="11"/>
      <c r="E322" s="11"/>
      <c r="F322" s="12"/>
      <c r="G322" s="13">
        <f>SUM(G320:G321)</f>
        <v>288.65800000000002</v>
      </c>
    </row>
    <row r="323" spans="1:7" ht="12.75">
      <c r="A323" s="9"/>
      <c r="B323" s="14" t="s">
        <v>9</v>
      </c>
      <c r="C323" s="11"/>
      <c r="D323" s="11"/>
      <c r="E323" s="11"/>
      <c r="F323" s="12"/>
      <c r="G323" s="13">
        <f>G322*15%</f>
        <v>43.298699999999997</v>
      </c>
    </row>
    <row r="324" spans="1:7" ht="12.75">
      <c r="A324" s="9"/>
      <c r="B324" s="15" t="s">
        <v>10</v>
      </c>
      <c r="C324" s="16"/>
      <c r="D324" s="11"/>
      <c r="E324" s="11"/>
      <c r="F324" s="12"/>
      <c r="G324" s="19">
        <f>ROUND(SUM(G322:G323),2)</f>
        <v>331.96</v>
      </c>
    </row>
    <row r="325" spans="1:7" ht="12.75">
      <c r="A325" s="20" t="str">
        <f>CONCATENATE("Say ₹ ",G317," + ",G324," x Cost Index")</f>
        <v>Say ₹ 37748.75 + 331.96 x Cost Index</v>
      </c>
      <c r="B325" s="5"/>
      <c r="C325" s="5"/>
      <c r="D325" s="5"/>
      <c r="E325" s="5"/>
      <c r="F325" s="5"/>
      <c r="G325" s="21"/>
    </row>
    <row r="326" spans="1:7" ht="12.75">
      <c r="A326" s="4" t="s">
        <v>78</v>
      </c>
      <c r="B326" s="5"/>
      <c r="C326" s="5"/>
      <c r="D326" s="5"/>
      <c r="E326" s="5"/>
      <c r="F326" s="5"/>
      <c r="G326" s="6"/>
    </row>
    <row r="327" spans="1:7" ht="12.75">
      <c r="A327" s="7" t="s">
        <v>2</v>
      </c>
      <c r="B327" s="8" t="s">
        <v>79</v>
      </c>
      <c r="C327" s="5"/>
      <c r="D327" s="5"/>
      <c r="E327" s="5"/>
      <c r="F327" s="5"/>
      <c r="G327" s="6"/>
    </row>
    <row r="328" spans="1:7" ht="12.75">
      <c r="A328" s="7"/>
      <c r="B328" s="10" t="s">
        <v>80</v>
      </c>
      <c r="C328" s="11">
        <v>1</v>
      </c>
      <c r="D328" s="11" t="s">
        <v>5</v>
      </c>
      <c r="E328" s="11">
        <v>2800</v>
      </c>
      <c r="F328" s="12" t="s">
        <v>6</v>
      </c>
      <c r="G328" s="13">
        <f>C328*E328</f>
        <v>2800</v>
      </c>
    </row>
    <row r="329" spans="1:7" ht="12.75">
      <c r="A329" s="7"/>
      <c r="B329" s="14" t="s">
        <v>7</v>
      </c>
      <c r="C329" s="11"/>
      <c r="D329" s="11"/>
      <c r="E329" s="11"/>
      <c r="F329" s="12"/>
      <c r="G329" s="13">
        <f>G328*1%</f>
        <v>28</v>
      </c>
    </row>
    <row r="330" spans="1:7" ht="12.75">
      <c r="A330" s="7"/>
      <c r="B330" s="14" t="s">
        <v>8</v>
      </c>
      <c r="C330" s="11"/>
      <c r="D330" s="11"/>
      <c r="E330" s="11"/>
      <c r="F330" s="12"/>
      <c r="G330" s="13">
        <f>SUM(G328:G329)</f>
        <v>2828</v>
      </c>
    </row>
    <row r="331" spans="1:7" ht="12.75">
      <c r="A331" s="7"/>
      <c r="B331" s="14" t="s">
        <v>9</v>
      </c>
      <c r="C331" s="11"/>
      <c r="D331" s="11"/>
      <c r="E331" s="11"/>
      <c r="F331" s="12"/>
      <c r="G331" s="13">
        <f>G330*15%</f>
        <v>424.20</v>
      </c>
    </row>
    <row r="332" spans="1:7" ht="12.75">
      <c r="A332" s="7"/>
      <c r="B332" s="15" t="s">
        <v>10</v>
      </c>
      <c r="C332" s="16"/>
      <c r="D332" s="17"/>
      <c r="E332" s="17"/>
      <c r="F332" s="18"/>
      <c r="G332" s="19">
        <f>ROUND(SUM(G330:G331),2)</f>
        <v>3252.20</v>
      </c>
    </row>
    <row r="333" spans="1:7" ht="12.75">
      <c r="A333" s="9" t="s">
        <v>39</v>
      </c>
      <c r="B333" s="10" t="s">
        <v>40</v>
      </c>
      <c r="C333" s="11">
        <v>15.50</v>
      </c>
      <c r="D333" s="11" t="s">
        <v>41</v>
      </c>
      <c r="E333" s="11">
        <v>2.12</v>
      </c>
      <c r="F333" s="12" t="s">
        <v>6</v>
      </c>
      <c r="G333" s="13">
        <f>C333*E333</f>
        <v>32.86</v>
      </c>
    </row>
    <row r="334" spans="1:7" ht="12.75">
      <c r="A334" s="7"/>
      <c r="B334" s="14" t="s">
        <v>17</v>
      </c>
      <c r="C334" s="11"/>
      <c r="D334" s="11"/>
      <c r="E334" s="11"/>
      <c r="F334" s="12"/>
      <c r="G334" s="13">
        <f>SUM(G333)</f>
        <v>32.86</v>
      </c>
    </row>
    <row r="335" spans="1:7" ht="12.75">
      <c r="A335" s="7"/>
      <c r="B335" s="14" t="s">
        <v>7</v>
      </c>
      <c r="C335" s="11"/>
      <c r="D335" s="11"/>
      <c r="E335" s="11"/>
      <c r="F335" s="12"/>
      <c r="G335" s="13">
        <f>G334*1%</f>
        <v>0.3286</v>
      </c>
    </row>
    <row r="336" spans="1:7" ht="12.75">
      <c r="A336" s="7"/>
      <c r="B336" s="14" t="s">
        <v>8</v>
      </c>
      <c r="C336" s="11"/>
      <c r="D336" s="11"/>
      <c r="E336" s="11"/>
      <c r="F336" s="12"/>
      <c r="G336" s="13">
        <f>SUM(G334:G335)</f>
        <v>33.188600000000001</v>
      </c>
    </row>
    <row r="337" spans="1:7" ht="12.75">
      <c r="A337" s="7"/>
      <c r="B337" s="14" t="s">
        <v>9</v>
      </c>
      <c r="C337" s="11"/>
      <c r="D337" s="11"/>
      <c r="E337" s="11"/>
      <c r="F337" s="12"/>
      <c r="G337" s="13">
        <f>G336*15%</f>
        <v>4.9782900000000003</v>
      </c>
    </row>
    <row r="338" spans="1:7" ht="12.75">
      <c r="A338" s="7"/>
      <c r="B338" s="15" t="s">
        <v>10</v>
      </c>
      <c r="C338" s="16"/>
      <c r="D338" s="17"/>
      <c r="E338" s="17"/>
      <c r="F338" s="18"/>
      <c r="G338" s="19">
        <f>ROUND(SUM(G336:G337),2)</f>
        <v>38.17</v>
      </c>
    </row>
    <row r="339" spans="1:7" ht="12.75">
      <c r="A339" s="20" t="str">
        <f>CONCATENATE("Say ₹ ",G332," + ",G338," x Cost Index")</f>
        <v>Say ₹ 3252.2 + 38.17 x Cost Index</v>
      </c>
      <c r="B339" s="5"/>
      <c r="C339" s="5"/>
      <c r="D339" s="5"/>
      <c r="E339" s="5"/>
      <c r="F339" s="5"/>
      <c r="G339" s="21"/>
    </row>
    <row r="340" spans="1:7" ht="12.75">
      <c r="A340" s="4" t="s">
        <v>81</v>
      </c>
      <c r="B340" s="5"/>
      <c r="C340" s="5"/>
      <c r="D340" s="5"/>
      <c r="E340" s="5"/>
      <c r="F340" s="5"/>
      <c r="G340" s="6"/>
    </row>
    <row r="341" spans="1:7" ht="12.75">
      <c r="A341" s="7" t="s">
        <v>2</v>
      </c>
      <c r="B341" s="8" t="s">
        <v>82</v>
      </c>
      <c r="C341" s="5"/>
      <c r="D341" s="5"/>
      <c r="E341" s="5"/>
      <c r="F341" s="5"/>
      <c r="G341" s="6"/>
    </row>
    <row r="342" spans="1:7" ht="12.75">
      <c r="A342" s="7"/>
      <c r="B342" s="10" t="s">
        <v>83</v>
      </c>
      <c r="C342" s="11">
        <v>100</v>
      </c>
      <c r="D342" s="11" t="s">
        <v>84</v>
      </c>
      <c r="E342" s="11">
        <v>20</v>
      </c>
      <c r="F342" s="12" t="s">
        <v>84</v>
      </c>
      <c r="G342" s="13">
        <f>E342*C342</f>
        <v>2000</v>
      </c>
    </row>
    <row r="343" spans="1:7" ht="12.75">
      <c r="A343" s="7"/>
      <c r="B343" s="14" t="s">
        <v>7</v>
      </c>
      <c r="C343" s="11"/>
      <c r="D343" s="11"/>
      <c r="E343" s="11"/>
      <c r="F343" s="12"/>
      <c r="G343" s="13">
        <f>G342*1%</f>
        <v>20</v>
      </c>
    </row>
    <row r="344" spans="1:7" ht="12.75">
      <c r="A344" s="7"/>
      <c r="B344" s="14" t="s">
        <v>8</v>
      </c>
      <c r="C344" s="11"/>
      <c r="D344" s="11"/>
      <c r="E344" s="11"/>
      <c r="F344" s="12"/>
      <c r="G344" s="13">
        <f>SUM(G342:G343)</f>
        <v>2020</v>
      </c>
    </row>
    <row r="345" spans="1:7" ht="12.75">
      <c r="A345" s="7"/>
      <c r="B345" s="14" t="s">
        <v>9</v>
      </c>
      <c r="C345" s="11"/>
      <c r="D345" s="11"/>
      <c r="E345" s="11"/>
      <c r="F345" s="12"/>
      <c r="G345" s="13">
        <f>G344*15%</f>
        <v>303</v>
      </c>
    </row>
    <row r="346" spans="1:7" ht="12.75">
      <c r="A346" s="7"/>
      <c r="B346" s="15" t="s">
        <v>10</v>
      </c>
      <c r="C346" s="16"/>
      <c r="D346" s="17"/>
      <c r="E346" s="17"/>
      <c r="F346" s="18"/>
      <c r="G346" s="19">
        <f>ROUND(SUM(G344:G345),2)</f>
        <v>2323</v>
      </c>
    </row>
    <row r="347" spans="1:7" ht="12.75">
      <c r="A347" s="9" t="s">
        <v>15</v>
      </c>
      <c r="B347" s="10" t="s">
        <v>16</v>
      </c>
      <c r="C347" s="11">
        <v>0.60</v>
      </c>
      <c r="D347" s="11" t="s">
        <v>13</v>
      </c>
      <c r="E347" s="11">
        <v>645</v>
      </c>
      <c r="F347" s="12" t="s">
        <v>14</v>
      </c>
      <c r="G347" s="13">
        <f>C347*E347</f>
        <v>387</v>
      </c>
    </row>
    <row r="348" spans="1:7" ht="12.75">
      <c r="A348" s="7"/>
      <c r="B348" s="14" t="s">
        <v>17</v>
      </c>
      <c r="C348" s="11"/>
      <c r="D348" s="11"/>
      <c r="E348" s="11"/>
      <c r="F348" s="12"/>
      <c r="G348" s="13">
        <f>SUM(G347)</f>
        <v>387</v>
      </c>
    </row>
    <row r="349" spans="1:7" ht="12.75">
      <c r="A349" s="7"/>
      <c r="B349" s="14" t="s">
        <v>7</v>
      </c>
      <c r="C349" s="11"/>
      <c r="D349" s="11"/>
      <c r="E349" s="11"/>
      <c r="F349" s="12"/>
      <c r="G349" s="13">
        <f>G348*1%</f>
        <v>3.87</v>
      </c>
    </row>
    <row r="350" spans="1:7" ht="12.75">
      <c r="A350" s="7"/>
      <c r="B350" s="14" t="s">
        <v>8</v>
      </c>
      <c r="C350" s="11"/>
      <c r="D350" s="11"/>
      <c r="E350" s="11"/>
      <c r="F350" s="12"/>
      <c r="G350" s="13">
        <f>SUM(G348:G349)</f>
        <v>390.87</v>
      </c>
    </row>
    <row r="351" spans="1:7" ht="12.75">
      <c r="A351" s="7"/>
      <c r="B351" s="14" t="s">
        <v>9</v>
      </c>
      <c r="C351" s="11"/>
      <c r="D351" s="11"/>
      <c r="E351" s="11"/>
      <c r="F351" s="12"/>
      <c r="G351" s="13">
        <f>G350*15%</f>
        <v>58.630499999999998</v>
      </c>
    </row>
    <row r="352" spans="1:7" ht="12.75">
      <c r="A352" s="7"/>
      <c r="B352" s="15" t="s">
        <v>10</v>
      </c>
      <c r="C352" s="16"/>
      <c r="D352" s="17"/>
      <c r="E352" s="17"/>
      <c r="F352" s="18"/>
      <c r="G352" s="19">
        <f>ROUND(SUM(G350:G351),2)</f>
        <v>449.50</v>
      </c>
    </row>
    <row r="353" spans="1:7" ht="12.75">
      <c r="A353" s="20" t="str">
        <f>CONCATENATE("Say ₹ ",G346," + ",G352," x Cost Index")</f>
        <v>Say ₹ 2323 + 449.5 x Cost Index</v>
      </c>
      <c r="B353" s="5"/>
      <c r="C353" s="5"/>
      <c r="D353" s="5"/>
      <c r="E353" s="5"/>
      <c r="F353" s="5"/>
      <c r="G353" s="21"/>
    </row>
    <row r="354" spans="1:7" ht="12.75">
      <c r="A354" s="7" t="s">
        <v>18</v>
      </c>
      <c r="B354" s="8" t="s">
        <v>85</v>
      </c>
      <c r="C354" s="5"/>
      <c r="D354" s="5"/>
      <c r="E354" s="5"/>
      <c r="F354" s="5"/>
      <c r="G354" s="6"/>
    </row>
    <row r="355" spans="1:7" ht="12.75">
      <c r="A355" s="7"/>
      <c r="B355" s="10" t="s">
        <v>86</v>
      </c>
      <c r="C355" s="11">
        <v>100</v>
      </c>
      <c r="D355" s="11" t="s">
        <v>84</v>
      </c>
      <c r="E355" s="11">
        <v>350</v>
      </c>
      <c r="F355" s="12" t="s">
        <v>84</v>
      </c>
      <c r="G355" s="13">
        <f>E355*C355</f>
        <v>35000</v>
      </c>
    </row>
    <row r="356" spans="1:7" ht="12.75">
      <c r="A356" s="7"/>
      <c r="B356" s="14" t="s">
        <v>7</v>
      </c>
      <c r="C356" s="11"/>
      <c r="D356" s="11"/>
      <c r="E356" s="11"/>
      <c r="F356" s="12"/>
      <c r="G356" s="13">
        <f>G355*1%</f>
        <v>350</v>
      </c>
    </row>
    <row r="357" spans="1:7" ht="12.75">
      <c r="A357" s="7"/>
      <c r="B357" s="14" t="s">
        <v>8</v>
      </c>
      <c r="C357" s="11"/>
      <c r="D357" s="11"/>
      <c r="E357" s="11"/>
      <c r="F357" s="12"/>
      <c r="G357" s="13">
        <f>SUM(G355:G356)</f>
        <v>35350</v>
      </c>
    </row>
    <row r="358" spans="1:7" ht="12.75">
      <c r="A358" s="7"/>
      <c r="B358" s="14" t="s">
        <v>9</v>
      </c>
      <c r="C358" s="11"/>
      <c r="D358" s="11"/>
      <c r="E358" s="11"/>
      <c r="F358" s="12"/>
      <c r="G358" s="13">
        <f>G357*15%</f>
        <v>5302.50</v>
      </c>
    </row>
    <row r="359" spans="1:7" ht="12.75">
      <c r="A359" s="7"/>
      <c r="B359" s="15" t="s">
        <v>10</v>
      </c>
      <c r="C359" s="16"/>
      <c r="D359" s="17"/>
      <c r="E359" s="17"/>
      <c r="F359" s="18"/>
      <c r="G359" s="19">
        <f>ROUND(SUM(G357:G358),2)</f>
        <v>40652.50</v>
      </c>
    </row>
    <row r="360" spans="1:7" ht="12.75">
      <c r="A360" s="9" t="s">
        <v>15</v>
      </c>
      <c r="B360" s="10" t="s">
        <v>16</v>
      </c>
      <c r="C360" s="11">
        <v>0.60</v>
      </c>
      <c r="D360" s="11" t="s">
        <v>13</v>
      </c>
      <c r="E360" s="11">
        <v>645</v>
      </c>
      <c r="F360" s="12" t="s">
        <v>14</v>
      </c>
      <c r="G360" s="13">
        <f>C360*E360</f>
        <v>387</v>
      </c>
    </row>
    <row r="361" spans="1:7" ht="12.75">
      <c r="A361" s="7"/>
      <c r="B361" s="14" t="s">
        <v>17</v>
      </c>
      <c r="C361" s="11"/>
      <c r="D361" s="11"/>
      <c r="E361" s="11"/>
      <c r="F361" s="12"/>
      <c r="G361" s="13">
        <f>SUM(G360)</f>
        <v>387</v>
      </c>
    </row>
    <row r="362" spans="1:7" ht="12.75">
      <c r="A362" s="7"/>
      <c r="B362" s="14" t="s">
        <v>7</v>
      </c>
      <c r="C362" s="11"/>
      <c r="D362" s="11"/>
      <c r="E362" s="11"/>
      <c r="F362" s="12"/>
      <c r="G362" s="13">
        <f>G361*1%</f>
        <v>3.87</v>
      </c>
    </row>
    <row r="363" spans="1:7" ht="12.75">
      <c r="A363" s="7"/>
      <c r="B363" s="14" t="s">
        <v>8</v>
      </c>
      <c r="C363" s="11"/>
      <c r="D363" s="11"/>
      <c r="E363" s="11"/>
      <c r="F363" s="12"/>
      <c r="G363" s="13">
        <f>SUM(G361:G362)</f>
        <v>390.87</v>
      </c>
    </row>
    <row r="364" spans="1:7" ht="12.75">
      <c r="A364" s="7"/>
      <c r="B364" s="14" t="s">
        <v>9</v>
      </c>
      <c r="C364" s="11"/>
      <c r="D364" s="11"/>
      <c r="E364" s="11"/>
      <c r="F364" s="12"/>
      <c r="G364" s="13">
        <f>G363*15%</f>
        <v>58.630499999999998</v>
      </c>
    </row>
    <row r="365" spans="1:7" ht="12.75">
      <c r="A365" s="7"/>
      <c r="B365" s="15" t="s">
        <v>10</v>
      </c>
      <c r="C365" s="16"/>
      <c r="D365" s="17"/>
      <c r="E365" s="17"/>
      <c r="F365" s="18"/>
      <c r="G365" s="19">
        <f>ROUND(SUM(G363:G364),2)</f>
        <v>449.50</v>
      </c>
    </row>
    <row r="366" spans="1:7" ht="12.75">
      <c r="A366" s="20" t="str">
        <f>CONCATENATE("Say ₹ ",G359," + ",G365," x Cost Index")</f>
        <v>Say ₹ 40652.5 + 449.5 x Cost Index</v>
      </c>
      <c r="B366" s="5"/>
      <c r="C366" s="5"/>
      <c r="D366" s="5"/>
      <c r="E366" s="5"/>
      <c r="F366" s="5"/>
      <c r="G366" s="21"/>
    </row>
    <row r="367" spans="1:7" ht="12.75">
      <c r="A367" s="7" t="s">
        <v>21</v>
      </c>
      <c r="B367" s="8" t="s">
        <v>87</v>
      </c>
      <c r="C367" s="5"/>
      <c r="D367" s="5"/>
      <c r="E367" s="5"/>
      <c r="F367" s="5"/>
      <c r="G367" s="6"/>
    </row>
    <row r="368" spans="1:7" ht="12.75">
      <c r="A368" s="7"/>
      <c r="B368" s="10" t="s">
        <v>88</v>
      </c>
      <c r="C368" s="11">
        <v>100</v>
      </c>
      <c r="D368" s="11" t="s">
        <v>84</v>
      </c>
      <c r="E368" s="11">
        <v>310</v>
      </c>
      <c r="F368" s="12" t="s">
        <v>84</v>
      </c>
      <c r="G368" s="13">
        <f>E368*C368</f>
        <v>31000</v>
      </c>
    </row>
    <row r="369" spans="1:7" ht="12.75">
      <c r="A369" s="7"/>
      <c r="B369" s="14" t="s">
        <v>7</v>
      </c>
      <c r="C369" s="11"/>
      <c r="D369" s="11"/>
      <c r="E369" s="11"/>
      <c r="F369" s="12"/>
      <c r="G369" s="13">
        <f>G368*1%</f>
        <v>310</v>
      </c>
    </row>
    <row r="370" spans="1:7" ht="12.75">
      <c r="A370" s="7"/>
      <c r="B370" s="14" t="s">
        <v>8</v>
      </c>
      <c r="C370" s="11"/>
      <c r="D370" s="11"/>
      <c r="E370" s="11"/>
      <c r="F370" s="12"/>
      <c r="G370" s="13">
        <f>SUM(G368:G369)</f>
        <v>31310</v>
      </c>
    </row>
    <row r="371" spans="1:7" ht="12.75">
      <c r="A371" s="7"/>
      <c r="B371" s="14" t="s">
        <v>9</v>
      </c>
      <c r="C371" s="11"/>
      <c r="D371" s="11"/>
      <c r="E371" s="11"/>
      <c r="F371" s="12"/>
      <c r="G371" s="13">
        <f>G370*15%</f>
        <v>4696.50</v>
      </c>
    </row>
    <row r="372" spans="1:7" ht="12.75">
      <c r="A372" s="7"/>
      <c r="B372" s="15" t="s">
        <v>10</v>
      </c>
      <c r="C372" s="16"/>
      <c r="D372" s="17"/>
      <c r="E372" s="17"/>
      <c r="F372" s="18"/>
      <c r="G372" s="19">
        <f>ROUND(SUM(G370:G371),2)</f>
        <v>36006.50</v>
      </c>
    </row>
    <row r="373" spans="1:7" ht="12.75">
      <c r="A373" s="9" t="s">
        <v>15</v>
      </c>
      <c r="B373" s="10" t="s">
        <v>16</v>
      </c>
      <c r="C373" s="11">
        <v>0.60</v>
      </c>
      <c r="D373" s="11" t="s">
        <v>13</v>
      </c>
      <c r="E373" s="11">
        <v>645</v>
      </c>
      <c r="F373" s="12" t="s">
        <v>14</v>
      </c>
      <c r="G373" s="13">
        <f>C373*E373</f>
        <v>387</v>
      </c>
    </row>
    <row r="374" spans="1:7" ht="12.75">
      <c r="A374" s="7"/>
      <c r="B374" s="14" t="s">
        <v>17</v>
      </c>
      <c r="C374" s="11"/>
      <c r="D374" s="11"/>
      <c r="E374" s="11"/>
      <c r="F374" s="12"/>
      <c r="G374" s="13">
        <f>SUM(G373)</f>
        <v>387</v>
      </c>
    </row>
    <row r="375" spans="1:7" ht="12.75">
      <c r="A375" s="7"/>
      <c r="B375" s="14" t="s">
        <v>7</v>
      </c>
      <c r="C375" s="11"/>
      <c r="D375" s="11"/>
      <c r="E375" s="11"/>
      <c r="F375" s="12"/>
      <c r="G375" s="13">
        <f>G374*1%</f>
        <v>3.87</v>
      </c>
    </row>
    <row r="376" spans="1:7" ht="12.75">
      <c r="A376" s="7"/>
      <c r="B376" s="14" t="s">
        <v>8</v>
      </c>
      <c r="C376" s="11"/>
      <c r="D376" s="11"/>
      <c r="E376" s="11"/>
      <c r="F376" s="12"/>
      <c r="G376" s="13">
        <f>SUM(G374:G375)</f>
        <v>390.87</v>
      </c>
    </row>
    <row r="377" spans="1:7" ht="12.75">
      <c r="A377" s="7"/>
      <c r="B377" s="14" t="s">
        <v>9</v>
      </c>
      <c r="C377" s="11"/>
      <c r="D377" s="11"/>
      <c r="E377" s="11"/>
      <c r="F377" s="12"/>
      <c r="G377" s="13">
        <f>G376*15%</f>
        <v>58.630499999999998</v>
      </c>
    </row>
    <row r="378" spans="1:7" ht="12.75">
      <c r="A378" s="7"/>
      <c r="B378" s="15" t="s">
        <v>10</v>
      </c>
      <c r="C378" s="16"/>
      <c r="D378" s="17"/>
      <c r="E378" s="17"/>
      <c r="F378" s="18"/>
      <c r="G378" s="19">
        <f>ROUND(SUM(G376:G377),2)</f>
        <v>449.50</v>
      </c>
    </row>
    <row r="379" spans="1:7" ht="12.75">
      <c r="A379" s="20" t="str">
        <f>CONCATENATE("Say ₹ ",G372," + ",G378," x Cost Index")</f>
        <v>Say ₹ 36006.5 + 449.5 x Cost Index</v>
      </c>
      <c r="B379" s="5"/>
      <c r="C379" s="5"/>
      <c r="D379" s="5"/>
      <c r="E379" s="5"/>
      <c r="F379" s="5"/>
      <c r="G379" s="21"/>
    </row>
    <row r="380" spans="1:7" ht="12.75">
      <c r="A380" s="4" t="s">
        <v>89</v>
      </c>
      <c r="B380" s="5"/>
      <c r="C380" s="5"/>
      <c r="D380" s="5"/>
      <c r="E380" s="5"/>
      <c r="F380" s="5"/>
      <c r="G380" s="6"/>
    </row>
    <row r="381" spans="1:7" ht="12.75">
      <c r="A381" s="7" t="s">
        <v>2</v>
      </c>
      <c r="B381" s="8" t="s">
        <v>90</v>
      </c>
      <c r="C381" s="5"/>
      <c r="D381" s="5"/>
      <c r="E381" s="5"/>
      <c r="F381" s="5"/>
      <c r="G381" s="6"/>
    </row>
    <row r="382" spans="1:7" ht="12.75">
      <c r="A382" s="7"/>
      <c r="B382" s="10" t="s">
        <v>91</v>
      </c>
      <c r="C382" s="11">
        <v>25</v>
      </c>
      <c r="D382" s="11" t="s">
        <v>92</v>
      </c>
      <c r="E382" s="11">
        <v>42.58</v>
      </c>
      <c r="F382" s="12" t="s">
        <v>93</v>
      </c>
      <c r="G382" s="13">
        <f>C382*E382</f>
        <v>1064.50</v>
      </c>
    </row>
    <row r="383" spans="1:7" ht="12.75">
      <c r="A383" s="7"/>
      <c r="B383" s="14" t="s">
        <v>7</v>
      </c>
      <c r="C383" s="11"/>
      <c r="D383" s="11"/>
      <c r="E383" s="11"/>
      <c r="F383" s="12"/>
      <c r="G383" s="13">
        <f>G382*1%</f>
        <v>10.645</v>
      </c>
    </row>
    <row r="384" spans="1:7" ht="12.75">
      <c r="A384" s="7"/>
      <c r="B384" s="14" t="s">
        <v>8</v>
      </c>
      <c r="C384" s="11"/>
      <c r="D384" s="11"/>
      <c r="E384" s="11"/>
      <c r="F384" s="12"/>
      <c r="G384" s="13">
        <f>SUM(G382:G383)</f>
        <v>1075.145</v>
      </c>
    </row>
    <row r="385" spans="1:7" ht="12.75">
      <c r="A385" s="7"/>
      <c r="B385" s="14" t="s">
        <v>9</v>
      </c>
      <c r="C385" s="11"/>
      <c r="D385" s="11"/>
      <c r="E385" s="11"/>
      <c r="F385" s="12"/>
      <c r="G385" s="13">
        <f>G384*15%</f>
        <v>161.27175</v>
      </c>
    </row>
    <row r="386" spans="1:7" ht="12.75">
      <c r="A386" s="7"/>
      <c r="B386" s="15" t="s">
        <v>10</v>
      </c>
      <c r="C386" s="16"/>
      <c r="D386" s="17"/>
      <c r="E386" s="17"/>
      <c r="F386" s="18"/>
      <c r="G386" s="19">
        <f>ROUND(SUM(G384:G385),2)</f>
        <v>1236.42</v>
      </c>
    </row>
    <row r="387" spans="1:7" ht="12.75">
      <c r="A387" s="9" t="s">
        <v>15</v>
      </c>
      <c r="B387" s="10" t="s">
        <v>16</v>
      </c>
      <c r="C387" s="11">
        <v>0.10</v>
      </c>
      <c r="D387" s="11" t="s">
        <v>13</v>
      </c>
      <c r="E387" s="11">
        <v>645</v>
      </c>
      <c r="F387" s="12" t="s">
        <v>14</v>
      </c>
      <c r="G387" s="13">
        <f>C387*E387</f>
        <v>64.50</v>
      </c>
    </row>
    <row r="388" spans="1:7" ht="12.75">
      <c r="A388" s="7"/>
      <c r="B388" s="14" t="s">
        <v>17</v>
      </c>
      <c r="C388" s="11"/>
      <c r="D388" s="11"/>
      <c r="E388" s="11"/>
      <c r="F388" s="12"/>
      <c r="G388" s="13">
        <f>SUM(G387)</f>
        <v>64.50</v>
      </c>
    </row>
    <row r="389" spans="1:7" ht="12.75">
      <c r="A389" s="7"/>
      <c r="B389" s="14" t="s">
        <v>7</v>
      </c>
      <c r="C389" s="11"/>
      <c r="D389" s="11"/>
      <c r="E389" s="11"/>
      <c r="F389" s="12"/>
      <c r="G389" s="13">
        <f>G388*1%</f>
        <v>0.645</v>
      </c>
    </row>
    <row r="390" spans="1:7" ht="12.75">
      <c r="A390" s="7"/>
      <c r="B390" s="14" t="s">
        <v>8</v>
      </c>
      <c r="C390" s="11"/>
      <c r="D390" s="11"/>
      <c r="E390" s="11"/>
      <c r="F390" s="12"/>
      <c r="G390" s="13">
        <f>SUM(G388:G389)</f>
        <v>65.145</v>
      </c>
    </row>
    <row r="391" spans="1:7" ht="12.75">
      <c r="A391" s="7"/>
      <c r="B391" s="14" t="s">
        <v>9</v>
      </c>
      <c r="C391" s="11"/>
      <c r="D391" s="11"/>
      <c r="E391" s="11"/>
      <c r="F391" s="12"/>
      <c r="G391" s="13">
        <f>G390*15%</f>
        <v>9.7717500000000008</v>
      </c>
    </row>
    <row r="392" spans="1:7" ht="12.75">
      <c r="A392" s="7"/>
      <c r="B392" s="15" t="s">
        <v>10</v>
      </c>
      <c r="C392" s="16"/>
      <c r="D392" s="17"/>
      <c r="E392" s="17"/>
      <c r="F392" s="18"/>
      <c r="G392" s="19">
        <f>ROUND(SUM(G390:G391),2)</f>
        <v>74.92</v>
      </c>
    </row>
    <row r="393" spans="1:7" ht="12.75">
      <c r="A393" s="20" t="str">
        <f>CONCATENATE("Say ₹ ",G386," + ",G392," x Cost Index")</f>
        <v>Say ₹ 1236.42 + 74.92 x Cost Index</v>
      </c>
      <c r="B393" s="5"/>
      <c r="C393" s="5"/>
      <c r="D393" s="5"/>
      <c r="E393" s="5"/>
      <c r="F393" s="5"/>
      <c r="G393" s="21"/>
    </row>
    <row r="394" spans="1:7" ht="12.75">
      <c r="A394" s="7" t="s">
        <v>18</v>
      </c>
      <c r="B394" s="8" t="s">
        <v>94</v>
      </c>
      <c r="C394" s="5"/>
      <c r="D394" s="5"/>
      <c r="E394" s="5"/>
      <c r="F394" s="5"/>
      <c r="G394" s="6"/>
    </row>
    <row r="395" spans="1:7" ht="12.75">
      <c r="A395" s="7"/>
      <c r="B395" s="10" t="s">
        <v>95</v>
      </c>
      <c r="C395" s="11">
        <v>25</v>
      </c>
      <c r="D395" s="11" t="s">
        <v>92</v>
      </c>
      <c r="E395" s="11">
        <v>33.35</v>
      </c>
      <c r="F395" s="12" t="s">
        <v>93</v>
      </c>
      <c r="G395" s="13">
        <f>C395*E395</f>
        <v>833.75</v>
      </c>
    </row>
    <row r="396" spans="1:7" ht="12.75">
      <c r="A396" s="7"/>
      <c r="B396" s="14" t="s">
        <v>7</v>
      </c>
      <c r="C396" s="11"/>
      <c r="D396" s="11"/>
      <c r="E396" s="11"/>
      <c r="F396" s="12"/>
      <c r="G396" s="13">
        <f>G395*1%</f>
        <v>8.3375</v>
      </c>
    </row>
    <row r="397" spans="1:7" ht="12.75">
      <c r="A397" s="7"/>
      <c r="B397" s="14" t="s">
        <v>8</v>
      </c>
      <c r="C397" s="11"/>
      <c r="D397" s="11"/>
      <c r="E397" s="11"/>
      <c r="F397" s="12"/>
      <c r="G397" s="13">
        <f>SUM(G395:G396)</f>
        <v>842.0875</v>
      </c>
    </row>
    <row r="398" spans="1:7" ht="12.75">
      <c r="A398" s="7"/>
      <c r="B398" s="14" t="s">
        <v>9</v>
      </c>
      <c r="C398" s="11"/>
      <c r="D398" s="11"/>
      <c r="E398" s="11"/>
      <c r="F398" s="12"/>
      <c r="G398" s="13">
        <f>G397*15%</f>
        <v>126.313125</v>
      </c>
    </row>
    <row r="399" spans="1:7" ht="12.75">
      <c r="A399" s="7"/>
      <c r="B399" s="15" t="s">
        <v>10</v>
      </c>
      <c r="C399" s="16"/>
      <c r="D399" s="17"/>
      <c r="E399" s="17"/>
      <c r="F399" s="18"/>
      <c r="G399" s="19">
        <f>ROUND(SUM(G397:G398),2)</f>
        <v>968.40</v>
      </c>
    </row>
    <row r="400" spans="1:7" ht="12.75">
      <c r="A400" s="9" t="s">
        <v>15</v>
      </c>
      <c r="B400" s="10" t="s">
        <v>16</v>
      </c>
      <c r="C400" s="11">
        <v>0.10</v>
      </c>
      <c r="D400" s="11" t="s">
        <v>13</v>
      </c>
      <c r="E400" s="11">
        <v>645</v>
      </c>
      <c r="F400" s="12" t="s">
        <v>14</v>
      </c>
      <c r="G400" s="13">
        <f>C400*E400</f>
        <v>64.50</v>
      </c>
    </row>
    <row r="401" spans="1:7" ht="12.75">
      <c r="A401" s="7"/>
      <c r="B401" s="14" t="s">
        <v>17</v>
      </c>
      <c r="C401" s="11"/>
      <c r="D401" s="11"/>
      <c r="E401" s="11"/>
      <c r="F401" s="12"/>
      <c r="G401" s="13">
        <f>SUM(G400)</f>
        <v>64.50</v>
      </c>
    </row>
    <row r="402" spans="1:7" ht="12.75">
      <c r="A402" s="7"/>
      <c r="B402" s="14" t="s">
        <v>7</v>
      </c>
      <c r="C402" s="11"/>
      <c r="D402" s="11"/>
      <c r="E402" s="11"/>
      <c r="F402" s="12"/>
      <c r="G402" s="13">
        <f>G401*1%</f>
        <v>0.645</v>
      </c>
    </row>
    <row r="403" spans="1:7" ht="12.75">
      <c r="A403" s="7"/>
      <c r="B403" s="14" t="s">
        <v>8</v>
      </c>
      <c r="C403" s="11"/>
      <c r="D403" s="11"/>
      <c r="E403" s="11"/>
      <c r="F403" s="12"/>
      <c r="G403" s="13">
        <f>SUM(G401:G402)</f>
        <v>65.145</v>
      </c>
    </row>
    <row r="404" spans="1:7" ht="12.75">
      <c r="A404" s="7"/>
      <c r="B404" s="14" t="s">
        <v>9</v>
      </c>
      <c r="C404" s="11"/>
      <c r="D404" s="11"/>
      <c r="E404" s="11"/>
      <c r="F404" s="12"/>
      <c r="G404" s="13">
        <f>G403*15%</f>
        <v>9.7717500000000008</v>
      </c>
    </row>
    <row r="405" spans="1:7" ht="12.75">
      <c r="A405" s="7"/>
      <c r="B405" s="15" t="s">
        <v>10</v>
      </c>
      <c r="C405" s="16"/>
      <c r="D405" s="17"/>
      <c r="E405" s="17"/>
      <c r="F405" s="18"/>
      <c r="G405" s="19">
        <f>ROUND(SUM(G403:G404),2)</f>
        <v>74.92</v>
      </c>
    </row>
    <row r="406" spans="1:7" ht="12.75">
      <c r="A406" s="20" t="str">
        <f>CONCATENATE("Say ₹ ",G399," + ",G405," x Cost Index")</f>
        <v>Say ₹ 968.4 + 74.92 x Cost Index</v>
      </c>
      <c r="B406" s="5"/>
      <c r="C406" s="5"/>
      <c r="D406" s="5"/>
      <c r="E406" s="5"/>
      <c r="F406" s="5"/>
      <c r="G406" s="21"/>
    </row>
    <row r="407" spans="1:7" ht="12.75">
      <c r="A407" s="4" t="s">
        <v>96</v>
      </c>
      <c r="B407" s="5"/>
      <c r="C407" s="5"/>
      <c r="D407" s="5"/>
      <c r="E407" s="5"/>
      <c r="F407" s="5"/>
      <c r="G407" s="6"/>
    </row>
    <row r="408" spans="1:7" ht="12.75">
      <c r="A408" s="7" t="s">
        <v>2</v>
      </c>
      <c r="B408" s="8" t="s">
        <v>97</v>
      </c>
      <c r="C408" s="5"/>
      <c r="D408" s="5"/>
      <c r="E408" s="5"/>
      <c r="F408" s="5"/>
      <c r="G408" s="6"/>
    </row>
    <row r="409" spans="1:7" ht="12.75">
      <c r="A409" s="22" t="s">
        <v>98</v>
      </c>
      <c r="B409" s="23" t="s">
        <v>99</v>
      </c>
      <c r="C409" s="5"/>
      <c r="D409" s="5"/>
      <c r="E409" s="5"/>
      <c r="F409" s="5"/>
      <c r="G409" s="6"/>
    </row>
    <row r="410" spans="1:7" ht="12.75">
      <c r="A410" s="7" t="s">
        <v>100</v>
      </c>
      <c r="B410" s="10" t="s">
        <v>101</v>
      </c>
      <c r="C410" s="11"/>
      <c r="D410" s="11"/>
      <c r="E410" s="11"/>
      <c r="F410" s="12"/>
      <c r="G410" s="13"/>
    </row>
    <row r="411" spans="1:7" ht="12.75">
      <c r="A411" s="7"/>
      <c r="B411" s="14" t="s">
        <v>102</v>
      </c>
      <c r="C411" s="11">
        <v>15</v>
      </c>
      <c r="D411" s="11" t="s">
        <v>103</v>
      </c>
      <c r="E411" s="24">
        <f>'[1]PVC wo Trench'!F145</f>
        <v>120.22</v>
      </c>
      <c r="F411" s="12" t="s">
        <v>104</v>
      </c>
      <c r="G411" s="13">
        <f>ROUND(C411*E411,2)</f>
        <v>1803.30</v>
      </c>
    </row>
    <row r="412" spans="1:7" ht="12.75">
      <c r="A412" s="7"/>
      <c r="B412" s="14" t="s">
        <v>105</v>
      </c>
      <c r="C412" s="11">
        <v>15</v>
      </c>
      <c r="D412" s="11" t="s">
        <v>103</v>
      </c>
      <c r="E412" s="24">
        <f>'[1]PVC wo Trench'!F154</f>
        <v>29.66</v>
      </c>
      <c r="F412" s="12" t="s">
        <v>104</v>
      </c>
      <c r="G412" s="13">
        <f>ROUND(C412*E412,2)</f>
        <v>444.90</v>
      </c>
    </row>
    <row r="413" spans="1:7" ht="12.75">
      <c r="A413" s="7" t="s">
        <v>100</v>
      </c>
      <c r="B413" s="10" t="s">
        <v>106</v>
      </c>
      <c r="C413" s="11"/>
      <c r="D413" s="11"/>
      <c r="E413" s="11"/>
      <c r="F413" s="12"/>
      <c r="G413" s="13"/>
    </row>
    <row r="414" spans="1:7" ht="12.75">
      <c r="A414" s="7"/>
      <c r="B414" s="14" t="s">
        <v>102</v>
      </c>
      <c r="C414" s="11">
        <v>20</v>
      </c>
      <c r="D414" s="11" t="s">
        <v>103</v>
      </c>
      <c r="E414" s="24">
        <f>'[1]PVC wo Trench'!F101</f>
        <v>112.20</v>
      </c>
      <c r="F414" s="12" t="s">
        <v>104</v>
      </c>
      <c r="G414" s="13">
        <f>ROUND(C414*E414,2)</f>
        <v>2244</v>
      </c>
    </row>
    <row r="415" spans="1:7" ht="12.75">
      <c r="A415" s="7"/>
      <c r="B415" s="14" t="s">
        <v>105</v>
      </c>
      <c r="C415" s="11">
        <v>20</v>
      </c>
      <c r="D415" s="11" t="s">
        <v>103</v>
      </c>
      <c r="E415" s="24">
        <f>'[1]PVC wo Trench'!F110</f>
        <v>29.66</v>
      </c>
      <c r="F415" s="12" t="s">
        <v>104</v>
      </c>
      <c r="G415" s="13">
        <f>ROUND(C415*E415,2)</f>
        <v>593.20</v>
      </c>
    </row>
    <row r="416" spans="1:7" ht="12.75">
      <c r="A416" s="7" t="s">
        <v>100</v>
      </c>
      <c r="B416" s="10" t="s">
        <v>107</v>
      </c>
      <c r="C416" s="11"/>
      <c r="D416" s="11"/>
      <c r="E416" s="11"/>
      <c r="F416" s="12"/>
      <c r="G416" s="13"/>
    </row>
    <row r="417" spans="1:7" ht="12.75">
      <c r="A417" s="7"/>
      <c r="B417" s="14" t="s">
        <v>102</v>
      </c>
      <c r="C417" s="11">
        <v>10</v>
      </c>
      <c r="D417" s="11" t="s">
        <v>103</v>
      </c>
      <c r="E417" s="24">
        <f>'[1]PVC wo Trench'!F35</f>
        <v>86.82</v>
      </c>
      <c r="F417" s="12" t="s">
        <v>104</v>
      </c>
      <c r="G417" s="13">
        <f>ROUND(C417*E417,2)</f>
        <v>868.20</v>
      </c>
    </row>
    <row r="418" spans="1:7" ht="12.75">
      <c r="A418" s="7"/>
      <c r="B418" s="14" t="s">
        <v>105</v>
      </c>
      <c r="C418" s="11">
        <v>10</v>
      </c>
      <c r="D418" s="11" t="s">
        <v>103</v>
      </c>
      <c r="E418" s="24">
        <f>'[1]PVC wo Trench'!F44</f>
        <v>29.66</v>
      </c>
      <c r="F418" s="12" t="s">
        <v>104</v>
      </c>
      <c r="G418" s="13">
        <f>ROUND(C418*E418,2)</f>
        <v>296.60</v>
      </c>
    </row>
    <row r="419" spans="1:7" ht="12.75">
      <c r="A419" s="7" t="s">
        <v>100</v>
      </c>
      <c r="B419" s="10" t="s">
        <v>108</v>
      </c>
      <c r="C419" s="11"/>
      <c r="D419" s="11"/>
      <c r="E419" s="11"/>
      <c r="F419" s="12"/>
      <c r="G419" s="13"/>
    </row>
    <row r="420" spans="1:7" ht="12.75">
      <c r="A420" s="7"/>
      <c r="B420" s="14" t="s">
        <v>102</v>
      </c>
      <c r="C420" s="11">
        <v>15</v>
      </c>
      <c r="D420" s="11" t="s">
        <v>103</v>
      </c>
      <c r="E420" s="24">
        <f>'[1]PVC wo Trench'!F13</f>
        <v>64.11</v>
      </c>
      <c r="F420" s="12" t="s">
        <v>104</v>
      </c>
      <c r="G420" s="13">
        <f>ROUND(C420*E420,2)</f>
        <v>961.65</v>
      </c>
    </row>
    <row r="421" spans="1:7" ht="12.75">
      <c r="A421" s="7"/>
      <c r="B421" s="14" t="s">
        <v>105</v>
      </c>
      <c r="C421" s="11">
        <v>15</v>
      </c>
      <c r="D421" s="11" t="s">
        <v>103</v>
      </c>
      <c r="E421" s="24">
        <f>'[1]PVC wo Trench'!F22</f>
        <v>29.66</v>
      </c>
      <c r="F421" s="12" t="s">
        <v>104</v>
      </c>
      <c r="G421" s="13">
        <f>ROUND(C421*E421,2)</f>
        <v>444.90</v>
      </c>
    </row>
    <row r="422" spans="1:7" ht="12.75">
      <c r="A422" s="7" t="s">
        <v>109</v>
      </c>
      <c r="B422" s="10" t="s">
        <v>110</v>
      </c>
      <c r="C422" s="11"/>
      <c r="D422" s="11"/>
      <c r="E422" s="11"/>
      <c r="F422" s="12"/>
      <c r="G422" s="13"/>
    </row>
    <row r="423" spans="1:7" ht="12.75">
      <c r="A423" s="7"/>
      <c r="B423" s="14" t="s">
        <v>102</v>
      </c>
      <c r="C423" s="11">
        <v>1</v>
      </c>
      <c r="D423" s="11" t="s">
        <v>5</v>
      </c>
      <c r="E423" s="11">
        <f>'[1]Motor Starter Monoblock'!F20</f>
        <v>859.71</v>
      </c>
      <c r="F423" s="12" t="s">
        <v>6</v>
      </c>
      <c r="G423" s="13">
        <f>ROUND(C423*E423,2)</f>
        <v>859.71</v>
      </c>
    </row>
    <row r="424" spans="1:7" ht="12.75">
      <c r="A424" s="7"/>
      <c r="B424" s="14" t="s">
        <v>105</v>
      </c>
      <c r="C424" s="11">
        <v>1</v>
      </c>
      <c r="D424" s="11" t="s">
        <v>5</v>
      </c>
      <c r="E424" s="11">
        <f>'[1]Motor Starter Monoblock'!F34</f>
        <v>33.70</v>
      </c>
      <c r="F424" s="12" t="s">
        <v>6</v>
      </c>
      <c r="G424" s="13">
        <f>ROUND(C424*E424,2)</f>
        <v>33.70</v>
      </c>
    </row>
    <row r="425" spans="1:7" ht="12.75">
      <c r="A425" s="7"/>
      <c r="B425" s="14" t="s">
        <v>111</v>
      </c>
      <c r="C425" s="11"/>
      <c r="D425" s="11"/>
      <c r="E425" s="11"/>
      <c r="F425" s="12"/>
      <c r="G425" s="25">
        <f>SUM(G411,G414,G417,G420,G423)</f>
        <v>6736.86</v>
      </c>
    </row>
    <row r="426" spans="1:7" ht="12.75">
      <c r="A426" s="7"/>
      <c r="B426" s="14" t="s">
        <v>112</v>
      </c>
      <c r="C426" s="11"/>
      <c r="D426" s="11"/>
      <c r="E426" s="11"/>
      <c r="F426" s="12"/>
      <c r="G426" s="25">
        <f>SUM(G412,G415,G418,G421,G424)</f>
        <v>1813.30</v>
      </c>
    </row>
    <row r="427" spans="1:7" ht="12.75">
      <c r="A427" s="22" t="s">
        <v>113</v>
      </c>
      <c r="B427" s="23" t="s">
        <v>114</v>
      </c>
      <c r="C427" s="5"/>
      <c r="D427" s="5"/>
      <c r="E427" s="5"/>
      <c r="F427" s="5"/>
      <c r="G427" s="6"/>
    </row>
    <row r="428" spans="1:7" ht="12.75">
      <c r="A428" s="7" t="s">
        <v>115</v>
      </c>
      <c r="B428" s="10" t="s">
        <v>116</v>
      </c>
      <c r="C428" s="11">
        <v>15</v>
      </c>
      <c r="D428" s="11" t="s">
        <v>103</v>
      </c>
      <c r="E428" s="11">
        <v>40</v>
      </c>
      <c r="F428" s="12" t="s">
        <v>104</v>
      </c>
      <c r="G428" s="13">
        <f>C428*E428</f>
        <v>600</v>
      </c>
    </row>
    <row r="429" spans="1:7" ht="12.75">
      <c r="A429" s="7"/>
      <c r="B429" s="10" t="s">
        <v>117</v>
      </c>
      <c r="C429" s="11"/>
      <c r="D429" s="11"/>
      <c r="E429" s="11"/>
      <c r="F429" s="12"/>
      <c r="G429" s="13">
        <f>G428*0.1</f>
        <v>60</v>
      </c>
    </row>
    <row r="430" spans="1:7" ht="12.75">
      <c r="A430" s="7" t="s">
        <v>118</v>
      </c>
      <c r="B430" s="10" t="s">
        <v>119</v>
      </c>
      <c r="C430" s="11">
        <v>2</v>
      </c>
      <c r="D430" s="11" t="s">
        <v>5</v>
      </c>
      <c r="E430" s="11">
        <v>380</v>
      </c>
      <c r="F430" s="12" t="s">
        <v>6</v>
      </c>
      <c r="G430" s="13">
        <f>C430*E430</f>
        <v>760</v>
      </c>
    </row>
    <row r="431" spans="1:7" ht="12.75">
      <c r="A431" s="7" t="s">
        <v>120</v>
      </c>
      <c r="B431" s="10" t="s">
        <v>121</v>
      </c>
      <c r="C431" s="11">
        <v>6</v>
      </c>
      <c r="D431" s="11" t="s">
        <v>5</v>
      </c>
      <c r="E431" s="11">
        <v>280</v>
      </c>
      <c r="F431" s="12" t="s">
        <v>6</v>
      </c>
      <c r="G431" s="13">
        <f>C431*E431</f>
        <v>1680</v>
      </c>
    </row>
    <row r="432" spans="1:7" ht="12.75">
      <c r="A432" s="7" t="s">
        <v>122</v>
      </c>
      <c r="B432" s="10" t="s">
        <v>123</v>
      </c>
      <c r="C432" s="11">
        <v>3</v>
      </c>
      <c r="D432" s="11" t="s">
        <v>5</v>
      </c>
      <c r="E432" s="11">
        <v>720</v>
      </c>
      <c r="F432" s="12" t="s">
        <v>6</v>
      </c>
      <c r="G432" s="13">
        <f>C432*E432</f>
        <v>2160</v>
      </c>
    </row>
    <row r="433" spans="1:7" ht="12.75">
      <c r="A433" s="7"/>
      <c r="B433" s="10" t="s">
        <v>124</v>
      </c>
      <c r="C433" s="11">
        <v>4</v>
      </c>
      <c r="D433" s="11" t="s">
        <v>92</v>
      </c>
      <c r="E433" s="11">
        <v>73</v>
      </c>
      <c r="F433" s="12" t="s">
        <v>93</v>
      </c>
      <c r="G433" s="13">
        <f>C433*E433</f>
        <v>292</v>
      </c>
    </row>
    <row r="434" spans="1:7" ht="12.75">
      <c r="A434" s="7"/>
      <c r="B434" s="10" t="s">
        <v>125</v>
      </c>
      <c r="C434" s="11">
        <v>50</v>
      </c>
      <c r="D434" s="11" t="s">
        <v>103</v>
      </c>
      <c r="E434" s="11">
        <v>40</v>
      </c>
      <c r="F434" s="12" t="s">
        <v>104</v>
      </c>
      <c r="G434" s="13">
        <f>C434*E434</f>
        <v>2000</v>
      </c>
    </row>
    <row r="435" spans="1:7" ht="12.75">
      <c r="A435" s="7"/>
      <c r="B435" s="10" t="s">
        <v>126</v>
      </c>
      <c r="C435" s="11">
        <v>2</v>
      </c>
      <c r="D435" s="11" t="s">
        <v>5</v>
      </c>
      <c r="E435" s="11">
        <v>280</v>
      </c>
      <c r="F435" s="12" t="s">
        <v>6</v>
      </c>
      <c r="G435" s="13">
        <f>C435*E435</f>
        <v>560</v>
      </c>
    </row>
    <row r="436" spans="1:7" ht="12.75">
      <c r="A436" s="7"/>
      <c r="B436" s="10" t="s">
        <v>127</v>
      </c>
      <c r="C436" s="11">
        <v>36</v>
      </c>
      <c r="D436" s="11" t="s">
        <v>92</v>
      </c>
      <c r="E436" s="11">
        <v>67.70</v>
      </c>
      <c r="F436" s="12" t="s">
        <v>93</v>
      </c>
      <c r="G436" s="13">
        <f>C436*E436</f>
        <v>2437.20</v>
      </c>
    </row>
    <row r="437" spans="1:7" ht="12.75">
      <c r="A437" s="7"/>
      <c r="B437" s="10" t="s">
        <v>17</v>
      </c>
      <c r="C437" s="11"/>
      <c r="D437" s="11"/>
      <c r="E437" s="11"/>
      <c r="F437" s="12"/>
      <c r="G437" s="13">
        <f>ROUND(SUM(G428:G436),2)</f>
        <v>10549.20</v>
      </c>
    </row>
    <row r="438" spans="1:7" ht="12.75">
      <c r="A438" s="7"/>
      <c r="B438" s="10" t="s">
        <v>7</v>
      </c>
      <c r="C438" s="11"/>
      <c r="D438" s="11"/>
      <c r="E438" s="11"/>
      <c r="F438" s="12"/>
      <c r="G438" s="13">
        <f>G437*0.01</f>
        <v>105.492</v>
      </c>
    </row>
    <row r="439" spans="1:7" ht="12.75">
      <c r="A439" s="7"/>
      <c r="B439" s="10" t="s">
        <v>8</v>
      </c>
      <c r="C439" s="11"/>
      <c r="D439" s="11"/>
      <c r="E439" s="11"/>
      <c r="F439" s="12"/>
      <c r="G439" s="13">
        <f>SUM(G437:G438)</f>
        <v>10654.691999999999</v>
      </c>
    </row>
    <row r="440" spans="1:7" ht="12.75">
      <c r="A440" s="7"/>
      <c r="B440" s="10" t="s">
        <v>9</v>
      </c>
      <c r="C440" s="11"/>
      <c r="D440" s="11"/>
      <c r="E440" s="11"/>
      <c r="F440" s="12"/>
      <c r="G440" s="13">
        <f>G439*15%</f>
        <v>1598.2038</v>
      </c>
    </row>
    <row r="441" spans="1:7" ht="12.75">
      <c r="A441" s="7"/>
      <c r="B441" s="26" t="s">
        <v>10</v>
      </c>
      <c r="C441" s="16"/>
      <c r="D441" s="11"/>
      <c r="E441" s="11"/>
      <c r="F441" s="12"/>
      <c r="G441" s="25">
        <f>ROUND(SUM(G439:G440),2)</f>
        <v>12252.90</v>
      </c>
    </row>
    <row r="442" spans="1:7" ht="12.75">
      <c r="A442" s="22" t="s">
        <v>128</v>
      </c>
      <c r="B442" s="23" t="s">
        <v>105</v>
      </c>
      <c r="C442" s="5"/>
      <c r="D442" s="5"/>
      <c r="E442" s="5"/>
      <c r="F442" s="5"/>
      <c r="G442" s="6"/>
    </row>
    <row r="443" spans="1:7" ht="12.75">
      <c r="A443" s="7" t="s">
        <v>129</v>
      </c>
      <c r="B443" s="10" t="s">
        <v>130</v>
      </c>
      <c r="C443" s="11">
        <v>2</v>
      </c>
      <c r="D443" s="11" t="s">
        <v>13</v>
      </c>
      <c r="E443" s="27">
        <v>853</v>
      </c>
      <c r="F443" s="12" t="s">
        <v>14</v>
      </c>
      <c r="G443" s="13">
        <f>C443*E443</f>
        <v>1706</v>
      </c>
    </row>
    <row r="444" spans="1:7" ht="12.75">
      <c r="A444" s="7" t="s">
        <v>11</v>
      </c>
      <c r="B444" s="10" t="s">
        <v>12</v>
      </c>
      <c r="C444" s="11">
        <v>1</v>
      </c>
      <c r="D444" s="11" t="s">
        <v>13</v>
      </c>
      <c r="E444" s="27">
        <v>784</v>
      </c>
      <c r="F444" s="12" t="s">
        <v>14</v>
      </c>
      <c r="G444" s="13">
        <f>C444*E444</f>
        <v>784</v>
      </c>
    </row>
    <row r="445" spans="1:7" ht="12.75">
      <c r="A445" s="7" t="s">
        <v>131</v>
      </c>
      <c r="B445" s="10" t="s">
        <v>132</v>
      </c>
      <c r="C445" s="11">
        <v>1</v>
      </c>
      <c r="D445" s="11" t="s">
        <v>13</v>
      </c>
      <c r="E445" s="27">
        <v>714</v>
      </c>
      <c r="F445" s="12" t="s">
        <v>14</v>
      </c>
      <c r="G445" s="13">
        <f>C445*E445</f>
        <v>714</v>
      </c>
    </row>
    <row r="446" spans="1:7" ht="12.75">
      <c r="A446" s="7" t="s">
        <v>133</v>
      </c>
      <c r="B446" s="10" t="s">
        <v>16</v>
      </c>
      <c r="C446" s="11">
        <v>2</v>
      </c>
      <c r="D446" s="11" t="s">
        <v>13</v>
      </c>
      <c r="E446" s="27">
        <v>645</v>
      </c>
      <c r="F446" s="12" t="s">
        <v>14</v>
      </c>
      <c r="G446" s="13">
        <f>C446*E446</f>
        <v>1290</v>
      </c>
    </row>
    <row r="447" spans="1:7" ht="12.75">
      <c r="A447" s="7"/>
      <c r="B447" s="10" t="s">
        <v>17</v>
      </c>
      <c r="C447" s="11"/>
      <c r="D447" s="11"/>
      <c r="E447" s="11"/>
      <c r="F447" s="12"/>
      <c r="G447" s="13">
        <f>SUM(G443:G446)</f>
        <v>4494</v>
      </c>
    </row>
    <row r="448" spans="1:7" ht="12.75">
      <c r="A448" s="7"/>
      <c r="B448" s="10" t="s">
        <v>7</v>
      </c>
      <c r="C448" s="11"/>
      <c r="D448" s="11"/>
      <c r="E448" s="11"/>
      <c r="F448" s="12"/>
      <c r="G448" s="13">
        <f>G447*0.01</f>
        <v>44.94</v>
      </c>
    </row>
    <row r="449" spans="1:7" ht="12.75">
      <c r="A449" s="7"/>
      <c r="B449" s="10" t="s">
        <v>8</v>
      </c>
      <c r="C449" s="11"/>
      <c r="D449" s="11"/>
      <c r="E449" s="11"/>
      <c r="F449" s="12"/>
      <c r="G449" s="13">
        <f>SUM(G447:G448)</f>
        <v>4538.94</v>
      </c>
    </row>
    <row r="450" spans="1:7" ht="12.75">
      <c r="A450" s="7"/>
      <c r="B450" s="10" t="s">
        <v>9</v>
      </c>
      <c r="C450" s="11"/>
      <c r="D450" s="11"/>
      <c r="E450" s="11"/>
      <c r="F450" s="12"/>
      <c r="G450" s="13">
        <f>G449*15%</f>
        <v>680.84100000000001</v>
      </c>
    </row>
    <row r="451" spans="1:7" ht="12.75">
      <c r="A451" s="7"/>
      <c r="B451" s="26" t="s">
        <v>10</v>
      </c>
      <c r="C451" s="16"/>
      <c r="D451" s="11"/>
      <c r="E451" s="11"/>
      <c r="F451" s="12"/>
      <c r="G451" s="25">
        <f>ROUND(SUM(G449:G450),2)</f>
        <v>5219.78</v>
      </c>
    </row>
    <row r="452" spans="1:7" ht="12.75">
      <c r="A452" s="28" t="str">
        <f>CONCATENATE("Say ₹ ",(G425+G441)," + ",(G451+G426)," x Cost Index")</f>
        <v>Say ₹ 18989.76 + 7033.08 x Cost Index</v>
      </c>
      <c r="B452" s="5"/>
      <c r="C452" s="5"/>
      <c r="D452" s="5"/>
      <c r="E452" s="5"/>
      <c r="F452" s="5"/>
      <c r="G452" s="21"/>
    </row>
    <row r="453" spans="1:7" ht="12.75">
      <c r="A453" s="4" t="s">
        <v>134</v>
      </c>
      <c r="B453" s="5"/>
      <c r="C453" s="5"/>
      <c r="D453" s="5"/>
      <c r="E453" s="5"/>
      <c r="F453" s="5"/>
      <c r="G453" s="6"/>
    </row>
    <row r="454" spans="1:7" ht="12.75">
      <c r="A454" s="7" t="s">
        <v>2</v>
      </c>
      <c r="B454" s="8" t="s">
        <v>135</v>
      </c>
      <c r="C454" s="5"/>
      <c r="D454" s="5"/>
      <c r="E454" s="5"/>
      <c r="F454" s="5"/>
      <c r="G454" s="6"/>
    </row>
    <row r="455" spans="1:7" ht="12.75">
      <c r="A455" s="7"/>
      <c r="B455" s="10" t="s">
        <v>136</v>
      </c>
      <c r="C455" s="11">
        <v>1</v>
      </c>
      <c r="D455" s="11" t="s">
        <v>5</v>
      </c>
      <c r="E455" s="11">
        <v>3500</v>
      </c>
      <c r="F455" s="12" t="s">
        <v>6</v>
      </c>
      <c r="G455" s="13">
        <f>C455*E455</f>
        <v>3500</v>
      </c>
    </row>
    <row r="456" spans="1:7" ht="12.75">
      <c r="A456" s="7"/>
      <c r="B456" s="10" t="s">
        <v>137</v>
      </c>
      <c r="C456" s="11">
        <v>1</v>
      </c>
      <c r="D456" s="11" t="s">
        <v>5</v>
      </c>
      <c r="E456" s="11">
        <v>2000</v>
      </c>
      <c r="F456" s="12" t="s">
        <v>6</v>
      </c>
      <c r="G456" s="13">
        <f>C456*E456</f>
        <v>2000</v>
      </c>
    </row>
    <row r="457" spans="1:7" ht="12.75">
      <c r="A457" s="7"/>
      <c r="B457" s="29" t="s">
        <v>8</v>
      </c>
      <c r="C457" s="11"/>
      <c r="D457" s="11"/>
      <c r="E457" s="11"/>
      <c r="F457" s="12"/>
      <c r="G457" s="25">
        <f>SUM(G455:G456)</f>
        <v>5500</v>
      </c>
    </row>
    <row r="458" spans="1:7" ht="12.75">
      <c r="A458" s="7" t="s">
        <v>129</v>
      </c>
      <c r="B458" s="10" t="s">
        <v>130</v>
      </c>
      <c r="C458" s="11">
        <v>0.50</v>
      </c>
      <c r="D458" s="11" t="s">
        <v>13</v>
      </c>
      <c r="E458" s="27">
        <v>853</v>
      </c>
      <c r="F458" s="12" t="s">
        <v>14</v>
      </c>
      <c r="G458" s="13">
        <f>C458*E458</f>
        <v>426.50</v>
      </c>
    </row>
    <row r="459" spans="1:7" ht="12.75">
      <c r="A459" s="7" t="s">
        <v>133</v>
      </c>
      <c r="B459" s="10" t="s">
        <v>16</v>
      </c>
      <c r="C459" s="11">
        <v>0.50</v>
      </c>
      <c r="D459" s="11" t="s">
        <v>13</v>
      </c>
      <c r="E459" s="27">
        <v>645</v>
      </c>
      <c r="F459" s="12" t="s">
        <v>14</v>
      </c>
      <c r="G459" s="13">
        <f>C459*E459</f>
        <v>322.50</v>
      </c>
    </row>
    <row r="460" spans="1:7" ht="12.75">
      <c r="A460" s="7"/>
      <c r="B460" s="10" t="s">
        <v>17</v>
      </c>
      <c r="C460" s="11"/>
      <c r="D460" s="11"/>
      <c r="E460" s="11"/>
      <c r="F460" s="12"/>
      <c r="G460" s="13">
        <f>SUM(G458:G459)</f>
        <v>749</v>
      </c>
    </row>
    <row r="461" spans="1:7" ht="12.75">
      <c r="A461" s="7"/>
      <c r="B461" s="10" t="s">
        <v>7</v>
      </c>
      <c r="C461" s="11"/>
      <c r="D461" s="11"/>
      <c r="E461" s="11"/>
      <c r="F461" s="12"/>
      <c r="G461" s="13">
        <f>G460*0.01</f>
        <v>7.49</v>
      </c>
    </row>
    <row r="462" spans="1:7" ht="12.75">
      <c r="A462" s="7"/>
      <c r="B462" s="10" t="s">
        <v>8</v>
      </c>
      <c r="C462" s="11"/>
      <c r="D462" s="11"/>
      <c r="E462" s="11"/>
      <c r="F462" s="12"/>
      <c r="G462" s="13">
        <f>SUM(G460:G461)</f>
        <v>756.49</v>
      </c>
    </row>
    <row r="463" spans="1:7" ht="12.75">
      <c r="A463" s="7"/>
      <c r="B463" s="10" t="s">
        <v>9</v>
      </c>
      <c r="C463" s="11"/>
      <c r="D463" s="11"/>
      <c r="E463" s="11"/>
      <c r="F463" s="12"/>
      <c r="G463" s="13">
        <f>G462*15%</f>
        <v>113.4735</v>
      </c>
    </row>
    <row r="464" spans="1:7" ht="12.75">
      <c r="A464" s="7"/>
      <c r="B464" s="26" t="s">
        <v>10</v>
      </c>
      <c r="C464" s="16"/>
      <c r="D464" s="11"/>
      <c r="E464" s="11"/>
      <c r="F464" s="12"/>
      <c r="G464" s="25">
        <f>ROUND(SUM(G462:G463),2)</f>
        <v>869.96</v>
      </c>
    </row>
    <row r="465" spans="1:7" ht="12.75">
      <c r="A465" s="28" t="str">
        <f>CONCATENATE("Say ₹ (",G457," + ",G464," x Cost Index) / Visit")</f>
        <v>Say ₹ (5500 + 869.96 x Cost Index) / Visit</v>
      </c>
      <c r="B465" s="5"/>
      <c r="C465" s="5"/>
      <c r="D465" s="5"/>
      <c r="E465" s="5"/>
      <c r="F465" s="5"/>
      <c r="G465" s="21"/>
    </row>
  </sheetData>
  <mergeCells count="79">
    <mergeCell ref="A296:G296"/>
    <mergeCell ref="B297:G297"/>
    <mergeCell ref="A310:G310"/>
    <mergeCell ref="A311:G311"/>
    <mergeCell ref="B312:G312"/>
    <mergeCell ref="A325:G325"/>
    <mergeCell ref="A326:G326"/>
    <mergeCell ref="B327:G327"/>
    <mergeCell ref="A339:G339"/>
    <mergeCell ref="A340:G340"/>
    <mergeCell ref="B341:G341"/>
    <mergeCell ref="A353:G353"/>
    <mergeCell ref="B354:G354"/>
    <mergeCell ref="A366:G366"/>
    <mergeCell ref="B367:G367"/>
    <mergeCell ref="A379:G379"/>
    <mergeCell ref="A380:G380"/>
    <mergeCell ref="B381:G381"/>
    <mergeCell ref="A393:G393"/>
    <mergeCell ref="B394:G394"/>
    <mergeCell ref="A406:G406"/>
    <mergeCell ref="B454:G454"/>
    <mergeCell ref="A465:G465"/>
    <mergeCell ref="A407:G407"/>
    <mergeCell ref="B408:G408"/>
    <mergeCell ref="B409:G409"/>
    <mergeCell ref="B427:G427"/>
    <mergeCell ref="B442:G442"/>
    <mergeCell ref="A452:G452"/>
    <mergeCell ref="A453:G453"/>
    <mergeCell ref="A1:G1"/>
    <mergeCell ref="A2:G2"/>
    <mergeCell ref="B3:G3"/>
    <mergeCell ref="A16:G16"/>
    <mergeCell ref="B17:G17"/>
    <mergeCell ref="A30:G30"/>
    <mergeCell ref="B31:G31"/>
    <mergeCell ref="A44:G44"/>
    <mergeCell ref="B45:G45"/>
    <mergeCell ref="A58:G58"/>
    <mergeCell ref="B59:G59"/>
    <mergeCell ref="A72:G72"/>
    <mergeCell ref="B73:G73"/>
    <mergeCell ref="A86:G86"/>
    <mergeCell ref="B87:G87"/>
    <mergeCell ref="A100:G100"/>
    <mergeCell ref="A101:G101"/>
    <mergeCell ref="B102:G102"/>
    <mergeCell ref="A114:G114"/>
    <mergeCell ref="B115:G115"/>
    <mergeCell ref="A127:G127"/>
    <mergeCell ref="B128:G128"/>
    <mergeCell ref="A140:G140"/>
    <mergeCell ref="A141:G141"/>
    <mergeCell ref="B142:G142"/>
    <mergeCell ref="A154:G154"/>
    <mergeCell ref="B155:G155"/>
    <mergeCell ref="A167:G167"/>
    <mergeCell ref="B168:G168"/>
    <mergeCell ref="A180:G180"/>
    <mergeCell ref="A181:G181"/>
    <mergeCell ref="B182:G182"/>
    <mergeCell ref="A195:G195"/>
    <mergeCell ref="B196:G196"/>
    <mergeCell ref="A209:G209"/>
    <mergeCell ref="A210:G210"/>
    <mergeCell ref="B211:G211"/>
    <mergeCell ref="A224:G224"/>
    <mergeCell ref="B225:G225"/>
    <mergeCell ref="A238:G238"/>
    <mergeCell ref="B239:G239"/>
    <mergeCell ref="A252:G252"/>
    <mergeCell ref="A253:G253"/>
    <mergeCell ref="B254:G254"/>
    <mergeCell ref="A267:G267"/>
    <mergeCell ref="A268:G268"/>
    <mergeCell ref="B269:G269"/>
    <mergeCell ref="A282:G282"/>
    <mergeCell ref="B283:G2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