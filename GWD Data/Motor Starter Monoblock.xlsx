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<sst xmlns="http://schemas.openxmlformats.org/spreadsheetml/2006/main" count="63" uniqueCount="44">
  <si>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</si>
  <si>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</si>
  <si>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</si>
  <si>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</si>
  <si>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</si>
  <si>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</si>
  <si>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</si>
  <si>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</si>
  <si>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</si>
  <si>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S &amp; F Motor starters of the following ratings Single phase DOL starters for 0.25HP to 3HP motor (90.14.28.1)</t>
  </si>
  <si>
    <t>Header Unit</t>
  </si>
  <si>
    <t>each</t>
  </si>
  <si>
    <t>Header Quantity</t>
  </si>
  <si>
    <t>Header Details</t>
  </si>
  <si>
    <t>COST FOR 1 EACH A1 MATERIALS</t>
  </si>
  <si>
    <t>Material (M), Labour (L), Additional Charges (A)</t>
  </si>
  <si>
    <t>MR1980</t>
  </si>
  <si>
    <t>Single Phase DOL starters for 0.25 to 3 HP motor</t>
  </si>
  <si>
    <t>M1</t>
  </si>
  <si>
    <t>MR2112</t>
  </si>
  <si>
    <t>Spring washer for M8 nut</t>
  </si>
  <si>
    <t>M4</t>
  </si>
  <si>
    <t>MR704</t>
  </si>
  <si>
    <t>Man Mazdoor</t>
  </si>
  <si>
    <t>Day</t>
  </si>
  <si>
    <t>L2</t>
  </si>
  <si>
    <t>tcode</t>
  </si>
  <si>
    <t>Other Charge @ .5% of :(M1+M4+L2)
 Add Hire charges for T&amp;P @ 0.5%</t>
  </si>
  <si>
    <t>LS</t>
  </si>
  <si>
    <t>A1</t>
  </si>
  <si>
    <t>TOTAL</t>
  </si>
  <si>
    <t>UNIT TOTAL</t>
  </si>
  <si>
    <t>Cartage@ 1.00 % (for material)</t>
  </si>
  <si>
    <t>Contractors Profit &amp; Overhead@ 15.00 %</t>
  </si>
  <si>
    <t>32mm X 8mm bolts &amp; nuts</t>
  </si>
  <si>
    <t>M2</t>
  </si>
  <si>
    <t>Washers</t>
  </si>
  <si>
    <t>M3</t>
  </si>
  <si>
    <t>Fitter, Grade 2</t>
  </si>
  <si>
    <t>L1</t>
  </si>
  <si>
    <t>Other Charge @ .5% of :(M2+M3+L1)
 Add Hire charges for T&amp;P @ 0.5%</t>
  </si>
  <si>
    <t>A2</t>
  </si>
  <si>
    <t>Say ₹ 859.71 + 33.7 x Cost Index</t>
  </si>
  <si>
    <t>/E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</si>
</sst>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b/>
      <sz val="11"/>
      <color theme="1"/>
      <name val="Cambria"/>
      <family val="2"/>
    </font>
    <font>
      <sz val="11"/>
      <color rgb="FF000000"/>
      <name val="Cambria"/>
      <family val="2"/>
    </font>
    <font>
      <sz val="11"/>
      <color theme="1"/>
      <name val="Cambria"/>
      <family val="2"/>
    </font>
    <font>
      <b/>
      <sz val="11"/>
      <color theme="0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AD1D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4" fillId="2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0" fontId="3" fillId="3" borderId="6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4" borderId="2" xfId="0" applyFont="1" applyBorder="1" applyAlignment="1">
      <alignment horizontal="center" vertical="center" wrapText="1"/>
    </xf>
    <xf numFmtId="0" fontId="1" fillId="4" borderId="6" xfId="0" applyFont="1" applyBorder="1" applyAlignment="1">
      <alignment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423238-0F43-4374-9627-10940486B9A6}">
  <dimension ref="A1:G35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8">
        <v>1</v>
      </c>
      <c r="F4" s="8"/>
      <c r="G4" s="8"/>
    </row>
    <row r="5" spans="1:7" ht="12.75">
      <c r="A5" s="8" t="s">
        <v>13</v>
      </c>
      <c r="B5" s="9" t="s">
        <v>14</v>
      </c>
      <c r="C5" s="3"/>
      <c r="D5" s="3"/>
      <c r="E5" s="3"/>
      <c r="F5" s="3"/>
      <c r="G5" s="4"/>
    </row>
    <row r="6" spans="1:7" ht="12.75">
      <c r="A6" s="9" t="s">
        <v>15</v>
      </c>
      <c r="B6" s="3"/>
      <c r="C6" s="3"/>
      <c r="D6" s="3"/>
      <c r="E6" s="3"/>
      <c r="F6" s="3"/>
      <c r="G6" s="4"/>
    </row>
    <row r="7" spans="1:7" ht="12.75">
      <c r="A7" s="10"/>
      <c r="B7" s="11" t="s">
        <v>16</v>
      </c>
      <c r="C7" s="12" t="s">
        <v>17</v>
      </c>
      <c r="D7" s="3"/>
      <c r="E7" s="4"/>
      <c r="F7" s="12"/>
      <c r="G7" s="4"/>
    </row>
    <row r="8" spans="1:7" ht="12.75">
      <c r="A8" s="5"/>
      <c r="B8" s="5"/>
      <c r="C8" s="13" t="s">
        <v>11</v>
      </c>
      <c r="D8" s="13">
        <v>1</v>
      </c>
      <c r="E8" s="13">
        <v>728.81</v>
      </c>
      <c r="F8" s="13">
        <f>D8*E8</f>
        <v>728.81</v>
      </c>
      <c r="G8" s="13" t="s">
        <v>18</v>
      </c>
    </row>
    <row r="9" spans="1:7" ht="12.75">
      <c r="A9" s="10"/>
      <c r="B9" s="11" t="s">
        <v>19</v>
      </c>
      <c r="C9" s="12" t="s">
        <v>20</v>
      </c>
      <c r="D9" s="3"/>
      <c r="E9" s="4"/>
      <c r="F9" s="12"/>
      <c r="G9" s="4"/>
    </row>
    <row r="10" spans="1:7" ht="12.75">
      <c r="A10" s="5"/>
      <c r="B10" s="5"/>
      <c r="C10" s="13" t="s">
        <v>11</v>
      </c>
      <c r="D10" s="13">
        <v>4</v>
      </c>
      <c r="E10" s="13">
        <v>0.25</v>
      </c>
      <c r="F10" s="13">
        <f>D10*E10</f>
        <v>1</v>
      </c>
      <c r="G10" s="13" t="s">
        <v>21</v>
      </c>
    </row>
    <row r="11" spans="1:7" ht="12.75">
      <c r="A11" s="10"/>
      <c r="B11" s="11" t="s">
        <v>22</v>
      </c>
      <c r="C11" s="12" t="s">
        <v>23</v>
      </c>
      <c r="D11" s="3"/>
      <c r="E11" s="4"/>
      <c r="F11" s="12"/>
      <c r="G11" s="4"/>
    </row>
    <row r="12" spans="1:7" ht="12.75">
      <c r="A12" s="5"/>
      <c r="B12" s="5"/>
      <c r="C12" s="13" t="s">
        <v>24</v>
      </c>
      <c r="D12" s="13">
        <v>0.01</v>
      </c>
      <c r="E12" s="13">
        <v>675</v>
      </c>
      <c r="F12" s="13">
        <f>D12*E12</f>
        <v>6.75</v>
      </c>
      <c r="G12" s="13" t="s">
        <v>25</v>
      </c>
    </row>
    <row r="13" spans="1:7" ht="12.75">
      <c r="A13" s="11" t="s">
        <v>26</v>
      </c>
      <c r="B13" s="10"/>
      <c r="C13" s="14" t="s">
        <v>27</v>
      </c>
      <c r="D13" s="3"/>
      <c r="E13" s="4"/>
      <c r="F13" s="12"/>
      <c r="G13" s="4"/>
    </row>
    <row r="14" spans="1:7" ht="12.75">
      <c r="A14" s="5"/>
      <c r="B14" s="5"/>
      <c r="C14" s="13" t="s">
        <v>28</v>
      </c>
      <c r="D14" s="13"/>
      <c r="E14" s="13"/>
      <c r="F14" s="13">
        <f>(F8+F10+F12)*0.5%</f>
        <v>3.6827999999999999</v>
      </c>
      <c r="G14" s="13" t="s">
        <v>29</v>
      </c>
    </row>
    <row r="15" spans="1:7" ht="12.75">
      <c r="A15" s="9" t="s">
        <v>30</v>
      </c>
      <c r="B15" s="3"/>
      <c r="C15" s="4"/>
      <c r="D15" s="8">
        <v>1</v>
      </c>
      <c r="E15" s="8" t="s">
        <v>11</v>
      </c>
      <c r="F15" s="8">
        <f>F8+F10+F12+F14</f>
        <v>740.24279999999999</v>
      </c>
      <c r="G15" s="8"/>
    </row>
    <row r="16" spans="1:7" ht="12.75">
      <c r="A16" s="9" t="s">
        <v>31</v>
      </c>
      <c r="B16" s="3"/>
      <c r="C16" s="4"/>
      <c r="D16" s="8">
        <v>1</v>
      </c>
      <c r="E16" s="8" t="s">
        <v>11</v>
      </c>
      <c r="F16" s="8">
        <f>F15/D15</f>
        <v>740.24279999999999</v>
      </c>
      <c r="G16" s="8"/>
    </row>
    <row r="17" spans="1:7" ht="12.75">
      <c r="A17" s="9" t="s">
        <v>32</v>
      </c>
      <c r="B17" s="3"/>
      <c r="C17" s="3"/>
      <c r="D17" s="4"/>
      <c r="E17" s="8">
        <f>(F8+F10)*1.005</f>
        <v>733.45905000000005</v>
      </c>
      <c r="F17" s="8">
        <f>E17*1%</f>
        <v>7.3345905</v>
      </c>
      <c r="G17" s="8"/>
    </row>
    <row r="18" spans="1:7" ht="12.75">
      <c r="A18" s="9" t="s">
        <v>30</v>
      </c>
      <c r="B18" s="3"/>
      <c r="C18" s="3"/>
      <c r="D18" s="4"/>
      <c r="E18" s="8"/>
      <c r="F18" s="8">
        <f>F16+F17</f>
        <v>747.57739049999998</v>
      </c>
      <c r="G18" s="8"/>
    </row>
    <row r="19" spans="1:7" ht="12.75">
      <c r="A19" s="9" t="s">
        <v>33</v>
      </c>
      <c r="B19" s="3"/>
      <c r="C19" s="3"/>
      <c r="D19" s="4"/>
      <c r="E19" s="8">
        <f>F18</f>
        <v>747.57739049999998</v>
      </c>
      <c r="F19" s="8">
        <f>E19*15%</f>
        <v>112.1366086</v>
      </c>
      <c r="G19" s="8"/>
    </row>
    <row r="20" spans="1:7" ht="12.75">
      <c r="A20" s="15" t="s">
        <v>30</v>
      </c>
      <c r="B20" s="3"/>
      <c r="C20" s="3"/>
      <c r="D20" s="4"/>
      <c r="E20" s="8"/>
      <c r="F20" s="16">
        <f>ROUND(F18+F19,2)</f>
        <v>859.71</v>
      </c>
      <c r="G20" s="8"/>
    </row>
    <row r="21" spans="1:7" ht="12.75">
      <c r="A21" s="11">
        <v>2862</v>
      </c>
      <c r="B21" s="11"/>
      <c r="C21" s="12" t="s">
        <v>34</v>
      </c>
      <c r="D21" s="3"/>
      <c r="E21" s="4"/>
      <c r="F21" s="12"/>
      <c r="G21" s="4"/>
    </row>
    <row r="22" spans="1:7" ht="12.75">
      <c r="A22" s="5"/>
      <c r="B22" s="5"/>
      <c r="C22" s="13" t="s">
        <v>11</v>
      </c>
      <c r="D22" s="13">
        <v>4</v>
      </c>
      <c r="E22" s="13">
        <v>5.40</v>
      </c>
      <c r="F22" s="13">
        <f>D22*E22</f>
        <v>21.60</v>
      </c>
      <c r="G22" s="13" t="s">
        <v>35</v>
      </c>
    </row>
    <row r="23" spans="1:7" ht="12.75">
      <c r="A23" s="11">
        <v>2920</v>
      </c>
      <c r="B23" s="11"/>
      <c r="C23" s="13" t="s">
        <v>36</v>
      </c>
      <c r="D23" s="13"/>
      <c r="E23" s="13"/>
      <c r="F23" s="13"/>
      <c r="G23" s="13"/>
    </row>
    <row r="24" spans="1:7" ht="12.75">
      <c r="A24" s="5"/>
      <c r="B24" s="5"/>
      <c r="C24" s="13" t="s">
        <v>11</v>
      </c>
      <c r="D24" s="13">
        <v>4</v>
      </c>
      <c r="E24" s="13">
        <v>0</v>
      </c>
      <c r="F24" s="13">
        <f>D24*E24</f>
        <v>0</v>
      </c>
      <c r="G24" s="13" t="s">
        <v>37</v>
      </c>
    </row>
    <row r="25" spans="1:7" ht="12.75">
      <c r="A25" s="11">
        <v>1005</v>
      </c>
      <c r="B25" s="11"/>
      <c r="C25" s="12" t="s">
        <v>38</v>
      </c>
      <c r="D25" s="3"/>
      <c r="E25" s="4"/>
      <c r="F25" s="12"/>
      <c r="G25" s="4"/>
    </row>
    <row r="26" spans="1:7" ht="12.75">
      <c r="A26" s="5"/>
      <c r="B26" s="5"/>
      <c r="C26" s="13" t="s">
        <v>24</v>
      </c>
      <c r="D26" s="13">
        <v>0.01</v>
      </c>
      <c r="E26" s="13">
        <v>734</v>
      </c>
      <c r="F26" s="13">
        <f>D26*E26</f>
        <v>7.34</v>
      </c>
      <c r="G26" s="13" t="s">
        <v>39</v>
      </c>
    </row>
    <row r="27" spans="1:7" ht="12.75">
      <c r="A27" s="11" t="s">
        <v>26</v>
      </c>
      <c r="B27" s="10"/>
      <c r="C27" s="14" t="s">
        <v>40</v>
      </c>
      <c r="D27" s="3"/>
      <c r="E27" s="4"/>
      <c r="F27" s="12"/>
      <c r="G27" s="4"/>
    </row>
    <row r="28" spans="1:7" ht="12.75">
      <c r="A28" s="5"/>
      <c r="B28" s="5"/>
      <c r="C28" s="13" t="s">
        <v>28</v>
      </c>
      <c r="D28" s="13"/>
      <c r="E28" s="13"/>
      <c r="F28" s="13">
        <f>(F22+F24+F26)*0.5%</f>
        <v>0.1447</v>
      </c>
      <c r="G28" s="13" t="s">
        <v>41</v>
      </c>
    </row>
    <row r="29" spans="1:7" ht="12.75">
      <c r="A29" s="9" t="s">
        <v>30</v>
      </c>
      <c r="B29" s="3"/>
      <c r="C29" s="4"/>
      <c r="D29" s="8">
        <v>1</v>
      </c>
      <c r="E29" s="8" t="s">
        <v>11</v>
      </c>
      <c r="F29" s="8">
        <f>F22+F24+F26+F28</f>
        <v>29.084700000000002</v>
      </c>
      <c r="G29" s="8"/>
    </row>
    <row r="30" spans="1:7" ht="12.75">
      <c r="A30" s="9" t="s">
        <v>31</v>
      </c>
      <c r="B30" s="3"/>
      <c r="C30" s="4"/>
      <c r="D30" s="8">
        <v>1</v>
      </c>
      <c r="E30" s="8" t="s">
        <v>11</v>
      </c>
      <c r="F30" s="8">
        <f>F29/D29</f>
        <v>29.084700000000002</v>
      </c>
      <c r="G30" s="8"/>
    </row>
    <row r="31" spans="1:7" ht="12.75">
      <c r="A31" s="9" t="s">
        <v>32</v>
      </c>
      <c r="B31" s="3"/>
      <c r="C31" s="3"/>
      <c r="D31" s="4"/>
      <c r="E31" s="8">
        <f>(F22+F24)*1.005</f>
        <v>21.707999999999998</v>
      </c>
      <c r="F31" s="8">
        <f>E31*1%</f>
        <v>0.21708</v>
      </c>
      <c r="G31" s="8"/>
    </row>
    <row r="32" spans="1:7" ht="12.75">
      <c r="A32" s="9" t="s">
        <v>30</v>
      </c>
      <c r="B32" s="3"/>
      <c r="C32" s="3"/>
      <c r="D32" s="4"/>
      <c r="E32" s="8"/>
      <c r="F32" s="8">
        <f>F30+F31</f>
        <v>29.301780000000001</v>
      </c>
      <c r="G32" s="8"/>
    </row>
    <row r="33" spans="1:7" ht="12.75">
      <c r="A33" s="9" t="s">
        <v>33</v>
      </c>
      <c r="B33" s="3"/>
      <c r="C33" s="3"/>
      <c r="D33" s="4"/>
      <c r="E33" s="8">
        <f>F32</f>
        <v>29.301780000000001</v>
      </c>
      <c r="F33" s="8">
        <f>E33*15%</f>
        <v>4.3952669999999996</v>
      </c>
      <c r="G33" s="8"/>
    </row>
    <row r="34" spans="1:7" ht="12.75">
      <c r="A34" s="15" t="s">
        <v>30</v>
      </c>
      <c r="B34" s="3"/>
      <c r="C34" s="3"/>
      <c r="D34" s="4"/>
      <c r="E34" s="8"/>
      <c r="F34" s="16">
        <f>ROUND(F32+F33,2)</f>
        <v>33.70</v>
      </c>
      <c r="G34" s="8"/>
    </row>
    <row r="35" spans="1:7" ht="12.75">
      <c r="A35" s="17" t="s">
        <v>42</v>
      </c>
      <c r="B35" s="3"/>
      <c r="C35" s="3"/>
      <c r="D35" s="3"/>
      <c r="E35" s="3"/>
      <c r="F35" s="4"/>
      <c r="G35" s="18" t="s">
        <v>43</v>
      </c>
    </row>
  </sheetData>
  <mergeCells count="50">
    <mergeCell ref="A1:A2"/>
    <mergeCell ref="B1:B2"/>
    <mergeCell ref="C1:E1"/>
    <mergeCell ref="F1:G1"/>
    <mergeCell ref="A3:G3"/>
    <mergeCell ref="B5:G5"/>
    <mergeCell ref="A6:G6"/>
    <mergeCell ref="C11:E11"/>
    <mergeCell ref="F11:G11"/>
    <mergeCell ref="C13:E13"/>
    <mergeCell ref="F13:G13"/>
    <mergeCell ref="A7:A8"/>
    <mergeCell ref="B7:B8"/>
    <mergeCell ref="C7:E7"/>
    <mergeCell ref="F7:G7"/>
    <mergeCell ref="B9:B10"/>
    <mergeCell ref="C9:E9"/>
    <mergeCell ref="F9:G9"/>
    <mergeCell ref="A9:A10"/>
    <mergeCell ref="A11:A12"/>
    <mergeCell ref="B11:B12"/>
    <mergeCell ref="A13:A14"/>
    <mergeCell ref="B13:B14"/>
    <mergeCell ref="A15:C15"/>
    <mergeCell ref="A16:C16"/>
    <mergeCell ref="A17:D17"/>
    <mergeCell ref="A18:D18"/>
    <mergeCell ref="A19:D19"/>
    <mergeCell ref="A20:D20"/>
    <mergeCell ref="B21:B22"/>
    <mergeCell ref="C21:E21"/>
    <mergeCell ref="F21:G21"/>
    <mergeCell ref="A21:A22"/>
    <mergeCell ref="A23:A24"/>
    <mergeCell ref="B23:B24"/>
    <mergeCell ref="A25:A26"/>
    <mergeCell ref="B25:B26"/>
    <mergeCell ref="C25:E25"/>
    <mergeCell ref="F25:G25"/>
    <mergeCell ref="A32:D32"/>
    <mergeCell ref="A33:D33"/>
    <mergeCell ref="A34:D34"/>
    <mergeCell ref="A35:F35"/>
    <mergeCell ref="A27:A28"/>
    <mergeCell ref="B27:B28"/>
    <mergeCell ref="C27:E27"/>
    <mergeCell ref="F27:G27"/>
    <mergeCell ref="A29:C29"/>
    <mergeCell ref="A30:C30"/>
    <mergeCell ref="A31:D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