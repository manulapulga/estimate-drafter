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<sst xmlns="http://schemas.openxmlformats.org/spreadsheetml/2006/main" count="90" uniqueCount="37">
  <si>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</si>
  <si>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</si>
  <si>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</si>
  <si>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</si>
  <si>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</si>
  <si>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</si>
  <si>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</si>
  <si>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</si>
  <si>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</si>
  <si>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Water meter for Rigid PVC pipes, including jointing with PVC solvent cement-15 mm water meter</t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</si>
  <si>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</si>
  <si>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</si>
  <si>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</si>
  <si>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</si>
  <si>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</si>
  <si>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</si>
  <si>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</si>
  <si>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MR11005</t>
  </si>
  <si>
    <t>Water Meter, Indian Standard, Class B, Multijet, 15mm ( ½")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</si>
  <si>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</si>
  <si>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</si>
  <si>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</si>
  <si>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</si>
  <si>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</si>
  <si>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</si>
  <si>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</si>
  <si>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</si>
  <si>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</si>
  <si>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</si>
  <si>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</si>
  <si>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</si>
  <si>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</si>
  <si>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</si>
  <si>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</si>
  <si>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t>Providing and fixing Water meter for Rigid PVC pipes, including jointing with PVC solvent cement-20 mm water meter</t>
  </si>
  <si>
    <t>MR11006</t>
  </si>
  <si>
    <t>Water Meter, Indian Standard, Class B, Multijet, 20mm ( ¾" 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</si>
</sst>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2"/>
      <color rgb="FF000000"/>
      <name val="Cambria"/>
      <family val="2"/>
    </font>
    <font>
      <b/>
      <sz val="12"/>
      <color rgb="FF212529"/>
      <name val="Cambria"/>
      <family val="2"/>
    </font>
    <font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Border="1" applyAlignment="1">
      <alignment vertical="center" wrapText="1"/>
    </xf>
    <xf numFmtId="0" fontId="4" fillId="2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3" fillId="3" borderId="6" xfId="0" applyFont="1" applyBorder="1" applyAlignment="1">
      <alignment horizontal="center" vertical="center" wrapText="1"/>
    </xf>
    <xf numFmtId="0" fontId="3" fillId="3" borderId="6" xfId="0" applyFont="1" applyBorder="1" applyAlignment="1">
      <alignment horizontal="right" vertical="center" wrapText="1"/>
    </xf>
    <xf numFmtId="0" fontId="3" fillId="3" borderId="2" xfId="0" applyFont="1" applyBorder="1" applyAlignment="1">
      <alignment horizontal="left" vertical="center" wrapText="1"/>
    </xf>
    <xf numFmtId="0" fontId="3" fillId="4" borderId="2" xfId="0" applyFont="1" applyBorder="1" applyAlignment="1">
      <alignment horizontal="left" vertical="center" wrapText="1"/>
    </xf>
    <xf numFmtId="0" fontId="3" fillId="4" borderId="6" xfId="0" applyFont="1" applyBorder="1" applyAlignment="1">
      <alignment horizontal="center" vertical="center" wrapText="1"/>
    </xf>
    <xf numFmtId="0" fontId="3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3" fillId="3" borderId="6" xfId="0" applyFont="1" applyBorder="1" applyAlignment="1">
      <alignment horizontal="left" vertical="center" wrapText="1"/>
    </xf>
    <xf numFmtId="0" fontId="3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1" fillId="4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910ADF-5459-4AFB-8F93-796267AEB9A6}">
  <dimension ref="A1:G5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19</v>
      </c>
      <c r="D8" s="9">
        <v>1</v>
      </c>
      <c r="E8" s="9">
        <v>875</v>
      </c>
      <c r="F8" s="9">
        <f>D8*E8</f>
        <v>875</v>
      </c>
      <c r="G8" s="8" t="s">
        <v>20</v>
      </c>
    </row>
    <row r="9" spans="1:7" ht="12.75">
      <c r="A9" s="14" t="s">
        <v>21</v>
      </c>
      <c r="B9" s="3"/>
      <c r="C9" s="4"/>
      <c r="D9" s="9">
        <v>1</v>
      </c>
      <c r="E9" s="15" t="s">
        <v>11</v>
      </c>
      <c r="F9" s="9">
        <f>F8</f>
        <v>875</v>
      </c>
      <c r="G9" s="8"/>
    </row>
    <row r="10" spans="1:7" ht="12.75">
      <c r="A10" s="14" t="s">
        <v>22</v>
      </c>
      <c r="B10" s="3"/>
      <c r="C10" s="4"/>
      <c r="D10" s="9">
        <v>1</v>
      </c>
      <c r="E10" s="15" t="s">
        <v>11</v>
      </c>
      <c r="F10" s="9">
        <f>F9/D9</f>
        <v>875</v>
      </c>
      <c r="G10" s="8"/>
    </row>
    <row r="11" spans="1:7" ht="12.75">
      <c r="A11" s="16" t="s">
        <v>23</v>
      </c>
      <c r="B11" s="3"/>
      <c r="C11" s="3"/>
      <c r="D11" s="4"/>
      <c r="E11" s="9"/>
      <c r="F11" s="9">
        <f>F10*1%</f>
        <v>8.75</v>
      </c>
      <c r="G11" s="8"/>
    </row>
    <row r="12" spans="1:7" ht="12.75">
      <c r="A12" s="16" t="s">
        <v>24</v>
      </c>
      <c r="B12" s="3"/>
      <c r="C12" s="3"/>
      <c r="D12" s="4"/>
      <c r="E12" s="15"/>
      <c r="F12" s="9">
        <f>F11+F10</f>
        <v>883.75</v>
      </c>
      <c r="G12" s="8"/>
    </row>
    <row r="13" spans="1:7" ht="12.75">
      <c r="A13" s="16" t="s">
        <v>25</v>
      </c>
      <c r="B13" s="3"/>
      <c r="C13" s="3"/>
      <c r="D13" s="4"/>
      <c r="E13" s="9"/>
      <c r="F13" s="9">
        <f>F12*15%</f>
        <v>132.5625</v>
      </c>
      <c r="G13" s="8"/>
    </row>
    <row r="14" spans="1:7" ht="12.75">
      <c r="A14" s="16" t="s">
        <v>24</v>
      </c>
      <c r="B14" s="3"/>
      <c r="C14" s="3"/>
      <c r="D14" s="4"/>
      <c r="E14" s="15"/>
      <c r="F14" s="17">
        <f>ROUND(F13+F12,2)</f>
        <v>1016.31</v>
      </c>
      <c r="G14" s="8"/>
    </row>
    <row r="15" spans="1:7" ht="12.75">
      <c r="A15" s="11" t="s">
        <v>26</v>
      </c>
      <c r="B15" s="3"/>
      <c r="C15" s="3"/>
      <c r="D15" s="3"/>
      <c r="E15" s="3"/>
      <c r="F15" s="4"/>
      <c r="G15" s="12" t="s">
        <v>27</v>
      </c>
    </row>
    <row r="16" spans="1:7" ht="12.75">
      <c r="A16" s="13">
        <v>9999</v>
      </c>
      <c r="B16" s="13"/>
      <c r="C16" s="10" t="s">
        <v>28</v>
      </c>
      <c r="D16" s="3"/>
      <c r="E16" s="4"/>
      <c r="F16" s="10"/>
      <c r="G16" s="4"/>
    </row>
    <row r="17" spans="1:7" ht="12.75">
      <c r="A17" s="5"/>
      <c r="B17" s="5"/>
      <c r="C17" s="8" t="s">
        <v>29</v>
      </c>
      <c r="D17" s="9">
        <v>10</v>
      </c>
      <c r="E17" s="9">
        <v>2.12</v>
      </c>
      <c r="F17" s="9">
        <f>D17*E17</f>
        <v>21.20</v>
      </c>
      <c r="G17" s="8" t="s">
        <v>30</v>
      </c>
    </row>
    <row r="18" spans="1:7" ht="12.75">
      <c r="A18" s="13">
        <v>9999</v>
      </c>
      <c r="B18" s="13"/>
      <c r="C18" s="10" t="s">
        <v>31</v>
      </c>
      <c r="D18" s="3"/>
      <c r="E18" s="4"/>
      <c r="F18" s="10"/>
      <c r="G18" s="4"/>
    </row>
    <row r="19" spans="1:7" ht="12.75">
      <c r="A19" s="5"/>
      <c r="B19" s="5"/>
      <c r="C19" s="8" t="s">
        <v>29</v>
      </c>
      <c r="D19" s="9">
        <v>9.36</v>
      </c>
      <c r="E19" s="9">
        <v>2.12</v>
      </c>
      <c r="F19" s="9">
        <f>D19*E19</f>
        <v>19.8432</v>
      </c>
      <c r="G19" s="8" t="s">
        <v>32</v>
      </c>
    </row>
    <row r="20" spans="1:7" ht="12.75">
      <c r="A20" s="14" t="s">
        <v>33</v>
      </c>
      <c r="B20" s="3"/>
      <c r="C20" s="4"/>
      <c r="D20" s="9">
        <v>1</v>
      </c>
      <c r="E20" s="15" t="s">
        <v>11</v>
      </c>
      <c r="F20" s="9">
        <f>F19+F17</f>
        <v>41.043199999999999</v>
      </c>
      <c r="G20" s="15"/>
    </row>
    <row r="21" spans="1:7" ht="12.75">
      <c r="A21" s="14" t="s">
        <v>22</v>
      </c>
      <c r="B21" s="3"/>
      <c r="C21" s="4"/>
      <c r="D21" s="9">
        <v>1</v>
      </c>
      <c r="E21" s="15" t="s">
        <v>11</v>
      </c>
      <c r="F21" s="9">
        <f>F20/D20</f>
        <v>41.043199999999999</v>
      </c>
      <c r="G21" s="15"/>
    </row>
    <row r="22" spans="1:7" ht="12.75">
      <c r="A22" s="16" t="s">
        <v>23</v>
      </c>
      <c r="B22" s="3"/>
      <c r="C22" s="3"/>
      <c r="D22" s="4"/>
      <c r="E22" s="9"/>
      <c r="F22" s="9">
        <f>F21*1%</f>
        <v>0.41043200000000002</v>
      </c>
      <c r="G22" s="15"/>
    </row>
    <row r="23" spans="1:7" ht="12.75">
      <c r="A23" s="16" t="s">
        <v>24</v>
      </c>
      <c r="B23" s="3"/>
      <c r="C23" s="3"/>
      <c r="D23" s="4"/>
      <c r="E23" s="15"/>
      <c r="F23" s="9">
        <f>F22+F21</f>
        <v>41.453631999999999</v>
      </c>
      <c r="G23" s="15"/>
    </row>
    <row r="24" spans="1:7" ht="12.75">
      <c r="A24" s="16" t="s">
        <v>25</v>
      </c>
      <c r="B24" s="3"/>
      <c r="C24" s="3"/>
      <c r="D24" s="4"/>
      <c r="E24" s="9"/>
      <c r="F24" s="9">
        <f>F23*15%</f>
        <v>6.2180448000000004</v>
      </c>
      <c r="G24" s="15"/>
    </row>
    <row r="25" spans="1:7" ht="12.75">
      <c r="A25" s="16" t="s">
        <v>24</v>
      </c>
      <c r="B25" s="3"/>
      <c r="C25" s="3"/>
      <c r="D25" s="4"/>
      <c r="E25" s="15"/>
      <c r="F25" s="17">
        <f>ROUND(F24+F23,2)</f>
        <v>47.67</v>
      </c>
      <c r="G25" s="15"/>
    </row>
    <row r="26" spans="1:7" ht="12.75">
      <c r="A26" s="18" t="str">
        <f>CONCATENATE("Say ₹ ",F14," + ",F25," x Cost Index")</f>
        <v>Say ₹ 1016.31 + 47.67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2" t="s">
        <v>3</v>
      </c>
      <c r="G27" s="4"/>
    </row>
    <row r="28" spans="1:7" ht="12.75">
      <c r="A28" s="5"/>
      <c r="B28" s="5"/>
      <c r="C28" s="6" t="s">
        <v>4</v>
      </c>
      <c r="D28" s="6" t="s">
        <v>5</v>
      </c>
      <c r="E28" s="6" t="s">
        <v>6</v>
      </c>
      <c r="F28" s="6" t="s">
        <v>7</v>
      </c>
      <c r="G28" s="6" t="s">
        <v>8</v>
      </c>
    </row>
    <row r="29" spans="1:7" ht="12.75">
      <c r="A29" s="7" t="s">
        <v>34</v>
      </c>
      <c r="B29" s="3"/>
      <c r="C29" s="3"/>
      <c r="D29" s="3"/>
      <c r="E29" s="3"/>
      <c r="F29" s="3"/>
      <c r="G29" s="4"/>
    </row>
    <row r="30" spans="1:7" ht="12.75">
      <c r="A30" s="8"/>
      <c r="B30" s="8" t="s">
        <v>10</v>
      </c>
      <c r="C30" s="8" t="s">
        <v>11</v>
      </c>
      <c r="D30" s="8" t="s">
        <v>12</v>
      </c>
      <c r="E30" s="9">
        <v>1</v>
      </c>
      <c r="F30" s="10"/>
      <c r="G30" s="4"/>
    </row>
    <row r="31" spans="1:7" ht="12.75">
      <c r="A31" s="8" t="s">
        <v>13</v>
      </c>
      <c r="B31" s="10" t="s">
        <v>14</v>
      </c>
      <c r="C31" s="3"/>
      <c r="D31" s="3"/>
      <c r="E31" s="3"/>
      <c r="F31" s="3"/>
      <c r="G31" s="4"/>
    </row>
    <row r="32" spans="1:7" ht="12.75">
      <c r="A32" s="11" t="s">
        <v>15</v>
      </c>
      <c r="B32" s="3"/>
      <c r="C32" s="3"/>
      <c r="D32" s="3"/>
      <c r="E32" s="3"/>
      <c r="F32" s="4"/>
      <c r="G32" s="12" t="s">
        <v>16</v>
      </c>
    </row>
    <row r="33" spans="1:7" ht="12.75">
      <c r="A33" s="13"/>
      <c r="B33" s="13" t="s">
        <v>35</v>
      </c>
      <c r="C33" s="10" t="s">
        <v>36</v>
      </c>
      <c r="D33" s="3"/>
      <c r="E33" s="4"/>
      <c r="F33" s="10"/>
      <c r="G33" s="4"/>
    </row>
    <row r="34" spans="1:7" ht="12.75">
      <c r="A34" s="5"/>
      <c r="B34" s="5"/>
      <c r="C34" s="8" t="s">
        <v>19</v>
      </c>
      <c r="D34" s="9">
        <v>1</v>
      </c>
      <c r="E34" s="9">
        <v>1228</v>
      </c>
      <c r="F34" s="9">
        <f>D34*E34</f>
        <v>1228</v>
      </c>
      <c r="G34" s="8" t="s">
        <v>20</v>
      </c>
    </row>
    <row r="35" spans="1:7" ht="12.75">
      <c r="A35" s="14" t="s">
        <v>21</v>
      </c>
      <c r="B35" s="3"/>
      <c r="C35" s="4"/>
      <c r="D35" s="9">
        <v>1</v>
      </c>
      <c r="E35" s="15" t="s">
        <v>11</v>
      </c>
      <c r="F35" s="9">
        <f>F34</f>
        <v>1228</v>
      </c>
      <c r="G35" s="8"/>
    </row>
    <row r="36" spans="1:7" ht="12.75">
      <c r="A36" s="14" t="s">
        <v>22</v>
      </c>
      <c r="B36" s="3"/>
      <c r="C36" s="4"/>
      <c r="D36" s="9">
        <v>1</v>
      </c>
      <c r="E36" s="15" t="s">
        <v>11</v>
      </c>
      <c r="F36" s="9">
        <f>F35/D35</f>
        <v>1228</v>
      </c>
      <c r="G36" s="8"/>
    </row>
    <row r="37" spans="1:7" ht="12.75">
      <c r="A37" s="16" t="s">
        <v>23</v>
      </c>
      <c r="B37" s="3"/>
      <c r="C37" s="3"/>
      <c r="D37" s="4"/>
      <c r="E37" s="9"/>
      <c r="F37" s="9">
        <f>F36*1%</f>
        <v>12.28</v>
      </c>
      <c r="G37" s="8"/>
    </row>
    <row r="38" spans="1:7" ht="12.75">
      <c r="A38" s="16" t="s">
        <v>24</v>
      </c>
      <c r="B38" s="3"/>
      <c r="C38" s="3"/>
      <c r="D38" s="4"/>
      <c r="E38" s="15"/>
      <c r="F38" s="9">
        <f>F37+F36</f>
        <v>1240.28</v>
      </c>
      <c r="G38" s="8"/>
    </row>
    <row r="39" spans="1:7" ht="12.75">
      <c r="A39" s="16" t="s">
        <v>25</v>
      </c>
      <c r="B39" s="3"/>
      <c r="C39" s="3"/>
      <c r="D39" s="4"/>
      <c r="E39" s="9"/>
      <c r="F39" s="9">
        <f>F38*15%</f>
        <v>186.042</v>
      </c>
      <c r="G39" s="8"/>
    </row>
    <row r="40" spans="1:7" ht="12.75">
      <c r="A40" s="16" t="s">
        <v>24</v>
      </c>
      <c r="B40" s="3"/>
      <c r="C40" s="3"/>
      <c r="D40" s="4"/>
      <c r="E40" s="15"/>
      <c r="F40" s="17">
        <f>ROUND(F39+F38,2)</f>
        <v>1426.32</v>
      </c>
      <c r="G40" s="8"/>
    </row>
    <row r="41" spans="1:7" ht="12.75">
      <c r="A41" s="11" t="s">
        <v>26</v>
      </c>
      <c r="B41" s="3"/>
      <c r="C41" s="3"/>
      <c r="D41" s="3"/>
      <c r="E41" s="3"/>
      <c r="F41" s="4"/>
      <c r="G41" s="12" t="s">
        <v>27</v>
      </c>
    </row>
    <row r="42" spans="1:7" ht="12.75">
      <c r="A42" s="13">
        <v>9999</v>
      </c>
      <c r="B42" s="13"/>
      <c r="C42" s="10" t="s">
        <v>28</v>
      </c>
      <c r="D42" s="3"/>
      <c r="E42" s="4"/>
      <c r="F42" s="10"/>
      <c r="G42" s="4"/>
    </row>
    <row r="43" spans="1:7" ht="12.75">
      <c r="A43" s="5"/>
      <c r="B43" s="5"/>
      <c r="C43" s="8" t="s">
        <v>29</v>
      </c>
      <c r="D43" s="9">
        <v>10</v>
      </c>
      <c r="E43" s="9">
        <v>2.12</v>
      </c>
      <c r="F43" s="9">
        <f>D43*E43</f>
        <v>21.20</v>
      </c>
      <c r="G43" s="8" t="s">
        <v>30</v>
      </c>
    </row>
    <row r="44" spans="1:7" ht="12.75">
      <c r="A44" s="13">
        <v>9999</v>
      </c>
      <c r="B44" s="13"/>
      <c r="C44" s="10" t="s">
        <v>31</v>
      </c>
      <c r="D44" s="3"/>
      <c r="E44" s="4"/>
      <c r="F44" s="10"/>
      <c r="G44" s="4"/>
    </row>
    <row r="45" spans="1:7" ht="12.75">
      <c r="A45" s="5"/>
      <c r="B45" s="5"/>
      <c r="C45" s="8" t="s">
        <v>29</v>
      </c>
      <c r="D45" s="9">
        <v>9.36</v>
      </c>
      <c r="E45" s="9">
        <v>2.12</v>
      </c>
      <c r="F45" s="9">
        <f>D45*E45</f>
        <v>19.8432</v>
      </c>
      <c r="G45" s="8" t="s">
        <v>32</v>
      </c>
    </row>
    <row r="46" spans="1:7" ht="12.75">
      <c r="A46" s="14" t="s">
        <v>33</v>
      </c>
      <c r="B46" s="3"/>
      <c r="C46" s="4"/>
      <c r="D46" s="9">
        <v>1</v>
      </c>
      <c r="E46" s="15" t="s">
        <v>11</v>
      </c>
      <c r="F46" s="9">
        <f>F45+F43</f>
        <v>41.043199999999999</v>
      </c>
      <c r="G46" s="15"/>
    </row>
    <row r="47" spans="1:7" ht="12.75">
      <c r="A47" s="14" t="s">
        <v>22</v>
      </c>
      <c r="B47" s="3"/>
      <c r="C47" s="4"/>
      <c r="D47" s="9">
        <v>1</v>
      </c>
      <c r="E47" s="15" t="s">
        <v>11</v>
      </c>
      <c r="F47" s="9">
        <f>F46/D46</f>
        <v>41.043199999999999</v>
      </c>
      <c r="G47" s="15"/>
    </row>
    <row r="48" spans="1:7" ht="12.75">
      <c r="A48" s="16" t="s">
        <v>23</v>
      </c>
      <c r="B48" s="3"/>
      <c r="C48" s="3"/>
      <c r="D48" s="4"/>
      <c r="E48" s="9"/>
      <c r="F48" s="9">
        <f>F47*1%</f>
        <v>0.41043200000000002</v>
      </c>
      <c r="G48" s="15"/>
    </row>
    <row r="49" spans="1:7" ht="12.75">
      <c r="A49" s="16" t="s">
        <v>24</v>
      </c>
      <c r="B49" s="3"/>
      <c r="C49" s="3"/>
      <c r="D49" s="4"/>
      <c r="E49" s="15"/>
      <c r="F49" s="9">
        <f>F48+F47</f>
        <v>41.453631999999999</v>
      </c>
      <c r="G49" s="15"/>
    </row>
    <row r="50" spans="1:7" ht="12.75">
      <c r="A50" s="16" t="s">
        <v>25</v>
      </c>
      <c r="B50" s="3"/>
      <c r="C50" s="3"/>
      <c r="D50" s="4"/>
      <c r="E50" s="9"/>
      <c r="F50" s="9">
        <f>F49*15%</f>
        <v>6.2180448000000004</v>
      </c>
      <c r="G50" s="15"/>
    </row>
    <row r="51" spans="1:7" ht="12.75">
      <c r="A51" s="16" t="s">
        <v>24</v>
      </c>
      <c r="B51" s="3"/>
      <c r="C51" s="3"/>
      <c r="D51" s="4"/>
      <c r="E51" s="15"/>
      <c r="F51" s="17">
        <f>ROUND(F50+F49,2)</f>
        <v>47.67</v>
      </c>
      <c r="G51" s="15"/>
    </row>
    <row r="52" spans="1:7" ht="12.75">
      <c r="A52" s="18" t="str">
        <f>CONCATENATE("Say ₹ ",F40," + ",F51," x Cost Index")</f>
        <v>Say ₹ 1426.32 + 47.67 x Cost Index</v>
      </c>
      <c r="B52" s="3"/>
      <c r="C52" s="3"/>
      <c r="D52" s="3"/>
      <c r="E52" s="3"/>
      <c r="F52" s="3"/>
      <c r="G52" s="4"/>
    </row>
  </sheetData>
  <mergeCells count="68"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A35:C35"/>
    <mergeCell ref="A36:C36"/>
    <mergeCell ref="A37:D37"/>
    <mergeCell ref="A38:D38"/>
    <mergeCell ref="A39:D39"/>
    <mergeCell ref="A40:D40"/>
    <mergeCell ref="A41:F41"/>
    <mergeCell ref="A47:C47"/>
    <mergeCell ref="A48:D48"/>
    <mergeCell ref="A49:D49"/>
    <mergeCell ref="A50:D50"/>
    <mergeCell ref="A51:D51"/>
    <mergeCell ref="A52:G52"/>
    <mergeCell ref="A42:A43"/>
    <mergeCell ref="B42:B43"/>
    <mergeCell ref="A44:A45"/>
    <mergeCell ref="B44:B45"/>
    <mergeCell ref="C44:E44"/>
    <mergeCell ref="F44:G44"/>
    <mergeCell ref="A46:C46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