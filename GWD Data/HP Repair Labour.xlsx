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calcChain.xml><?xml version="1.0" encoding="utf-8"?>
<calcChain xmlns="http://schemas.openxmlformats.org/spreadsheetml/2006/main">
  <c r="G3" i="1" l="1"/>
</calcChain>
</file>

<file path=xl/sharedStrings.xml><?xml version="1.0" encoding="utf-8"?>
<sst xmlns="http://schemas.openxmlformats.org/spreadsheetml/2006/main" count="30" uniqueCount="23">
  <si>
    <t>India Mark II Hand Pump Pullout, Repairing and Re-Erection Labour Charges</t>
  </si>
  <si>
    <t>(i)</t>
  </si>
  <si>
    <t>Labour charges for detaching the handpump, pullout of pipe and cylinder from the borewell, washing and cleaning of parts, renovation of damaged pipe threads, replacement of spare parts as required, and reinstallation of the handpump after necessary repairs, including loading and unloading of tools and machinery (excluding cost of spare parts).</t>
  </si>
  <si>
    <t>0116</t>
  </si>
  <si>
    <t>Fitter (grade I)</t>
  </si>
  <si>
    <t>day</t>
  </si>
  <si>
    <t>/day</t>
  </si>
  <si>
    <t>0117</t>
  </si>
  <si>
    <t>Assistant Fitter or 2nd class Fitter</t>
  </si>
  <si>
    <t>0115</t>
  </si>
  <si>
    <t>Coolie</t>
  </si>
  <si>
    <t>(ii)</t>
  </si>
  <si>
    <t>Hire charges for vehicle for to and fro transportation of tools, tripod with winch machine, etc.</t>
  </si>
  <si>
    <t>0083</t>
  </si>
  <si>
    <t>Hire charges of TATA 407 or equivalent for local shifting.</t>
  </si>
  <si>
    <t>9999</t>
  </si>
  <si>
    <t>Sundries</t>
  </si>
  <si>
    <t>LS</t>
  </si>
  <si>
    <t>/LS</t>
  </si>
  <si>
    <t xml:space="preserve">Total    </t>
  </si>
  <si>
    <t>Water charges 1%</t>
  </si>
  <si>
    <t>Total</t>
  </si>
  <si>
    <t>CPOH 15%</t>
  </si>
</sst>
</file>

<file path=xl/styles.xml><?xml version="1.0" encoding="utf-8"?>
<styleSheet xmlns="http://schemas.openxmlformats.org/spreadsheetml/2006/main">
  <numFmts count="1">
    <numFmt numFmtId="177" formatCode="0.00;[Red]0.00"/>
  </numFmts>
  <fonts count="4">
    <font>
      <sz val="10"/>
      <color theme="1"/>
      <name val="Arial"/>
      <family val="2"/>
    </font>
    <font>
      <sz val="11"/>
      <color rgb="FF000000"/>
      <name val="Calibri"/>
      <family val="2"/>
      <scheme val="minor"/>
    </font>
    <font>
      <b/>
      <sz val="12"/>
      <color theme="1"/>
      <name val="Cambria"/>
      <family val="2"/>
    </font>
    <font>
      <sz val="12"/>
      <color theme="1"/>
      <name val="Cambria"/>
      <family val="2"/>
    </font>
  </fonts>
  <fills count="4">
    <fill>
      <patternFill patternType="none"/>
    </fill>
    <fill>
      <patternFill patternType="gray125"/>
    </fill>
    <fill>
      <patternFill patternType="solid">
        <fgColor rgb="FFFFF2CC"/>
        <bgColor indexed="64"/>
      </patternFill>
    </fill>
    <fill>
      <patternFill patternType="solid">
        <fgColor rgb="FFB4C6E7"/>
        <bgColor indexed="64"/>
      </patternFill>
    </fill>
  </fills>
  <borders count="15">
    <border>
      <left/>
      <right/>
      <top/>
      <bottom/>
      <diagonal/>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medium">
        <color rgb="FF000000"/>
      </right>
      <top style="thin">
        <color rgb="FF000000"/>
      </top>
      <bottom/>
    </border>
    <border>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2">
    <xf numFmtId="0" fontId="0" fillId="0" borderId="0" xfId="0"/>
    <xf numFmtId="49" fontId="2" fillId="2" borderId="1" xfId="0" applyNumberFormat="1" applyFont="1" applyBorder="1" applyAlignment="1">
      <alignment horizontal="center" vertical="center" wrapText="1"/>
    </xf>
    <xf numFmtId="0" fontId="1" fillId="0" borderId="2" xfId="0" applyFont="1" applyBorder="1"/>
    <xf numFmtId="0" fontId="1" fillId="0" borderId="3" xfId="0" applyFont="1" applyBorder="1"/>
    <xf numFmtId="49" fontId="2" fillId="2" borderId="4" xfId="0" applyNumberFormat="1" applyFont="1" applyBorder="1" applyAlignment="1">
      <alignment horizontal="center" vertical="center" wrapText="1"/>
    </xf>
    <xf numFmtId="0" fontId="2" fillId="2" borderId="5" xfId="0" applyFont="1" applyBorder="1" applyAlignment="1">
      <alignment horizontal="left" vertical="center" wrapText="1"/>
    </xf>
    <xf numFmtId="0" fontId="1" fillId="0" borderId="6" xfId="0" applyFont="1" applyBorder="1"/>
    <xf numFmtId="0" fontId="1" fillId="0" borderId="7" xfId="0" applyFont="1" applyBorder="1"/>
    <xf numFmtId="49" fontId="2" fillId="2" borderId="8" xfId="0" applyNumberFormat="1" applyFont="1" applyBorder="1" applyAlignment="1">
      <alignment horizontal="left" vertical="center" wrapText="1"/>
    </xf>
    <xf numFmtId="0" fontId="3" fillId="2" borderId="9" xfId="0" applyFont="1" applyBorder="1" applyAlignment="1">
      <alignment vertical="center" wrapText="1"/>
    </xf>
    <xf numFmtId="0" fontId="3" fillId="2" borderId="9" xfId="0" applyFont="1" applyBorder="1" applyAlignment="1">
      <alignment horizontal="center" vertical="center" wrapText="1"/>
    </xf>
    <xf numFmtId="0" fontId="3" fillId="2" borderId="5" xfId="0" applyFont="1" applyBorder="1" applyAlignment="1">
      <alignment horizontal="center" vertical="center" wrapText="1"/>
    </xf>
    <xf numFmtId="177" fontId="3" fillId="2" borderId="10" xfId="0" applyNumberFormat="1" applyFont="1" applyBorder="1" applyAlignment="1">
      <alignment horizontal="center" vertical="center" wrapText="1"/>
    </xf>
    <xf numFmtId="0" fontId="2" fillId="2" borderId="5" xfId="0" applyFont="1" applyBorder="1" applyAlignment="1">
      <alignment vertical="center" wrapText="1"/>
    </xf>
    <xf numFmtId="0" fontId="2" fillId="2" borderId="11" xfId="0" applyFont="1" applyBorder="1" applyAlignment="1">
      <alignment horizontal="right" vertical="center" wrapText="1"/>
    </xf>
    <xf numFmtId="0" fontId="3" fillId="2" borderId="0" xfId="0" applyFont="1" applyAlignment="1">
      <alignment horizontal="center" vertical="center" wrapText="1"/>
    </xf>
    <xf numFmtId="0" fontId="3" fillId="2" borderId="11" xfId="0" applyFont="1" applyBorder="1" applyAlignment="1">
      <alignment horizontal="center" vertical="center" wrapText="1"/>
    </xf>
    <xf numFmtId="0" fontId="3" fillId="2" borderId="12" xfId="0" applyFont="1" applyBorder="1" applyAlignment="1">
      <alignment horizontal="center" vertical="center" wrapText="1"/>
    </xf>
    <xf numFmtId="177" fontId="2" fillId="2" borderId="13" xfId="0" applyNumberFormat="1" applyFont="1" applyBorder="1" applyAlignment="1">
      <alignment horizontal="center" vertical="center" wrapText="1"/>
    </xf>
    <xf numFmtId="0" fontId="3" fillId="2" borderId="9" xfId="0" applyFont="1" applyBorder="1" applyAlignment="1">
      <alignment horizontal="right" vertical="center" wrapText="1"/>
    </xf>
    <xf numFmtId="0" fontId="2" fillId="3" borderId="5" xfId="0" applyFont="1" applyFill="1" applyBorder="1" applyAlignment="1">
      <alignment horizontal="center" vertical="center" wrapText="1"/>
    </xf>
    <xf numFmtId="0" fontId="1" fillId="0" borderId="14" xfId="0" applyFont="1" applyBorder="1"/>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 Id="rId5" Type="http://schemas.openxmlformats.org/officeDocument/2006/relationships/calcChain" Target="calcChain.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0E0350-0C7C-4FCA-AA03-E4E189E0B9A6}">
  <dimension ref="A1:G14"/>
  <sheetViews>
    <sheetView tabSelected="1" workbookViewId="0" topLeftCell="A1"/>
  </sheetViews>
  <sheetFormatPr defaultRowHeight="12.75"/>
  <sheetData>
    <row r="1" spans="1:7" ht="12.75">
      <c r="A1" s="1" t="s">
        <v>0</v>
      </c>
      <c r="B1" s="2"/>
      <c r="C1" s="2"/>
      <c r="D1" s="2"/>
      <c r="E1" s="2"/>
      <c r="F1" s="2"/>
      <c r="G1" s="3"/>
    </row>
    <row r="2" spans="1:7" ht="12.75">
      <c r="A2" s="4" t="s">
        <v>1</v>
      </c>
      <c r="B2" s="5" t="s">
        <v>2</v>
      </c>
      <c r="C2" s="6"/>
      <c r="D2" s="6"/>
      <c r="E2" s="6"/>
      <c r="F2" s="6"/>
      <c r="G2" s="7"/>
    </row>
    <row r="3" spans="1:7" ht="12.75">
      <c r="A3" s="8" t="s">
        <v>3</v>
      </c>
      <c r="B3" s="9" t="s">
        <v>4</v>
      </c>
      <c r="C3" s="10">
        <v>1</v>
      </c>
      <c r="D3" s="10" t="s">
        <v>5</v>
      </c>
      <c r="E3" s="10">
        <v>784</v>
      </c>
      <c r="F3" s="11" t="s">
        <v>6</v>
      </c>
      <c r="G3" s="12">
        <f>E3*C3</f>
        <v>784</v>
      </c>
    </row>
    <row r="4" spans="1:7" ht="12.75">
      <c r="A4" s="8" t="s">
        <v>7</v>
      </c>
      <c r="B4" s="9" t="s">
        <v>8</v>
      </c>
      <c r="C4" s="10">
        <v>1</v>
      </c>
      <c r="D4" s="10" t="s">
        <v>5</v>
      </c>
      <c r="E4" s="10">
        <v>714</v>
      </c>
      <c r="F4" s="11" t="s">
        <v>6</v>
      </c>
      <c r="G4" s="12">
        <f>E4*C4</f>
        <v>714</v>
      </c>
    </row>
    <row r="5" spans="1:7" ht="12.75">
      <c r="A5" s="8" t="s">
        <v>9</v>
      </c>
      <c r="B5" s="9" t="s">
        <v>10</v>
      </c>
      <c r="C5" s="10">
        <v>4</v>
      </c>
      <c r="D5" s="10" t="s">
        <v>5</v>
      </c>
      <c r="E5" s="10">
        <v>645</v>
      </c>
      <c r="F5" s="11" t="s">
        <v>6</v>
      </c>
      <c r="G5" s="12">
        <f>E5*C5</f>
        <v>2580</v>
      </c>
    </row>
    <row r="6" spans="1:7" ht="12.75">
      <c r="A6" s="8" t="s">
        <v>11</v>
      </c>
      <c r="B6" s="13" t="s">
        <v>12</v>
      </c>
      <c r="C6" s="6"/>
      <c r="D6" s="6"/>
      <c r="E6" s="6"/>
      <c r="F6" s="6"/>
      <c r="G6" s="7"/>
    </row>
    <row r="7" spans="1:7" ht="12.75">
      <c r="A7" s="8" t="s">
        <v>13</v>
      </c>
      <c r="B7" s="9" t="s">
        <v>14</v>
      </c>
      <c r="C7" s="10">
        <v>1</v>
      </c>
      <c r="D7" s="10" t="s">
        <v>5</v>
      </c>
      <c r="E7" s="10">
        <v>1400</v>
      </c>
      <c r="F7" s="11" t="s">
        <v>6</v>
      </c>
      <c r="G7" s="12">
        <f>E7*C7</f>
        <v>1400</v>
      </c>
    </row>
    <row r="8" spans="1:7" ht="12.75">
      <c r="A8" s="8" t="s">
        <v>15</v>
      </c>
      <c r="B8" s="9" t="s">
        <v>16</v>
      </c>
      <c r="C8" s="10">
        <v>50</v>
      </c>
      <c r="D8" s="10" t="s">
        <v>17</v>
      </c>
      <c r="E8" s="10">
        <v>2.12</v>
      </c>
      <c r="F8" s="11" t="s">
        <v>18</v>
      </c>
      <c r="G8" s="12">
        <f>E8*C8</f>
        <v>106</v>
      </c>
    </row>
    <row r="9" spans="1:7" ht="12.75">
      <c r="A9" s="8"/>
      <c r="B9" s="14" t="s">
        <v>19</v>
      </c>
      <c r="C9" s="15"/>
      <c r="D9" s="16"/>
      <c r="E9" s="16"/>
      <c r="F9" s="17"/>
      <c r="G9" s="18">
        <f>(SUM(G3:G5,G7:G8,))</f>
        <v>5584</v>
      </c>
    </row>
    <row r="10" spans="1:7" ht="12.75">
      <c r="A10" s="8"/>
      <c r="B10" s="19" t="s">
        <v>20</v>
      </c>
      <c r="C10" s="10"/>
      <c r="D10" s="10"/>
      <c r="E10" s="10"/>
      <c r="F10" s="11"/>
      <c r="G10" s="12">
        <f>G9*1%</f>
        <v>55.84</v>
      </c>
    </row>
    <row r="11" spans="1:7" ht="12.75">
      <c r="A11" s="8"/>
      <c r="B11" s="19" t="s">
        <v>21</v>
      </c>
      <c r="C11" s="10"/>
      <c r="D11" s="10"/>
      <c r="E11" s="10"/>
      <c r="F11" s="11"/>
      <c r="G11" s="12">
        <f>SUM(G9:G10)</f>
        <v>5639.84</v>
      </c>
    </row>
    <row r="12" spans="1:7" ht="12.75">
      <c r="A12" s="8"/>
      <c r="B12" s="19" t="s">
        <v>22</v>
      </c>
      <c r="C12" s="10"/>
      <c r="D12" s="10"/>
      <c r="E12" s="10"/>
      <c r="F12" s="11"/>
      <c r="G12" s="12">
        <f>G11*15%</f>
        <v>845.976</v>
      </c>
    </row>
    <row r="13" spans="1:7" ht="12.75">
      <c r="A13" s="8"/>
      <c r="B13" s="14" t="s">
        <v>19</v>
      </c>
      <c r="C13" s="15"/>
      <c r="D13" s="16"/>
      <c r="E13" s="16"/>
      <c r="F13" s="17"/>
      <c r="G13" s="18">
        <f>ROUND(SUM(G11:G12),2)</f>
        <v>6485.82</v>
      </c>
    </row>
    <row r="14" spans="1:7" ht="12.75">
      <c r="A14" s="20" t="str">
        <f>CONCATENATE("Say ₹ ",G13," x Cost Index")</f>
        <v>Say ₹ 6485.82 x Cost Index</v>
      </c>
      <c r="B14" s="6"/>
      <c r="C14" s="6"/>
      <c r="D14" s="6"/>
      <c r="E14" s="6"/>
      <c r="F14" s="6"/>
      <c r="G14" s="21"/>
    </row>
  </sheetData>
  <mergeCells count="4">
    <mergeCell ref="A1:G1"/>
    <mergeCell ref="B2:G2"/>
    <mergeCell ref="B6:G6"/>
    <mergeCell ref="A14:G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