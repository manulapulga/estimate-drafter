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1" Type="http://schemas.openxmlformats.org/officeDocument/2006/relationships/officeDocument" Target="xl/workbook.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calcChain.xml><?xml version="1.0" encoding="utf-8"?>
<calcChain xmlns="http://schemas.openxmlformats.org/spreadsheetml/2006/main">
  <c r="F8" i="1" l="1"/>
</calcChain>
</file>

<file path=xl/sharedStrings.xml><?xml version="1.0" encoding="utf-8"?>
<sst xmlns="http://schemas.openxmlformats.org/spreadsheetml/2006/main" count="55" uniqueCount="39">
  <si>
    <t>Sor/Spec Code</t>
  </si>
  <si>
    <t>MR Code</t>
  </si>
  <si>
    <t>Description</t>
  </si>
  <si>
    <t>Remarks</t>
  </si>
  <si>
    <t>Unit</t>
  </si>
  <si>
    <t>Quantity</t>
  </si>
  <si>
    <t>Rate (₹)</t>
  </si>
  <si>
    <t>Amount</t>
  </si>
  <si>
    <t>Label</t>
  </si>
  <si>
    <t>Supplying of 4.75 to 8mm size pebble (pebbles shall be hard, clean, free from clay, dust and other impurities), stacking in standard heaps for measurement including cost, conveyance up to 5km and labour charges for stacking, spreading, testing and as per the directions of the department officers etc complete and as per CPHEEO specification.</t>
  </si>
  <si>
    <t>Header Unit</t>
  </si>
  <si>
    <t>cum</t>
  </si>
  <si>
    <t>Header Quantity</t>
  </si>
  <si>
    <t>Header Details</t>
  </si>
  <si>
    <t>Details of cost for 1 cum</t>
  </si>
  <si>
    <t>Material</t>
  </si>
  <si>
    <t>M</t>
  </si>
  <si>
    <t>MR10045</t>
  </si>
  <si>
    <t>Cost of pebble 4.75 mm to 8 mm.</t>
  </si>
  <si>
    <t>M1</t>
  </si>
  <si>
    <t>TOTAL</t>
  </si>
  <si>
    <t>UNIT TOTAL</t>
  </si>
  <si>
    <t>Water Charge@ 1.00 %</t>
  </si>
  <si>
    <t>Contractors Profit &amp; Overhead@ 15.00 %</t>
  </si>
  <si>
    <t>Carriage</t>
  </si>
  <si>
    <t>C</t>
  </si>
  <si>
    <t>Carriage of Stone aggregate below 40 mm nominal size</t>
  </si>
  <si>
    <t>C1</t>
  </si>
  <si>
    <t>Labour</t>
  </si>
  <si>
    <t>L</t>
  </si>
  <si>
    <t>Coolie
For spreading.</t>
  </si>
  <si>
    <t>Day</t>
  </si>
  <si>
    <t>L1</t>
  </si>
  <si>
    <t>Tools &amp; Plants</t>
  </si>
  <si>
    <t>Sundries
Hire for tools.</t>
  </si>
  <si>
    <t>L.S</t>
  </si>
  <si>
    <t>T1</t>
  </si>
  <si>
    <t>Sundries
Charges for testing.</t>
  </si>
  <si>
    <t>T2</t>
  </si>
</sst>
</file>

<file path=xl/styles.xml><?xml version="1.0" encoding="utf-8"?>
<styleSheet xmlns="http://schemas.openxmlformats.org/spreadsheetml/2006/main">
  <fonts count="5">
    <font>
      <sz val="10"/>
      <color theme="1"/>
      <name val="Arial"/>
      <family val="2"/>
    </font>
    <font>
      <sz val="12"/>
      <color rgb="FF212529"/>
      <name val="Cambria"/>
      <family val="2"/>
    </font>
    <font>
      <b/>
      <sz val="12"/>
      <color rgb="FF212529"/>
      <name val="Cambria"/>
      <family val="2"/>
    </font>
    <font>
      <b/>
      <sz val="12"/>
      <color rgb="FFFFFFFF"/>
      <name val="Cambria"/>
      <family val="2"/>
    </font>
    <font>
      <sz val="11"/>
      <color rgb="FF000000"/>
      <name val="Calibri"/>
      <family val="2"/>
      <scheme val="minor"/>
    </font>
  </fonts>
  <fills count="5">
    <fill>
      <patternFill patternType="none"/>
    </fill>
    <fill>
      <patternFill patternType="gray125"/>
    </fill>
    <fill>
      <patternFill patternType="solid">
        <fgColor rgb="FF212529"/>
        <bgColor indexed="64"/>
      </patternFill>
    </fill>
    <fill>
      <patternFill patternType="solid">
        <fgColor rgb="FFFFFFFF"/>
        <bgColor indexed="64"/>
      </patternFill>
    </fill>
    <fill>
      <patternFill patternType="solid">
        <fgColor rgb="FFDEE2E6"/>
        <bgColor indexed="64"/>
      </patternFill>
    </fill>
  </fills>
  <borders count="7">
    <border>
      <left/>
      <right/>
      <top/>
      <bottom/>
      <diagonal/>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3">
    <xf numFmtId="0" fontId="0" fillId="0" borderId="0" xfId="0"/>
    <xf numFmtId="0" fontId="3" fillId="2" borderId="1" xfId="0" applyFont="1" applyBorder="1" applyAlignment="1">
      <alignment vertical="center" wrapText="1"/>
    </xf>
    <xf numFmtId="0" fontId="3" fillId="2" borderId="2" xfId="0" applyFont="1" applyBorder="1" applyAlignment="1">
      <alignment vertical="center" wrapText="1"/>
    </xf>
    <xf numFmtId="0" fontId="4" fillId="0" borderId="3" xfId="0" applyFont="1" applyBorder="1"/>
    <xf numFmtId="0" fontId="4" fillId="0" borderId="4" xfId="0" applyFont="1" applyBorder="1"/>
    <xf numFmtId="2" fontId="3" fillId="2" borderId="2" xfId="0" applyNumberFormat="1" applyFont="1" applyBorder="1" applyAlignment="1">
      <alignment vertical="center" wrapText="1"/>
    </xf>
    <xf numFmtId="0" fontId="4" fillId="0" borderId="5" xfId="0" applyFont="1" applyBorder="1"/>
    <xf numFmtId="0" fontId="3" fillId="2" borderId="6" xfId="0" applyFont="1" applyBorder="1" applyAlignment="1">
      <alignment vertical="center" wrapText="1"/>
    </xf>
    <xf numFmtId="2" fontId="3" fillId="2" borderId="6" xfId="0" applyNumberFormat="1" applyFont="1" applyBorder="1" applyAlignment="1">
      <alignment vertical="center" wrapText="1"/>
    </xf>
    <xf numFmtId="0" fontId="2" fillId="3" borderId="2" xfId="0" applyFont="1" applyBorder="1" applyAlignment="1">
      <alignment vertical="center" wrapText="1"/>
    </xf>
    <xf numFmtId="0" fontId="1" fillId="3" borderId="6" xfId="0" applyFont="1" applyBorder="1" applyAlignment="1">
      <alignment horizontal="center" vertical="center" wrapText="1"/>
    </xf>
    <xf numFmtId="0" fontId="1" fillId="3" borderId="6" xfId="0" applyFont="1" applyBorder="1" applyAlignment="1">
      <alignment horizontal="right" vertical="center" wrapText="1"/>
    </xf>
    <xf numFmtId="2" fontId="1" fillId="3" borderId="2" xfId="0" applyNumberFormat="1" applyFont="1" applyBorder="1" applyAlignment="1">
      <alignment horizontal="left" vertical="center" wrapText="1"/>
    </xf>
    <xf numFmtId="0" fontId="1" fillId="3" borderId="2" xfId="0" applyFont="1" applyBorder="1" applyAlignment="1">
      <alignment horizontal="left" vertical="center" wrapText="1"/>
    </xf>
    <xf numFmtId="0" fontId="1" fillId="4" borderId="2" xfId="0" applyFont="1" applyBorder="1" applyAlignment="1">
      <alignment horizontal="left" vertical="center" wrapText="1"/>
    </xf>
    <xf numFmtId="0" fontId="1" fillId="4" borderId="6" xfId="0" applyFont="1" applyBorder="1" applyAlignment="1">
      <alignment horizontal="center" vertical="center" wrapText="1"/>
    </xf>
    <xf numFmtId="0" fontId="1" fillId="3" borderId="1" xfId="0" applyFont="1" applyBorder="1" applyAlignment="1">
      <alignment horizontal="center" vertical="center" wrapText="1"/>
    </xf>
    <xf numFmtId="2" fontId="1" fillId="3" borderId="6" xfId="0" applyNumberFormat="1" applyFont="1" applyBorder="1" applyAlignment="1">
      <alignment horizontal="right" vertical="center" wrapText="1"/>
    </xf>
    <xf numFmtId="0" fontId="2" fillId="3" borderId="2" xfId="0" applyFont="1" applyBorder="1" applyAlignment="1">
      <alignment horizontal="center" vertical="center" wrapText="1"/>
    </xf>
    <xf numFmtId="0" fontId="1" fillId="3" borderId="6" xfId="0" applyFont="1" applyBorder="1" applyAlignment="1">
      <alignment horizontal="left" vertical="center" wrapText="1"/>
    </xf>
    <xf numFmtId="2" fontId="2" fillId="3" borderId="6" xfId="0" applyNumberFormat="1" applyFont="1" applyBorder="1" applyAlignment="1">
      <alignment horizontal="right" vertical="center" wrapText="1"/>
    </xf>
    <xf numFmtId="0" fontId="1" fillId="3" borderId="2" xfId="0" applyFont="1" applyBorder="1" applyAlignment="1">
      <alignment horizontal="center" vertical="center" wrapText="1"/>
    </xf>
    <xf numFmtId="0" fontId="1" fillId="4" borderId="2" xfId="0" applyFont="1" applyBorder="1" applyAlignment="1">
      <alignment horizontal="center"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5" Type="http://schemas.openxmlformats.org/officeDocument/2006/relationships/calcChain" Target="calcChain.xml" /><Relationship Id="rId1" Type="http://schemas.openxmlformats.org/officeDocument/2006/relationships/theme" Target="theme/theme1.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7EF65BE-2750-4152-AAD0-90A868DBB9A6}">
  <dimension ref="A1:G32"/>
  <sheetViews>
    <sheetView tabSelected="1" workbookViewId="0" topLeftCell="A1"/>
  </sheetViews>
  <sheetFormatPr defaultRowHeight="12.75"/>
  <sheetData>
    <row r="1" spans="1:7" ht="12.75">
      <c r="A1" s="1" t="s">
        <v>0</v>
      </c>
      <c r="B1" s="1" t="s">
        <v>1</v>
      </c>
      <c r="C1" s="2" t="s">
        <v>2</v>
      </c>
      <c r="D1" s="3"/>
      <c r="E1" s="4"/>
      <c r="F1" s="5" t="s">
        <v>3</v>
      </c>
      <c r="G1" s="4"/>
    </row>
    <row r="2" spans="1:7" ht="12.75">
      <c r="A2" s="6"/>
      <c r="B2" s="6"/>
      <c r="C2" s="7" t="s">
        <v>4</v>
      </c>
      <c r="D2" s="7" t="s">
        <v>5</v>
      </c>
      <c r="E2" s="7" t="s">
        <v>6</v>
      </c>
      <c r="F2" s="8" t="s">
        <v>7</v>
      </c>
      <c r="G2" s="7" t="s">
        <v>8</v>
      </c>
    </row>
    <row r="3" spans="1:7" ht="12.75">
      <c r="A3" s="9" t="s">
        <v>9</v>
      </c>
      <c r="B3" s="3"/>
      <c r="C3" s="3"/>
      <c r="D3" s="3"/>
      <c r="E3" s="3"/>
      <c r="F3" s="3"/>
      <c r="G3" s="4"/>
    </row>
    <row r="4" spans="1:7" ht="12.75">
      <c r="A4" s="10"/>
      <c r="B4" s="10" t="s">
        <v>10</v>
      </c>
      <c r="C4" s="10" t="s">
        <v>11</v>
      </c>
      <c r="D4" s="10" t="s">
        <v>12</v>
      </c>
      <c r="E4" s="11">
        <v>1</v>
      </c>
      <c r="F4" s="12"/>
      <c r="G4" s="4"/>
    </row>
    <row r="5" spans="1:7" ht="12.75">
      <c r="A5" s="10" t="s">
        <v>13</v>
      </c>
      <c r="B5" s="13" t="s">
        <v>14</v>
      </c>
      <c r="C5" s="3"/>
      <c r="D5" s="3"/>
      <c r="E5" s="3"/>
      <c r="F5" s="3"/>
      <c r="G5" s="4"/>
    </row>
    <row r="6" spans="1:7" ht="12.75">
      <c r="A6" s="14" t="s">
        <v>15</v>
      </c>
      <c r="B6" s="3"/>
      <c r="C6" s="3"/>
      <c r="D6" s="3"/>
      <c r="E6" s="3"/>
      <c r="F6" s="4"/>
      <c r="G6" s="15" t="s">
        <v>16</v>
      </c>
    </row>
    <row r="7" spans="1:7" ht="12.75">
      <c r="A7" s="16"/>
      <c r="B7" s="16" t="s">
        <v>17</v>
      </c>
      <c r="C7" s="13" t="s">
        <v>18</v>
      </c>
      <c r="D7" s="3"/>
      <c r="E7" s="4"/>
      <c r="F7" s="12"/>
      <c r="G7" s="4"/>
    </row>
    <row r="8" spans="1:7" ht="12.75">
      <c r="A8" s="6"/>
      <c r="B8" s="6"/>
      <c r="C8" s="10" t="s">
        <v>11</v>
      </c>
      <c r="D8" s="11">
        <v>1</v>
      </c>
      <c r="E8" s="11">
        <v>6553.19</v>
      </c>
      <c r="F8" s="17">
        <f>D8*E8</f>
        <v>6553.19</v>
      </c>
      <c r="G8" s="10" t="s">
        <v>19</v>
      </c>
    </row>
    <row r="9" spans="1:7" ht="12.75">
      <c r="A9" s="18" t="s">
        <v>20</v>
      </c>
      <c r="B9" s="3"/>
      <c r="C9" s="4"/>
      <c r="D9" s="11">
        <v>1</v>
      </c>
      <c r="E9" s="19" t="s">
        <v>11</v>
      </c>
      <c r="F9" s="17">
        <f>F8</f>
        <v>6553.19</v>
      </c>
      <c r="G9" s="19"/>
    </row>
    <row r="10" spans="1:7" ht="12.75">
      <c r="A10" s="18" t="s">
        <v>21</v>
      </c>
      <c r="B10" s="3"/>
      <c r="C10" s="4"/>
      <c r="D10" s="11">
        <v>1</v>
      </c>
      <c r="E10" s="19" t="s">
        <v>11</v>
      </c>
      <c r="F10" s="20">
        <f>F9/D9</f>
        <v>6553.19</v>
      </c>
      <c r="G10" s="19"/>
    </row>
    <row r="11" spans="1:7" ht="12.75">
      <c r="A11" s="21" t="s">
        <v>22</v>
      </c>
      <c r="B11" s="3"/>
      <c r="C11" s="3"/>
      <c r="D11" s="4"/>
      <c r="E11" s="17">
        <f>F10</f>
        <v>6553.19</v>
      </c>
      <c r="F11" s="17">
        <f>E11*1%</f>
        <v>65.531899999999993</v>
      </c>
      <c r="G11" s="19"/>
    </row>
    <row r="12" spans="1:7" ht="12.75">
      <c r="A12" s="21" t="s">
        <v>20</v>
      </c>
      <c r="B12" s="3"/>
      <c r="C12" s="3"/>
      <c r="D12" s="4"/>
      <c r="E12" s="19"/>
      <c r="F12" s="20">
        <f>F10+F11</f>
        <v>6618.7218999999996</v>
      </c>
      <c r="G12" s="19"/>
    </row>
    <row r="13" spans="1:7" ht="12.75">
      <c r="A13" s="21" t="s">
        <v>23</v>
      </c>
      <c r="B13" s="3"/>
      <c r="C13" s="3"/>
      <c r="D13" s="4"/>
      <c r="E13" s="17">
        <f>F12</f>
        <v>6618.7218999999996</v>
      </c>
      <c r="F13" s="17">
        <f>E13*15%</f>
        <v>992.80828499999996</v>
      </c>
      <c r="G13" s="19"/>
    </row>
    <row r="14" spans="1:7" ht="12.75">
      <c r="A14" s="21" t="s">
        <v>20</v>
      </c>
      <c r="B14" s="3"/>
      <c r="C14" s="3"/>
      <c r="D14" s="4"/>
      <c r="E14" s="19"/>
      <c r="F14" s="20">
        <f>ROUND(F12+F13,2)</f>
        <v>7611.53</v>
      </c>
      <c r="G14" s="19"/>
    </row>
    <row r="15" spans="1:7" ht="12.75">
      <c r="A15" s="14" t="s">
        <v>24</v>
      </c>
      <c r="B15" s="3"/>
      <c r="C15" s="3"/>
      <c r="D15" s="3"/>
      <c r="E15" s="3"/>
      <c r="F15" s="4"/>
      <c r="G15" s="15" t="s">
        <v>25</v>
      </c>
    </row>
    <row r="16" spans="1:7" ht="12.75">
      <c r="A16" s="16">
        <v>2202</v>
      </c>
      <c r="B16" s="16"/>
      <c r="C16" s="13" t="s">
        <v>26</v>
      </c>
      <c r="D16" s="3"/>
      <c r="E16" s="4"/>
      <c r="F16" s="12"/>
      <c r="G16" s="4"/>
    </row>
    <row r="17" spans="1:7" ht="12.75">
      <c r="A17" s="6"/>
      <c r="B17" s="6"/>
      <c r="C17" s="10" t="s">
        <v>11</v>
      </c>
      <c r="D17" s="11">
        <v>1</v>
      </c>
      <c r="E17" s="11">
        <v>163.93</v>
      </c>
      <c r="F17" s="17">
        <f>D17*E17</f>
        <v>163.93</v>
      </c>
      <c r="G17" s="10" t="s">
        <v>27</v>
      </c>
    </row>
    <row r="18" spans="1:7" ht="12.75">
      <c r="A18" s="14" t="s">
        <v>28</v>
      </c>
      <c r="B18" s="3"/>
      <c r="C18" s="3"/>
      <c r="D18" s="3"/>
      <c r="E18" s="3"/>
      <c r="F18" s="4"/>
      <c r="G18" s="15" t="s">
        <v>29</v>
      </c>
    </row>
    <row r="19" spans="1:7" ht="12.75">
      <c r="A19" s="16">
        <v>115</v>
      </c>
      <c r="B19" s="16"/>
      <c r="C19" s="13" t="s">
        <v>30</v>
      </c>
      <c r="D19" s="3"/>
      <c r="E19" s="4"/>
      <c r="F19" s="12"/>
      <c r="G19" s="4"/>
    </row>
    <row r="20" spans="1:7" ht="12.75">
      <c r="A20" s="6"/>
      <c r="B20" s="6"/>
      <c r="C20" s="10" t="s">
        <v>31</v>
      </c>
      <c r="D20" s="11">
        <v>0.80</v>
      </c>
      <c r="E20" s="11">
        <v>645</v>
      </c>
      <c r="F20" s="17">
        <f>D20*E20</f>
        <v>516</v>
      </c>
      <c r="G20" s="10" t="s">
        <v>32</v>
      </c>
    </row>
    <row r="21" spans="1:7" ht="12.75">
      <c r="A21" s="14" t="s">
        <v>33</v>
      </c>
      <c r="B21" s="3"/>
      <c r="C21" s="3"/>
      <c r="D21" s="3"/>
      <c r="E21" s="3"/>
      <c r="F21" s="4"/>
      <c r="G21" s="15" t="s">
        <v>29</v>
      </c>
    </row>
    <row r="22" spans="1:7" ht="12.75">
      <c r="A22" s="16">
        <v>9999</v>
      </c>
      <c r="B22" s="16"/>
      <c r="C22" s="13" t="s">
        <v>34</v>
      </c>
      <c r="D22" s="3"/>
      <c r="E22" s="4"/>
      <c r="F22" s="12"/>
      <c r="G22" s="4"/>
    </row>
    <row r="23" spans="1:7" ht="12.75">
      <c r="A23" s="6"/>
      <c r="B23" s="6"/>
      <c r="C23" s="10" t="s">
        <v>35</v>
      </c>
      <c r="D23" s="11">
        <v>10</v>
      </c>
      <c r="E23" s="11">
        <v>2.12</v>
      </c>
      <c r="F23" s="17">
        <f>D23*E23</f>
        <v>21.20</v>
      </c>
      <c r="G23" s="10" t="s">
        <v>36</v>
      </c>
    </row>
    <row r="24" spans="1:7" ht="12.75">
      <c r="A24" s="16">
        <v>9999</v>
      </c>
      <c r="B24" s="16"/>
      <c r="C24" s="13" t="s">
        <v>37</v>
      </c>
      <c r="D24" s="3"/>
      <c r="E24" s="4"/>
      <c r="F24" s="12"/>
      <c r="G24" s="4"/>
    </row>
    <row r="25" spans="1:7" ht="12.75">
      <c r="A25" s="6"/>
      <c r="B25" s="6"/>
      <c r="C25" s="10" t="s">
        <v>35</v>
      </c>
      <c r="D25" s="11">
        <v>5</v>
      </c>
      <c r="E25" s="11">
        <v>2.12</v>
      </c>
      <c r="F25" s="17">
        <f>D25*E25</f>
        <v>10.60</v>
      </c>
      <c r="G25" s="10" t="s">
        <v>38</v>
      </c>
    </row>
    <row r="26" spans="1:7" ht="12.75">
      <c r="A26" s="18" t="s">
        <v>20</v>
      </c>
      <c r="B26" s="3"/>
      <c r="C26" s="4"/>
      <c r="D26" s="11">
        <v>1</v>
      </c>
      <c r="E26" s="19" t="s">
        <v>11</v>
      </c>
      <c r="F26" s="17">
        <f>F17+F20+F23+F25</f>
        <v>711.73</v>
      </c>
      <c r="G26" s="19"/>
    </row>
    <row r="27" spans="1:7" ht="12.75">
      <c r="A27" s="18" t="s">
        <v>21</v>
      </c>
      <c r="B27" s="3"/>
      <c r="C27" s="4"/>
      <c r="D27" s="11">
        <v>1</v>
      </c>
      <c r="E27" s="19" t="s">
        <v>11</v>
      </c>
      <c r="F27" s="20">
        <f>F26/D26</f>
        <v>711.73</v>
      </c>
      <c r="G27" s="19"/>
    </row>
    <row r="28" spans="1:7" ht="12.75">
      <c r="A28" s="21" t="s">
        <v>22</v>
      </c>
      <c r="B28" s="3"/>
      <c r="C28" s="3"/>
      <c r="D28" s="4"/>
      <c r="E28" s="17">
        <f>F27</f>
        <v>711.73</v>
      </c>
      <c r="F28" s="17">
        <f>E28*1%</f>
        <v>7.1173000000000002</v>
      </c>
      <c r="G28" s="19"/>
    </row>
    <row r="29" spans="1:7" ht="12.75">
      <c r="A29" s="21" t="s">
        <v>20</v>
      </c>
      <c r="B29" s="3"/>
      <c r="C29" s="3"/>
      <c r="D29" s="4"/>
      <c r="E29" s="19"/>
      <c r="F29" s="20">
        <f>F27+F28</f>
        <v>718.84730000000002</v>
      </c>
      <c r="G29" s="19"/>
    </row>
    <row r="30" spans="1:7" ht="12.75">
      <c r="A30" s="21" t="s">
        <v>23</v>
      </c>
      <c r="B30" s="3"/>
      <c r="C30" s="3"/>
      <c r="D30" s="4"/>
      <c r="E30" s="17">
        <f>F29</f>
        <v>718.84730000000002</v>
      </c>
      <c r="F30" s="17">
        <f>E30*15%</f>
        <v>107.827095</v>
      </c>
      <c r="G30" s="19"/>
    </row>
    <row r="31" spans="1:7" ht="12.75">
      <c r="A31" s="21" t="s">
        <v>20</v>
      </c>
      <c r="B31" s="3"/>
      <c r="C31" s="3"/>
      <c r="D31" s="4"/>
      <c r="E31" s="19"/>
      <c r="F31" s="20">
        <f>ROUND(F29+F30,2)</f>
        <v>826.67</v>
      </c>
      <c r="G31" s="19"/>
    </row>
    <row r="32" spans="1:7" ht="12.75">
      <c r="A32" s="22" t="str">
        <f>CONCATENATE("Say ₹ ",F14," + ",F31," x Cost Index")</f>
        <v>Say ₹ 7611.53 + 826.67 x Cost Index</v>
      </c>
      <c r="B32" s="3"/>
      <c r="C32" s="3"/>
      <c r="D32" s="3"/>
      <c r="E32" s="3"/>
      <c r="F32" s="3"/>
      <c r="G32" s="4"/>
    </row>
  </sheetData>
  <mergeCells count="44">
    <mergeCell ref="C7:E7"/>
    <mergeCell ref="F7:G7"/>
    <mergeCell ref="B1:B2"/>
    <mergeCell ref="C1:E1"/>
    <mergeCell ref="F1:G1"/>
    <mergeCell ref="A3:G3"/>
    <mergeCell ref="F4:G4"/>
    <mergeCell ref="B5:G5"/>
    <mergeCell ref="A6:F6"/>
    <mergeCell ref="A1:A2"/>
    <mergeCell ref="A7:A8"/>
    <mergeCell ref="B7:B8"/>
    <mergeCell ref="A9:C9"/>
    <mergeCell ref="A10:C10"/>
    <mergeCell ref="A11:D11"/>
    <mergeCell ref="A12:D12"/>
    <mergeCell ref="C19:E19"/>
    <mergeCell ref="F19:G19"/>
    <mergeCell ref="A21:F21"/>
    <mergeCell ref="C22:E22"/>
    <mergeCell ref="F22:G22"/>
    <mergeCell ref="C24:E24"/>
    <mergeCell ref="F24:G24"/>
    <mergeCell ref="A13:D13"/>
    <mergeCell ref="A14:D14"/>
    <mergeCell ref="A15:F15"/>
    <mergeCell ref="B16:B17"/>
    <mergeCell ref="C16:E16"/>
    <mergeCell ref="F16:G16"/>
    <mergeCell ref="A18:F18"/>
    <mergeCell ref="A26:C26"/>
    <mergeCell ref="A27:C27"/>
    <mergeCell ref="A28:D28"/>
    <mergeCell ref="A29:D29"/>
    <mergeCell ref="A30:D30"/>
    <mergeCell ref="A31:D31"/>
    <mergeCell ref="A32:G32"/>
    <mergeCell ref="A16:A17"/>
    <mergeCell ref="A19:A20"/>
    <mergeCell ref="B19:B20"/>
    <mergeCell ref="A22:A23"/>
    <mergeCell ref="B22:B23"/>
    <mergeCell ref="A24:A25"/>
    <mergeCell ref="B24:B2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