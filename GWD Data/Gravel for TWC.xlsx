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F8" i="1" l="1"/>
</calcChain>
</file>

<file path=xl/sharedStrings.xml><?xml version="1.0" encoding="utf-8"?>
<sst xmlns="http://schemas.openxmlformats.org/spreadsheetml/2006/main" count="55" uniqueCount="39">
  <si>
    <t>Sor/Spec Code</t>
  </si>
  <si>
    <t>MR Code</t>
  </si>
  <si>
    <t>Description</t>
  </si>
  <si>
    <t>Remarks</t>
  </si>
  <si>
    <t>Unit</t>
  </si>
  <si>
    <t>Quantity</t>
  </si>
  <si>
    <t>Rate (₹)</t>
  </si>
  <si>
    <t>Amount</t>
  </si>
  <si>
    <t>Label</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</si>
  <si>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</si>
  <si>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Header Unit</t>
  </si>
  <si>
    <t>cum</t>
  </si>
  <si>
    <t>Header Quantity</t>
  </si>
  <si>
    <t>Header Details</t>
  </si>
  <si>
    <t>Details of cost for 1 cum</t>
  </si>
  <si>
    <t>Material</t>
  </si>
  <si>
    <t>M</t>
  </si>
  <si>
    <t>MR10045</t>
  </si>
  <si>
    <t>Cost of pebble 4.75 mm to 8 mm.</t>
  </si>
  <si>
    <t>M1</t>
  </si>
  <si>
    <t>TOTAL</t>
  </si>
  <si>
    <t>UNIT TOTAL</t>
  </si>
  <si>
    <t>Water Charge@ 1.00 %</t>
  </si>
  <si>
    <t>Contractors Profit &amp; Overhead@ 15.00 %</t>
  </si>
  <si>
    <t>Carriage</t>
  </si>
  <si>
    <t>C</t>
  </si>
  <si>
    <t>Carriage of Stone aggregate below 40 mm nominal size</t>
  </si>
  <si>
    <t>C1</t>
  </si>
  <si>
    <t>Labour</t>
  </si>
  <si>
    <t>L</t>
  </si>
  <si>
    <t>Coolie
For spreading.</t>
  </si>
  <si>
    <t>Day</t>
  </si>
  <si>
    <t>L1</t>
  </si>
  <si>
    <t>Tools &amp; Plants</t>
  </si>
  <si>
    <t>Sundries
Hire for tools.</t>
  </si>
  <si>
    <t>L.S</t>
  </si>
  <si>
    <t>T1</t>
  </si>
  <si>
    <t>Sundries
Charges for testing.</t>
  </si>
  <si>
    <t>T2</t>
  </si>
</sst>
</file>

<file path=xl/styles.xml><?xml version="1.0" encoding="utf-8"?>
<styleSheet xmlns="http://schemas.openxmlformats.org/spreadsheetml/2006/main">
  <fonts count="5">
    <font>
      <sz val="10"/>
      <color theme="1"/>
      <name val="Arial"/>
      <family val="2"/>
    </font>
    <font>
      <sz val="12"/>
      <color rgb="FF212529"/>
      <name val="Cambria"/>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3">
    <xf numFmtId="0" fontId="0" fillId="0" borderId="0" xfId="0"/>
    <xf numFmtId="0" fontId="3" fillId="2" borderId="1" xfId="0" applyFont="1" applyBorder="1" applyAlignment="1">
      <alignment vertical="center" wrapText="1"/>
    </xf>
    <xf numFmtId="0" fontId="3" fillId="2" borderId="2" xfId="0" applyFont="1" applyBorder="1" applyAlignment="1">
      <alignment vertical="center" wrapText="1"/>
    </xf>
    <xf numFmtId="0" fontId="4" fillId="0" borderId="3" xfId="0" applyFont="1" applyBorder="1"/>
    <xf numFmtId="0" fontId="4" fillId="0" borderId="4" xfId="0" applyFont="1" applyBorder="1"/>
    <xf numFmtId="2" fontId="3" fillId="2" borderId="2" xfId="0" applyNumberFormat="1" applyFont="1" applyBorder="1" applyAlignment="1">
      <alignment vertical="center" wrapText="1"/>
    </xf>
    <xf numFmtId="0" fontId="4" fillId="0" borderId="5" xfId="0" applyFont="1" applyBorder="1"/>
    <xf numFmtId="0" fontId="3" fillId="2" borderId="6" xfId="0" applyFont="1" applyBorder="1" applyAlignment="1">
      <alignment vertical="center" wrapText="1"/>
    </xf>
    <xf numFmtId="2" fontId="3" fillId="2" borderId="6" xfId="0" applyNumberFormat="1" applyFont="1" applyBorder="1" applyAlignment="1">
      <alignment vertical="center" wrapText="1"/>
    </xf>
    <xf numFmtId="0" fontId="2" fillId="3"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2" fontId="1" fillId="3" borderId="2" xfId="0" applyNumberFormat="1" applyFont="1" applyBorder="1" applyAlignment="1">
      <alignment horizontal="lef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2" fontId="1" fillId="3" borderId="6" xfId="0" applyNumberFormat="1" applyFont="1" applyBorder="1" applyAlignment="1">
      <alignment horizontal="right" vertical="center" wrapText="1"/>
    </xf>
    <xf numFmtId="0" fontId="2" fillId="3" borderId="2" xfId="0" applyFont="1" applyBorder="1" applyAlignment="1">
      <alignment horizontal="center" vertical="center" wrapText="1"/>
    </xf>
    <xf numFmtId="0" fontId="1" fillId="3" borderId="6" xfId="0" applyFont="1" applyBorder="1" applyAlignment="1">
      <alignment horizontal="left" vertical="center" wrapText="1"/>
    </xf>
    <xf numFmtId="2" fontId="2" fillId="3" borderId="6" xfId="0" applyNumberFormat="1" applyFont="1" applyBorder="1" applyAlignment="1">
      <alignment horizontal="right" vertical="center" wrapText="1"/>
    </xf>
    <xf numFmtId="0" fontId="1" fillId="3" borderId="2" xfId="0" applyFont="1" applyBorder="1" applyAlignment="1">
      <alignment horizontal="center" vertical="center" wrapText="1"/>
    </xf>
    <xf numFmtId="0" fontId="1" fillId="4" borderId="2"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4" Type="http://schemas.openxmlformats.org/officeDocument/2006/relationships/sharedStrings" Target="sharedStrings.xml" /><Relationship Id="rId3" Type="http://schemas.openxmlformats.org/officeDocument/2006/relationships/worksheet" Target="worksheets/sheet1.xml" /><Relationship Id="rId1" Type="http://schemas.openxmlformats.org/officeDocument/2006/relationships/theme" Target="theme/theme1.xml" /><Relationship Id="rId5" Type="http://schemas.openxmlformats.org/officeDocument/2006/relationships/calcChain" Target="calcChain.xml" /><Relationship Id="rId2" Type="http://schemas.openxmlformats.org/officeDocument/2006/relationships/styles" Target="style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8966B92D-CA9D-49B7-A4DA-C25BF574B9A6}">
  <dimension ref="A1:G32"/>
  <sheetViews>
    <sheetView tabSelected="1" workbookViewId="0" topLeftCell="A1"/>
  </sheetViews>
  <sheetFormatPr defaultRowHeight="12.75"/>
  <sheetData>
    <row r="1" spans="1:7" ht="12.75">
      <c r="A1" s="1" t="s">
        <v>0</v>
      </c>
      <c r="B1" s="1" t="s">
        <v>1</v>
      </c>
      <c r="C1" s="2" t="s">
        <v>2</v>
      </c>
      <c r="D1" s="3"/>
      <c r="E1" s="4"/>
      <c r="F1" s="5" t="s">
        <v>3</v>
      </c>
      <c r="G1" s="4"/>
    </row>
    <row r="2" spans="1:7" ht="12.75">
      <c r="A2" s="6"/>
      <c r="B2" s="6"/>
      <c r="C2" s="7" t="s">
        <v>4</v>
      </c>
      <c r="D2" s="7" t="s">
        <v>5</v>
      </c>
      <c r="E2" s="7" t="s">
        <v>6</v>
      </c>
      <c r="F2" s="8" t="s">
        <v>7</v>
      </c>
      <c r="G2" s="7" t="s">
        <v>8</v>
      </c>
    </row>
    <row r="3" spans="1:7" ht="12.75">
      <c r="A3" s="9" t="s">
        <v>9</v>
      </c>
      <c r="B3" s="3"/>
      <c r="C3" s="3"/>
      <c r="D3" s="3"/>
      <c r="E3" s="3"/>
      <c r="F3" s="3"/>
      <c r="G3" s="4"/>
    </row>
    <row r="4" spans="1:7" ht="12.75">
      <c r="A4" s="10"/>
      <c r="B4" s="10" t="s">
        <v>10</v>
      </c>
      <c r="C4" s="10" t="s">
        <v>11</v>
      </c>
      <c r="D4" s="10" t="s">
        <v>12</v>
      </c>
      <c r="E4" s="11">
        <v>1</v>
      </c>
      <c r="F4" s="12"/>
      <c r="G4" s="4"/>
    </row>
    <row r="5" spans="1:7" ht="12.75">
      <c r="A5" s="10" t="s">
        <v>13</v>
      </c>
      <c r="B5" s="13" t="s">
        <v>14</v>
      </c>
      <c r="C5" s="3"/>
      <c r="D5" s="3"/>
      <c r="E5" s="3"/>
      <c r="F5" s="3"/>
      <c r="G5" s="4"/>
    </row>
    <row r="6" spans="1:7" ht="12.75">
      <c r="A6" s="14" t="s">
        <v>15</v>
      </c>
      <c r="B6" s="3"/>
      <c r="C6" s="3"/>
      <c r="D6" s="3"/>
      <c r="E6" s="3"/>
      <c r="F6" s="4"/>
      <c r="G6" s="15" t="s">
        <v>16</v>
      </c>
    </row>
    <row r="7" spans="1:7" ht="12.75">
      <c r="A7" s="16"/>
      <c r="B7" s="16" t="s">
        <v>17</v>
      </c>
      <c r="C7" s="13" t="s">
        <v>18</v>
      </c>
      <c r="D7" s="3"/>
      <c r="E7" s="4"/>
      <c r="F7" s="12"/>
      <c r="G7" s="4"/>
    </row>
    <row r="8" spans="1:7" ht="12.75">
      <c r="A8" s="6"/>
      <c r="B8" s="6"/>
      <c r="C8" s="10" t="s">
        <v>11</v>
      </c>
      <c r="D8" s="11">
        <v>1</v>
      </c>
      <c r="E8" s="11">
        <v>6553.19</v>
      </c>
      <c r="F8" s="17">
        <f>D8*E8</f>
        <v>6553.19</v>
      </c>
      <c r="G8" s="10" t="s">
        <v>19</v>
      </c>
    </row>
    <row r="9" spans="1:7" ht="12.75">
      <c r="A9" s="18" t="s">
        <v>20</v>
      </c>
      <c r="B9" s="3"/>
      <c r="C9" s="4"/>
      <c r="D9" s="11">
        <v>1</v>
      </c>
      <c r="E9" s="19" t="s">
        <v>11</v>
      </c>
      <c r="F9" s="17">
        <f>F8</f>
        <v>6553.19</v>
      </c>
      <c r="G9" s="19"/>
    </row>
    <row r="10" spans="1:7" ht="12.75">
      <c r="A10" s="18" t="s">
        <v>21</v>
      </c>
      <c r="B10" s="3"/>
      <c r="C10" s="4"/>
      <c r="D10" s="11">
        <v>1</v>
      </c>
      <c r="E10" s="19" t="s">
        <v>11</v>
      </c>
      <c r="F10" s="20">
        <f>F9/D9</f>
        <v>6553.19</v>
      </c>
      <c r="G10" s="19"/>
    </row>
    <row r="11" spans="1:7" ht="12.75">
      <c r="A11" s="21" t="s">
        <v>22</v>
      </c>
      <c r="B11" s="3"/>
      <c r="C11" s="3"/>
      <c r="D11" s="4"/>
      <c r="E11" s="17">
        <f>F10</f>
        <v>6553.19</v>
      </c>
      <c r="F11" s="17">
        <f>E11*1%</f>
        <v>65.531899999999993</v>
      </c>
      <c r="G11" s="19"/>
    </row>
    <row r="12" spans="1:7" ht="12.75">
      <c r="A12" s="21" t="s">
        <v>20</v>
      </c>
      <c r="B12" s="3"/>
      <c r="C12" s="3"/>
      <c r="D12" s="4"/>
      <c r="E12" s="19"/>
      <c r="F12" s="20">
        <f>F10+F11</f>
        <v>6618.7218999999996</v>
      </c>
      <c r="G12" s="19"/>
    </row>
    <row r="13" spans="1:7" ht="12.75">
      <c r="A13" s="21" t="s">
        <v>23</v>
      </c>
      <c r="B13" s="3"/>
      <c r="C13" s="3"/>
      <c r="D13" s="4"/>
      <c r="E13" s="17">
        <f>F12</f>
        <v>6618.7218999999996</v>
      </c>
      <c r="F13" s="17">
        <f>E13*15%</f>
        <v>992.80828499999996</v>
      </c>
      <c r="G13" s="19"/>
    </row>
    <row r="14" spans="1:7" ht="12.75">
      <c r="A14" s="21" t="s">
        <v>20</v>
      </c>
      <c r="B14" s="3"/>
      <c r="C14" s="3"/>
      <c r="D14" s="4"/>
      <c r="E14" s="19"/>
      <c r="F14" s="20">
        <f>ROUND(F12+F13,2)</f>
        <v>7611.53</v>
      </c>
      <c r="G14" s="19"/>
    </row>
    <row r="15" spans="1:7" ht="12.75">
      <c r="A15" s="14" t="s">
        <v>24</v>
      </c>
      <c r="B15" s="3"/>
      <c r="C15" s="3"/>
      <c r="D15" s="3"/>
      <c r="E15" s="3"/>
      <c r="F15" s="4"/>
      <c r="G15" s="15" t="s">
        <v>25</v>
      </c>
    </row>
    <row r="16" spans="1:7" ht="12.75">
      <c r="A16" s="16">
        <v>2202</v>
      </c>
      <c r="B16" s="16"/>
      <c r="C16" s="13" t="s">
        <v>26</v>
      </c>
      <c r="D16" s="3"/>
      <c r="E16" s="4"/>
      <c r="F16" s="12"/>
      <c r="G16" s="4"/>
    </row>
    <row r="17" spans="1:7" ht="12.75">
      <c r="A17" s="6"/>
      <c r="B17" s="6"/>
      <c r="C17" s="10" t="s">
        <v>11</v>
      </c>
      <c r="D17" s="11">
        <v>1</v>
      </c>
      <c r="E17" s="11">
        <v>163.93</v>
      </c>
      <c r="F17" s="17">
        <f>D17*E17</f>
        <v>163.93</v>
      </c>
      <c r="G17" s="10" t="s">
        <v>27</v>
      </c>
    </row>
    <row r="18" spans="1:7" ht="12.75">
      <c r="A18" s="14" t="s">
        <v>28</v>
      </c>
      <c r="B18" s="3"/>
      <c r="C18" s="3"/>
      <c r="D18" s="3"/>
      <c r="E18" s="3"/>
      <c r="F18" s="4"/>
      <c r="G18" s="15" t="s">
        <v>29</v>
      </c>
    </row>
    <row r="19" spans="1:7" ht="12.75">
      <c r="A19" s="16">
        <v>115</v>
      </c>
      <c r="B19" s="16"/>
      <c r="C19" s="13" t="s">
        <v>30</v>
      </c>
      <c r="D19" s="3"/>
      <c r="E19" s="4"/>
      <c r="F19" s="12"/>
      <c r="G19" s="4"/>
    </row>
    <row r="20" spans="1:7" ht="12.75">
      <c r="A20" s="6"/>
      <c r="B20" s="6"/>
      <c r="C20" s="10" t="s">
        <v>31</v>
      </c>
      <c r="D20" s="11">
        <v>0.80</v>
      </c>
      <c r="E20" s="11">
        <v>645</v>
      </c>
      <c r="F20" s="17">
        <f>D20*E20</f>
        <v>516</v>
      </c>
      <c r="G20" s="10" t="s">
        <v>32</v>
      </c>
    </row>
    <row r="21" spans="1:7" ht="12.75">
      <c r="A21" s="14" t="s">
        <v>33</v>
      </c>
      <c r="B21" s="3"/>
      <c r="C21" s="3"/>
      <c r="D21" s="3"/>
      <c r="E21" s="3"/>
      <c r="F21" s="4"/>
      <c r="G21" s="15" t="s">
        <v>29</v>
      </c>
    </row>
    <row r="22" spans="1:7" ht="12.75">
      <c r="A22" s="16">
        <v>9999</v>
      </c>
      <c r="B22" s="16"/>
      <c r="C22" s="13" t="s">
        <v>34</v>
      </c>
      <c r="D22" s="3"/>
      <c r="E22" s="4"/>
      <c r="F22" s="12"/>
      <c r="G22" s="4"/>
    </row>
    <row r="23" spans="1:7" ht="12.75">
      <c r="A23" s="6"/>
      <c r="B23" s="6"/>
      <c r="C23" s="10" t="s">
        <v>35</v>
      </c>
      <c r="D23" s="11">
        <v>10</v>
      </c>
      <c r="E23" s="11">
        <v>2.12</v>
      </c>
      <c r="F23" s="17">
        <f>D23*E23</f>
        <v>21.20</v>
      </c>
      <c r="G23" s="10" t="s">
        <v>36</v>
      </c>
    </row>
    <row r="24" spans="1:7" ht="12.75">
      <c r="A24" s="16">
        <v>9999</v>
      </c>
      <c r="B24" s="16"/>
      <c r="C24" s="13" t="s">
        <v>37</v>
      </c>
      <c r="D24" s="3"/>
      <c r="E24" s="4"/>
      <c r="F24" s="12"/>
      <c r="G24" s="4"/>
    </row>
    <row r="25" spans="1:7" ht="12.75">
      <c r="A25" s="6"/>
      <c r="B25" s="6"/>
      <c r="C25" s="10" t="s">
        <v>35</v>
      </c>
      <c r="D25" s="11">
        <v>5</v>
      </c>
      <c r="E25" s="11">
        <v>2.12</v>
      </c>
      <c r="F25" s="17">
        <f>D25*E25</f>
        <v>10.60</v>
      </c>
      <c r="G25" s="10" t="s">
        <v>38</v>
      </c>
    </row>
    <row r="26" spans="1:7" ht="12.75">
      <c r="A26" s="18" t="s">
        <v>20</v>
      </c>
      <c r="B26" s="3"/>
      <c r="C26" s="4"/>
      <c r="D26" s="11">
        <v>1</v>
      </c>
      <c r="E26" s="19" t="s">
        <v>11</v>
      </c>
      <c r="F26" s="17">
        <f>F17+F20+F23+F25</f>
        <v>711.73</v>
      </c>
      <c r="G26" s="19"/>
    </row>
    <row r="27" spans="1:7" ht="12.75">
      <c r="A27" s="18" t="s">
        <v>21</v>
      </c>
      <c r="B27" s="3"/>
      <c r="C27" s="4"/>
      <c r="D27" s="11">
        <v>1</v>
      </c>
      <c r="E27" s="19" t="s">
        <v>11</v>
      </c>
      <c r="F27" s="20">
        <f>F26/D26</f>
        <v>711.73</v>
      </c>
      <c r="G27" s="19"/>
    </row>
    <row r="28" spans="1:7" ht="12.75">
      <c r="A28" s="21" t="s">
        <v>22</v>
      </c>
      <c r="B28" s="3"/>
      <c r="C28" s="3"/>
      <c r="D28" s="4"/>
      <c r="E28" s="17">
        <f>F27</f>
        <v>711.73</v>
      </c>
      <c r="F28" s="17">
        <f>E28*1%</f>
        <v>7.1173000000000002</v>
      </c>
      <c r="G28" s="19"/>
    </row>
    <row r="29" spans="1:7" ht="12.75">
      <c r="A29" s="21" t="s">
        <v>20</v>
      </c>
      <c r="B29" s="3"/>
      <c r="C29" s="3"/>
      <c r="D29" s="4"/>
      <c r="E29" s="19"/>
      <c r="F29" s="20">
        <f>F27+F28</f>
        <v>718.84730000000002</v>
      </c>
      <c r="G29" s="19"/>
    </row>
    <row r="30" spans="1:7" ht="12.75">
      <c r="A30" s="21" t="s">
        <v>23</v>
      </c>
      <c r="B30" s="3"/>
      <c r="C30" s="3"/>
      <c r="D30" s="4"/>
      <c r="E30" s="17">
        <f>F29</f>
        <v>718.84730000000002</v>
      </c>
      <c r="F30" s="17">
        <f>E30*15%</f>
        <v>107.827095</v>
      </c>
      <c r="G30" s="19"/>
    </row>
    <row r="31" spans="1:7" ht="12.75">
      <c r="A31" s="21" t="s">
        <v>20</v>
      </c>
      <c r="B31" s="3"/>
      <c r="C31" s="3"/>
      <c r="D31" s="4"/>
      <c r="E31" s="19"/>
      <c r="F31" s="20">
        <f>ROUND(F29+F30,2)</f>
        <v>826.67</v>
      </c>
      <c r="G31" s="19"/>
    </row>
    <row r="32" spans="1:7" ht="12.75">
      <c r="A32" s="22" t="str">
        <f>CONCATENATE("Say ₹ ",F14," + ",F31," x Cost Index")</f>
        <v>Say ₹ 7611.53 + 826.67 x Cost Index</v>
      </c>
      <c r="B32" s="3"/>
      <c r="C32" s="3"/>
      <c r="D32" s="3"/>
      <c r="E32" s="3"/>
      <c r="F32" s="3"/>
      <c r="G32" s="4"/>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