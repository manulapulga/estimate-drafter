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CostIndex">'[1]ZCost Index'!$B$2:$B$16</definedName>
    <definedName name="District">'[1]ZCost Index'!$A$2:$A$16</definedName>
  </definedNames>
  <calcPr fullCalcOnLoad="1"/>
</workbook>
</file>

<file path=xl/calcChain.xml><?xml version="1.0" encoding="utf-8"?>
<calcChain xmlns="http://schemas.openxmlformats.org/spreadsheetml/2006/main">
  <c r="L2" i="1" l="1" a="1"/>
</calcChain>
</file>

<file path=xl/sharedStrings.xml><?xml version="1.0" encoding="utf-8"?>
<sst xmlns="http://schemas.openxmlformats.org/spreadsheetml/2006/main" count="1138" uniqueCount="388">
  <si>
    <t>GWD Revised Market Rates 2025</t>
  </si>
  <si>
    <t>Select Distrct</t>
  </si>
  <si>
    <t>Index</t>
  </si>
  <si>
    <t>PTA</t>
  </si>
  <si>
    <t>Sl No</t>
  </si>
  <si>
    <t>Code</t>
  </si>
  <si>
    <t>Item Name</t>
  </si>
  <si>
    <t>Item Name With Code</t>
  </si>
  <si>
    <t>Unit</t>
  </si>
  <si>
    <t>Main Category</t>
  </si>
  <si>
    <t>Sub Category 1</t>
  </si>
  <si>
    <t>Sub Category 2</t>
  </si>
  <si>
    <t>C1</t>
  </si>
  <si>
    <t>C2</t>
  </si>
  <si>
    <t>Indexed</t>
  </si>
  <si>
    <t>Total</t>
  </si>
  <si>
    <t>GWDMR001</t>
  </si>
  <si>
    <t>S&amp;F PVC Bend 90 mm (DG)</t>
  </si>
  <si>
    <t>each</t>
  </si>
  <si>
    <t>GWD MR</t>
  </si>
  <si>
    <t>PVC Fittings</t>
  </si>
  <si>
    <t>PVC Bend</t>
  </si>
  <si>
    <t>GWDMR002</t>
  </si>
  <si>
    <t>S&amp;F PVC Bend 140 mm (DG)</t>
  </si>
  <si>
    <t>GWDMR003</t>
  </si>
  <si>
    <t>PVC End cap 140 mm (DG)</t>
  </si>
  <si>
    <t>PVC End Cap</t>
  </si>
  <si>
    <t>GWDMR004</t>
  </si>
  <si>
    <t>PVC End cap 150 mm (DG)</t>
  </si>
  <si>
    <t>GWDMR005</t>
  </si>
  <si>
    <t>PVC End Cap 180 mm (DG)</t>
  </si>
  <si>
    <t>GWDMR006</t>
  </si>
  <si>
    <t>PVC End Cap 200 mm (DG)</t>
  </si>
  <si>
    <t>GWDMR007</t>
  </si>
  <si>
    <t>PVC Square End Cap 140 mm</t>
  </si>
  <si>
    <t>ARS</t>
  </si>
  <si>
    <t>ARS Fittings</t>
  </si>
  <si>
    <t>GWDMR008</t>
  </si>
  <si>
    <t>PVC Square End Cap 160 mm</t>
  </si>
  <si>
    <t>GWDMR009</t>
  </si>
  <si>
    <t>PVC Half  End Cap 140 mm</t>
  </si>
  <si>
    <t>GWDMR010</t>
  </si>
  <si>
    <t>PVC Half  End Cap 160 mm</t>
  </si>
  <si>
    <t>GWDMR011</t>
  </si>
  <si>
    <t>PVC Half Square End Cap 140 mm</t>
  </si>
  <si>
    <t>GWDMR012</t>
  </si>
  <si>
    <t>PVC Half Square End Cap 160 mm</t>
  </si>
  <si>
    <t>GWDMR013</t>
  </si>
  <si>
    <t>S&amp;F PVC Tee 90 mm (DG)</t>
  </si>
  <si>
    <t>PVC Tee</t>
  </si>
  <si>
    <t>GWDMR014</t>
  </si>
  <si>
    <t>S&amp;F PVC Tee 140 mm (DG)</t>
  </si>
  <si>
    <t>GWDMR015</t>
  </si>
  <si>
    <t>S&amp;F PVC Tee 160 mm (DG)</t>
  </si>
  <si>
    <t>GWDMR016</t>
  </si>
  <si>
    <t>PVC Reducer 90X75 mm</t>
  </si>
  <si>
    <t>PVC Reducer</t>
  </si>
  <si>
    <t>GWDMR017</t>
  </si>
  <si>
    <t>PVC Reducer 110X90 mm</t>
  </si>
  <si>
    <t>GWDMR018</t>
  </si>
  <si>
    <t>PVC Reducer 140X90 mm</t>
  </si>
  <si>
    <t>GWDMR019</t>
  </si>
  <si>
    <t>PVC Reducer 160X140 mm</t>
  </si>
  <si>
    <t>GWDMR020</t>
  </si>
  <si>
    <t>PVC Reducer 160X110 mm</t>
  </si>
  <si>
    <t>20A</t>
  </si>
  <si>
    <t>GWDMR020A</t>
  </si>
  <si>
    <t>PVC Reducer 140X110 mm</t>
  </si>
  <si>
    <t>GWDMR021</t>
  </si>
  <si>
    <t>PVC Runner Drop 140 mm</t>
  </si>
  <si>
    <t>GWDMR022</t>
  </si>
  <si>
    <t>PVC Runner Drop 160 mm</t>
  </si>
  <si>
    <t>GWDMR023</t>
  </si>
  <si>
    <t>PVC  End Drop 140 mm</t>
  </si>
  <si>
    <t>GWDMR024</t>
  </si>
  <si>
    <t>PVC End Drop 160 mm</t>
  </si>
  <si>
    <t>GWDMR025</t>
  </si>
  <si>
    <t>PVC Half End Drop 140 mm</t>
  </si>
  <si>
    <t>GWDMR026</t>
  </si>
  <si>
    <t>PVC Half End Drop 160 mm</t>
  </si>
  <si>
    <t>GWDMR027</t>
  </si>
  <si>
    <t>PVC Square End Drop 140 mm</t>
  </si>
  <si>
    <t>GWDMR028</t>
  </si>
  <si>
    <t>PVC Square End Drop 160 mm</t>
  </si>
  <si>
    <t>GWDMR029</t>
  </si>
  <si>
    <t>PVC Square Half End Drop 140 mm</t>
  </si>
  <si>
    <t>GWDMR030</t>
  </si>
  <si>
    <t>PVC Square Half End Drop 160 mm</t>
  </si>
  <si>
    <t>GWDMR031</t>
  </si>
  <si>
    <t>S&amp;F PVC 45o Elbow 90 mm (DG)</t>
  </si>
  <si>
    <t>PVC Elbow</t>
  </si>
  <si>
    <t>GWDMR032</t>
  </si>
  <si>
    <t>S&amp;F PVC 45o Elbow 140 mm (DG)</t>
  </si>
  <si>
    <t>GWDMR033</t>
  </si>
  <si>
    <t>S&amp;F PVC 45o Elbow 160 mm (DG)</t>
  </si>
  <si>
    <t>GWDMR034</t>
  </si>
  <si>
    <t>PVC Tank connector 32 mm</t>
  </si>
  <si>
    <t>MWSS</t>
  </si>
  <si>
    <t>Tank Connector</t>
  </si>
  <si>
    <t>GWDMR035</t>
  </si>
  <si>
    <t>PVC Tank connector 40 mm</t>
  </si>
  <si>
    <t>GWDMR036</t>
  </si>
  <si>
    <t>PVC Tank connector 50 mm</t>
  </si>
  <si>
    <t>GWDMR037</t>
  </si>
  <si>
    <t>PVC Tank connector 63 mm</t>
  </si>
  <si>
    <t>GWDMR038</t>
  </si>
  <si>
    <t>PVC Tank connector 75 mm</t>
  </si>
  <si>
    <t>GWDMR039</t>
  </si>
  <si>
    <t>PVC Tank connector 90 mm</t>
  </si>
  <si>
    <t>GWDMR040</t>
  </si>
  <si>
    <t>PVC Ball valve 25 mm</t>
  </si>
  <si>
    <t>PVC Ball Valve</t>
  </si>
  <si>
    <t>GWDMR041</t>
  </si>
  <si>
    <t>PVC Ball valve 32 mm</t>
  </si>
  <si>
    <t>GWDMR042</t>
  </si>
  <si>
    <t>PVC Ball valve 40 mm</t>
  </si>
  <si>
    <t>GWDMR043</t>
  </si>
  <si>
    <t>PVC Ball valve 50 mm</t>
  </si>
  <si>
    <t>GWDMR044</t>
  </si>
  <si>
    <t>PVC Ball valve 63 mm</t>
  </si>
  <si>
    <t>GWDMR045</t>
  </si>
  <si>
    <t>PVC Ball valve 75 mm</t>
  </si>
  <si>
    <t>GWDMR046</t>
  </si>
  <si>
    <t>PVC Ball valve 90 mm</t>
  </si>
  <si>
    <t>GWDMR047</t>
  </si>
  <si>
    <t>PVC Ball valve 110 mm</t>
  </si>
  <si>
    <t>GWDMR048</t>
  </si>
  <si>
    <t>S&amp;F PVC Coupling 32 mm (DG)</t>
  </si>
  <si>
    <t>PVC Coupling</t>
  </si>
  <si>
    <t>GWDMR049</t>
  </si>
  <si>
    <t>S&amp;F PVC Coupling 40 mm (DG)</t>
  </si>
  <si>
    <t>GWDMR050</t>
  </si>
  <si>
    <t>S&amp;F PVC Coupling 50 mm (DG)</t>
  </si>
  <si>
    <t>GWDMR051</t>
  </si>
  <si>
    <t>S&amp;F PVC Coupling 63 mm (DG)</t>
  </si>
  <si>
    <t>GWDMR052</t>
  </si>
  <si>
    <t>GI Bend 32 mm</t>
  </si>
  <si>
    <t>GI Fittings</t>
  </si>
  <si>
    <t>GWDMR053</t>
  </si>
  <si>
    <t>GI Bend 40 mm</t>
  </si>
  <si>
    <t>GWDMR054</t>
  </si>
  <si>
    <t>GI Bend 50 mm</t>
  </si>
  <si>
    <t>GWDMR055</t>
  </si>
  <si>
    <t>GI Bend 65 mm</t>
  </si>
  <si>
    <t>GWDMR056</t>
  </si>
  <si>
    <t>GI Socket 32 mm</t>
  </si>
  <si>
    <t>GWDMR057</t>
  </si>
  <si>
    <t>GI Socket 40 mm</t>
  </si>
  <si>
    <t>GWDMR058</t>
  </si>
  <si>
    <t>GI Socket 50 mm</t>
  </si>
  <si>
    <t>GWDMR059</t>
  </si>
  <si>
    <t>GI Socket 65 mm</t>
  </si>
  <si>
    <t>GWDMR060</t>
  </si>
  <si>
    <t>GI Tee 32 mm</t>
  </si>
  <si>
    <t>GWDMR061</t>
  </si>
  <si>
    <t>GI Tee 40 mm</t>
  </si>
  <si>
    <t>GWDMR062</t>
  </si>
  <si>
    <t>GI Tee 50 mm</t>
  </si>
  <si>
    <t>GWDMR063</t>
  </si>
  <si>
    <t>GI Tee 65 mm</t>
  </si>
  <si>
    <t>GWDMR064</t>
  </si>
  <si>
    <t>Compressor pump 1.5 HP single phase</t>
  </si>
  <si>
    <t>Compressor Pump</t>
  </si>
  <si>
    <t>GWDMR065</t>
  </si>
  <si>
    <t>Compressor pump 2 HP single phase</t>
  </si>
  <si>
    <t>GWDMR066</t>
  </si>
  <si>
    <t>Compressor pump 5 HP three phase</t>
  </si>
  <si>
    <t>GWDMR067</t>
  </si>
  <si>
    <t>Compressor pump 7.5 HP three phase</t>
  </si>
  <si>
    <t>GWDMR068</t>
  </si>
  <si>
    <t>12 mm thick nylon rope</t>
  </si>
  <si>
    <t>meter</t>
  </si>
  <si>
    <t>Pump Accessories</t>
  </si>
  <si>
    <t>GWDMR069</t>
  </si>
  <si>
    <t>14 mm thick nylon rope</t>
  </si>
  <si>
    <t>GWDMR070</t>
  </si>
  <si>
    <t>16 mm thick nylon rope</t>
  </si>
  <si>
    <t>GWDMR071</t>
  </si>
  <si>
    <t>Steel rope</t>
  </si>
  <si>
    <t>GWDMR072</t>
  </si>
  <si>
    <t>32 mm dia UPVC pipe</t>
  </si>
  <si>
    <t>GWDMR073</t>
  </si>
  <si>
    <t>40 mm dia UPVC pipe</t>
  </si>
  <si>
    <t>GWDMR074</t>
  </si>
  <si>
    <t>50 mm dia UPVC pipe</t>
  </si>
  <si>
    <t>GWDMR075</t>
  </si>
  <si>
    <t>63 mm dia UPVC pipe</t>
  </si>
  <si>
    <t>GWDMR076</t>
  </si>
  <si>
    <t>20 mm dia HDPE pipe (DG) (8kg)</t>
  </si>
  <si>
    <t>GWDMR077</t>
  </si>
  <si>
    <t>32 mm dia HDPE pipe (DG) (8kg)</t>
  </si>
  <si>
    <t>GWDMR078</t>
  </si>
  <si>
    <t>40 mm dia HDPE pipe (DG) (8kg)</t>
  </si>
  <si>
    <t>GWDMR079</t>
  </si>
  <si>
    <t>32 mm SS Adapter</t>
  </si>
  <si>
    <t>GWDMR080</t>
  </si>
  <si>
    <t>40 mm SS Adapter</t>
  </si>
  <si>
    <t>GWDMR081</t>
  </si>
  <si>
    <t>50 mm SS Adapter</t>
  </si>
  <si>
    <t>GWDMR082</t>
  </si>
  <si>
    <t>50 mm UPVC Union</t>
  </si>
  <si>
    <t>GWDMR083</t>
  </si>
  <si>
    <t>63 mm UPVC Union</t>
  </si>
  <si>
    <t>GWDMR084</t>
  </si>
  <si>
    <t>75 mm UPVC Union</t>
  </si>
  <si>
    <t>GWDMR085</t>
  </si>
  <si>
    <t>Sodium Bentonite (ordinary)</t>
  </si>
  <si>
    <t>tonne</t>
  </si>
  <si>
    <t>Tubewell</t>
  </si>
  <si>
    <t>Tubewell Consumables</t>
  </si>
  <si>
    <t>GWDMR086</t>
  </si>
  <si>
    <t>Sodium Bentonite (Super)</t>
  </si>
  <si>
    <t>GWDMR087</t>
  </si>
  <si>
    <t>MS Casing pipe 450 mm dia, 6 mm thickness</t>
  </si>
  <si>
    <t>Tubewell Fittings</t>
  </si>
  <si>
    <t>GWDMR088</t>
  </si>
  <si>
    <t>Fibre mesh for placing inside filter tank (for recharge schemes)</t>
  </si>
  <si>
    <t>sqm</t>
  </si>
  <si>
    <t>GWDMR089</t>
  </si>
  <si>
    <t>Coated mesh for placing inside filter tank (for recharge schemes)</t>
  </si>
  <si>
    <t>GWDMR090</t>
  </si>
  <si>
    <t>Sieve mesh 110 mm (inside inspection chamber) (for recharge schemes)</t>
  </si>
  <si>
    <t>GWDMR091</t>
  </si>
  <si>
    <t>Sieve mesh 140 mm (inside inspection chamber) (for recharge schemes)</t>
  </si>
  <si>
    <t>GWDMR092</t>
  </si>
  <si>
    <t>Plastic net for covering pipe (for recharge schemes)</t>
  </si>
  <si>
    <t>GWDMR093</t>
  </si>
  <si>
    <t>PVC Wiring Pipe</t>
  </si>
  <si>
    <t>GWDMR094</t>
  </si>
  <si>
    <t>Hand Pump</t>
  </si>
  <si>
    <t>Spares</t>
  </si>
  <si>
    <t>GWDMR095</t>
  </si>
  <si>
    <t>GWDMR096</t>
  </si>
  <si>
    <t>GWDMR097</t>
  </si>
  <si>
    <t>GWDMR098</t>
  </si>
  <si>
    <t>GWDMR099</t>
  </si>
  <si>
    <t>GWDMR100</t>
  </si>
  <si>
    <t>GWDMR101</t>
  </si>
  <si>
    <t>GWDMR102</t>
  </si>
  <si>
    <t>GWDMR103</t>
  </si>
  <si>
    <t>GWDMR104</t>
  </si>
  <si>
    <t>GWDMR105</t>
  </si>
  <si>
    <t>GWDMR106</t>
  </si>
  <si>
    <t>GWDMR107</t>
  </si>
  <si>
    <t>GWDMR108</t>
  </si>
  <si>
    <t>GWDMR109</t>
  </si>
  <si>
    <t>GWDMR110</t>
  </si>
  <si>
    <t>GWDMR111</t>
  </si>
  <si>
    <t>GWDMR112</t>
  </si>
  <si>
    <t>GWDMR113</t>
  </si>
  <si>
    <t>GWDMR114</t>
  </si>
  <si>
    <t>GWDMR115</t>
  </si>
  <si>
    <t>GWDMR116</t>
  </si>
  <si>
    <t>GWDMR117</t>
  </si>
  <si>
    <t>GWDMR118</t>
  </si>
  <si>
    <t>GWDMR119</t>
  </si>
  <si>
    <t>GWDMR120</t>
  </si>
  <si>
    <t>GWDMR121</t>
  </si>
  <si>
    <t>GWDMR122</t>
  </si>
  <si>
    <t>GWDMR123</t>
  </si>
  <si>
    <t>GWDMR124</t>
  </si>
  <si>
    <t>GWDMR125</t>
  </si>
  <si>
    <t>GWDMR126</t>
  </si>
  <si>
    <t>GWDMR127</t>
  </si>
  <si>
    <t>GWDMR128</t>
  </si>
  <si>
    <t>GWDMR129</t>
  </si>
  <si>
    <t>GWDMR130</t>
  </si>
  <si>
    <t>GWDMR131</t>
  </si>
  <si>
    <t>GWDMR132</t>
  </si>
  <si>
    <t>GWDMR133</t>
  </si>
  <si>
    <t>GWDMR134</t>
  </si>
  <si>
    <t>GWDMR135</t>
  </si>
  <si>
    <t>GWDMR136</t>
  </si>
  <si>
    <t>GWDMR137</t>
  </si>
  <si>
    <t>Supply of Single Phase Submersible Pump 1 HP, Discharge 2500-6000 lph, Head 49-17m without Panel Board</t>
  </si>
  <si>
    <t>Submersible Pump</t>
  </si>
  <si>
    <t>GWDMR138</t>
  </si>
  <si>
    <t>Supply of Single Phase Submersible Pump 1 HP, Discharge 2500-6000 lph, Head 57-14m without Panel Board</t>
  </si>
  <si>
    <t>GWDMR139</t>
  </si>
  <si>
    <t>Supply of Single Phase Submersible Pump 1 HP, Discharge 1800-4320 lph, Head 65-39m without Panel Board</t>
  </si>
  <si>
    <t>GWDMR140</t>
  </si>
  <si>
    <t>Supply of Single Phase Submersible Pump 1 HP, Discharge 2500-6000 lph, Head 69-17m without Panel Board</t>
  </si>
  <si>
    <t>GWDMR141</t>
  </si>
  <si>
    <t>Supply of Single Phase Submersible Pump 1 HP, Discharge 1080-2880 lph, Head 91-50m without Panel Board</t>
  </si>
  <si>
    <t>GWDMR142</t>
  </si>
  <si>
    <t>Supply of Single Phase Submersible Pump 1.5 HP, Discharge 3000-7500 lph, Head 65-32m without Panel Board</t>
  </si>
  <si>
    <t>GWDMR143</t>
  </si>
  <si>
    <t>Supply of Single Phase Submersible Pump 1.5 HP, Discharge 1800-4320 lph, Head 83-52m without Panel Board</t>
  </si>
  <si>
    <t>GWDMR144</t>
  </si>
  <si>
    <t>Supply of Single Phase Submersible Pump 1.5 HP, Discharge 1800-4320 lph, Head 105-57m without Panel Board</t>
  </si>
  <si>
    <t>GWDMR145</t>
  </si>
  <si>
    <t>Supply of Single Phase Submersible Pump 1.5 HP, Discharge 500-3000 lph, Head 126-43m without Panel Board</t>
  </si>
  <si>
    <t>GWDMR146</t>
  </si>
  <si>
    <t>Supply of Single Phase Submersible Pump 1.5 HP, Discharge 1080-2880 lph, Head 137-75m without Panel Board</t>
  </si>
  <si>
    <t>GWDMR147</t>
  </si>
  <si>
    <t>Supply of Single Phase Submersible Pump 1.5 HP, Discharge 500-3000 lph, Head 148-50m without Panel Board</t>
  </si>
  <si>
    <t>GWDMR148</t>
  </si>
  <si>
    <t>Supply of Single Phase Submersible Pump 1.5 HP, Discharge 300-2100 lph, Head 180-51m without Panel Board</t>
  </si>
  <si>
    <t>GWDMR149</t>
  </si>
  <si>
    <t>Supply of Single Phase Submersible Pump 2 HP, Discharge 5200-10600 lph, Head 57-18m without Panel Board</t>
  </si>
  <si>
    <t>GWDMR150</t>
  </si>
  <si>
    <t>Supply of Single Phase Submersible Pump 2 HP, Discharge 3000-7500 lph, Head 87-42m without Panel Board</t>
  </si>
  <si>
    <t>GWDMR151</t>
  </si>
  <si>
    <t>Supply of Single Phase Submersible Pump 2 HP, Discharge 2100-5400 lph, Head 116-33m without Panel Board</t>
  </si>
  <si>
    <t>GWDMR152</t>
  </si>
  <si>
    <t>Supply of Single Phase Submersible Pump 2 HP, Discharge 600-3600 lph, Head 161-18m without Panel Board</t>
  </si>
  <si>
    <t>GWDMR153</t>
  </si>
  <si>
    <t>Supply of Single Phase Submersible Pump 2 HP, Discharge 500-3000 lph, Head 194-65m without Panel Board</t>
  </si>
  <si>
    <t>GWDMR154</t>
  </si>
  <si>
    <t>Supply of Single Phase Submersible Pump 2 HP, Discharge 500-1800 lph, Head 220-92m without Panel Board</t>
  </si>
  <si>
    <t>GWDMR155</t>
  </si>
  <si>
    <t>Supply of Single Phase Submersible Pump 2 HP, Discharge 500-1800 lph, Head 247-104m without Panel Board</t>
  </si>
  <si>
    <t>GWDMR156</t>
  </si>
  <si>
    <t>Supply of Single Phase Submersible Pump 2 HP, Discharge 500-1800 lph, Head 275-115m without Panel Board</t>
  </si>
  <si>
    <t>GWDMR157</t>
  </si>
  <si>
    <t>Supply of Single Phase Submersible Pump 3 HP, Discharge 3240-7200 lph, Head 110-42m without Panel Board</t>
  </si>
  <si>
    <t>GWDMR158</t>
  </si>
  <si>
    <t>Supply of Single Phase Submersible Pump 3 HP, Discharge 1800-4320 lph, Head 194-114m without Panel Board</t>
  </si>
  <si>
    <t>GWDMR159</t>
  </si>
  <si>
    <t>Supply of Single Phase Submersible Pump 5 HP, Discharge 4320-10080 lph, Head 150-82m without Panel Board</t>
  </si>
  <si>
    <t>GWDMR160</t>
  </si>
  <si>
    <t>Supply of Single Phase Submersible Pump 6 HP, Discharge 1800-4320 lph, Head 318-210m without Panel Board</t>
  </si>
  <si>
    <t>GWDMR161</t>
  </si>
  <si>
    <t>Supply of Three Phase Submersible Pump 10 HP, Discharge 6000-18000 lph, Head 146-90m without Panel Board</t>
  </si>
  <si>
    <t>GWDMR162</t>
  </si>
  <si>
    <t>Supply of Three Phase Submersible Pump 10 HP, Discharge 3600-21600 lph, Head 162-27m without Panel Board</t>
  </si>
  <si>
    <t>GWDMR163</t>
  </si>
  <si>
    <t>Supply of Three Phase Submersible Pump 10 HP, Discharge 5000-14000 lph, Head 205-110m without Panel Board</t>
  </si>
  <si>
    <t>GWDMR164</t>
  </si>
  <si>
    <t>Supply of Three Phase Submersible Pump 10 HP, Discharge 3000-9000 lph, Head 279-144m without Panel Board</t>
  </si>
  <si>
    <t>GWDMR165</t>
  </si>
  <si>
    <t>Supply of Three Phase Submersible Pump 12.5 HP, Discharge 3600-25200 lph, Head 157-41m without Panel Board</t>
  </si>
  <si>
    <t>GWDMR166</t>
  </si>
  <si>
    <t>Supply of Three Phase Submersible Pump 12.5 HP, Discharge 6000-18000 lph, Head 179-110m without Panel Board</t>
  </si>
  <si>
    <t>GWDMR167</t>
  </si>
  <si>
    <t>Supply of Three Phase Submersible Pump 12.5 HP, Discharge 5000-14000 lph, Head 242-129m without Panel Board</t>
  </si>
  <si>
    <t>GWDMR168</t>
  </si>
  <si>
    <t>Supply of Three Phase Submersible Pump 12.5 HP, Discharge 3000-9000 lph, Head 335-177m without Panel Board</t>
  </si>
  <si>
    <t>GWDMR169</t>
  </si>
  <si>
    <t>Supply of Three Phase Submersible Pump 3 HP, Discharge 5200-10600 lph, Head 86-27m without Panel Board</t>
  </si>
  <si>
    <t>GWDMR170</t>
  </si>
  <si>
    <t>Supply of Three Phase Submersible Pump 3 HP, Discharge 3000-7500 lph, Head 125-60m without Panel Board</t>
  </si>
  <si>
    <t>GWDMR171</t>
  </si>
  <si>
    <t>Supply of Three Phase Submersible Pump 3 HP, Discharge 2500-6000 lph, Head 147-51m without Panel Board</t>
  </si>
  <si>
    <t>GWDMR172</t>
  </si>
  <si>
    <t>Supply of Three Phase Submersible Pump 3 HP, Discharge 1000-5000 lph, Head 163-66m without Panel Board</t>
  </si>
  <si>
    <t>GWDMR173</t>
  </si>
  <si>
    <t>Supply of Three Phase Submersible Pump 3 HP, Discharge 1200-2800 lph, Head 184-86m without Panel Board</t>
  </si>
  <si>
    <t>GWDMR174</t>
  </si>
  <si>
    <t>Supply of Three Phase Submersible Pump 3 HP, Discharge 1200-2800 lph, Head 207-83m without Panel Board</t>
  </si>
  <si>
    <t>GWDMR175</t>
  </si>
  <si>
    <t>Supply of Three Phase Submersible Pump 3 HP, Discharge 1200-2800 lph, Head 245-98m without Panel Board</t>
  </si>
  <si>
    <t>GWDMR176</t>
  </si>
  <si>
    <t>Supply of Three Phase Submersible Pump 5 HP, Discharge 9000-24000 lph, Head 70-23m without Panel Board</t>
  </si>
  <si>
    <t>GWDMR177</t>
  </si>
  <si>
    <t>Supply of Three Phase Submersible Pump 5 HP, Discharge 7200-15000 lph, Head 78-41m without Panel Board</t>
  </si>
  <si>
    <t>GWDMR178</t>
  </si>
  <si>
    <t>Supply of Three Phase Submersible Pump 5 HP, Discharge 5000-14000 lph, Head 93-50m without Panel Board</t>
  </si>
  <si>
    <t>GWDMR179</t>
  </si>
  <si>
    <t>Supply of Three Phase Submersible Pump 5 HP, Discharge 5000-14000 lph, Head 102-55m without Panel Board</t>
  </si>
  <si>
    <t>GWDMR180</t>
  </si>
  <si>
    <t>Supply of Three Phase Submersible Pump 5 HP, Discharge 3900-10800 lph, Head 111-49m without Panel Board</t>
  </si>
  <si>
    <t>GWDMR181</t>
  </si>
  <si>
    <t>Supply of Three Phase Submersible Pump 5 HP, Discharge 3000-9000 lph, Head 140-72m without Panel Board</t>
  </si>
  <si>
    <t>GWDMR182</t>
  </si>
  <si>
    <t>Supply of Three Phase Submersible Pump 5 HP, Discharge 4000-10000 lph, Head 163-62m without Panel Board</t>
  </si>
  <si>
    <t>GWDMR183</t>
  </si>
  <si>
    <t>Supply of Three Phase Submersible Pump 5 HP, Discharge 2000-6000 lph, Head 195-120m without Panel Board</t>
  </si>
  <si>
    <t>GWDMR184</t>
  </si>
  <si>
    <t>Supply of Three Phase Submersible Pump 5 HP, Discharge 2500-6000 lph, Head 245-85m without Panel Board</t>
  </si>
  <si>
    <t>GWDMR185</t>
  </si>
  <si>
    <t>Supply of Three Phase Submersible Pump 5 HP, Discharge 2500-6000 lph, Head 285-70m without Panel Board</t>
  </si>
  <si>
    <t>GWDMR186</t>
  </si>
  <si>
    <t>Supply of Three Phase Submersible Pump 5 HP, Discharge 1000-3000 lph, Head 333-183m without Panel Board</t>
  </si>
  <si>
    <t>GWDMR187</t>
  </si>
  <si>
    <t>Supply of Three Phase Submersible Pump 7.5 HP, Discharge 12000-30000 lph, Head 74-29m without Panel Board</t>
  </si>
  <si>
    <t>GWDMR188</t>
  </si>
  <si>
    <t>Supply of Three Phase Submersible Pump 7.5 HP, Discharge 7200-18000 lph, Head 94-65m without Panel Board</t>
  </si>
  <si>
    <t>GWDMR189</t>
  </si>
  <si>
    <t>Supply of Three Phase Submersible Pump 7.5 HP, Discharge 6000-18000 lph, Head 112-69m without Panel Board</t>
  </si>
  <si>
    <t>GWDMR190</t>
  </si>
  <si>
    <t>Supply of Three Phase Submersible Pump 7.5 HP, Discharge 5000-14000 lph, Head 140-75m without Panel Board</t>
  </si>
  <si>
    <t>GWDMR191</t>
  </si>
  <si>
    <t>Supply of Three Phase Submersible Pump 7.5 HP, Discharge 5000-14000 lph, Head 158-85m without Panel Board</t>
  </si>
  <si>
    <t>GWDMR192</t>
  </si>
  <si>
    <t>Supply of Three Phase Submersible Pump 7.5 HP, Discharge 3000-9000 lph, Head 214-110m without Panel Board</t>
  </si>
  <si>
    <t>GWDMR193</t>
  </si>
  <si>
    <t>32 A DP switch with indicator modular (MR1017)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</si>
</sst>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  <font>
      <b/>
      <sz val="12"/>
      <color rgb="FFFFFFFF"/>
      <name val="Cambria"/>
      <family val="2"/>
    </font>
  </fonts>
  <fills count="4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EAD1DC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4" fontId="2" fillId="3" borderId="4" xfId="0" applyNumberFormat="1" applyFont="1" applyFill="1" applyBorder="1" applyAlignment="1">
      <alignment horizontal="center" vertical="center" wrapText="1"/>
    </xf>
    <xf numFmtId="0" fontId="3" fillId="0" borderId="5" xfId="0" applyFont="1" applyBorder="1"/>
    <xf numFmtId="4" fontId="2" fillId="3" borderId="6" xfId="0" applyNumberFormat="1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4" fontId="1" fillId="3" borderId="4" xfId="0" applyNumberFormat="1" applyFont="1" applyBorder="1" applyAlignment="1">
      <alignment horizontal="center" vertical="center" wrapText="1"/>
    </xf>
    <xf numFmtId="177" fontId="1" fillId="3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4" fontId="1" fillId="0" borderId="6" xfId="0" applyNumberFormat="1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GWD MR Abstract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6" Type="http://schemas.openxmlformats.org/officeDocument/2006/relationships/calcChain" Target="calcChain.xml" /><Relationship Id="rId5" Type="http://schemas.openxmlformats.org/officeDocument/2006/relationships/externalLink" Target="externalLinks/externalLink1.xml" /><Relationship Id="rId4" Type="http://schemas.openxmlformats.org/officeDocument/2006/relationships/sharedStrings" Target="sharedString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BW Casing Pipes"/>
      <sheetName val="GI on Wall PRICE"/>
      <sheetName val="GI wo Trench"/>
      <sheetName val="GI With Trench PRICE"/>
      <sheetName val="GI Works"/>
      <sheetName val="Gravel for TWC"/>
      <sheetName val="Gutter&amp;Clamp"/>
      <sheetName val="HDPE Pipe PRICE"/>
      <sheetName val="HP Repair Labour"/>
      <sheetName val="HP Repair Spares"/>
      <sheetName val="Hydrants"/>
      <sheetName val="Iron Structure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Erection "/>
      <sheetName val="Pump Pullout"/>
      <sheetName val="PVC Fittings"/>
      <sheetName val="PVC Fittings PRICE"/>
      <sheetName val="PVC on Wall PRICE"/>
      <sheetName val="PVC wo Trench"/>
      <sheetName val="PVC With Trench"/>
      <sheetName val="PVC With Trench PRICE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ZCost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ables/table1.xml><?xml version="1.0" encoding="utf-8"?>
<table xmlns="http://schemas.openxmlformats.org/spreadsheetml/2006/main" id="1" name="Table_2" displayName="Table_2" ref="A3:L197">
  <tableColumns count="12">
    <tableColumn id="1" name="Sl No"/>
    <tableColumn id="2" name="Code"/>
    <tableColumn id="3" name="Item Name"/>
    <tableColumn id="4" name="Item Name With Code"/>
    <tableColumn id="5" name="Unit"/>
    <tableColumn id="6" name="Main Category"/>
    <tableColumn id="7" name="Sub Category 1"/>
    <tableColumn id="8" name="Sub Category 2"/>
    <tableColumn id="9" name="C1"/>
    <tableColumn id="10" name="C2"/>
    <tableColumn id="11" name="Indexed"/>
    <tableColumn id="12" name="Total"/>
  </tableColumns>
  <tableStyleInfo name="GWD MR Abstrac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DA0DCE-6014-47FC-960A-4B9D6B4BB9A6}">
  <dimension ref="A1:L197"/>
  <sheetViews>
    <sheetView tabSelected="1" workbookViewId="0" topLeftCell="A1"/>
  </sheetViews>
  <sheetFormatPr defaultRowHeight="12.75"/>
  <sheetData>
    <row r="1" spans="1:12" ht="12.75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5"/>
      <c r="L1" s="6" t="s">
        <v>2</v>
      </c>
    </row>
    <row r="2" spans="1:12" ht="12.75">
      <c r="A2" s="7"/>
      <c r="B2" s="8"/>
      <c r="C2" s="8"/>
      <c r="D2" s="8"/>
      <c r="E2" s="8"/>
      <c r="F2" s="8"/>
      <c r="G2" s="8"/>
      <c r="H2" s="8"/>
      <c r="I2" s="9"/>
      <c r="J2" s="10" t="s">
        <v>3</v>
      </c>
      <c r="K2" s="5"/>
      <c r="L2" s="11">
        <f t="array" ref="L2">((IFERROR(INDEX(CostIndex,MATCH(J2,District,0),),)))</f>
        <v>1.4444999999999999</v>
      </c>
    </row>
    <row r="3" spans="1:12" ht="12.75">
      <c r="A3" s="12" t="s">
        <v>4</v>
      </c>
      <c r="B3" s="12" t="s">
        <v>5</v>
      </c>
      <c r="C3" s="12" t="s">
        <v>6</v>
      </c>
      <c r="D3" s="12" t="s">
        <v>7</v>
      </c>
      <c r="E3" s="12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  <c r="K3" s="13" t="s">
        <v>14</v>
      </c>
      <c r="L3" s="13" t="s">
        <v>15</v>
      </c>
    </row>
    <row r="4" spans="1:12" ht="12.75">
      <c r="A4" s="14">
        <v>1</v>
      </c>
      <c r="B4" s="15" t="s">
        <v>16</v>
      </c>
      <c r="C4" s="15" t="s">
        <v>17</v>
      </c>
      <c r="D4" s="15" t="str">
        <f>CONCATENATE(C4," (Code: ",B4,")")</f>
        <v>S&amp;F PVC Bend 90 mm (DG) (Code: GWDMR001)</v>
      </c>
      <c r="E4" s="14" t="s">
        <v>18</v>
      </c>
      <c r="F4" s="16" t="s">
        <v>19</v>
      </c>
      <c r="G4" s="16" t="s">
        <v>20</v>
      </c>
      <c r="H4" s="16" t="s">
        <v>21</v>
      </c>
      <c r="I4" s="14">
        <v>80</v>
      </c>
      <c r="J4" s="14">
        <v>31</v>
      </c>
      <c r="K4" s="16">
        <f>J4*($L$2-1)</f>
        <v>13.779500000000001</v>
      </c>
      <c r="L4" s="16">
        <f>SUM(I4:K4)</f>
        <v>124.7795</v>
      </c>
    </row>
    <row r="5" spans="1:12" ht="12.75">
      <c r="A5" s="14">
        <v>2</v>
      </c>
      <c r="B5" s="15" t="s">
        <v>22</v>
      </c>
      <c r="C5" s="15" t="s">
        <v>23</v>
      </c>
      <c r="D5" s="15" t="str">
        <f>CONCATENATE(C5," (Code: ",B5,")")</f>
        <v>S&amp;F PVC Bend 140 mm (DG) (Code: GWDMR002)</v>
      </c>
      <c r="E5" s="14" t="s">
        <v>18</v>
      </c>
      <c r="F5" s="16" t="s">
        <v>19</v>
      </c>
      <c r="G5" s="16" t="s">
        <v>20</v>
      </c>
      <c r="H5" s="16" t="s">
        <v>21</v>
      </c>
      <c r="I5" s="14">
        <v>150</v>
      </c>
      <c r="J5" s="14">
        <v>35</v>
      </c>
      <c r="K5" s="16">
        <f>J5*($L$2-1)</f>
        <v>15.5575</v>
      </c>
      <c r="L5" s="16">
        <f>SUM(I5:K5)</f>
        <v>200.5575</v>
      </c>
    </row>
    <row r="6" spans="1:12" ht="12.75">
      <c r="A6" s="14">
        <v>3</v>
      </c>
      <c r="B6" s="15" t="s">
        <v>24</v>
      </c>
      <c r="C6" s="15" t="s">
        <v>25</v>
      </c>
      <c r="D6" s="15" t="str">
        <f>CONCATENATE(C6," (Code: ",B6,")")</f>
        <v>PVC End cap 140 mm (DG) (Code: GWDMR003)</v>
      </c>
      <c r="E6" s="14" t="s">
        <v>18</v>
      </c>
      <c r="F6" s="16" t="s">
        <v>19</v>
      </c>
      <c r="G6" s="16" t="s">
        <v>20</v>
      </c>
      <c r="H6" s="16" t="s">
        <v>26</v>
      </c>
      <c r="I6" s="14">
        <v>38.50</v>
      </c>
      <c r="J6" s="14">
        <v>37</v>
      </c>
      <c r="K6" s="16">
        <f>J6*($L$2-1)</f>
        <v>16.4465</v>
      </c>
      <c r="L6" s="16">
        <f>SUM(I6:K6)</f>
        <v>91.9465</v>
      </c>
    </row>
    <row r="7" spans="1:12" ht="12.75">
      <c r="A7" s="14">
        <v>4</v>
      </c>
      <c r="B7" s="15" t="s">
        <v>27</v>
      </c>
      <c r="C7" s="15" t="s">
        <v>28</v>
      </c>
      <c r="D7" s="15" t="str">
        <f>CONCATENATE(C7," (Code: ",B7,")")</f>
        <v>PVC End cap 150 mm (DG) (Code: GWDMR004)</v>
      </c>
      <c r="E7" s="14" t="s">
        <v>18</v>
      </c>
      <c r="F7" s="16" t="s">
        <v>19</v>
      </c>
      <c r="G7" s="16" t="s">
        <v>20</v>
      </c>
      <c r="H7" s="16" t="s">
        <v>26</v>
      </c>
      <c r="I7" s="14">
        <v>41.20</v>
      </c>
      <c r="J7" s="14">
        <v>39.50</v>
      </c>
      <c r="K7" s="16">
        <f>J7*($L$2-1)</f>
        <v>17.557749999999999</v>
      </c>
      <c r="L7" s="16">
        <f>SUM(I7:K7)</f>
        <v>98.257750000000001</v>
      </c>
    </row>
    <row r="8" spans="1:12" ht="12.75">
      <c r="A8" s="14">
        <v>5</v>
      </c>
      <c r="B8" s="15" t="s">
        <v>29</v>
      </c>
      <c r="C8" s="15" t="s">
        <v>30</v>
      </c>
      <c r="D8" s="15" t="str">
        <f>CONCATENATE(C8," (Code: ",B8,")")</f>
        <v>PVC End Cap 180 mm (DG) (Code: GWDMR005)</v>
      </c>
      <c r="E8" s="14" t="s">
        <v>18</v>
      </c>
      <c r="F8" s="16" t="s">
        <v>19</v>
      </c>
      <c r="G8" s="16" t="s">
        <v>20</v>
      </c>
      <c r="H8" s="16" t="s">
        <v>26</v>
      </c>
      <c r="I8" s="14">
        <v>47.80</v>
      </c>
      <c r="J8" s="14">
        <v>44</v>
      </c>
      <c r="K8" s="16">
        <f>J8*($L$2-1)</f>
        <v>19.558</v>
      </c>
      <c r="L8" s="16">
        <f>SUM(I8:K8)</f>
        <v>111.358</v>
      </c>
    </row>
    <row r="9" spans="1:12" ht="12.75">
      <c r="A9" s="14">
        <v>6</v>
      </c>
      <c r="B9" s="15" t="s">
        <v>31</v>
      </c>
      <c r="C9" s="15" t="s">
        <v>32</v>
      </c>
      <c r="D9" s="15" t="str">
        <f>CONCATENATE(C9," (Code: ",B9,")")</f>
        <v>PVC End Cap 200 mm (DG) (Code: GWDMR006)</v>
      </c>
      <c r="E9" s="14" t="s">
        <v>18</v>
      </c>
      <c r="F9" s="16" t="s">
        <v>19</v>
      </c>
      <c r="G9" s="16" t="s">
        <v>20</v>
      </c>
      <c r="H9" s="16" t="s">
        <v>26</v>
      </c>
      <c r="I9" s="14">
        <v>52.50</v>
      </c>
      <c r="J9" s="14">
        <v>48.50</v>
      </c>
      <c r="K9" s="16">
        <f>J9*($L$2-1)</f>
        <v>21.558250000000001</v>
      </c>
      <c r="L9" s="16">
        <f>SUM(I9:K9)</f>
        <v>122.55825</v>
      </c>
    </row>
    <row r="10" spans="1:12" ht="12.75">
      <c r="A10" s="14">
        <v>7</v>
      </c>
      <c r="B10" s="15" t="s">
        <v>33</v>
      </c>
      <c r="C10" s="15" t="s">
        <v>34</v>
      </c>
      <c r="D10" s="15" t="str">
        <f>CONCATENATE(C10," (Code: ",B10,")")</f>
        <v>PVC Square End Cap 140 mm (Code: GWDMR007)</v>
      </c>
      <c r="E10" s="14" t="s">
        <v>18</v>
      </c>
      <c r="F10" s="16" t="s">
        <v>19</v>
      </c>
      <c r="G10" s="16" t="s">
        <v>35</v>
      </c>
      <c r="H10" s="16" t="s">
        <v>36</v>
      </c>
      <c r="I10" s="14">
        <v>200</v>
      </c>
      <c r="J10" s="14">
        <v>0</v>
      </c>
      <c r="K10" s="16">
        <f>J10*($L$2-1)</f>
        <v>0</v>
      </c>
      <c r="L10" s="16">
        <f>SUM(I10:K10)</f>
        <v>200</v>
      </c>
    </row>
    <row r="11" spans="1:12" ht="12.75">
      <c r="A11" s="14">
        <v>8</v>
      </c>
      <c r="B11" s="15" t="s">
        <v>37</v>
      </c>
      <c r="C11" s="15" t="s">
        <v>38</v>
      </c>
      <c r="D11" s="15" t="str">
        <f>CONCATENATE(C11," (Code: ",B11,")")</f>
        <v>PVC Square End Cap 160 mm (Code: GWDMR008)</v>
      </c>
      <c r="E11" s="14" t="s">
        <v>18</v>
      </c>
      <c r="F11" s="16" t="s">
        <v>19</v>
      </c>
      <c r="G11" s="16" t="s">
        <v>35</v>
      </c>
      <c r="H11" s="16" t="s">
        <v>36</v>
      </c>
      <c r="I11" s="14">
        <v>250</v>
      </c>
      <c r="J11" s="14">
        <v>0</v>
      </c>
      <c r="K11" s="16">
        <f>J11*($L$2-1)</f>
        <v>0</v>
      </c>
      <c r="L11" s="16">
        <f>SUM(I11:K11)</f>
        <v>250</v>
      </c>
    </row>
    <row r="12" spans="1:12" ht="12.75">
      <c r="A12" s="14">
        <v>9</v>
      </c>
      <c r="B12" s="15" t="s">
        <v>39</v>
      </c>
      <c r="C12" s="15" t="s">
        <v>40</v>
      </c>
      <c r="D12" s="15" t="str">
        <f>CONCATENATE(C12," (Code: ",B12,")")</f>
        <v>PVC Half  End Cap 140 mm (Code: GWDMR009)</v>
      </c>
      <c r="E12" s="14" t="s">
        <v>18</v>
      </c>
      <c r="F12" s="16" t="s">
        <v>19</v>
      </c>
      <c r="G12" s="16" t="s">
        <v>35</v>
      </c>
      <c r="H12" s="16" t="s">
        <v>36</v>
      </c>
      <c r="I12" s="14">
        <v>150</v>
      </c>
      <c r="J12" s="14">
        <v>0</v>
      </c>
      <c r="K12" s="16">
        <f>J12*($L$2-1)</f>
        <v>0</v>
      </c>
      <c r="L12" s="16">
        <f>SUM(I12:K12)</f>
        <v>150</v>
      </c>
    </row>
    <row r="13" spans="1:12" ht="12.75">
      <c r="A13" s="14">
        <v>10</v>
      </c>
      <c r="B13" s="15" t="s">
        <v>41</v>
      </c>
      <c r="C13" s="15" t="s">
        <v>42</v>
      </c>
      <c r="D13" s="15" t="str">
        <f>CONCATENATE(C13," (Code: ",B13,")")</f>
        <v>PVC Half  End Cap 160 mm (Code: GWDMR010)</v>
      </c>
      <c r="E13" s="14" t="s">
        <v>18</v>
      </c>
      <c r="F13" s="16" t="s">
        <v>19</v>
      </c>
      <c r="G13" s="16" t="s">
        <v>35</v>
      </c>
      <c r="H13" s="16" t="s">
        <v>36</v>
      </c>
      <c r="I13" s="14">
        <v>160</v>
      </c>
      <c r="J13" s="14">
        <v>0</v>
      </c>
      <c r="K13" s="16">
        <f>J13*($L$2-1)</f>
        <v>0</v>
      </c>
      <c r="L13" s="16">
        <f>SUM(I13:K13)</f>
        <v>160</v>
      </c>
    </row>
    <row r="14" spans="1:12" ht="12.75">
      <c r="A14" s="14">
        <v>11</v>
      </c>
      <c r="B14" s="15" t="s">
        <v>43</v>
      </c>
      <c r="C14" s="15" t="s">
        <v>44</v>
      </c>
      <c r="D14" s="15" t="str">
        <f>CONCATENATE(C14," (Code: ",B14,")")</f>
        <v>PVC Half Square End Cap 140 mm (Code: GWDMR011)</v>
      </c>
      <c r="E14" s="14" t="s">
        <v>18</v>
      </c>
      <c r="F14" s="16" t="s">
        <v>19</v>
      </c>
      <c r="G14" s="16" t="s">
        <v>35</v>
      </c>
      <c r="H14" s="16" t="s">
        <v>36</v>
      </c>
      <c r="I14" s="14">
        <v>150</v>
      </c>
      <c r="J14" s="14">
        <v>0</v>
      </c>
      <c r="K14" s="16">
        <f>J14*($L$2-1)</f>
        <v>0</v>
      </c>
      <c r="L14" s="16">
        <f>SUM(I14:K14)</f>
        <v>150</v>
      </c>
    </row>
    <row r="15" spans="1:12" ht="12.75">
      <c r="A15" s="14">
        <v>12</v>
      </c>
      <c r="B15" s="15" t="s">
        <v>45</v>
      </c>
      <c r="C15" s="15" t="s">
        <v>46</v>
      </c>
      <c r="D15" s="15" t="str">
        <f>CONCATENATE(C15," (Code: ",B15,")")</f>
        <v>PVC Half Square End Cap 160 mm (Code: GWDMR012)</v>
      </c>
      <c r="E15" s="14" t="s">
        <v>18</v>
      </c>
      <c r="F15" s="16" t="s">
        <v>19</v>
      </c>
      <c r="G15" s="16" t="s">
        <v>35</v>
      </c>
      <c r="H15" s="16" t="s">
        <v>36</v>
      </c>
      <c r="I15" s="14">
        <v>175</v>
      </c>
      <c r="J15" s="14">
        <v>0</v>
      </c>
      <c r="K15" s="16">
        <f>J15*($L$2-1)</f>
        <v>0</v>
      </c>
      <c r="L15" s="16">
        <f>SUM(I15:K15)</f>
        <v>175</v>
      </c>
    </row>
    <row r="16" spans="1:12" ht="12.75">
      <c r="A16" s="14">
        <v>13</v>
      </c>
      <c r="B16" s="15" t="s">
        <v>47</v>
      </c>
      <c r="C16" s="15" t="s">
        <v>48</v>
      </c>
      <c r="D16" s="15" t="str">
        <f>CONCATENATE(C16," (Code: ",B16,")")</f>
        <v>S&amp;F PVC Tee 90 mm (DG) (Code: GWDMR013)</v>
      </c>
      <c r="E16" s="14" t="s">
        <v>18</v>
      </c>
      <c r="F16" s="16" t="s">
        <v>19</v>
      </c>
      <c r="G16" s="16" t="s">
        <v>20</v>
      </c>
      <c r="H16" s="16" t="s">
        <v>49</v>
      </c>
      <c r="I16" s="14">
        <v>85</v>
      </c>
      <c r="J16" s="14">
        <v>32.50</v>
      </c>
      <c r="K16" s="16">
        <f>J16*($L$2-1)</f>
        <v>14.44625</v>
      </c>
      <c r="L16" s="16">
        <f>SUM(I16:K16)</f>
        <v>131.94625</v>
      </c>
    </row>
    <row r="17" spans="1:12" ht="12.75">
      <c r="A17" s="14">
        <v>14</v>
      </c>
      <c r="B17" s="15" t="s">
        <v>50</v>
      </c>
      <c r="C17" s="15" t="s">
        <v>51</v>
      </c>
      <c r="D17" s="15" t="str">
        <f>CONCATENATE(C17," (Code: ",B17,")")</f>
        <v>S&amp;F PVC Tee 140 mm (DG) (Code: GWDMR014)</v>
      </c>
      <c r="E17" s="14" t="s">
        <v>18</v>
      </c>
      <c r="F17" s="16" t="s">
        <v>19</v>
      </c>
      <c r="G17" s="16" t="s">
        <v>20</v>
      </c>
      <c r="H17" s="16" t="s">
        <v>49</v>
      </c>
      <c r="I17" s="14">
        <v>160</v>
      </c>
      <c r="J17" s="14">
        <v>36</v>
      </c>
      <c r="K17" s="16">
        <f>J17*($L$2-1)</f>
        <v>16.001999999999999</v>
      </c>
      <c r="L17" s="16">
        <f>SUM(I17:K17)</f>
        <v>212.00200000000001</v>
      </c>
    </row>
    <row r="18" spans="1:12" ht="12.75">
      <c r="A18" s="14">
        <v>15</v>
      </c>
      <c r="B18" s="15" t="s">
        <v>52</v>
      </c>
      <c r="C18" s="15" t="s">
        <v>53</v>
      </c>
      <c r="D18" s="15" t="str">
        <f>CONCATENATE(C18," (Code: ",B18,")")</f>
        <v>S&amp;F PVC Tee 160 mm (DG) (Code: GWDMR015)</v>
      </c>
      <c r="E18" s="14" t="s">
        <v>18</v>
      </c>
      <c r="F18" s="16" t="s">
        <v>19</v>
      </c>
      <c r="G18" s="16" t="s">
        <v>20</v>
      </c>
      <c r="H18" s="16" t="s">
        <v>49</v>
      </c>
      <c r="I18" s="14">
        <v>190</v>
      </c>
      <c r="J18" s="14">
        <v>37.50</v>
      </c>
      <c r="K18" s="16">
        <f>J18*($L$2-1)</f>
        <v>16.66875</v>
      </c>
      <c r="L18" s="16">
        <f>SUM(I18:K18)</f>
        <v>244.16875</v>
      </c>
    </row>
    <row r="19" spans="1:12" ht="12.75">
      <c r="A19" s="14">
        <v>16</v>
      </c>
      <c r="B19" s="15" t="s">
        <v>54</v>
      </c>
      <c r="C19" s="15" t="s">
        <v>55</v>
      </c>
      <c r="D19" s="15" t="str">
        <f>CONCATENATE(C19," (Code: ",B19,")")</f>
        <v>PVC Reducer 90X75 mm (Code: GWDMR016)</v>
      </c>
      <c r="E19" s="14" t="s">
        <v>18</v>
      </c>
      <c r="F19" s="16" t="s">
        <v>19</v>
      </c>
      <c r="G19" s="16" t="s">
        <v>20</v>
      </c>
      <c r="H19" s="16" t="s">
        <v>56</v>
      </c>
      <c r="I19" s="14">
        <v>73</v>
      </c>
      <c r="J19" s="14">
        <v>0</v>
      </c>
      <c r="K19" s="16">
        <f>J19*($L$2-1)</f>
        <v>0</v>
      </c>
      <c r="L19" s="16">
        <f>SUM(I19:K19)</f>
        <v>73</v>
      </c>
    </row>
    <row r="20" spans="1:12" ht="12.75">
      <c r="A20" s="14">
        <v>17</v>
      </c>
      <c r="B20" s="15" t="s">
        <v>57</v>
      </c>
      <c r="C20" s="15" t="s">
        <v>58</v>
      </c>
      <c r="D20" s="15" t="str">
        <f>CONCATENATE(C20," (Code: ",B20,")")</f>
        <v>PVC Reducer 110X90 mm (Code: GWDMR017)</v>
      </c>
      <c r="E20" s="14" t="s">
        <v>18</v>
      </c>
      <c r="F20" s="16" t="s">
        <v>19</v>
      </c>
      <c r="G20" s="16" t="s">
        <v>20</v>
      </c>
      <c r="H20" s="16" t="s">
        <v>56</v>
      </c>
      <c r="I20" s="14">
        <v>122</v>
      </c>
      <c r="J20" s="14">
        <v>0</v>
      </c>
      <c r="K20" s="16">
        <f>J20*($L$2-1)</f>
        <v>0</v>
      </c>
      <c r="L20" s="16">
        <f>SUM(I20:K20)</f>
        <v>122</v>
      </c>
    </row>
    <row r="21" spans="1:12" ht="12.75">
      <c r="A21" s="14">
        <v>18</v>
      </c>
      <c r="B21" s="15" t="s">
        <v>59</v>
      </c>
      <c r="C21" s="15" t="s">
        <v>60</v>
      </c>
      <c r="D21" s="15" t="str">
        <f>CONCATENATE(C21," (Code: ",B21,")")</f>
        <v>PVC Reducer 140X90 mm (Code: GWDMR018)</v>
      </c>
      <c r="E21" s="14" t="s">
        <v>18</v>
      </c>
      <c r="F21" s="16" t="s">
        <v>19</v>
      </c>
      <c r="G21" s="16" t="s">
        <v>20</v>
      </c>
      <c r="H21" s="16" t="s">
        <v>56</v>
      </c>
      <c r="I21" s="14">
        <v>156</v>
      </c>
      <c r="J21" s="14">
        <v>0</v>
      </c>
      <c r="K21" s="16">
        <f>J21*($L$2-1)</f>
        <v>0</v>
      </c>
      <c r="L21" s="16">
        <f>SUM(I21:K21)</f>
        <v>156</v>
      </c>
    </row>
    <row r="22" spans="1:12" ht="12.75">
      <c r="A22" s="14">
        <v>19</v>
      </c>
      <c r="B22" s="15" t="s">
        <v>61</v>
      </c>
      <c r="C22" s="15" t="s">
        <v>62</v>
      </c>
      <c r="D22" s="15" t="str">
        <f>CONCATENATE(C22," (Code: ",B22,")")</f>
        <v>PVC Reducer 160X140 mm (Code: GWDMR019)</v>
      </c>
      <c r="E22" s="14" t="s">
        <v>18</v>
      </c>
      <c r="F22" s="16" t="s">
        <v>19</v>
      </c>
      <c r="G22" s="16" t="s">
        <v>20</v>
      </c>
      <c r="H22" s="16" t="s">
        <v>56</v>
      </c>
      <c r="I22" s="14">
        <v>342</v>
      </c>
      <c r="J22" s="14">
        <v>0</v>
      </c>
      <c r="K22" s="16">
        <f>J22*($L$2-1)</f>
        <v>0</v>
      </c>
      <c r="L22" s="16">
        <f>SUM(I22:K22)</f>
        <v>342</v>
      </c>
    </row>
    <row r="23" spans="1:12" ht="12.75">
      <c r="A23" s="14">
        <v>20</v>
      </c>
      <c r="B23" s="15" t="s">
        <v>63</v>
      </c>
      <c r="C23" s="15" t="s">
        <v>64</v>
      </c>
      <c r="D23" s="15" t="str">
        <f>CONCATENATE(C23," (Code: ",B23,")")</f>
        <v>PVC Reducer 160X110 mm (Code: GWDMR020)</v>
      </c>
      <c r="E23" s="14" t="s">
        <v>18</v>
      </c>
      <c r="F23" s="16" t="s">
        <v>19</v>
      </c>
      <c r="G23" s="16" t="s">
        <v>20</v>
      </c>
      <c r="H23" s="16" t="s">
        <v>56</v>
      </c>
      <c r="I23" s="14">
        <v>290</v>
      </c>
      <c r="J23" s="14">
        <v>0</v>
      </c>
      <c r="K23" s="16">
        <f>J23*($L$2-1)</f>
        <v>0</v>
      </c>
      <c r="L23" s="16">
        <f>SUM(I23:K23)</f>
        <v>290</v>
      </c>
    </row>
    <row r="24" spans="1:12" ht="12.75">
      <c r="A24" s="14" t="s">
        <v>65</v>
      </c>
      <c r="B24" s="15" t="s">
        <v>66</v>
      </c>
      <c r="C24" s="15" t="s">
        <v>67</v>
      </c>
      <c r="D24" s="15" t="str">
        <f>CONCATENATE(C24," (Code: ",B24,")")</f>
        <v>PVC Reducer 140X110 mm (Code: GWDMR020A)</v>
      </c>
      <c r="E24" s="14" t="s">
        <v>18</v>
      </c>
      <c r="F24" s="16" t="s">
        <v>19</v>
      </c>
      <c r="G24" s="16" t="s">
        <v>20</v>
      </c>
      <c r="H24" s="16" t="s">
        <v>56</v>
      </c>
      <c r="I24" s="14">
        <v>196</v>
      </c>
      <c r="J24" s="14">
        <v>0</v>
      </c>
      <c r="K24" s="16">
        <f>J24*($L$2-1)</f>
        <v>0</v>
      </c>
      <c r="L24" s="16">
        <f>SUM(I24:K24)</f>
        <v>196</v>
      </c>
    </row>
    <row r="25" spans="1:12" ht="12.75">
      <c r="A25" s="14">
        <v>21</v>
      </c>
      <c r="B25" s="15" t="s">
        <v>68</v>
      </c>
      <c r="C25" s="15" t="s">
        <v>69</v>
      </c>
      <c r="D25" s="15" t="str">
        <f>CONCATENATE(C25," (Code: ",B25,")")</f>
        <v>PVC Runner Drop 140 mm (Code: GWDMR021)</v>
      </c>
      <c r="E25" s="14" t="s">
        <v>18</v>
      </c>
      <c r="F25" s="16" t="s">
        <v>19</v>
      </c>
      <c r="G25" s="16" t="s">
        <v>35</v>
      </c>
      <c r="H25" s="16" t="s">
        <v>36</v>
      </c>
      <c r="I25" s="14">
        <v>210</v>
      </c>
      <c r="J25" s="14">
        <v>0</v>
      </c>
      <c r="K25" s="16">
        <f>J25*($L$2-1)</f>
        <v>0</v>
      </c>
      <c r="L25" s="16">
        <f>SUM(I25:K25)</f>
        <v>210</v>
      </c>
    </row>
    <row r="26" spans="1:12" ht="12.75">
      <c r="A26" s="14">
        <v>22</v>
      </c>
      <c r="B26" s="15" t="s">
        <v>70</v>
      </c>
      <c r="C26" s="15" t="s">
        <v>71</v>
      </c>
      <c r="D26" s="15" t="str">
        <f>CONCATENATE(C26," (Code: ",B26,")")</f>
        <v>PVC Runner Drop 160 mm (Code: GWDMR022)</v>
      </c>
      <c r="E26" s="14" t="s">
        <v>18</v>
      </c>
      <c r="F26" s="16" t="s">
        <v>19</v>
      </c>
      <c r="G26" s="16" t="s">
        <v>35</v>
      </c>
      <c r="H26" s="16" t="s">
        <v>36</v>
      </c>
      <c r="I26" s="14">
        <v>240</v>
      </c>
      <c r="J26" s="14">
        <v>0</v>
      </c>
      <c r="K26" s="16">
        <f>J26*($L$2-1)</f>
        <v>0</v>
      </c>
      <c r="L26" s="16">
        <f>SUM(I26:K26)</f>
        <v>240</v>
      </c>
    </row>
    <row r="27" spans="1:12" ht="12.75">
      <c r="A27" s="14">
        <v>23</v>
      </c>
      <c r="B27" s="15" t="s">
        <v>72</v>
      </c>
      <c r="C27" s="15" t="s">
        <v>73</v>
      </c>
      <c r="D27" s="15" t="str">
        <f>CONCATENATE(C27," (Code: ",B27,")")</f>
        <v>PVC  End Drop 140 mm (Code: GWDMR023)</v>
      </c>
      <c r="E27" s="14" t="s">
        <v>18</v>
      </c>
      <c r="F27" s="16" t="s">
        <v>19</v>
      </c>
      <c r="G27" s="16" t="s">
        <v>35</v>
      </c>
      <c r="H27" s="16" t="s">
        <v>36</v>
      </c>
      <c r="I27" s="14">
        <v>192</v>
      </c>
      <c r="J27" s="14">
        <v>0</v>
      </c>
      <c r="K27" s="16">
        <f>J27*($L$2-1)</f>
        <v>0</v>
      </c>
      <c r="L27" s="16">
        <f>SUM(I27:K27)</f>
        <v>192</v>
      </c>
    </row>
    <row r="28" spans="1:12" ht="12.75">
      <c r="A28" s="14">
        <v>24</v>
      </c>
      <c r="B28" s="15" t="s">
        <v>74</v>
      </c>
      <c r="C28" s="15" t="s">
        <v>75</v>
      </c>
      <c r="D28" s="15" t="str">
        <f>CONCATENATE(C28," (Code: ",B28,")")</f>
        <v>PVC End Drop 160 mm (Code: GWDMR024)</v>
      </c>
      <c r="E28" s="14" t="s">
        <v>18</v>
      </c>
      <c r="F28" s="16" t="s">
        <v>19</v>
      </c>
      <c r="G28" s="16" t="s">
        <v>35</v>
      </c>
      <c r="H28" s="16" t="s">
        <v>36</v>
      </c>
      <c r="I28" s="14">
        <v>216</v>
      </c>
      <c r="J28" s="14">
        <v>0</v>
      </c>
      <c r="K28" s="16">
        <f>J28*($L$2-1)</f>
        <v>0</v>
      </c>
      <c r="L28" s="16">
        <f>SUM(I28:K28)</f>
        <v>216</v>
      </c>
    </row>
    <row r="29" spans="1:12" ht="12.75">
      <c r="A29" s="14">
        <v>25</v>
      </c>
      <c r="B29" s="15" t="s">
        <v>76</v>
      </c>
      <c r="C29" s="15" t="s">
        <v>77</v>
      </c>
      <c r="D29" s="15" t="str">
        <f>CONCATENATE(C29," (Code: ",B29,")")</f>
        <v>PVC Half End Drop 140 mm (Code: GWDMR025)</v>
      </c>
      <c r="E29" s="14" t="s">
        <v>18</v>
      </c>
      <c r="F29" s="16" t="s">
        <v>19</v>
      </c>
      <c r="G29" s="16" t="s">
        <v>35</v>
      </c>
      <c r="H29" s="16" t="s">
        <v>36</v>
      </c>
      <c r="I29" s="14">
        <v>174</v>
      </c>
      <c r="J29" s="14">
        <v>0</v>
      </c>
      <c r="K29" s="16">
        <f>J29*($L$2-1)</f>
        <v>0</v>
      </c>
      <c r="L29" s="16">
        <f>SUM(I29:K29)</f>
        <v>174</v>
      </c>
    </row>
    <row r="30" spans="1:12" ht="12.75">
      <c r="A30" s="14">
        <v>26</v>
      </c>
      <c r="B30" s="15" t="s">
        <v>78</v>
      </c>
      <c r="C30" s="15" t="s">
        <v>79</v>
      </c>
      <c r="D30" s="15" t="str">
        <f>CONCATENATE(C30," (Code: ",B30,")")</f>
        <v>PVC Half End Drop 160 mm (Code: GWDMR026)</v>
      </c>
      <c r="E30" s="14" t="s">
        <v>18</v>
      </c>
      <c r="F30" s="16" t="s">
        <v>19</v>
      </c>
      <c r="G30" s="16" t="s">
        <v>35</v>
      </c>
      <c r="H30" s="16" t="s">
        <v>36</v>
      </c>
      <c r="I30" s="14">
        <v>192</v>
      </c>
      <c r="J30" s="14">
        <v>0</v>
      </c>
      <c r="K30" s="16">
        <f>J30*($L$2-1)</f>
        <v>0</v>
      </c>
      <c r="L30" s="16">
        <f>SUM(I30:K30)</f>
        <v>192</v>
      </c>
    </row>
    <row r="31" spans="1:12" ht="12.75">
      <c r="A31" s="14">
        <v>27</v>
      </c>
      <c r="B31" s="15" t="s">
        <v>80</v>
      </c>
      <c r="C31" s="15" t="s">
        <v>81</v>
      </c>
      <c r="D31" s="15" t="str">
        <f>CONCATENATE(C31," (Code: ",B31,")")</f>
        <v>PVC Square End Drop 140 mm (Code: GWDMR027)</v>
      </c>
      <c r="E31" s="14" t="s">
        <v>18</v>
      </c>
      <c r="F31" s="16" t="s">
        <v>19</v>
      </c>
      <c r="G31" s="16" t="s">
        <v>35</v>
      </c>
      <c r="H31" s="16" t="s">
        <v>36</v>
      </c>
      <c r="I31" s="14">
        <v>198</v>
      </c>
      <c r="J31" s="14">
        <v>0</v>
      </c>
      <c r="K31" s="16">
        <f>J31*($L$2-1)</f>
        <v>0</v>
      </c>
      <c r="L31" s="16">
        <f>SUM(I31:K31)</f>
        <v>198</v>
      </c>
    </row>
    <row r="32" spans="1:12" ht="12.75">
      <c r="A32" s="14">
        <v>28</v>
      </c>
      <c r="B32" s="15" t="s">
        <v>82</v>
      </c>
      <c r="C32" s="15" t="s">
        <v>83</v>
      </c>
      <c r="D32" s="15" t="str">
        <f>CONCATENATE(C32," (Code: ",B32,")")</f>
        <v>PVC Square End Drop 160 mm (Code: GWDMR028)</v>
      </c>
      <c r="E32" s="14" t="s">
        <v>18</v>
      </c>
      <c r="F32" s="16" t="s">
        <v>19</v>
      </c>
      <c r="G32" s="16" t="s">
        <v>35</v>
      </c>
      <c r="H32" s="16" t="s">
        <v>36</v>
      </c>
      <c r="I32" s="14">
        <v>222</v>
      </c>
      <c r="J32" s="14">
        <v>0</v>
      </c>
      <c r="K32" s="16">
        <f>J32*($L$2-1)</f>
        <v>0</v>
      </c>
      <c r="L32" s="16">
        <f>SUM(I32:K32)</f>
        <v>222</v>
      </c>
    </row>
    <row r="33" spans="1:12" ht="12.75">
      <c r="A33" s="14">
        <v>29</v>
      </c>
      <c r="B33" s="15" t="s">
        <v>84</v>
      </c>
      <c r="C33" s="15" t="s">
        <v>85</v>
      </c>
      <c r="D33" s="15" t="str">
        <f>CONCATENATE(C33," (Code: ",B33,")")</f>
        <v>PVC Square Half End Drop 140 mm (Code: GWDMR029)</v>
      </c>
      <c r="E33" s="14" t="s">
        <v>18</v>
      </c>
      <c r="F33" s="16" t="s">
        <v>19</v>
      </c>
      <c r="G33" s="16" t="s">
        <v>35</v>
      </c>
      <c r="H33" s="16" t="s">
        <v>36</v>
      </c>
      <c r="I33" s="14">
        <v>180</v>
      </c>
      <c r="J33" s="14">
        <v>0</v>
      </c>
      <c r="K33" s="16">
        <f>J33*($L$2-1)</f>
        <v>0</v>
      </c>
      <c r="L33" s="16">
        <f>SUM(I33:K33)</f>
        <v>180</v>
      </c>
    </row>
    <row r="34" spans="1:12" ht="12.75">
      <c r="A34" s="14">
        <v>30</v>
      </c>
      <c r="B34" s="15" t="s">
        <v>86</v>
      </c>
      <c r="C34" s="15" t="s">
        <v>87</v>
      </c>
      <c r="D34" s="15" t="str">
        <f>CONCATENATE(C34," (Code: ",B34,")")</f>
        <v>PVC Square Half End Drop 160 mm (Code: GWDMR030)</v>
      </c>
      <c r="E34" s="14" t="s">
        <v>18</v>
      </c>
      <c r="F34" s="16" t="s">
        <v>19</v>
      </c>
      <c r="G34" s="16" t="s">
        <v>35</v>
      </c>
      <c r="H34" s="16" t="s">
        <v>36</v>
      </c>
      <c r="I34" s="14">
        <v>204</v>
      </c>
      <c r="J34" s="14">
        <v>0</v>
      </c>
      <c r="K34" s="16">
        <f>J34*($L$2-1)</f>
        <v>0</v>
      </c>
      <c r="L34" s="16">
        <f>SUM(I34:K34)</f>
        <v>204</v>
      </c>
    </row>
    <row r="35" spans="1:12" ht="12.75">
      <c r="A35" s="14">
        <v>31</v>
      </c>
      <c r="B35" s="15" t="s">
        <v>88</v>
      </c>
      <c r="C35" s="15" t="s">
        <v>89</v>
      </c>
      <c r="D35" s="15" t="str">
        <f>CONCATENATE(C35," (Code: ",B35,")")</f>
        <v>S&amp;F PVC 45o Elbow 90 mm (DG) (Code: GWDMR031)</v>
      </c>
      <c r="E35" s="14" t="s">
        <v>18</v>
      </c>
      <c r="F35" s="16" t="s">
        <v>19</v>
      </c>
      <c r="G35" s="16" t="s">
        <v>20</v>
      </c>
      <c r="H35" s="16" t="s">
        <v>90</v>
      </c>
      <c r="I35" s="14">
        <v>45</v>
      </c>
      <c r="J35" s="14">
        <v>31.50</v>
      </c>
      <c r="K35" s="16">
        <f>J35*($L$2-1)</f>
        <v>14.001749999999999</v>
      </c>
      <c r="L35" s="16">
        <f>SUM(I35:K35)</f>
        <v>90.501750000000001</v>
      </c>
    </row>
    <row r="36" spans="1:12" ht="12.75">
      <c r="A36" s="14">
        <v>32</v>
      </c>
      <c r="B36" s="15" t="s">
        <v>91</v>
      </c>
      <c r="C36" s="15" t="s">
        <v>92</v>
      </c>
      <c r="D36" s="15" t="str">
        <f>CONCATENATE(C36," (Code: ",B36,")")</f>
        <v>S&amp;F PVC 45o Elbow 140 mm (DG) (Code: GWDMR032)</v>
      </c>
      <c r="E36" s="14" t="s">
        <v>18</v>
      </c>
      <c r="F36" s="16" t="s">
        <v>19</v>
      </c>
      <c r="G36" s="16" t="s">
        <v>20</v>
      </c>
      <c r="H36" s="16" t="s">
        <v>90</v>
      </c>
      <c r="I36" s="14">
        <v>80</v>
      </c>
      <c r="J36" s="14">
        <v>38</v>
      </c>
      <c r="K36" s="16">
        <f>J36*($L$2-1)</f>
        <v>16.890999999999998</v>
      </c>
      <c r="L36" s="16">
        <f>SUM(I36:K36)</f>
        <v>134.89099999999999</v>
      </c>
    </row>
    <row r="37" spans="1:12" ht="12.75">
      <c r="A37" s="14">
        <v>33</v>
      </c>
      <c r="B37" s="15" t="s">
        <v>93</v>
      </c>
      <c r="C37" s="15" t="s">
        <v>94</v>
      </c>
      <c r="D37" s="15" t="str">
        <f>CONCATENATE(C37," (Code: ",B37,")")</f>
        <v>S&amp;F PVC 45o Elbow 160 mm (DG) (Code: GWDMR033)</v>
      </c>
      <c r="E37" s="14" t="s">
        <v>18</v>
      </c>
      <c r="F37" s="16" t="s">
        <v>19</v>
      </c>
      <c r="G37" s="16" t="s">
        <v>20</v>
      </c>
      <c r="H37" s="16" t="s">
        <v>90</v>
      </c>
      <c r="I37" s="14">
        <v>95</v>
      </c>
      <c r="J37" s="14">
        <v>42</v>
      </c>
      <c r="K37" s="16">
        <f>J37*($L$2-1)</f>
        <v>18.669</v>
      </c>
      <c r="L37" s="16">
        <f>SUM(I37:K37)</f>
        <v>155.66900000000001</v>
      </c>
    </row>
    <row r="38" spans="1:12" ht="12.75">
      <c r="A38" s="14">
        <v>34</v>
      </c>
      <c r="B38" s="15" t="s">
        <v>95</v>
      </c>
      <c r="C38" s="15" t="s">
        <v>96</v>
      </c>
      <c r="D38" s="15" t="str">
        <f>CONCATENATE(C38," (Code: ",B38,")")</f>
        <v>PVC Tank connector 32 mm (Code: GWDMR034)</v>
      </c>
      <c r="E38" s="14" t="s">
        <v>18</v>
      </c>
      <c r="F38" s="16" t="s">
        <v>19</v>
      </c>
      <c r="G38" s="16" t="s">
        <v>97</v>
      </c>
      <c r="H38" s="16" t="s">
        <v>98</v>
      </c>
      <c r="I38" s="14">
        <v>216</v>
      </c>
      <c r="J38" s="14">
        <v>0</v>
      </c>
      <c r="K38" s="16">
        <f>J38*($L$2-1)</f>
        <v>0</v>
      </c>
      <c r="L38" s="16">
        <f>SUM(I38:K38)</f>
        <v>216</v>
      </c>
    </row>
    <row r="39" spans="1:12" ht="12.75">
      <c r="A39" s="14">
        <v>35</v>
      </c>
      <c r="B39" s="15" t="s">
        <v>99</v>
      </c>
      <c r="C39" s="15" t="s">
        <v>100</v>
      </c>
      <c r="D39" s="15" t="str">
        <f>CONCATENATE(C39," (Code: ",B39,")")</f>
        <v>PVC Tank connector 40 mm (Code: GWDMR035)</v>
      </c>
      <c r="E39" s="14" t="s">
        <v>18</v>
      </c>
      <c r="F39" s="16" t="s">
        <v>19</v>
      </c>
      <c r="G39" s="16" t="s">
        <v>97</v>
      </c>
      <c r="H39" s="16" t="s">
        <v>98</v>
      </c>
      <c r="I39" s="14">
        <v>240</v>
      </c>
      <c r="J39" s="14">
        <v>0</v>
      </c>
      <c r="K39" s="16">
        <f>J39*($L$2-1)</f>
        <v>0</v>
      </c>
      <c r="L39" s="16">
        <f>SUM(I39:K39)</f>
        <v>240</v>
      </c>
    </row>
    <row r="40" spans="1:12" ht="12.75">
      <c r="A40" s="14">
        <v>36</v>
      </c>
      <c r="B40" s="15" t="s">
        <v>101</v>
      </c>
      <c r="C40" s="15" t="s">
        <v>102</v>
      </c>
      <c r="D40" s="15" t="str">
        <f>CONCATENATE(C40," (Code: ",B40,")")</f>
        <v>PVC Tank connector 50 mm (Code: GWDMR036)</v>
      </c>
      <c r="E40" s="14" t="s">
        <v>18</v>
      </c>
      <c r="F40" s="16" t="s">
        <v>19</v>
      </c>
      <c r="G40" s="16" t="s">
        <v>97</v>
      </c>
      <c r="H40" s="16" t="s">
        <v>98</v>
      </c>
      <c r="I40" s="14">
        <v>288</v>
      </c>
      <c r="J40" s="14">
        <v>0</v>
      </c>
      <c r="K40" s="16">
        <f>J40*($L$2-1)</f>
        <v>0</v>
      </c>
      <c r="L40" s="16">
        <f>SUM(I40:K40)</f>
        <v>288</v>
      </c>
    </row>
    <row r="41" spans="1:12" ht="12.75">
      <c r="A41" s="14">
        <v>37</v>
      </c>
      <c r="B41" s="15" t="s">
        <v>103</v>
      </c>
      <c r="C41" s="15" t="s">
        <v>104</v>
      </c>
      <c r="D41" s="15" t="str">
        <f>CONCATENATE(C41," (Code: ",B41,")")</f>
        <v>PVC Tank connector 63 mm (Code: GWDMR037)</v>
      </c>
      <c r="E41" s="14" t="s">
        <v>18</v>
      </c>
      <c r="F41" s="16" t="s">
        <v>19</v>
      </c>
      <c r="G41" s="16" t="s">
        <v>97</v>
      </c>
      <c r="H41" s="16" t="s">
        <v>98</v>
      </c>
      <c r="I41" s="14">
        <v>420</v>
      </c>
      <c r="J41" s="14">
        <v>0</v>
      </c>
      <c r="K41" s="16">
        <f>J41*($L$2-1)</f>
        <v>0</v>
      </c>
      <c r="L41" s="16">
        <f>SUM(I41:K41)</f>
        <v>420</v>
      </c>
    </row>
    <row r="42" spans="1:12" ht="12.75">
      <c r="A42" s="14">
        <v>38</v>
      </c>
      <c r="B42" s="15" t="s">
        <v>105</v>
      </c>
      <c r="C42" s="15" t="s">
        <v>106</v>
      </c>
      <c r="D42" s="15" t="str">
        <f>CONCATENATE(C42," (Code: ",B42,")")</f>
        <v>PVC Tank connector 75 mm (Code: GWDMR038)</v>
      </c>
      <c r="E42" s="14" t="s">
        <v>18</v>
      </c>
      <c r="F42" s="16" t="s">
        <v>19</v>
      </c>
      <c r="G42" s="16" t="s">
        <v>97</v>
      </c>
      <c r="H42" s="16" t="s">
        <v>98</v>
      </c>
      <c r="I42" s="14">
        <v>456</v>
      </c>
      <c r="J42" s="14">
        <v>0</v>
      </c>
      <c r="K42" s="16">
        <f>J42*($L$2-1)</f>
        <v>0</v>
      </c>
      <c r="L42" s="16">
        <f>SUM(I42:K42)</f>
        <v>456</v>
      </c>
    </row>
    <row r="43" spans="1:12" ht="12.75">
      <c r="A43" s="14">
        <v>39</v>
      </c>
      <c r="B43" s="15" t="s">
        <v>107</v>
      </c>
      <c r="C43" s="15" t="s">
        <v>108</v>
      </c>
      <c r="D43" s="15" t="str">
        <f>CONCATENATE(C43," (Code: ",B43,")")</f>
        <v>PVC Tank connector 90 mm (Code: GWDMR039)</v>
      </c>
      <c r="E43" s="14" t="s">
        <v>18</v>
      </c>
      <c r="F43" s="16" t="s">
        <v>19</v>
      </c>
      <c r="G43" s="16" t="s">
        <v>97</v>
      </c>
      <c r="H43" s="16" t="s">
        <v>98</v>
      </c>
      <c r="I43" s="14">
        <v>540</v>
      </c>
      <c r="J43" s="14">
        <v>0</v>
      </c>
      <c r="K43" s="16">
        <f>J43*($L$2-1)</f>
        <v>0</v>
      </c>
      <c r="L43" s="16">
        <f>SUM(I43:K43)</f>
        <v>540</v>
      </c>
    </row>
    <row r="44" spans="1:12" ht="12.75">
      <c r="A44" s="14">
        <v>40</v>
      </c>
      <c r="B44" s="15" t="s">
        <v>109</v>
      </c>
      <c r="C44" s="15" t="s">
        <v>110</v>
      </c>
      <c r="D44" s="15" t="str">
        <f>CONCATENATE(C44," (Code: ",B44,")")</f>
        <v>PVC Ball valve 25 mm (Code: GWDMR040)</v>
      </c>
      <c r="E44" s="14" t="s">
        <v>18</v>
      </c>
      <c r="F44" s="16" t="s">
        <v>19</v>
      </c>
      <c r="G44" s="16" t="s">
        <v>97</v>
      </c>
      <c r="H44" s="16" t="s">
        <v>111</v>
      </c>
      <c r="I44" s="14">
        <v>168</v>
      </c>
      <c r="J44" s="14">
        <v>0</v>
      </c>
      <c r="K44" s="16">
        <f>J44*($L$2-1)</f>
        <v>0</v>
      </c>
      <c r="L44" s="16">
        <f>SUM(I44:K44)</f>
        <v>168</v>
      </c>
    </row>
    <row r="45" spans="1:12" ht="12.75">
      <c r="A45" s="14">
        <v>41</v>
      </c>
      <c r="B45" s="15" t="s">
        <v>112</v>
      </c>
      <c r="C45" s="15" t="s">
        <v>113</v>
      </c>
      <c r="D45" s="15" t="str">
        <f>CONCATENATE(C45," (Code: ",B45,")")</f>
        <v>PVC Ball valve 32 mm (Code: GWDMR041)</v>
      </c>
      <c r="E45" s="14" t="s">
        <v>18</v>
      </c>
      <c r="F45" s="16" t="s">
        <v>19</v>
      </c>
      <c r="G45" s="16" t="s">
        <v>97</v>
      </c>
      <c r="H45" s="16" t="s">
        <v>111</v>
      </c>
      <c r="I45" s="14">
        <v>216</v>
      </c>
      <c r="J45" s="14">
        <v>0</v>
      </c>
      <c r="K45" s="16">
        <f>J45*($L$2-1)</f>
        <v>0</v>
      </c>
      <c r="L45" s="16">
        <f>SUM(I45:K45)</f>
        <v>216</v>
      </c>
    </row>
    <row r="46" spans="1:12" ht="12.75">
      <c r="A46" s="14">
        <v>42</v>
      </c>
      <c r="B46" s="15" t="s">
        <v>114</v>
      </c>
      <c r="C46" s="15" t="s">
        <v>115</v>
      </c>
      <c r="D46" s="15" t="str">
        <f>CONCATENATE(C46," (Code: ",B46,")")</f>
        <v>PVC Ball valve 40 mm (Code: GWDMR042)</v>
      </c>
      <c r="E46" s="14" t="s">
        <v>18</v>
      </c>
      <c r="F46" s="16" t="s">
        <v>19</v>
      </c>
      <c r="G46" s="16" t="s">
        <v>97</v>
      </c>
      <c r="H46" s="16" t="s">
        <v>111</v>
      </c>
      <c r="I46" s="14">
        <v>336</v>
      </c>
      <c r="J46" s="14">
        <v>0</v>
      </c>
      <c r="K46" s="16">
        <f>J46*($L$2-1)</f>
        <v>0</v>
      </c>
      <c r="L46" s="16">
        <f>SUM(I46:K46)</f>
        <v>336</v>
      </c>
    </row>
    <row r="47" spans="1:12" ht="12.75">
      <c r="A47" s="14">
        <v>43</v>
      </c>
      <c r="B47" s="15" t="s">
        <v>116</v>
      </c>
      <c r="C47" s="15" t="s">
        <v>117</v>
      </c>
      <c r="D47" s="15" t="str">
        <f>CONCATENATE(C47," (Code: ",B47,")")</f>
        <v>PVC Ball valve 50 mm (Code: GWDMR043)</v>
      </c>
      <c r="E47" s="14" t="s">
        <v>18</v>
      </c>
      <c r="F47" s="16" t="s">
        <v>19</v>
      </c>
      <c r="G47" s="16" t="s">
        <v>97</v>
      </c>
      <c r="H47" s="16" t="s">
        <v>111</v>
      </c>
      <c r="I47" s="14">
        <v>456</v>
      </c>
      <c r="J47" s="14">
        <v>0</v>
      </c>
      <c r="K47" s="16">
        <f>J47*($L$2-1)</f>
        <v>0</v>
      </c>
      <c r="L47" s="16">
        <f>SUM(I47:K47)</f>
        <v>456</v>
      </c>
    </row>
    <row r="48" spans="1:12" ht="12.75">
      <c r="A48" s="14">
        <v>44</v>
      </c>
      <c r="B48" s="15" t="s">
        <v>118</v>
      </c>
      <c r="C48" s="15" t="s">
        <v>119</v>
      </c>
      <c r="D48" s="15" t="str">
        <f>CONCATENATE(C48," (Code: ",B48,")")</f>
        <v>PVC Ball valve 63 mm (Code: GWDMR044)</v>
      </c>
      <c r="E48" s="14" t="s">
        <v>18</v>
      </c>
      <c r="F48" s="16" t="s">
        <v>19</v>
      </c>
      <c r="G48" s="16" t="s">
        <v>97</v>
      </c>
      <c r="H48" s="16" t="s">
        <v>111</v>
      </c>
      <c r="I48" s="14">
        <v>480</v>
      </c>
      <c r="J48" s="14">
        <v>0</v>
      </c>
      <c r="K48" s="16">
        <f>J48*($L$2-1)</f>
        <v>0</v>
      </c>
      <c r="L48" s="16">
        <f>SUM(I48:K48)</f>
        <v>480</v>
      </c>
    </row>
    <row r="49" spans="1:12" ht="12.75">
      <c r="A49" s="14">
        <v>45</v>
      </c>
      <c r="B49" s="15" t="s">
        <v>120</v>
      </c>
      <c r="C49" s="15" t="s">
        <v>121</v>
      </c>
      <c r="D49" s="15" t="str">
        <f>CONCATENATE(C49," (Code: ",B49,")")</f>
        <v>PVC Ball valve 75 mm (Code: GWDMR045)</v>
      </c>
      <c r="E49" s="14" t="s">
        <v>18</v>
      </c>
      <c r="F49" s="16" t="s">
        <v>19</v>
      </c>
      <c r="G49" s="16" t="s">
        <v>97</v>
      </c>
      <c r="H49" s="16" t="s">
        <v>111</v>
      </c>
      <c r="I49" s="14">
        <v>720</v>
      </c>
      <c r="J49" s="14">
        <v>0</v>
      </c>
      <c r="K49" s="16">
        <f>J49*($L$2-1)</f>
        <v>0</v>
      </c>
      <c r="L49" s="16">
        <f>SUM(I49:K49)</f>
        <v>720</v>
      </c>
    </row>
    <row r="50" spans="1:12" ht="12.75">
      <c r="A50" s="14">
        <v>46</v>
      </c>
      <c r="B50" s="15" t="s">
        <v>122</v>
      </c>
      <c r="C50" s="15" t="s">
        <v>123</v>
      </c>
      <c r="D50" s="15" t="str">
        <f>CONCATENATE(C50," (Code: ",B50,")")</f>
        <v>PVC Ball valve 90 mm (Code: GWDMR046)</v>
      </c>
      <c r="E50" s="14" t="s">
        <v>18</v>
      </c>
      <c r="F50" s="16" t="s">
        <v>19</v>
      </c>
      <c r="G50" s="16" t="s">
        <v>97</v>
      </c>
      <c r="H50" s="16" t="s">
        <v>111</v>
      </c>
      <c r="I50" s="14">
        <v>840</v>
      </c>
      <c r="J50" s="14">
        <v>0</v>
      </c>
      <c r="K50" s="16">
        <f>J50*($L$2-1)</f>
        <v>0</v>
      </c>
      <c r="L50" s="16">
        <f>SUM(I50:K50)</f>
        <v>840</v>
      </c>
    </row>
    <row r="51" spans="1:12" ht="12.75">
      <c r="A51" s="14">
        <v>47</v>
      </c>
      <c r="B51" s="15" t="s">
        <v>124</v>
      </c>
      <c r="C51" s="15" t="s">
        <v>125</v>
      </c>
      <c r="D51" s="15" t="str">
        <f>CONCATENATE(C51," (Code: ",B51,")")</f>
        <v>PVC Ball valve 110 mm (Code: GWDMR047)</v>
      </c>
      <c r="E51" s="14" t="s">
        <v>18</v>
      </c>
      <c r="F51" s="16" t="s">
        <v>19</v>
      </c>
      <c r="G51" s="16" t="s">
        <v>97</v>
      </c>
      <c r="H51" s="16" t="s">
        <v>111</v>
      </c>
      <c r="I51" s="14">
        <v>1020</v>
      </c>
      <c r="J51" s="14">
        <v>0</v>
      </c>
      <c r="K51" s="16">
        <f>J51*($L$2-1)</f>
        <v>0</v>
      </c>
      <c r="L51" s="16">
        <f>SUM(I51:K51)</f>
        <v>1020</v>
      </c>
    </row>
    <row r="52" spans="1:12" ht="12.75">
      <c r="A52" s="14">
        <v>48</v>
      </c>
      <c r="B52" s="15" t="s">
        <v>126</v>
      </c>
      <c r="C52" s="15" t="s">
        <v>127</v>
      </c>
      <c r="D52" s="15" t="str">
        <f>CONCATENATE(C52," (Code: ",B52,")")</f>
        <v>S&amp;F PVC Coupling 32 mm (DG) (Code: GWDMR048)</v>
      </c>
      <c r="E52" s="14" t="s">
        <v>18</v>
      </c>
      <c r="F52" s="16" t="s">
        <v>19</v>
      </c>
      <c r="G52" s="16" t="s">
        <v>20</v>
      </c>
      <c r="H52" s="16" t="s">
        <v>128</v>
      </c>
      <c r="I52" s="14">
        <v>18.50</v>
      </c>
      <c r="J52" s="14">
        <v>28.46</v>
      </c>
      <c r="K52" s="16">
        <f>J52*($L$2-1)</f>
        <v>12.65047</v>
      </c>
      <c r="L52" s="16">
        <f>SUM(I52:K52)</f>
        <v>59.610469999999999</v>
      </c>
    </row>
    <row r="53" spans="1:12" ht="12.75">
      <c r="A53" s="14">
        <v>49</v>
      </c>
      <c r="B53" s="15" t="s">
        <v>129</v>
      </c>
      <c r="C53" s="15" t="s">
        <v>130</v>
      </c>
      <c r="D53" s="15" t="str">
        <f>CONCATENATE(C53," (Code: ",B53,")")</f>
        <v>S&amp;F PVC Coupling 40 mm (DG) (Code: GWDMR049)</v>
      </c>
      <c r="E53" s="14" t="s">
        <v>18</v>
      </c>
      <c r="F53" s="16" t="s">
        <v>19</v>
      </c>
      <c r="G53" s="16" t="s">
        <v>20</v>
      </c>
      <c r="H53" s="16" t="s">
        <v>128</v>
      </c>
      <c r="I53" s="14">
        <v>22.50</v>
      </c>
      <c r="J53" s="14">
        <v>28.46</v>
      </c>
      <c r="K53" s="16">
        <f>J53*($L$2-1)</f>
        <v>12.65047</v>
      </c>
      <c r="L53" s="16">
        <f>SUM(I53:K53)</f>
        <v>63.610469999999999</v>
      </c>
    </row>
    <row r="54" spans="1:12" ht="12.75">
      <c r="A54" s="14">
        <v>50</v>
      </c>
      <c r="B54" s="15" t="s">
        <v>131</v>
      </c>
      <c r="C54" s="15" t="s">
        <v>132</v>
      </c>
      <c r="D54" s="15" t="str">
        <f>CONCATENATE(C54," (Code: ",B54,")")</f>
        <v>S&amp;F PVC Coupling 50 mm (DG) (Code: GWDMR050)</v>
      </c>
      <c r="E54" s="14" t="s">
        <v>18</v>
      </c>
      <c r="F54" s="16" t="s">
        <v>19</v>
      </c>
      <c r="G54" s="16" t="s">
        <v>20</v>
      </c>
      <c r="H54" s="16" t="s">
        <v>128</v>
      </c>
      <c r="I54" s="14">
        <v>25.50</v>
      </c>
      <c r="J54" s="14">
        <v>28.46</v>
      </c>
      <c r="K54" s="16">
        <f>J54*($L$2-1)</f>
        <v>12.65047</v>
      </c>
      <c r="L54" s="16">
        <f>SUM(I54:K54)</f>
        <v>66.610470000000007</v>
      </c>
    </row>
    <row r="55" spans="1:12" ht="12.75">
      <c r="A55" s="14">
        <v>51</v>
      </c>
      <c r="B55" s="15" t="s">
        <v>133</v>
      </c>
      <c r="C55" s="15" t="s">
        <v>134</v>
      </c>
      <c r="D55" s="15" t="str">
        <f>CONCATENATE(C55," (Code: ",B55,")")</f>
        <v>S&amp;F PVC Coupling 63 mm (DG) (Code: GWDMR051)</v>
      </c>
      <c r="E55" s="14" t="s">
        <v>18</v>
      </c>
      <c r="F55" s="16" t="s">
        <v>19</v>
      </c>
      <c r="G55" s="16" t="s">
        <v>20</v>
      </c>
      <c r="H55" s="16" t="s">
        <v>128</v>
      </c>
      <c r="I55" s="14">
        <v>28.46</v>
      </c>
      <c r="J55" s="14">
        <v>29.77</v>
      </c>
      <c r="K55" s="16">
        <f>J55*($L$2-1)</f>
        <v>13.232765000000001</v>
      </c>
      <c r="L55" s="16">
        <f>SUM(I55:K55)</f>
        <v>71.462765000000005</v>
      </c>
    </row>
    <row r="56" spans="1:12" ht="12.75">
      <c r="A56" s="14">
        <v>52</v>
      </c>
      <c r="B56" s="15" t="s">
        <v>135</v>
      </c>
      <c r="C56" s="15" t="s">
        <v>136</v>
      </c>
      <c r="D56" s="15" t="str">
        <f>CONCATENATE(C56," (Code: ",B56,")")</f>
        <v>GI Bend 32 mm (Code: GWDMR052)</v>
      </c>
      <c r="E56" s="14" t="s">
        <v>18</v>
      </c>
      <c r="F56" s="16" t="s">
        <v>19</v>
      </c>
      <c r="G56" s="16" t="s">
        <v>97</v>
      </c>
      <c r="H56" s="16" t="s">
        <v>137</v>
      </c>
      <c r="I56" s="14">
        <v>132</v>
      </c>
      <c r="J56" s="14">
        <v>0</v>
      </c>
      <c r="K56" s="16">
        <f>J56*($L$2-1)</f>
        <v>0</v>
      </c>
      <c r="L56" s="16">
        <f>SUM(I56:K56)</f>
        <v>132</v>
      </c>
    </row>
    <row r="57" spans="1:12" ht="12.75">
      <c r="A57" s="14">
        <v>53</v>
      </c>
      <c r="B57" s="15" t="s">
        <v>138</v>
      </c>
      <c r="C57" s="15" t="s">
        <v>139</v>
      </c>
      <c r="D57" s="15" t="str">
        <f>CONCATENATE(C57," (Code: ",B57,")")</f>
        <v>GI Bend 40 mm (Code: GWDMR053)</v>
      </c>
      <c r="E57" s="14" t="s">
        <v>18</v>
      </c>
      <c r="F57" s="16" t="s">
        <v>19</v>
      </c>
      <c r="G57" s="16" t="s">
        <v>97</v>
      </c>
      <c r="H57" s="16" t="s">
        <v>137</v>
      </c>
      <c r="I57" s="14">
        <v>162</v>
      </c>
      <c r="J57" s="14">
        <v>0</v>
      </c>
      <c r="K57" s="16">
        <f>J57*($L$2-1)</f>
        <v>0</v>
      </c>
      <c r="L57" s="16">
        <f>SUM(I57:K57)</f>
        <v>162</v>
      </c>
    </row>
    <row r="58" spans="1:12" ht="12.75">
      <c r="A58" s="14">
        <v>54</v>
      </c>
      <c r="B58" s="15" t="s">
        <v>140</v>
      </c>
      <c r="C58" s="15" t="s">
        <v>141</v>
      </c>
      <c r="D58" s="15" t="str">
        <f>CONCATENATE(C58," (Code: ",B58,")")</f>
        <v>GI Bend 50 mm (Code: GWDMR054)</v>
      </c>
      <c r="E58" s="14" t="s">
        <v>18</v>
      </c>
      <c r="F58" s="16" t="s">
        <v>19</v>
      </c>
      <c r="G58" s="16" t="s">
        <v>97</v>
      </c>
      <c r="H58" s="16" t="s">
        <v>137</v>
      </c>
      <c r="I58" s="14">
        <v>246</v>
      </c>
      <c r="J58" s="14">
        <v>0</v>
      </c>
      <c r="K58" s="16">
        <f>J58*($L$2-1)</f>
        <v>0</v>
      </c>
      <c r="L58" s="16">
        <f>SUM(I58:K58)</f>
        <v>246</v>
      </c>
    </row>
    <row r="59" spans="1:12" ht="12.75">
      <c r="A59" s="14">
        <v>55</v>
      </c>
      <c r="B59" s="15" t="s">
        <v>142</v>
      </c>
      <c r="C59" s="15" t="s">
        <v>143</v>
      </c>
      <c r="D59" s="15" t="str">
        <f>CONCATENATE(C59," (Code: ",B59,")")</f>
        <v>GI Bend 65 mm (Code: GWDMR055)</v>
      </c>
      <c r="E59" s="14" t="s">
        <v>18</v>
      </c>
      <c r="F59" s="16" t="s">
        <v>19</v>
      </c>
      <c r="G59" s="16" t="s">
        <v>97</v>
      </c>
      <c r="H59" s="16" t="s">
        <v>137</v>
      </c>
      <c r="I59" s="14">
        <v>414</v>
      </c>
      <c r="J59" s="14">
        <v>0</v>
      </c>
      <c r="K59" s="16">
        <f>J59*($L$2-1)</f>
        <v>0</v>
      </c>
      <c r="L59" s="16">
        <f>SUM(I59:K59)</f>
        <v>414</v>
      </c>
    </row>
    <row r="60" spans="1:12" ht="12.75">
      <c r="A60" s="14">
        <v>56</v>
      </c>
      <c r="B60" s="15" t="s">
        <v>144</v>
      </c>
      <c r="C60" s="15" t="s">
        <v>145</v>
      </c>
      <c r="D60" s="15" t="str">
        <f>CONCATENATE(C60," (Code: ",B60,")")</f>
        <v>GI Socket 32 mm (Code: GWDMR056)</v>
      </c>
      <c r="E60" s="14" t="s">
        <v>18</v>
      </c>
      <c r="F60" s="16" t="s">
        <v>19</v>
      </c>
      <c r="G60" s="16" t="s">
        <v>97</v>
      </c>
      <c r="H60" s="16" t="s">
        <v>137</v>
      </c>
      <c r="I60" s="14">
        <v>96</v>
      </c>
      <c r="J60" s="14">
        <v>0</v>
      </c>
      <c r="K60" s="16">
        <f>J60*($L$2-1)</f>
        <v>0</v>
      </c>
      <c r="L60" s="16">
        <f>SUM(I60:K60)</f>
        <v>96</v>
      </c>
    </row>
    <row r="61" spans="1:12" ht="12.75">
      <c r="A61" s="14">
        <v>57</v>
      </c>
      <c r="B61" s="15" t="s">
        <v>146</v>
      </c>
      <c r="C61" s="15" t="s">
        <v>147</v>
      </c>
      <c r="D61" s="15" t="str">
        <f>CONCATENATE(C61," (Code: ",B61,")")</f>
        <v>GI Socket 40 mm (Code: GWDMR057)</v>
      </c>
      <c r="E61" s="14" t="s">
        <v>18</v>
      </c>
      <c r="F61" s="16" t="s">
        <v>19</v>
      </c>
      <c r="G61" s="16" t="s">
        <v>97</v>
      </c>
      <c r="H61" s="16" t="s">
        <v>137</v>
      </c>
      <c r="I61" s="14">
        <v>114</v>
      </c>
      <c r="J61" s="14">
        <v>0</v>
      </c>
      <c r="K61" s="16">
        <f>J61*($L$2-1)</f>
        <v>0</v>
      </c>
      <c r="L61" s="16">
        <f>SUM(I61:K61)</f>
        <v>114</v>
      </c>
    </row>
    <row r="62" spans="1:12" ht="12.75">
      <c r="A62" s="14">
        <v>58</v>
      </c>
      <c r="B62" s="15" t="s">
        <v>148</v>
      </c>
      <c r="C62" s="15" t="s">
        <v>149</v>
      </c>
      <c r="D62" s="15" t="str">
        <f>CONCATENATE(C62," (Code: ",B62,")")</f>
        <v>GI Socket 50 mm (Code: GWDMR058)</v>
      </c>
      <c r="E62" s="14" t="s">
        <v>18</v>
      </c>
      <c r="F62" s="16" t="s">
        <v>19</v>
      </c>
      <c r="G62" s="16" t="s">
        <v>97</v>
      </c>
      <c r="H62" s="16" t="s">
        <v>137</v>
      </c>
      <c r="I62" s="14">
        <v>168</v>
      </c>
      <c r="J62" s="14">
        <v>0</v>
      </c>
      <c r="K62" s="16">
        <f>J62*($L$2-1)</f>
        <v>0</v>
      </c>
      <c r="L62" s="16">
        <f>SUM(I62:K62)</f>
        <v>168</v>
      </c>
    </row>
    <row r="63" spans="1:12" ht="12.75">
      <c r="A63" s="14">
        <v>59</v>
      </c>
      <c r="B63" s="15" t="s">
        <v>150</v>
      </c>
      <c r="C63" s="15" t="s">
        <v>151</v>
      </c>
      <c r="D63" s="15" t="str">
        <f>CONCATENATE(C63," (Code: ",B63,")")</f>
        <v>GI Socket 65 mm (Code: GWDMR059)</v>
      </c>
      <c r="E63" s="14" t="s">
        <v>18</v>
      </c>
      <c r="F63" s="16" t="s">
        <v>19</v>
      </c>
      <c r="G63" s="16" t="s">
        <v>97</v>
      </c>
      <c r="H63" s="16" t="s">
        <v>137</v>
      </c>
      <c r="I63" s="14">
        <v>282</v>
      </c>
      <c r="J63" s="14">
        <v>0</v>
      </c>
      <c r="K63" s="16">
        <f>J63*($L$2-1)</f>
        <v>0</v>
      </c>
      <c r="L63" s="16">
        <f>SUM(I63:K63)</f>
        <v>282</v>
      </c>
    </row>
    <row r="64" spans="1:12" ht="12.75">
      <c r="A64" s="14">
        <v>60</v>
      </c>
      <c r="B64" s="15" t="s">
        <v>152</v>
      </c>
      <c r="C64" s="15" t="s">
        <v>153</v>
      </c>
      <c r="D64" s="15" t="str">
        <f>CONCATENATE(C64," (Code: ",B64,")")</f>
        <v>GI Tee 32 mm (Code: GWDMR060)</v>
      </c>
      <c r="E64" s="14" t="s">
        <v>18</v>
      </c>
      <c r="F64" s="16" t="s">
        <v>19</v>
      </c>
      <c r="G64" s="16" t="s">
        <v>97</v>
      </c>
      <c r="H64" s="16" t="s">
        <v>137</v>
      </c>
      <c r="I64" s="14">
        <v>150</v>
      </c>
      <c r="J64" s="14">
        <v>0</v>
      </c>
      <c r="K64" s="16">
        <f>J64*($L$2-1)</f>
        <v>0</v>
      </c>
      <c r="L64" s="16">
        <f>SUM(I64:K64)</f>
        <v>150</v>
      </c>
    </row>
    <row r="65" spans="1:12" ht="12.75">
      <c r="A65" s="14">
        <v>61</v>
      </c>
      <c r="B65" s="15" t="s">
        <v>154</v>
      </c>
      <c r="C65" s="15" t="s">
        <v>155</v>
      </c>
      <c r="D65" s="15" t="str">
        <f>CONCATENATE(C65," (Code: ",B65,")")</f>
        <v>GI Tee 40 mm (Code: GWDMR061)</v>
      </c>
      <c r="E65" s="14" t="s">
        <v>18</v>
      </c>
      <c r="F65" s="16" t="s">
        <v>19</v>
      </c>
      <c r="G65" s="16" t="s">
        <v>97</v>
      </c>
      <c r="H65" s="16" t="s">
        <v>137</v>
      </c>
      <c r="I65" s="14">
        <v>270</v>
      </c>
      <c r="J65" s="14">
        <v>0</v>
      </c>
      <c r="K65" s="16">
        <f>J65*($L$2-1)</f>
        <v>0</v>
      </c>
      <c r="L65" s="16">
        <f>SUM(I65:K65)</f>
        <v>270</v>
      </c>
    </row>
    <row r="66" spans="1:12" ht="12.75">
      <c r="A66" s="14">
        <v>62</v>
      </c>
      <c r="B66" s="15" t="s">
        <v>156</v>
      </c>
      <c r="C66" s="15" t="s">
        <v>157</v>
      </c>
      <c r="D66" s="15" t="str">
        <f>CONCATENATE(C66," (Code: ",B66,")")</f>
        <v>GI Tee 50 mm (Code: GWDMR062)</v>
      </c>
      <c r="E66" s="14" t="s">
        <v>18</v>
      </c>
      <c r="F66" s="16" t="s">
        <v>19</v>
      </c>
      <c r="G66" s="16" t="s">
        <v>97</v>
      </c>
      <c r="H66" s="16" t="s">
        <v>137</v>
      </c>
      <c r="I66" s="14">
        <v>324</v>
      </c>
      <c r="J66" s="14">
        <v>0</v>
      </c>
      <c r="K66" s="16">
        <f>J66*($L$2-1)</f>
        <v>0</v>
      </c>
      <c r="L66" s="16">
        <f>SUM(I66:K66)</f>
        <v>324</v>
      </c>
    </row>
    <row r="67" spans="1:12" ht="12.75">
      <c r="A67" s="14">
        <v>63</v>
      </c>
      <c r="B67" s="15" t="s">
        <v>158</v>
      </c>
      <c r="C67" s="15" t="s">
        <v>159</v>
      </c>
      <c r="D67" s="15" t="str">
        <f>CONCATENATE(C67," (Code: ",B67,")")</f>
        <v>GI Tee 65 mm (Code: GWDMR063)</v>
      </c>
      <c r="E67" s="14" t="s">
        <v>18</v>
      </c>
      <c r="F67" s="16" t="s">
        <v>19</v>
      </c>
      <c r="G67" s="16" t="s">
        <v>97</v>
      </c>
      <c r="H67" s="16" t="s">
        <v>137</v>
      </c>
      <c r="I67" s="14">
        <v>636</v>
      </c>
      <c r="J67" s="14">
        <v>0</v>
      </c>
      <c r="K67" s="16">
        <f>J67*($L$2-1)</f>
        <v>0</v>
      </c>
      <c r="L67" s="16">
        <f>SUM(I67:K67)</f>
        <v>636</v>
      </c>
    </row>
    <row r="68" spans="1:12" ht="12.75">
      <c r="A68" s="14">
        <v>64</v>
      </c>
      <c r="B68" s="15" t="s">
        <v>160</v>
      </c>
      <c r="C68" s="15" t="s">
        <v>161</v>
      </c>
      <c r="D68" s="15" t="str">
        <f>CONCATENATE(C68," (Code: ",B68,")")</f>
        <v>Compressor pump 1.5 HP single phase (Code: GWDMR064)</v>
      </c>
      <c r="E68" s="14" t="s">
        <v>18</v>
      </c>
      <c r="F68" s="16" t="s">
        <v>19</v>
      </c>
      <c r="G68" s="16" t="s">
        <v>97</v>
      </c>
      <c r="H68" s="16" t="s">
        <v>162</v>
      </c>
      <c r="I68" s="14">
        <v>22044</v>
      </c>
      <c r="J68" s="14">
        <v>0</v>
      </c>
      <c r="K68" s="16">
        <f>J68*($L$2-1)</f>
        <v>0</v>
      </c>
      <c r="L68" s="16">
        <f>SUM(I68:K68)</f>
        <v>22044</v>
      </c>
    </row>
    <row r="69" spans="1:12" ht="12.75">
      <c r="A69" s="14">
        <v>65</v>
      </c>
      <c r="B69" s="15" t="s">
        <v>163</v>
      </c>
      <c r="C69" s="15" t="s">
        <v>164</v>
      </c>
      <c r="D69" s="15" t="str">
        <f>CONCATENATE(C69," (Code: ",B69,")")</f>
        <v>Compressor pump 2 HP single phase (Code: GWDMR065)</v>
      </c>
      <c r="E69" s="14" t="s">
        <v>18</v>
      </c>
      <c r="F69" s="16" t="s">
        <v>19</v>
      </c>
      <c r="G69" s="16" t="s">
        <v>97</v>
      </c>
      <c r="H69" s="16" t="s">
        <v>162</v>
      </c>
      <c r="I69" s="14">
        <v>25080</v>
      </c>
      <c r="J69" s="14">
        <v>0</v>
      </c>
      <c r="K69" s="16">
        <f>J69*($L$2-1)</f>
        <v>0</v>
      </c>
      <c r="L69" s="16">
        <f>SUM(I69:K69)</f>
        <v>25080</v>
      </c>
    </row>
    <row r="70" spans="1:12" ht="12.75">
      <c r="A70" s="14">
        <v>66</v>
      </c>
      <c r="B70" s="15" t="s">
        <v>165</v>
      </c>
      <c r="C70" s="15" t="s">
        <v>166</v>
      </c>
      <c r="D70" s="15" t="str">
        <f>CONCATENATE(C70," (Code: ",B70,")")</f>
        <v>Compressor pump 5 HP three phase (Code: GWDMR066)</v>
      </c>
      <c r="E70" s="14" t="s">
        <v>18</v>
      </c>
      <c r="F70" s="16" t="s">
        <v>19</v>
      </c>
      <c r="G70" s="16" t="s">
        <v>97</v>
      </c>
      <c r="H70" s="16" t="s">
        <v>162</v>
      </c>
      <c r="I70" s="14">
        <v>36036</v>
      </c>
      <c r="J70" s="14">
        <v>0</v>
      </c>
      <c r="K70" s="16">
        <f>J70*($L$2-1)</f>
        <v>0</v>
      </c>
      <c r="L70" s="16">
        <f>SUM(I70:K70)</f>
        <v>36036</v>
      </c>
    </row>
    <row r="71" spans="1:12" ht="12.75">
      <c r="A71" s="14">
        <v>67</v>
      </c>
      <c r="B71" s="15" t="s">
        <v>167</v>
      </c>
      <c r="C71" s="15" t="s">
        <v>168</v>
      </c>
      <c r="D71" s="15" t="str">
        <f>CONCATENATE(C71," (Code: ",B71,")")</f>
        <v>Compressor pump 7.5 HP three phase (Code: GWDMR067)</v>
      </c>
      <c r="E71" s="14" t="s">
        <v>18</v>
      </c>
      <c r="F71" s="16" t="s">
        <v>19</v>
      </c>
      <c r="G71" s="16" t="s">
        <v>97</v>
      </c>
      <c r="H71" s="16" t="s">
        <v>162</v>
      </c>
      <c r="I71" s="14">
        <v>47652</v>
      </c>
      <c r="J71" s="14">
        <v>0</v>
      </c>
      <c r="K71" s="16">
        <f>J71*($L$2-1)</f>
        <v>0</v>
      </c>
      <c r="L71" s="16">
        <f>SUM(I71:K71)</f>
        <v>47652</v>
      </c>
    </row>
    <row r="72" spans="1:12" ht="12.75">
      <c r="A72" s="14">
        <v>68</v>
      </c>
      <c r="B72" s="15" t="s">
        <v>169</v>
      </c>
      <c r="C72" s="15" t="s">
        <v>170</v>
      </c>
      <c r="D72" s="15" t="str">
        <f>CONCATENATE(C72," (Code: ",B72,")")</f>
        <v>12 mm thick nylon rope (Code: GWDMR068)</v>
      </c>
      <c r="E72" s="14" t="s">
        <v>171</v>
      </c>
      <c r="F72" s="16" t="s">
        <v>19</v>
      </c>
      <c r="G72" s="16" t="s">
        <v>97</v>
      </c>
      <c r="H72" s="16" t="s">
        <v>172</v>
      </c>
      <c r="I72" s="14">
        <v>38.40</v>
      </c>
      <c r="J72" s="14">
        <v>0</v>
      </c>
      <c r="K72" s="16">
        <f>J72*($L$2-1)</f>
        <v>0</v>
      </c>
      <c r="L72" s="16">
        <f>SUM(I72:K72)</f>
        <v>38.40</v>
      </c>
    </row>
    <row r="73" spans="1:12" ht="12.75">
      <c r="A73" s="14">
        <v>69</v>
      </c>
      <c r="B73" s="15" t="s">
        <v>173</v>
      </c>
      <c r="C73" s="15" t="s">
        <v>174</v>
      </c>
      <c r="D73" s="15" t="str">
        <f>CONCATENATE(C73," (Code: ",B73,")")</f>
        <v>14 mm thick nylon rope (Code: GWDMR069)</v>
      </c>
      <c r="E73" s="14" t="s">
        <v>171</v>
      </c>
      <c r="F73" s="16" t="s">
        <v>19</v>
      </c>
      <c r="G73" s="16" t="s">
        <v>97</v>
      </c>
      <c r="H73" s="16" t="s">
        <v>172</v>
      </c>
      <c r="I73" s="14">
        <v>49.20</v>
      </c>
      <c r="J73" s="14">
        <v>0</v>
      </c>
      <c r="K73" s="16">
        <f>J73*($L$2-1)</f>
        <v>0</v>
      </c>
      <c r="L73" s="16">
        <f>SUM(I73:K73)</f>
        <v>49.20</v>
      </c>
    </row>
    <row r="74" spans="1:12" ht="12.75">
      <c r="A74" s="14">
        <v>70</v>
      </c>
      <c r="B74" s="15" t="s">
        <v>175</v>
      </c>
      <c r="C74" s="15" t="s">
        <v>176</v>
      </c>
      <c r="D74" s="15" t="str">
        <f>CONCATENATE(C74," (Code: ",B74,")")</f>
        <v>16 mm thick nylon rope (Code: GWDMR070)</v>
      </c>
      <c r="E74" s="14" t="s">
        <v>171</v>
      </c>
      <c r="F74" s="16" t="s">
        <v>19</v>
      </c>
      <c r="G74" s="16" t="s">
        <v>97</v>
      </c>
      <c r="H74" s="16" t="s">
        <v>172</v>
      </c>
      <c r="I74" s="14">
        <v>56.40</v>
      </c>
      <c r="J74" s="14">
        <v>0</v>
      </c>
      <c r="K74" s="16">
        <f>J74*($L$2-1)</f>
        <v>0</v>
      </c>
      <c r="L74" s="16">
        <f>SUM(I74:K74)</f>
        <v>56.40</v>
      </c>
    </row>
    <row r="75" spans="1:12" ht="12.75">
      <c r="A75" s="14">
        <v>71</v>
      </c>
      <c r="B75" s="15" t="s">
        <v>177</v>
      </c>
      <c r="C75" s="15" t="s">
        <v>178</v>
      </c>
      <c r="D75" s="15" t="str">
        <f>CONCATENATE(C75," (Code: ",B75,")")</f>
        <v>Steel rope (Code: GWDMR071)</v>
      </c>
      <c r="E75" s="14" t="s">
        <v>171</v>
      </c>
      <c r="F75" s="16" t="s">
        <v>19</v>
      </c>
      <c r="G75" s="16" t="s">
        <v>97</v>
      </c>
      <c r="H75" s="16" t="s">
        <v>172</v>
      </c>
      <c r="I75" s="14">
        <v>114</v>
      </c>
      <c r="J75" s="14">
        <v>0</v>
      </c>
      <c r="K75" s="16">
        <f>J75*($L$2-1)</f>
        <v>0</v>
      </c>
      <c r="L75" s="16">
        <f>SUM(I75:K75)</f>
        <v>114</v>
      </c>
    </row>
    <row r="76" spans="1:12" ht="12.75">
      <c r="A76" s="14">
        <v>72</v>
      </c>
      <c r="B76" s="15" t="s">
        <v>179</v>
      </c>
      <c r="C76" s="15" t="s">
        <v>180</v>
      </c>
      <c r="D76" s="15" t="str">
        <f>CONCATENATE(C76," (Code: ",B76,")")</f>
        <v>32 mm dia UPVC pipe (Code: GWDMR072)</v>
      </c>
      <c r="E76" s="14" t="s">
        <v>171</v>
      </c>
      <c r="F76" s="16" t="s">
        <v>19</v>
      </c>
      <c r="G76" s="16" t="s">
        <v>97</v>
      </c>
      <c r="H76" s="16" t="s">
        <v>172</v>
      </c>
      <c r="I76" s="14">
        <v>270</v>
      </c>
      <c r="J76" s="14">
        <v>0</v>
      </c>
      <c r="K76" s="16">
        <f>J76*($L$2-1)</f>
        <v>0</v>
      </c>
      <c r="L76" s="16">
        <f>SUM(I76:K76)</f>
        <v>270</v>
      </c>
    </row>
    <row r="77" spans="1:12" ht="12.75">
      <c r="A77" s="14">
        <v>73</v>
      </c>
      <c r="B77" s="15" t="s">
        <v>181</v>
      </c>
      <c r="C77" s="15" t="s">
        <v>182</v>
      </c>
      <c r="D77" s="15" t="str">
        <f>CONCATENATE(C77," (Code: ",B77,")")</f>
        <v>40 mm dia UPVC pipe (Code: GWDMR073)</v>
      </c>
      <c r="E77" s="14" t="s">
        <v>171</v>
      </c>
      <c r="F77" s="16" t="s">
        <v>19</v>
      </c>
      <c r="G77" s="16" t="s">
        <v>97</v>
      </c>
      <c r="H77" s="16" t="s">
        <v>172</v>
      </c>
      <c r="I77" s="14">
        <v>354</v>
      </c>
      <c r="J77" s="14">
        <v>0</v>
      </c>
      <c r="K77" s="16">
        <f>J77*($L$2-1)</f>
        <v>0</v>
      </c>
      <c r="L77" s="16">
        <f>SUM(I77:K77)</f>
        <v>354</v>
      </c>
    </row>
    <row r="78" spans="1:12" ht="12.75">
      <c r="A78" s="14">
        <v>74</v>
      </c>
      <c r="B78" s="15" t="s">
        <v>183</v>
      </c>
      <c r="C78" s="15" t="s">
        <v>184</v>
      </c>
      <c r="D78" s="15" t="str">
        <f>CONCATENATE(C78," (Code: ",B78,")")</f>
        <v>50 mm dia UPVC pipe (Code: GWDMR074)</v>
      </c>
      <c r="E78" s="14" t="s">
        <v>171</v>
      </c>
      <c r="F78" s="16" t="s">
        <v>19</v>
      </c>
      <c r="G78" s="16" t="s">
        <v>97</v>
      </c>
      <c r="H78" s="16" t="s">
        <v>172</v>
      </c>
      <c r="I78" s="14">
        <v>468</v>
      </c>
      <c r="J78" s="14">
        <v>0</v>
      </c>
      <c r="K78" s="16">
        <f>J78*($L$2-1)</f>
        <v>0</v>
      </c>
      <c r="L78" s="16">
        <f>SUM(I78:K78)</f>
        <v>468</v>
      </c>
    </row>
    <row r="79" spans="1:12" ht="12.75">
      <c r="A79" s="14">
        <v>75</v>
      </c>
      <c r="B79" s="15" t="s">
        <v>185</v>
      </c>
      <c r="C79" s="15" t="s">
        <v>186</v>
      </c>
      <c r="D79" s="15" t="str">
        <f>CONCATENATE(C79," (Code: ",B79,")")</f>
        <v>63 mm dia UPVC pipe (Code: GWDMR075)</v>
      </c>
      <c r="E79" s="14" t="s">
        <v>171</v>
      </c>
      <c r="F79" s="16" t="s">
        <v>19</v>
      </c>
      <c r="G79" s="16" t="s">
        <v>97</v>
      </c>
      <c r="H79" s="16" t="s">
        <v>172</v>
      </c>
      <c r="I79" s="14">
        <v>552</v>
      </c>
      <c r="J79" s="14">
        <v>0</v>
      </c>
      <c r="K79" s="16">
        <f>J79*($L$2-1)</f>
        <v>0</v>
      </c>
      <c r="L79" s="16">
        <f>SUM(I79:K79)</f>
        <v>552</v>
      </c>
    </row>
    <row r="80" spans="1:12" ht="12.75">
      <c r="A80" s="14">
        <v>76</v>
      </c>
      <c r="B80" s="15" t="s">
        <v>187</v>
      </c>
      <c r="C80" s="15" t="s">
        <v>188</v>
      </c>
      <c r="D80" s="15" t="str">
        <f>CONCATENATE(C80," (Code: ",B80,")")</f>
        <v>20 mm dia HDPE pipe (DG) (8kg) (Code: GWDMR076)</v>
      </c>
      <c r="E80" s="14" t="s">
        <v>171</v>
      </c>
      <c r="F80" s="16" t="s">
        <v>19</v>
      </c>
      <c r="G80" s="16" t="s">
        <v>97</v>
      </c>
      <c r="H80" s="16" t="s">
        <v>172</v>
      </c>
      <c r="I80" s="14">
        <v>15</v>
      </c>
      <c r="J80" s="14">
        <v>0</v>
      </c>
      <c r="K80" s="16">
        <f>J80*($L$2-1)</f>
        <v>0</v>
      </c>
      <c r="L80" s="16">
        <f>SUM(I80:K80)</f>
        <v>15</v>
      </c>
    </row>
    <row r="81" spans="1:12" ht="12.75">
      <c r="A81" s="14">
        <v>77</v>
      </c>
      <c r="B81" s="15" t="s">
        <v>189</v>
      </c>
      <c r="C81" s="15" t="s">
        <v>190</v>
      </c>
      <c r="D81" s="15" t="str">
        <f>CONCATENATE(C81," (Code: ",B81,")")</f>
        <v>32 mm dia HDPE pipe (DG) (8kg) (Code: GWDMR077)</v>
      </c>
      <c r="E81" s="14" t="s">
        <v>171</v>
      </c>
      <c r="F81" s="16" t="s">
        <v>19</v>
      </c>
      <c r="G81" s="16" t="s">
        <v>97</v>
      </c>
      <c r="H81" s="16" t="s">
        <v>172</v>
      </c>
      <c r="I81" s="14">
        <v>35</v>
      </c>
      <c r="J81" s="14">
        <v>0</v>
      </c>
      <c r="K81" s="16">
        <f>J81*($L$2-1)</f>
        <v>0</v>
      </c>
      <c r="L81" s="16">
        <f>SUM(I81:K81)</f>
        <v>35</v>
      </c>
    </row>
    <row r="82" spans="1:12" ht="12.75">
      <c r="A82" s="14">
        <v>78</v>
      </c>
      <c r="B82" s="15" t="s">
        <v>191</v>
      </c>
      <c r="C82" s="15" t="s">
        <v>192</v>
      </c>
      <c r="D82" s="15" t="str">
        <f>CONCATENATE(C82," (Code: ",B82,")")</f>
        <v>40 mm dia HDPE pipe (DG) (8kg) (Code: GWDMR078)</v>
      </c>
      <c r="E82" s="14" t="s">
        <v>171</v>
      </c>
      <c r="F82" s="16" t="s">
        <v>19</v>
      </c>
      <c r="G82" s="16" t="s">
        <v>97</v>
      </c>
      <c r="H82" s="16" t="s">
        <v>172</v>
      </c>
      <c r="I82" s="14">
        <v>50</v>
      </c>
      <c r="J82" s="14">
        <v>0</v>
      </c>
      <c r="K82" s="16">
        <f>J82*($L$2-1)</f>
        <v>0</v>
      </c>
      <c r="L82" s="16">
        <f>SUM(I82:K82)</f>
        <v>50</v>
      </c>
    </row>
    <row r="83" spans="1:12" ht="12.75">
      <c r="A83" s="14">
        <v>79</v>
      </c>
      <c r="B83" s="15" t="s">
        <v>193</v>
      </c>
      <c r="C83" s="15" t="s">
        <v>194</v>
      </c>
      <c r="D83" s="15" t="str">
        <f>CONCATENATE(C83," (Code: ",B83,")")</f>
        <v>32 mm SS Adapter (Code: GWDMR079)</v>
      </c>
      <c r="E83" s="14" t="s">
        <v>18</v>
      </c>
      <c r="F83" s="16" t="s">
        <v>19</v>
      </c>
      <c r="G83" s="16" t="s">
        <v>97</v>
      </c>
      <c r="H83" s="16" t="s">
        <v>172</v>
      </c>
      <c r="I83" s="14">
        <v>804</v>
      </c>
      <c r="J83" s="14">
        <v>0</v>
      </c>
      <c r="K83" s="16">
        <f>J83*($L$2-1)</f>
        <v>0</v>
      </c>
      <c r="L83" s="16">
        <f>SUM(I83:K83)</f>
        <v>804</v>
      </c>
    </row>
    <row r="84" spans="1:12" ht="12.75">
      <c r="A84" s="14">
        <v>80</v>
      </c>
      <c r="B84" s="15" t="s">
        <v>195</v>
      </c>
      <c r="C84" s="15" t="s">
        <v>196</v>
      </c>
      <c r="D84" s="15" t="str">
        <f>CONCATENATE(C84," (Code: ",B84,")")</f>
        <v>40 mm SS Adapter (Code: GWDMR080)</v>
      </c>
      <c r="E84" s="14" t="s">
        <v>18</v>
      </c>
      <c r="F84" s="16" t="s">
        <v>19</v>
      </c>
      <c r="G84" s="16" t="s">
        <v>97</v>
      </c>
      <c r="H84" s="16" t="s">
        <v>172</v>
      </c>
      <c r="I84" s="14">
        <v>960</v>
      </c>
      <c r="J84" s="14">
        <v>0</v>
      </c>
      <c r="K84" s="16">
        <f>J84*($L$2-1)</f>
        <v>0</v>
      </c>
      <c r="L84" s="16">
        <f>SUM(I84:K84)</f>
        <v>960</v>
      </c>
    </row>
    <row r="85" spans="1:12" ht="12.75">
      <c r="A85" s="14">
        <v>81</v>
      </c>
      <c r="B85" s="15" t="s">
        <v>197</v>
      </c>
      <c r="C85" s="15" t="s">
        <v>198</v>
      </c>
      <c r="D85" s="15" t="str">
        <f>CONCATENATE(C85," (Code: ",B85,")")</f>
        <v>50 mm SS Adapter (Code: GWDMR081)</v>
      </c>
      <c r="E85" s="14" t="s">
        <v>18</v>
      </c>
      <c r="F85" s="16" t="s">
        <v>19</v>
      </c>
      <c r="G85" s="16" t="s">
        <v>97</v>
      </c>
      <c r="H85" s="16" t="s">
        <v>172</v>
      </c>
      <c r="I85" s="14">
        <v>1200</v>
      </c>
      <c r="J85" s="14">
        <v>0</v>
      </c>
      <c r="K85" s="16">
        <f>J85*($L$2-1)</f>
        <v>0</v>
      </c>
      <c r="L85" s="16">
        <f>SUM(I85:K85)</f>
        <v>1200</v>
      </c>
    </row>
    <row r="86" spans="1:12" ht="12.75">
      <c r="A86" s="14">
        <v>82</v>
      </c>
      <c r="B86" s="15" t="s">
        <v>199</v>
      </c>
      <c r="C86" s="15" t="s">
        <v>200</v>
      </c>
      <c r="D86" s="15" t="str">
        <f>CONCATENATE(C86," (Code: ",B86,")")</f>
        <v>50 mm UPVC Union (Code: GWDMR082)</v>
      </c>
      <c r="E86" s="14" t="s">
        <v>18</v>
      </c>
      <c r="F86" s="16" t="s">
        <v>19</v>
      </c>
      <c r="G86" s="16" t="s">
        <v>97</v>
      </c>
      <c r="H86" s="16" t="s">
        <v>172</v>
      </c>
      <c r="I86" s="14">
        <v>360</v>
      </c>
      <c r="J86" s="14">
        <v>0</v>
      </c>
      <c r="K86" s="16">
        <f>J86*($L$2-1)</f>
        <v>0</v>
      </c>
      <c r="L86" s="16">
        <f>SUM(I86:K86)</f>
        <v>360</v>
      </c>
    </row>
    <row r="87" spans="1:12" ht="12.75">
      <c r="A87" s="14">
        <v>83</v>
      </c>
      <c r="B87" s="15" t="s">
        <v>201</v>
      </c>
      <c r="C87" s="15" t="s">
        <v>202</v>
      </c>
      <c r="D87" s="15" t="str">
        <f>CONCATENATE(C87," (Code: ",B87,")")</f>
        <v>63 mm UPVC Union (Code: GWDMR083)</v>
      </c>
      <c r="E87" s="14" t="s">
        <v>18</v>
      </c>
      <c r="F87" s="16" t="s">
        <v>19</v>
      </c>
      <c r="G87" s="16" t="s">
        <v>97</v>
      </c>
      <c r="H87" s="16" t="s">
        <v>172</v>
      </c>
      <c r="I87" s="14">
        <v>540</v>
      </c>
      <c r="J87" s="14">
        <v>0</v>
      </c>
      <c r="K87" s="16">
        <f>J87*($L$2-1)</f>
        <v>0</v>
      </c>
      <c r="L87" s="16">
        <f>SUM(I87:K87)</f>
        <v>540</v>
      </c>
    </row>
    <row r="88" spans="1:12" ht="12.75">
      <c r="A88" s="14">
        <v>84</v>
      </c>
      <c r="B88" s="15" t="s">
        <v>203</v>
      </c>
      <c r="C88" s="15" t="s">
        <v>204</v>
      </c>
      <c r="D88" s="15" t="str">
        <f>CONCATENATE(C88," (Code: ",B88,")")</f>
        <v>75 mm UPVC Union (Code: GWDMR084)</v>
      </c>
      <c r="E88" s="14" t="s">
        <v>18</v>
      </c>
      <c r="F88" s="16" t="s">
        <v>19</v>
      </c>
      <c r="G88" s="16" t="s">
        <v>97</v>
      </c>
      <c r="H88" s="16" t="s">
        <v>172</v>
      </c>
      <c r="I88" s="14">
        <v>1200</v>
      </c>
      <c r="J88" s="14">
        <v>0</v>
      </c>
      <c r="K88" s="16">
        <f>J88*($L$2-1)</f>
        <v>0</v>
      </c>
      <c r="L88" s="16">
        <f>SUM(I88:K88)</f>
        <v>1200</v>
      </c>
    </row>
    <row r="89" spans="1:12" ht="12.75">
      <c r="A89" s="14">
        <v>85</v>
      </c>
      <c r="B89" s="15" t="s">
        <v>205</v>
      </c>
      <c r="C89" s="15" t="s">
        <v>206</v>
      </c>
      <c r="D89" s="15" t="str">
        <f>CONCATENATE(C89," (Code: ",B89,")")</f>
        <v>Sodium Bentonite (ordinary) (Code: GWDMR085)</v>
      </c>
      <c r="E89" s="14" t="s">
        <v>207</v>
      </c>
      <c r="F89" s="16" t="s">
        <v>19</v>
      </c>
      <c r="G89" s="16" t="s">
        <v>208</v>
      </c>
      <c r="H89" s="16" t="s">
        <v>209</v>
      </c>
      <c r="I89" s="14">
        <v>7000</v>
      </c>
      <c r="J89" s="14">
        <v>0</v>
      </c>
      <c r="K89" s="16">
        <f>J89*($L$2-1)</f>
        <v>0</v>
      </c>
      <c r="L89" s="16">
        <f>SUM(I89:K89)</f>
        <v>7000</v>
      </c>
    </row>
    <row r="90" spans="1:12" ht="12.75">
      <c r="A90" s="14">
        <v>86</v>
      </c>
      <c r="B90" s="15" t="s">
        <v>210</v>
      </c>
      <c r="C90" s="15" t="s">
        <v>211</v>
      </c>
      <c r="D90" s="15" t="str">
        <f>CONCATENATE(C90," (Code: ",B90,")")</f>
        <v>Sodium Bentonite (Super) (Code: GWDMR086)</v>
      </c>
      <c r="E90" s="14" t="s">
        <v>207</v>
      </c>
      <c r="F90" s="16" t="s">
        <v>19</v>
      </c>
      <c r="G90" s="16" t="s">
        <v>208</v>
      </c>
      <c r="H90" s="16" t="s">
        <v>209</v>
      </c>
      <c r="I90" s="14">
        <v>13500</v>
      </c>
      <c r="J90" s="14">
        <v>0</v>
      </c>
      <c r="K90" s="16">
        <f>J90*($L$2-1)</f>
        <v>0</v>
      </c>
      <c r="L90" s="16">
        <f>SUM(I90:K90)</f>
        <v>13500</v>
      </c>
    </row>
    <row r="91" spans="1:12" ht="12.75">
      <c r="A91" s="14">
        <v>87</v>
      </c>
      <c r="B91" s="15" t="s">
        <v>212</v>
      </c>
      <c r="C91" s="15" t="s">
        <v>213</v>
      </c>
      <c r="D91" s="15" t="str">
        <f>CONCATENATE(C91," (Code: ",B91,")")</f>
        <v>MS Casing pipe 450 mm dia, 6 mm thickness (Code: GWDMR087)</v>
      </c>
      <c r="E91" s="14" t="s">
        <v>171</v>
      </c>
      <c r="F91" s="16" t="s">
        <v>19</v>
      </c>
      <c r="G91" s="16" t="s">
        <v>208</v>
      </c>
      <c r="H91" s="16" t="s">
        <v>214</v>
      </c>
      <c r="I91" s="14">
        <v>8450</v>
      </c>
      <c r="J91" s="14">
        <v>0</v>
      </c>
      <c r="K91" s="16">
        <f>J91*($L$2-1)</f>
        <v>0</v>
      </c>
      <c r="L91" s="16">
        <f>SUM(I91:K91)</f>
        <v>8450</v>
      </c>
    </row>
    <row r="92" spans="1:12" ht="12.75">
      <c r="A92" s="14">
        <v>88</v>
      </c>
      <c r="B92" s="15" t="s">
        <v>215</v>
      </c>
      <c r="C92" s="15" t="s">
        <v>216</v>
      </c>
      <c r="D92" s="15" t="str">
        <f>CONCATENATE(C92," (Code: ",B92,")")</f>
        <v>Fibre mesh for placing inside filter tank (for recharge schemes) (Code: GWDMR088)</v>
      </c>
      <c r="E92" s="14" t="s">
        <v>217</v>
      </c>
      <c r="F92" s="16" t="s">
        <v>19</v>
      </c>
      <c r="G92" s="16" t="s">
        <v>35</v>
      </c>
      <c r="H92" s="16" t="s">
        <v>36</v>
      </c>
      <c r="I92" s="14">
        <v>180</v>
      </c>
      <c r="J92" s="14">
        <v>0</v>
      </c>
      <c r="K92" s="16">
        <f>J92*($L$2-1)</f>
        <v>0</v>
      </c>
      <c r="L92" s="16">
        <f>SUM(I92:K92)</f>
        <v>180</v>
      </c>
    </row>
    <row r="93" spans="1:12" ht="12.75">
      <c r="A93" s="14">
        <v>89</v>
      </c>
      <c r="B93" s="15" t="s">
        <v>218</v>
      </c>
      <c r="C93" s="15" t="s">
        <v>219</v>
      </c>
      <c r="D93" s="15" t="str">
        <f>CONCATENATE(C93," (Code: ",B93,")")</f>
        <v>Coated mesh for placing inside filter tank (for recharge schemes) (Code: GWDMR089)</v>
      </c>
      <c r="E93" s="14" t="s">
        <v>217</v>
      </c>
      <c r="F93" s="16" t="s">
        <v>19</v>
      </c>
      <c r="G93" s="16" t="s">
        <v>35</v>
      </c>
      <c r="H93" s="16" t="s">
        <v>36</v>
      </c>
      <c r="I93" s="14">
        <v>300</v>
      </c>
      <c r="J93" s="14">
        <v>0</v>
      </c>
      <c r="K93" s="16">
        <f>J93*($L$2-1)</f>
        <v>0</v>
      </c>
      <c r="L93" s="16">
        <f>SUM(I93:K93)</f>
        <v>300</v>
      </c>
    </row>
    <row r="94" spans="1:12" ht="12.75">
      <c r="A94" s="14">
        <v>90</v>
      </c>
      <c r="B94" s="15" t="s">
        <v>220</v>
      </c>
      <c r="C94" s="15" t="s">
        <v>221</v>
      </c>
      <c r="D94" s="15" t="str">
        <f>CONCATENATE(C94," (Code: ",B94,")")</f>
        <v>Sieve mesh 110 mm (inside inspection chamber) (for recharge schemes) (Code: GWDMR090)</v>
      </c>
      <c r="E94" s="14" t="s">
        <v>217</v>
      </c>
      <c r="F94" s="16" t="s">
        <v>19</v>
      </c>
      <c r="G94" s="16" t="s">
        <v>35</v>
      </c>
      <c r="H94" s="16" t="s">
        <v>36</v>
      </c>
      <c r="I94" s="14">
        <v>180</v>
      </c>
      <c r="J94" s="14">
        <v>0</v>
      </c>
      <c r="K94" s="16">
        <f>J94*($L$2-1)</f>
        <v>0</v>
      </c>
      <c r="L94" s="16">
        <f>SUM(I94:K94)</f>
        <v>180</v>
      </c>
    </row>
    <row r="95" spans="1:12" ht="12.75">
      <c r="A95" s="14">
        <v>91</v>
      </c>
      <c r="B95" s="15" t="s">
        <v>222</v>
      </c>
      <c r="C95" s="15" t="s">
        <v>223</v>
      </c>
      <c r="D95" s="15" t="str">
        <f>CONCATENATE(C95," (Code: ",B95,")")</f>
        <v>Sieve mesh 140 mm (inside inspection chamber) (for recharge schemes) (Code: GWDMR091)</v>
      </c>
      <c r="E95" s="14" t="s">
        <v>217</v>
      </c>
      <c r="F95" s="16" t="s">
        <v>19</v>
      </c>
      <c r="G95" s="16" t="s">
        <v>35</v>
      </c>
      <c r="H95" s="16" t="s">
        <v>36</v>
      </c>
      <c r="I95" s="14">
        <v>200</v>
      </c>
      <c r="J95" s="14">
        <v>0</v>
      </c>
      <c r="K95" s="16">
        <f>J95*($L$2-1)</f>
        <v>0</v>
      </c>
      <c r="L95" s="16">
        <f>SUM(I95:K95)</f>
        <v>200</v>
      </c>
    </row>
    <row r="96" spans="1:12" ht="12.75">
      <c r="A96" s="14">
        <v>92</v>
      </c>
      <c r="B96" s="15" t="s">
        <v>224</v>
      </c>
      <c r="C96" s="15" t="s">
        <v>225</v>
      </c>
      <c r="D96" s="15" t="str">
        <f>CONCATENATE(C96," (Code: ",B96,")")</f>
        <v>Plastic net for covering pipe (for recharge schemes) (Code: GWDMR092)</v>
      </c>
      <c r="E96" s="14" t="s">
        <v>217</v>
      </c>
      <c r="F96" s="16" t="s">
        <v>19</v>
      </c>
      <c r="G96" s="16" t="s">
        <v>35</v>
      </c>
      <c r="H96" s="16" t="s">
        <v>36</v>
      </c>
      <c r="I96" s="14">
        <v>50</v>
      </c>
      <c r="J96" s="14">
        <v>0</v>
      </c>
      <c r="K96" s="16">
        <f>J96*($L$2-1)</f>
        <v>0</v>
      </c>
      <c r="L96" s="16">
        <f>SUM(I96:K96)</f>
        <v>50</v>
      </c>
    </row>
    <row r="97" spans="1:12" ht="12.75">
      <c r="A97" s="14">
        <v>93</v>
      </c>
      <c r="B97" s="15" t="s">
        <v>226</v>
      </c>
      <c r="C97" s="15" t="s">
        <v>227</v>
      </c>
      <c r="D97" s="15" t="str">
        <f>CONCATENATE(C97," (Code: ",B97,")")</f>
        <v>PVC Wiring Pipe (Code: GWDMR093)</v>
      </c>
      <c r="E97" s="14" t="s">
        <v>171</v>
      </c>
      <c r="F97" s="16" t="s">
        <v>19</v>
      </c>
      <c r="G97" s="16" t="s">
        <v>97</v>
      </c>
      <c r="H97" s="16" t="s">
        <v>20</v>
      </c>
      <c r="I97" s="14">
        <v>30</v>
      </c>
      <c r="J97" s="14">
        <v>0</v>
      </c>
      <c r="K97" s="16">
        <f>J97*($L$2-1)</f>
        <v>0</v>
      </c>
      <c r="L97" s="16">
        <f>SUM(I97:K97)</f>
        <v>30</v>
      </c>
    </row>
    <row r="98" spans="1:12" ht="12.75">
      <c r="A98" s="14">
        <v>94</v>
      </c>
      <c r="B98" s="15" t="s">
        <v>228</v>
      </c>
      <c r="C98" s="15" t="str">
        <f>'[1]HP Repair Spares'!E1</f>
        <v>Head Assembly complete (with Head, Handle, Ball Bearings and  Chain Assembly)</v>
      </c>
      <c r="D98" s="15" t="str">
        <f>CONCATENATE(C98," (Code: ",B98,")")</f>
        <v>Head Assembly complete (with Head, Handle, Ball Bearings and  Chain Assembly) (Code: GWDMR094)</v>
      </c>
      <c r="E98" s="14" t="s">
        <v>18</v>
      </c>
      <c r="F98" s="16" t="s">
        <v>19</v>
      </c>
      <c r="G98" s="16" t="s">
        <v>229</v>
      </c>
      <c r="H98" s="16" t="s">
        <v>230</v>
      </c>
      <c r="I98" s="14">
        <f>'[1]HP Repair Spares'!F1</f>
        <v>4800</v>
      </c>
      <c r="J98" s="14">
        <f>'[1]HP Repair Spares'!G1</f>
        <v>0</v>
      </c>
      <c r="K98" s="16">
        <f>J98*($L$2-1)</f>
        <v>0</v>
      </c>
      <c r="L98" s="16">
        <f>SUM(I98:K98)</f>
        <v>4800</v>
      </c>
    </row>
    <row r="99" spans="1:12" ht="12.75">
      <c r="A99" s="14">
        <v>95</v>
      </c>
      <c r="B99" s="15" t="s">
        <v>231</v>
      </c>
      <c r="C99" s="15" t="str">
        <f>'[1]HP Repair Spares'!E2</f>
        <v>Head with welded components only without cover</v>
      </c>
      <c r="D99" s="15" t="str">
        <f>CONCATENATE(C99," (Code: ",B99,")")</f>
        <v>Head with welded components only without cover (Code: GWDMR095)</v>
      </c>
      <c r="E99" s="14" t="s">
        <v>18</v>
      </c>
      <c r="F99" s="16" t="s">
        <v>19</v>
      </c>
      <c r="G99" s="16" t="s">
        <v>229</v>
      </c>
      <c r="H99" s="16" t="s">
        <v>230</v>
      </c>
      <c r="I99" s="14">
        <f>'[1]HP Repair Spares'!F2</f>
        <v>2280</v>
      </c>
      <c r="J99" s="14">
        <f>'[1]HP Repair Spares'!G2</f>
        <v>0</v>
      </c>
      <c r="K99" s="16">
        <f>J99*($L$2-1)</f>
        <v>0</v>
      </c>
      <c r="L99" s="16">
        <f>SUM(I99:K99)</f>
        <v>2280</v>
      </c>
    </row>
    <row r="100" spans="1:12" ht="12.75">
      <c r="A100" s="14">
        <v>96</v>
      </c>
      <c r="B100" s="15" t="s">
        <v>232</v>
      </c>
      <c r="C100" s="15" t="str">
        <f>'[1]HP Repair Spares'!E3</f>
        <v>Handle (welded components only)</v>
      </c>
      <c r="D100" s="15" t="str">
        <f>CONCATENATE(C100," (Code: ",B100,")")</f>
        <v>Handle (welded components only) (Code: GWDMR096)</v>
      </c>
      <c r="E100" s="14" t="s">
        <v>18</v>
      </c>
      <c r="F100" s="16" t="s">
        <v>19</v>
      </c>
      <c r="G100" s="16" t="s">
        <v>229</v>
      </c>
      <c r="H100" s="16" t="s">
        <v>230</v>
      </c>
      <c r="I100" s="14">
        <f>'[1]HP Repair Spares'!F3</f>
        <v>1800</v>
      </c>
      <c r="J100" s="14">
        <f>'[1]HP Repair Spares'!G3</f>
        <v>0</v>
      </c>
      <c r="K100" s="16">
        <f>J100*($L$2-1)</f>
        <v>0</v>
      </c>
      <c r="L100" s="16">
        <f>SUM(I100:K100)</f>
        <v>1800</v>
      </c>
    </row>
    <row r="101" spans="1:12" ht="12.75">
      <c r="A101" s="14">
        <v>97</v>
      </c>
      <c r="B101" s="15" t="s">
        <v>233</v>
      </c>
      <c r="C101" s="15" t="str">
        <f>'[1]HP Repair Spares'!E4</f>
        <v>Additional Plate</v>
      </c>
      <c r="D101" s="15" t="str">
        <f>CONCATENATE(C101," (Code: ",B101,")")</f>
        <v>Additional Plate (Code: GWDMR097)</v>
      </c>
      <c r="E101" s="14" t="s">
        <v>18</v>
      </c>
      <c r="F101" s="16" t="s">
        <v>19</v>
      </c>
      <c r="G101" s="16" t="s">
        <v>229</v>
      </c>
      <c r="H101" s="16" t="s">
        <v>230</v>
      </c>
      <c r="I101" s="14">
        <f>'[1]HP Repair Spares'!F4</f>
        <v>450</v>
      </c>
      <c r="J101" s="14">
        <f>'[1]HP Repair Spares'!G4</f>
        <v>0</v>
      </c>
      <c r="K101" s="16">
        <f>J101*($L$2-1)</f>
        <v>0</v>
      </c>
      <c r="L101" s="16">
        <f>SUM(I101:K101)</f>
        <v>450</v>
      </c>
    </row>
    <row r="102" spans="1:12" ht="12.75">
      <c r="A102" s="14">
        <v>98</v>
      </c>
      <c r="B102" s="15" t="s">
        <v>234</v>
      </c>
      <c r="C102" s="15" t="str">
        <f>'[1]HP Repair Spares'!E5</f>
        <v>Ball Bearing 6204 Z</v>
      </c>
      <c r="D102" s="15" t="str">
        <f>CONCATENATE(C102," (Code: ",B102,")")</f>
        <v>Ball Bearing 6204 Z (Code: GWDMR098)</v>
      </c>
      <c r="E102" s="14" t="s">
        <v>18</v>
      </c>
      <c r="F102" s="16" t="s">
        <v>19</v>
      </c>
      <c r="G102" s="16" t="s">
        <v>229</v>
      </c>
      <c r="H102" s="16" t="s">
        <v>230</v>
      </c>
      <c r="I102" s="14">
        <f>'[1]HP Repair Spares'!F5</f>
        <v>216</v>
      </c>
      <c r="J102" s="14">
        <f>'[1]HP Repair Spares'!G5</f>
        <v>0</v>
      </c>
      <c r="K102" s="16">
        <f>J102*($L$2-1)</f>
        <v>0</v>
      </c>
      <c r="L102" s="16">
        <f>SUM(I102:K102)</f>
        <v>216</v>
      </c>
    </row>
    <row r="103" spans="1:12" ht="12.75">
      <c r="A103" s="14">
        <v>99</v>
      </c>
      <c r="B103" s="15" t="s">
        <v>235</v>
      </c>
      <c r="C103" s="15" t="str">
        <f>'[1]HP Repair Spares'!E6</f>
        <v>Chain with coupling</v>
      </c>
      <c r="D103" s="15" t="str">
        <f>CONCATENATE(C103," (Code: ",B103,")")</f>
        <v>Chain with coupling (Code: GWDMR099)</v>
      </c>
      <c r="E103" s="14" t="s">
        <v>18</v>
      </c>
      <c r="F103" s="16" t="s">
        <v>19</v>
      </c>
      <c r="G103" s="16" t="s">
        <v>229</v>
      </c>
      <c r="H103" s="16" t="s">
        <v>230</v>
      </c>
      <c r="I103" s="14">
        <f>'[1]HP Repair Spares'!F6</f>
        <v>240</v>
      </c>
      <c r="J103" s="14">
        <f>'[1]HP Repair Spares'!G6</f>
        <v>0</v>
      </c>
      <c r="K103" s="16">
        <f>J103*($L$2-1)</f>
        <v>0</v>
      </c>
      <c r="L103" s="16">
        <f>SUM(I103:K103)</f>
        <v>240</v>
      </c>
    </row>
    <row r="104" spans="1:12" ht="12.75">
      <c r="A104" s="14">
        <v>100</v>
      </c>
      <c r="B104" s="15" t="s">
        <v>236</v>
      </c>
      <c r="C104" s="15" t="str">
        <f>'[1]HP Repair Spares'!E7</f>
        <v>Spacer for Axle Pin</v>
      </c>
      <c r="D104" s="15" t="str">
        <f>CONCATENATE(C104," (Code: ",B104,")")</f>
        <v>Spacer for Axle Pin (Code: GWDMR100)</v>
      </c>
      <c r="E104" s="14" t="s">
        <v>18</v>
      </c>
      <c r="F104" s="16" t="s">
        <v>19</v>
      </c>
      <c r="G104" s="16" t="s">
        <v>229</v>
      </c>
      <c r="H104" s="16" t="s">
        <v>230</v>
      </c>
      <c r="I104" s="14">
        <f>'[1]HP Repair Spares'!F7</f>
        <v>24</v>
      </c>
      <c r="J104" s="14">
        <f>'[1]HP Repair Spares'!G7</f>
        <v>0</v>
      </c>
      <c r="K104" s="16">
        <f>J104*($L$2-1)</f>
        <v>0</v>
      </c>
      <c r="L104" s="16">
        <f>SUM(I104:K104)</f>
        <v>24</v>
      </c>
    </row>
    <row r="105" spans="1:12" ht="12.75">
      <c r="A105" s="14">
        <v>101</v>
      </c>
      <c r="B105" s="15" t="s">
        <v>237</v>
      </c>
      <c r="C105" s="15" t="str">
        <f>'[1]HP Repair Spares'!E8</f>
        <v>M 12 x 20 Hex Bolt for Top Head Cover</v>
      </c>
      <c r="D105" s="15" t="str">
        <f>CONCATENATE(C105," (Code: ",B105,")")</f>
        <v>M 12 x 20 Hex Bolt for Top Head Cover (Code: GWDMR101)</v>
      </c>
      <c r="E105" s="14" t="s">
        <v>18</v>
      </c>
      <c r="F105" s="16" t="s">
        <v>19</v>
      </c>
      <c r="G105" s="16" t="s">
        <v>229</v>
      </c>
      <c r="H105" s="16" t="s">
        <v>230</v>
      </c>
      <c r="I105" s="14">
        <f>'[1]HP Repair Spares'!F8</f>
        <v>18</v>
      </c>
      <c r="J105" s="14">
        <f>'[1]HP Repair Spares'!G8</f>
        <v>0</v>
      </c>
      <c r="K105" s="16">
        <f>J105*($L$2-1)</f>
        <v>0</v>
      </c>
      <c r="L105" s="16">
        <f>SUM(I105:K105)</f>
        <v>18</v>
      </c>
    </row>
    <row r="106" spans="1:12" ht="12.75">
      <c r="A106" s="14">
        <v>102</v>
      </c>
      <c r="B106" s="15" t="s">
        <v>238</v>
      </c>
      <c r="C106" s="15" t="str">
        <f>'[1]HP Repair Spares'!E9</f>
        <v>M 12 x 40 Hex Bolt</v>
      </c>
      <c r="D106" s="15" t="str">
        <f>CONCATENATE(C106," (Code: ",B106,")")</f>
        <v>M 12 x 40 Hex Bolt (Code: GWDMR102)</v>
      </c>
      <c r="E106" s="14" t="s">
        <v>18</v>
      </c>
      <c r="F106" s="16" t="s">
        <v>19</v>
      </c>
      <c r="G106" s="16" t="s">
        <v>229</v>
      </c>
      <c r="H106" s="16" t="s">
        <v>230</v>
      </c>
      <c r="I106" s="14">
        <f>'[1]HP Repair Spares'!F9</f>
        <v>18</v>
      </c>
      <c r="J106" s="14">
        <f>'[1]HP Repair Spares'!G9</f>
        <v>0</v>
      </c>
      <c r="K106" s="16">
        <f>J106*($L$2-1)</f>
        <v>0</v>
      </c>
      <c r="L106" s="16">
        <f>SUM(I106:K106)</f>
        <v>18</v>
      </c>
    </row>
    <row r="107" spans="1:12" ht="12.75">
      <c r="A107" s="14">
        <v>103</v>
      </c>
      <c r="B107" s="15" t="s">
        <v>239</v>
      </c>
      <c r="C107" s="15" t="str">
        <f>'[1]HP Repair Spares'!E10</f>
        <v>M 12 Nut</v>
      </c>
      <c r="D107" s="15" t="str">
        <f>CONCATENATE(C107," (Code: ",B107,")")</f>
        <v>M 12 Nut (Code: GWDMR103)</v>
      </c>
      <c r="E107" s="14" t="s">
        <v>18</v>
      </c>
      <c r="F107" s="16" t="s">
        <v>19</v>
      </c>
      <c r="G107" s="16" t="s">
        <v>229</v>
      </c>
      <c r="H107" s="16" t="s">
        <v>230</v>
      </c>
      <c r="I107" s="14">
        <f>'[1]HP Repair Spares'!F10</f>
        <v>12</v>
      </c>
      <c r="J107" s="14">
        <f>'[1]HP Repair Spares'!G10</f>
        <v>0</v>
      </c>
      <c r="K107" s="16">
        <f>J107*($L$2-1)</f>
        <v>0</v>
      </c>
      <c r="L107" s="16">
        <f>SUM(I107:K107)</f>
        <v>12</v>
      </c>
    </row>
    <row r="108" spans="1:12" ht="12.75">
      <c r="A108" s="14">
        <v>104</v>
      </c>
      <c r="B108" s="15" t="s">
        <v>240</v>
      </c>
      <c r="C108" s="15" t="str">
        <f>'[1]HP Repair Spares'!E11</f>
        <v>M.12 Washer</v>
      </c>
      <c r="D108" s="15" t="str">
        <f>CONCATENATE(C108," (Code: ",B108,")")</f>
        <v>M.12 Washer (Code: GWDMR104)</v>
      </c>
      <c r="E108" s="14" t="s">
        <v>18</v>
      </c>
      <c r="F108" s="16" t="s">
        <v>19</v>
      </c>
      <c r="G108" s="16" t="s">
        <v>229</v>
      </c>
      <c r="H108" s="16" t="s">
        <v>230</v>
      </c>
      <c r="I108" s="14">
        <f>'[1]HP Repair Spares'!F11</f>
        <v>12</v>
      </c>
      <c r="J108" s="14">
        <f>'[1]HP Repair Spares'!G11</f>
        <v>0</v>
      </c>
      <c r="K108" s="16">
        <f>J108*($L$2-1)</f>
        <v>0</v>
      </c>
      <c r="L108" s="16">
        <f>SUM(I108:K108)</f>
        <v>12</v>
      </c>
    </row>
    <row r="109" spans="1:12" ht="12.75">
      <c r="A109" s="14">
        <v>105</v>
      </c>
      <c r="B109" s="15" t="s">
        <v>241</v>
      </c>
      <c r="C109" s="15" t="str">
        <f>'[1]HP Repair Spares'!E12</f>
        <v>M 10 x 40 H.T Bolt</v>
      </c>
      <c r="D109" s="15" t="str">
        <f>CONCATENATE(C109," (Code: ",B109,")")</f>
        <v>M 10 x 40 H.T Bolt (Code: GWDMR105)</v>
      </c>
      <c r="E109" s="14" t="s">
        <v>18</v>
      </c>
      <c r="F109" s="16" t="s">
        <v>19</v>
      </c>
      <c r="G109" s="16" t="s">
        <v>229</v>
      </c>
      <c r="H109" s="16" t="s">
        <v>230</v>
      </c>
      <c r="I109" s="14">
        <f>'[1]HP Repair Spares'!F12</f>
        <v>18</v>
      </c>
      <c r="J109" s="14">
        <f>'[1]HP Repair Spares'!G12</f>
        <v>0</v>
      </c>
      <c r="K109" s="16">
        <f>J109*($L$2-1)</f>
        <v>0</v>
      </c>
      <c r="L109" s="16">
        <f>SUM(I109:K109)</f>
        <v>18</v>
      </c>
    </row>
    <row r="110" spans="1:12" ht="12.75">
      <c r="A110" s="14">
        <v>106</v>
      </c>
      <c r="B110" s="15" t="s">
        <v>242</v>
      </c>
      <c r="C110" s="15" t="str">
        <f>'[1]HP Repair Spares'!E13</f>
        <v>M.10 Nylon Nut</v>
      </c>
      <c r="D110" s="15" t="str">
        <f>CONCATENATE(C110," (Code: ",B110,")")</f>
        <v>M.10 Nylon Nut (Code: GWDMR106)</v>
      </c>
      <c r="E110" s="14" t="s">
        <v>18</v>
      </c>
      <c r="F110" s="16" t="s">
        <v>19</v>
      </c>
      <c r="G110" s="16" t="s">
        <v>229</v>
      </c>
      <c r="H110" s="16" t="s">
        <v>230</v>
      </c>
      <c r="I110" s="14">
        <f>'[1]HP Repair Spares'!F13</f>
        <v>12</v>
      </c>
      <c r="J110" s="14">
        <f>'[1]HP Repair Spares'!G13</f>
        <v>0</v>
      </c>
      <c r="K110" s="16">
        <f>J110*($L$2-1)</f>
        <v>0</v>
      </c>
      <c r="L110" s="16">
        <f>SUM(I110:K110)</f>
        <v>12</v>
      </c>
    </row>
    <row r="111" spans="1:12" ht="12.75">
      <c r="A111" s="14">
        <v>107</v>
      </c>
      <c r="B111" s="15" t="s">
        <v>243</v>
      </c>
      <c r="C111" s="15" t="str">
        <f>'[1]HP Repair Spares'!E14</f>
        <v>Special Washer for Axle</v>
      </c>
      <c r="D111" s="15" t="str">
        <f>CONCATENATE(C111," (Code: ",B111,")")</f>
        <v>Special Washer for Axle (Code: GWDMR107)</v>
      </c>
      <c r="E111" s="14" t="s">
        <v>18</v>
      </c>
      <c r="F111" s="16" t="s">
        <v>19</v>
      </c>
      <c r="G111" s="16" t="s">
        <v>229</v>
      </c>
      <c r="H111" s="16" t="s">
        <v>230</v>
      </c>
      <c r="I111" s="14">
        <f>'[1]HP Repair Spares'!F14</f>
        <v>12</v>
      </c>
      <c r="J111" s="14">
        <f>'[1]HP Repair Spares'!G14</f>
        <v>0</v>
      </c>
      <c r="K111" s="16">
        <f>J111*($L$2-1)</f>
        <v>0</v>
      </c>
      <c r="L111" s="16">
        <f>SUM(I111:K111)</f>
        <v>12</v>
      </c>
    </row>
    <row r="112" spans="1:12" ht="12.75">
      <c r="A112" s="14">
        <v>108</v>
      </c>
      <c r="B112" s="15" t="s">
        <v>244</v>
      </c>
      <c r="C112" s="15" t="str">
        <f>'[1]HP Repair Spares'!E15</f>
        <v>Cylinder Assembly Complete</v>
      </c>
      <c r="D112" s="15" t="str">
        <f>CONCATENATE(C112," (Code: ",B112,")")</f>
        <v>Cylinder Assembly Complete (Code: GWDMR108)</v>
      </c>
      <c r="E112" s="14" t="s">
        <v>18</v>
      </c>
      <c r="F112" s="16" t="s">
        <v>19</v>
      </c>
      <c r="G112" s="16" t="s">
        <v>229</v>
      </c>
      <c r="H112" s="16" t="s">
        <v>230</v>
      </c>
      <c r="I112" s="14">
        <f>'[1]HP Repair Spares'!F15</f>
        <v>3000</v>
      </c>
      <c r="J112" s="14">
        <f>'[1]HP Repair Spares'!G15</f>
        <v>0</v>
      </c>
      <c r="K112" s="16">
        <f>J112*($L$2-1)</f>
        <v>0</v>
      </c>
      <c r="L112" s="16">
        <f>SUM(I112:K112)</f>
        <v>3000</v>
      </c>
    </row>
    <row r="113" spans="1:12" ht="12.75">
      <c r="A113" s="14">
        <v>109</v>
      </c>
      <c r="B113" s="15" t="s">
        <v>245</v>
      </c>
      <c r="C113" s="15" t="str">
        <f>'[1]HP Repair Spares'!E16</f>
        <v>C.I.Cylinder Body with liner</v>
      </c>
      <c r="D113" s="15" t="str">
        <f>CONCATENATE(C113," (Code: ",B113,")")</f>
        <v>C.I.Cylinder Body with liner (Code: GWDMR109)</v>
      </c>
      <c r="E113" s="14" t="s">
        <v>18</v>
      </c>
      <c r="F113" s="16" t="s">
        <v>19</v>
      </c>
      <c r="G113" s="16" t="s">
        <v>229</v>
      </c>
      <c r="H113" s="16" t="s">
        <v>230</v>
      </c>
      <c r="I113" s="14">
        <f>'[1]HP Repair Spares'!F16</f>
        <v>1080</v>
      </c>
      <c r="J113" s="14">
        <f>'[1]HP Repair Spares'!G16</f>
        <v>0</v>
      </c>
      <c r="K113" s="16">
        <f>J113*($L$2-1)</f>
        <v>0</v>
      </c>
      <c r="L113" s="16">
        <f>SUM(I113:K113)</f>
        <v>1080</v>
      </c>
    </row>
    <row r="114" spans="1:12" ht="12.75">
      <c r="A114" s="14">
        <v>110</v>
      </c>
      <c r="B114" s="15" t="s">
        <v>246</v>
      </c>
      <c r="C114" s="15" t="str">
        <f>'[1]HP Repair Spares'!E17</f>
        <v>Plunger Rod S.S</v>
      </c>
      <c r="D114" s="15" t="str">
        <f>CONCATENATE(C114," (Code: ",B114,")")</f>
        <v>Plunger Rod S.S (Code: GWDMR110)</v>
      </c>
      <c r="E114" s="14" t="s">
        <v>18</v>
      </c>
      <c r="F114" s="16" t="s">
        <v>19</v>
      </c>
      <c r="G114" s="16" t="s">
        <v>229</v>
      </c>
      <c r="H114" s="16" t="s">
        <v>230</v>
      </c>
      <c r="I114" s="14">
        <f>'[1]HP Repair Spares'!F17</f>
        <v>216</v>
      </c>
      <c r="J114" s="14">
        <f>'[1]HP Repair Spares'!G17</f>
        <v>0</v>
      </c>
      <c r="K114" s="16">
        <f>J114*($L$2-1)</f>
        <v>0</v>
      </c>
      <c r="L114" s="16">
        <f>SUM(I114:K114)</f>
        <v>216</v>
      </c>
    </row>
    <row r="115" spans="1:12" ht="12.75">
      <c r="A115" s="14">
        <v>111</v>
      </c>
      <c r="B115" s="15" t="s">
        <v>247</v>
      </c>
      <c r="C115" s="15" t="str">
        <f>'[1]HP Repair Spares'!E18</f>
        <v>Reducer cap</v>
      </c>
      <c r="D115" s="15" t="str">
        <f>CONCATENATE(C115," (Code: ",B115,")")</f>
        <v>Reducer cap (Code: GWDMR111)</v>
      </c>
      <c r="E115" s="14" t="s">
        <v>18</v>
      </c>
      <c r="F115" s="16" t="s">
        <v>19</v>
      </c>
      <c r="G115" s="16" t="s">
        <v>229</v>
      </c>
      <c r="H115" s="16" t="s">
        <v>230</v>
      </c>
      <c r="I115" s="14">
        <f>'[1]HP Repair Spares'!F18</f>
        <v>156</v>
      </c>
      <c r="J115" s="14">
        <f>'[1]HP Repair Spares'!G18</f>
        <v>0</v>
      </c>
      <c r="K115" s="16">
        <f>J115*($L$2-1)</f>
        <v>0</v>
      </c>
      <c r="L115" s="16">
        <f>SUM(I115:K115)</f>
        <v>156</v>
      </c>
    </row>
    <row r="116" spans="1:12" ht="12.75">
      <c r="A116" s="14">
        <v>112</v>
      </c>
      <c r="B116" s="15" t="s">
        <v>248</v>
      </c>
      <c r="C116" s="15" t="str">
        <f>'[1]HP Repair Spares'!E19</f>
        <v>Plunger Yoke body</v>
      </c>
      <c r="D116" s="15" t="str">
        <f>CONCATENATE(C116," (Code: ",B116,")")</f>
        <v>Plunger Yoke body (Code: GWDMR112)</v>
      </c>
      <c r="E116" s="14" t="s">
        <v>18</v>
      </c>
      <c r="F116" s="16" t="s">
        <v>19</v>
      </c>
      <c r="G116" s="16" t="s">
        <v>229</v>
      </c>
      <c r="H116" s="16" t="s">
        <v>230</v>
      </c>
      <c r="I116" s="14">
        <f>'[1]HP Repair Spares'!F19</f>
        <v>288</v>
      </c>
      <c r="J116" s="14">
        <f>'[1]HP Repair Spares'!G19</f>
        <v>0</v>
      </c>
      <c r="K116" s="16">
        <f>J116*($L$2-1)</f>
        <v>0</v>
      </c>
      <c r="L116" s="16">
        <f>SUM(I116:K116)</f>
        <v>288</v>
      </c>
    </row>
    <row r="117" spans="1:12" ht="12.75">
      <c r="A117" s="14">
        <v>113</v>
      </c>
      <c r="B117" s="15" t="s">
        <v>249</v>
      </c>
      <c r="C117" s="15" t="str">
        <f>'[1]HP Repair Spares'!E20</f>
        <v>Spacer</v>
      </c>
      <c r="D117" s="15" t="str">
        <f>CONCATENATE(C117," (Code: ",B117,")")</f>
        <v>Spacer (Code: GWDMR113)</v>
      </c>
      <c r="E117" s="14" t="s">
        <v>18</v>
      </c>
      <c r="F117" s="16" t="s">
        <v>19</v>
      </c>
      <c r="G117" s="16" t="s">
        <v>229</v>
      </c>
      <c r="H117" s="16" t="s">
        <v>230</v>
      </c>
      <c r="I117" s="14">
        <f>'[1]HP Repair Spares'!F20</f>
        <v>228</v>
      </c>
      <c r="J117" s="14">
        <f>'[1]HP Repair Spares'!G20</f>
        <v>0</v>
      </c>
      <c r="K117" s="16">
        <f>J117*($L$2-1)</f>
        <v>0</v>
      </c>
      <c r="L117" s="16">
        <f>SUM(I117:K117)</f>
        <v>228</v>
      </c>
    </row>
    <row r="118" spans="1:12" ht="12.75">
      <c r="A118" s="14">
        <v>114</v>
      </c>
      <c r="B118" s="15" t="s">
        <v>250</v>
      </c>
      <c r="C118" s="15" t="str">
        <f>'[1]HP Repair Spares'!E21</f>
        <v>Follower</v>
      </c>
      <c r="D118" s="15" t="str">
        <f>CONCATENATE(C118," (Code: ",B118,")")</f>
        <v>Follower (Code: GWDMR114)</v>
      </c>
      <c r="E118" s="14" t="s">
        <v>18</v>
      </c>
      <c r="F118" s="16" t="s">
        <v>19</v>
      </c>
      <c r="G118" s="16" t="s">
        <v>229</v>
      </c>
      <c r="H118" s="16" t="s">
        <v>230</v>
      </c>
      <c r="I118" s="14">
        <f>'[1]HP Repair Spares'!F21</f>
        <v>252</v>
      </c>
      <c r="J118" s="14">
        <f>'[1]HP Repair Spares'!G21</f>
        <v>0</v>
      </c>
      <c r="K118" s="16">
        <f>J118*($L$2-1)</f>
        <v>0</v>
      </c>
      <c r="L118" s="16">
        <f>SUM(I118:K118)</f>
        <v>252</v>
      </c>
    </row>
    <row r="119" spans="1:12" ht="12.75">
      <c r="A119" s="14">
        <v>115</v>
      </c>
      <c r="B119" s="15" t="s">
        <v>251</v>
      </c>
      <c r="C119" s="15" t="str">
        <f>'[1]HP Repair Spares'!E22</f>
        <v>Upper Valve ( one piece)</v>
      </c>
      <c r="D119" s="15" t="str">
        <f>CONCATENATE(C119," (Code: ",B119,")")</f>
        <v>Upper Valve ( one piece) (Code: GWDMR115)</v>
      </c>
      <c r="E119" s="14" t="s">
        <v>18</v>
      </c>
      <c r="F119" s="16" t="s">
        <v>19</v>
      </c>
      <c r="G119" s="16" t="s">
        <v>229</v>
      </c>
      <c r="H119" s="16" t="s">
        <v>230</v>
      </c>
      <c r="I119" s="14">
        <f>'[1]HP Repair Spares'!F22</f>
        <v>90</v>
      </c>
      <c r="J119" s="14">
        <f>'[1]HP Repair Spares'!G22</f>
        <v>0</v>
      </c>
      <c r="K119" s="16">
        <f>J119*($L$2-1)</f>
        <v>0</v>
      </c>
      <c r="L119" s="16">
        <f>SUM(I119:K119)</f>
        <v>90</v>
      </c>
    </row>
    <row r="120" spans="1:12" ht="12.75">
      <c r="A120" s="14">
        <v>116</v>
      </c>
      <c r="B120" s="15" t="s">
        <v>252</v>
      </c>
      <c r="C120" s="15" t="str">
        <f>'[1]HP Repair Spares'!E23</f>
        <v>Check valve guide</v>
      </c>
      <c r="D120" s="15" t="str">
        <f>CONCATENATE(C120," (Code: ",B120,")")</f>
        <v>Check valve guide (Code: GWDMR116)</v>
      </c>
      <c r="E120" s="14" t="s">
        <v>18</v>
      </c>
      <c r="F120" s="16" t="s">
        <v>19</v>
      </c>
      <c r="G120" s="16" t="s">
        <v>229</v>
      </c>
      <c r="H120" s="16" t="s">
        <v>230</v>
      </c>
      <c r="I120" s="14">
        <f>'[1]HP Repair Spares'!F23</f>
        <v>120</v>
      </c>
      <c r="J120" s="14">
        <f>'[1]HP Repair Spares'!G23</f>
        <v>0</v>
      </c>
      <c r="K120" s="16">
        <f>J120*($L$2-1)</f>
        <v>0</v>
      </c>
      <c r="L120" s="16">
        <f>SUM(I120:K120)</f>
        <v>120</v>
      </c>
    </row>
    <row r="121" spans="1:12" ht="12.75">
      <c r="A121" s="14">
        <v>117</v>
      </c>
      <c r="B121" s="15" t="s">
        <v>253</v>
      </c>
      <c r="C121" s="15" t="str">
        <f>'[1]HP Repair Spares'!E24</f>
        <v>Check valve seat</v>
      </c>
      <c r="D121" s="15" t="str">
        <f>CONCATENATE(C121," (Code: ",B121,")")</f>
        <v>Check valve seat (Code: GWDMR117)</v>
      </c>
      <c r="E121" s="14" t="s">
        <v>18</v>
      </c>
      <c r="F121" s="16" t="s">
        <v>19</v>
      </c>
      <c r="G121" s="16" t="s">
        <v>229</v>
      </c>
      <c r="H121" s="16" t="s">
        <v>230</v>
      </c>
      <c r="I121" s="14">
        <f>'[1]HP Repair Spares'!F24</f>
        <v>192</v>
      </c>
      <c r="J121" s="14">
        <f>'[1]HP Repair Spares'!G24</f>
        <v>0</v>
      </c>
      <c r="K121" s="16">
        <f>J121*($L$2-1)</f>
        <v>0</v>
      </c>
      <c r="L121" s="16">
        <f>SUM(I121:K121)</f>
        <v>192</v>
      </c>
    </row>
    <row r="122" spans="1:12" ht="12.75">
      <c r="A122" s="14">
        <v>118</v>
      </c>
      <c r="B122" s="15" t="s">
        <v>254</v>
      </c>
      <c r="C122" s="15" t="str">
        <f>'[1]HP Repair Spares'!E25</f>
        <v>Rubber seat Retainer</v>
      </c>
      <c r="D122" s="15" t="str">
        <f>CONCATENATE(C122," (Code: ",B122,")")</f>
        <v>Rubber seat Retainer (Code: GWDMR118)</v>
      </c>
      <c r="E122" s="14" t="s">
        <v>18</v>
      </c>
      <c r="F122" s="16" t="s">
        <v>19</v>
      </c>
      <c r="G122" s="16" t="s">
        <v>229</v>
      </c>
      <c r="H122" s="16" t="s">
        <v>230</v>
      </c>
      <c r="I122" s="14">
        <f>'[1]HP Repair Spares'!F25</f>
        <v>96</v>
      </c>
      <c r="J122" s="14">
        <f>'[1]HP Repair Spares'!G25</f>
        <v>0</v>
      </c>
      <c r="K122" s="16">
        <f>J122*($L$2-1)</f>
        <v>0</v>
      </c>
      <c r="L122" s="16">
        <f>SUM(I122:K122)</f>
        <v>96</v>
      </c>
    </row>
    <row r="123" spans="1:12" ht="12.75">
      <c r="A123" s="14">
        <v>119</v>
      </c>
      <c r="B123" s="15" t="s">
        <v>255</v>
      </c>
      <c r="C123" s="15" t="str">
        <f>'[1]HP Repair Spares'!E26</f>
        <v>Sealing ring (Nitrile Rubber)</v>
      </c>
      <c r="D123" s="15" t="str">
        <f>CONCATENATE(C123," (Code: ",B123,")")</f>
        <v>Sealing ring (Nitrile Rubber) (Code: GWDMR119)</v>
      </c>
      <c r="E123" s="14" t="s">
        <v>18</v>
      </c>
      <c r="F123" s="16" t="s">
        <v>19</v>
      </c>
      <c r="G123" s="16" t="s">
        <v>229</v>
      </c>
      <c r="H123" s="16" t="s">
        <v>230</v>
      </c>
      <c r="I123" s="14">
        <f>'[1]HP Repair Spares'!F26</f>
        <v>18</v>
      </c>
      <c r="J123" s="14">
        <f>'[1]HP Repair Spares'!G26</f>
        <v>0</v>
      </c>
      <c r="K123" s="16">
        <f>J123*($L$2-1)</f>
        <v>0</v>
      </c>
      <c r="L123" s="16">
        <f>SUM(I123:K123)</f>
        <v>18</v>
      </c>
    </row>
    <row r="124" spans="1:12" ht="12.75">
      <c r="A124" s="14">
        <v>120</v>
      </c>
      <c r="B124" s="15" t="s">
        <v>256</v>
      </c>
      <c r="C124" s="15" t="str">
        <f>'[1]HP Repair Spares'!E27</f>
        <v>Rubber seating upper valve</v>
      </c>
      <c r="D124" s="15" t="str">
        <f>CONCATENATE(C124," (Code: ",B124,")")</f>
        <v>Rubber seating upper valve (Code: GWDMR120)</v>
      </c>
      <c r="E124" s="14" t="s">
        <v>18</v>
      </c>
      <c r="F124" s="16" t="s">
        <v>19</v>
      </c>
      <c r="G124" s="16" t="s">
        <v>229</v>
      </c>
      <c r="H124" s="16" t="s">
        <v>230</v>
      </c>
      <c r="I124" s="14">
        <f>'[1]HP Repair Spares'!F27</f>
        <v>12</v>
      </c>
      <c r="J124" s="14">
        <f>'[1]HP Repair Spares'!G27</f>
        <v>0</v>
      </c>
      <c r="K124" s="16">
        <f>J124*($L$2-1)</f>
        <v>0</v>
      </c>
      <c r="L124" s="16">
        <f>SUM(I124:K124)</f>
        <v>12</v>
      </c>
    </row>
    <row r="125" spans="1:12" ht="12.75">
      <c r="A125" s="14">
        <v>121</v>
      </c>
      <c r="B125" s="15" t="s">
        <v>257</v>
      </c>
      <c r="C125" s="15" t="str">
        <f>'[1]HP Repair Spares'!E28</f>
        <v>Rubber seating check valve</v>
      </c>
      <c r="D125" s="15" t="str">
        <f>CONCATENATE(C125," (Code: ",B125,")")</f>
        <v>Rubber seating check valve (Code: GWDMR121)</v>
      </c>
      <c r="E125" s="14" t="s">
        <v>18</v>
      </c>
      <c r="F125" s="16" t="s">
        <v>19</v>
      </c>
      <c r="G125" s="16" t="s">
        <v>229</v>
      </c>
      <c r="H125" s="16" t="s">
        <v>230</v>
      </c>
      <c r="I125" s="14">
        <f>'[1]HP Repair Spares'!F28</f>
        <v>12</v>
      </c>
      <c r="J125" s="14">
        <f>'[1]HP Repair Spares'!G28</f>
        <v>0</v>
      </c>
      <c r="K125" s="16">
        <f>J125*($L$2-1)</f>
        <v>0</v>
      </c>
      <c r="L125" s="16">
        <f>SUM(I125:K125)</f>
        <v>12</v>
      </c>
    </row>
    <row r="126" spans="1:12" ht="12.75">
      <c r="A126" s="14">
        <v>122</v>
      </c>
      <c r="B126" s="15" t="s">
        <v>258</v>
      </c>
      <c r="C126" s="15" t="str">
        <f>'[1]HP Repair Spares'!E29</f>
        <v>Pump Bucket (Nitrile Rubber)</v>
      </c>
      <c r="D126" s="15" t="str">
        <f>CONCATENATE(C126," (Code: ",B126,")")</f>
        <v>Pump Bucket (Nitrile Rubber) (Code: GWDMR122)</v>
      </c>
      <c r="E126" s="14" t="s">
        <v>18</v>
      </c>
      <c r="F126" s="16" t="s">
        <v>19</v>
      </c>
      <c r="G126" s="16" t="s">
        <v>229</v>
      </c>
      <c r="H126" s="16" t="s">
        <v>230</v>
      </c>
      <c r="I126" s="14">
        <f>'[1]HP Repair Spares'!F29</f>
        <v>30</v>
      </c>
      <c r="J126" s="14">
        <f>'[1]HP Repair Spares'!G29</f>
        <v>0</v>
      </c>
      <c r="K126" s="16">
        <f>J126*($L$2-1)</f>
        <v>0</v>
      </c>
      <c r="L126" s="16">
        <f>SUM(I126:K126)</f>
        <v>30</v>
      </c>
    </row>
    <row r="127" spans="1:12" ht="12.75">
      <c r="A127" s="14">
        <v>123</v>
      </c>
      <c r="B127" s="15" t="s">
        <v>259</v>
      </c>
      <c r="C127" s="15" t="str">
        <f>'[1]HP Repair Spares'!E30</f>
        <v>Upper valve Assembly comprising of SS Plunger rod, Plunger Yoke body, 2 spacer &amp; 2 bucket washers</v>
      </c>
      <c r="D127" s="15" t="str">
        <f>CONCATENATE(C127," (Code: ",B127,")")</f>
        <v>Upper valve Assembly comprising of SS Plunger rod, Plunger Yoke body, 2 spacer &amp; 2 bucket washers (Code: GWDMR123)</v>
      </c>
      <c r="E127" s="14" t="s">
        <v>18</v>
      </c>
      <c r="F127" s="16" t="s">
        <v>19</v>
      </c>
      <c r="G127" s="16" t="s">
        <v>229</v>
      </c>
      <c r="H127" s="16" t="s">
        <v>230</v>
      </c>
      <c r="I127" s="14">
        <f>'[1]HP Repair Spares'!F30</f>
        <v>1200</v>
      </c>
      <c r="J127" s="14">
        <f>'[1]HP Repair Spares'!G30</f>
        <v>0</v>
      </c>
      <c r="K127" s="16">
        <f>J127*($L$2-1)</f>
        <v>0</v>
      </c>
      <c r="L127" s="16">
        <f>SUM(I127:K127)</f>
        <v>1200</v>
      </c>
    </row>
    <row r="128" spans="1:12" ht="12.75">
      <c r="A128" s="14">
        <v>124</v>
      </c>
      <c r="B128" s="15" t="s">
        <v>260</v>
      </c>
      <c r="C128" s="15" t="str">
        <f>'[1]HP Repair Spares'!E31</f>
        <v>Same as above but without plunger rod</v>
      </c>
      <c r="D128" s="15" t="str">
        <f>CONCATENATE(C128," (Code: ",B128,")")</f>
        <v>Same as above but without plunger rod (Code: GWDMR124)</v>
      </c>
      <c r="E128" s="14" t="s">
        <v>18</v>
      </c>
      <c r="F128" s="16" t="s">
        <v>19</v>
      </c>
      <c r="G128" s="16" t="s">
        <v>229</v>
      </c>
      <c r="H128" s="16" t="s">
        <v>230</v>
      </c>
      <c r="I128" s="14">
        <f>'[1]HP Repair Spares'!F31</f>
        <v>1080</v>
      </c>
      <c r="J128" s="14">
        <f>'[1]HP Repair Spares'!G31</f>
        <v>0</v>
      </c>
      <c r="K128" s="16">
        <f>J128*($L$2-1)</f>
        <v>0</v>
      </c>
      <c r="L128" s="16">
        <f>SUM(I128:K128)</f>
        <v>1080</v>
      </c>
    </row>
    <row r="129" spans="1:12" ht="12.75">
      <c r="A129" s="14">
        <v>125</v>
      </c>
      <c r="B129" s="15" t="s">
        <v>261</v>
      </c>
      <c r="C129" s="15" t="str">
        <f>'[1]HP Repair Spares'!E32</f>
        <v>Lower Valve Assembly comprising of Rubber Seat Retainer, Check valve guide and rubber seating</v>
      </c>
      <c r="D129" s="15" t="str">
        <f>CONCATENATE(C129," (Code: ",B129,")")</f>
        <v>Lower Valve Assembly comprising of Rubber Seat Retainer, Check valve guide and rubber seating (Code: GWDMR125)</v>
      </c>
      <c r="E129" s="14" t="s">
        <v>18</v>
      </c>
      <c r="F129" s="16" t="s">
        <v>19</v>
      </c>
      <c r="G129" s="16" t="s">
        <v>229</v>
      </c>
      <c r="H129" s="16" t="s">
        <v>230</v>
      </c>
      <c r="I129" s="14">
        <f>'[1]HP Repair Spares'!F32</f>
        <v>540</v>
      </c>
      <c r="J129" s="14">
        <f>'[1]HP Repair Spares'!G32</f>
        <v>0</v>
      </c>
      <c r="K129" s="16">
        <f>J129*($L$2-1)</f>
        <v>0</v>
      </c>
      <c r="L129" s="16">
        <f>SUM(I129:K129)</f>
        <v>540</v>
      </c>
    </row>
    <row r="130" spans="1:12" ht="12.75">
      <c r="A130" s="14">
        <v>126</v>
      </c>
      <c r="B130" s="15" t="s">
        <v>262</v>
      </c>
      <c r="C130" s="15" t="str">
        <f>'[1]HP Repair Spares'!E33</f>
        <v>Water Tank</v>
      </c>
      <c r="D130" s="15" t="str">
        <f>CONCATENATE(C130," (Code: ",B130,")")</f>
        <v>Water Tank (Code: GWDMR126)</v>
      </c>
      <c r="E130" s="14" t="s">
        <v>18</v>
      </c>
      <c r="F130" s="16" t="s">
        <v>19</v>
      </c>
      <c r="G130" s="16" t="s">
        <v>229</v>
      </c>
      <c r="H130" s="16" t="s">
        <v>230</v>
      </c>
      <c r="I130" s="14">
        <f>'[1]HP Repair Spares'!F33</f>
        <v>1800</v>
      </c>
      <c r="J130" s="14">
        <f>'[1]HP Repair Spares'!G33</f>
        <v>0</v>
      </c>
      <c r="K130" s="16">
        <f>J130*($L$2-1)</f>
        <v>0</v>
      </c>
      <c r="L130" s="16">
        <f>SUM(I130:K130)</f>
        <v>1800</v>
      </c>
    </row>
    <row r="131" spans="1:12" ht="12.75">
      <c r="A131" s="14">
        <v>127</v>
      </c>
      <c r="B131" s="15" t="s">
        <v>263</v>
      </c>
      <c r="C131" s="15" t="str">
        <f>'[1]HP Repair Spares'!E34</f>
        <v>Pipe Sockets</v>
      </c>
      <c r="D131" s="15" t="str">
        <f>CONCATENATE(C131," (Code: ",B131,")")</f>
        <v>Pipe Sockets (Code: GWDMR127)</v>
      </c>
      <c r="E131" s="14" t="s">
        <v>18</v>
      </c>
      <c r="F131" s="16" t="s">
        <v>19</v>
      </c>
      <c r="G131" s="16" t="s">
        <v>229</v>
      </c>
      <c r="H131" s="16" t="s">
        <v>230</v>
      </c>
      <c r="I131" s="14">
        <f>'[1]HP Repair Spares'!F34</f>
        <v>120</v>
      </c>
      <c r="J131" s="14">
        <f>'[1]HP Repair Spares'!G34</f>
        <v>0</v>
      </c>
      <c r="K131" s="16">
        <f>J131*($L$2-1)</f>
        <v>0</v>
      </c>
      <c r="L131" s="16">
        <f>SUM(I131:K131)</f>
        <v>120</v>
      </c>
    </row>
    <row r="132" spans="1:12" ht="12.75">
      <c r="A132" s="14">
        <v>128</v>
      </c>
      <c r="B132" s="15" t="s">
        <v>264</v>
      </c>
      <c r="C132" s="15" t="str">
        <f>'[1]HP Repair Spares'!E35</f>
        <v>Pedestal (Ordinary)</v>
      </c>
      <c r="D132" s="15" t="str">
        <f>CONCATENATE(C132," (Code: ",B132,")")</f>
        <v>Pedestal (Ordinary) (Code: GWDMR128)</v>
      </c>
      <c r="E132" s="14" t="s">
        <v>18</v>
      </c>
      <c r="F132" s="16" t="s">
        <v>19</v>
      </c>
      <c r="G132" s="16" t="s">
        <v>229</v>
      </c>
      <c r="H132" s="16" t="s">
        <v>230</v>
      </c>
      <c r="I132" s="14">
        <f>'[1]HP Repair Spares'!F35</f>
        <v>3120</v>
      </c>
      <c r="J132" s="14">
        <f>'[1]HP Repair Spares'!G35</f>
        <v>0</v>
      </c>
      <c r="K132" s="16">
        <f>J132*($L$2-1)</f>
        <v>0</v>
      </c>
      <c r="L132" s="16">
        <f>SUM(I132:K132)</f>
        <v>3120</v>
      </c>
    </row>
    <row r="133" spans="1:12" ht="12.75">
      <c r="A133" s="14">
        <v>129</v>
      </c>
      <c r="B133" s="15" t="s">
        <v>265</v>
      </c>
      <c r="C133" s="15" t="str">
        <f>'[1]HP Repair Spares'!E36</f>
        <v>12 mm dia x 3 m electro galvanized</v>
      </c>
      <c r="D133" s="15" t="str">
        <f>CONCATENATE(C133," (Code: ",B133,")")</f>
        <v>12 mm dia x 3 m electro galvanized (Code: GWDMR129)</v>
      </c>
      <c r="E133" s="14" t="s">
        <v>18</v>
      </c>
      <c r="F133" s="16" t="s">
        <v>19</v>
      </c>
      <c r="G133" s="16" t="s">
        <v>229</v>
      </c>
      <c r="H133" s="16" t="s">
        <v>230</v>
      </c>
      <c r="I133" s="14">
        <f>'[1]HP Repair Spares'!F36</f>
        <v>336</v>
      </c>
      <c r="J133" s="14">
        <f>'[1]HP Repair Spares'!G36</f>
        <v>0</v>
      </c>
      <c r="K133" s="16">
        <f>J133*($L$2-1)</f>
        <v>0</v>
      </c>
      <c r="L133" s="16">
        <f>SUM(I133:K133)</f>
        <v>336</v>
      </c>
    </row>
    <row r="134" spans="1:12" ht="12.75">
      <c r="A134" s="14">
        <v>130</v>
      </c>
      <c r="B134" s="15" t="s">
        <v>266</v>
      </c>
      <c r="C134" s="15" t="str">
        <f>'[1]HP Repair Spares'!E37</f>
        <v>Hex. Coupler 12 x 50 mm</v>
      </c>
      <c r="D134" s="15" t="str">
        <f>CONCATENATE(C134," (Code: ",B134,")")</f>
        <v>Hex. Coupler 12 x 50 mm (Code: GWDMR130)</v>
      </c>
      <c r="E134" s="14" t="s">
        <v>18</v>
      </c>
      <c r="F134" s="16" t="s">
        <v>19</v>
      </c>
      <c r="G134" s="16" t="s">
        <v>229</v>
      </c>
      <c r="H134" s="16" t="s">
        <v>230</v>
      </c>
      <c r="I134" s="14">
        <f>'[1]HP Repair Spares'!F37</f>
        <v>30</v>
      </c>
      <c r="J134" s="14">
        <f>'[1]HP Repair Spares'!G37</f>
        <v>0</v>
      </c>
      <c r="K134" s="16">
        <f>J134*($L$2-1)</f>
        <v>0</v>
      </c>
      <c r="L134" s="16">
        <f>SUM(I134:K134)</f>
        <v>30</v>
      </c>
    </row>
    <row r="135" spans="1:12" ht="12.75">
      <c r="A135" s="14">
        <v>131</v>
      </c>
      <c r="B135" s="15" t="s">
        <v>267</v>
      </c>
      <c r="C135" s="15" t="str">
        <f>'[1]HP Repair Spares'!E38</f>
        <v>Hex. Coupler 12 x 20 mm</v>
      </c>
      <c r="D135" s="15" t="str">
        <f>CONCATENATE(C135," (Code: ",B135,")")</f>
        <v>Hex. Coupler 12 x 20 mm (Code: GWDMR131)</v>
      </c>
      <c r="E135" s="14" t="s">
        <v>18</v>
      </c>
      <c r="F135" s="16" t="s">
        <v>19</v>
      </c>
      <c r="G135" s="16" t="s">
        <v>229</v>
      </c>
      <c r="H135" s="16" t="s">
        <v>230</v>
      </c>
      <c r="I135" s="14">
        <f>'[1]HP Repair Spares'!F38</f>
        <v>24</v>
      </c>
      <c r="J135" s="14">
        <f>'[1]HP Repair Spares'!G38</f>
        <v>0</v>
      </c>
      <c r="K135" s="16">
        <f>J135*($L$2-1)</f>
        <v>0</v>
      </c>
      <c r="L135" s="16">
        <f>SUM(I135:K135)</f>
        <v>24</v>
      </c>
    </row>
    <row r="136" spans="1:12" ht="12.75">
      <c r="A136" s="14">
        <v>132</v>
      </c>
      <c r="B136" s="15" t="s">
        <v>268</v>
      </c>
      <c r="C136" s="15" t="str">
        <f>'[1]HP Repair Spares'!E39</f>
        <v>GI Riser pipe (B class) 3 m long 32mm bore size both end threaded with one end socket (Code: 1548 - Including Water Charge and CPOH)</v>
      </c>
      <c r="D136" s="15" t="str">
        <f>CONCATENATE(C136," (Code: ",B136,")")</f>
        <v>GI Riser pipe (B class) 3 m long 32mm bore size both end threaded with one end socket (Code: 1548 - Including Water Charge and CPOH) (Code: GWDMR132)</v>
      </c>
      <c r="E136" s="14" t="s">
        <v>18</v>
      </c>
      <c r="F136" s="16" t="s">
        <v>19</v>
      </c>
      <c r="G136" s="16" t="s">
        <v>229</v>
      </c>
      <c r="H136" s="16" t="s">
        <v>230</v>
      </c>
      <c r="I136" s="14">
        <f>'[1]HP Repair Spares'!F39</f>
        <v>0</v>
      </c>
      <c r="J136" s="14">
        <f>'[1]HP Repair Spares'!G39</f>
        <v>261.34</v>
      </c>
      <c r="K136" s="16">
        <f>J136*($L$2-1)</f>
        <v>116.16562999999999</v>
      </c>
      <c r="L136" s="16">
        <f>SUM(I136:K136)</f>
        <v>377.50563</v>
      </c>
    </row>
    <row r="137" spans="1:12" ht="12.75">
      <c r="A137" s="14">
        <v>133</v>
      </c>
      <c r="B137" s="15" t="s">
        <v>269</v>
      </c>
      <c r="C137" s="15" t="str">
        <f>'[1]HP Repair Spares'!E40</f>
        <v>Cylinder Extra deep well hand pump</v>
      </c>
      <c r="D137" s="15" t="str">
        <f>CONCATENATE(C137," (Code: ",B137,")")</f>
        <v>Cylinder Extra deep well hand pump (Code: GWDMR133)</v>
      </c>
      <c r="E137" s="14" t="s">
        <v>18</v>
      </c>
      <c r="F137" s="16" t="s">
        <v>19</v>
      </c>
      <c r="G137" s="16" t="s">
        <v>229</v>
      </c>
      <c r="H137" s="16" t="s">
        <v>230</v>
      </c>
      <c r="I137" s="14">
        <f>'[1]HP Repair Spares'!F40</f>
        <v>4320</v>
      </c>
      <c r="J137" s="14">
        <f>'[1]HP Repair Spares'!G40</f>
        <v>0</v>
      </c>
      <c r="K137" s="16">
        <f>J137*($L$2-1)</f>
        <v>0</v>
      </c>
      <c r="L137" s="16">
        <f>SUM(I137:K137)</f>
        <v>4320</v>
      </c>
    </row>
    <row r="138" spans="1:12" ht="12.75">
      <c r="A138" s="14">
        <v>134</v>
      </c>
      <c r="B138" s="15" t="s">
        <v>270</v>
      </c>
      <c r="C138" s="15" t="str">
        <f>'[1]HP Repair Spares'!E41</f>
        <v>Head Assembly for extra deep well pump with T</v>
      </c>
      <c r="D138" s="15" t="str">
        <f>CONCATENATE(C138," (Code: ",B138,")")</f>
        <v>Head Assembly for extra deep well pump with T (Code: GWDMR134)</v>
      </c>
      <c r="E138" s="14" t="s">
        <v>18</v>
      </c>
      <c r="F138" s="16" t="s">
        <v>19</v>
      </c>
      <c r="G138" s="16" t="s">
        <v>229</v>
      </c>
      <c r="H138" s="16" t="s">
        <v>230</v>
      </c>
      <c r="I138" s="14">
        <f>'[1]HP Repair Spares'!F41</f>
        <v>7200</v>
      </c>
      <c r="J138" s="14">
        <f>'[1]HP Repair Spares'!G41</f>
        <v>0</v>
      </c>
      <c r="K138" s="16">
        <f>J138*($L$2-1)</f>
        <v>0</v>
      </c>
      <c r="L138" s="16">
        <f>SUM(I138:K138)</f>
        <v>7200</v>
      </c>
    </row>
    <row r="139" spans="1:12" ht="12.75">
      <c r="A139" s="14">
        <v>135</v>
      </c>
      <c r="B139" s="15" t="s">
        <v>271</v>
      </c>
      <c r="C139" s="15" t="str">
        <f>'[1]HP Repair Spares'!E42</f>
        <v>ISI marked India Mark II (Standard) Deep well hand pumps confirming to IS: 15500 (Part II) 2004 complete with 10 Nos. GI pipe (B class) 3m long  32mm bore both end threaded with one end socket and 10 Nos connecting rods</v>
      </c>
      <c r="D139" s="15" t="str">
        <f>CONCATENATE(C139," (Code: ",B139,")")</f>
        <v>ISI marked India Mark II (Standard) Deep well hand pumps confirming to IS: 15500 (Part II) 2004 complete with 10 Nos. GI pipe (B class) 3m long  32mm bore both end threaded with one end socket and 10 Nos connecting rods (Code: GWDMR135)</v>
      </c>
      <c r="E139" s="14" t="s">
        <v>18</v>
      </c>
      <c r="F139" s="16" t="s">
        <v>19</v>
      </c>
      <c r="G139" s="16" t="s">
        <v>229</v>
      </c>
      <c r="H139" s="16" t="s">
        <v>230</v>
      </c>
      <c r="I139" s="14">
        <f>'[1]HP Repair Spares'!F42</f>
        <v>31000</v>
      </c>
      <c r="J139" s="14">
        <f>'[1]HP Repair Spares'!G42</f>
        <v>0</v>
      </c>
      <c r="K139" s="16">
        <f>J139*($L$2-1)</f>
        <v>0</v>
      </c>
      <c r="L139" s="16">
        <f>SUM(I139:K139)</f>
        <v>31000</v>
      </c>
    </row>
    <row r="140" spans="1:12" ht="12.75">
      <c r="A140" s="14">
        <v>136</v>
      </c>
      <c r="B140" s="15" t="s">
        <v>272</v>
      </c>
      <c r="C140" s="15" t="str">
        <f>'[1]HP Repair Spares'!E43</f>
        <v>ISI marked India Mark II (Standard) Extra Deep well hand pumps confirming to IS: 15500 (Part II) 2004 complete with 20 Nos. GI pipe (B class) 3m long  32mm bore both end threaded with one end socket and 20 Nos connecting rods</v>
      </c>
      <c r="D140" s="15" t="str">
        <f>CONCATENATE(C140," (Code: ",B140,")")</f>
        <v>ISI marked India Mark II (Standard) Extra Deep well hand pumps confirming to IS: 15500 (Part II) 2004 complete with 20 Nos. GI pipe (B class) 3m long  32mm bore both end threaded with one end socket and 20 Nos connecting rods (Code: GWDMR136)</v>
      </c>
      <c r="E140" s="14" t="s">
        <v>18</v>
      </c>
      <c r="F140" s="16" t="s">
        <v>19</v>
      </c>
      <c r="G140" s="16" t="s">
        <v>229</v>
      </c>
      <c r="H140" s="16" t="s">
        <v>230</v>
      </c>
      <c r="I140" s="14">
        <f>'[1]HP Repair Spares'!F43</f>
        <v>49000</v>
      </c>
      <c r="J140" s="14">
        <f>'[1]HP Repair Spares'!G43</f>
        <v>0</v>
      </c>
      <c r="K140" s="16">
        <f>J140*($L$2-1)</f>
        <v>0</v>
      </c>
      <c r="L140" s="16">
        <f>SUM(I140:K140)</f>
        <v>49000</v>
      </c>
    </row>
    <row r="141" spans="1:12" ht="12.75">
      <c r="A141" s="14">
        <v>137</v>
      </c>
      <c r="B141" s="15" t="s">
        <v>273</v>
      </c>
      <c r="C141" s="15" t="s">
        <v>274</v>
      </c>
      <c r="D141" s="15" t="str">
        <f>CONCATENATE(C141," (Code: ",B141,")")</f>
        <v>Supply of Single Phase Submersible Pump 1 HP, Discharge 2500-6000 lph, Head 49-17m without Panel Board (Code: GWDMR137)</v>
      </c>
      <c r="E141" s="14" t="s">
        <v>18</v>
      </c>
      <c r="F141" s="16" t="s">
        <v>19</v>
      </c>
      <c r="G141" s="16" t="s">
        <v>97</v>
      </c>
      <c r="H141" s="16" t="s">
        <v>275</v>
      </c>
      <c r="I141" s="16">
        <v>21162.53</v>
      </c>
      <c r="J141" s="14">
        <v>0</v>
      </c>
      <c r="K141" s="16">
        <f>J141*($L$2-1)</f>
        <v>0</v>
      </c>
      <c r="L141" s="16">
        <f>SUM(I141:K141)</f>
        <v>21162.53</v>
      </c>
    </row>
    <row r="142" spans="1:12" ht="12.75">
      <c r="A142" s="14">
        <v>138</v>
      </c>
      <c r="B142" s="15" t="s">
        <v>276</v>
      </c>
      <c r="C142" s="15" t="s">
        <v>277</v>
      </c>
      <c r="D142" s="15" t="str">
        <f>CONCATENATE(C142," (Code: ",B142,")")</f>
        <v>Supply of Single Phase Submersible Pump 1 HP, Discharge 2500-6000 lph, Head 57-14m without Panel Board (Code: GWDMR138)</v>
      </c>
      <c r="E142" s="14" t="s">
        <v>18</v>
      </c>
      <c r="F142" s="16" t="s">
        <v>19</v>
      </c>
      <c r="G142" s="16" t="s">
        <v>97</v>
      </c>
      <c r="H142" s="16" t="s">
        <v>275</v>
      </c>
      <c r="I142" s="16">
        <v>22126.575000000001</v>
      </c>
      <c r="J142" s="14">
        <v>0</v>
      </c>
      <c r="K142" s="16">
        <f>J142*($L$2-1)</f>
        <v>0</v>
      </c>
      <c r="L142" s="16">
        <f>SUM(I142:K142)</f>
        <v>22126.575000000001</v>
      </c>
    </row>
    <row r="143" spans="1:12" ht="12.75">
      <c r="A143" s="14">
        <v>139</v>
      </c>
      <c r="B143" s="15" t="s">
        <v>278</v>
      </c>
      <c r="C143" s="15" t="s">
        <v>279</v>
      </c>
      <c r="D143" s="15" t="str">
        <f>CONCATENATE(C143," (Code: ",B143,")")</f>
        <v>Supply of Single Phase Submersible Pump 1 HP, Discharge 1800-4320 lph, Head 65-39m without Panel Board (Code: GWDMR139)</v>
      </c>
      <c r="E143" s="14" t="s">
        <v>18</v>
      </c>
      <c r="F143" s="16" t="s">
        <v>19</v>
      </c>
      <c r="G143" s="16" t="s">
        <v>97</v>
      </c>
      <c r="H143" s="16" t="s">
        <v>275</v>
      </c>
      <c r="I143" s="16">
        <v>21047.772000000001</v>
      </c>
      <c r="J143" s="14">
        <v>0</v>
      </c>
      <c r="K143" s="16">
        <f>J143*($L$2-1)</f>
        <v>0</v>
      </c>
      <c r="L143" s="16">
        <f>SUM(I143:K143)</f>
        <v>21047.772000000001</v>
      </c>
    </row>
    <row r="144" spans="1:12" ht="12.75">
      <c r="A144" s="14">
        <v>140</v>
      </c>
      <c r="B144" s="15" t="s">
        <v>280</v>
      </c>
      <c r="C144" s="15" t="s">
        <v>281</v>
      </c>
      <c r="D144" s="15" t="str">
        <f>CONCATENATE(C144," (Code: ",B144,")")</f>
        <v>Supply of Single Phase Submersible Pump 1 HP, Discharge 2500-6000 lph, Head 69-17m without Panel Board (Code: GWDMR140)</v>
      </c>
      <c r="E144" s="14" t="s">
        <v>18</v>
      </c>
      <c r="F144" s="16" t="s">
        <v>19</v>
      </c>
      <c r="G144" s="16" t="s">
        <v>97</v>
      </c>
      <c r="H144" s="16" t="s">
        <v>275</v>
      </c>
      <c r="I144" s="16">
        <v>24391.499999999996</v>
      </c>
      <c r="J144" s="14">
        <v>0</v>
      </c>
      <c r="K144" s="16">
        <f>J144*($L$2-1)</f>
        <v>0</v>
      </c>
      <c r="L144" s="16">
        <f>SUM(I144:K144)</f>
        <v>24391.50</v>
      </c>
    </row>
    <row r="145" spans="1:12" ht="12.75">
      <c r="A145" s="14">
        <v>141</v>
      </c>
      <c r="B145" s="15" t="s">
        <v>282</v>
      </c>
      <c r="C145" s="15" t="s">
        <v>283</v>
      </c>
      <c r="D145" s="15" t="str">
        <f>CONCATENATE(C145," (Code: ",B145,")")</f>
        <v>Supply of Single Phase Submersible Pump 1 HP, Discharge 1080-2880 lph, Head 91-50m without Panel Board (Code: GWDMR141)</v>
      </c>
      <c r="E145" s="14" t="s">
        <v>18</v>
      </c>
      <c r="F145" s="16" t="s">
        <v>19</v>
      </c>
      <c r="G145" s="16" t="s">
        <v>97</v>
      </c>
      <c r="H145" s="16" t="s">
        <v>275</v>
      </c>
      <c r="I145" s="16">
        <v>22498.716</v>
      </c>
      <c r="J145" s="14">
        <v>0</v>
      </c>
      <c r="K145" s="16">
        <f>J145*($L$2-1)</f>
        <v>0</v>
      </c>
      <c r="L145" s="16">
        <f>SUM(I145:K145)</f>
        <v>22498.716</v>
      </c>
    </row>
    <row r="146" spans="1:12" ht="12.75">
      <c r="A146" s="14">
        <v>142</v>
      </c>
      <c r="B146" s="15" t="s">
        <v>284</v>
      </c>
      <c r="C146" s="15" t="s">
        <v>285</v>
      </c>
      <c r="D146" s="15" t="str">
        <f>CONCATENATE(C146," (Code: ",B146,")")</f>
        <v>Supply of Single Phase Submersible Pump 1.5 HP, Discharge 3000-7500 lph, Head 65-32m without Panel Board (Code: GWDMR142)</v>
      </c>
      <c r="E146" s="14" t="s">
        <v>18</v>
      </c>
      <c r="F146" s="16" t="s">
        <v>19</v>
      </c>
      <c r="G146" s="16" t="s">
        <v>97</v>
      </c>
      <c r="H146" s="16" t="s">
        <v>275</v>
      </c>
      <c r="I146" s="16">
        <v>24937.404999999995</v>
      </c>
      <c r="J146" s="14">
        <v>0</v>
      </c>
      <c r="K146" s="16">
        <f>J146*($L$2-1)</f>
        <v>0</v>
      </c>
      <c r="L146" s="16">
        <f>SUM(I146:K146)</f>
        <v>24937.404999999999</v>
      </c>
    </row>
    <row r="147" spans="1:12" ht="12.75">
      <c r="A147" s="14">
        <v>143</v>
      </c>
      <c r="B147" s="15" t="s">
        <v>286</v>
      </c>
      <c r="C147" s="15" t="s">
        <v>287</v>
      </c>
      <c r="D147" s="15" t="str">
        <f>CONCATENATE(C147," (Code: ",B147,")")</f>
        <v>Supply of Single Phase Submersible Pump 1.5 HP, Discharge 1800-4320 lph, Head 83-52m without Panel Board (Code: GWDMR143)</v>
      </c>
      <c r="E147" s="14" t="s">
        <v>18</v>
      </c>
      <c r="F147" s="16" t="s">
        <v>19</v>
      </c>
      <c r="G147" s="16" t="s">
        <v>97</v>
      </c>
      <c r="H147" s="16" t="s">
        <v>275</v>
      </c>
      <c r="I147" s="16">
        <v>23219.315999999999</v>
      </c>
      <c r="J147" s="14">
        <v>0</v>
      </c>
      <c r="K147" s="16">
        <f>J147*($L$2-1)</f>
        <v>0</v>
      </c>
      <c r="L147" s="16">
        <f>SUM(I147:K147)</f>
        <v>23219.315999999999</v>
      </c>
    </row>
    <row r="148" spans="1:12" ht="12.75">
      <c r="A148" s="14">
        <v>144</v>
      </c>
      <c r="B148" s="15" t="s">
        <v>288</v>
      </c>
      <c r="C148" s="15" t="s">
        <v>289</v>
      </c>
      <c r="D148" s="15" t="str">
        <f>CONCATENATE(C148," (Code: ",B148,")")</f>
        <v>Supply of Single Phase Submersible Pump 1.5 HP, Discharge 1800-4320 lph, Head 105-57m without Panel Board (Code: GWDMR144)</v>
      </c>
      <c r="E148" s="14" t="s">
        <v>18</v>
      </c>
      <c r="F148" s="16" t="s">
        <v>19</v>
      </c>
      <c r="G148" s="16" t="s">
        <v>97</v>
      </c>
      <c r="H148" s="16" t="s">
        <v>275</v>
      </c>
      <c r="I148" s="16">
        <v>24493.248</v>
      </c>
      <c r="J148" s="14">
        <v>0</v>
      </c>
      <c r="K148" s="16">
        <f>J148*($L$2-1)</f>
        <v>0</v>
      </c>
      <c r="L148" s="16">
        <f>SUM(I148:K148)</f>
        <v>24493.248</v>
      </c>
    </row>
    <row r="149" spans="1:12" ht="12.75">
      <c r="A149" s="14">
        <v>145</v>
      </c>
      <c r="B149" s="15" t="s">
        <v>290</v>
      </c>
      <c r="C149" s="15" t="s">
        <v>291</v>
      </c>
      <c r="D149" s="15" t="str">
        <f>CONCATENATE(C149," (Code: ",B149,")")</f>
        <v>Supply of Single Phase Submersible Pump 1.5 HP, Discharge 500-3000 lph, Head 126-43m without Panel Board (Code: GWDMR145)</v>
      </c>
      <c r="E149" s="14" t="s">
        <v>18</v>
      </c>
      <c r="F149" s="16" t="s">
        <v>19</v>
      </c>
      <c r="G149" s="16" t="s">
        <v>97</v>
      </c>
      <c r="H149" s="16" t="s">
        <v>275</v>
      </c>
      <c r="I149" s="16">
        <v>24159.199999999997</v>
      </c>
      <c r="J149" s="14">
        <v>0</v>
      </c>
      <c r="K149" s="16">
        <f>J149*($L$2-1)</f>
        <v>0</v>
      </c>
      <c r="L149" s="16">
        <f>SUM(I149:K149)</f>
        <v>24159.20</v>
      </c>
    </row>
    <row r="150" spans="1:12" ht="12.75">
      <c r="A150" s="14">
        <v>146</v>
      </c>
      <c r="B150" s="15" t="s">
        <v>292</v>
      </c>
      <c r="C150" s="15" t="s">
        <v>293</v>
      </c>
      <c r="D150" s="15" t="str">
        <f>CONCATENATE(C150," (Code: ",B150,")")</f>
        <v>Supply of Single Phase Submersible Pump 1.5 HP, Discharge 1080-2880 lph, Head 137-75m without Panel Board (Code: GWDMR146)</v>
      </c>
      <c r="E150" s="14" t="s">
        <v>18</v>
      </c>
      <c r="F150" s="16" t="s">
        <v>19</v>
      </c>
      <c r="G150" s="16" t="s">
        <v>97</v>
      </c>
      <c r="H150" s="16" t="s">
        <v>275</v>
      </c>
      <c r="I150" s="16">
        <v>26133.749999999996</v>
      </c>
      <c r="J150" s="14">
        <v>0</v>
      </c>
      <c r="K150" s="16">
        <f>J150*($L$2-1)</f>
        <v>0</v>
      </c>
      <c r="L150" s="16">
        <f>SUM(I150:K150)</f>
        <v>26133.75</v>
      </c>
    </row>
    <row r="151" spans="1:12" ht="12.75">
      <c r="A151" s="14">
        <v>147</v>
      </c>
      <c r="B151" s="15" t="s">
        <v>294</v>
      </c>
      <c r="C151" s="15" t="s">
        <v>295</v>
      </c>
      <c r="D151" s="15" t="str">
        <f>CONCATENATE(C151," (Code: ",B151,")")</f>
        <v>Supply of Single Phase Submersible Pump 1.5 HP, Discharge 500-3000 lph, Head 148-50m without Panel Board (Code: GWDMR147)</v>
      </c>
      <c r="E151" s="14" t="s">
        <v>18</v>
      </c>
      <c r="F151" s="16" t="s">
        <v>19</v>
      </c>
      <c r="G151" s="16" t="s">
        <v>97</v>
      </c>
      <c r="H151" s="16" t="s">
        <v>275</v>
      </c>
      <c r="I151" s="16">
        <v>27980.534999999996</v>
      </c>
      <c r="J151" s="14">
        <v>0</v>
      </c>
      <c r="K151" s="16">
        <f>J151*($L$2-1)</f>
        <v>0</v>
      </c>
      <c r="L151" s="16">
        <f>SUM(I151:K151)</f>
        <v>27980.535</v>
      </c>
    </row>
    <row r="152" spans="1:12" ht="12.75">
      <c r="A152" s="14">
        <v>148</v>
      </c>
      <c r="B152" s="15" t="s">
        <v>296</v>
      </c>
      <c r="C152" s="15" t="s">
        <v>297</v>
      </c>
      <c r="D152" s="15" t="str">
        <f>CONCATENATE(C152," (Code: ",B152,")")</f>
        <v>Supply of Single Phase Submersible Pump 1.5 HP, Discharge 300-2100 lph, Head 180-51m without Panel Board (Code: GWDMR148)</v>
      </c>
      <c r="E152" s="14" t="s">
        <v>18</v>
      </c>
      <c r="F152" s="16" t="s">
        <v>19</v>
      </c>
      <c r="G152" s="16" t="s">
        <v>97</v>
      </c>
      <c r="H152" s="16" t="s">
        <v>275</v>
      </c>
      <c r="I152" s="16">
        <v>30082.849999999995</v>
      </c>
      <c r="J152" s="14">
        <v>0</v>
      </c>
      <c r="K152" s="16">
        <f>J152*($L$2-1)</f>
        <v>0</v>
      </c>
      <c r="L152" s="16">
        <f>SUM(I152:K152)</f>
        <v>30082.85</v>
      </c>
    </row>
    <row r="153" spans="1:12" ht="12.75">
      <c r="A153" s="14">
        <v>149</v>
      </c>
      <c r="B153" s="15" t="s">
        <v>298</v>
      </c>
      <c r="C153" s="15" t="s">
        <v>299</v>
      </c>
      <c r="D153" s="15" t="str">
        <f>CONCATENATE(C153," (Code: ",B153,")")</f>
        <v>Supply of Single Phase Submersible Pump 2 HP, Discharge 5200-10600 lph, Head 57-18m without Panel Board (Code: GWDMR149)</v>
      </c>
      <c r="E153" s="14" t="s">
        <v>18</v>
      </c>
      <c r="F153" s="16" t="s">
        <v>19</v>
      </c>
      <c r="G153" s="16" t="s">
        <v>97</v>
      </c>
      <c r="H153" s="16" t="s">
        <v>275</v>
      </c>
      <c r="I153" s="16">
        <v>29176.879999999997</v>
      </c>
      <c r="J153" s="14">
        <v>0</v>
      </c>
      <c r="K153" s="16">
        <f>J153*($L$2-1)</f>
        <v>0</v>
      </c>
      <c r="L153" s="16">
        <f>SUM(I153:K153)</f>
        <v>29176.88</v>
      </c>
    </row>
    <row r="154" spans="1:12" ht="12.75">
      <c r="A154" s="14">
        <v>150</v>
      </c>
      <c r="B154" s="15" t="s">
        <v>300</v>
      </c>
      <c r="C154" s="15" t="s">
        <v>301</v>
      </c>
      <c r="D154" s="15" t="str">
        <f>CONCATENATE(C154," (Code: ",B154,")")</f>
        <v>Supply of Single Phase Submersible Pump 2 HP, Discharge 3000-7500 lph, Head 87-42m without Panel Board (Code: GWDMR150)</v>
      </c>
      <c r="E154" s="14" t="s">
        <v>18</v>
      </c>
      <c r="F154" s="16" t="s">
        <v>19</v>
      </c>
      <c r="G154" s="16" t="s">
        <v>97</v>
      </c>
      <c r="H154" s="16" t="s">
        <v>275</v>
      </c>
      <c r="I154" s="16">
        <v>31360.499999999996</v>
      </c>
      <c r="J154" s="14">
        <v>0</v>
      </c>
      <c r="K154" s="16">
        <f>J154*($L$2-1)</f>
        <v>0</v>
      </c>
      <c r="L154" s="16">
        <f>SUM(I154:K154)</f>
        <v>31360.50</v>
      </c>
    </row>
    <row r="155" spans="1:12" ht="12.75">
      <c r="A155" s="14">
        <v>151</v>
      </c>
      <c r="B155" s="15" t="s">
        <v>302</v>
      </c>
      <c r="C155" s="15" t="s">
        <v>303</v>
      </c>
      <c r="D155" s="15" t="str">
        <f>CONCATENATE(C155," (Code: ",B155,")")</f>
        <v>Supply of Single Phase Submersible Pump 2 HP, Discharge 2100-5400 lph, Head 116-33m without Panel Board (Code: GWDMR151)</v>
      </c>
      <c r="E155" s="14" t="s">
        <v>18</v>
      </c>
      <c r="F155" s="16" t="s">
        <v>19</v>
      </c>
      <c r="G155" s="16" t="s">
        <v>97</v>
      </c>
      <c r="H155" s="16" t="s">
        <v>275</v>
      </c>
      <c r="I155" s="16">
        <v>29037.499999999996</v>
      </c>
      <c r="J155" s="14">
        <v>0</v>
      </c>
      <c r="K155" s="16">
        <f>J155*($L$2-1)</f>
        <v>0</v>
      </c>
      <c r="L155" s="16">
        <f>SUM(I155:K155)</f>
        <v>29037.50</v>
      </c>
    </row>
    <row r="156" spans="1:12" ht="12.75">
      <c r="A156" s="14">
        <v>152</v>
      </c>
      <c r="B156" s="15" t="s">
        <v>304</v>
      </c>
      <c r="C156" s="15" t="s">
        <v>305</v>
      </c>
      <c r="D156" s="15" t="str">
        <f>CONCATENATE(C156," (Code: ",B156,")")</f>
        <v>Supply of Single Phase Submersible Pump 2 HP, Discharge 600-3600 lph, Head 161-18m without Panel Board (Code: GWDMR152)</v>
      </c>
      <c r="E156" s="14" t="s">
        <v>18</v>
      </c>
      <c r="F156" s="16" t="s">
        <v>19</v>
      </c>
      <c r="G156" s="16" t="s">
        <v>97</v>
      </c>
      <c r="H156" s="16" t="s">
        <v>275</v>
      </c>
      <c r="I156" s="16">
        <v>29133.904499999997</v>
      </c>
      <c r="J156" s="14">
        <v>0</v>
      </c>
      <c r="K156" s="16">
        <f>J156*($L$2-1)</f>
        <v>0</v>
      </c>
      <c r="L156" s="16">
        <f>SUM(I156:K156)</f>
        <v>29133.904500000001</v>
      </c>
    </row>
    <row r="157" spans="1:12" ht="12.75">
      <c r="A157" s="14">
        <v>153</v>
      </c>
      <c r="B157" s="15" t="s">
        <v>306</v>
      </c>
      <c r="C157" s="15" t="s">
        <v>307</v>
      </c>
      <c r="D157" s="15" t="str">
        <f>CONCATENATE(C157," (Code: ",B157,")")</f>
        <v>Supply of Single Phase Submersible Pump 2 HP, Discharge 500-3000 lph, Head 194-65m without Panel Board (Code: GWDMR153)</v>
      </c>
      <c r="E157" s="14" t="s">
        <v>18</v>
      </c>
      <c r="F157" s="16" t="s">
        <v>19</v>
      </c>
      <c r="G157" s="16" t="s">
        <v>97</v>
      </c>
      <c r="H157" s="16" t="s">
        <v>275</v>
      </c>
      <c r="I157" s="16">
        <v>37864.90</v>
      </c>
      <c r="J157" s="14">
        <v>0</v>
      </c>
      <c r="K157" s="16">
        <f>J157*($L$2-1)</f>
        <v>0</v>
      </c>
      <c r="L157" s="16">
        <f>SUM(I157:K157)</f>
        <v>37864.90</v>
      </c>
    </row>
    <row r="158" spans="1:12" ht="12.75">
      <c r="A158" s="14">
        <v>154</v>
      </c>
      <c r="B158" s="15" t="s">
        <v>308</v>
      </c>
      <c r="C158" s="15" t="s">
        <v>309</v>
      </c>
      <c r="D158" s="15" t="str">
        <f>CONCATENATE(C158," (Code: ",B158,")")</f>
        <v>Supply of Single Phase Submersible Pump 2 HP, Discharge 500-1800 lph, Head 220-92m without Panel Board (Code: GWDMR154)</v>
      </c>
      <c r="E158" s="14" t="s">
        <v>18</v>
      </c>
      <c r="F158" s="16" t="s">
        <v>19</v>
      </c>
      <c r="G158" s="16" t="s">
        <v>97</v>
      </c>
      <c r="H158" s="16" t="s">
        <v>275</v>
      </c>
      <c r="I158" s="16">
        <v>44720.072999999997</v>
      </c>
      <c r="J158" s="14">
        <v>0</v>
      </c>
      <c r="K158" s="16">
        <f>J158*($L$2-1)</f>
        <v>0</v>
      </c>
      <c r="L158" s="16">
        <f>SUM(I158:K158)</f>
        <v>44720.072999999997</v>
      </c>
    </row>
    <row r="159" spans="1:12" ht="12.75">
      <c r="A159" s="14">
        <v>155</v>
      </c>
      <c r="B159" s="15" t="s">
        <v>310</v>
      </c>
      <c r="C159" s="15" t="s">
        <v>311</v>
      </c>
      <c r="D159" s="15" t="str">
        <f>CONCATENATE(C159," (Code: ",B159,")")</f>
        <v>Supply of Single Phase Submersible Pump 2 HP, Discharge 500-1800 lph, Head 247-104m without Panel Board (Code: GWDMR155)</v>
      </c>
      <c r="E159" s="14" t="s">
        <v>18</v>
      </c>
      <c r="F159" s="16" t="s">
        <v>19</v>
      </c>
      <c r="G159" s="16" t="s">
        <v>97</v>
      </c>
      <c r="H159" s="16" t="s">
        <v>275</v>
      </c>
      <c r="I159" s="16">
        <v>47333.447999999997</v>
      </c>
      <c r="J159" s="14">
        <v>0</v>
      </c>
      <c r="K159" s="16">
        <f>J159*($L$2-1)</f>
        <v>0</v>
      </c>
      <c r="L159" s="16">
        <f>SUM(I159:K159)</f>
        <v>47333.447999999997</v>
      </c>
    </row>
    <row r="160" spans="1:12" ht="12.75">
      <c r="A160" s="14">
        <v>156</v>
      </c>
      <c r="B160" s="15" t="s">
        <v>312</v>
      </c>
      <c r="C160" s="15" t="s">
        <v>313</v>
      </c>
      <c r="D160" s="15" t="str">
        <f>CONCATENATE(C160," (Code: ",B160,")")</f>
        <v>Supply of Single Phase Submersible Pump 2 HP, Discharge 500-1800 lph, Head 275-115m without Panel Board (Code: GWDMR156)</v>
      </c>
      <c r="E160" s="14" t="s">
        <v>18</v>
      </c>
      <c r="F160" s="16" t="s">
        <v>19</v>
      </c>
      <c r="G160" s="16" t="s">
        <v>97</v>
      </c>
      <c r="H160" s="16" t="s">
        <v>275</v>
      </c>
      <c r="I160" s="16">
        <v>49068.728999999992</v>
      </c>
      <c r="J160" s="14">
        <v>0</v>
      </c>
      <c r="K160" s="16">
        <f>J160*($L$2-1)</f>
        <v>0</v>
      </c>
      <c r="L160" s="16">
        <f>SUM(I160:K160)</f>
        <v>49068.728999999999</v>
      </c>
    </row>
    <row r="161" spans="1:12" ht="12.75">
      <c r="A161" s="14">
        <v>157</v>
      </c>
      <c r="B161" s="15" t="s">
        <v>314</v>
      </c>
      <c r="C161" s="15" t="s">
        <v>315</v>
      </c>
      <c r="D161" s="15" t="str">
        <f>CONCATENATE(C161," (Code: ",B161,")")</f>
        <v>Supply of Single Phase Submersible Pump 3 HP, Discharge 3240-7200 lph, Head 110-42m without Panel Board (Code: GWDMR157)</v>
      </c>
      <c r="E161" s="14" t="s">
        <v>18</v>
      </c>
      <c r="F161" s="16" t="s">
        <v>19</v>
      </c>
      <c r="G161" s="16" t="s">
        <v>97</v>
      </c>
      <c r="H161" s="16" t="s">
        <v>275</v>
      </c>
      <c r="I161" s="16">
        <v>37138.962500000001</v>
      </c>
      <c r="J161" s="14">
        <v>0</v>
      </c>
      <c r="K161" s="16">
        <f>J161*($L$2-1)</f>
        <v>0</v>
      </c>
      <c r="L161" s="16">
        <f>SUM(I161:K161)</f>
        <v>37138.962500000001</v>
      </c>
    </row>
    <row r="162" spans="1:12" ht="12.75">
      <c r="A162" s="14">
        <v>158</v>
      </c>
      <c r="B162" s="15" t="s">
        <v>316</v>
      </c>
      <c r="C162" s="15" t="s">
        <v>317</v>
      </c>
      <c r="D162" s="15" t="str">
        <f>CONCATENATE(C162," (Code: ",B162,")")</f>
        <v>Supply of Single Phase Submersible Pump 3 HP, Discharge 1800-4320 lph, Head 194-114m without Panel Board (Code: GWDMR158)</v>
      </c>
      <c r="E162" s="14" t="s">
        <v>18</v>
      </c>
      <c r="F162" s="16" t="s">
        <v>19</v>
      </c>
      <c r="G162" s="16" t="s">
        <v>97</v>
      </c>
      <c r="H162" s="16" t="s">
        <v>275</v>
      </c>
      <c r="I162" s="16">
        <v>47156.90</v>
      </c>
      <c r="J162" s="14">
        <v>0</v>
      </c>
      <c r="K162" s="16">
        <f>J162*($L$2-1)</f>
        <v>0</v>
      </c>
      <c r="L162" s="16">
        <f>SUM(I162:K162)</f>
        <v>47156.90</v>
      </c>
    </row>
    <row r="163" spans="1:12" ht="12.75">
      <c r="A163" s="14">
        <v>159</v>
      </c>
      <c r="B163" s="15" t="s">
        <v>318</v>
      </c>
      <c r="C163" s="15" t="s">
        <v>319</v>
      </c>
      <c r="D163" s="15" t="str">
        <f>CONCATENATE(C163," (Code: ",B163,")")</f>
        <v>Supply of Single Phase Submersible Pump 5 HP, Discharge 4320-10080 lph, Head 150-82m without Panel Board (Code: GWDMR159)</v>
      </c>
      <c r="E163" s="14" t="s">
        <v>18</v>
      </c>
      <c r="F163" s="16" t="s">
        <v>19</v>
      </c>
      <c r="G163" s="16" t="s">
        <v>97</v>
      </c>
      <c r="H163" s="16" t="s">
        <v>275</v>
      </c>
      <c r="I163" s="16">
        <v>45301.984499999999</v>
      </c>
      <c r="J163" s="14">
        <v>0</v>
      </c>
      <c r="K163" s="16">
        <f>J163*($L$2-1)</f>
        <v>0</v>
      </c>
      <c r="L163" s="16">
        <f>SUM(I163:K163)</f>
        <v>45301.984499999999</v>
      </c>
    </row>
    <row r="164" spans="1:12" ht="12.75">
      <c r="A164" s="14">
        <v>160</v>
      </c>
      <c r="B164" s="15" t="s">
        <v>320</v>
      </c>
      <c r="C164" s="15" t="s">
        <v>321</v>
      </c>
      <c r="D164" s="15" t="str">
        <f>CONCATENATE(C164," (Code: ",B164,")")</f>
        <v>Supply of Single Phase Submersible Pump 6 HP, Discharge 1800-4320 lph, Head 318-210m without Panel Board (Code: GWDMR160)</v>
      </c>
      <c r="E164" s="14" t="s">
        <v>18</v>
      </c>
      <c r="F164" s="16" t="s">
        <v>19</v>
      </c>
      <c r="G164" s="16" t="s">
        <v>97</v>
      </c>
      <c r="H164" s="16" t="s">
        <v>275</v>
      </c>
      <c r="I164" s="16">
        <v>52340.674500000001</v>
      </c>
      <c r="J164" s="14">
        <v>0</v>
      </c>
      <c r="K164" s="16">
        <f>J164*($L$2-1)</f>
        <v>0</v>
      </c>
      <c r="L164" s="16">
        <f>SUM(I164:K164)</f>
        <v>52340.674500000001</v>
      </c>
    </row>
    <row r="165" spans="1:12" ht="12.75">
      <c r="A165" s="14">
        <v>161</v>
      </c>
      <c r="B165" s="15" t="s">
        <v>322</v>
      </c>
      <c r="C165" s="15" t="s">
        <v>323</v>
      </c>
      <c r="D165" s="15" t="str">
        <f>CONCATENATE(C165," (Code: ",B165,")")</f>
        <v>Supply of Three Phase Submersible Pump 10 HP, Discharge 6000-18000 lph, Head 146-90m without Panel Board (Code: GWDMR161)</v>
      </c>
      <c r="E165" s="14" t="s">
        <v>18</v>
      </c>
      <c r="F165" s="16" t="s">
        <v>19</v>
      </c>
      <c r="G165" s="16" t="s">
        <v>97</v>
      </c>
      <c r="H165" s="16" t="s">
        <v>275</v>
      </c>
      <c r="I165" s="16">
        <v>74549.715999999986</v>
      </c>
      <c r="J165" s="14">
        <v>0</v>
      </c>
      <c r="K165" s="16">
        <f>J165*($L$2-1)</f>
        <v>0</v>
      </c>
      <c r="L165" s="16">
        <f>SUM(I165:K165)</f>
        <v>74549.716</v>
      </c>
    </row>
    <row r="166" spans="1:12" ht="12.75">
      <c r="A166" s="14">
        <v>162</v>
      </c>
      <c r="B166" s="15" t="s">
        <v>324</v>
      </c>
      <c r="C166" s="15" t="s">
        <v>325</v>
      </c>
      <c r="D166" s="15" t="str">
        <f>CONCATENATE(C166," (Code: ",B166,")")</f>
        <v>Supply of Three Phase Submersible Pump 10 HP, Discharge 3600-21600 lph, Head 162-27m without Panel Board (Code: GWDMR162)</v>
      </c>
      <c r="E166" s="14" t="s">
        <v>18</v>
      </c>
      <c r="F166" s="16" t="s">
        <v>19</v>
      </c>
      <c r="G166" s="16" t="s">
        <v>97</v>
      </c>
      <c r="H166" s="16" t="s">
        <v>275</v>
      </c>
      <c r="I166" s="16">
        <v>74092.085000000006</v>
      </c>
      <c r="J166" s="14">
        <v>0</v>
      </c>
      <c r="K166" s="16">
        <f>J166*($L$2-1)</f>
        <v>0</v>
      </c>
      <c r="L166" s="16">
        <f>SUM(I166:K166)</f>
        <v>74092.085000000006</v>
      </c>
    </row>
    <row r="167" spans="1:12" ht="12.75">
      <c r="A167" s="14">
        <v>163</v>
      </c>
      <c r="B167" s="15" t="s">
        <v>326</v>
      </c>
      <c r="C167" s="15" t="s">
        <v>327</v>
      </c>
      <c r="D167" s="15" t="str">
        <f>CONCATENATE(C167," (Code: ",B167,")")</f>
        <v>Supply of Three Phase Submersible Pump 10 HP, Discharge 5000-14000 lph, Head 205-110m without Panel Board (Code: GWDMR163)</v>
      </c>
      <c r="E167" s="14" t="s">
        <v>18</v>
      </c>
      <c r="F167" s="16" t="s">
        <v>19</v>
      </c>
      <c r="G167" s="16" t="s">
        <v>97</v>
      </c>
      <c r="H167" s="16" t="s">
        <v>275</v>
      </c>
      <c r="I167" s="16">
        <v>93543.725499999986</v>
      </c>
      <c r="J167" s="14">
        <v>0</v>
      </c>
      <c r="K167" s="16">
        <f>J167*($L$2-1)</f>
        <v>0</v>
      </c>
      <c r="L167" s="16">
        <f>SUM(I167:K167)</f>
        <v>93543.7255</v>
      </c>
    </row>
    <row r="168" spans="1:12" ht="12.75">
      <c r="A168" s="14">
        <v>164</v>
      </c>
      <c r="B168" s="15" t="s">
        <v>328</v>
      </c>
      <c r="C168" s="15" t="s">
        <v>329</v>
      </c>
      <c r="D168" s="15" t="str">
        <f>CONCATENATE(C168," (Code: ",B168,")")</f>
        <v>Supply of Three Phase Submersible Pump 10 HP, Discharge 3000-9000 lph, Head 279-144m without Panel Board (Code: GWDMR164)</v>
      </c>
      <c r="E168" s="14" t="s">
        <v>18</v>
      </c>
      <c r="F168" s="16" t="s">
        <v>19</v>
      </c>
      <c r="G168" s="16" t="s">
        <v>97</v>
      </c>
      <c r="H168" s="16" t="s">
        <v>275</v>
      </c>
      <c r="I168" s="16">
        <v>88520.237999999983</v>
      </c>
      <c r="J168" s="14">
        <v>0</v>
      </c>
      <c r="K168" s="16">
        <f>J168*($L$2-1)</f>
        <v>0</v>
      </c>
      <c r="L168" s="16">
        <f>SUM(I168:K168)</f>
        <v>88520.237999999998</v>
      </c>
    </row>
    <row r="169" spans="1:12" ht="12.75">
      <c r="A169" s="14">
        <v>165</v>
      </c>
      <c r="B169" s="15" t="s">
        <v>330</v>
      </c>
      <c r="C169" s="15" t="s">
        <v>331</v>
      </c>
      <c r="D169" s="15" t="str">
        <f>CONCATENATE(C169," (Code: ",B169,")")</f>
        <v>Supply of Three Phase Submersible Pump 12.5 HP, Discharge 3600-25200 lph, Head 157-41m without Panel Board (Code: GWDMR165)</v>
      </c>
      <c r="E169" s="14" t="s">
        <v>18</v>
      </c>
      <c r="F169" s="16" t="s">
        <v>19</v>
      </c>
      <c r="G169" s="16" t="s">
        <v>97</v>
      </c>
      <c r="H169" s="16" t="s">
        <v>275</v>
      </c>
      <c r="I169" s="16">
        <v>77646.274999999994</v>
      </c>
      <c r="J169" s="14">
        <v>0</v>
      </c>
      <c r="K169" s="16">
        <f>J169*($L$2-1)</f>
        <v>0</v>
      </c>
      <c r="L169" s="16">
        <f>SUM(I169:K169)</f>
        <v>77646.274999999994</v>
      </c>
    </row>
    <row r="170" spans="1:12" ht="12.75">
      <c r="A170" s="14">
        <v>166</v>
      </c>
      <c r="B170" s="15" t="s">
        <v>332</v>
      </c>
      <c r="C170" s="15" t="s">
        <v>333</v>
      </c>
      <c r="D170" s="15" t="str">
        <f>CONCATENATE(C170," (Code: ",B170,")")</f>
        <v>Supply of Three Phase Submersible Pump 12.5 HP, Discharge 6000-18000 lph, Head 179-110m without Panel Board (Code: GWDMR166)</v>
      </c>
      <c r="E170" s="14" t="s">
        <v>18</v>
      </c>
      <c r="F170" s="16" t="s">
        <v>19</v>
      </c>
      <c r="G170" s="16" t="s">
        <v>97</v>
      </c>
      <c r="H170" s="16" t="s">
        <v>275</v>
      </c>
      <c r="I170" s="16">
        <v>82797.527499999997</v>
      </c>
      <c r="J170" s="14">
        <v>0</v>
      </c>
      <c r="K170" s="16">
        <f>J170*($L$2-1)</f>
        <v>0</v>
      </c>
      <c r="L170" s="16">
        <f>SUM(I170:K170)</f>
        <v>82797.527499999997</v>
      </c>
    </row>
    <row r="171" spans="1:12" ht="12.75">
      <c r="A171" s="14">
        <v>167</v>
      </c>
      <c r="B171" s="15" t="s">
        <v>334</v>
      </c>
      <c r="C171" s="15" t="s">
        <v>335</v>
      </c>
      <c r="D171" s="15" t="str">
        <f>CONCATENATE(C171," (Code: ",B171,")")</f>
        <v>Supply of Three Phase Submersible Pump 12.5 HP, Discharge 5000-14000 lph, Head 242-129m without Panel Board (Code: GWDMR167)</v>
      </c>
      <c r="E171" s="14" t="s">
        <v>18</v>
      </c>
      <c r="F171" s="16" t="s">
        <v>19</v>
      </c>
      <c r="G171" s="16" t="s">
        <v>97</v>
      </c>
      <c r="H171" s="16" t="s">
        <v>275</v>
      </c>
      <c r="I171" s="16">
        <v>103464.09699999999</v>
      </c>
      <c r="J171" s="14">
        <v>0</v>
      </c>
      <c r="K171" s="16">
        <f>J171*($L$2-1)</f>
        <v>0</v>
      </c>
      <c r="L171" s="16">
        <f>SUM(I171:K171)</f>
        <v>103464.09699999999</v>
      </c>
    </row>
    <row r="172" spans="1:12" ht="12.75">
      <c r="A172" s="14">
        <v>168</v>
      </c>
      <c r="B172" s="15" t="s">
        <v>336</v>
      </c>
      <c r="C172" s="15" t="s">
        <v>337</v>
      </c>
      <c r="D172" s="15" t="str">
        <f>CONCATENATE(C172," (Code: ",B172,")")</f>
        <v>Supply of Three Phase Submersible Pump 12.5 HP, Discharge 3000-9000 lph, Head 335-177m without Panel Board (Code: GWDMR168)</v>
      </c>
      <c r="E172" s="14" t="s">
        <v>18</v>
      </c>
      <c r="F172" s="16" t="s">
        <v>19</v>
      </c>
      <c r="G172" s="16" t="s">
        <v>97</v>
      </c>
      <c r="H172" s="16" t="s">
        <v>275</v>
      </c>
      <c r="I172" s="16">
        <v>98931.923999999999</v>
      </c>
      <c r="J172" s="14">
        <v>0</v>
      </c>
      <c r="K172" s="16">
        <f>J172*($L$2-1)</f>
        <v>0</v>
      </c>
      <c r="L172" s="16">
        <f>SUM(I172:K172)</f>
        <v>98931.923999999999</v>
      </c>
    </row>
    <row r="173" spans="1:12" ht="12.75">
      <c r="A173" s="14">
        <v>169</v>
      </c>
      <c r="B173" s="15" t="s">
        <v>338</v>
      </c>
      <c r="C173" s="15" t="s">
        <v>339</v>
      </c>
      <c r="D173" s="15" t="str">
        <f>CONCATENATE(C173," (Code: ",B173,")")</f>
        <v>Supply of Three Phase Submersible Pump 3 HP, Discharge 5200-10600 lph, Head 86-27m without Panel Board (Code: GWDMR169)</v>
      </c>
      <c r="E173" s="14" t="s">
        <v>18</v>
      </c>
      <c r="F173" s="16" t="s">
        <v>19</v>
      </c>
      <c r="G173" s="16" t="s">
        <v>97</v>
      </c>
      <c r="H173" s="16" t="s">
        <v>275</v>
      </c>
      <c r="I173" s="16">
        <v>33242.13</v>
      </c>
      <c r="J173" s="14">
        <v>0</v>
      </c>
      <c r="K173" s="16">
        <f>J173*($L$2-1)</f>
        <v>0</v>
      </c>
      <c r="L173" s="16">
        <f>SUM(I173:K173)</f>
        <v>33242.13</v>
      </c>
    </row>
    <row r="174" spans="1:12" ht="12.75">
      <c r="A174" s="14">
        <v>170</v>
      </c>
      <c r="B174" s="15" t="s">
        <v>340</v>
      </c>
      <c r="C174" s="15" t="s">
        <v>341</v>
      </c>
      <c r="D174" s="15" t="str">
        <f>CONCATENATE(C174," (Code: ",B174,")")</f>
        <v>Supply of Three Phase Submersible Pump 3 HP, Discharge 3000-7500 lph, Head 125-60m without Panel Board (Code: GWDMR170)</v>
      </c>
      <c r="E174" s="14" t="s">
        <v>18</v>
      </c>
      <c r="F174" s="16" t="s">
        <v>19</v>
      </c>
      <c r="G174" s="16" t="s">
        <v>97</v>
      </c>
      <c r="H174" s="16" t="s">
        <v>275</v>
      </c>
      <c r="I174" s="16">
        <v>36924.084999999999</v>
      </c>
      <c r="J174" s="14">
        <v>0</v>
      </c>
      <c r="K174" s="16">
        <f>J174*($L$2-1)</f>
        <v>0</v>
      </c>
      <c r="L174" s="16">
        <f>SUM(I174:K174)</f>
        <v>36924.084999999999</v>
      </c>
    </row>
    <row r="175" spans="1:12" ht="12.75">
      <c r="A175" s="14">
        <v>171</v>
      </c>
      <c r="B175" s="15" t="s">
        <v>342</v>
      </c>
      <c r="C175" s="15" t="s">
        <v>343</v>
      </c>
      <c r="D175" s="15" t="str">
        <f>CONCATENATE(C175," (Code: ",B175,")")</f>
        <v>Supply of Three Phase Submersible Pump 3 HP, Discharge 2500-6000 lph, Head 147-51m without Panel Board (Code: GWDMR171)</v>
      </c>
      <c r="E175" s="14" t="s">
        <v>18</v>
      </c>
      <c r="F175" s="16" t="s">
        <v>19</v>
      </c>
      <c r="G175" s="16" t="s">
        <v>97</v>
      </c>
      <c r="H175" s="16" t="s">
        <v>275</v>
      </c>
      <c r="I175" s="16">
        <v>40652.50</v>
      </c>
      <c r="J175" s="14">
        <v>0</v>
      </c>
      <c r="K175" s="16">
        <f>J175*($L$2-1)</f>
        <v>0</v>
      </c>
      <c r="L175" s="16">
        <f>SUM(I175:K175)</f>
        <v>40652.50</v>
      </c>
    </row>
    <row r="176" spans="1:12" ht="12.75">
      <c r="A176" s="14">
        <v>172</v>
      </c>
      <c r="B176" s="15" t="s">
        <v>344</v>
      </c>
      <c r="C176" s="15" t="s">
        <v>345</v>
      </c>
      <c r="D176" s="15" t="str">
        <f>CONCATENATE(C176," (Code: ",B176,")")</f>
        <v>Supply of Three Phase Submersible Pump 3 HP, Discharge 1000-5000 lph, Head 163-66m without Panel Board (Code: GWDMR172)</v>
      </c>
      <c r="E176" s="14" t="s">
        <v>18</v>
      </c>
      <c r="F176" s="16" t="s">
        <v>19</v>
      </c>
      <c r="G176" s="16" t="s">
        <v>97</v>
      </c>
      <c r="H176" s="16" t="s">
        <v>275</v>
      </c>
      <c r="I176" s="16">
        <v>43011.506499999996</v>
      </c>
      <c r="J176" s="14">
        <v>0</v>
      </c>
      <c r="K176" s="16">
        <f>J176*($L$2-1)</f>
        <v>0</v>
      </c>
      <c r="L176" s="16">
        <f>SUM(I176:K176)</f>
        <v>43011.506500000003</v>
      </c>
    </row>
    <row r="177" spans="1:12" ht="12.75">
      <c r="A177" s="14">
        <v>173</v>
      </c>
      <c r="B177" s="15" t="s">
        <v>346</v>
      </c>
      <c r="C177" s="15" t="s">
        <v>347</v>
      </c>
      <c r="D177" s="15" t="str">
        <f>CONCATENATE(C177," (Code: ",B177,")")</f>
        <v>Supply of Three Phase Submersible Pump 3 HP, Discharge 1200-2800 lph, Head 184-86m without Panel Board (Code: GWDMR173)</v>
      </c>
      <c r="E177" s="14" t="s">
        <v>18</v>
      </c>
      <c r="F177" s="16" t="s">
        <v>19</v>
      </c>
      <c r="G177" s="16" t="s">
        <v>97</v>
      </c>
      <c r="H177" s="16" t="s">
        <v>275</v>
      </c>
      <c r="I177" s="16">
        <v>38391.059499999996</v>
      </c>
      <c r="J177" s="14">
        <v>0</v>
      </c>
      <c r="K177" s="16">
        <f>J177*($L$2-1)</f>
        <v>0</v>
      </c>
      <c r="L177" s="16">
        <f>SUM(I177:K177)</f>
        <v>38391.059500000003</v>
      </c>
    </row>
    <row r="178" spans="1:12" ht="12.75">
      <c r="A178" s="14">
        <v>174</v>
      </c>
      <c r="B178" s="15" t="s">
        <v>348</v>
      </c>
      <c r="C178" s="15" t="s">
        <v>349</v>
      </c>
      <c r="D178" s="15" t="str">
        <f>CONCATENATE(C178," (Code: ",B178,")")</f>
        <v>Supply of Three Phase Submersible Pump 3 HP, Discharge 1200-2800 lph, Head 207-83m without Panel Board (Code: GWDMR174)</v>
      </c>
      <c r="E178" s="14" t="s">
        <v>18</v>
      </c>
      <c r="F178" s="16" t="s">
        <v>19</v>
      </c>
      <c r="G178" s="16" t="s">
        <v>97</v>
      </c>
      <c r="H178" s="16" t="s">
        <v>275</v>
      </c>
      <c r="I178" s="16">
        <v>50417.230499999998</v>
      </c>
      <c r="J178" s="14">
        <v>0</v>
      </c>
      <c r="K178" s="16">
        <f>J178*($L$2-1)</f>
        <v>0</v>
      </c>
      <c r="L178" s="16">
        <f>SUM(I178:K178)</f>
        <v>50417.230499999998</v>
      </c>
    </row>
    <row r="179" spans="1:12" ht="12.75">
      <c r="A179" s="14">
        <v>175</v>
      </c>
      <c r="B179" s="15" t="s">
        <v>350</v>
      </c>
      <c r="C179" s="15" t="s">
        <v>351</v>
      </c>
      <c r="D179" s="15" t="str">
        <f>CONCATENATE(C179," (Code: ",B179,")")</f>
        <v>Supply of Three Phase Submersible Pump 3 HP, Discharge 1200-2800 lph, Head 245-98m without Panel Board (Code: GWDMR175)</v>
      </c>
      <c r="E179" s="14" t="s">
        <v>18</v>
      </c>
      <c r="F179" s="16" t="s">
        <v>19</v>
      </c>
      <c r="G179" s="16" t="s">
        <v>97</v>
      </c>
      <c r="H179" s="16" t="s">
        <v>275</v>
      </c>
      <c r="I179" s="16">
        <v>53114.233500000002</v>
      </c>
      <c r="J179" s="14">
        <v>0</v>
      </c>
      <c r="K179" s="16">
        <f>J179*($L$2-1)</f>
        <v>0</v>
      </c>
      <c r="L179" s="16">
        <f>SUM(I179:K179)</f>
        <v>53114.233500000002</v>
      </c>
    </row>
    <row r="180" spans="1:12" ht="12.75">
      <c r="A180" s="14">
        <v>176</v>
      </c>
      <c r="B180" s="15" t="s">
        <v>352</v>
      </c>
      <c r="C180" s="15" t="s">
        <v>353</v>
      </c>
      <c r="D180" s="15" t="str">
        <f>CONCATENATE(C180," (Code: ",B180,")")</f>
        <v>Supply of Three Phase Submersible Pump 5 HP, Discharge 9000-24000 lph, Head 70-23m without Panel Board (Code: GWDMR176)</v>
      </c>
      <c r="E180" s="14" t="s">
        <v>18</v>
      </c>
      <c r="F180" s="16" t="s">
        <v>19</v>
      </c>
      <c r="G180" s="16" t="s">
        <v>97</v>
      </c>
      <c r="H180" s="16" t="s">
        <v>275</v>
      </c>
      <c r="I180" s="16">
        <v>54682.258499999996</v>
      </c>
      <c r="J180" s="14">
        <v>0</v>
      </c>
      <c r="K180" s="16">
        <f>J180*($L$2-1)</f>
        <v>0</v>
      </c>
      <c r="L180" s="16">
        <f>SUM(I180:K180)</f>
        <v>54682.258500000004</v>
      </c>
    </row>
    <row r="181" spans="1:12" ht="12.75">
      <c r="A181" s="14">
        <v>177</v>
      </c>
      <c r="B181" s="15" t="s">
        <v>354</v>
      </c>
      <c r="C181" s="15" t="s">
        <v>355</v>
      </c>
      <c r="D181" s="15" t="str">
        <f>CONCATENATE(C181," (Code: ",B181,")")</f>
        <v>Supply of Three Phase Submersible Pump 5 HP, Discharge 7200-15000 lph, Head 78-41m without Panel Board (Code: GWDMR177)</v>
      </c>
      <c r="E181" s="14" t="s">
        <v>18</v>
      </c>
      <c r="F181" s="16" t="s">
        <v>19</v>
      </c>
      <c r="G181" s="16" t="s">
        <v>97</v>
      </c>
      <c r="H181" s="16" t="s">
        <v>275</v>
      </c>
      <c r="I181" s="16">
        <v>55751.999999999993</v>
      </c>
      <c r="J181" s="14">
        <v>0</v>
      </c>
      <c r="K181" s="16">
        <f>J181*($L$2-1)</f>
        <v>0</v>
      </c>
      <c r="L181" s="16">
        <f>SUM(I181:K181)</f>
        <v>55752</v>
      </c>
    </row>
    <row r="182" spans="1:12" ht="12.75">
      <c r="A182" s="14">
        <v>178</v>
      </c>
      <c r="B182" s="15" t="s">
        <v>356</v>
      </c>
      <c r="C182" s="15" t="s">
        <v>357</v>
      </c>
      <c r="D182" s="15" t="str">
        <f>CONCATENATE(C182," (Code: ",B182,")")</f>
        <v>Supply of Three Phase Submersible Pump 5 HP, Discharge 5000-14000 lph, Head 93-50m without Panel Board (Code: GWDMR178)</v>
      </c>
      <c r="E182" s="14" t="s">
        <v>18</v>
      </c>
      <c r="F182" s="16" t="s">
        <v>19</v>
      </c>
      <c r="G182" s="16" t="s">
        <v>97</v>
      </c>
      <c r="H182" s="16" t="s">
        <v>275</v>
      </c>
      <c r="I182" s="16">
        <v>62396.941499999994</v>
      </c>
      <c r="J182" s="14">
        <v>0</v>
      </c>
      <c r="K182" s="16">
        <f>J182*($L$2-1)</f>
        <v>0</v>
      </c>
      <c r="L182" s="16">
        <f>SUM(I182:K182)</f>
        <v>62396.941500000001</v>
      </c>
    </row>
    <row r="183" spans="1:12" ht="12.75">
      <c r="A183" s="14">
        <v>179</v>
      </c>
      <c r="B183" s="15" t="s">
        <v>358</v>
      </c>
      <c r="C183" s="15" t="s">
        <v>359</v>
      </c>
      <c r="D183" s="15" t="str">
        <f>CONCATENATE(C183," (Code: ",B183,")")</f>
        <v>Supply of Three Phase Submersible Pump 5 HP, Discharge 5000-14000 lph, Head 102-55m without Panel Board (Code: GWDMR179)</v>
      </c>
      <c r="E183" s="14" t="s">
        <v>18</v>
      </c>
      <c r="F183" s="16" t="s">
        <v>19</v>
      </c>
      <c r="G183" s="16" t="s">
        <v>97</v>
      </c>
      <c r="H183" s="16" t="s">
        <v>275</v>
      </c>
      <c r="I183" s="16">
        <v>63505.01249999999</v>
      </c>
      <c r="J183" s="14">
        <v>0</v>
      </c>
      <c r="K183" s="16">
        <f>J183*($L$2-1)</f>
        <v>0</v>
      </c>
      <c r="L183" s="16">
        <f>SUM(I183:K183)</f>
        <v>63505.012499999997</v>
      </c>
    </row>
    <row r="184" spans="1:12" ht="12.75">
      <c r="A184" s="14">
        <v>180</v>
      </c>
      <c r="B184" s="15" t="s">
        <v>360</v>
      </c>
      <c r="C184" s="15" t="s">
        <v>361</v>
      </c>
      <c r="D184" s="15" t="str">
        <f>CONCATENATE(C184," (Code: ",B184,")")</f>
        <v>Supply of Three Phase Submersible Pump 5 HP, Discharge 3900-10800 lph, Head 111-49m without Panel Board (Code: GWDMR180)</v>
      </c>
      <c r="E184" s="14" t="s">
        <v>18</v>
      </c>
      <c r="F184" s="16" t="s">
        <v>19</v>
      </c>
      <c r="G184" s="16" t="s">
        <v>97</v>
      </c>
      <c r="H184" s="16" t="s">
        <v>275</v>
      </c>
      <c r="I184" s="16">
        <v>65043.999999999993</v>
      </c>
      <c r="J184" s="14">
        <v>0</v>
      </c>
      <c r="K184" s="16">
        <f>J184*($L$2-1)</f>
        <v>0</v>
      </c>
      <c r="L184" s="16">
        <f>SUM(I184:K184)</f>
        <v>65044</v>
      </c>
    </row>
    <row r="185" spans="1:12" ht="12.75">
      <c r="A185" s="14">
        <v>181</v>
      </c>
      <c r="B185" s="15" t="s">
        <v>362</v>
      </c>
      <c r="C185" s="15" t="s">
        <v>363</v>
      </c>
      <c r="D185" s="15" t="str">
        <f>CONCATENATE(C185," (Code: ",B185,")")</f>
        <v>Supply of Three Phase Submersible Pump 5 HP, Discharge 3000-9000 lph, Head 140-72m without Panel Board (Code: GWDMR181)</v>
      </c>
      <c r="E185" s="14" t="s">
        <v>18</v>
      </c>
      <c r="F185" s="16" t="s">
        <v>19</v>
      </c>
      <c r="G185" s="16" t="s">
        <v>97</v>
      </c>
      <c r="H185" s="16" t="s">
        <v>275</v>
      </c>
      <c r="I185" s="16">
        <v>65052.130499999999</v>
      </c>
      <c r="J185" s="14">
        <v>0</v>
      </c>
      <c r="K185" s="16">
        <f>J185*($L$2-1)</f>
        <v>0</v>
      </c>
      <c r="L185" s="16">
        <f>SUM(I185:K185)</f>
        <v>65052.130499999999</v>
      </c>
    </row>
    <row r="186" spans="1:12" ht="12.75">
      <c r="A186" s="14">
        <v>182</v>
      </c>
      <c r="B186" s="15" t="s">
        <v>364</v>
      </c>
      <c r="C186" s="15" t="s">
        <v>365</v>
      </c>
      <c r="D186" s="15" t="str">
        <f>CONCATENATE(C186," (Code: ",B186,")")</f>
        <v>Supply of Three Phase Submersible Pump 5 HP, Discharge 4000-10000 lph, Head 163-62m without Panel Board (Code: GWDMR182)</v>
      </c>
      <c r="E186" s="14" t="s">
        <v>18</v>
      </c>
      <c r="F186" s="16" t="s">
        <v>19</v>
      </c>
      <c r="G186" s="16" t="s">
        <v>97</v>
      </c>
      <c r="H186" s="16" t="s">
        <v>275</v>
      </c>
      <c r="I186" s="16">
        <v>51301.131999999998</v>
      </c>
      <c r="J186" s="14">
        <v>0</v>
      </c>
      <c r="K186" s="16">
        <f>J186*($L$2-1)</f>
        <v>0</v>
      </c>
      <c r="L186" s="16">
        <f>SUM(I186:K186)</f>
        <v>51301.131999999998</v>
      </c>
    </row>
    <row r="187" spans="1:12" ht="12.75">
      <c r="A187" s="14">
        <v>183</v>
      </c>
      <c r="B187" s="15" t="s">
        <v>366</v>
      </c>
      <c r="C187" s="15" t="s">
        <v>367</v>
      </c>
      <c r="D187" s="15" t="str">
        <f>CONCATENATE(C187," (Code: ",B187,")")</f>
        <v>Supply of Three Phase Submersible Pump 5 HP, Discharge 2000-6000 lph, Head 195-120m without Panel Board (Code: GWDMR183)</v>
      </c>
      <c r="E187" s="14" t="s">
        <v>18</v>
      </c>
      <c r="F187" s="16" t="s">
        <v>19</v>
      </c>
      <c r="G187" s="16" t="s">
        <v>97</v>
      </c>
      <c r="H187" s="16" t="s">
        <v>275</v>
      </c>
      <c r="I187" s="16">
        <v>56820.579999999994</v>
      </c>
      <c r="J187" s="14">
        <v>0</v>
      </c>
      <c r="K187" s="16">
        <f>J187*($L$2-1)</f>
        <v>0</v>
      </c>
      <c r="L187" s="16">
        <f>SUM(I187:K187)</f>
        <v>56820.58</v>
      </c>
    </row>
    <row r="188" spans="1:12" ht="12.75">
      <c r="A188" s="14">
        <v>184</v>
      </c>
      <c r="B188" s="15" t="s">
        <v>368</v>
      </c>
      <c r="C188" s="15" t="s">
        <v>369</v>
      </c>
      <c r="D188" s="15" t="str">
        <f>CONCATENATE(C188," (Code: ",B188,")")</f>
        <v>Supply of Three Phase Submersible Pump 5 HP, Discharge 2500-6000 lph, Head 245-85m without Panel Board (Code: GWDMR184)</v>
      </c>
      <c r="E188" s="14" t="s">
        <v>18</v>
      </c>
      <c r="F188" s="16" t="s">
        <v>19</v>
      </c>
      <c r="G188" s="16" t="s">
        <v>97</v>
      </c>
      <c r="H188" s="16" t="s">
        <v>275</v>
      </c>
      <c r="I188" s="16">
        <v>54590.499999999993</v>
      </c>
      <c r="J188" s="14">
        <v>0</v>
      </c>
      <c r="K188" s="16">
        <f>J188*($L$2-1)</f>
        <v>0</v>
      </c>
      <c r="L188" s="16">
        <f>SUM(I188:K188)</f>
        <v>54590.50</v>
      </c>
    </row>
    <row r="189" spans="1:12" ht="12.75">
      <c r="A189" s="14">
        <v>185</v>
      </c>
      <c r="B189" s="15" t="s">
        <v>370</v>
      </c>
      <c r="C189" s="15" t="s">
        <v>371</v>
      </c>
      <c r="D189" s="15" t="str">
        <f>CONCATENATE(C189," (Code: ",B189,")")</f>
        <v>Supply of Three Phase Submersible Pump 5 HP, Discharge 2500-6000 lph, Head 285-70m without Panel Board (Code: GWDMR185)</v>
      </c>
      <c r="E189" s="14" t="s">
        <v>18</v>
      </c>
      <c r="F189" s="16" t="s">
        <v>19</v>
      </c>
      <c r="G189" s="16" t="s">
        <v>97</v>
      </c>
      <c r="H189" s="16" t="s">
        <v>275</v>
      </c>
      <c r="I189" s="16">
        <v>61559.499999999993</v>
      </c>
      <c r="J189" s="14">
        <v>0</v>
      </c>
      <c r="K189" s="16">
        <f>J189*($L$2-1)</f>
        <v>0</v>
      </c>
      <c r="L189" s="16">
        <f>SUM(I189:K189)</f>
        <v>61559.50</v>
      </c>
    </row>
    <row r="190" spans="1:12" ht="12.75">
      <c r="A190" s="14">
        <v>186</v>
      </c>
      <c r="B190" s="15" t="s">
        <v>372</v>
      </c>
      <c r="C190" s="15" t="s">
        <v>373</v>
      </c>
      <c r="D190" s="15" t="str">
        <f>CONCATENATE(C190," (Code: ",B190,")")</f>
        <v>Supply of Three Phase Submersible Pump 5 HP, Discharge 1000-3000 lph, Head 333-183m without Panel Board (Code: GWDMR186)</v>
      </c>
      <c r="E190" s="14" t="s">
        <v>18</v>
      </c>
      <c r="F190" s="16" t="s">
        <v>19</v>
      </c>
      <c r="G190" s="16" t="s">
        <v>97</v>
      </c>
      <c r="H190" s="16" t="s">
        <v>275</v>
      </c>
      <c r="I190" s="16">
        <v>80209.705499999982</v>
      </c>
      <c r="J190" s="14">
        <v>0</v>
      </c>
      <c r="K190" s="16">
        <f>J190*($L$2-1)</f>
        <v>0</v>
      </c>
      <c r="L190" s="16">
        <f>SUM(I190:K190)</f>
        <v>80209.705499999996</v>
      </c>
    </row>
    <row r="191" spans="1:12" ht="12.75">
      <c r="A191" s="14">
        <v>187</v>
      </c>
      <c r="B191" s="15" t="s">
        <v>374</v>
      </c>
      <c r="C191" s="15" t="s">
        <v>375</v>
      </c>
      <c r="D191" s="15" t="str">
        <f>CONCATENATE(C191," (Code: ",B191,")")</f>
        <v>Supply of Three Phase Submersible Pump 7.5 HP, Discharge 12000-30000 lph, Head 74-29m without Panel Board (Code: GWDMR187)</v>
      </c>
      <c r="E191" s="14" t="s">
        <v>18</v>
      </c>
      <c r="F191" s="16" t="s">
        <v>19</v>
      </c>
      <c r="G191" s="16" t="s">
        <v>97</v>
      </c>
      <c r="H191" s="16" t="s">
        <v>275</v>
      </c>
      <c r="I191" s="16">
        <v>61559.499999999993</v>
      </c>
      <c r="J191" s="14">
        <v>0</v>
      </c>
      <c r="K191" s="16">
        <f>J191*($L$2-1)</f>
        <v>0</v>
      </c>
      <c r="L191" s="16">
        <f>SUM(I191:K191)</f>
        <v>61559.50</v>
      </c>
    </row>
    <row r="192" spans="1:12" ht="12.75">
      <c r="A192" s="14">
        <v>188</v>
      </c>
      <c r="B192" s="15" t="s">
        <v>376</v>
      </c>
      <c r="C192" s="15" t="s">
        <v>377</v>
      </c>
      <c r="D192" s="15" t="str">
        <f>CONCATENATE(C192," (Code: ",B192,")")</f>
        <v>Supply of Three Phase Submersible Pump 7.5 HP, Discharge 7200-18000 lph, Head 94-65m without Panel Board (Code: GWDMR188)</v>
      </c>
      <c r="E192" s="14" t="s">
        <v>18</v>
      </c>
      <c r="F192" s="16" t="s">
        <v>19</v>
      </c>
      <c r="G192" s="16" t="s">
        <v>97</v>
      </c>
      <c r="H192" s="16" t="s">
        <v>275</v>
      </c>
      <c r="I192" s="16">
        <v>56332.749999999993</v>
      </c>
      <c r="J192" s="14">
        <v>0</v>
      </c>
      <c r="K192" s="16">
        <f>J192*($L$2-1)</f>
        <v>0</v>
      </c>
      <c r="L192" s="16">
        <f>SUM(I192:K192)</f>
        <v>56332.75</v>
      </c>
    </row>
    <row r="193" spans="1:12" ht="12.75">
      <c r="A193" s="14">
        <v>189</v>
      </c>
      <c r="B193" s="15" t="s">
        <v>378</v>
      </c>
      <c r="C193" s="15" t="s">
        <v>379</v>
      </c>
      <c r="D193" s="15" t="str">
        <f>CONCATENATE(C193," (Code: ",B193,")")</f>
        <v>Supply of Three Phase Submersible Pump 7.5 HP, Discharge 6000-18000 lph, Head 112-69m without Panel Board (Code: GWDMR189)</v>
      </c>
      <c r="E193" s="14" t="s">
        <v>18</v>
      </c>
      <c r="F193" s="16" t="s">
        <v>19</v>
      </c>
      <c r="G193" s="16" t="s">
        <v>97</v>
      </c>
      <c r="H193" s="16" t="s">
        <v>275</v>
      </c>
      <c r="I193" s="16">
        <v>67216.005000000005</v>
      </c>
      <c r="J193" s="14">
        <v>0</v>
      </c>
      <c r="K193" s="16">
        <f>J193*($L$2-1)</f>
        <v>0</v>
      </c>
      <c r="L193" s="16">
        <f>SUM(I193:K193)</f>
        <v>67216.005000000005</v>
      </c>
    </row>
    <row r="194" spans="1:12" ht="12.75">
      <c r="A194" s="14">
        <v>190</v>
      </c>
      <c r="B194" s="15" t="s">
        <v>380</v>
      </c>
      <c r="C194" s="15" t="s">
        <v>381</v>
      </c>
      <c r="D194" s="15" t="str">
        <f>CONCATENATE(C194," (Code: ",B194,")")</f>
        <v>Supply of Three Phase Submersible Pump 7.5 HP, Discharge 5000-14000 lph, Head 140-75m without Panel Board (Code: GWDMR190)</v>
      </c>
      <c r="E194" s="14" t="s">
        <v>18</v>
      </c>
      <c r="F194" s="16" t="s">
        <v>19</v>
      </c>
      <c r="G194" s="16" t="s">
        <v>97</v>
      </c>
      <c r="H194" s="16" t="s">
        <v>275</v>
      </c>
      <c r="I194" s="16">
        <v>72003.707999999984</v>
      </c>
      <c r="J194" s="14">
        <v>0</v>
      </c>
      <c r="K194" s="16">
        <f>J194*($L$2-1)</f>
        <v>0</v>
      </c>
      <c r="L194" s="16">
        <f>SUM(I194:K194)</f>
        <v>72003.707999999999</v>
      </c>
    </row>
    <row r="195" spans="1:12" ht="12.75">
      <c r="A195" s="14">
        <v>191</v>
      </c>
      <c r="B195" s="15" t="s">
        <v>382</v>
      </c>
      <c r="C195" s="15" t="s">
        <v>383</v>
      </c>
      <c r="D195" s="15" t="str">
        <f>CONCATENATE(C195," (Code: ",B195,")")</f>
        <v>Supply of Three Phase Submersible Pump 7.5 HP, Discharge 5000-14000 lph, Head 158-85m without Panel Board (Code: GWDMR191)</v>
      </c>
      <c r="E195" s="14" t="s">
        <v>18</v>
      </c>
      <c r="F195" s="16" t="s">
        <v>19</v>
      </c>
      <c r="G195" s="16" t="s">
        <v>97</v>
      </c>
      <c r="H195" s="16" t="s">
        <v>275</v>
      </c>
      <c r="I195" s="16">
        <v>74094.407999999996</v>
      </c>
      <c r="J195" s="14">
        <v>0</v>
      </c>
      <c r="K195" s="16">
        <f>J195*($L$2-1)</f>
        <v>0</v>
      </c>
      <c r="L195" s="16">
        <f>SUM(I195:K195)</f>
        <v>74094.407999999996</v>
      </c>
    </row>
    <row r="196" spans="1:12" ht="12.75">
      <c r="A196" s="14">
        <v>192</v>
      </c>
      <c r="B196" s="15" t="s">
        <v>384</v>
      </c>
      <c r="C196" s="15" t="s">
        <v>385</v>
      </c>
      <c r="D196" s="15" t="str">
        <f>CONCATENATE(C196," (Code: ",B196,")")</f>
        <v>Supply of Three Phase Submersible Pump 7.5 HP, Discharge 3000-9000 lph, Head 214-110m without Panel Board (Code: GWDMR192)</v>
      </c>
      <c r="E196" s="14" t="s">
        <v>18</v>
      </c>
      <c r="F196" s="16" t="s">
        <v>19</v>
      </c>
      <c r="G196" s="16" t="s">
        <v>97</v>
      </c>
      <c r="H196" s="16" t="s">
        <v>275</v>
      </c>
      <c r="I196" s="16">
        <v>76598.601999999999</v>
      </c>
      <c r="J196" s="14">
        <v>0</v>
      </c>
      <c r="K196" s="16">
        <f>J196*($L$2-1)</f>
        <v>0</v>
      </c>
      <c r="L196" s="16">
        <f>SUM(I196:K196)</f>
        <v>76598.601999999999</v>
      </c>
    </row>
    <row r="197" spans="1:12" ht="12.75">
      <c r="A197" s="14">
        <v>193</v>
      </c>
      <c r="B197" s="15" t="s">
        <v>386</v>
      </c>
      <c r="C197" s="15" t="s">
        <v>387</v>
      </c>
      <c r="D197" s="15" t="str">
        <f>CONCATENATE(C197," (Code: ",B197,")")</f>
        <v>32 A DP switch with indicator modular (MR1017) (Code: GWDMR193)</v>
      </c>
      <c r="E197" s="14" t="s">
        <v>18</v>
      </c>
      <c r="F197" s="16" t="s">
        <v>19</v>
      </c>
      <c r="G197" s="16" t="s">
        <v>97</v>
      </c>
      <c r="H197" s="16" t="s">
        <v>275</v>
      </c>
      <c r="I197" s="16">
        <v>432</v>
      </c>
      <c r="J197" s="14">
        <v>0</v>
      </c>
      <c r="K197" s="16">
        <f>J197*($L$2-1)</f>
        <v>0</v>
      </c>
      <c r="L197" s="16">
        <f>SUM(I197:K197)</f>
        <v>432</v>
      </c>
    </row>
  </sheetData>
  <mergeCells count="3">
    <mergeCell ref="A1:I2"/>
    <mergeCell ref="J1:K1"/>
    <mergeCell ref="J2:K2"/>
  </mergeCells>
  <dataValidations count="1">
    <dataValidation type="list" allowBlank="1" showErrorMessage="1" sqref="J2">
      <formula1>District</formula1>
    </dataValidation>
  </dataValidations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