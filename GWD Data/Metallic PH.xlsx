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sharedStrings.xml" ContentType="application/vnd.openxmlformats-officedocument.spreadsheetml.sharedStrings+xml"/>
  <Override PartName="/xl/externalLinks/externalLink1.xml" ContentType="application/vnd.openxmlformats-officedocument.spreadsheetml.externalLink+xml"/>
  <Override PartName="/xl/calcChain.xml" ContentType="application/vnd.openxmlformats-officedocument.spreadsheetml.calcChain+xml"/>
</Types>
</file>

<file path=_rels/.rels><?xml version="1.0" encoding="UTF-8" standalone="yes"?><Relationships xmlns="http://schemas.openxmlformats.org/package/2006/relationships"><Relationship Id="rId2" Type="http://schemas.openxmlformats.org/package/2006/relationships/metadata/core-properties" Target="docProps/core.xml" /><Relationship Id="rId1" Type="http://schemas.openxmlformats.org/officeDocument/2006/relationships/officeDocument" Target="xl/workbook.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Sheet1" sheetId="1" r:id="rId3"/>
  </sheets>
  <externalReferences>
    <externalReference r:id="rId5"/>
  </externalReferences>
  <definedNames/>
  <calcPr fullCalcOnLoad="1"/>
</workbook>
</file>

<file path=xl/calcChain.xml><?xml version="1.0" encoding="utf-8"?>
<calcChain xmlns="http://schemas.openxmlformats.org/spreadsheetml/2006/main">
  <c r="G4" i="1" l="1"/>
</calcChain>
</file>

<file path=xl/sharedStrings.xml><?xml version="1.0" encoding="utf-8"?>
<sst xmlns="http://schemas.openxmlformats.org/spreadsheetml/2006/main" count="93" uniqueCount="67">
  <si>
    <t>Metallic Pump House of size 1.2 x 0.9 x 2 m</t>
  </si>
  <si>
    <t>Sl. No.</t>
  </si>
  <si>
    <t>Item</t>
  </si>
  <si>
    <t>No.</t>
  </si>
  <si>
    <t>L</t>
  </si>
  <si>
    <t>B</t>
  </si>
  <si>
    <t>D</t>
  </si>
  <si>
    <t>Total</t>
  </si>
  <si>
    <t xml:space="preserve">Unit </t>
  </si>
  <si>
    <t>Rate</t>
  </si>
  <si>
    <t>Amount</t>
  </si>
  <si>
    <t>Surface dressing of the ground including removing vegetation and in-equalities not exceeding 15 cm deep and disposal of rubbish, lead up to 50 m and lift up to 1.5 m.
All kinds of soil as per DSR item 2.28.1</t>
  </si>
  <si>
    <t>Area</t>
  </si>
  <si>
    <r>
      <rPr>
        <sz val="12"/>
        <color theme="1"/>
        <rFont val="Cambria"/>
        <family val="2"/>
      </rPr>
      <t>m</t>
    </r>
    <r>
      <rPr>
        <vertAlign val="superscript"/>
        <sz val="12"/>
        <color theme="1"/>
        <rFont val="Cambria"/>
        <family val="2"/>
      </rPr>
      <t>2</t>
    </r>
  </si>
  <si>
    <t>Earth work in excavation by mechanical means (Hydraulic excavator) / manual means in foundation trenches or drains (not exceeding 1.5 m in width or 10 sqm on plan), including dressing of sides and ramming of bottoms, lift up to 1.5 m, including getting out the excavated soil and disposal of surplus excavated soil as directed, within a lead of 50 m.  as per DSR item 2.8.1</t>
  </si>
  <si>
    <t>Foundation</t>
  </si>
  <si>
    <t>Step</t>
  </si>
  <si>
    <r>
      <rPr>
        <sz val="12"/>
        <color theme="1"/>
        <rFont val="Cambria"/>
        <family val="2"/>
      </rPr>
      <t>m</t>
    </r>
    <r>
      <rPr>
        <vertAlign val="superscript"/>
        <sz val="12"/>
        <color theme="1"/>
        <rFont val="Cambria"/>
        <family val="2"/>
      </rPr>
      <t>3</t>
    </r>
  </si>
  <si>
    <t>Providing and laying in position cement concrete of specified grade excluding the cost of centering and shuttering - All work up to plinth level: 1:4:8 as per DSR item 4.1.8</t>
  </si>
  <si>
    <t>Coursed rubble masonry (first sort) with hard stone in foundation and plinth with Cement mortar 1:6 as per DSR item 7.6.1</t>
  </si>
  <si>
    <t>Foundation &amp; Basement</t>
  </si>
  <si>
    <t>12 mm cement plaster of mix 1:4 as per DSR item 13.1.1</t>
  </si>
  <si>
    <t xml:space="preserve">Outside </t>
  </si>
  <si>
    <t xml:space="preserve">Top </t>
  </si>
  <si>
    <t>Step sides</t>
  </si>
  <si>
    <t>Step top</t>
  </si>
  <si>
    <t>Filling available excavated earth (excluding rock) in trenches, plinth, sides of foundations etc. in layers not exceeding 20 cm in depth, consolidating each deposited layer by ramming and watering, lead up to 50 m and lift up to 1.5 m as per DSR item  2.25</t>
  </si>
  <si>
    <t>Inside Area of Basement</t>
  </si>
  <si>
    <t>Cement concrete flooring 1:2:4 finished with a floating coat of neat cement, including cement slurry complete (40 mm thick with 20 mm nominal size stone aggregate) as per DSR item  11.3.1</t>
  </si>
  <si>
    <t>Inside Area</t>
  </si>
  <si>
    <t>Structural steel work  including wastage, cutting, hoisting, fixing in position and applying a priming coat of approved steel primer all complete as per DSR 10.1</t>
  </si>
  <si>
    <t>MS angle 35 x 35 x 5mm</t>
  </si>
  <si>
    <t>Total
L</t>
  </si>
  <si>
    <t>Weight</t>
  </si>
  <si>
    <t>Unit</t>
  </si>
  <si>
    <t>Total Weight</t>
  </si>
  <si>
    <t>Front side corner</t>
  </si>
  <si>
    <t>Back side corner</t>
  </si>
  <si>
    <t>Top edge front &amp; back</t>
  </si>
  <si>
    <t>Top edge sides</t>
  </si>
  <si>
    <t>Door vertical</t>
  </si>
  <si>
    <t>Door Horizontal</t>
  </si>
  <si>
    <t>Total Length</t>
  </si>
  <si>
    <t>Kg/m</t>
  </si>
  <si>
    <t>MS Flat 35 x 6mm</t>
  </si>
  <si>
    <t>Back side  vertical</t>
  </si>
  <si>
    <t>Back side Horizontal</t>
  </si>
  <si>
    <t>Front side  vertical</t>
  </si>
  <si>
    <t>Front side Horizontal</t>
  </si>
  <si>
    <t>side  vertical</t>
  </si>
  <si>
    <t>side Horizontal</t>
  </si>
  <si>
    <t>Roof</t>
  </si>
  <si>
    <t>GI Sheet work  including wastage, cutting, hoisting, fixing in position, welding and applying a priming coat of approved steel primer all complete</t>
  </si>
  <si>
    <t>GI sheet 0.8 mm thick 8019</t>
  </si>
  <si>
    <t>Front side</t>
  </si>
  <si>
    <t>Back side</t>
  </si>
  <si>
    <t>Sides</t>
  </si>
  <si>
    <t>roof</t>
  </si>
  <si>
    <t>Total Area</t>
  </si>
  <si>
    <r>
      <rPr>
        <sz val="12"/>
        <color theme="1"/>
        <rFont val="Cambria"/>
        <family val="2"/>
      </rPr>
      <t>Kg/m</t>
    </r>
    <r>
      <rPr>
        <vertAlign val="superscript"/>
        <sz val="12"/>
        <color theme="1"/>
        <rFont val="Cambria"/>
        <family val="2"/>
      </rPr>
      <t>2</t>
    </r>
  </si>
  <si>
    <t>kg</t>
  </si>
  <si>
    <t>Locking arrangements  and handles 14.41</t>
  </si>
  <si>
    <t>Nos</t>
  </si>
  <si>
    <t>Supplying and fixing Hinges for doors 14.40.2</t>
  </si>
  <si>
    <t>Unforeseen if any</t>
  </si>
  <si>
    <t>TOTAL</t>
  </si>
  <si>
    <t>Say Rs.26000 x Cost Index</t>
  </si>
</sst>
</file>

<file path=xl/styles.xml><?xml version="1.0" encoding="utf-8"?>
<styleSheet xmlns="http://schemas.openxmlformats.org/spreadsheetml/2006/main">
  <numFmts count="2">
    <numFmt numFmtId="177" formatCode="0.000;[RED]0.000"/>
    <numFmt numFmtId="178" formatCode="0.00;[RED]0.00"/>
  </numFmts>
  <fonts count="7">
    <font>
      <sz val="10"/>
      <color theme="1"/>
      <name val="Arial"/>
      <family val="2"/>
    </font>
    <font>
      <b/>
      <sz val="12"/>
      <color theme="1"/>
      <name val="Cambria"/>
      <family val="2"/>
    </font>
    <font>
      <sz val="11"/>
      <color theme="1"/>
      <name val="Cambria"/>
      <family val="2"/>
    </font>
    <font>
      <sz val="11"/>
      <color rgb="FF000000"/>
      <name val="Calibri"/>
      <family val="2"/>
      <scheme val="minor"/>
    </font>
    <font>
      <sz val="12"/>
      <color theme="1"/>
      <name val="Cambria"/>
      <family val="2"/>
    </font>
    <font>
      <b/>
      <sz val="13"/>
      <color theme="1"/>
      <name val="Cambria"/>
      <family val="2"/>
    </font>
    <font>
      <vertAlign val="superscript"/>
      <sz val="12"/>
      <color theme="1"/>
      <name val="Cambria"/>
      <family val="2"/>
    </font>
  </fonts>
  <fills count="3">
    <fill>
      <patternFill patternType="none"/>
    </fill>
    <fill>
      <patternFill patternType="gray125"/>
    </fill>
    <fill>
      <patternFill patternType="solid">
        <fgColor rgb="FFFFF2CC"/>
        <bgColor indexed="64"/>
      </patternFill>
    </fill>
  </fills>
  <borders count="8">
    <border>
      <left/>
      <right/>
      <top/>
      <bottom/>
      <diagonal/>
    </border>
    <border>
      <left style="thin">
        <color rgb="FF3D3D3D"/>
      </left>
      <right style="thin">
        <color rgb="FF3D3D3D"/>
      </right>
      <top style="thin">
        <color rgb="FF3D3D3D"/>
      </top>
      <bottom style="thin">
        <color rgb="FF3D3D3D"/>
      </bottom>
    </border>
    <border>
      <left style="thin">
        <color rgb="FF3D3D3D"/>
      </left>
      <right style="thin">
        <color rgb="FF3D3D3D"/>
      </right>
      <top style="thin">
        <color rgb="FF3D3D3D"/>
      </top>
      <bottom/>
    </border>
    <border>
      <left style="thin">
        <color rgb="FF3D3D3D"/>
      </left>
      <right/>
      <top style="thin">
        <color rgb="FF3D3D3D"/>
      </top>
      <bottom style="thin">
        <color rgb="FF3D3D3D"/>
      </bottom>
    </border>
    <border>
      <left/>
      <right/>
      <top style="thin">
        <color rgb="FF3D3D3D"/>
      </top>
      <bottom style="thin">
        <color rgb="FF3D3D3D"/>
      </bottom>
    </border>
    <border>
      <left style="thin">
        <color rgb="FF3D3D3D"/>
      </left>
      <right style="thin">
        <color rgb="FF3D3D3D"/>
      </right>
      <top/>
      <bottom/>
    </border>
    <border>
      <left style="thin">
        <color rgb="FF3D3D3D"/>
      </left>
      <right style="thin">
        <color rgb="FF3D3D3D"/>
      </right>
      <top/>
      <bottom style="thin">
        <color rgb="FF3D3D3D"/>
      </bottom>
    </border>
    <border>
      <left/>
      <right style="thin">
        <color rgb="FF3D3D3D"/>
      </right>
      <top style="thin">
        <color rgb="FF3D3D3D"/>
      </top>
      <bottom style="thin">
        <color rgb="FF3D3D3D"/>
      </bottom>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19">
    <xf numFmtId="0" fontId="0" fillId="0" borderId="0" xfId="0"/>
    <xf numFmtId="0" fontId="5" fillId="2" borderId="0" xfId="0" applyFont="1" applyAlignment="1">
      <alignment horizontal="center" vertical="center" wrapText="1"/>
    </xf>
    <xf numFmtId="0" fontId="4" fillId="2" borderId="1" xfId="0" applyFont="1" applyBorder="1" applyAlignment="1">
      <alignment horizontal="center" vertical="center" wrapText="1"/>
    </xf>
    <xf numFmtId="178" fontId="4" fillId="2" borderId="1" xfId="0" applyNumberFormat="1" applyFont="1" applyBorder="1" applyAlignment="1">
      <alignment horizontal="center" vertical="center" wrapText="1"/>
    </xf>
    <xf numFmtId="2" fontId="4" fillId="2" borderId="1" xfId="0" applyNumberFormat="1" applyFont="1" applyBorder="1" applyAlignment="1">
      <alignment horizontal="center" vertical="center" wrapText="1"/>
    </xf>
    <xf numFmtId="0" fontId="4" fillId="2" borderId="2" xfId="0" applyFont="1" applyBorder="1" applyAlignment="1">
      <alignment horizontal="center" vertical="center" wrapText="1"/>
    </xf>
    <xf numFmtId="0" fontId="4" fillId="2" borderId="3" xfId="0" applyFont="1" applyBorder="1" applyAlignment="1">
      <alignment horizontal="left" vertical="center" wrapText="1"/>
    </xf>
    <xf numFmtId="0" fontId="3" fillId="0" borderId="4" xfId="0" applyFont="1" applyBorder="1"/>
    <xf numFmtId="0" fontId="3" fillId="0" borderId="5" xfId="0" applyFont="1" applyBorder="1"/>
    <xf numFmtId="0" fontId="4" fillId="2" borderId="1" xfId="0" applyFont="1" applyBorder="1" applyAlignment="1">
      <alignment horizontal="left" vertical="center" wrapText="1"/>
    </xf>
    <xf numFmtId="177" fontId="4" fillId="2" borderId="1" xfId="0" applyNumberFormat="1" applyFont="1" applyBorder="1" applyAlignment="1">
      <alignment horizontal="center" vertical="center" wrapText="1"/>
    </xf>
    <xf numFmtId="0" fontId="3" fillId="0" borderId="6" xfId="0" applyFont="1" applyBorder="1"/>
    <xf numFmtId="0" fontId="4" fillId="2" borderId="1" xfId="0" applyFont="1" applyBorder="1" applyAlignment="1">
      <alignment vertical="center" wrapText="1"/>
    </xf>
    <xf numFmtId="0" fontId="4" fillId="2" borderId="3" xfId="0" applyFont="1" applyBorder="1" applyAlignment="1">
      <alignment vertical="center" wrapText="1"/>
    </xf>
    <xf numFmtId="0" fontId="3" fillId="0" borderId="7" xfId="0" applyFont="1" applyBorder="1"/>
    <xf numFmtId="0" fontId="2" fillId="2" borderId="0" xfId="0" applyFont="1"/>
    <xf numFmtId="0" fontId="1" fillId="2" borderId="3" xfId="0" applyFont="1" applyBorder="1" applyAlignment="1">
      <alignment vertical="center" wrapText="1"/>
    </xf>
    <xf numFmtId="2" fontId="1" fillId="2" borderId="1" xfId="0" applyNumberFormat="1" applyFont="1" applyBorder="1" applyAlignment="1">
      <alignment horizontal="center" vertical="center" wrapText="1"/>
    </xf>
    <xf numFmtId="0" fontId="1" fillId="2" borderId="3" xfId="0" applyFont="1" applyBorder="1" applyAlignment="1">
      <alignment horizontal="center" vertical="center" wrapText="1"/>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2" Type="http://schemas.openxmlformats.org/officeDocument/2006/relationships/styles" Target="styles.xml" /><Relationship Id="rId5" Type="http://schemas.openxmlformats.org/officeDocument/2006/relationships/externalLink" Target="externalLinks/externalLink1.xml" /><Relationship Id="rId1" Type="http://schemas.openxmlformats.org/officeDocument/2006/relationships/theme" Target="theme/theme1.xml" /><Relationship Id="rId3" Type="http://schemas.openxmlformats.org/officeDocument/2006/relationships/worksheet" Target="worksheets/sheet1.xml" /><Relationship Id="rId4" Type="http://schemas.openxmlformats.org/officeDocument/2006/relationships/sharedStrings" Target="sharedStrings.xml" /><Relationship Id="rId6" Type="http://schemas.openxmlformats.org/officeDocument/2006/relationships/calcChain" Target="calcChain.xml" /></Relationships>
</file>

<file path=xl/externalLinks/_rels/externalLink1.xml.rels><?xml version="1.0" encoding="UTF-8" standalone="yes"?><Relationships xmlns="http://schemas.openxmlformats.org/package/2006/relationships"><Relationship Id="rId1" Type="http://schemas.openxmlformats.org/officeDocument/2006/relationships/externalLinkPath" Target="Book1.xlsx" TargetMode="External" /></Relationships>
</file>

<file path=xl/externalLinks/externalLink1.xml><?xml version="1.0" encoding="utf-8"?>
<externalLink xmlns="http://schemas.openxmlformats.org/spreadsheetml/2006/main">
  <externalBook xmlns:r="http://schemas.openxmlformats.org/officeDocument/2006/relationships" r:id="rId1">
    <sheetNames>
      <sheetName val="GWD DR Abstract"/>
      <sheetName val="GWD MR Abstract"/>
      <sheetName val="3 Core Cable PRICE"/>
      <sheetName val="ARS Filter Media"/>
      <sheetName val="BW Casing Pipes"/>
      <sheetName val="GI on Wall PRICE"/>
      <sheetName val="GI wo Trench"/>
      <sheetName val="GI With Trench PRICE"/>
      <sheetName val="GI Works"/>
      <sheetName val="Gravel for TWC"/>
      <sheetName val="Gutter&amp;Clamp"/>
      <sheetName val="HDPE Pipe PRICE"/>
      <sheetName val="HP Repair Labour"/>
      <sheetName val="HP Repair Spares"/>
      <sheetName val="Hydrants"/>
      <sheetName val="Iron Structure"/>
      <sheetName val="Metallic PH"/>
      <sheetName val="Motor Starter GWD"/>
      <sheetName val="Motor Starter Monoblock"/>
      <sheetName val="Motor Starter PRICE"/>
      <sheetName val="Other Fittings PRICE"/>
      <sheetName val="Panel Board"/>
      <sheetName val="Pump Erection "/>
      <sheetName val="Pump Pullout"/>
      <sheetName val="PVC Fittings"/>
      <sheetName val="PVC Fittings PRICE"/>
      <sheetName val="PVC on Wall PRICE"/>
      <sheetName val="PVC wo Trench"/>
      <sheetName val="PVC With Trench"/>
      <sheetName val="PVC With Trench PRICE"/>
      <sheetName val="Scaffolding"/>
      <sheetName val="Services"/>
      <sheetName val="TW Casing Pipes"/>
      <sheetName val="UG Cable PRICE"/>
      <sheetName val="Water Meter"/>
      <sheetName val="Water Tank"/>
      <sheetName val="Well Protection"/>
      <sheetName val="WTP"/>
      <sheetName val="ZCost Index"/>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58FBAABE-EBD2-45CA-B8F1-F604A95CB9A6}">
  <dimension ref="A1:J63"/>
  <sheetViews>
    <sheetView tabSelected="1" workbookViewId="0" topLeftCell="A1"/>
  </sheetViews>
  <sheetFormatPr defaultRowHeight="12.75"/>
  <sheetData>
    <row r="1" spans="1:1" ht="12.75">
      <c r="A1" s="1" t="s">
        <v>0</v>
      </c>
    </row>
    <row r="2" spans="1:10" ht="12.75">
      <c r="A2" s="2" t="s">
        <v>1</v>
      </c>
      <c r="B2" s="2" t="s">
        <v>2</v>
      </c>
      <c r="C2" s="2" t="s">
        <v>3</v>
      </c>
      <c r="D2" s="2" t="s">
        <v>4</v>
      </c>
      <c r="E2" s="2" t="s">
        <v>5</v>
      </c>
      <c r="F2" s="2" t="s">
        <v>6</v>
      </c>
      <c r="G2" s="3" t="s">
        <v>7</v>
      </c>
      <c r="H2" s="2" t="s">
        <v>8</v>
      </c>
      <c r="I2" s="2" t="s">
        <v>9</v>
      </c>
      <c r="J2" s="4" t="s">
        <v>10</v>
      </c>
    </row>
    <row r="3" spans="1:10" ht="12.75">
      <c r="A3" s="5">
        <v>1</v>
      </c>
      <c r="B3" s="6" t="s">
        <v>11</v>
      </c>
      <c r="C3" s="7"/>
      <c r="D3" s="7"/>
      <c r="E3" s="7"/>
      <c r="F3" s="7"/>
      <c r="G3" s="7"/>
      <c r="H3" s="7"/>
      <c r="I3" s="7"/>
      <c r="J3" s="2"/>
    </row>
    <row r="4" spans="1:10" ht="12.75">
      <c r="A4" s="8"/>
      <c r="B4" s="9" t="s">
        <v>12</v>
      </c>
      <c r="C4" s="2">
        <v>1</v>
      </c>
      <c r="D4" s="2">
        <v>2</v>
      </c>
      <c r="E4" s="2">
        <v>1.50</v>
      </c>
      <c r="F4" s="2"/>
      <c r="G4" s="10">
        <f>PRODUCT(C4:F4)</f>
        <v>3</v>
      </c>
      <c r="H4" s="2"/>
      <c r="I4" s="2"/>
      <c r="J4" s="2"/>
    </row>
    <row r="5" spans="1:10" ht="12.75">
      <c r="A5" s="11"/>
      <c r="B5" s="12" t="s">
        <v>7</v>
      </c>
      <c r="C5" s="2"/>
      <c r="D5" s="2"/>
      <c r="E5" s="2"/>
      <c r="F5" s="2"/>
      <c r="G5" s="10">
        <f>SUM(G4)</f>
        <v>3</v>
      </c>
      <c r="H5" s="2" t="s">
        <v>13</v>
      </c>
      <c r="I5" s="2">
        <v>24.43</v>
      </c>
      <c r="J5" s="4">
        <f>G5*I5</f>
        <v>73.29</v>
      </c>
    </row>
    <row r="6" spans="1:10" ht="12.75">
      <c r="A6" s="5">
        <v>2</v>
      </c>
      <c r="B6" s="13" t="s">
        <v>14</v>
      </c>
      <c r="C6" s="7"/>
      <c r="D6" s="7"/>
      <c r="E6" s="7"/>
      <c r="F6" s="7"/>
      <c r="G6" s="7"/>
      <c r="H6" s="7"/>
      <c r="I6" s="14"/>
      <c r="J6" s="2"/>
    </row>
    <row r="7" spans="1:10" ht="12.75">
      <c r="A7" s="8"/>
      <c r="B7" s="12" t="s">
        <v>15</v>
      </c>
      <c r="C7" s="2">
        <v>1</v>
      </c>
      <c r="D7" s="2">
        <f>2*(1.2+0.9)</f>
        <v>4.20</v>
      </c>
      <c r="E7" s="2">
        <v>0.30</v>
      </c>
      <c r="F7" s="2">
        <v>0.30</v>
      </c>
      <c r="G7" s="10">
        <f>PRODUCT(C7:F7)</f>
        <v>0.378</v>
      </c>
      <c r="H7" s="2"/>
      <c r="I7" s="2"/>
      <c r="J7" s="2"/>
    </row>
    <row r="8" spans="1:10" ht="12.75">
      <c r="A8" s="8"/>
      <c r="B8" s="12" t="s">
        <v>16</v>
      </c>
      <c r="C8" s="2">
        <v>1</v>
      </c>
      <c r="D8" s="2">
        <v>0.50</v>
      </c>
      <c r="E8" s="2">
        <v>0.30</v>
      </c>
      <c r="F8" s="2">
        <v>0.20</v>
      </c>
      <c r="G8" s="10">
        <f>PRODUCT(C8:F8)</f>
        <v>0.03</v>
      </c>
      <c r="H8" s="2"/>
      <c r="I8" s="2"/>
      <c r="J8" s="2"/>
    </row>
    <row r="9" spans="1:10" ht="12.75">
      <c r="A9" s="11"/>
      <c r="B9" s="12" t="s">
        <v>7</v>
      </c>
      <c r="C9" s="2"/>
      <c r="D9" s="2"/>
      <c r="E9" s="2"/>
      <c r="F9" s="2"/>
      <c r="G9" s="10">
        <f>SUM(G7:G8)</f>
        <v>0.40799999999999997</v>
      </c>
      <c r="H9" s="2" t="s">
        <v>17</v>
      </c>
      <c r="I9" s="2">
        <v>249.04</v>
      </c>
      <c r="J9" s="4">
        <f>G9*I9</f>
        <v>101.60832000000001</v>
      </c>
    </row>
    <row r="10" spans="1:10" ht="12.75">
      <c r="A10" s="5">
        <v>3</v>
      </c>
      <c r="B10" s="6" t="s">
        <v>18</v>
      </c>
      <c r="C10" s="7"/>
      <c r="D10" s="7"/>
      <c r="E10" s="7"/>
      <c r="F10" s="7"/>
      <c r="G10" s="7"/>
      <c r="H10" s="7"/>
      <c r="I10" s="14"/>
      <c r="J10" s="2"/>
    </row>
    <row r="11" spans="1:10" ht="12.75">
      <c r="A11" s="8"/>
      <c r="B11" s="12" t="s">
        <v>15</v>
      </c>
      <c r="C11" s="2">
        <v>1</v>
      </c>
      <c r="D11" s="2">
        <f>D7</f>
        <v>4.20</v>
      </c>
      <c r="E11" s="2">
        <f>E7</f>
        <v>0.30</v>
      </c>
      <c r="F11" s="2">
        <v>0.10</v>
      </c>
      <c r="G11" s="10">
        <f>PRODUCT(C11:F11)</f>
        <v>0.126</v>
      </c>
      <c r="H11" s="2"/>
      <c r="I11" s="2"/>
      <c r="J11" s="2"/>
    </row>
    <row r="12" spans="1:10" ht="12.75">
      <c r="A12" s="8"/>
      <c r="B12" s="12" t="s">
        <v>16</v>
      </c>
      <c r="C12" s="2">
        <v>1</v>
      </c>
      <c r="D12" s="2">
        <f>D8</f>
        <v>0.50</v>
      </c>
      <c r="E12" s="2">
        <f>E8</f>
        <v>0.30</v>
      </c>
      <c r="F12" s="2">
        <v>0.10</v>
      </c>
      <c r="G12" s="10">
        <f>PRODUCT(C12:F12)</f>
        <v>0.015</v>
      </c>
      <c r="H12" s="2"/>
      <c r="I12" s="2"/>
      <c r="J12" s="2"/>
    </row>
    <row r="13" spans="1:10" ht="12.75">
      <c r="A13" s="11"/>
      <c r="B13" s="12" t="s">
        <v>7</v>
      </c>
      <c r="C13" s="2"/>
      <c r="D13" s="2"/>
      <c r="E13" s="2"/>
      <c r="F13" s="2"/>
      <c r="G13" s="10">
        <f>SUM(G11:G12)</f>
        <v>0.14099999999999999</v>
      </c>
      <c r="H13" s="2" t="s">
        <v>17</v>
      </c>
      <c r="I13" s="2">
        <v>5491.79</v>
      </c>
      <c r="J13" s="4">
        <f>G13*I13</f>
        <v>774.34239000000002</v>
      </c>
    </row>
    <row r="14" spans="1:10" ht="12.75">
      <c r="A14" s="5">
        <v>4</v>
      </c>
      <c r="B14" s="6" t="s">
        <v>19</v>
      </c>
      <c r="C14" s="7"/>
      <c r="D14" s="7"/>
      <c r="E14" s="7"/>
      <c r="F14" s="7"/>
      <c r="G14" s="7"/>
      <c r="H14" s="7"/>
      <c r="I14" s="7"/>
      <c r="J14" s="2"/>
    </row>
    <row r="15" spans="1:10" ht="12.75">
      <c r="A15" s="8"/>
      <c r="B15" s="12" t="s">
        <v>20</v>
      </c>
      <c r="C15" s="2">
        <v>1</v>
      </c>
      <c r="D15" s="2">
        <f>D11</f>
        <v>4.20</v>
      </c>
      <c r="E15" s="2">
        <f>E11</f>
        <v>0.30</v>
      </c>
      <c r="F15" s="2">
        <f>0.2+0.3</f>
        <v>0.50</v>
      </c>
      <c r="G15" s="10">
        <f>PRODUCT(C15:F15)</f>
        <v>0.63</v>
      </c>
      <c r="H15" s="2"/>
      <c r="I15" s="2"/>
      <c r="J15" s="2"/>
    </row>
    <row r="16" spans="1:10" ht="12.75">
      <c r="A16" s="8"/>
      <c r="B16" s="12" t="s">
        <v>16</v>
      </c>
      <c r="C16" s="2">
        <v>1</v>
      </c>
      <c r="D16" s="2">
        <f>D12</f>
        <v>0.50</v>
      </c>
      <c r="E16" s="2">
        <f>E12</f>
        <v>0.30</v>
      </c>
      <c r="F16" s="2">
        <f>0.1+0.15</f>
        <v>0.25</v>
      </c>
      <c r="G16" s="10">
        <f>PRODUCT(C16:F16)</f>
        <v>0.0375</v>
      </c>
      <c r="H16" s="2"/>
      <c r="I16" s="2"/>
      <c r="J16" s="2"/>
    </row>
    <row r="17" spans="1:10" ht="12.75">
      <c r="A17" s="11"/>
      <c r="B17" s="12" t="s">
        <v>7</v>
      </c>
      <c r="C17" s="2"/>
      <c r="D17" s="2"/>
      <c r="E17" s="2"/>
      <c r="F17" s="2"/>
      <c r="G17" s="10">
        <f>SUM(G15:G16)</f>
        <v>0.6675</v>
      </c>
      <c r="H17" s="2" t="s">
        <v>17</v>
      </c>
      <c r="I17" s="2">
        <v>6870.79</v>
      </c>
      <c r="J17" s="4">
        <f>G17*I17</f>
        <v>4586.2523250000004</v>
      </c>
    </row>
    <row r="18" spans="1:10" ht="12.75">
      <c r="A18" s="5">
        <v>5</v>
      </c>
      <c r="B18" s="6" t="s">
        <v>21</v>
      </c>
      <c r="C18" s="7"/>
      <c r="D18" s="7"/>
      <c r="E18" s="7"/>
      <c r="F18" s="7"/>
      <c r="G18" s="7"/>
      <c r="H18" s="7"/>
      <c r="I18" s="7"/>
      <c r="J18" s="2"/>
    </row>
    <row r="19" spans="1:10" ht="12.75">
      <c r="A19" s="8"/>
      <c r="B19" s="12" t="s">
        <v>22</v>
      </c>
      <c r="C19" s="2">
        <v>1</v>
      </c>
      <c r="D19" s="2">
        <f>2*(1.2+0.3+0.9+0.3)</f>
        <v>5.40</v>
      </c>
      <c r="E19" s="15"/>
      <c r="F19" s="2"/>
      <c r="G19" s="10">
        <f>PRODUCT(C19:F19)</f>
        <v>5.40</v>
      </c>
      <c r="H19" s="2"/>
      <c r="I19" s="2"/>
      <c r="J19" s="2"/>
    </row>
    <row r="20" spans="1:10" ht="12.75">
      <c r="A20" s="8"/>
      <c r="B20" s="12" t="s">
        <v>23</v>
      </c>
      <c r="C20" s="2">
        <v>1</v>
      </c>
      <c r="D20" s="2">
        <f>D15</f>
        <v>4.20</v>
      </c>
      <c r="E20" s="2">
        <f>E15</f>
        <v>0.30</v>
      </c>
      <c r="F20" s="2"/>
      <c r="G20" s="10">
        <f>PRODUCT(C20:F20)</f>
        <v>1.26</v>
      </c>
      <c r="H20" s="2"/>
      <c r="I20" s="2"/>
      <c r="J20" s="2"/>
    </row>
    <row r="21" spans="1:10" ht="12.75">
      <c r="A21" s="8"/>
      <c r="B21" s="12" t="s">
        <v>24</v>
      </c>
      <c r="C21" s="2">
        <v>2</v>
      </c>
      <c r="D21" s="2"/>
      <c r="E21" s="2">
        <f>E12</f>
        <v>0.30</v>
      </c>
      <c r="F21" s="2">
        <v>0.15</v>
      </c>
      <c r="G21" s="10">
        <f>PRODUCT(C21:F21)</f>
        <v>0.09</v>
      </c>
      <c r="H21" s="2"/>
      <c r="I21" s="2"/>
      <c r="J21" s="2"/>
    </row>
    <row r="22" spans="1:10" ht="12.75">
      <c r="A22" s="8"/>
      <c r="B22" s="12" t="s">
        <v>25</v>
      </c>
      <c r="C22" s="2">
        <v>1</v>
      </c>
      <c r="D22" s="2">
        <f>D16</f>
        <v>0.50</v>
      </c>
      <c r="E22" s="2">
        <f>E16</f>
        <v>0.30</v>
      </c>
      <c r="F22" s="2"/>
      <c r="G22" s="10">
        <f>PRODUCT(C22:F22)</f>
        <v>0.15</v>
      </c>
      <c r="H22" s="2"/>
      <c r="I22" s="2"/>
      <c r="J22" s="2"/>
    </row>
    <row r="23" spans="1:10" ht="12.75">
      <c r="A23" s="11"/>
      <c r="B23" s="12" t="s">
        <v>7</v>
      </c>
      <c r="C23" s="2"/>
      <c r="D23" s="2"/>
      <c r="E23" s="2"/>
      <c r="F23" s="2"/>
      <c r="G23" s="10">
        <f>SUM(G19:G22)</f>
        <v>6.90</v>
      </c>
      <c r="H23" s="2" t="s">
        <v>13</v>
      </c>
      <c r="I23" s="2">
        <v>255.98</v>
      </c>
      <c r="J23" s="4">
        <f>G23*I23</f>
        <v>1766.2619999999999</v>
      </c>
    </row>
    <row r="24" spans="1:10" ht="12.75">
      <c r="A24" s="5">
        <v>6</v>
      </c>
      <c r="B24" s="6" t="s">
        <v>26</v>
      </c>
      <c r="C24" s="7"/>
      <c r="D24" s="7"/>
      <c r="E24" s="7"/>
      <c r="F24" s="7"/>
      <c r="G24" s="7"/>
      <c r="H24" s="7"/>
      <c r="I24" s="7"/>
      <c r="J24" s="2"/>
    </row>
    <row r="25" spans="1:10" ht="12.75">
      <c r="A25" s="8"/>
      <c r="B25" s="9" t="s">
        <v>27</v>
      </c>
      <c r="C25" s="2">
        <v>1</v>
      </c>
      <c r="D25" s="2">
        <f>1.2-E15</f>
        <v>0.90</v>
      </c>
      <c r="E25" s="2">
        <f>0.9-E15</f>
        <v>0.60</v>
      </c>
      <c r="F25" s="2">
        <v>0.27</v>
      </c>
      <c r="G25" s="10">
        <f>PRODUCT(C25:F25)</f>
        <v>0.14580000000000001</v>
      </c>
      <c r="H25" s="2"/>
      <c r="I25" s="2"/>
      <c r="J25" s="2"/>
    </row>
    <row r="26" spans="1:10" ht="12.75">
      <c r="A26" s="11"/>
      <c r="B26" s="12" t="s">
        <v>7</v>
      </c>
      <c r="C26" s="2"/>
      <c r="D26" s="2"/>
      <c r="E26" s="2"/>
      <c r="F26" s="2"/>
      <c r="G26" s="10">
        <f>SUM(G25)</f>
        <v>0.14580000000000001</v>
      </c>
      <c r="H26" s="2" t="s">
        <v>17</v>
      </c>
      <c r="I26" s="2">
        <v>220.47</v>
      </c>
      <c r="J26" s="4">
        <f>G26*I26</f>
        <v>32.144525999999999</v>
      </c>
    </row>
    <row r="27" spans="1:10" ht="12.75">
      <c r="A27" s="5">
        <v>7</v>
      </c>
      <c r="B27" s="6" t="s">
        <v>28</v>
      </c>
      <c r="C27" s="7"/>
      <c r="D27" s="7"/>
      <c r="E27" s="7"/>
      <c r="F27" s="7"/>
      <c r="G27" s="7"/>
      <c r="H27" s="7"/>
      <c r="I27" s="7"/>
      <c r="J27" s="2"/>
    </row>
    <row r="28" spans="1:10" ht="12.75">
      <c r="A28" s="8"/>
      <c r="B28" s="9" t="s">
        <v>29</v>
      </c>
      <c r="C28" s="2">
        <v>1</v>
      </c>
      <c r="D28" s="2">
        <f>D25</f>
        <v>0.90</v>
      </c>
      <c r="E28" s="2">
        <f>E25</f>
        <v>0.60</v>
      </c>
      <c r="F28" s="2"/>
      <c r="G28" s="10">
        <f>PRODUCT(C28:F28)</f>
        <v>0.54</v>
      </c>
      <c r="H28" s="2"/>
      <c r="I28" s="2"/>
      <c r="J28" s="2"/>
    </row>
    <row r="29" spans="1:10" ht="12.75">
      <c r="A29" s="11"/>
      <c r="B29" s="12" t="s">
        <v>7</v>
      </c>
      <c r="C29" s="2"/>
      <c r="D29" s="2"/>
      <c r="E29" s="2"/>
      <c r="F29" s="2"/>
      <c r="G29" s="10">
        <f>SUM(G27:G28)</f>
        <v>0.54</v>
      </c>
      <c r="H29" s="2" t="s">
        <v>13</v>
      </c>
      <c r="I29" s="2">
        <v>473.11</v>
      </c>
      <c r="J29" s="4">
        <f>G29*I29</f>
        <v>255.4794</v>
      </c>
    </row>
    <row r="30" spans="1:10" ht="12.75">
      <c r="A30" s="5">
        <v>8</v>
      </c>
      <c r="B30" s="6" t="s">
        <v>30</v>
      </c>
      <c r="C30" s="7"/>
      <c r="D30" s="7"/>
      <c r="E30" s="7"/>
      <c r="F30" s="7"/>
      <c r="G30" s="7"/>
      <c r="H30" s="7"/>
      <c r="I30" s="7"/>
      <c r="J30" s="2"/>
    </row>
    <row r="31" spans="1:10" ht="12.75">
      <c r="A31" s="8"/>
      <c r="B31" s="12" t="s">
        <v>31</v>
      </c>
      <c r="C31" s="2" t="s">
        <v>3</v>
      </c>
      <c r="D31" s="2" t="s">
        <v>4</v>
      </c>
      <c r="E31" s="2" t="s">
        <v>32</v>
      </c>
      <c r="F31" s="2" t="s">
        <v>33</v>
      </c>
      <c r="G31" s="2" t="s">
        <v>34</v>
      </c>
      <c r="H31" s="2" t="s">
        <v>35</v>
      </c>
      <c r="I31" s="2" t="s">
        <v>9</v>
      </c>
      <c r="J31" s="2"/>
    </row>
    <row r="32" spans="1:10" ht="12.75">
      <c r="A32" s="8"/>
      <c r="B32" s="12" t="s">
        <v>36</v>
      </c>
      <c r="C32" s="2">
        <v>2</v>
      </c>
      <c r="D32" s="2">
        <v>2.10</v>
      </c>
      <c r="E32" s="2">
        <f>C32*D32</f>
        <v>4.20</v>
      </c>
      <c r="F32" s="2"/>
      <c r="G32" s="3"/>
      <c r="H32" s="2"/>
      <c r="I32" s="2"/>
      <c r="J32" s="2"/>
    </row>
    <row r="33" spans="1:10" ht="12.75">
      <c r="A33" s="8"/>
      <c r="B33" s="12" t="s">
        <v>37</v>
      </c>
      <c r="C33" s="2">
        <v>2</v>
      </c>
      <c r="D33" s="2">
        <v>2.30</v>
      </c>
      <c r="E33" s="2">
        <f>C33*D33</f>
        <v>4.60</v>
      </c>
      <c r="F33" s="2"/>
      <c r="G33" s="3"/>
      <c r="H33" s="2"/>
      <c r="I33" s="2"/>
      <c r="J33" s="2"/>
    </row>
    <row r="34" spans="1:10" ht="12.75">
      <c r="A34" s="8"/>
      <c r="B34" s="12" t="s">
        <v>38</v>
      </c>
      <c r="C34" s="2">
        <v>2</v>
      </c>
      <c r="D34" s="2">
        <v>1.20</v>
      </c>
      <c r="E34" s="2">
        <f>C34*D34</f>
        <v>2.40</v>
      </c>
      <c r="F34" s="2"/>
      <c r="G34" s="3"/>
      <c r="H34" s="2"/>
      <c r="I34" s="2"/>
      <c r="J34" s="2"/>
    </row>
    <row r="35" spans="1:10" ht="12.75">
      <c r="A35" s="8"/>
      <c r="B35" s="12" t="s">
        <v>39</v>
      </c>
      <c r="C35" s="2">
        <v>2</v>
      </c>
      <c r="D35" s="2">
        <v>0.90</v>
      </c>
      <c r="E35" s="2">
        <f>C35*D35</f>
        <v>1.80</v>
      </c>
      <c r="F35" s="2"/>
      <c r="G35" s="3"/>
      <c r="H35" s="2"/>
      <c r="I35" s="2"/>
      <c r="J35" s="2"/>
    </row>
    <row r="36" spans="1:10" ht="12.75">
      <c r="A36" s="8"/>
      <c r="B36" s="12" t="s">
        <v>40</v>
      </c>
      <c r="C36" s="2">
        <v>2</v>
      </c>
      <c r="D36" s="2">
        <v>1.80</v>
      </c>
      <c r="E36" s="2">
        <f>C36*D36</f>
        <v>3.60</v>
      </c>
      <c r="F36" s="2"/>
      <c r="G36" s="3"/>
      <c r="H36" s="2"/>
      <c r="I36" s="2"/>
      <c r="J36" s="2"/>
    </row>
    <row r="37" spans="1:10" ht="12.75">
      <c r="A37" s="8"/>
      <c r="B37" s="12" t="s">
        <v>41</v>
      </c>
      <c r="C37" s="2">
        <v>2</v>
      </c>
      <c r="D37" s="2">
        <v>0.60</v>
      </c>
      <c r="E37" s="2">
        <f>C37*D37</f>
        <v>1.20</v>
      </c>
      <c r="F37" s="2"/>
      <c r="G37" s="3"/>
      <c r="H37" s="2"/>
      <c r="I37" s="2"/>
      <c r="J37" s="2"/>
    </row>
    <row r="38" spans="1:10" ht="12.75">
      <c r="A38" s="8"/>
      <c r="B38" s="12" t="s">
        <v>42</v>
      </c>
      <c r="C38" s="2"/>
      <c r="D38" s="2"/>
      <c r="E38" s="2">
        <f>SUM(E32:E37)</f>
        <v>17.80</v>
      </c>
      <c r="F38" s="2">
        <v>2.60</v>
      </c>
      <c r="G38" s="2" t="s">
        <v>43</v>
      </c>
      <c r="H38" s="2">
        <f>E38*F38</f>
        <v>46.28</v>
      </c>
      <c r="I38" s="3">
        <v>80.78</v>
      </c>
      <c r="J38" s="4">
        <f>H38*I38</f>
        <v>3738.4983999999999</v>
      </c>
    </row>
    <row r="39" spans="1:10" ht="12.75">
      <c r="A39" s="8"/>
      <c r="B39" s="12" t="s">
        <v>44</v>
      </c>
      <c r="C39" s="2"/>
      <c r="D39" s="2"/>
      <c r="E39" s="2"/>
      <c r="F39" s="2"/>
      <c r="G39" s="3"/>
      <c r="H39" s="2"/>
      <c r="I39" s="2"/>
      <c r="J39" s="2"/>
    </row>
    <row r="40" spans="1:10" ht="12.75">
      <c r="A40" s="8"/>
      <c r="B40" s="12" t="s">
        <v>45</v>
      </c>
      <c r="C40" s="2">
        <v>2</v>
      </c>
      <c r="D40" s="2">
        <v>2.30</v>
      </c>
      <c r="E40" s="2">
        <f>C40*D40</f>
        <v>4.60</v>
      </c>
      <c r="F40" s="2"/>
      <c r="G40" s="3"/>
      <c r="H40" s="2"/>
      <c r="I40" s="2"/>
      <c r="J40" s="2"/>
    </row>
    <row r="41" spans="1:10" ht="12.75">
      <c r="A41" s="8"/>
      <c r="B41" s="12" t="s">
        <v>46</v>
      </c>
      <c r="C41" s="2">
        <v>2</v>
      </c>
      <c r="D41" s="2">
        <v>1.20</v>
      </c>
      <c r="E41" s="2">
        <f>C41*D41</f>
        <v>2.40</v>
      </c>
      <c r="F41" s="2"/>
      <c r="G41" s="3"/>
      <c r="H41" s="2"/>
      <c r="I41" s="2"/>
      <c r="J41" s="2"/>
    </row>
    <row r="42" spans="1:10" ht="12.75">
      <c r="A42" s="8"/>
      <c r="B42" s="12" t="s">
        <v>47</v>
      </c>
      <c r="C42" s="2">
        <v>1</v>
      </c>
      <c r="D42" s="2">
        <v>2.10</v>
      </c>
      <c r="E42" s="2">
        <f>C42*D42</f>
        <v>2.10</v>
      </c>
      <c r="F42" s="2"/>
      <c r="G42" s="3"/>
      <c r="H42" s="2"/>
      <c r="I42" s="2"/>
      <c r="J42" s="2"/>
    </row>
    <row r="43" spans="1:10" ht="12.75">
      <c r="A43" s="8"/>
      <c r="B43" s="12" t="s">
        <v>48</v>
      </c>
      <c r="C43" s="2">
        <v>2</v>
      </c>
      <c r="D43" s="2">
        <v>0.60</v>
      </c>
      <c r="E43" s="2">
        <f>C43*D43</f>
        <v>1.20</v>
      </c>
      <c r="F43" s="2"/>
      <c r="G43" s="3"/>
      <c r="H43" s="2"/>
      <c r="I43" s="2"/>
      <c r="J43" s="2"/>
    </row>
    <row r="44" spans="1:10" ht="12.75">
      <c r="A44" s="8"/>
      <c r="B44" s="12" t="s">
        <v>49</v>
      </c>
      <c r="C44" s="2">
        <v>2</v>
      </c>
      <c r="D44" s="2">
        <v>2.20</v>
      </c>
      <c r="E44" s="2">
        <f>C44*D44</f>
        <v>4.40</v>
      </c>
      <c r="F44" s="2"/>
      <c r="G44" s="3"/>
      <c r="H44" s="2"/>
      <c r="I44" s="2"/>
      <c r="J44" s="2"/>
    </row>
    <row r="45" spans="1:10" ht="12.75">
      <c r="A45" s="8"/>
      <c r="B45" s="12" t="s">
        <v>50</v>
      </c>
      <c r="C45" s="2">
        <v>4</v>
      </c>
      <c r="D45" s="2">
        <v>0.90</v>
      </c>
      <c r="E45" s="2">
        <f>C45*D45</f>
        <v>3.60</v>
      </c>
      <c r="F45" s="2"/>
      <c r="G45" s="3"/>
      <c r="H45" s="2"/>
      <c r="I45" s="2"/>
      <c r="J45" s="2"/>
    </row>
    <row r="46" spans="1:10" ht="12.75">
      <c r="A46" s="8"/>
      <c r="B46" s="12" t="s">
        <v>40</v>
      </c>
      <c r="C46" s="2">
        <v>1</v>
      </c>
      <c r="D46" s="2">
        <v>1.80</v>
      </c>
      <c r="E46" s="2">
        <f>C46*D46</f>
        <v>1.80</v>
      </c>
      <c r="F46" s="2"/>
      <c r="G46" s="3"/>
      <c r="H46" s="2"/>
      <c r="I46" s="2"/>
      <c r="J46" s="2"/>
    </row>
    <row r="47" spans="1:10" ht="12.75">
      <c r="A47" s="8"/>
      <c r="B47" s="12" t="s">
        <v>41</v>
      </c>
      <c r="C47" s="2">
        <v>2</v>
      </c>
      <c r="D47" s="2">
        <v>0.60</v>
      </c>
      <c r="E47" s="2">
        <f>C47*D47</f>
        <v>1.20</v>
      </c>
      <c r="F47" s="2"/>
      <c r="G47" s="3"/>
      <c r="H47" s="2"/>
      <c r="I47" s="2"/>
      <c r="J47" s="2"/>
    </row>
    <row r="48" spans="1:10" ht="12.75">
      <c r="A48" s="8"/>
      <c r="B48" s="12" t="s">
        <v>51</v>
      </c>
      <c r="C48" s="2">
        <v>2</v>
      </c>
      <c r="D48" s="2">
        <v>1.20</v>
      </c>
      <c r="E48" s="2">
        <f>C48*D48</f>
        <v>2.40</v>
      </c>
      <c r="F48" s="2"/>
      <c r="G48" s="3"/>
      <c r="H48" s="2"/>
      <c r="I48" s="2"/>
      <c r="J48" s="2"/>
    </row>
    <row r="49" spans="1:10" ht="12.75">
      <c r="A49" s="8"/>
      <c r="B49" s="12"/>
      <c r="C49" s="2">
        <v>1</v>
      </c>
      <c r="D49" s="2">
        <v>0.90</v>
      </c>
      <c r="E49" s="2">
        <f>C49*D49</f>
        <v>0.90</v>
      </c>
      <c r="F49" s="2"/>
      <c r="G49" s="3"/>
      <c r="H49" s="2"/>
      <c r="I49" s="2"/>
      <c r="J49" s="2"/>
    </row>
    <row r="50" spans="1:10" ht="12.75">
      <c r="A50" s="11"/>
      <c r="B50" s="12" t="s">
        <v>42</v>
      </c>
      <c r="C50" s="2"/>
      <c r="D50" s="2"/>
      <c r="E50" s="2">
        <f>SUM(E40:E49)</f>
        <v>24.60</v>
      </c>
      <c r="F50" s="2">
        <v>1.68</v>
      </c>
      <c r="G50" s="2" t="s">
        <v>43</v>
      </c>
      <c r="H50" s="4">
        <f>E50*F50</f>
        <v>41.328000000000003</v>
      </c>
      <c r="I50" s="3">
        <v>80.78</v>
      </c>
      <c r="J50" s="4">
        <f>H50*I50</f>
        <v>3338.4758400000001</v>
      </c>
    </row>
    <row r="51" spans="1:10" ht="12.75">
      <c r="A51" s="5">
        <v>9</v>
      </c>
      <c r="B51" s="6" t="s">
        <v>52</v>
      </c>
      <c r="C51" s="7"/>
      <c r="D51" s="7"/>
      <c r="E51" s="7"/>
      <c r="F51" s="7"/>
      <c r="G51" s="7"/>
      <c r="H51" s="7"/>
      <c r="I51" s="7"/>
      <c r="J51" s="2"/>
    </row>
    <row r="52" spans="1:10" ht="12.75">
      <c r="A52" s="8"/>
      <c r="B52" s="12" t="s">
        <v>53</v>
      </c>
      <c r="C52" s="2" t="s">
        <v>4</v>
      </c>
      <c r="D52" s="2" t="s">
        <v>5</v>
      </c>
      <c r="E52" s="2"/>
      <c r="F52" s="2"/>
      <c r="G52" s="2"/>
      <c r="H52" s="2"/>
      <c r="I52" s="3"/>
      <c r="J52" s="2"/>
    </row>
    <row r="53" spans="1:10" ht="12.75">
      <c r="A53" s="8"/>
      <c r="B53" s="12" t="s">
        <v>54</v>
      </c>
      <c r="C53" s="2">
        <v>1.20</v>
      </c>
      <c r="D53" s="2">
        <v>2</v>
      </c>
      <c r="E53" s="2">
        <f>C53*D53</f>
        <v>2.40</v>
      </c>
      <c r="F53" s="2"/>
      <c r="G53" s="2"/>
      <c r="H53" s="2"/>
      <c r="I53" s="3"/>
      <c r="J53" s="2"/>
    </row>
    <row r="54" spans="1:10" ht="12.75">
      <c r="A54" s="8"/>
      <c r="B54" s="12" t="s">
        <v>55</v>
      </c>
      <c r="C54" s="2">
        <v>1.20</v>
      </c>
      <c r="D54" s="2">
        <v>1.80</v>
      </c>
      <c r="E54" s="2">
        <f>C54*D54</f>
        <v>2.16</v>
      </c>
      <c r="F54" s="2"/>
      <c r="G54" s="3"/>
      <c r="H54" s="2"/>
      <c r="I54" s="2"/>
      <c r="J54" s="2"/>
    </row>
    <row r="55" spans="1:10" ht="12.75">
      <c r="A55" s="8"/>
      <c r="B55" s="12" t="s">
        <v>56</v>
      </c>
      <c r="C55" s="2">
        <v>1.80</v>
      </c>
      <c r="D55" s="2">
        <v>1.90</v>
      </c>
      <c r="E55" s="2">
        <f>C55*D55</f>
        <v>3.42</v>
      </c>
      <c r="F55" s="2"/>
      <c r="G55" s="3"/>
      <c r="H55" s="2"/>
      <c r="I55" s="2"/>
      <c r="J55" s="2"/>
    </row>
    <row r="56" spans="1:10" ht="12.75">
      <c r="A56" s="8"/>
      <c r="B56" s="12" t="s">
        <v>57</v>
      </c>
      <c r="C56" s="2">
        <v>1.60</v>
      </c>
      <c r="D56" s="2">
        <v>1.30</v>
      </c>
      <c r="E56" s="2">
        <f>C56*D56</f>
        <v>2.08</v>
      </c>
      <c r="F56" s="2"/>
      <c r="G56" s="3"/>
      <c r="H56" s="2"/>
      <c r="I56" s="2"/>
      <c r="J56" s="2"/>
    </row>
    <row r="57" spans="1:10" ht="12.75">
      <c r="A57" s="8"/>
      <c r="B57" s="12" t="s">
        <v>58</v>
      </c>
      <c r="C57" s="2"/>
      <c r="D57" s="2"/>
      <c r="E57" s="2">
        <f>SUM(E53:E56)</f>
        <v>10.06</v>
      </c>
      <c r="F57" s="2">
        <v>6.30</v>
      </c>
      <c r="G57" s="2" t="s">
        <v>59</v>
      </c>
      <c r="H57" s="4">
        <f>E57*F57</f>
        <v>63.378</v>
      </c>
      <c r="I57" s="2"/>
      <c r="J57" s="2"/>
    </row>
    <row r="58" spans="1:10" ht="12.75">
      <c r="A58" s="11"/>
      <c r="B58" s="12" t="s">
        <v>7</v>
      </c>
      <c r="C58" s="2"/>
      <c r="D58" s="2"/>
      <c r="E58" s="2"/>
      <c r="F58" s="2"/>
      <c r="G58" s="3">
        <v>63.38</v>
      </c>
      <c r="H58" s="2" t="s">
        <v>60</v>
      </c>
      <c r="I58" s="3">
        <f>'[1]GI Works'!F29</f>
        <v>151.03995699999999</v>
      </c>
      <c r="J58" s="4">
        <f>G58*I58</f>
        <v>9572.9124759999995</v>
      </c>
    </row>
    <row r="59" spans="1:10" ht="12.75">
      <c r="A59" s="2">
        <v>10</v>
      </c>
      <c r="B59" s="13" t="s">
        <v>61</v>
      </c>
      <c r="C59" s="2"/>
      <c r="D59" s="2"/>
      <c r="E59" s="2"/>
      <c r="F59" s="2"/>
      <c r="G59" s="2">
        <v>1</v>
      </c>
      <c r="H59" s="2" t="s">
        <v>62</v>
      </c>
      <c r="I59" s="2">
        <v>222.08</v>
      </c>
      <c r="J59" s="2">
        <f>G59*I59</f>
        <v>222.08</v>
      </c>
    </row>
    <row r="60" spans="1:10" ht="12.75">
      <c r="A60" s="2">
        <v>11</v>
      </c>
      <c r="B60" s="12" t="s">
        <v>63</v>
      </c>
      <c r="C60" s="2"/>
      <c r="D60" s="2"/>
      <c r="E60" s="2"/>
      <c r="F60" s="2"/>
      <c r="G60" s="2">
        <v>3</v>
      </c>
      <c r="H60" s="2" t="s">
        <v>62</v>
      </c>
      <c r="I60" s="2">
        <v>128.23</v>
      </c>
      <c r="J60" s="4">
        <f>G60*I60</f>
        <v>384.69</v>
      </c>
    </row>
    <row r="61" spans="1:10" ht="12.75">
      <c r="A61" s="2">
        <v>12</v>
      </c>
      <c r="B61" s="13" t="s">
        <v>64</v>
      </c>
      <c r="C61" s="7"/>
      <c r="D61" s="7"/>
      <c r="E61" s="7"/>
      <c r="F61" s="7"/>
      <c r="G61" s="7"/>
      <c r="H61" s="7"/>
      <c r="I61" s="14"/>
      <c r="J61" s="2">
        <v>1153.96</v>
      </c>
    </row>
    <row r="62" spans="1:10" ht="12.75">
      <c r="A62" s="2">
        <v>13</v>
      </c>
      <c r="B62" s="16" t="s">
        <v>65</v>
      </c>
      <c r="C62" s="7"/>
      <c r="D62" s="7"/>
      <c r="E62" s="7"/>
      <c r="F62" s="7"/>
      <c r="G62" s="7"/>
      <c r="H62" s="7"/>
      <c r="I62" s="14"/>
      <c r="J62" s="17">
        <f>SUM(J5:J61)</f>
        <v>25999.99568</v>
      </c>
    </row>
    <row r="63" spans="1:10" ht="12.75">
      <c r="A63" s="2">
        <v>14</v>
      </c>
      <c r="B63" s="18" t="s">
        <v>66</v>
      </c>
      <c r="C63" s="7"/>
      <c r="D63" s="7"/>
      <c r="E63" s="7"/>
      <c r="F63" s="7"/>
      <c r="G63" s="7"/>
      <c r="H63" s="7"/>
      <c r="I63" s="7"/>
      <c r="J63" s="14"/>
    </row>
  </sheetData>
  <mergeCells count="22">
    <mergeCell ref="A1:J1"/>
    <mergeCell ref="A3:A5"/>
    <mergeCell ref="B3:I3"/>
    <mergeCell ref="A6:A9"/>
    <mergeCell ref="B6:I6"/>
    <mergeCell ref="A10:A13"/>
    <mergeCell ref="B10:I10"/>
    <mergeCell ref="A27:A29"/>
    <mergeCell ref="A30:A50"/>
    <mergeCell ref="A51:A58"/>
    <mergeCell ref="B30:I30"/>
    <mergeCell ref="B51:I51"/>
    <mergeCell ref="B61:I61"/>
    <mergeCell ref="B62:I62"/>
    <mergeCell ref="B63:J63"/>
    <mergeCell ref="A14:A17"/>
    <mergeCell ref="B14:I14"/>
    <mergeCell ref="A18:A23"/>
    <mergeCell ref="B18:I18"/>
    <mergeCell ref="A24:A26"/>
    <mergeCell ref="B24:I24"/>
    <mergeCell ref="B27:I27"/>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1</vt:i4>
      </vt:variant>
    </vt:vector>
  </HeadingPairs>
  <TitlesOfParts>
    <vt:vector size="1" baseType="lpstr">
      <vt:lpstr>Sheet1</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