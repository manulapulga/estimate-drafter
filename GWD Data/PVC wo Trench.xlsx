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<sst xmlns="http://schemas.openxmlformats.org/spreadsheetml/2006/main" count="395" uniqueCount="63">
  <si>
    <t>PVC Pipe Without Trenching</t>
  </si>
  <si>
    <t>Providing and fixing PVC pipes includes jointing of pipes with one step PVC solvent cement &amp; testing of joints complete as per direction of Engineer in Charge. 25 mm dia 10KGF/cm2</t>
  </si>
  <si>
    <t>Code</t>
  </si>
  <si>
    <t>Description</t>
  </si>
  <si>
    <t>Unit</t>
  </si>
  <si>
    <t>Quantity</t>
  </si>
  <si>
    <t>Rate</t>
  </si>
  <si>
    <t>Amount</t>
  </si>
  <si>
    <t>Details of cost for 10 metre</t>
  </si>
  <si>
    <t>MATERIALS:</t>
  </si>
  <si>
    <t>MR43</t>
  </si>
  <si>
    <t>PVC pipe 25 mm outer dia. 10kgf cm2</t>
  </si>
  <si>
    <t>metre</t>
  </si>
  <si>
    <t>Add 15% for fittings and wastage etc. on (A)</t>
  </si>
  <si>
    <t>Add Water Charges @ 1%</t>
  </si>
  <si>
    <t>TOTAL</t>
  </si>
  <si>
    <t>Add CPOH @ 15%</t>
  </si>
  <si>
    <t>Cost of 10.0 metre</t>
  </si>
  <si>
    <t>Cost per metre</t>
  </si>
  <si>
    <t>Fitter(grade1)</t>
  </si>
  <si>
    <t>Day</t>
  </si>
  <si>
    <t>Beldar</t>
  </si>
  <si>
    <t>TOTAL  </t>
  </si>
  <si>
    <t>Providing and fixing PVC pipes includes jointing of pipes with one step PVC solvent cement &amp; testing of joints complete as per direction of Engineer in Charge. 32 mm dia 10KGF/cm2</t>
  </si>
  <si>
    <t>MR44</t>
  </si>
  <si>
    <t>PVC pipe 32 mm outer dia. 10kgf cm2</t>
  </si>
  <si>
    <t>Providing and fixing PVC pipes includes jointing of pipes with one step PVC solvent cement &amp; testing of joints complete as per direction of Engineer in Charge. 32 mm dia 6 KGF/cm2</t>
  </si>
  <si>
    <t>MR45</t>
  </si>
  <si>
    <t>PVC pipe 32 mm outer dia. 6kgf cm2</t>
  </si>
  <si>
    <t>Providing and fixing PVC pipes includes jointing of pipes with one step PVC solvent cement &amp; testing of joints complete as per direction of Engineer in Charge. 40 mm dia 6 KGF/cm2</t>
  </si>
  <si>
    <t>MR47</t>
  </si>
  <si>
    <t>PVC pipe 40 mm outer dia. 6kgf cm2</t>
  </si>
  <si>
    <t>Providing and fixing PVC pipes includes jointing of pipes with one step PVC solvent cement &amp; testing of joints complete as per direction of Engineer in Charge. 40 mm dia 10 KGF/cm2</t>
  </si>
  <si>
    <t>MR46</t>
  </si>
  <si>
    <t>PVC pipe 40 mm outer dia. 10kgf cm2</t>
  </si>
  <si>
    <t>Providing and fixing PVC pipes includes jointing of pipes with one step PVC solvent cement &amp; testing of joints complete as per direction of Engineer in Charge. 50 mm dia 6 KGF/cm2</t>
  </si>
  <si>
    <t>MR49</t>
  </si>
  <si>
    <t>PVC pipe 50 mm outer dia. 6kgf cm2</t>
  </si>
  <si>
    <t>Providing and fixing PVC pipes includes jointing of pipes with one step PVC solvent cement &amp; testing of joints complete as per direction of Engineer in Charge. 50 mm dia 10 KGF/cm2</t>
  </si>
  <si>
    <t>MR48</t>
  </si>
  <si>
    <t>PVC pipe 50mm outer dia.10kgf cm2</t>
  </si>
  <si>
    <r>
      <rPr>
        <b/>
        <sz val="12"/>
        <color theme="1"/>
        <rFont val="Cambria"/>
        <family val="2"/>
      </rPr>
      <t>50.18.9.7.1</t>
    </r>
    <r>
      <rPr>
        <sz val="12"/>
        <color theme="1"/>
        <rFont val="Cambria"/>
        <family val="2"/>
      </rPr>
      <t> </t>
    </r>
  </si>
  <si>
    <t>Providing and fixing PVC pipes includes jointing of pipes with one step PVC solvent cement &amp; testing of joints complete as per direction of Engineer in Charge.63 mm dia 6 KGF/cm2</t>
  </si>
  <si>
    <t>MR50</t>
  </si>
  <si>
    <t>PVC pipe 63 mm outer dia. 6kgf cm2</t>
  </si>
  <si>
    <r>
      <rPr>
        <b/>
        <sz val="12"/>
        <color theme="1"/>
        <rFont val="Cambria"/>
        <family val="2"/>
      </rPr>
      <t>50.18.9.8.1</t>
    </r>
    <r>
      <rPr>
        <sz val="12"/>
        <color theme="1"/>
        <rFont val="Cambria"/>
        <family val="2"/>
      </rPr>
      <t> </t>
    </r>
  </si>
  <si>
    <t>Providing and fixing PVC pipes includes jointing of pipes with one step PVC solvent cement &amp; testing of joints complete as per direction of Engineer in Charge.75 mm dia 6 KGF/cm2</t>
  </si>
  <si>
    <t>MR52</t>
  </si>
  <si>
    <t>PVC pipe 75 mm outer dia. 6kgf cm2</t>
  </si>
  <si>
    <r>
      <rPr>
        <b/>
        <sz val="12"/>
        <color theme="1"/>
        <rFont val="Cambria"/>
        <family val="2"/>
      </rPr>
      <t>50.18.9.9.1</t>
    </r>
    <r>
      <rPr>
        <sz val="12"/>
        <color theme="1"/>
        <rFont val="Cambria"/>
        <family val="2"/>
      </rPr>
      <t> </t>
    </r>
  </si>
  <si>
    <t>Providing and fixing PVC pipes includes jointing of pipes with one step PVC solvent cement &amp; testing of joints complete as per direction of Engineer in Charge.110 mm dia 6 KGF/cm2</t>
  </si>
  <si>
    <t>MR54</t>
  </si>
  <si>
    <t>PVC pipe 110 mm outer dia. 6kgf cm2</t>
  </si>
  <si>
    <r>
      <rPr>
        <b/>
        <sz val="12"/>
        <color theme="1"/>
        <rFont val="Cambria"/>
        <family val="2"/>
      </rPr>
      <t>50.18.9.10.1</t>
    </r>
    <r>
      <rPr>
        <sz val="12"/>
        <color theme="1"/>
        <rFont val="Cambria"/>
        <family val="2"/>
      </rPr>
      <t> </t>
    </r>
  </si>
  <si>
    <t>Providing and fixing PVC pipes includes jointing of pipes with one step PVC solvent cement &amp; testing of joints complete as per direction of Engineer in Charge.150 mm dia 6 KGF/cm2</t>
  </si>
  <si>
    <t>MR56</t>
  </si>
  <si>
    <t>PVC pipe 150 mm outer dia. 6kgf cm2</t>
  </si>
  <si>
    <t xml:space="preserve">Providing and fixing PVC  pipes includes jointing of pipes   including clamp ,scaffolding   complete as per direction of Engineer in Charge.for 140 mm dia 6 KGF/cm2 for 10m </t>
  </si>
  <si>
    <t>MR 10215</t>
  </si>
  <si>
    <t>PVC Pipe, 6kg/cm2, 140mm Dia</t>
  </si>
  <si>
    <t>Providing and fixing PVC pipes includes jointing of pipes with one step PVC solvent cement &amp; testing of joints complete as per direction of Engineer in Charge.63 mm dia 10 KGF/cm2</t>
  </si>
  <si>
    <t>MR10234</t>
  </si>
  <si>
    <t>PVC Pipe, 10kg/cm2, 63mm Dia.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</si>
</sst>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CE5CD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3" borderId="4" xfId="0" applyFont="1" applyBorder="1" applyAlignment="1">
      <alignment horizontal="center" vertical="center" wrapText="1"/>
    </xf>
    <xf numFmtId="0" fontId="1" fillId="3" borderId="1" xfId="0" applyFont="1" applyBorder="1" applyAlignment="1">
      <alignment vertical="center" wrapText="1"/>
    </xf>
    <xf numFmtId="0" fontId="1" fillId="3" borderId="5" xfId="0" applyFont="1" applyBorder="1" applyAlignment="1">
      <alignment vertical="center" wrapText="1"/>
    </xf>
    <xf numFmtId="0" fontId="1" fillId="3" borderId="4" xfId="0" applyFont="1" applyBorder="1" applyAlignment="1">
      <alignment vertical="center" wrapText="1"/>
    </xf>
    <xf numFmtId="0" fontId="3" fillId="0" borderId="6" xfId="0" applyFont="1" applyBorder="1"/>
    <xf numFmtId="0" fontId="1" fillId="3" borderId="5" xfId="0" applyFont="1" applyBorder="1" applyAlignment="1">
      <alignment horizontal="center" vertical="center" wrapText="1"/>
    </xf>
    <xf numFmtId="0" fontId="1" fillId="3" borderId="5" xfId="0" applyFont="1" applyBorder="1" applyAlignment="1">
      <alignment horizontal="right" vertical="center" wrapText="1"/>
    </xf>
    <xf numFmtId="0" fontId="1" fillId="3" borderId="1" xfId="0" applyFont="1" applyBorder="1" applyAlignment="1">
      <alignment horizontal="right" vertical="center" wrapText="1"/>
    </xf>
    <xf numFmtId="177" fontId="1" fillId="3" borderId="4" xfId="0" applyNumberFormat="1" applyFont="1" applyBorder="1" applyAlignment="1">
      <alignment horizontal="right" vertical="center" wrapText="1"/>
    </xf>
    <xf numFmtId="2" fontId="1" fillId="3" borderId="4" xfId="0" applyNumberFormat="1" applyFont="1" applyBorder="1" applyAlignment="1">
      <alignment horizontal="right" vertical="center" wrapText="1"/>
    </xf>
    <xf numFmtId="0" fontId="1" fillId="3" borderId="4" xfId="0" applyFont="1" applyBorder="1" applyAlignment="1">
      <alignment horizontal="center" vertical="center" wrapText="1"/>
    </xf>
    <xf numFmtId="0" fontId="2" fillId="3" borderId="1" xfId="0" applyFont="1" applyBorder="1" applyAlignment="1">
      <alignment horizontal="center" vertical="center" wrapText="1"/>
    </xf>
    <xf numFmtId="0" fontId="2" fillId="4" borderId="4" xfId="0" applyFont="1" applyBorder="1" applyAlignment="1">
      <alignment horizontal="center" vertical="center" wrapText="1"/>
    </xf>
    <xf numFmtId="0" fontId="1" fillId="4" borderId="1" xfId="0" applyFont="1" applyBorder="1" applyAlignment="1">
      <alignment vertical="center" wrapText="1"/>
    </xf>
    <xf numFmtId="0" fontId="1" fillId="4" borderId="5" xfId="0" applyFont="1" applyBorder="1" applyAlignment="1">
      <alignment vertical="center" wrapText="1"/>
    </xf>
    <xf numFmtId="0" fontId="1" fillId="4" borderId="4" xfId="0" applyFont="1" applyBorder="1" applyAlignment="1">
      <alignment vertical="center" wrapText="1"/>
    </xf>
    <xf numFmtId="0" fontId="1" fillId="4" borderId="5" xfId="0" applyFont="1" applyBorder="1" applyAlignment="1">
      <alignment horizontal="center" vertical="center" wrapText="1"/>
    </xf>
    <xf numFmtId="177" fontId="1" fillId="4" borderId="5" xfId="0" applyNumberFormat="1" applyFont="1" applyBorder="1" applyAlignment="1">
      <alignment horizontal="right" vertical="center" wrapText="1"/>
    </xf>
    <xf numFmtId="0" fontId="1" fillId="4" borderId="1" xfId="0" applyFont="1" applyBorder="1" applyAlignment="1">
      <alignment horizontal="right" vertical="center" wrapText="1"/>
    </xf>
    <xf numFmtId="177" fontId="1" fillId="4" borderId="4" xfId="0" applyNumberFormat="1" applyFont="1" applyBorder="1" applyAlignment="1">
      <alignment horizontal="right" vertical="center" wrapText="1"/>
    </xf>
    <xf numFmtId="2" fontId="1" fillId="4" borderId="4" xfId="0" applyNumberFormat="1" applyFont="1" applyBorder="1" applyAlignment="1">
      <alignment horizontal="right" vertical="center" wrapText="1"/>
    </xf>
    <xf numFmtId="0" fontId="1" fillId="4" borderId="4" xfId="0" applyFont="1" applyBorder="1" applyAlignment="1">
      <alignment horizontal="center" vertical="center" wrapText="1"/>
    </xf>
    <xf numFmtId="0" fontId="2" fillId="4" borderId="1" xfId="0" applyFont="1" applyBorder="1" applyAlignment="1">
      <alignment horizontal="center" vertical="center" wrapText="1"/>
    </xf>
    <xf numFmtId="0" fontId="1" fillId="4" borderId="5" xfId="0" applyFont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6ABC03-1D04-4382-87FD-F8C4015CB9A6}">
  <dimension ref="A1:F286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2"/>
      <c r="D2" s="2"/>
      <c r="E2" s="2"/>
      <c r="F2" s="3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2.75">
      <c r="A4" s="6"/>
      <c r="B4" s="7" t="s">
        <v>8</v>
      </c>
      <c r="C4" s="6"/>
      <c r="D4" s="6"/>
      <c r="E4" s="6"/>
      <c r="F4" s="6"/>
    </row>
    <row r="5" spans="1:6" ht="12.75">
      <c r="A5" s="8"/>
      <c r="B5" s="7" t="s">
        <v>9</v>
      </c>
      <c r="C5" s="8"/>
      <c r="D5" s="8"/>
      <c r="E5" s="8"/>
      <c r="F5" s="8"/>
    </row>
    <row r="6" spans="1:6" ht="12.75">
      <c r="A6" s="9" t="s">
        <v>10</v>
      </c>
      <c r="B6" s="7" t="s">
        <v>11</v>
      </c>
      <c r="C6" s="9" t="s">
        <v>12</v>
      </c>
      <c r="D6" s="9">
        <v>11.50</v>
      </c>
      <c r="E6" s="9">
        <v>48</v>
      </c>
      <c r="F6" s="10">
        <f>D6*E6</f>
        <v>552</v>
      </c>
    </row>
    <row r="7" spans="1:6" ht="12.75">
      <c r="A7" s="8"/>
      <c r="B7" s="7" t="s">
        <v>13</v>
      </c>
      <c r="C7" s="8"/>
      <c r="D7" s="8"/>
      <c r="E7" s="8"/>
      <c r="F7" s="8"/>
    </row>
    <row r="8" spans="1:6" ht="12.75">
      <c r="A8" s="7"/>
      <c r="B8" s="11" t="s">
        <v>14</v>
      </c>
      <c r="C8" s="2"/>
      <c r="D8" s="2"/>
      <c r="E8" s="3"/>
      <c r="F8" s="12">
        <f>F6*0.01</f>
        <v>5.52</v>
      </c>
    </row>
    <row r="9" spans="1:6" ht="12.75">
      <c r="A9" s="7"/>
      <c r="B9" s="11" t="s">
        <v>15</v>
      </c>
      <c r="C9" s="2"/>
      <c r="D9" s="2"/>
      <c r="E9" s="3"/>
      <c r="F9" s="12">
        <f>SUM(F6:F8)</f>
        <v>557.52</v>
      </c>
    </row>
    <row r="10" spans="1:6" ht="12.75">
      <c r="A10" s="7"/>
      <c r="B10" s="11" t="s">
        <v>16</v>
      </c>
      <c r="C10" s="2"/>
      <c r="D10" s="2"/>
      <c r="E10" s="3"/>
      <c r="F10" s="12">
        <f>F9*0.15</f>
        <v>83.628</v>
      </c>
    </row>
    <row r="11" spans="1:6" ht="12.75">
      <c r="A11" s="7"/>
      <c r="B11" s="11" t="s">
        <v>15</v>
      </c>
      <c r="C11" s="2"/>
      <c r="D11" s="2"/>
      <c r="E11" s="3"/>
      <c r="F11" s="12">
        <f>SUM(F9:F10)</f>
        <v>641.14800000000002</v>
      </c>
    </row>
    <row r="12" spans="1:6" ht="12.75">
      <c r="A12" s="7"/>
      <c r="B12" s="11" t="s">
        <v>17</v>
      </c>
      <c r="C12" s="2"/>
      <c r="D12" s="2"/>
      <c r="E12" s="3"/>
      <c r="F12" s="12">
        <f>F11</f>
        <v>641.14800000000002</v>
      </c>
    </row>
    <row r="13" spans="1:6" ht="12.75">
      <c r="A13" s="7"/>
      <c r="B13" s="11" t="s">
        <v>18</v>
      </c>
      <c r="C13" s="2"/>
      <c r="D13" s="2"/>
      <c r="E13" s="3"/>
      <c r="F13" s="13">
        <f>ROUND(F12/10,2)</f>
        <v>64.11</v>
      </c>
    </row>
    <row r="14" spans="1:6" ht="12.75">
      <c r="A14" s="14">
        <v>116</v>
      </c>
      <c r="B14" s="7" t="s">
        <v>19</v>
      </c>
      <c r="C14" s="14" t="s">
        <v>20</v>
      </c>
      <c r="D14" s="14">
        <v>0.12</v>
      </c>
      <c r="E14" s="14">
        <v>784</v>
      </c>
      <c r="F14" s="12">
        <f>D14*E14</f>
        <v>94.08</v>
      </c>
    </row>
    <row r="15" spans="1:6" ht="12.75">
      <c r="A15" s="14">
        <v>114</v>
      </c>
      <c r="B15" s="7" t="s">
        <v>21</v>
      </c>
      <c r="C15" s="14" t="s">
        <v>20</v>
      </c>
      <c r="D15" s="14">
        <v>0.25</v>
      </c>
      <c r="E15" s="14">
        <v>645</v>
      </c>
      <c r="F15" s="12">
        <f>D15*E15</f>
        <v>161.25</v>
      </c>
    </row>
    <row r="16" spans="1:6" ht="12.75">
      <c r="A16" s="7"/>
      <c r="B16" s="11" t="s">
        <v>22</v>
      </c>
      <c r="C16" s="2"/>
      <c r="D16" s="2"/>
      <c r="E16" s="3"/>
      <c r="F16" s="12">
        <f>SUM(F14:F15)</f>
        <v>255.33</v>
      </c>
    </row>
    <row r="17" spans="1:6" ht="12.75">
      <c r="A17" s="7"/>
      <c r="B17" s="11" t="s">
        <v>14</v>
      </c>
      <c r="C17" s="2"/>
      <c r="D17" s="2"/>
      <c r="E17" s="3"/>
      <c r="F17" s="12">
        <f>F16*0.01</f>
        <v>2.5533000000000001</v>
      </c>
    </row>
    <row r="18" spans="1:6" ht="12.75">
      <c r="A18" s="7"/>
      <c r="B18" s="11" t="s">
        <v>15</v>
      </c>
      <c r="C18" s="2"/>
      <c r="D18" s="2"/>
      <c r="E18" s="3"/>
      <c r="F18" s="12">
        <f>SUM(F16:F17)</f>
        <v>257.88330000000002</v>
      </c>
    </row>
    <row r="19" spans="1:6" ht="12.75">
      <c r="A19" s="7"/>
      <c r="B19" s="11" t="s">
        <v>16</v>
      </c>
      <c r="C19" s="2"/>
      <c r="D19" s="2"/>
      <c r="E19" s="3"/>
      <c r="F19" s="12">
        <f>F18*0.15</f>
        <v>38.682495000000003</v>
      </c>
    </row>
    <row r="20" spans="1:6" ht="12.75">
      <c r="A20" s="7"/>
      <c r="B20" s="11" t="s">
        <v>15</v>
      </c>
      <c r="C20" s="2"/>
      <c r="D20" s="2"/>
      <c r="E20" s="3"/>
      <c r="F20" s="12">
        <f>SUM(F18:F19)</f>
        <v>296.56579499999998</v>
      </c>
    </row>
    <row r="21" spans="1:6" ht="12.75">
      <c r="A21" s="7"/>
      <c r="B21" s="11" t="s">
        <v>17</v>
      </c>
      <c r="C21" s="2"/>
      <c r="D21" s="2"/>
      <c r="E21" s="3"/>
      <c r="F21" s="12">
        <f>F20</f>
        <v>296.56579499999998</v>
      </c>
    </row>
    <row r="22" spans="1:6" ht="12.75">
      <c r="A22" s="7"/>
      <c r="B22" s="11" t="s">
        <v>18</v>
      </c>
      <c r="C22" s="2"/>
      <c r="D22" s="2"/>
      <c r="E22" s="3"/>
      <c r="F22" s="13">
        <f>ROUND(F21/10,2)</f>
        <v>29.66</v>
      </c>
    </row>
    <row r="23" spans="1:6" ht="12.75">
      <c r="A23" s="15" t="str">
        <f>CONCATENATE("Say ₹ ",F13," + ",F22," x Cost Index")</f>
        <v>Say ₹ 64.11 + 29.66 x Cost Index</v>
      </c>
      <c r="B23" s="2"/>
      <c r="C23" s="2"/>
      <c r="D23" s="2"/>
      <c r="E23" s="2"/>
      <c r="F23" s="3"/>
    </row>
    <row r="24" spans="1:6" ht="12.75">
      <c r="A24" s="16">
        <v>0</v>
      </c>
      <c r="B24" s="17" t="s">
        <v>23</v>
      </c>
      <c r="C24" s="2"/>
      <c r="D24" s="2"/>
      <c r="E24" s="2"/>
      <c r="F24" s="3"/>
    </row>
    <row r="25" spans="1:6" ht="12.75">
      <c r="A25" s="16" t="s">
        <v>2</v>
      </c>
      <c r="B25" s="16" t="s">
        <v>3</v>
      </c>
      <c r="C25" s="16" t="s">
        <v>4</v>
      </c>
      <c r="D25" s="16" t="s">
        <v>5</v>
      </c>
      <c r="E25" s="16" t="s">
        <v>6</v>
      </c>
      <c r="F25" s="16" t="s">
        <v>7</v>
      </c>
    </row>
    <row r="26" spans="1:6" ht="12.75">
      <c r="A26" s="18"/>
      <c r="B26" s="19" t="s">
        <v>8</v>
      </c>
      <c r="C26" s="18"/>
      <c r="D26" s="18"/>
      <c r="E26" s="18"/>
      <c r="F26" s="18"/>
    </row>
    <row r="27" spans="1:6" ht="12.75">
      <c r="A27" s="8"/>
      <c r="B27" s="19" t="s">
        <v>9</v>
      </c>
      <c r="C27" s="8"/>
      <c r="D27" s="8"/>
      <c r="E27" s="8"/>
      <c r="F27" s="8"/>
    </row>
    <row r="28" spans="1:6" ht="12.75">
      <c r="A28" s="20" t="s">
        <v>24</v>
      </c>
      <c r="B28" s="19" t="s">
        <v>25</v>
      </c>
      <c r="C28" s="20" t="s">
        <v>12</v>
      </c>
      <c r="D28" s="20">
        <v>11.50</v>
      </c>
      <c r="E28" s="20">
        <v>65</v>
      </c>
      <c r="F28" s="21">
        <f>D28*E28</f>
        <v>747.50</v>
      </c>
    </row>
    <row r="29" spans="1:6" ht="12.75">
      <c r="A29" s="8"/>
      <c r="B29" s="19" t="s">
        <v>13</v>
      </c>
      <c r="C29" s="8"/>
      <c r="D29" s="8"/>
      <c r="E29" s="8"/>
      <c r="F29" s="8"/>
    </row>
    <row r="30" spans="1:6" ht="12.75">
      <c r="A30" s="19"/>
      <c r="B30" s="22" t="s">
        <v>14</v>
      </c>
      <c r="C30" s="2"/>
      <c r="D30" s="2"/>
      <c r="E30" s="3"/>
      <c r="F30" s="23">
        <f>F28*0.01</f>
        <v>7.475</v>
      </c>
    </row>
    <row r="31" spans="1:6" ht="12.75">
      <c r="A31" s="19"/>
      <c r="B31" s="22" t="s">
        <v>15</v>
      </c>
      <c r="C31" s="2"/>
      <c r="D31" s="2"/>
      <c r="E31" s="3"/>
      <c r="F31" s="23">
        <f>SUM(F28:F30)</f>
        <v>754.975</v>
      </c>
    </row>
    <row r="32" spans="1:6" ht="12.75">
      <c r="A32" s="19"/>
      <c r="B32" s="22" t="s">
        <v>16</v>
      </c>
      <c r="C32" s="2"/>
      <c r="D32" s="2"/>
      <c r="E32" s="3"/>
      <c r="F32" s="23">
        <f>F31*0.15</f>
        <v>113.24625</v>
      </c>
    </row>
    <row r="33" spans="1:6" ht="12.75">
      <c r="A33" s="19"/>
      <c r="B33" s="22" t="s">
        <v>15</v>
      </c>
      <c r="C33" s="2"/>
      <c r="D33" s="2"/>
      <c r="E33" s="3"/>
      <c r="F33" s="23">
        <f>SUM(F31:F32)</f>
        <v>868.22125000000005</v>
      </c>
    </row>
    <row r="34" spans="1:6" ht="12.75">
      <c r="A34" s="19"/>
      <c r="B34" s="22" t="s">
        <v>17</v>
      </c>
      <c r="C34" s="2"/>
      <c r="D34" s="2"/>
      <c r="E34" s="3"/>
      <c r="F34" s="23">
        <f>F33</f>
        <v>868.22125000000005</v>
      </c>
    </row>
    <row r="35" spans="1:6" ht="12.75">
      <c r="A35" s="19"/>
      <c r="B35" s="22" t="s">
        <v>18</v>
      </c>
      <c r="C35" s="2"/>
      <c r="D35" s="2"/>
      <c r="E35" s="3"/>
      <c r="F35" s="24">
        <f>ROUND(F34/10,2)</f>
        <v>86.82</v>
      </c>
    </row>
    <row r="36" spans="1:6" ht="12.75">
      <c r="A36" s="25">
        <v>116</v>
      </c>
      <c r="B36" s="19" t="s">
        <v>19</v>
      </c>
      <c r="C36" s="25" t="s">
        <v>20</v>
      </c>
      <c r="D36" s="25">
        <v>0.12</v>
      </c>
      <c r="E36" s="25">
        <v>784</v>
      </c>
      <c r="F36" s="23">
        <f>D36*E36</f>
        <v>94.08</v>
      </c>
    </row>
    <row r="37" spans="1:6" ht="12.75">
      <c r="A37" s="25">
        <v>114</v>
      </c>
      <c r="B37" s="19" t="s">
        <v>21</v>
      </c>
      <c r="C37" s="25" t="s">
        <v>20</v>
      </c>
      <c r="D37" s="25">
        <v>0.25</v>
      </c>
      <c r="E37" s="25">
        <v>645</v>
      </c>
      <c r="F37" s="23">
        <f>D37*E37</f>
        <v>161.25</v>
      </c>
    </row>
    <row r="38" spans="1:6" ht="12.75">
      <c r="A38" s="19"/>
      <c r="B38" s="22" t="s">
        <v>22</v>
      </c>
      <c r="C38" s="2"/>
      <c r="D38" s="2"/>
      <c r="E38" s="3"/>
      <c r="F38" s="23">
        <f>SUM(F36:F37)</f>
        <v>255.33</v>
      </c>
    </row>
    <row r="39" spans="1:6" ht="12.75">
      <c r="A39" s="19"/>
      <c r="B39" s="22" t="s">
        <v>14</v>
      </c>
      <c r="C39" s="2"/>
      <c r="D39" s="2"/>
      <c r="E39" s="3"/>
      <c r="F39" s="23">
        <f>F38*0.01</f>
        <v>2.5533000000000001</v>
      </c>
    </row>
    <row r="40" spans="1:6" ht="12.75">
      <c r="A40" s="19"/>
      <c r="B40" s="22" t="s">
        <v>15</v>
      </c>
      <c r="C40" s="2"/>
      <c r="D40" s="2"/>
      <c r="E40" s="3"/>
      <c r="F40" s="23">
        <f>SUM(F38:F39)</f>
        <v>257.88330000000002</v>
      </c>
    </row>
    <row r="41" spans="1:6" ht="12.75">
      <c r="A41" s="19"/>
      <c r="B41" s="22" t="s">
        <v>16</v>
      </c>
      <c r="C41" s="2"/>
      <c r="D41" s="2"/>
      <c r="E41" s="3"/>
      <c r="F41" s="23">
        <f>F40*0.15</f>
        <v>38.682495000000003</v>
      </c>
    </row>
    <row r="42" spans="1:6" ht="12.75">
      <c r="A42" s="19"/>
      <c r="B42" s="22" t="s">
        <v>15</v>
      </c>
      <c r="C42" s="2"/>
      <c r="D42" s="2"/>
      <c r="E42" s="3"/>
      <c r="F42" s="23">
        <f>SUM(F40:F41)</f>
        <v>296.56579499999998</v>
      </c>
    </row>
    <row r="43" spans="1:6" ht="12.75">
      <c r="A43" s="19"/>
      <c r="B43" s="22" t="s">
        <v>17</v>
      </c>
      <c r="C43" s="2"/>
      <c r="D43" s="2"/>
      <c r="E43" s="3"/>
      <c r="F43" s="23">
        <f>F42</f>
        <v>296.56579499999998</v>
      </c>
    </row>
    <row r="44" spans="1:6" ht="12.75">
      <c r="A44" s="19"/>
      <c r="B44" s="22" t="s">
        <v>18</v>
      </c>
      <c r="C44" s="2"/>
      <c r="D44" s="2"/>
      <c r="E44" s="3"/>
      <c r="F44" s="24">
        <f>ROUND(F43/10,2)</f>
        <v>29.66</v>
      </c>
    </row>
    <row r="45" spans="1:6" ht="12.75">
      <c r="A45" s="26" t="str">
        <f>CONCATENATE("Say ₹ ",F35," + ",F44," x Cost Index")</f>
        <v>Say ₹ 86.82 + 29.66 x Cost Index</v>
      </c>
      <c r="B45" s="2"/>
      <c r="C45" s="2"/>
      <c r="D45" s="2"/>
      <c r="E45" s="2"/>
      <c r="F45" s="3"/>
    </row>
    <row r="46" spans="1:6" ht="12.75">
      <c r="A46" s="4">
        <v>0</v>
      </c>
      <c r="B46" s="5" t="s">
        <v>26</v>
      </c>
      <c r="C46" s="2"/>
      <c r="D46" s="2"/>
      <c r="E46" s="2"/>
      <c r="F46" s="3"/>
    </row>
    <row r="47" spans="1:6" ht="12.75">
      <c r="A47" s="4" t="s">
        <v>2</v>
      </c>
      <c r="B47" s="4" t="s">
        <v>3</v>
      </c>
      <c r="C47" s="4" t="s">
        <v>4</v>
      </c>
      <c r="D47" s="4" t="s">
        <v>5</v>
      </c>
      <c r="E47" s="4" t="s">
        <v>6</v>
      </c>
      <c r="F47" s="4" t="s">
        <v>7</v>
      </c>
    </row>
    <row r="48" spans="1:6" ht="12.75">
      <c r="A48" s="6"/>
      <c r="B48" s="7" t="s">
        <v>8</v>
      </c>
      <c r="C48" s="6"/>
      <c r="D48" s="6"/>
      <c r="E48" s="6"/>
      <c r="F48" s="6"/>
    </row>
    <row r="49" spans="1:6" ht="12.75">
      <c r="A49" s="8"/>
      <c r="B49" s="7" t="s">
        <v>9</v>
      </c>
      <c r="C49" s="8"/>
      <c r="D49" s="8"/>
      <c r="E49" s="8"/>
      <c r="F49" s="8"/>
    </row>
    <row r="50" spans="1:6" ht="12.75">
      <c r="A50" s="9" t="s">
        <v>27</v>
      </c>
      <c r="B50" s="7" t="s">
        <v>28</v>
      </c>
      <c r="C50" s="9" t="s">
        <v>12</v>
      </c>
      <c r="D50" s="9">
        <v>11.50</v>
      </c>
      <c r="E50" s="9">
        <v>52</v>
      </c>
      <c r="F50" s="10">
        <f>D50*E50</f>
        <v>598</v>
      </c>
    </row>
    <row r="51" spans="1:6" ht="12.75">
      <c r="A51" s="8"/>
      <c r="B51" s="7" t="s">
        <v>13</v>
      </c>
      <c r="C51" s="8"/>
      <c r="D51" s="8"/>
      <c r="E51" s="8"/>
      <c r="F51" s="8"/>
    </row>
    <row r="52" spans="1:6" ht="12.75">
      <c r="A52" s="7"/>
      <c r="B52" s="11" t="s">
        <v>14</v>
      </c>
      <c r="C52" s="2"/>
      <c r="D52" s="2"/>
      <c r="E52" s="3"/>
      <c r="F52" s="12">
        <f>F50*0.01</f>
        <v>5.98</v>
      </c>
    </row>
    <row r="53" spans="1:6" ht="12.75">
      <c r="A53" s="7"/>
      <c r="B53" s="11" t="s">
        <v>15</v>
      </c>
      <c r="C53" s="2"/>
      <c r="D53" s="2"/>
      <c r="E53" s="3"/>
      <c r="F53" s="12">
        <f>SUM(F50:F52)</f>
        <v>603.98</v>
      </c>
    </row>
    <row r="54" spans="1:6" ht="12.75">
      <c r="A54" s="7"/>
      <c r="B54" s="11" t="s">
        <v>16</v>
      </c>
      <c r="C54" s="2"/>
      <c r="D54" s="2"/>
      <c r="E54" s="3"/>
      <c r="F54" s="12">
        <f>F53*0.15</f>
        <v>90.596999999999994</v>
      </c>
    </row>
    <row r="55" spans="1:6" ht="12.75">
      <c r="A55" s="7"/>
      <c r="B55" s="11" t="s">
        <v>15</v>
      </c>
      <c r="C55" s="2"/>
      <c r="D55" s="2"/>
      <c r="E55" s="3"/>
      <c r="F55" s="12">
        <f>SUM(F53:F54)</f>
        <v>694.577</v>
      </c>
    </row>
    <row r="56" spans="1:6" ht="12.75">
      <c r="A56" s="7"/>
      <c r="B56" s="11" t="s">
        <v>17</v>
      </c>
      <c r="C56" s="2"/>
      <c r="D56" s="2"/>
      <c r="E56" s="3"/>
      <c r="F56" s="12">
        <f>F55</f>
        <v>694.577</v>
      </c>
    </row>
    <row r="57" spans="1:6" ht="12.75">
      <c r="A57" s="7"/>
      <c r="B57" s="11" t="s">
        <v>18</v>
      </c>
      <c r="C57" s="2"/>
      <c r="D57" s="2"/>
      <c r="E57" s="3"/>
      <c r="F57" s="13">
        <f>ROUND(F56/10,2)</f>
        <v>69.46</v>
      </c>
    </row>
    <row r="58" spans="1:6" ht="12.75">
      <c r="A58" s="14">
        <v>116</v>
      </c>
      <c r="B58" s="7" t="s">
        <v>19</v>
      </c>
      <c r="C58" s="14" t="s">
        <v>20</v>
      </c>
      <c r="D58" s="14">
        <v>0.12</v>
      </c>
      <c r="E58" s="14">
        <v>784</v>
      </c>
      <c r="F58" s="12">
        <f>D58*E58</f>
        <v>94.08</v>
      </c>
    </row>
    <row r="59" spans="1:6" ht="12.75">
      <c r="A59" s="14">
        <v>114</v>
      </c>
      <c r="B59" s="7" t="s">
        <v>21</v>
      </c>
      <c r="C59" s="14" t="s">
        <v>20</v>
      </c>
      <c r="D59" s="14">
        <v>0.25</v>
      </c>
      <c r="E59" s="14">
        <v>645</v>
      </c>
      <c r="F59" s="12">
        <f>D59*E59</f>
        <v>161.25</v>
      </c>
    </row>
    <row r="60" spans="1:6" ht="12.75">
      <c r="A60" s="7"/>
      <c r="B60" s="11" t="s">
        <v>22</v>
      </c>
      <c r="C60" s="2"/>
      <c r="D60" s="2"/>
      <c r="E60" s="3"/>
      <c r="F60" s="12">
        <f>SUM(F58:F59)</f>
        <v>255.33</v>
      </c>
    </row>
    <row r="61" spans="1:6" ht="12.75">
      <c r="A61" s="7"/>
      <c r="B61" s="11" t="s">
        <v>14</v>
      </c>
      <c r="C61" s="2"/>
      <c r="D61" s="2"/>
      <c r="E61" s="3"/>
      <c r="F61" s="12">
        <f>F60*0.01</f>
        <v>2.5533000000000001</v>
      </c>
    </row>
    <row r="62" spans="1:6" ht="12.75">
      <c r="A62" s="7"/>
      <c r="B62" s="11" t="s">
        <v>15</v>
      </c>
      <c r="C62" s="2"/>
      <c r="D62" s="2"/>
      <c r="E62" s="3"/>
      <c r="F62" s="12">
        <f>SUM(F60:F61)</f>
        <v>257.88330000000002</v>
      </c>
    </row>
    <row r="63" spans="1:6" ht="12.75">
      <c r="A63" s="7"/>
      <c r="B63" s="11" t="s">
        <v>16</v>
      </c>
      <c r="C63" s="2"/>
      <c r="D63" s="2"/>
      <c r="E63" s="3"/>
      <c r="F63" s="12">
        <f>F62*0.15</f>
        <v>38.682495000000003</v>
      </c>
    </row>
    <row r="64" spans="1:6" ht="12.75">
      <c r="A64" s="7"/>
      <c r="B64" s="11" t="s">
        <v>15</v>
      </c>
      <c r="C64" s="2"/>
      <c r="D64" s="2"/>
      <c r="E64" s="3"/>
      <c r="F64" s="12">
        <f>SUM(F62:F63)</f>
        <v>296.56579499999998</v>
      </c>
    </row>
    <row r="65" spans="1:6" ht="12.75">
      <c r="A65" s="7"/>
      <c r="B65" s="11" t="s">
        <v>17</v>
      </c>
      <c r="C65" s="2"/>
      <c r="D65" s="2"/>
      <c r="E65" s="3"/>
      <c r="F65" s="12">
        <f>F64</f>
        <v>296.56579499999998</v>
      </c>
    </row>
    <row r="66" spans="1:6" ht="12.75">
      <c r="A66" s="7"/>
      <c r="B66" s="11" t="s">
        <v>18</v>
      </c>
      <c r="C66" s="2"/>
      <c r="D66" s="2"/>
      <c r="E66" s="3"/>
      <c r="F66" s="13">
        <f>ROUND(F65/10,2)</f>
        <v>29.66</v>
      </c>
    </row>
    <row r="67" spans="1:6" ht="12.75">
      <c r="A67" s="26" t="str">
        <f>CONCATENATE("Say ₹ ",F57," + ",F66," x Cost Index")</f>
        <v>Say ₹ 69.46 + 29.66 x Cost Index</v>
      </c>
      <c r="B67" s="2"/>
      <c r="C67" s="2"/>
      <c r="D67" s="2"/>
      <c r="E67" s="2"/>
      <c r="F67" s="3"/>
    </row>
    <row r="68" spans="1:6" ht="12.75">
      <c r="A68" s="16">
        <v>0</v>
      </c>
      <c r="B68" s="17" t="s">
        <v>29</v>
      </c>
      <c r="C68" s="2"/>
      <c r="D68" s="2"/>
      <c r="E68" s="2"/>
      <c r="F68" s="3"/>
    </row>
    <row r="69" spans="1:6" ht="12.75">
      <c r="A69" s="16" t="s">
        <v>2</v>
      </c>
      <c r="B69" s="16" t="s">
        <v>3</v>
      </c>
      <c r="C69" s="16" t="s">
        <v>4</v>
      </c>
      <c r="D69" s="16" t="s">
        <v>5</v>
      </c>
      <c r="E69" s="16" t="s">
        <v>6</v>
      </c>
      <c r="F69" s="16" t="s">
        <v>7</v>
      </c>
    </row>
    <row r="70" spans="1:6" ht="12.75">
      <c r="A70" s="18"/>
      <c r="B70" s="19" t="s">
        <v>8</v>
      </c>
      <c r="C70" s="18"/>
      <c r="D70" s="18"/>
      <c r="E70" s="18"/>
      <c r="F70" s="18"/>
    </row>
    <row r="71" spans="1:6" ht="12.75">
      <c r="A71" s="8"/>
      <c r="B71" s="19" t="s">
        <v>9</v>
      </c>
      <c r="C71" s="8"/>
      <c r="D71" s="8"/>
      <c r="E71" s="8"/>
      <c r="F71" s="8"/>
    </row>
    <row r="72" spans="1:6" ht="12.75">
      <c r="A72" s="20" t="s">
        <v>30</v>
      </c>
      <c r="B72" s="19" t="s">
        <v>31</v>
      </c>
      <c r="C72" s="20" t="s">
        <v>12</v>
      </c>
      <c r="D72" s="20">
        <v>11.50</v>
      </c>
      <c r="E72" s="20">
        <v>53</v>
      </c>
      <c r="F72" s="21">
        <f>D72*E72</f>
        <v>609.50</v>
      </c>
    </row>
    <row r="73" spans="1:6" ht="12.75">
      <c r="A73" s="8"/>
      <c r="B73" s="19" t="s">
        <v>13</v>
      </c>
      <c r="C73" s="8"/>
      <c r="D73" s="8"/>
      <c r="E73" s="8"/>
      <c r="F73" s="8"/>
    </row>
    <row r="74" spans="1:6" ht="12.75">
      <c r="A74" s="19"/>
      <c r="B74" s="22" t="s">
        <v>14</v>
      </c>
      <c r="C74" s="2"/>
      <c r="D74" s="2"/>
      <c r="E74" s="3"/>
      <c r="F74" s="23">
        <f>F72*0.01</f>
        <v>6.095</v>
      </c>
    </row>
    <row r="75" spans="1:6" ht="12.75">
      <c r="A75" s="19"/>
      <c r="B75" s="22" t="s">
        <v>15</v>
      </c>
      <c r="C75" s="2"/>
      <c r="D75" s="2"/>
      <c r="E75" s="3"/>
      <c r="F75" s="23">
        <f>SUM(F72:F74)</f>
        <v>615.595</v>
      </c>
    </row>
    <row r="76" spans="1:6" ht="12.75">
      <c r="A76" s="19"/>
      <c r="B76" s="22" t="s">
        <v>16</v>
      </c>
      <c r="C76" s="2"/>
      <c r="D76" s="2"/>
      <c r="E76" s="3"/>
      <c r="F76" s="23">
        <f>F75*0.15</f>
        <v>92.339250000000007</v>
      </c>
    </row>
    <row r="77" spans="1:6" ht="12.75">
      <c r="A77" s="19"/>
      <c r="B77" s="22" t="s">
        <v>15</v>
      </c>
      <c r="C77" s="2"/>
      <c r="D77" s="2"/>
      <c r="E77" s="3"/>
      <c r="F77" s="23">
        <f>SUM(F75:F76)</f>
        <v>707.93425000000002</v>
      </c>
    </row>
    <row r="78" spans="1:6" ht="12.75">
      <c r="A78" s="19"/>
      <c r="B78" s="22" t="s">
        <v>17</v>
      </c>
      <c r="C78" s="2"/>
      <c r="D78" s="2"/>
      <c r="E78" s="3"/>
      <c r="F78" s="23">
        <f>F77</f>
        <v>707.93425000000002</v>
      </c>
    </row>
    <row r="79" spans="1:6" ht="12.75">
      <c r="A79" s="19"/>
      <c r="B79" s="22" t="s">
        <v>18</v>
      </c>
      <c r="C79" s="2"/>
      <c r="D79" s="2"/>
      <c r="E79" s="3"/>
      <c r="F79" s="24">
        <f>ROUND(F78/10,2)</f>
        <v>70.79</v>
      </c>
    </row>
    <row r="80" spans="1:6" ht="12.75">
      <c r="A80" s="25">
        <v>116</v>
      </c>
      <c r="B80" s="19" t="s">
        <v>19</v>
      </c>
      <c r="C80" s="25" t="s">
        <v>20</v>
      </c>
      <c r="D80" s="25">
        <v>0.12</v>
      </c>
      <c r="E80" s="25">
        <v>784</v>
      </c>
      <c r="F80" s="23">
        <f>D80*E80</f>
        <v>94.08</v>
      </c>
    </row>
    <row r="81" spans="1:6" ht="12.75">
      <c r="A81" s="25">
        <v>114</v>
      </c>
      <c r="B81" s="19" t="s">
        <v>21</v>
      </c>
      <c r="C81" s="25" t="s">
        <v>20</v>
      </c>
      <c r="D81" s="25">
        <v>0.25</v>
      </c>
      <c r="E81" s="25">
        <v>645</v>
      </c>
      <c r="F81" s="23">
        <f>D81*E81</f>
        <v>161.25</v>
      </c>
    </row>
    <row r="82" spans="1:6" ht="12.75">
      <c r="A82" s="19"/>
      <c r="B82" s="22" t="s">
        <v>22</v>
      </c>
      <c r="C82" s="2"/>
      <c r="D82" s="2"/>
      <c r="E82" s="3"/>
      <c r="F82" s="23">
        <f>SUM(F80:F81)</f>
        <v>255.33</v>
      </c>
    </row>
    <row r="83" spans="1:6" ht="12.75">
      <c r="A83" s="19"/>
      <c r="B83" s="22" t="s">
        <v>14</v>
      </c>
      <c r="C83" s="2"/>
      <c r="D83" s="2"/>
      <c r="E83" s="3"/>
      <c r="F83" s="23">
        <f>F82*0.01</f>
        <v>2.5533000000000001</v>
      </c>
    </row>
    <row r="84" spans="1:6" ht="12.75">
      <c r="A84" s="19"/>
      <c r="B84" s="22" t="s">
        <v>15</v>
      </c>
      <c r="C84" s="2"/>
      <c r="D84" s="2"/>
      <c r="E84" s="3"/>
      <c r="F84" s="23">
        <f>SUM(F82:F83)</f>
        <v>257.88330000000002</v>
      </c>
    </row>
    <row r="85" spans="1:6" ht="12.75">
      <c r="A85" s="19"/>
      <c r="B85" s="22" t="s">
        <v>16</v>
      </c>
      <c r="C85" s="2"/>
      <c r="D85" s="2"/>
      <c r="E85" s="3"/>
      <c r="F85" s="23">
        <f>F84*0.15</f>
        <v>38.682495000000003</v>
      </c>
    </row>
    <row r="86" spans="1:6" ht="12.75">
      <c r="A86" s="19"/>
      <c r="B86" s="22" t="s">
        <v>15</v>
      </c>
      <c r="C86" s="2"/>
      <c r="D86" s="2"/>
      <c r="E86" s="3"/>
      <c r="F86" s="23">
        <f>SUM(F84:F85)</f>
        <v>296.56579499999998</v>
      </c>
    </row>
    <row r="87" spans="1:6" ht="12.75">
      <c r="A87" s="19"/>
      <c r="B87" s="22" t="s">
        <v>17</v>
      </c>
      <c r="C87" s="2"/>
      <c r="D87" s="2"/>
      <c r="E87" s="3"/>
      <c r="F87" s="23">
        <f>F86</f>
        <v>296.56579499999998</v>
      </c>
    </row>
    <row r="88" spans="1:6" ht="12.75">
      <c r="A88" s="19"/>
      <c r="B88" s="22" t="s">
        <v>18</v>
      </c>
      <c r="C88" s="2"/>
      <c r="D88" s="2"/>
      <c r="E88" s="3"/>
      <c r="F88" s="24">
        <f>ROUND(F87/10,2)</f>
        <v>29.66</v>
      </c>
    </row>
    <row r="89" spans="1:6" ht="12.75">
      <c r="A89" s="26" t="str">
        <f>CONCATENATE("Say ₹ ",F79," + ",F88," x Cost Index")</f>
        <v>Say ₹ 70.79 + 29.66 x Cost Index</v>
      </c>
      <c r="B89" s="2"/>
      <c r="C89" s="2"/>
      <c r="D89" s="2"/>
      <c r="E89" s="2"/>
      <c r="F89" s="3"/>
    </row>
    <row r="90" spans="1:6" ht="12.75">
      <c r="A90" s="4">
        <v>0</v>
      </c>
      <c r="B90" s="5" t="s">
        <v>32</v>
      </c>
      <c r="C90" s="2"/>
      <c r="D90" s="2"/>
      <c r="E90" s="2"/>
      <c r="F90" s="3"/>
    </row>
    <row r="91" spans="1:6" ht="12.75">
      <c r="A91" s="4" t="s">
        <v>2</v>
      </c>
      <c r="B91" s="4" t="s">
        <v>3</v>
      </c>
      <c r="C91" s="4" t="s">
        <v>4</v>
      </c>
      <c r="D91" s="4" t="s">
        <v>5</v>
      </c>
      <c r="E91" s="4" t="s">
        <v>6</v>
      </c>
      <c r="F91" s="4" t="s">
        <v>7</v>
      </c>
    </row>
    <row r="92" spans="1:6" ht="12.75">
      <c r="A92" s="6"/>
      <c r="B92" s="7" t="s">
        <v>8</v>
      </c>
      <c r="C92" s="6"/>
      <c r="D92" s="6"/>
      <c r="E92" s="6"/>
      <c r="F92" s="6"/>
    </row>
    <row r="93" spans="1:6" ht="12.75">
      <c r="A93" s="8"/>
      <c r="B93" s="7" t="s">
        <v>9</v>
      </c>
      <c r="C93" s="8"/>
      <c r="D93" s="8"/>
      <c r="E93" s="8"/>
      <c r="F93" s="8"/>
    </row>
    <row r="94" spans="1:6" ht="12.75">
      <c r="A94" s="9" t="s">
        <v>33</v>
      </c>
      <c r="B94" s="7" t="s">
        <v>34</v>
      </c>
      <c r="C94" s="9" t="s">
        <v>12</v>
      </c>
      <c r="D94" s="9">
        <v>11.50</v>
      </c>
      <c r="E94" s="9">
        <v>84</v>
      </c>
      <c r="F94" s="10">
        <f>D94*E94</f>
        <v>966</v>
      </c>
    </row>
    <row r="95" spans="1:6" ht="12.75">
      <c r="A95" s="8"/>
      <c r="B95" s="7" t="s">
        <v>13</v>
      </c>
      <c r="C95" s="8"/>
      <c r="D95" s="8"/>
      <c r="E95" s="8"/>
      <c r="F95" s="8"/>
    </row>
    <row r="96" spans="1:6" ht="12.75">
      <c r="A96" s="7"/>
      <c r="B96" s="11" t="s">
        <v>14</v>
      </c>
      <c r="C96" s="2"/>
      <c r="D96" s="2"/>
      <c r="E96" s="3"/>
      <c r="F96" s="12">
        <f>F94*0.01</f>
        <v>9.66</v>
      </c>
    </row>
    <row r="97" spans="1:6" ht="12.75">
      <c r="A97" s="7"/>
      <c r="B97" s="11" t="s">
        <v>15</v>
      </c>
      <c r="C97" s="2"/>
      <c r="D97" s="2"/>
      <c r="E97" s="3"/>
      <c r="F97" s="12">
        <f>SUM(F94:F96)</f>
        <v>975.66</v>
      </c>
    </row>
    <row r="98" spans="1:6" ht="12.75">
      <c r="A98" s="7"/>
      <c r="B98" s="11" t="s">
        <v>16</v>
      </c>
      <c r="C98" s="2"/>
      <c r="D98" s="2"/>
      <c r="E98" s="3"/>
      <c r="F98" s="12">
        <f>F97*0.15</f>
        <v>146.34899999999999</v>
      </c>
    </row>
    <row r="99" spans="1:6" ht="12.75">
      <c r="A99" s="7"/>
      <c r="B99" s="11" t="s">
        <v>15</v>
      </c>
      <c r="C99" s="2"/>
      <c r="D99" s="2"/>
      <c r="E99" s="3"/>
      <c r="F99" s="12">
        <f>SUM(F97:F98)</f>
        <v>1122.009</v>
      </c>
    </row>
    <row r="100" spans="1:6" ht="12.75">
      <c r="A100" s="7"/>
      <c r="B100" s="11" t="s">
        <v>17</v>
      </c>
      <c r="C100" s="2"/>
      <c r="D100" s="2"/>
      <c r="E100" s="3"/>
      <c r="F100" s="12">
        <f>F99</f>
        <v>1122.009</v>
      </c>
    </row>
    <row r="101" spans="1:6" ht="12.75">
      <c r="A101" s="7"/>
      <c r="B101" s="11" t="s">
        <v>18</v>
      </c>
      <c r="C101" s="2"/>
      <c r="D101" s="2"/>
      <c r="E101" s="3"/>
      <c r="F101" s="13">
        <f>ROUND(F100/10,2)</f>
        <v>112.20</v>
      </c>
    </row>
    <row r="102" spans="1:6" ht="12.75">
      <c r="A102" s="14">
        <v>116</v>
      </c>
      <c r="B102" s="7" t="s">
        <v>19</v>
      </c>
      <c r="C102" s="14" t="s">
        <v>20</v>
      </c>
      <c r="D102" s="14">
        <v>0.12</v>
      </c>
      <c r="E102" s="14">
        <v>784</v>
      </c>
      <c r="F102" s="12">
        <f>D102*E102</f>
        <v>94.08</v>
      </c>
    </row>
    <row r="103" spans="1:6" ht="12.75">
      <c r="A103" s="14">
        <v>114</v>
      </c>
      <c r="B103" s="7" t="s">
        <v>21</v>
      </c>
      <c r="C103" s="14" t="s">
        <v>20</v>
      </c>
      <c r="D103" s="14">
        <v>0.25</v>
      </c>
      <c r="E103" s="14">
        <v>645</v>
      </c>
      <c r="F103" s="12">
        <f>D103*E103</f>
        <v>161.25</v>
      </c>
    </row>
    <row r="104" spans="1:6" ht="12.75">
      <c r="A104" s="7"/>
      <c r="B104" s="11" t="s">
        <v>22</v>
      </c>
      <c r="C104" s="2"/>
      <c r="D104" s="2"/>
      <c r="E104" s="3"/>
      <c r="F104" s="12">
        <f>SUM(F102:F103)</f>
        <v>255.33</v>
      </c>
    </row>
    <row r="105" spans="1:6" ht="12.75">
      <c r="A105" s="7"/>
      <c r="B105" s="11" t="s">
        <v>14</v>
      </c>
      <c r="C105" s="2"/>
      <c r="D105" s="2"/>
      <c r="E105" s="3"/>
      <c r="F105" s="12">
        <f>F104*0.01</f>
        <v>2.5533000000000001</v>
      </c>
    </row>
    <row r="106" spans="1:6" ht="12.75">
      <c r="A106" s="7"/>
      <c r="B106" s="11" t="s">
        <v>15</v>
      </c>
      <c r="C106" s="2"/>
      <c r="D106" s="2"/>
      <c r="E106" s="3"/>
      <c r="F106" s="12">
        <f>SUM(F104:F105)</f>
        <v>257.88330000000002</v>
      </c>
    </row>
    <row r="107" spans="1:6" ht="12.75">
      <c r="A107" s="7"/>
      <c r="B107" s="11" t="s">
        <v>16</v>
      </c>
      <c r="C107" s="2"/>
      <c r="D107" s="2"/>
      <c r="E107" s="3"/>
      <c r="F107" s="12">
        <f>F106*0.15</f>
        <v>38.682495000000003</v>
      </c>
    </row>
    <row r="108" spans="1:6" ht="12.75">
      <c r="A108" s="7"/>
      <c r="B108" s="11" t="s">
        <v>15</v>
      </c>
      <c r="C108" s="2"/>
      <c r="D108" s="2"/>
      <c r="E108" s="3"/>
      <c r="F108" s="12">
        <f>SUM(F106:F107)</f>
        <v>296.56579499999998</v>
      </c>
    </row>
    <row r="109" spans="1:6" ht="12.75">
      <c r="A109" s="7"/>
      <c r="B109" s="11" t="s">
        <v>17</v>
      </c>
      <c r="C109" s="2"/>
      <c r="D109" s="2"/>
      <c r="E109" s="3"/>
      <c r="F109" s="12">
        <f>F108</f>
        <v>296.56579499999998</v>
      </c>
    </row>
    <row r="110" spans="1:6" ht="12.75">
      <c r="A110" s="7"/>
      <c r="B110" s="11" t="s">
        <v>18</v>
      </c>
      <c r="C110" s="2"/>
      <c r="D110" s="2"/>
      <c r="E110" s="3"/>
      <c r="F110" s="13">
        <f>ROUND(F109/10,2)</f>
        <v>29.66</v>
      </c>
    </row>
    <row r="111" spans="1:6" ht="12.75">
      <c r="A111" s="26" t="str">
        <f>CONCATENATE("Say ₹ ",F101," + ",F110," x Cost Index")</f>
        <v>Say ₹ 112.2 + 29.66 x Cost Index</v>
      </c>
      <c r="B111" s="2"/>
      <c r="C111" s="2"/>
      <c r="D111" s="2"/>
      <c r="E111" s="2"/>
      <c r="F111" s="3"/>
    </row>
    <row r="112" spans="1:6" ht="12.75">
      <c r="A112" s="16">
        <v>0</v>
      </c>
      <c r="B112" s="17" t="s">
        <v>35</v>
      </c>
      <c r="C112" s="2"/>
      <c r="D112" s="2"/>
      <c r="E112" s="2"/>
      <c r="F112" s="3"/>
    </row>
    <row r="113" spans="1:6" ht="12.75">
      <c r="A113" s="16" t="s">
        <v>2</v>
      </c>
      <c r="B113" s="16" t="s">
        <v>3</v>
      </c>
      <c r="C113" s="16" t="s">
        <v>4</v>
      </c>
      <c r="D113" s="16" t="s">
        <v>5</v>
      </c>
      <c r="E113" s="16" t="s">
        <v>6</v>
      </c>
      <c r="F113" s="16" t="s">
        <v>7</v>
      </c>
    </row>
    <row r="114" spans="1:6" ht="12.75">
      <c r="A114" s="18"/>
      <c r="B114" s="19" t="s">
        <v>8</v>
      </c>
      <c r="C114" s="18"/>
      <c r="D114" s="18"/>
      <c r="E114" s="18"/>
      <c r="F114" s="18"/>
    </row>
    <row r="115" spans="1:6" ht="12.75">
      <c r="A115" s="8"/>
      <c r="B115" s="19" t="s">
        <v>9</v>
      </c>
      <c r="C115" s="8"/>
      <c r="D115" s="8"/>
      <c r="E115" s="8"/>
      <c r="F115" s="8"/>
    </row>
    <row r="116" spans="1:6" ht="12.75">
      <c r="A116" s="20" t="s">
        <v>36</v>
      </c>
      <c r="B116" s="19" t="s">
        <v>37</v>
      </c>
      <c r="C116" s="20" t="s">
        <v>12</v>
      </c>
      <c r="D116" s="20">
        <v>11.50</v>
      </c>
      <c r="E116" s="20">
        <v>60</v>
      </c>
      <c r="F116" s="27">
        <f>D116*E116</f>
        <v>690</v>
      </c>
    </row>
    <row r="117" spans="1:6" ht="12.75">
      <c r="A117" s="8"/>
      <c r="B117" s="19" t="s">
        <v>13</v>
      </c>
      <c r="C117" s="8"/>
      <c r="D117" s="8"/>
      <c r="E117" s="8"/>
      <c r="F117" s="8"/>
    </row>
    <row r="118" spans="1:6" ht="12.75">
      <c r="A118" s="19"/>
      <c r="B118" s="22" t="s">
        <v>14</v>
      </c>
      <c r="C118" s="2"/>
      <c r="D118" s="2"/>
      <c r="E118" s="3"/>
      <c r="F118" s="23">
        <f>F116*0.01</f>
        <v>6.90</v>
      </c>
    </row>
    <row r="119" spans="1:6" ht="12.75">
      <c r="A119" s="19"/>
      <c r="B119" s="22" t="s">
        <v>15</v>
      </c>
      <c r="C119" s="2"/>
      <c r="D119" s="2"/>
      <c r="E119" s="3"/>
      <c r="F119" s="23">
        <f>SUM(F116:F118)</f>
        <v>696.90</v>
      </c>
    </row>
    <row r="120" spans="1:6" ht="12.75">
      <c r="A120" s="19"/>
      <c r="B120" s="22" t="s">
        <v>16</v>
      </c>
      <c r="C120" s="2"/>
      <c r="D120" s="2"/>
      <c r="E120" s="3"/>
      <c r="F120" s="23">
        <f>F119*0.15</f>
        <v>104.535</v>
      </c>
    </row>
    <row r="121" spans="1:6" ht="12.75">
      <c r="A121" s="19"/>
      <c r="B121" s="22" t="s">
        <v>15</v>
      </c>
      <c r="C121" s="2"/>
      <c r="D121" s="2"/>
      <c r="E121" s="3"/>
      <c r="F121" s="23">
        <f>SUM(F119:F120)</f>
        <v>801.435</v>
      </c>
    </row>
    <row r="122" spans="1:6" ht="12.75">
      <c r="A122" s="19"/>
      <c r="B122" s="22" t="s">
        <v>17</v>
      </c>
      <c r="C122" s="2"/>
      <c r="D122" s="2"/>
      <c r="E122" s="3"/>
      <c r="F122" s="23">
        <f>F121</f>
        <v>801.435</v>
      </c>
    </row>
    <row r="123" spans="1:6" ht="12.75">
      <c r="A123" s="19"/>
      <c r="B123" s="22" t="s">
        <v>18</v>
      </c>
      <c r="C123" s="2"/>
      <c r="D123" s="2"/>
      <c r="E123" s="3"/>
      <c r="F123" s="24">
        <f>ROUND(F122/10,2)</f>
        <v>80.14</v>
      </c>
    </row>
    <row r="124" spans="1:6" ht="12.75">
      <c r="A124" s="25">
        <v>116</v>
      </c>
      <c r="B124" s="19" t="s">
        <v>19</v>
      </c>
      <c r="C124" s="25" t="s">
        <v>20</v>
      </c>
      <c r="D124" s="25">
        <v>0.12</v>
      </c>
      <c r="E124" s="25">
        <v>784</v>
      </c>
      <c r="F124" s="23">
        <f>D124*E124</f>
        <v>94.08</v>
      </c>
    </row>
    <row r="125" spans="1:6" ht="12.75">
      <c r="A125" s="25">
        <v>114</v>
      </c>
      <c r="B125" s="19" t="s">
        <v>21</v>
      </c>
      <c r="C125" s="25" t="s">
        <v>20</v>
      </c>
      <c r="D125" s="25">
        <v>0.25</v>
      </c>
      <c r="E125" s="25">
        <v>645</v>
      </c>
      <c r="F125" s="23">
        <f>D125*E125</f>
        <v>161.25</v>
      </c>
    </row>
    <row r="126" spans="1:6" ht="12.75">
      <c r="A126" s="19"/>
      <c r="B126" s="22" t="s">
        <v>22</v>
      </c>
      <c r="C126" s="2"/>
      <c r="D126" s="2"/>
      <c r="E126" s="3"/>
      <c r="F126" s="23">
        <f>SUM(F124:F125)</f>
        <v>255.33</v>
      </c>
    </row>
    <row r="127" spans="1:6" ht="12.75">
      <c r="A127" s="19"/>
      <c r="B127" s="22" t="s">
        <v>14</v>
      </c>
      <c r="C127" s="2"/>
      <c r="D127" s="2"/>
      <c r="E127" s="3"/>
      <c r="F127" s="23">
        <f>F126*0.01</f>
        <v>2.5533000000000001</v>
      </c>
    </row>
    <row r="128" spans="1:6" ht="12.75">
      <c r="A128" s="19"/>
      <c r="B128" s="22" t="s">
        <v>15</v>
      </c>
      <c r="C128" s="2"/>
      <c r="D128" s="2"/>
      <c r="E128" s="3"/>
      <c r="F128" s="23">
        <f>SUM(F126:F127)</f>
        <v>257.88330000000002</v>
      </c>
    </row>
    <row r="129" spans="1:6" ht="12.75">
      <c r="A129" s="19"/>
      <c r="B129" s="22" t="s">
        <v>16</v>
      </c>
      <c r="C129" s="2"/>
      <c r="D129" s="2"/>
      <c r="E129" s="3"/>
      <c r="F129" s="23">
        <f>F128*0.15</f>
        <v>38.682495000000003</v>
      </c>
    </row>
    <row r="130" spans="1:6" ht="12.75">
      <c r="A130" s="19"/>
      <c r="B130" s="22" t="s">
        <v>15</v>
      </c>
      <c r="C130" s="2"/>
      <c r="D130" s="2"/>
      <c r="E130" s="3"/>
      <c r="F130" s="23">
        <f>SUM(F128:F129)</f>
        <v>296.56579499999998</v>
      </c>
    </row>
    <row r="131" spans="1:6" ht="12.75">
      <c r="A131" s="19"/>
      <c r="B131" s="22" t="s">
        <v>17</v>
      </c>
      <c r="C131" s="2"/>
      <c r="D131" s="2"/>
      <c r="E131" s="3"/>
      <c r="F131" s="23">
        <f>F130</f>
        <v>296.56579499999998</v>
      </c>
    </row>
    <row r="132" spans="1:6" ht="12.75">
      <c r="A132" s="19"/>
      <c r="B132" s="22" t="s">
        <v>18</v>
      </c>
      <c r="C132" s="2"/>
      <c r="D132" s="2"/>
      <c r="E132" s="3"/>
      <c r="F132" s="24">
        <f>ROUND(F131/10,2)</f>
        <v>29.66</v>
      </c>
    </row>
    <row r="133" spans="1:6" ht="12.75">
      <c r="A133" s="26" t="str">
        <f>CONCATENATE("Say ₹ ",F123," + ",F132," x Cost Index")</f>
        <v>Say ₹ 80.14 + 29.66 x Cost Index</v>
      </c>
      <c r="B133" s="2"/>
      <c r="C133" s="2"/>
      <c r="D133" s="2"/>
      <c r="E133" s="2"/>
      <c r="F133" s="3"/>
    </row>
    <row r="134" spans="1:6" ht="12.75">
      <c r="A134" s="4">
        <v>0</v>
      </c>
      <c r="B134" s="5" t="s">
        <v>38</v>
      </c>
      <c r="C134" s="2"/>
      <c r="D134" s="2"/>
      <c r="E134" s="2"/>
      <c r="F134" s="3"/>
    </row>
    <row r="135" spans="1:6" ht="12.75">
      <c r="A135" s="4" t="s">
        <v>2</v>
      </c>
      <c r="B135" s="4" t="s">
        <v>3</v>
      </c>
      <c r="C135" s="4" t="s">
        <v>4</v>
      </c>
      <c r="D135" s="4" t="s">
        <v>5</v>
      </c>
      <c r="E135" s="4" t="s">
        <v>6</v>
      </c>
      <c r="F135" s="4" t="s">
        <v>7</v>
      </c>
    </row>
    <row r="136" spans="1:6" ht="12.75">
      <c r="A136" s="6"/>
      <c r="B136" s="7" t="s">
        <v>8</v>
      </c>
      <c r="C136" s="6"/>
      <c r="D136" s="6"/>
      <c r="E136" s="6"/>
      <c r="F136" s="6"/>
    </row>
    <row r="137" spans="1:6" ht="12.75">
      <c r="A137" s="8"/>
      <c r="B137" s="7" t="s">
        <v>9</v>
      </c>
      <c r="C137" s="8"/>
      <c r="D137" s="8"/>
      <c r="E137" s="8"/>
      <c r="F137" s="8"/>
    </row>
    <row r="138" spans="1:6" ht="12.75">
      <c r="A138" s="9" t="s">
        <v>39</v>
      </c>
      <c r="B138" s="7" t="s">
        <v>40</v>
      </c>
      <c r="C138" s="9" t="s">
        <v>12</v>
      </c>
      <c r="D138" s="9">
        <v>11.50</v>
      </c>
      <c r="E138" s="9">
        <v>90</v>
      </c>
      <c r="F138" s="10">
        <f>D138*E138</f>
        <v>1035</v>
      </c>
    </row>
    <row r="139" spans="1:6" ht="12.75">
      <c r="A139" s="8"/>
      <c r="B139" s="7" t="s">
        <v>13</v>
      </c>
      <c r="C139" s="8"/>
      <c r="D139" s="8"/>
      <c r="E139" s="8"/>
      <c r="F139" s="8"/>
    </row>
    <row r="140" spans="1:6" ht="12.75">
      <c r="A140" s="7"/>
      <c r="B140" s="11" t="s">
        <v>14</v>
      </c>
      <c r="C140" s="2"/>
      <c r="D140" s="2"/>
      <c r="E140" s="3"/>
      <c r="F140" s="12">
        <f>F138*0.01</f>
        <v>10.35</v>
      </c>
    </row>
    <row r="141" spans="1:6" ht="12.75">
      <c r="A141" s="7"/>
      <c r="B141" s="11" t="s">
        <v>15</v>
      </c>
      <c r="C141" s="2"/>
      <c r="D141" s="2"/>
      <c r="E141" s="3"/>
      <c r="F141" s="12">
        <f>SUM(F138:F140)</f>
        <v>1045.35</v>
      </c>
    </row>
    <row r="142" spans="1:6" ht="12.75">
      <c r="A142" s="7"/>
      <c r="B142" s="11" t="s">
        <v>16</v>
      </c>
      <c r="C142" s="2"/>
      <c r="D142" s="2"/>
      <c r="E142" s="3"/>
      <c r="F142" s="12">
        <f>F141*0.15</f>
        <v>156.8025</v>
      </c>
    </row>
    <row r="143" spans="1:6" ht="12.75">
      <c r="A143" s="7"/>
      <c r="B143" s="11" t="s">
        <v>15</v>
      </c>
      <c r="C143" s="2"/>
      <c r="D143" s="2"/>
      <c r="E143" s="3"/>
      <c r="F143" s="12">
        <f>SUM(F141:F142)</f>
        <v>1202.1525</v>
      </c>
    </row>
    <row r="144" spans="1:6" ht="12.75">
      <c r="A144" s="7"/>
      <c r="B144" s="11" t="s">
        <v>17</v>
      </c>
      <c r="C144" s="2"/>
      <c r="D144" s="2"/>
      <c r="E144" s="3"/>
      <c r="F144" s="12">
        <f>F143</f>
        <v>1202.1525</v>
      </c>
    </row>
    <row r="145" spans="1:6" ht="12.75">
      <c r="A145" s="7"/>
      <c r="B145" s="11" t="s">
        <v>18</v>
      </c>
      <c r="C145" s="2"/>
      <c r="D145" s="2"/>
      <c r="E145" s="3"/>
      <c r="F145" s="13">
        <f>ROUND(F144/10,2)</f>
        <v>120.22</v>
      </c>
    </row>
    <row r="146" spans="1:6" ht="12.75">
      <c r="A146" s="14">
        <v>116</v>
      </c>
      <c r="B146" s="7" t="s">
        <v>19</v>
      </c>
      <c r="C146" s="14" t="s">
        <v>20</v>
      </c>
      <c r="D146" s="14">
        <v>0.12</v>
      </c>
      <c r="E146" s="14">
        <v>784</v>
      </c>
      <c r="F146" s="12">
        <f>D146*E146</f>
        <v>94.08</v>
      </c>
    </row>
    <row r="147" spans="1:6" ht="12.75">
      <c r="A147" s="14">
        <v>114</v>
      </c>
      <c r="B147" s="7" t="s">
        <v>21</v>
      </c>
      <c r="C147" s="14" t="s">
        <v>20</v>
      </c>
      <c r="D147" s="14">
        <v>0.25</v>
      </c>
      <c r="E147" s="14">
        <v>645</v>
      </c>
      <c r="F147" s="12">
        <f>D147*E147</f>
        <v>161.25</v>
      </c>
    </row>
    <row r="148" spans="1:6" ht="12.75">
      <c r="A148" s="7"/>
      <c r="B148" s="11" t="s">
        <v>22</v>
      </c>
      <c r="C148" s="2"/>
      <c r="D148" s="2"/>
      <c r="E148" s="3"/>
      <c r="F148" s="12">
        <f>SUM(F146:F147)</f>
        <v>255.33</v>
      </c>
    </row>
    <row r="149" spans="1:6" ht="12.75">
      <c r="A149" s="7"/>
      <c r="B149" s="11" t="s">
        <v>14</v>
      </c>
      <c r="C149" s="2"/>
      <c r="D149" s="2"/>
      <c r="E149" s="3"/>
      <c r="F149" s="12">
        <f>F148*0.01</f>
        <v>2.5533000000000001</v>
      </c>
    </row>
    <row r="150" spans="1:6" ht="12.75">
      <c r="A150" s="7"/>
      <c r="B150" s="11" t="s">
        <v>15</v>
      </c>
      <c r="C150" s="2"/>
      <c r="D150" s="2"/>
      <c r="E150" s="3"/>
      <c r="F150" s="12">
        <f>SUM(F148:F149)</f>
        <v>257.88330000000002</v>
      </c>
    </row>
    <row r="151" spans="1:6" ht="12.75">
      <c r="A151" s="7"/>
      <c r="B151" s="11" t="s">
        <v>16</v>
      </c>
      <c r="C151" s="2"/>
      <c r="D151" s="2"/>
      <c r="E151" s="3"/>
      <c r="F151" s="12">
        <f>F150*0.15</f>
        <v>38.682495000000003</v>
      </c>
    </row>
    <row r="152" spans="1:6" ht="12.75">
      <c r="A152" s="7"/>
      <c r="B152" s="11" t="s">
        <v>15</v>
      </c>
      <c r="C152" s="2"/>
      <c r="D152" s="2"/>
      <c r="E152" s="3"/>
      <c r="F152" s="12">
        <f>SUM(F150:F151)</f>
        <v>296.56579499999998</v>
      </c>
    </row>
    <row r="153" spans="1:6" ht="12.75">
      <c r="A153" s="7"/>
      <c r="B153" s="11" t="s">
        <v>17</v>
      </c>
      <c r="C153" s="2"/>
      <c r="D153" s="2"/>
      <c r="E153" s="3"/>
      <c r="F153" s="12">
        <f>F152</f>
        <v>296.56579499999998</v>
      </c>
    </row>
    <row r="154" spans="1:6" ht="12.75">
      <c r="A154" s="7"/>
      <c r="B154" s="11" t="s">
        <v>18</v>
      </c>
      <c r="C154" s="2"/>
      <c r="D154" s="2"/>
      <c r="E154" s="3"/>
      <c r="F154" s="13">
        <f>ROUND(F153/10,2)</f>
        <v>29.66</v>
      </c>
    </row>
    <row r="155" spans="1:6" ht="12.75">
      <c r="A155" s="26" t="str">
        <f>CONCATENATE("Say ₹ ",F145," + ",F154," x Cost Index")</f>
        <v>Say ₹ 120.22 + 29.66 x Cost Index</v>
      </c>
      <c r="B155" s="2"/>
      <c r="C155" s="2"/>
      <c r="D155" s="2"/>
      <c r="E155" s="2"/>
      <c r="F155" s="3"/>
    </row>
    <row r="156" spans="1:6" ht="12.75">
      <c r="A156" s="16" t="s">
        <v>41</v>
      </c>
      <c r="B156" s="17" t="s">
        <v>42</v>
      </c>
      <c r="C156" s="2"/>
      <c r="D156" s="2"/>
      <c r="E156" s="2"/>
      <c r="F156" s="3"/>
    </row>
    <row r="157" spans="1:6" ht="12.75">
      <c r="A157" s="16" t="s">
        <v>2</v>
      </c>
      <c r="B157" s="16" t="s">
        <v>3</v>
      </c>
      <c r="C157" s="16" t="s">
        <v>4</v>
      </c>
      <c r="D157" s="16" t="s">
        <v>5</v>
      </c>
      <c r="E157" s="16" t="s">
        <v>6</v>
      </c>
      <c r="F157" s="16" t="s">
        <v>7</v>
      </c>
    </row>
    <row r="158" spans="1:6" ht="12.75">
      <c r="A158" s="18"/>
      <c r="B158" s="19" t="s">
        <v>8</v>
      </c>
      <c r="C158" s="18"/>
      <c r="D158" s="18"/>
      <c r="E158" s="18"/>
      <c r="F158" s="18"/>
    </row>
    <row r="159" spans="1:6" ht="12.75">
      <c r="A159" s="8"/>
      <c r="B159" s="19" t="s">
        <v>9</v>
      </c>
      <c r="C159" s="8"/>
      <c r="D159" s="8"/>
      <c r="E159" s="8"/>
      <c r="F159" s="8"/>
    </row>
    <row r="160" spans="1:6" ht="12.75">
      <c r="A160" s="20" t="s">
        <v>43</v>
      </c>
      <c r="B160" s="19" t="s">
        <v>44</v>
      </c>
      <c r="C160" s="20" t="s">
        <v>12</v>
      </c>
      <c r="D160" s="20">
        <v>11.50</v>
      </c>
      <c r="E160" s="20">
        <v>118</v>
      </c>
      <c r="F160" s="27">
        <f>D160*E160</f>
        <v>1357</v>
      </c>
    </row>
    <row r="161" spans="1:6" ht="12.75">
      <c r="A161" s="8"/>
      <c r="B161" s="19" t="s">
        <v>13</v>
      </c>
      <c r="C161" s="8"/>
      <c r="D161" s="8"/>
      <c r="E161" s="8"/>
      <c r="F161" s="8"/>
    </row>
    <row r="162" spans="1:6" ht="12.75">
      <c r="A162" s="19"/>
      <c r="B162" s="22" t="s">
        <v>14</v>
      </c>
      <c r="C162" s="2"/>
      <c r="D162" s="2"/>
      <c r="E162" s="3"/>
      <c r="F162" s="23">
        <f>F160*0.01</f>
        <v>13.57</v>
      </c>
    </row>
    <row r="163" spans="1:6" ht="12.75">
      <c r="A163" s="19"/>
      <c r="B163" s="22" t="s">
        <v>15</v>
      </c>
      <c r="C163" s="2"/>
      <c r="D163" s="2"/>
      <c r="E163" s="3"/>
      <c r="F163" s="23">
        <f>SUM(F160:F162)</f>
        <v>1370.57</v>
      </c>
    </row>
    <row r="164" spans="1:6" ht="12.75">
      <c r="A164" s="19"/>
      <c r="B164" s="22" t="s">
        <v>16</v>
      </c>
      <c r="C164" s="2"/>
      <c r="D164" s="2"/>
      <c r="E164" s="3"/>
      <c r="F164" s="23">
        <f>F163*0.15</f>
        <v>205.5855</v>
      </c>
    </row>
    <row r="165" spans="1:6" ht="12.75">
      <c r="A165" s="19"/>
      <c r="B165" s="22" t="s">
        <v>15</v>
      </c>
      <c r="C165" s="2"/>
      <c r="D165" s="2"/>
      <c r="E165" s="3"/>
      <c r="F165" s="23">
        <f>SUM(F163:F164)</f>
        <v>1576.1555000000001</v>
      </c>
    </row>
    <row r="166" spans="1:6" ht="12.75">
      <c r="A166" s="19"/>
      <c r="B166" s="22" t="s">
        <v>17</v>
      </c>
      <c r="C166" s="2"/>
      <c r="D166" s="2"/>
      <c r="E166" s="3"/>
      <c r="F166" s="23">
        <f>F165</f>
        <v>1576.1555000000001</v>
      </c>
    </row>
    <row r="167" spans="1:6" ht="12.75">
      <c r="A167" s="19"/>
      <c r="B167" s="22" t="s">
        <v>18</v>
      </c>
      <c r="C167" s="2"/>
      <c r="D167" s="2"/>
      <c r="E167" s="3"/>
      <c r="F167" s="24">
        <f>ROUND(F166/10,2)</f>
        <v>157.62</v>
      </c>
    </row>
    <row r="168" spans="1:6" ht="12.75">
      <c r="A168" s="25">
        <v>116</v>
      </c>
      <c r="B168" s="19" t="s">
        <v>19</v>
      </c>
      <c r="C168" s="25" t="s">
        <v>20</v>
      </c>
      <c r="D168" s="25">
        <v>0.12</v>
      </c>
      <c r="E168" s="25">
        <v>784</v>
      </c>
      <c r="F168" s="23">
        <f>D168*E168</f>
        <v>94.08</v>
      </c>
    </row>
    <row r="169" spans="1:6" ht="12.75">
      <c r="A169" s="25">
        <v>114</v>
      </c>
      <c r="B169" s="19" t="s">
        <v>21</v>
      </c>
      <c r="C169" s="25" t="s">
        <v>20</v>
      </c>
      <c r="D169" s="25">
        <v>0.25</v>
      </c>
      <c r="E169" s="25">
        <v>645</v>
      </c>
      <c r="F169" s="23">
        <f>D169*E169</f>
        <v>161.25</v>
      </c>
    </row>
    <row r="170" spans="1:6" ht="12.75">
      <c r="A170" s="19"/>
      <c r="B170" s="22" t="s">
        <v>22</v>
      </c>
      <c r="C170" s="2"/>
      <c r="D170" s="2"/>
      <c r="E170" s="3"/>
      <c r="F170" s="23">
        <f>SUM(F168:F169)</f>
        <v>255.33</v>
      </c>
    </row>
    <row r="171" spans="1:6" ht="12.75">
      <c r="A171" s="19"/>
      <c r="B171" s="22" t="s">
        <v>14</v>
      </c>
      <c r="C171" s="2"/>
      <c r="D171" s="2"/>
      <c r="E171" s="3"/>
      <c r="F171" s="23">
        <f>F170*0.01</f>
        <v>2.5533000000000001</v>
      </c>
    </row>
    <row r="172" spans="1:6" ht="12.75">
      <c r="A172" s="19"/>
      <c r="B172" s="22" t="s">
        <v>15</v>
      </c>
      <c r="C172" s="2"/>
      <c r="D172" s="2"/>
      <c r="E172" s="3"/>
      <c r="F172" s="23">
        <f>SUM(F170:F171)</f>
        <v>257.88330000000002</v>
      </c>
    </row>
    <row r="173" spans="1:6" ht="12.75">
      <c r="A173" s="19"/>
      <c r="B173" s="22" t="s">
        <v>16</v>
      </c>
      <c r="C173" s="2"/>
      <c r="D173" s="2"/>
      <c r="E173" s="3"/>
      <c r="F173" s="23">
        <f>F172*0.15</f>
        <v>38.682495000000003</v>
      </c>
    </row>
    <row r="174" spans="1:6" ht="12.75">
      <c r="A174" s="19"/>
      <c r="B174" s="22" t="s">
        <v>15</v>
      </c>
      <c r="C174" s="2"/>
      <c r="D174" s="2"/>
      <c r="E174" s="3"/>
      <c r="F174" s="23">
        <f>SUM(F172:F173)</f>
        <v>296.56579499999998</v>
      </c>
    </row>
    <row r="175" spans="1:6" ht="12.75">
      <c r="A175" s="19"/>
      <c r="B175" s="22" t="s">
        <v>17</v>
      </c>
      <c r="C175" s="2"/>
      <c r="D175" s="2"/>
      <c r="E175" s="3"/>
      <c r="F175" s="23">
        <f>F174</f>
        <v>296.56579499999998</v>
      </c>
    </row>
    <row r="176" spans="1:6" ht="12.75">
      <c r="A176" s="19"/>
      <c r="B176" s="22" t="s">
        <v>18</v>
      </c>
      <c r="C176" s="2"/>
      <c r="D176" s="2"/>
      <c r="E176" s="3"/>
      <c r="F176" s="24">
        <f>ROUND(F175/10,2)</f>
        <v>29.66</v>
      </c>
    </row>
    <row r="177" spans="1:6" ht="12.75">
      <c r="A177" s="26" t="str">
        <f>CONCATENATE("Say ₹ ",F167," + ",F176," x Cost Index")</f>
        <v>Say ₹ 157.62 + 29.66 x Cost Index</v>
      </c>
      <c r="B177" s="2"/>
      <c r="C177" s="2"/>
      <c r="D177" s="2"/>
      <c r="E177" s="2"/>
      <c r="F177" s="3"/>
    </row>
    <row r="178" spans="1:6" ht="12.75">
      <c r="A178" s="4" t="s">
        <v>45</v>
      </c>
      <c r="B178" s="5" t="s">
        <v>46</v>
      </c>
      <c r="C178" s="2"/>
      <c r="D178" s="2"/>
      <c r="E178" s="2"/>
      <c r="F178" s="3"/>
    </row>
    <row r="179" spans="1:6" ht="12.75">
      <c r="A179" s="4" t="s">
        <v>2</v>
      </c>
      <c r="B179" s="4" t="s">
        <v>3</v>
      </c>
      <c r="C179" s="4" t="s">
        <v>4</v>
      </c>
      <c r="D179" s="4" t="s">
        <v>5</v>
      </c>
      <c r="E179" s="4" t="s">
        <v>6</v>
      </c>
      <c r="F179" s="4" t="s">
        <v>7</v>
      </c>
    </row>
    <row r="180" spans="1:6" ht="12.75">
      <c r="A180" s="6"/>
      <c r="B180" s="7" t="s">
        <v>8</v>
      </c>
      <c r="C180" s="6"/>
      <c r="D180" s="6"/>
      <c r="E180" s="6"/>
      <c r="F180" s="6"/>
    </row>
    <row r="181" spans="1:6" ht="12.75">
      <c r="A181" s="8"/>
      <c r="B181" s="7" t="s">
        <v>9</v>
      </c>
      <c r="C181" s="8"/>
      <c r="D181" s="8"/>
      <c r="E181" s="8"/>
      <c r="F181" s="8"/>
    </row>
    <row r="182" spans="1:6" ht="12.75">
      <c r="A182" s="9" t="s">
        <v>47</v>
      </c>
      <c r="B182" s="7" t="s">
        <v>48</v>
      </c>
      <c r="C182" s="9" t="s">
        <v>12</v>
      </c>
      <c r="D182" s="9">
        <v>11.50</v>
      </c>
      <c r="E182" s="9">
        <v>129</v>
      </c>
      <c r="F182" s="10">
        <f>D182*E182</f>
        <v>1483.50</v>
      </c>
    </row>
    <row r="183" spans="1:6" ht="12.75">
      <c r="A183" s="8"/>
      <c r="B183" s="7" t="s">
        <v>13</v>
      </c>
      <c r="C183" s="8"/>
      <c r="D183" s="8"/>
      <c r="E183" s="8"/>
      <c r="F183" s="8"/>
    </row>
    <row r="184" spans="1:6" ht="12.75">
      <c r="A184" s="7"/>
      <c r="B184" s="11" t="s">
        <v>14</v>
      </c>
      <c r="C184" s="2"/>
      <c r="D184" s="2"/>
      <c r="E184" s="3"/>
      <c r="F184" s="12">
        <f>F182*0.01</f>
        <v>14.835</v>
      </c>
    </row>
    <row r="185" spans="1:6" ht="12.75">
      <c r="A185" s="7"/>
      <c r="B185" s="11" t="s">
        <v>15</v>
      </c>
      <c r="C185" s="2"/>
      <c r="D185" s="2"/>
      <c r="E185" s="3"/>
      <c r="F185" s="12">
        <f>SUM(F182:F184)</f>
        <v>1498.335</v>
      </c>
    </row>
    <row r="186" spans="1:6" ht="12.75">
      <c r="A186" s="7"/>
      <c r="B186" s="11" t="s">
        <v>16</v>
      </c>
      <c r="C186" s="2"/>
      <c r="D186" s="2"/>
      <c r="E186" s="3"/>
      <c r="F186" s="12">
        <f>F185*0.15</f>
        <v>224.75024999999999</v>
      </c>
    </row>
    <row r="187" spans="1:6" ht="12.75">
      <c r="A187" s="7"/>
      <c r="B187" s="11" t="s">
        <v>15</v>
      </c>
      <c r="C187" s="2"/>
      <c r="D187" s="2"/>
      <c r="E187" s="3"/>
      <c r="F187" s="12">
        <f>SUM(F185:F186)</f>
        <v>1723.0852500000001</v>
      </c>
    </row>
    <row r="188" spans="1:6" ht="12.75">
      <c r="A188" s="7"/>
      <c r="B188" s="11" t="s">
        <v>17</v>
      </c>
      <c r="C188" s="2"/>
      <c r="D188" s="2"/>
      <c r="E188" s="3"/>
      <c r="F188" s="12">
        <f>F187</f>
        <v>1723.0852500000001</v>
      </c>
    </row>
    <row r="189" spans="1:6" ht="12.75">
      <c r="A189" s="7"/>
      <c r="B189" s="11" t="s">
        <v>18</v>
      </c>
      <c r="C189" s="2"/>
      <c r="D189" s="2"/>
      <c r="E189" s="3"/>
      <c r="F189" s="13">
        <f>ROUND(F188/10,2)</f>
        <v>172.31</v>
      </c>
    </row>
    <row r="190" spans="1:6" ht="12.75">
      <c r="A190" s="14">
        <v>116</v>
      </c>
      <c r="B190" s="7" t="s">
        <v>19</v>
      </c>
      <c r="C190" s="14" t="s">
        <v>20</v>
      </c>
      <c r="D190" s="14">
        <v>0.12</v>
      </c>
      <c r="E190" s="14">
        <v>784</v>
      </c>
      <c r="F190" s="12">
        <f>D190*E190</f>
        <v>94.08</v>
      </c>
    </row>
    <row r="191" spans="1:6" ht="12.75">
      <c r="A191" s="14">
        <v>114</v>
      </c>
      <c r="B191" s="7" t="s">
        <v>21</v>
      </c>
      <c r="C191" s="14" t="s">
        <v>20</v>
      </c>
      <c r="D191" s="14">
        <v>0.25</v>
      </c>
      <c r="E191" s="14">
        <v>645</v>
      </c>
      <c r="F191" s="12">
        <f>D191*E191</f>
        <v>161.25</v>
      </c>
    </row>
    <row r="192" spans="1:6" ht="12.75">
      <c r="A192" s="7"/>
      <c r="B192" s="11" t="s">
        <v>22</v>
      </c>
      <c r="C192" s="2"/>
      <c r="D192" s="2"/>
      <c r="E192" s="3"/>
      <c r="F192" s="12">
        <f>SUM(F190:F191)</f>
        <v>255.33</v>
      </c>
    </row>
    <row r="193" spans="1:6" ht="12.75">
      <c r="A193" s="7"/>
      <c r="B193" s="11" t="s">
        <v>14</v>
      </c>
      <c r="C193" s="2"/>
      <c r="D193" s="2"/>
      <c r="E193" s="3"/>
      <c r="F193" s="12">
        <f>F192*0.01</f>
        <v>2.5533000000000001</v>
      </c>
    </row>
    <row r="194" spans="1:6" ht="12.75">
      <c r="A194" s="7"/>
      <c r="B194" s="11" t="s">
        <v>15</v>
      </c>
      <c r="C194" s="2"/>
      <c r="D194" s="2"/>
      <c r="E194" s="3"/>
      <c r="F194" s="12">
        <f>SUM(F192:F193)</f>
        <v>257.88330000000002</v>
      </c>
    </row>
    <row r="195" spans="1:6" ht="12.75">
      <c r="A195" s="7"/>
      <c r="B195" s="11" t="s">
        <v>16</v>
      </c>
      <c r="C195" s="2"/>
      <c r="D195" s="2"/>
      <c r="E195" s="3"/>
      <c r="F195" s="12">
        <f>F194*0.15</f>
        <v>38.682495000000003</v>
      </c>
    </row>
    <row r="196" spans="1:6" ht="12.75">
      <c r="A196" s="7"/>
      <c r="B196" s="11" t="s">
        <v>15</v>
      </c>
      <c r="C196" s="2"/>
      <c r="D196" s="2"/>
      <c r="E196" s="3"/>
      <c r="F196" s="12">
        <f>SUM(F194:F195)</f>
        <v>296.56579499999998</v>
      </c>
    </row>
    <row r="197" spans="1:6" ht="12.75">
      <c r="A197" s="7"/>
      <c r="B197" s="11" t="s">
        <v>17</v>
      </c>
      <c r="C197" s="2"/>
      <c r="D197" s="2"/>
      <c r="E197" s="3"/>
      <c r="F197" s="12">
        <f>F196</f>
        <v>296.56579499999998</v>
      </c>
    </row>
    <row r="198" spans="1:6" ht="12.75">
      <c r="A198" s="7"/>
      <c r="B198" s="11" t="s">
        <v>18</v>
      </c>
      <c r="C198" s="2"/>
      <c r="D198" s="2"/>
      <c r="E198" s="3"/>
      <c r="F198" s="13">
        <f>ROUND(F197/10,2)</f>
        <v>29.66</v>
      </c>
    </row>
    <row r="199" spans="1:6" ht="12.75">
      <c r="A199" s="26" t="str">
        <f>CONCATENATE("Say ₹ ",F189," + ",F198," x Cost Index")</f>
        <v>Say ₹ 172.31 + 29.66 x Cost Index</v>
      </c>
      <c r="B199" s="2"/>
      <c r="C199" s="2"/>
      <c r="D199" s="2"/>
      <c r="E199" s="2"/>
      <c r="F199" s="3"/>
    </row>
    <row r="200" spans="1:6" ht="12.75">
      <c r="A200" s="16" t="s">
        <v>49</v>
      </c>
      <c r="B200" s="17" t="s">
        <v>50</v>
      </c>
      <c r="C200" s="2"/>
      <c r="D200" s="2"/>
      <c r="E200" s="2"/>
      <c r="F200" s="3"/>
    </row>
    <row r="201" spans="1:6" ht="12.75">
      <c r="A201" s="16" t="s">
        <v>2</v>
      </c>
      <c r="B201" s="16" t="s">
        <v>3</v>
      </c>
      <c r="C201" s="16" t="s">
        <v>4</v>
      </c>
      <c r="D201" s="16" t="s">
        <v>5</v>
      </c>
      <c r="E201" s="16" t="s">
        <v>6</v>
      </c>
      <c r="F201" s="16" t="s">
        <v>7</v>
      </c>
    </row>
    <row r="202" spans="1:6" ht="12.75">
      <c r="A202" s="18"/>
      <c r="B202" s="19" t="s">
        <v>8</v>
      </c>
      <c r="C202" s="18"/>
      <c r="D202" s="18"/>
      <c r="E202" s="18"/>
      <c r="F202" s="18"/>
    </row>
    <row r="203" spans="1:6" ht="12.75">
      <c r="A203" s="8"/>
      <c r="B203" s="19" t="s">
        <v>9</v>
      </c>
      <c r="C203" s="8"/>
      <c r="D203" s="8"/>
      <c r="E203" s="8"/>
      <c r="F203" s="8"/>
    </row>
    <row r="204" spans="1:6" ht="12.75">
      <c r="A204" s="20" t="s">
        <v>51</v>
      </c>
      <c r="B204" s="19" t="s">
        <v>52</v>
      </c>
      <c r="C204" s="20" t="s">
        <v>12</v>
      </c>
      <c r="D204" s="20">
        <v>11.50</v>
      </c>
      <c r="E204" s="20">
        <v>211</v>
      </c>
      <c r="F204" s="27">
        <f>D204*E204</f>
        <v>2426.50</v>
      </c>
    </row>
    <row r="205" spans="1:6" ht="12.75">
      <c r="A205" s="8"/>
      <c r="B205" s="19" t="s">
        <v>13</v>
      </c>
      <c r="C205" s="8"/>
      <c r="D205" s="8"/>
      <c r="E205" s="8"/>
      <c r="F205" s="8"/>
    </row>
    <row r="206" spans="1:6" ht="12.75">
      <c r="A206" s="19"/>
      <c r="B206" s="22" t="s">
        <v>14</v>
      </c>
      <c r="C206" s="2"/>
      <c r="D206" s="2"/>
      <c r="E206" s="3"/>
      <c r="F206" s="23">
        <f>F204*0.01</f>
        <v>24.265</v>
      </c>
    </row>
    <row r="207" spans="1:6" ht="12.75">
      <c r="A207" s="19"/>
      <c r="B207" s="22" t="s">
        <v>15</v>
      </c>
      <c r="C207" s="2"/>
      <c r="D207" s="2"/>
      <c r="E207" s="3"/>
      <c r="F207" s="23">
        <f>SUM(F204:F206)</f>
        <v>2450.765</v>
      </c>
    </row>
    <row r="208" spans="1:6" ht="12.75">
      <c r="A208" s="19"/>
      <c r="B208" s="22" t="s">
        <v>16</v>
      </c>
      <c r="C208" s="2"/>
      <c r="D208" s="2"/>
      <c r="E208" s="3"/>
      <c r="F208" s="23">
        <f>F207*0.15</f>
        <v>367.61475000000002</v>
      </c>
    </row>
    <row r="209" spans="1:6" ht="12.75">
      <c r="A209" s="19"/>
      <c r="B209" s="22" t="s">
        <v>15</v>
      </c>
      <c r="C209" s="2"/>
      <c r="D209" s="2"/>
      <c r="E209" s="3"/>
      <c r="F209" s="23">
        <f>SUM(F207:F208)</f>
        <v>2818.3797500000001</v>
      </c>
    </row>
    <row r="210" spans="1:6" ht="12.75">
      <c r="A210" s="19"/>
      <c r="B210" s="22" t="s">
        <v>17</v>
      </c>
      <c r="C210" s="2"/>
      <c r="D210" s="2"/>
      <c r="E210" s="3"/>
      <c r="F210" s="23">
        <f>F209</f>
        <v>2818.3797500000001</v>
      </c>
    </row>
    <row r="211" spans="1:6" ht="12.75">
      <c r="A211" s="19"/>
      <c r="B211" s="22" t="s">
        <v>18</v>
      </c>
      <c r="C211" s="2"/>
      <c r="D211" s="2"/>
      <c r="E211" s="3"/>
      <c r="F211" s="24">
        <f>ROUND(F210/10,2)</f>
        <v>281.84</v>
      </c>
    </row>
    <row r="212" spans="1:6" ht="12.75">
      <c r="A212" s="25">
        <v>116</v>
      </c>
      <c r="B212" s="19" t="s">
        <v>19</v>
      </c>
      <c r="C212" s="25" t="s">
        <v>20</v>
      </c>
      <c r="D212" s="25">
        <v>0.12</v>
      </c>
      <c r="E212" s="25">
        <v>784</v>
      </c>
      <c r="F212" s="23">
        <f>D212*E212</f>
        <v>94.08</v>
      </c>
    </row>
    <row r="213" spans="1:6" ht="12.75">
      <c r="A213" s="25">
        <v>114</v>
      </c>
      <c r="B213" s="19" t="s">
        <v>21</v>
      </c>
      <c r="C213" s="25" t="s">
        <v>20</v>
      </c>
      <c r="D213" s="25">
        <v>0.25</v>
      </c>
      <c r="E213" s="25">
        <v>645</v>
      </c>
      <c r="F213" s="23">
        <f>D213*E213</f>
        <v>161.25</v>
      </c>
    </row>
    <row r="214" spans="1:6" ht="12.75">
      <c r="A214" s="19"/>
      <c r="B214" s="22" t="s">
        <v>22</v>
      </c>
      <c r="C214" s="2"/>
      <c r="D214" s="2"/>
      <c r="E214" s="3"/>
      <c r="F214" s="23">
        <f>SUM(F212:F213)</f>
        <v>255.33</v>
      </c>
    </row>
    <row r="215" spans="1:6" ht="12.75">
      <c r="A215" s="19"/>
      <c r="B215" s="22" t="s">
        <v>14</v>
      </c>
      <c r="C215" s="2"/>
      <c r="D215" s="2"/>
      <c r="E215" s="3"/>
      <c r="F215" s="23">
        <f>F214*0.01</f>
        <v>2.5533000000000001</v>
      </c>
    </row>
    <row r="216" spans="1:6" ht="12.75">
      <c r="A216" s="19"/>
      <c r="B216" s="22" t="s">
        <v>15</v>
      </c>
      <c r="C216" s="2"/>
      <c r="D216" s="2"/>
      <c r="E216" s="3"/>
      <c r="F216" s="23">
        <f>SUM(F214:F215)</f>
        <v>257.88330000000002</v>
      </c>
    </row>
    <row r="217" spans="1:6" ht="12.75">
      <c r="A217" s="19"/>
      <c r="B217" s="22" t="s">
        <v>16</v>
      </c>
      <c r="C217" s="2"/>
      <c r="D217" s="2"/>
      <c r="E217" s="3"/>
      <c r="F217" s="23">
        <f>F216*0.15</f>
        <v>38.682495000000003</v>
      </c>
    </row>
    <row r="218" spans="1:6" ht="12.75">
      <c r="A218" s="19"/>
      <c r="B218" s="22" t="s">
        <v>15</v>
      </c>
      <c r="C218" s="2"/>
      <c r="D218" s="2"/>
      <c r="E218" s="3"/>
      <c r="F218" s="23">
        <f>SUM(F216:F217)</f>
        <v>296.56579499999998</v>
      </c>
    </row>
    <row r="219" spans="1:6" ht="12.75">
      <c r="A219" s="19"/>
      <c r="B219" s="22" t="s">
        <v>17</v>
      </c>
      <c r="C219" s="2"/>
      <c r="D219" s="2"/>
      <c r="E219" s="3"/>
      <c r="F219" s="23">
        <f>F218</f>
        <v>296.56579499999998</v>
      </c>
    </row>
    <row r="220" spans="1:6" ht="12.75">
      <c r="A220" s="19"/>
      <c r="B220" s="22" t="s">
        <v>18</v>
      </c>
      <c r="C220" s="2"/>
      <c r="D220" s="2"/>
      <c r="E220" s="3"/>
      <c r="F220" s="24">
        <f>ROUND(F219/10,2)</f>
        <v>29.66</v>
      </c>
    </row>
    <row r="221" spans="1:6" ht="12.75">
      <c r="A221" s="26" t="str">
        <f>CONCATENATE("Say ₹ ",F211," + ",F220," x Cost Index")</f>
        <v>Say ₹ 281.84 + 29.66 x Cost Index</v>
      </c>
      <c r="B221" s="2"/>
      <c r="C221" s="2"/>
      <c r="D221" s="2"/>
      <c r="E221" s="2"/>
      <c r="F221" s="3"/>
    </row>
    <row r="222" spans="1:6" ht="12.75">
      <c r="A222" s="4" t="s">
        <v>53</v>
      </c>
      <c r="B222" s="5" t="s">
        <v>54</v>
      </c>
      <c r="C222" s="2"/>
      <c r="D222" s="2"/>
      <c r="E222" s="2"/>
      <c r="F222" s="3"/>
    </row>
    <row r="223" spans="1:6" ht="12.75">
      <c r="A223" s="4" t="s">
        <v>2</v>
      </c>
      <c r="B223" s="4" t="s">
        <v>3</v>
      </c>
      <c r="C223" s="4" t="s">
        <v>4</v>
      </c>
      <c r="D223" s="4" t="s">
        <v>5</v>
      </c>
      <c r="E223" s="4" t="s">
        <v>6</v>
      </c>
      <c r="F223" s="4" t="s">
        <v>7</v>
      </c>
    </row>
    <row r="224" spans="1:6" ht="12.75">
      <c r="A224" s="6"/>
      <c r="B224" s="7" t="s">
        <v>8</v>
      </c>
      <c r="C224" s="6"/>
      <c r="D224" s="6"/>
      <c r="E224" s="6"/>
      <c r="F224" s="6"/>
    </row>
    <row r="225" spans="1:6" ht="12.75">
      <c r="A225" s="8"/>
      <c r="B225" s="7" t="s">
        <v>9</v>
      </c>
      <c r="C225" s="8"/>
      <c r="D225" s="8"/>
      <c r="E225" s="8"/>
      <c r="F225" s="8"/>
    </row>
    <row r="226" spans="1:6" ht="12.75">
      <c r="A226" s="9" t="s">
        <v>55</v>
      </c>
      <c r="B226" s="7" t="s">
        <v>56</v>
      </c>
      <c r="C226" s="9" t="s">
        <v>12</v>
      </c>
      <c r="D226" s="9">
        <v>11.50</v>
      </c>
      <c r="E226" s="9">
        <v>520</v>
      </c>
      <c r="F226" s="10">
        <f>D226*E226</f>
        <v>5980</v>
      </c>
    </row>
    <row r="227" spans="1:6" ht="12.75">
      <c r="A227" s="8"/>
      <c r="B227" s="7" t="s">
        <v>13</v>
      </c>
      <c r="C227" s="8"/>
      <c r="D227" s="8"/>
      <c r="E227" s="8"/>
      <c r="F227" s="8"/>
    </row>
    <row r="228" spans="1:6" ht="12.75">
      <c r="A228" s="7"/>
      <c r="B228" s="11" t="s">
        <v>14</v>
      </c>
      <c r="C228" s="2"/>
      <c r="D228" s="2"/>
      <c r="E228" s="3"/>
      <c r="F228" s="12">
        <f>F226*0.01</f>
        <v>59.80</v>
      </c>
    </row>
    <row r="229" spans="1:6" ht="12.75">
      <c r="A229" s="7"/>
      <c r="B229" s="11" t="s">
        <v>15</v>
      </c>
      <c r="C229" s="2"/>
      <c r="D229" s="2"/>
      <c r="E229" s="3"/>
      <c r="F229" s="12">
        <f>SUM(F226:F228)</f>
        <v>6039.80</v>
      </c>
    </row>
    <row r="230" spans="1:6" ht="12.75">
      <c r="A230" s="7"/>
      <c r="B230" s="11" t="s">
        <v>16</v>
      </c>
      <c r="C230" s="2"/>
      <c r="D230" s="2"/>
      <c r="E230" s="3"/>
      <c r="F230" s="12">
        <f>F229*0.15</f>
        <v>905.97</v>
      </c>
    </row>
    <row r="231" spans="1:6" ht="12.75">
      <c r="A231" s="7"/>
      <c r="B231" s="11" t="s">
        <v>15</v>
      </c>
      <c r="C231" s="2"/>
      <c r="D231" s="2"/>
      <c r="E231" s="3"/>
      <c r="F231" s="12">
        <f>SUM(F229:F230)</f>
        <v>6945.77</v>
      </c>
    </row>
    <row r="232" spans="1:6" ht="12.75">
      <c r="A232" s="7"/>
      <c r="B232" s="11" t="s">
        <v>17</v>
      </c>
      <c r="C232" s="2"/>
      <c r="D232" s="2"/>
      <c r="E232" s="3"/>
      <c r="F232" s="12">
        <f>F231</f>
        <v>6945.77</v>
      </c>
    </row>
    <row r="233" spans="1:6" ht="12.75">
      <c r="A233" s="7"/>
      <c r="B233" s="11" t="s">
        <v>18</v>
      </c>
      <c r="C233" s="2"/>
      <c r="D233" s="2"/>
      <c r="E233" s="3"/>
      <c r="F233" s="13">
        <f>ROUND(F232/10,2)</f>
        <v>694.58</v>
      </c>
    </row>
    <row r="234" spans="1:6" ht="12.75">
      <c r="A234" s="14">
        <v>116</v>
      </c>
      <c r="B234" s="7" t="s">
        <v>19</v>
      </c>
      <c r="C234" s="14" t="s">
        <v>20</v>
      </c>
      <c r="D234" s="14">
        <v>0.12</v>
      </c>
      <c r="E234" s="14">
        <v>784</v>
      </c>
      <c r="F234" s="12">
        <f>D234*E234</f>
        <v>94.08</v>
      </c>
    </row>
    <row r="235" spans="1:6" ht="12.75">
      <c r="A235" s="14">
        <v>114</v>
      </c>
      <c r="B235" s="7" t="s">
        <v>21</v>
      </c>
      <c r="C235" s="14" t="s">
        <v>20</v>
      </c>
      <c r="D235" s="14">
        <v>0.25</v>
      </c>
      <c r="E235" s="14">
        <v>645</v>
      </c>
      <c r="F235" s="12">
        <f>D235*E235</f>
        <v>161.25</v>
      </c>
    </row>
    <row r="236" spans="1:6" ht="12.75">
      <c r="A236" s="7"/>
      <c r="B236" s="11" t="s">
        <v>22</v>
      </c>
      <c r="C236" s="2"/>
      <c r="D236" s="2"/>
      <c r="E236" s="3"/>
      <c r="F236" s="12">
        <f>SUM(F234:F235)</f>
        <v>255.33</v>
      </c>
    </row>
    <row r="237" spans="1:6" ht="12.75">
      <c r="A237" s="7"/>
      <c r="B237" s="11" t="s">
        <v>14</v>
      </c>
      <c r="C237" s="2"/>
      <c r="D237" s="2"/>
      <c r="E237" s="3"/>
      <c r="F237" s="12">
        <f>F236*0.01</f>
        <v>2.5533000000000001</v>
      </c>
    </row>
    <row r="238" spans="1:6" ht="12.75">
      <c r="A238" s="7"/>
      <c r="B238" s="11" t="s">
        <v>15</v>
      </c>
      <c r="C238" s="2"/>
      <c r="D238" s="2"/>
      <c r="E238" s="3"/>
      <c r="F238" s="12">
        <f>SUM(F236:F237)</f>
        <v>257.88330000000002</v>
      </c>
    </row>
    <row r="239" spans="1:6" ht="12.75">
      <c r="A239" s="7"/>
      <c r="B239" s="11" t="s">
        <v>16</v>
      </c>
      <c r="C239" s="2"/>
      <c r="D239" s="2"/>
      <c r="E239" s="3"/>
      <c r="F239" s="12">
        <f>F238*0.15</f>
        <v>38.682495000000003</v>
      </c>
    </row>
    <row r="240" spans="1:6" ht="12.75">
      <c r="A240" s="7"/>
      <c r="B240" s="11" t="s">
        <v>15</v>
      </c>
      <c r="C240" s="2"/>
      <c r="D240" s="2"/>
      <c r="E240" s="3"/>
      <c r="F240" s="12">
        <f>SUM(F238:F239)</f>
        <v>296.56579499999998</v>
      </c>
    </row>
    <row r="241" spans="1:6" ht="12.75">
      <c r="A241" s="7"/>
      <c r="B241" s="11" t="s">
        <v>17</v>
      </c>
      <c r="C241" s="2"/>
      <c r="D241" s="2"/>
      <c r="E241" s="3"/>
      <c r="F241" s="12">
        <f>F240</f>
        <v>296.56579499999998</v>
      </c>
    </row>
    <row r="242" spans="1:6" ht="12.75">
      <c r="A242" s="7"/>
      <c r="B242" s="11" t="s">
        <v>18</v>
      </c>
      <c r="C242" s="2"/>
      <c r="D242" s="2"/>
      <c r="E242" s="3"/>
      <c r="F242" s="13">
        <f>ROUND(F241/10,2)</f>
        <v>29.66</v>
      </c>
    </row>
    <row r="243" spans="1:6" ht="12.75">
      <c r="A243" s="26" t="str">
        <f>CONCATENATE("Say ₹ ",F233," + ",F242," x Cost Index")</f>
        <v>Say ₹ 694.58 + 29.66 x Cost Index</v>
      </c>
      <c r="B243" s="2"/>
      <c r="C243" s="2"/>
      <c r="D243" s="2"/>
      <c r="E243" s="2"/>
      <c r="F243" s="3"/>
    </row>
    <row r="244" spans="1:6" ht="12.75">
      <c r="A244" s="16">
        <v>0</v>
      </c>
      <c r="B244" s="17" t="s">
        <v>57</v>
      </c>
      <c r="C244" s="2"/>
      <c r="D244" s="2"/>
      <c r="E244" s="2"/>
      <c r="F244" s="3"/>
    </row>
    <row r="245" spans="1:6" ht="12.75">
      <c r="A245" s="16" t="s">
        <v>2</v>
      </c>
      <c r="B245" s="16" t="s">
        <v>3</v>
      </c>
      <c r="C245" s="16" t="s">
        <v>4</v>
      </c>
      <c r="D245" s="16" t="s">
        <v>5</v>
      </c>
      <c r="E245" s="16" t="s">
        <v>6</v>
      </c>
      <c r="F245" s="16" t="s">
        <v>7</v>
      </c>
    </row>
    <row r="246" spans="1:6" ht="12.75">
      <c r="A246" s="18"/>
      <c r="B246" s="19" t="s">
        <v>8</v>
      </c>
      <c r="C246" s="18"/>
      <c r="D246" s="18"/>
      <c r="E246" s="18"/>
      <c r="F246" s="18"/>
    </row>
    <row r="247" spans="1:6" ht="12.75">
      <c r="A247" s="8"/>
      <c r="B247" s="19" t="s">
        <v>9</v>
      </c>
      <c r="C247" s="8"/>
      <c r="D247" s="8"/>
      <c r="E247" s="8"/>
      <c r="F247" s="8"/>
    </row>
    <row r="248" spans="1:6" ht="12.75">
      <c r="A248" s="20" t="s">
        <v>58</v>
      </c>
      <c r="B248" s="19" t="s">
        <v>59</v>
      </c>
      <c r="C248" s="20" t="s">
        <v>12</v>
      </c>
      <c r="D248" s="20">
        <v>11.50</v>
      </c>
      <c r="E248" s="20">
        <v>475</v>
      </c>
      <c r="F248" s="27">
        <f>D248*E248</f>
        <v>5462.50</v>
      </c>
    </row>
    <row r="249" spans="1:6" ht="12.75">
      <c r="A249" s="8"/>
      <c r="B249" s="19" t="s">
        <v>13</v>
      </c>
      <c r="C249" s="8"/>
      <c r="D249" s="8"/>
      <c r="E249" s="8"/>
      <c r="F249" s="8"/>
    </row>
    <row r="250" spans="1:6" ht="12.75">
      <c r="A250" s="19"/>
      <c r="B250" s="22" t="s">
        <v>14</v>
      </c>
      <c r="C250" s="2"/>
      <c r="D250" s="2"/>
      <c r="E250" s="3"/>
      <c r="F250" s="23">
        <f>F248*0.01</f>
        <v>54.625</v>
      </c>
    </row>
    <row r="251" spans="1:6" ht="12.75">
      <c r="A251" s="19"/>
      <c r="B251" s="22" t="s">
        <v>15</v>
      </c>
      <c r="C251" s="2"/>
      <c r="D251" s="2"/>
      <c r="E251" s="3"/>
      <c r="F251" s="23">
        <f>SUM(F248:F250)</f>
        <v>5517.125</v>
      </c>
    </row>
    <row r="252" spans="1:6" ht="12.75">
      <c r="A252" s="19"/>
      <c r="B252" s="22" t="s">
        <v>16</v>
      </c>
      <c r="C252" s="2"/>
      <c r="D252" s="2"/>
      <c r="E252" s="3"/>
      <c r="F252" s="23">
        <f>F251*0.15</f>
        <v>827.56875000000002</v>
      </c>
    </row>
    <row r="253" spans="1:6" ht="12.75">
      <c r="A253" s="19"/>
      <c r="B253" s="22" t="s">
        <v>15</v>
      </c>
      <c r="C253" s="2"/>
      <c r="D253" s="2"/>
      <c r="E253" s="3"/>
      <c r="F253" s="23">
        <f>SUM(F251:F252)</f>
        <v>6344.6937500000004</v>
      </c>
    </row>
    <row r="254" spans="1:6" ht="12.75">
      <c r="A254" s="19"/>
      <c r="B254" s="22" t="s">
        <v>17</v>
      </c>
      <c r="C254" s="2"/>
      <c r="D254" s="2"/>
      <c r="E254" s="3"/>
      <c r="F254" s="23">
        <f>F253</f>
        <v>6344.6937500000004</v>
      </c>
    </row>
    <row r="255" spans="1:6" ht="12.75">
      <c r="A255" s="19"/>
      <c r="B255" s="22" t="s">
        <v>18</v>
      </c>
      <c r="C255" s="2"/>
      <c r="D255" s="2"/>
      <c r="E255" s="3"/>
      <c r="F255" s="24">
        <f>ROUND(F254/10,2)</f>
        <v>634.47</v>
      </c>
    </row>
    <row r="256" spans="1:6" ht="12.75">
      <c r="A256" s="25">
        <v>116</v>
      </c>
      <c r="B256" s="19" t="s">
        <v>19</v>
      </c>
      <c r="C256" s="25" t="s">
        <v>20</v>
      </c>
      <c r="D256" s="25">
        <v>0.12</v>
      </c>
      <c r="E256" s="25">
        <v>784</v>
      </c>
      <c r="F256" s="23">
        <f>D256*E256</f>
        <v>94.08</v>
      </c>
    </row>
    <row r="257" spans="1:6" ht="12.75">
      <c r="A257" s="25">
        <v>114</v>
      </c>
      <c r="B257" s="19" t="s">
        <v>21</v>
      </c>
      <c r="C257" s="25" t="s">
        <v>20</v>
      </c>
      <c r="D257" s="25">
        <v>0.25</v>
      </c>
      <c r="E257" s="25">
        <v>645</v>
      </c>
      <c r="F257" s="23">
        <f>D257*E257</f>
        <v>161.25</v>
      </c>
    </row>
    <row r="258" spans="1:6" ht="12.75">
      <c r="A258" s="19"/>
      <c r="B258" s="22" t="s">
        <v>22</v>
      </c>
      <c r="C258" s="2"/>
      <c r="D258" s="2"/>
      <c r="E258" s="3"/>
      <c r="F258" s="23">
        <f>SUM(F256:F257)</f>
        <v>255.33</v>
      </c>
    </row>
    <row r="259" spans="1:6" ht="12.75">
      <c r="A259" s="19"/>
      <c r="B259" s="22" t="s">
        <v>14</v>
      </c>
      <c r="C259" s="2"/>
      <c r="D259" s="2"/>
      <c r="E259" s="3"/>
      <c r="F259" s="23">
        <f>F258*0.01</f>
        <v>2.5533000000000001</v>
      </c>
    </row>
    <row r="260" spans="1:6" ht="12.75">
      <c r="A260" s="19"/>
      <c r="B260" s="22" t="s">
        <v>15</v>
      </c>
      <c r="C260" s="2"/>
      <c r="D260" s="2"/>
      <c r="E260" s="3"/>
      <c r="F260" s="23">
        <f>SUM(F258:F259)</f>
        <v>257.88330000000002</v>
      </c>
    </row>
    <row r="261" spans="1:6" ht="12.75">
      <c r="A261" s="19"/>
      <c r="B261" s="22" t="s">
        <v>16</v>
      </c>
      <c r="C261" s="2"/>
      <c r="D261" s="2"/>
      <c r="E261" s="3"/>
      <c r="F261" s="23">
        <f>F260*0.15</f>
        <v>38.682495000000003</v>
      </c>
    </row>
    <row r="262" spans="1:6" ht="12.75">
      <c r="A262" s="19"/>
      <c r="B262" s="22" t="s">
        <v>15</v>
      </c>
      <c r="C262" s="2"/>
      <c r="D262" s="2"/>
      <c r="E262" s="3"/>
      <c r="F262" s="23">
        <f>SUM(F260:F261)</f>
        <v>296.56579499999998</v>
      </c>
    </row>
    <row r="263" spans="1:6" ht="12.75">
      <c r="A263" s="19"/>
      <c r="B263" s="22" t="s">
        <v>17</v>
      </c>
      <c r="C263" s="2"/>
      <c r="D263" s="2"/>
      <c r="E263" s="3"/>
      <c r="F263" s="23">
        <f>F262</f>
        <v>296.56579499999998</v>
      </c>
    </row>
    <row r="264" spans="1:6" ht="12.75">
      <c r="A264" s="19"/>
      <c r="B264" s="22" t="s">
        <v>18</v>
      </c>
      <c r="C264" s="2"/>
      <c r="D264" s="2"/>
      <c r="E264" s="3"/>
      <c r="F264" s="24">
        <f>ROUND(F263/10,2)</f>
        <v>29.66</v>
      </c>
    </row>
    <row r="265" spans="1:6" ht="12.75">
      <c r="A265" s="26" t="str">
        <f>CONCATENATE("Say ₹ ",F255," + ",F264," x Cost Index")</f>
        <v>Say ₹ 634.47 + 29.66 x Cost Index</v>
      </c>
      <c r="B265" s="2"/>
      <c r="C265" s="2"/>
      <c r="D265" s="2"/>
      <c r="E265" s="2"/>
      <c r="F265" s="3"/>
    </row>
    <row r="266" spans="1:6" ht="12.75">
      <c r="A266" s="4">
        <v>0</v>
      </c>
      <c r="B266" s="5" t="s">
        <v>60</v>
      </c>
      <c r="C266" s="2"/>
      <c r="D266" s="2"/>
      <c r="E266" s="2"/>
      <c r="F266" s="3"/>
    </row>
    <row r="267" spans="1:6" ht="12.75">
      <c r="A267" s="4" t="s">
        <v>2</v>
      </c>
      <c r="B267" s="4" t="s">
        <v>3</v>
      </c>
      <c r="C267" s="4" t="s">
        <v>4</v>
      </c>
      <c r="D267" s="4" t="s">
        <v>5</v>
      </c>
      <c r="E267" s="4" t="s">
        <v>6</v>
      </c>
      <c r="F267" s="4" t="s">
        <v>7</v>
      </c>
    </row>
    <row r="268" spans="1:6" ht="12.75">
      <c r="A268" s="6"/>
      <c r="B268" s="7" t="s">
        <v>8</v>
      </c>
      <c r="C268" s="6"/>
      <c r="D268" s="6"/>
      <c r="E268" s="6"/>
      <c r="F268" s="6"/>
    </row>
    <row r="269" spans="1:6" ht="12.75">
      <c r="A269" s="8"/>
      <c r="B269" s="7" t="s">
        <v>9</v>
      </c>
      <c r="C269" s="8"/>
      <c r="D269" s="8"/>
      <c r="E269" s="8"/>
      <c r="F269" s="8"/>
    </row>
    <row r="270" spans="1:6" ht="12.75">
      <c r="A270" s="9" t="s">
        <v>61</v>
      </c>
      <c r="B270" s="7" t="s">
        <v>62</v>
      </c>
      <c r="C270" s="9" t="s">
        <v>12</v>
      </c>
      <c r="D270" s="9">
        <v>11.50</v>
      </c>
      <c r="E270" s="9">
        <v>150</v>
      </c>
      <c r="F270" s="10">
        <f>D270*E270</f>
        <v>1725</v>
      </c>
    </row>
    <row r="271" spans="1:6" ht="12.75">
      <c r="A271" s="8"/>
      <c r="B271" s="7" t="s">
        <v>13</v>
      </c>
      <c r="C271" s="8"/>
      <c r="D271" s="8"/>
      <c r="E271" s="8"/>
      <c r="F271" s="8"/>
    </row>
    <row r="272" spans="1:6" ht="12.75">
      <c r="A272" s="7"/>
      <c r="B272" s="11" t="s">
        <v>14</v>
      </c>
      <c r="C272" s="2"/>
      <c r="D272" s="2"/>
      <c r="E272" s="3"/>
      <c r="F272" s="12">
        <f>F270*0.01</f>
        <v>17.25</v>
      </c>
    </row>
    <row r="273" spans="1:6" ht="12.75">
      <c r="A273" s="7"/>
      <c r="B273" s="11" t="s">
        <v>15</v>
      </c>
      <c r="C273" s="2"/>
      <c r="D273" s="2"/>
      <c r="E273" s="3"/>
      <c r="F273" s="12">
        <f>SUM(F270:F272)</f>
        <v>1742.25</v>
      </c>
    </row>
    <row r="274" spans="1:6" ht="12.75">
      <c r="A274" s="7"/>
      <c r="B274" s="11" t="s">
        <v>16</v>
      </c>
      <c r="C274" s="2"/>
      <c r="D274" s="2"/>
      <c r="E274" s="3"/>
      <c r="F274" s="12">
        <f>F273*0.15</f>
        <v>261.3375</v>
      </c>
    </row>
    <row r="275" spans="1:6" ht="12.75">
      <c r="A275" s="7"/>
      <c r="B275" s="11" t="s">
        <v>15</v>
      </c>
      <c r="C275" s="2"/>
      <c r="D275" s="2"/>
      <c r="E275" s="3"/>
      <c r="F275" s="12">
        <f>SUM(F273:F274)</f>
        <v>2003.5875000000001</v>
      </c>
    </row>
    <row r="276" spans="1:6" ht="12.75">
      <c r="A276" s="7"/>
      <c r="B276" s="11" t="s">
        <v>17</v>
      </c>
      <c r="C276" s="2"/>
      <c r="D276" s="2"/>
      <c r="E276" s="3"/>
      <c r="F276" s="12">
        <f>F275</f>
        <v>2003.5875000000001</v>
      </c>
    </row>
    <row r="277" spans="1:6" ht="12.75">
      <c r="A277" s="7"/>
      <c r="B277" s="11" t="s">
        <v>18</v>
      </c>
      <c r="C277" s="2"/>
      <c r="D277" s="2"/>
      <c r="E277" s="3"/>
      <c r="F277" s="13">
        <f>ROUND(F276/10,2)</f>
        <v>200.36</v>
      </c>
    </row>
    <row r="278" spans="1:6" ht="12.75">
      <c r="A278" s="14">
        <v>116</v>
      </c>
      <c r="B278" s="7" t="s">
        <v>19</v>
      </c>
      <c r="C278" s="14" t="s">
        <v>20</v>
      </c>
      <c r="D278" s="14">
        <v>0.12</v>
      </c>
      <c r="E278" s="14">
        <v>784</v>
      </c>
      <c r="F278" s="12">
        <f>D278*E278</f>
        <v>94.08</v>
      </c>
    </row>
    <row r="279" spans="1:6" ht="12.75">
      <c r="A279" s="14">
        <v>114</v>
      </c>
      <c r="B279" s="7" t="s">
        <v>21</v>
      </c>
      <c r="C279" s="14" t="s">
        <v>20</v>
      </c>
      <c r="D279" s="14">
        <v>0.25</v>
      </c>
      <c r="E279" s="14">
        <v>645</v>
      </c>
      <c r="F279" s="12">
        <f>D279*E279</f>
        <v>161.25</v>
      </c>
    </row>
    <row r="280" spans="1:6" ht="12.75">
      <c r="A280" s="7"/>
      <c r="B280" s="11" t="s">
        <v>22</v>
      </c>
      <c r="C280" s="2"/>
      <c r="D280" s="2"/>
      <c r="E280" s="3"/>
      <c r="F280" s="12">
        <f>SUM(F278:F279)</f>
        <v>255.33</v>
      </c>
    </row>
    <row r="281" spans="1:6" ht="12.75">
      <c r="A281" s="7"/>
      <c r="B281" s="11" t="s">
        <v>14</v>
      </c>
      <c r="C281" s="2"/>
      <c r="D281" s="2"/>
      <c r="E281" s="3"/>
      <c r="F281" s="12">
        <f>F280*0.01</f>
        <v>2.5533000000000001</v>
      </c>
    </row>
    <row r="282" spans="1:6" ht="12.75">
      <c r="A282" s="7"/>
      <c r="B282" s="11" t="s">
        <v>15</v>
      </c>
      <c r="C282" s="2"/>
      <c r="D282" s="2"/>
      <c r="E282" s="3"/>
      <c r="F282" s="12">
        <f>SUM(F280:F281)</f>
        <v>257.88330000000002</v>
      </c>
    </row>
    <row r="283" spans="1:6" ht="12.75">
      <c r="A283" s="7"/>
      <c r="B283" s="11" t="s">
        <v>16</v>
      </c>
      <c r="C283" s="2"/>
      <c r="D283" s="2"/>
      <c r="E283" s="3"/>
      <c r="F283" s="12">
        <f>F282*0.15</f>
        <v>38.682495000000003</v>
      </c>
    </row>
    <row r="284" spans="1:6" ht="12.75">
      <c r="A284" s="7"/>
      <c r="B284" s="11" t="s">
        <v>15</v>
      </c>
      <c r="C284" s="2"/>
      <c r="D284" s="2"/>
      <c r="E284" s="3"/>
      <c r="F284" s="12">
        <f>SUM(F282:F283)</f>
        <v>296.56579499999998</v>
      </c>
    </row>
    <row r="285" spans="1:6" ht="12.75">
      <c r="A285" s="7"/>
      <c r="B285" s="11" t="s">
        <v>17</v>
      </c>
      <c r="C285" s="2"/>
      <c r="D285" s="2"/>
      <c r="E285" s="3"/>
      <c r="F285" s="12">
        <f>F284</f>
        <v>296.56579499999998</v>
      </c>
    </row>
    <row r="286" spans="1:6" ht="12.75">
      <c r="A286" s="7"/>
      <c r="B286" s="11" t="s">
        <v>18</v>
      </c>
      <c r="C286" s="2"/>
      <c r="D286" s="2"/>
      <c r="E286" s="3"/>
      <c r="F286" s="13">
        <f>ROUND(F285/10,2)</f>
        <v>29.66</v>
      </c>
    </row>
  </sheetData>
  <mergeCells count="325">
    <mergeCell ref="B128:E128"/>
    <mergeCell ref="B129:E129"/>
    <mergeCell ref="B130:E130"/>
    <mergeCell ref="B131:E131"/>
    <mergeCell ref="B132:E132"/>
    <mergeCell ref="A133:F133"/>
    <mergeCell ref="B134:F134"/>
    <mergeCell ref="D138:D139"/>
    <mergeCell ref="E138:E139"/>
    <mergeCell ref="A136:A137"/>
    <mergeCell ref="C136:C137"/>
    <mergeCell ref="D136:D137"/>
    <mergeCell ref="E136:E137"/>
    <mergeCell ref="F136:F137"/>
    <mergeCell ref="A138:A139"/>
    <mergeCell ref="F138:F139"/>
    <mergeCell ref="C138:C139"/>
    <mergeCell ref="B140:E140"/>
    <mergeCell ref="B141:E141"/>
    <mergeCell ref="B142:E142"/>
    <mergeCell ref="B143:E143"/>
    <mergeCell ref="B144:E144"/>
    <mergeCell ref="B145:E145"/>
    <mergeCell ref="B148:E148"/>
    <mergeCell ref="B149:E149"/>
    <mergeCell ref="B150:E150"/>
    <mergeCell ref="B151:E151"/>
    <mergeCell ref="B152:E152"/>
    <mergeCell ref="B153:E153"/>
    <mergeCell ref="B154:E154"/>
    <mergeCell ref="C158:C159"/>
    <mergeCell ref="C160:C161"/>
    <mergeCell ref="D160:D161"/>
    <mergeCell ref="E160:E161"/>
    <mergeCell ref="A155:F155"/>
    <mergeCell ref="B156:F156"/>
    <mergeCell ref="A158:A159"/>
    <mergeCell ref="D158:D159"/>
    <mergeCell ref="E158:E159"/>
    <mergeCell ref="F158:F159"/>
    <mergeCell ref="A160:A161"/>
    <mergeCell ref="F160:F161"/>
    <mergeCell ref="B162:E162"/>
    <mergeCell ref="B163:E163"/>
    <mergeCell ref="B164:E164"/>
    <mergeCell ref="B165:E165"/>
    <mergeCell ref="B166:E166"/>
    <mergeCell ref="B167:E167"/>
    <mergeCell ref="B170:E170"/>
    <mergeCell ref="B171:E171"/>
    <mergeCell ref="B172:E172"/>
    <mergeCell ref="B173:E173"/>
    <mergeCell ref="B174:E174"/>
    <mergeCell ref="B175:E175"/>
    <mergeCell ref="B176:E176"/>
    <mergeCell ref="C180:C181"/>
    <mergeCell ref="C182:C183"/>
    <mergeCell ref="D182:D183"/>
    <mergeCell ref="E182:E183"/>
    <mergeCell ref="A177:F177"/>
    <mergeCell ref="B178:F178"/>
    <mergeCell ref="A180:A181"/>
    <mergeCell ref="D180:D181"/>
    <mergeCell ref="E180:E181"/>
    <mergeCell ref="F180:F181"/>
    <mergeCell ref="A182:A183"/>
    <mergeCell ref="F182:F183"/>
    <mergeCell ref="B184:E184"/>
    <mergeCell ref="B185:E185"/>
    <mergeCell ref="B186:E186"/>
    <mergeCell ref="B187:E187"/>
    <mergeCell ref="B188:E188"/>
    <mergeCell ref="B189:E189"/>
    <mergeCell ref="C224:C225"/>
    <mergeCell ref="C226:C227"/>
    <mergeCell ref="B228:E228"/>
    <mergeCell ref="B229:E229"/>
    <mergeCell ref="B230:E230"/>
    <mergeCell ref="B231:E231"/>
    <mergeCell ref="B232:E232"/>
    <mergeCell ref="B233:E233"/>
    <mergeCell ref="B236:E236"/>
    <mergeCell ref="B237:E237"/>
    <mergeCell ref="B238:E238"/>
    <mergeCell ref="B239:E239"/>
    <mergeCell ref="B240:E240"/>
    <mergeCell ref="B241:E241"/>
    <mergeCell ref="B242:E242"/>
    <mergeCell ref="A243:F243"/>
    <mergeCell ref="B244:F244"/>
    <mergeCell ref="C246:C247"/>
    <mergeCell ref="D246:D247"/>
    <mergeCell ref="E246:E247"/>
    <mergeCell ref="F246:F247"/>
    <mergeCell ref="A246:A247"/>
    <mergeCell ref="A248:A249"/>
    <mergeCell ref="C248:C249"/>
    <mergeCell ref="D248:D249"/>
    <mergeCell ref="E248:E249"/>
    <mergeCell ref="F248:F249"/>
    <mergeCell ref="B250:E250"/>
    <mergeCell ref="B260:E260"/>
    <mergeCell ref="B261:E261"/>
    <mergeCell ref="B262:E262"/>
    <mergeCell ref="B263:E263"/>
    <mergeCell ref="B264:E264"/>
    <mergeCell ref="A265:F265"/>
    <mergeCell ref="B266:F266"/>
    <mergeCell ref="D270:D271"/>
    <mergeCell ref="E270:E271"/>
    <mergeCell ref="A268:A269"/>
    <mergeCell ref="C268:C269"/>
    <mergeCell ref="D268:D269"/>
    <mergeCell ref="E268:E269"/>
    <mergeCell ref="F268:F269"/>
    <mergeCell ref="A270:A271"/>
    <mergeCell ref="F270:F271"/>
    <mergeCell ref="B280:E280"/>
    <mergeCell ref="B281:E281"/>
    <mergeCell ref="B282:E282"/>
    <mergeCell ref="B283:E283"/>
    <mergeCell ref="B284:E284"/>
    <mergeCell ref="B285:E285"/>
    <mergeCell ref="B286:E286"/>
    <mergeCell ref="C270:C271"/>
    <mergeCell ref="B272:E272"/>
    <mergeCell ref="B273:E273"/>
    <mergeCell ref="B274:E274"/>
    <mergeCell ref="B275:E275"/>
    <mergeCell ref="B276:E276"/>
    <mergeCell ref="B277:E277"/>
    <mergeCell ref="B192:E192"/>
    <mergeCell ref="B193:E193"/>
    <mergeCell ref="B194:E194"/>
    <mergeCell ref="B195:E195"/>
    <mergeCell ref="B196:E196"/>
    <mergeCell ref="B197:E197"/>
    <mergeCell ref="B198:E198"/>
    <mergeCell ref="C202:C203"/>
    <mergeCell ref="C204:C205"/>
    <mergeCell ref="D204:D205"/>
    <mergeCell ref="E204:E205"/>
    <mergeCell ref="A199:F199"/>
    <mergeCell ref="B200:F200"/>
    <mergeCell ref="A202:A203"/>
    <mergeCell ref="D202:D203"/>
    <mergeCell ref="E202:E203"/>
    <mergeCell ref="F202:F203"/>
    <mergeCell ref="A204:A205"/>
    <mergeCell ref="F204:F205"/>
    <mergeCell ref="B206:E206"/>
    <mergeCell ref="B207:E207"/>
    <mergeCell ref="B208:E208"/>
    <mergeCell ref="B209:E209"/>
    <mergeCell ref="B210:E210"/>
    <mergeCell ref="B211:E211"/>
    <mergeCell ref="B214:E214"/>
    <mergeCell ref="B215:E215"/>
    <mergeCell ref="B216:E216"/>
    <mergeCell ref="B217:E217"/>
    <mergeCell ref="B218:E218"/>
    <mergeCell ref="B219:E219"/>
    <mergeCell ref="B220:E220"/>
    <mergeCell ref="B251:E251"/>
    <mergeCell ref="B252:E252"/>
    <mergeCell ref="B253:E253"/>
    <mergeCell ref="B254:E254"/>
    <mergeCell ref="B255:E255"/>
    <mergeCell ref="B258:E258"/>
    <mergeCell ref="B259:E259"/>
    <mergeCell ref="C4:C5"/>
    <mergeCell ref="C6:C7"/>
    <mergeCell ref="D6:D7"/>
    <mergeCell ref="E6:E7"/>
    <mergeCell ref="A1:F1"/>
    <mergeCell ref="B2:F2"/>
    <mergeCell ref="A4:A5"/>
    <mergeCell ref="D4:D5"/>
    <mergeCell ref="E4:E5"/>
    <mergeCell ref="F4:F5"/>
    <mergeCell ref="A6:A7"/>
    <mergeCell ref="F6:F7"/>
    <mergeCell ref="B8:E8"/>
    <mergeCell ref="B9:E9"/>
    <mergeCell ref="B10:E10"/>
    <mergeCell ref="B11:E11"/>
    <mergeCell ref="B12:E12"/>
    <mergeCell ref="B13:E13"/>
    <mergeCell ref="B16:E16"/>
    <mergeCell ref="B17:E17"/>
    <mergeCell ref="B18:E18"/>
    <mergeCell ref="B19:E19"/>
    <mergeCell ref="B20:E20"/>
    <mergeCell ref="B21:E21"/>
    <mergeCell ref="B22:E22"/>
    <mergeCell ref="C26:C27"/>
    <mergeCell ref="C28:C29"/>
    <mergeCell ref="D28:D29"/>
    <mergeCell ref="E28:E29"/>
    <mergeCell ref="A23:F23"/>
    <mergeCell ref="B24:F24"/>
    <mergeCell ref="A26:A27"/>
    <mergeCell ref="D26:D27"/>
    <mergeCell ref="E26:E27"/>
    <mergeCell ref="F26:F27"/>
    <mergeCell ref="A28:A29"/>
    <mergeCell ref="F28:F29"/>
    <mergeCell ref="B30:E30"/>
    <mergeCell ref="B31:E31"/>
    <mergeCell ref="B32:E32"/>
    <mergeCell ref="B33:E33"/>
    <mergeCell ref="B34:E34"/>
    <mergeCell ref="B35:E35"/>
    <mergeCell ref="B38:E38"/>
    <mergeCell ref="B39:E39"/>
    <mergeCell ref="B40:E40"/>
    <mergeCell ref="B41:E41"/>
    <mergeCell ref="B42:E42"/>
    <mergeCell ref="B43:E43"/>
    <mergeCell ref="B44:E44"/>
    <mergeCell ref="C48:C49"/>
    <mergeCell ref="C50:C51"/>
    <mergeCell ref="D50:D51"/>
    <mergeCell ref="E50:E51"/>
    <mergeCell ref="A45:F45"/>
    <mergeCell ref="B46:F46"/>
    <mergeCell ref="A48:A49"/>
    <mergeCell ref="D48:D49"/>
    <mergeCell ref="E48:E49"/>
    <mergeCell ref="F48:F49"/>
    <mergeCell ref="A50:A51"/>
    <mergeCell ref="F50:F51"/>
    <mergeCell ref="B52:E52"/>
    <mergeCell ref="B53:E53"/>
    <mergeCell ref="B54:E54"/>
    <mergeCell ref="B55:E55"/>
    <mergeCell ref="B56:E56"/>
    <mergeCell ref="B57:E57"/>
    <mergeCell ref="D94:D95"/>
    <mergeCell ref="E94:E95"/>
    <mergeCell ref="A89:F89"/>
    <mergeCell ref="B90:F90"/>
    <mergeCell ref="A92:A93"/>
    <mergeCell ref="D92:D93"/>
    <mergeCell ref="E92:E93"/>
    <mergeCell ref="F92:F93"/>
    <mergeCell ref="A94:A95"/>
    <mergeCell ref="F94:F95"/>
    <mergeCell ref="C92:C93"/>
    <mergeCell ref="C94:C95"/>
    <mergeCell ref="B96:E96"/>
    <mergeCell ref="B97:E97"/>
    <mergeCell ref="B98:E98"/>
    <mergeCell ref="B99:E99"/>
    <mergeCell ref="B100:E100"/>
    <mergeCell ref="B101:E101"/>
    <mergeCell ref="B104:E104"/>
    <mergeCell ref="B105:E105"/>
    <mergeCell ref="B106:E106"/>
    <mergeCell ref="B107:E107"/>
    <mergeCell ref="B108:E108"/>
    <mergeCell ref="B109:E109"/>
    <mergeCell ref="B110:E110"/>
    <mergeCell ref="A111:F111"/>
    <mergeCell ref="B112:F112"/>
    <mergeCell ref="C114:C115"/>
    <mergeCell ref="D114:D115"/>
    <mergeCell ref="E114:E115"/>
    <mergeCell ref="F114:F115"/>
    <mergeCell ref="A114:A115"/>
    <mergeCell ref="A116:A117"/>
    <mergeCell ref="C116:C117"/>
    <mergeCell ref="D116:D117"/>
    <mergeCell ref="E116:E117"/>
    <mergeCell ref="F116:F117"/>
    <mergeCell ref="B118:E118"/>
    <mergeCell ref="B60:E60"/>
    <mergeCell ref="B61:E61"/>
    <mergeCell ref="B62:E62"/>
    <mergeCell ref="B63:E63"/>
    <mergeCell ref="B64:E64"/>
    <mergeCell ref="B65:E65"/>
    <mergeCell ref="B66:E66"/>
    <mergeCell ref="C70:C71"/>
    <mergeCell ref="C72:C73"/>
    <mergeCell ref="D72:D73"/>
    <mergeCell ref="E72:E73"/>
    <mergeCell ref="A67:F67"/>
    <mergeCell ref="B68:F68"/>
    <mergeCell ref="A70:A71"/>
    <mergeCell ref="D70:D71"/>
    <mergeCell ref="E70:E71"/>
    <mergeCell ref="F70:F71"/>
    <mergeCell ref="A72:A73"/>
    <mergeCell ref="F72:F73"/>
    <mergeCell ref="B74:E74"/>
    <mergeCell ref="B75:E75"/>
    <mergeCell ref="B76:E76"/>
    <mergeCell ref="B77:E77"/>
    <mergeCell ref="B78:E78"/>
    <mergeCell ref="B79:E79"/>
    <mergeCell ref="B82:E82"/>
    <mergeCell ref="B83:E83"/>
    <mergeCell ref="B84:E84"/>
    <mergeCell ref="B85:E85"/>
    <mergeCell ref="B86:E86"/>
    <mergeCell ref="B87:E87"/>
    <mergeCell ref="B88:E88"/>
    <mergeCell ref="B119:E119"/>
    <mergeCell ref="B120:E120"/>
    <mergeCell ref="B121:E121"/>
    <mergeCell ref="B122:E122"/>
    <mergeCell ref="B123:E123"/>
    <mergeCell ref="B126:E126"/>
    <mergeCell ref="B127:E127"/>
    <mergeCell ref="D226:D227"/>
    <mergeCell ref="E226:E227"/>
    <mergeCell ref="A221:F221"/>
    <mergeCell ref="B222:F222"/>
    <mergeCell ref="A224:A225"/>
    <mergeCell ref="D224:D225"/>
    <mergeCell ref="E224:E225"/>
    <mergeCell ref="F224:F225"/>
    <mergeCell ref="A226:A227"/>
    <mergeCell ref="F226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