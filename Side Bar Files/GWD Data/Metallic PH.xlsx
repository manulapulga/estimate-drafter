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<sst xmlns="http://schemas.openxmlformats.org/spreadsheetml/2006/main" count="93" uniqueCount="67">
  <si>
    <t>Metallic Pump House of size 1.2 x 0.9 x 2 m</t>
  </si>
  <si>
    <t>Sl. No.</t>
  </si>
  <si>
    <t>Item</t>
  </si>
  <si>
    <t>No.</t>
  </si>
  <si>
    <t>L</t>
  </si>
  <si>
    <t>B</t>
  </si>
  <si>
    <t>D</t>
  </si>
  <si>
    <t>Total</t>
  </si>
  <si>
    <t xml:space="preserve">Unit </t>
  </si>
  <si>
    <t>Rate</t>
  </si>
  <si>
    <t>Amount</t>
  </si>
  <si>
    <t>Surface dressing of the ground including removing vegetation and in-equalities not exceeding 15 cm deep and disposal of rubbish, lead up to 50 m and lift up to 1.5 m.
All kinds of soil as per DSR item 2.28.1</t>
  </si>
  <si>
    <t>Area</t>
  </si>
  <si>
    <r>
      <rPr>
        <sz val="12"/>
        <color theme="1"/>
        <rFont val="Cambria"/>
        <family val="2"/>
      </rPr>
      <t>m</t>
    </r>
    <r>
      <rPr>
        <vertAlign val="superscript"/>
        <sz val="12"/>
        <color theme="1"/>
        <rFont val="Cambria"/>
        <family val="2"/>
      </rPr>
      <t>2</t>
    </r>
  </si>
  <si>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</si>
  <si>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t>
  </si>
  <si>
    <t>Step</t>
  </si>
  <si>
    <r>
      <rPr>
        <sz val="12"/>
        <color theme="1"/>
        <rFont val="Cambria"/>
        <family val="2"/>
      </rPr>
      <t>m</t>
    </r>
    <r>
      <rPr>
        <vertAlign val="superscript"/>
        <sz val="12"/>
        <color theme="1"/>
        <rFont val="Cambria"/>
        <family val="2"/>
      </rPr>
      <t>3</t>
    </r>
  </si>
  <si>
    <t>Providing and laying in position cement concrete of specified grade excluding the cost of centering and shuttering - All work up to plinth level: 1:4:8 as per DSR item 4.1.8</t>
  </si>
  <si>
    <t>Coursed rubble masonry (first sort) with hard stone in foundation and plinth with Cement mortar 1:6 as per DSR item 7.6.1</t>
  </si>
  <si>
    <t>Foundation &amp; Basement</t>
  </si>
  <si>
    <t>12 mm cement plaster of mix 1:4 as per DSR item 13.1.1</t>
  </si>
  <si>
    <t xml:space="preserve">Outside </t>
  </si>
  <si>
    <t xml:space="preserve">Top </t>
  </si>
  <si>
    <t>Step sides</t>
  </si>
  <si>
    <t>Step top</t>
  </si>
  <si>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</si>
  <si>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</si>
  <si>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Cement concrete flooring 1:2:4 finished with a floating coat of neat cement, including cement slurry complete (40 mm thick with 20 mm nominal size stone aggregate) as per DSR item  11.3.1</t>
  </si>
  <si>
    <t>Inside Area</t>
  </si>
  <si>
    <t>Structural steel work  including wastage, cutting, hoisting, fixing in position and applying a priming coat of approved steel primer all complete as per DSR 10.1</t>
  </si>
  <si>
    <t>MS angle 35 x 35 x 5mm</t>
  </si>
  <si>
    <t>Total
L</t>
  </si>
  <si>
    <t>Weight</t>
  </si>
  <si>
    <t>Unit</t>
  </si>
  <si>
    <t>Total Weight</t>
  </si>
  <si>
    <t>Front side corner</t>
  </si>
  <si>
    <t>Back side corner</t>
  </si>
  <si>
    <t>Top edge front &amp; back</t>
  </si>
  <si>
    <t>Top edge sides</t>
  </si>
  <si>
    <t>Door vertical</t>
  </si>
  <si>
    <t>Door Horizontal</t>
  </si>
  <si>
    <t>Total Length</t>
  </si>
  <si>
    <t>Kg/m</t>
  </si>
  <si>
    <t>MS Flat 35 x 6mm</t>
  </si>
  <si>
    <t>Back side  vertical</t>
  </si>
  <si>
    <t>Back side Horizontal</t>
  </si>
  <si>
    <t>Front side  vertical</t>
  </si>
  <si>
    <t>Front side Horizontal</t>
  </si>
  <si>
    <t>side  vertical</t>
  </si>
  <si>
    <t>side Horizontal</t>
  </si>
  <si>
    <t>Roof</t>
  </si>
  <si>
    <t>GI Sheet work  including wastage, cutting, hoisting, fixing in position, welding and applying a priming coat of approved steel primer all complete</t>
  </si>
  <si>
    <t>GI sheet 0.8 mm thick 8019</t>
  </si>
  <si>
    <t>Front side</t>
  </si>
  <si>
    <t>Back side</t>
  </si>
  <si>
    <t>Sides</t>
  </si>
  <si>
    <t>roof</t>
  </si>
  <si>
    <t>Total Area</t>
  </si>
  <si>
    <r>
      <rPr>
        <sz val="12"/>
        <color theme="1"/>
        <rFont val="Cambria"/>
        <family val="2"/>
      </rPr>
      <t>Kg/m</t>
    </r>
    <r>
      <rPr>
        <vertAlign val="superscript"/>
        <sz val="12"/>
        <color theme="1"/>
        <rFont val="Cambria"/>
        <family val="2"/>
      </rPr>
      <t>2</t>
    </r>
  </si>
  <si>
    <t>kg</t>
  </si>
  <si>
    <t>Locking arrangements  and handles 14.41</t>
  </si>
  <si>
    <t>Nos</t>
  </si>
  <si>
    <t>Supplying and fixing Hinges for doors 14.40.2</t>
  </si>
  <si>
    <t>Unforeseen if any</t>
  </si>
  <si>
    <t>TOTAL</t>
  </si>
  <si>
    <t>Say Rs.26000 x Cost Index</t>
  </si>
</sst>
</file>

<file path=xl/styles.xml><?xml version="1.0" encoding="utf-8"?>
<styleSheet xmlns="http://schemas.openxmlformats.org/spreadsheetml/2006/main">
  <numFmts count="2">
    <numFmt numFmtId="177" formatCode="0.000;[RED]0.000"/>
    <numFmt numFmtId="178" formatCode="0.00;[RED]0.00"/>
  </numFmts>
  <fonts count="7">
    <font>
      <sz val="10"/>
      <color theme="1"/>
      <name val="Arial"/>
      <family val="2"/>
    </font>
    <font>
      <b/>
      <sz val="12"/>
      <color theme="1"/>
      <name val="Cambria"/>
      <family val="2"/>
    </font>
    <font>
      <sz val="11"/>
      <color theme="1"/>
      <name val="Cambria"/>
      <family val="2"/>
    </font>
    <font>
      <sz val="11"/>
      <color rgb="FF000000"/>
      <name val="Calibri"/>
      <family val="2"/>
      <scheme val="minor"/>
    </font>
    <font>
      <sz val="12"/>
      <color theme="1"/>
      <name val="Cambria"/>
      <family val="2"/>
    </font>
    <font>
      <b/>
      <sz val="13"/>
      <color theme="1"/>
      <name val="Cambria"/>
      <family val="2"/>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8">
    <border>
      <left/>
      <right/>
      <top/>
      <bottom/>
      <diagonal/>
    </border>
    <border>
      <left style="thin">
        <color rgb="FF3D3D3D"/>
      </left>
      <right style="thin">
        <color rgb="FF3D3D3D"/>
      </right>
      <top style="thin">
        <color rgb="FF3D3D3D"/>
      </top>
      <bottom style="thin">
        <color rgb="FF3D3D3D"/>
      </bottom>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bottom style="thin">
        <color rgb="FF3D3D3D"/>
      </bottom>
    </border>
    <border>
      <left/>
      <right style="thin">
        <color rgb="FF3D3D3D"/>
      </right>
      <top style="thin">
        <color rgb="FF3D3D3D"/>
      </top>
      <bottom style="thin">
        <color rgb="FF3D3D3D"/>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5" fillId="2" borderId="0" xfId="0" applyFont="1" applyAlignment="1">
      <alignment horizontal="center" vertical="center" wrapText="1"/>
    </xf>
    <xf numFmtId="0" fontId="4" fillId="2" borderId="1" xfId="0" applyFont="1" applyBorder="1" applyAlignment="1">
      <alignment horizontal="center" vertical="center" wrapText="1"/>
    </xf>
    <xf numFmtId="178" fontId="4" fillId="2" borderId="1" xfId="0" applyNumberFormat="1" applyFont="1" applyBorder="1" applyAlignment="1">
      <alignment horizontal="center" vertical="center" wrapText="1"/>
    </xf>
    <xf numFmtId="2" fontId="4" fillId="2" borderId="1" xfId="0" applyNumberFormat="1" applyFont="1" applyBorder="1" applyAlignment="1">
      <alignment horizontal="center" vertical="center" wrapText="1"/>
    </xf>
    <xf numFmtId="0" fontId="4" fillId="2" borderId="2" xfId="0" applyFont="1" applyBorder="1" applyAlignment="1">
      <alignment horizontal="center" vertical="center" wrapText="1"/>
    </xf>
    <xf numFmtId="0" fontId="4" fillId="2" borderId="3" xfId="0" applyFont="1" applyBorder="1" applyAlignment="1">
      <alignment horizontal="left" vertical="center" wrapText="1"/>
    </xf>
    <xf numFmtId="0" fontId="3" fillId="0" borderId="4" xfId="0" applyFont="1" applyBorder="1">
      <alignment/>
    </xf>
    <xf numFmtId="0" fontId="3" fillId="0" borderId="5" xfId="0" applyFont="1" applyBorder="1">
      <alignment/>
    </xf>
    <xf numFmtId="0" fontId="4" fillId="2" borderId="1" xfId="0" applyFont="1" applyBorder="1" applyAlignment="1">
      <alignment horizontal="left" vertical="center" wrapText="1"/>
    </xf>
    <xf numFmtId="177" fontId="4" fillId="2" borderId="1" xfId="0" applyNumberFormat="1" applyFont="1" applyBorder="1" applyAlignment="1">
      <alignment horizontal="center" vertical="center" wrapText="1"/>
    </xf>
    <xf numFmtId="0" fontId="3" fillId="0" borderId="6" xfId="0" applyFont="1" applyBorder="1">
      <alignment/>
    </xf>
    <xf numFmtId="0" fontId="4" fillId="2" borderId="1" xfId="0" applyFont="1" applyBorder="1" applyAlignment="1">
      <alignment vertical="center" wrapText="1"/>
    </xf>
    <xf numFmtId="0" fontId="4" fillId="2" borderId="3" xfId="0" applyFont="1" applyBorder="1" applyAlignment="1">
      <alignment vertical="center" wrapText="1"/>
    </xf>
    <xf numFmtId="0" fontId="3" fillId="0" borderId="7" xfId="0" applyFont="1" applyBorder="1">
      <alignment/>
    </xf>
    <xf numFmtId="0" fontId="2" fillId="2" borderId="0" xfId="0" applyFont="1">
      <alignment/>
    </xf>
    <xf numFmtId="0" fontId="1" fillId="2" borderId="3"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3"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6" Type="http://schemas.openxmlformats.org/officeDocument/2006/relationships/calcChain" Target="calcChain.xml" /><Relationship Id="rId5" Type="http://schemas.openxmlformats.org/officeDocument/2006/relationships/externalLink" Target="externalLinks/externalLink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 Id="rId1" Type="http://schemas.openxmlformats.org/officeDocument/2006/relationships/theme" Target="theme/theme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Derived"/>
      <sheetName val="LMR"/>
      <sheetName val="PAMR39"/>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E29345A2-B504-412B-8E58-66A8FE62BAA6}">
  <dimension ref="A1:J63"/>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5">
        <v>1</v>
      </c>
      <c r="B3" s="6" t="s">
        <v>11</v>
      </c>
      <c r="C3" s="7"/>
      <c r="D3" s="7"/>
      <c r="E3" s="7"/>
      <c r="F3" s="7"/>
      <c r="G3" s="7"/>
      <c r="H3" s="7"/>
      <c r="I3" s="7"/>
      <c r="J3" s="2"/>
    </row>
    <row r="4" spans="1:10" ht="12.75">
      <c r="A4" s="8"/>
      <c r="B4" s="9" t="s">
        <v>12</v>
      </c>
      <c r="C4" s="2">
        <v>1</v>
      </c>
      <c r="D4" s="2">
        <v>2</v>
      </c>
      <c r="E4" s="2">
        <v>1.50</v>
      </c>
      <c r="F4" s="2"/>
      <c r="G4" s="10">
        <f>PRODUCT(C4:F4)</f>
        <v>3</v>
      </c>
      <c r="H4" s="2"/>
      <c r="I4" s="2"/>
      <c r="J4" s="2"/>
    </row>
    <row r="5" spans="1:10" ht="12.75">
      <c r="A5" s="11"/>
      <c r="B5" s="12" t="s">
        <v>7</v>
      </c>
      <c r="C5" s="2"/>
      <c r="D5" s="2"/>
      <c r="E5" s="2"/>
      <c r="F5" s="2"/>
      <c r="G5" s="10">
        <f>SUM(G4)</f>
        <v>3</v>
      </c>
      <c r="H5" s="2" t="s">
        <v>13</v>
      </c>
      <c r="I5" s="2">
        <v>24.43</v>
      </c>
      <c r="J5" s="4">
        <f>G5*I5</f>
        <v>73.29</v>
      </c>
    </row>
    <row r="6" spans="1:10" ht="12.75">
      <c r="A6" s="5">
        <v>2</v>
      </c>
      <c r="B6" s="13" t="s">
        <v>14</v>
      </c>
      <c r="C6" s="7"/>
      <c r="D6" s="7"/>
      <c r="E6" s="7"/>
      <c r="F6" s="7"/>
      <c r="G6" s="7"/>
      <c r="H6" s="7"/>
      <c r="I6" s="14"/>
      <c r="J6" s="2"/>
    </row>
    <row r="7" spans="1:10" ht="12.75">
      <c r="A7" s="8"/>
      <c r="B7" s="12" t="s">
        <v>15</v>
      </c>
      <c r="C7" s="2">
        <v>1</v>
      </c>
      <c r="D7" s="2">
        <f>2*(1.2+0.9)</f>
        <v>4.20</v>
      </c>
      <c r="E7" s="2">
        <v>0.30</v>
      </c>
      <c r="F7" s="2">
        <v>0.30</v>
      </c>
      <c r="G7" s="10">
        <f>PRODUCT(C7:F7)</f>
        <v>0.378</v>
      </c>
      <c r="H7" s="2"/>
      <c r="I7" s="2"/>
      <c r="J7" s="2"/>
    </row>
    <row r="8" spans="1:10" ht="12.75">
      <c r="A8" s="8"/>
      <c r="B8" s="12" t="s">
        <v>16</v>
      </c>
      <c r="C8" s="2">
        <v>1</v>
      </c>
      <c r="D8" s="2">
        <v>0.50</v>
      </c>
      <c r="E8" s="2">
        <v>0.30</v>
      </c>
      <c r="F8" s="2">
        <v>0.20</v>
      </c>
      <c r="G8" s="10">
        <f>PRODUCT(C8:F8)</f>
        <v>0.03</v>
      </c>
      <c r="H8" s="2"/>
      <c r="I8" s="2"/>
      <c r="J8" s="2"/>
    </row>
    <row r="9" spans="1:10" ht="12.75">
      <c r="A9" s="11"/>
      <c r="B9" s="12" t="s">
        <v>7</v>
      </c>
      <c r="C9" s="2"/>
      <c r="D9" s="2"/>
      <c r="E9" s="2"/>
      <c r="F9" s="2"/>
      <c r="G9" s="10">
        <f>SUM(G7:G8)</f>
        <v>0.40799999999999997</v>
      </c>
      <c r="H9" s="2" t="s">
        <v>17</v>
      </c>
      <c r="I9" s="2">
        <v>249.04</v>
      </c>
      <c r="J9" s="4">
        <f>G9*I9</f>
        <v>101.60832000000001</v>
      </c>
    </row>
    <row r="10" spans="1:10" ht="12.75">
      <c r="A10" s="5">
        <v>3</v>
      </c>
      <c r="B10" s="6" t="s">
        <v>18</v>
      </c>
      <c r="C10" s="7"/>
      <c r="D10" s="7"/>
      <c r="E10" s="7"/>
      <c r="F10" s="7"/>
      <c r="G10" s="7"/>
      <c r="H10" s="7"/>
      <c r="I10" s="14"/>
      <c r="J10" s="2"/>
    </row>
    <row r="11" spans="1:10" ht="12.75">
      <c r="A11" s="8"/>
      <c r="B11" s="12" t="s">
        <v>15</v>
      </c>
      <c r="C11" s="2">
        <v>1</v>
      </c>
      <c r="D11" s="2">
        <f>D7</f>
        <v>4.20</v>
      </c>
      <c r="E11" s="2">
        <f>E7</f>
        <v>0.30</v>
      </c>
      <c r="F11" s="2">
        <v>0.10</v>
      </c>
      <c r="G11" s="10">
        <f>PRODUCT(C11:F11)</f>
        <v>0.126</v>
      </c>
      <c r="H11" s="2"/>
      <c r="I11" s="2"/>
      <c r="J11" s="2"/>
    </row>
    <row r="12" spans="1:10" ht="12.75">
      <c r="A12" s="8"/>
      <c r="B12" s="12" t="s">
        <v>16</v>
      </c>
      <c r="C12" s="2">
        <v>1</v>
      </c>
      <c r="D12" s="2">
        <f>D8</f>
        <v>0.50</v>
      </c>
      <c r="E12" s="2">
        <f>E8</f>
        <v>0.30</v>
      </c>
      <c r="F12" s="2">
        <v>0.10</v>
      </c>
      <c r="G12" s="10">
        <f>PRODUCT(C12:F12)</f>
        <v>0.015</v>
      </c>
      <c r="H12" s="2"/>
      <c r="I12" s="2"/>
      <c r="J12" s="2"/>
    </row>
    <row r="13" spans="1:10" ht="12.75">
      <c r="A13" s="11"/>
      <c r="B13" s="12" t="s">
        <v>7</v>
      </c>
      <c r="C13" s="2"/>
      <c r="D13" s="2"/>
      <c r="E13" s="2"/>
      <c r="F13" s="2"/>
      <c r="G13" s="10">
        <f>SUM(G11:G12)</f>
        <v>0.14099999999999999</v>
      </c>
      <c r="H13" s="2" t="s">
        <v>17</v>
      </c>
      <c r="I13" s="2">
        <v>5491.79</v>
      </c>
      <c r="J13" s="4">
        <f>G13*I13</f>
        <v>774.34239000000002</v>
      </c>
    </row>
    <row r="14" spans="1:10" ht="12.75">
      <c r="A14" s="5">
        <v>4</v>
      </c>
      <c r="B14" s="6" t="s">
        <v>19</v>
      </c>
      <c r="C14" s="7"/>
      <c r="D14" s="7"/>
      <c r="E14" s="7"/>
      <c r="F14" s="7"/>
      <c r="G14" s="7"/>
      <c r="H14" s="7"/>
      <c r="I14" s="7"/>
      <c r="J14" s="2"/>
    </row>
    <row r="15" spans="1:10" ht="12.75">
      <c r="A15" s="8"/>
      <c r="B15" s="12" t="s">
        <v>20</v>
      </c>
      <c r="C15" s="2">
        <v>1</v>
      </c>
      <c r="D15" s="2">
        <f>D11</f>
        <v>4.20</v>
      </c>
      <c r="E15" s="2">
        <f>E11</f>
        <v>0.30</v>
      </c>
      <c r="F15" s="2">
        <f>0.2+0.3</f>
        <v>0.50</v>
      </c>
      <c r="G15" s="10">
        <f>PRODUCT(C15:F15)</f>
        <v>0.63</v>
      </c>
      <c r="H15" s="2"/>
      <c r="I15" s="2"/>
      <c r="J15" s="2"/>
    </row>
    <row r="16" spans="1:10" ht="12.75">
      <c r="A16" s="8"/>
      <c r="B16" s="12" t="s">
        <v>16</v>
      </c>
      <c r="C16" s="2">
        <v>1</v>
      </c>
      <c r="D16" s="2">
        <f>D12</f>
        <v>0.50</v>
      </c>
      <c r="E16" s="2">
        <f>E12</f>
        <v>0.30</v>
      </c>
      <c r="F16" s="2">
        <f>0.1+0.15</f>
        <v>0.25</v>
      </c>
      <c r="G16" s="10">
        <f>PRODUCT(C16:F16)</f>
        <v>0.0375</v>
      </c>
      <c r="H16" s="2"/>
      <c r="I16" s="2"/>
      <c r="J16" s="2"/>
    </row>
    <row r="17" spans="1:10" ht="12.75">
      <c r="A17" s="11"/>
      <c r="B17" s="12" t="s">
        <v>7</v>
      </c>
      <c r="C17" s="2"/>
      <c r="D17" s="2"/>
      <c r="E17" s="2"/>
      <c r="F17" s="2"/>
      <c r="G17" s="10">
        <f>SUM(G15:G16)</f>
        <v>0.6675</v>
      </c>
      <c r="H17" s="2" t="s">
        <v>17</v>
      </c>
      <c r="I17" s="2">
        <v>6870.79</v>
      </c>
      <c r="J17" s="4">
        <f>G17*I17</f>
        <v>4586.2523250000004</v>
      </c>
    </row>
    <row r="18" spans="1:10" ht="12.75">
      <c r="A18" s="5">
        <v>5</v>
      </c>
      <c r="B18" s="6" t="s">
        <v>21</v>
      </c>
      <c r="C18" s="7"/>
      <c r="D18" s="7"/>
      <c r="E18" s="7"/>
      <c r="F18" s="7"/>
      <c r="G18" s="7"/>
      <c r="H18" s="7"/>
      <c r="I18" s="7"/>
      <c r="J18" s="2"/>
    </row>
    <row r="19" spans="1:10" ht="12.75">
      <c r="A19" s="8"/>
      <c r="B19" s="12" t="s">
        <v>22</v>
      </c>
      <c r="C19" s="2">
        <v>1</v>
      </c>
      <c r="D19" s="2">
        <f>2*(1.2+0.3+0.9+0.3)</f>
        <v>5.40</v>
      </c>
      <c r="E19" s="15"/>
      <c r="F19" s="2"/>
      <c r="G19" s="10">
        <f>PRODUCT(C19:F19)</f>
        <v>5.40</v>
      </c>
      <c r="H19" s="2"/>
      <c r="I19" s="2"/>
      <c r="J19" s="2"/>
    </row>
    <row r="20" spans="1:10" ht="12.75">
      <c r="A20" s="8"/>
      <c r="B20" s="12" t="s">
        <v>23</v>
      </c>
      <c r="C20" s="2">
        <v>1</v>
      </c>
      <c r="D20" s="2">
        <f>D15</f>
        <v>4.20</v>
      </c>
      <c r="E20" s="2">
        <f>E15</f>
        <v>0.30</v>
      </c>
      <c r="F20" s="2"/>
      <c r="G20" s="10">
        <f>PRODUCT(C20:F20)</f>
        <v>1.26</v>
      </c>
      <c r="H20" s="2"/>
      <c r="I20" s="2"/>
      <c r="J20" s="2"/>
    </row>
    <row r="21" spans="1:10" ht="12.75">
      <c r="A21" s="8"/>
      <c r="B21" s="12" t="s">
        <v>24</v>
      </c>
      <c r="C21" s="2">
        <v>2</v>
      </c>
      <c r="D21" s="2"/>
      <c r="E21" s="2">
        <f>E12</f>
        <v>0.30</v>
      </c>
      <c r="F21" s="2">
        <v>0.15</v>
      </c>
      <c r="G21" s="10">
        <f>PRODUCT(C21:F21)</f>
        <v>0.09</v>
      </c>
      <c r="H21" s="2"/>
      <c r="I21" s="2"/>
      <c r="J21" s="2"/>
    </row>
    <row r="22" spans="1:10" ht="12.75">
      <c r="A22" s="8"/>
      <c r="B22" s="12" t="s">
        <v>25</v>
      </c>
      <c r="C22" s="2">
        <v>1</v>
      </c>
      <c r="D22" s="2">
        <f>D16</f>
        <v>0.50</v>
      </c>
      <c r="E22" s="2">
        <f>E16</f>
        <v>0.30</v>
      </c>
      <c r="F22" s="2"/>
      <c r="G22" s="10">
        <f>PRODUCT(C22:F22)</f>
        <v>0.15</v>
      </c>
      <c r="H22" s="2"/>
      <c r="I22" s="2"/>
      <c r="J22" s="2"/>
    </row>
    <row r="23" spans="1:10" ht="12.75">
      <c r="A23" s="11"/>
      <c r="B23" s="12" t="s">
        <v>7</v>
      </c>
      <c r="C23" s="2"/>
      <c r="D23" s="2"/>
      <c r="E23" s="2"/>
      <c r="F23" s="2"/>
      <c r="G23" s="10">
        <f>SUM(G19:G22)</f>
        <v>6.90</v>
      </c>
      <c r="H23" s="2" t="s">
        <v>13</v>
      </c>
      <c r="I23" s="2">
        <v>255.98</v>
      </c>
      <c r="J23" s="4">
        <f>G23*I23</f>
        <v>1766.2619999999999</v>
      </c>
    </row>
    <row r="24" spans="1:10" ht="12.75">
      <c r="A24" s="5">
        <v>6</v>
      </c>
      <c r="B24" s="6" t="s">
        <v>26</v>
      </c>
      <c r="C24" s="7"/>
      <c r="D24" s="7"/>
      <c r="E24" s="7"/>
      <c r="F24" s="7"/>
      <c r="G24" s="7"/>
      <c r="H24" s="7"/>
      <c r="I24" s="7"/>
      <c r="J24" s="2"/>
    </row>
    <row r="25" spans="1:10" ht="12.75">
      <c r="A25" s="8"/>
      <c r="B25" s="9" t="s">
        <v>27</v>
      </c>
      <c r="C25" s="2">
        <v>1</v>
      </c>
      <c r="D25" s="2">
        <f>1.2-E15</f>
        <v>0.90</v>
      </c>
      <c r="E25" s="2">
        <f>0.9-E15</f>
        <v>0.60</v>
      </c>
      <c r="F25" s="2">
        <v>0.27</v>
      </c>
      <c r="G25" s="10">
        <f>PRODUCT(C25:F25)</f>
        <v>0.14580000000000001</v>
      </c>
      <c r="H25" s="2"/>
      <c r="I25" s="2"/>
      <c r="J25" s="2"/>
    </row>
    <row r="26" spans="1:10" ht="12.75">
      <c r="A26" s="11"/>
      <c r="B26" s="12" t="s">
        <v>7</v>
      </c>
      <c r="C26" s="2"/>
      <c r="D26" s="2"/>
      <c r="E26" s="2"/>
      <c r="F26" s="2"/>
      <c r="G26" s="10">
        <f>SUM(G25)</f>
        <v>0.14580000000000001</v>
      </c>
      <c r="H26" s="2" t="s">
        <v>17</v>
      </c>
      <c r="I26" s="2">
        <v>220.47</v>
      </c>
      <c r="J26" s="4">
        <f>G26*I26</f>
        <v>32.144525999999999</v>
      </c>
    </row>
    <row r="27" spans="1:10" ht="12.75">
      <c r="A27" s="5">
        <v>7</v>
      </c>
      <c r="B27" s="6" t="s">
        <v>28</v>
      </c>
      <c r="C27" s="7"/>
      <c r="D27" s="7"/>
      <c r="E27" s="7"/>
      <c r="F27" s="7"/>
      <c r="G27" s="7"/>
      <c r="H27" s="7"/>
      <c r="I27" s="7"/>
      <c r="J27" s="2"/>
    </row>
    <row r="28" spans="1:10" ht="12.75">
      <c r="A28" s="8"/>
      <c r="B28" s="9" t="s">
        <v>29</v>
      </c>
      <c r="C28" s="2">
        <v>1</v>
      </c>
      <c r="D28" s="2">
        <f>D25</f>
        <v>0.90</v>
      </c>
      <c r="E28" s="2">
        <f>E25</f>
        <v>0.60</v>
      </c>
      <c r="F28" s="2"/>
      <c r="G28" s="10">
        <f>PRODUCT(C28:F28)</f>
        <v>0.54</v>
      </c>
      <c r="H28" s="2"/>
      <c r="I28" s="2"/>
      <c r="J28" s="2"/>
    </row>
    <row r="29" spans="1:10" ht="12.75">
      <c r="A29" s="11"/>
      <c r="B29" s="12" t="s">
        <v>7</v>
      </c>
      <c r="C29" s="2"/>
      <c r="D29" s="2"/>
      <c r="E29" s="2"/>
      <c r="F29" s="2"/>
      <c r="G29" s="10">
        <f>SUM(G27:G28)</f>
        <v>0.54</v>
      </c>
      <c r="H29" s="2" t="s">
        <v>13</v>
      </c>
      <c r="I29" s="2">
        <v>473.11</v>
      </c>
      <c r="J29" s="4">
        <f>G29*I29</f>
        <v>255.4794</v>
      </c>
    </row>
    <row r="30" spans="1:10" ht="12.75">
      <c r="A30" s="5">
        <v>8</v>
      </c>
      <c r="B30" s="6" t="s">
        <v>30</v>
      </c>
      <c r="C30" s="7"/>
      <c r="D30" s="7"/>
      <c r="E30" s="7"/>
      <c r="F30" s="7"/>
      <c r="G30" s="7"/>
      <c r="H30" s="7"/>
      <c r="I30" s="7"/>
      <c r="J30" s="2"/>
    </row>
    <row r="31" spans="1:10" ht="12.75">
      <c r="A31" s="8"/>
      <c r="B31" s="12" t="s">
        <v>31</v>
      </c>
      <c r="C31" s="2" t="s">
        <v>3</v>
      </c>
      <c r="D31" s="2" t="s">
        <v>4</v>
      </c>
      <c r="E31" s="2" t="s">
        <v>32</v>
      </c>
      <c r="F31" s="2" t="s">
        <v>33</v>
      </c>
      <c r="G31" s="2" t="s">
        <v>34</v>
      </c>
      <c r="H31" s="2" t="s">
        <v>35</v>
      </c>
      <c r="I31" s="2" t="s">
        <v>9</v>
      </c>
      <c r="J31" s="2"/>
    </row>
    <row r="32" spans="1:10" ht="12.75">
      <c r="A32" s="8"/>
      <c r="B32" s="12" t="s">
        <v>36</v>
      </c>
      <c r="C32" s="2">
        <v>2</v>
      </c>
      <c r="D32" s="2">
        <v>2.10</v>
      </c>
      <c r="E32" s="2">
        <f>C32*D32</f>
        <v>4.20</v>
      </c>
      <c r="F32" s="2"/>
      <c r="G32" s="3"/>
      <c r="H32" s="2"/>
      <c r="I32" s="2"/>
      <c r="J32" s="2"/>
    </row>
    <row r="33" spans="1:10" ht="12.75">
      <c r="A33" s="8"/>
      <c r="B33" s="12" t="s">
        <v>37</v>
      </c>
      <c r="C33" s="2">
        <v>2</v>
      </c>
      <c r="D33" s="2">
        <v>2.30</v>
      </c>
      <c r="E33" s="2">
        <f>C33*D33</f>
        <v>4.60</v>
      </c>
      <c r="F33" s="2"/>
      <c r="G33" s="3"/>
      <c r="H33" s="2"/>
      <c r="I33" s="2"/>
      <c r="J33" s="2"/>
    </row>
    <row r="34" spans="1:10" ht="12.75">
      <c r="A34" s="8"/>
      <c r="B34" s="12" t="s">
        <v>38</v>
      </c>
      <c r="C34" s="2">
        <v>2</v>
      </c>
      <c r="D34" s="2">
        <v>1.20</v>
      </c>
      <c r="E34" s="2">
        <f>C34*D34</f>
        <v>2.40</v>
      </c>
      <c r="F34" s="2"/>
      <c r="G34" s="3"/>
      <c r="H34" s="2"/>
      <c r="I34" s="2"/>
      <c r="J34" s="2"/>
    </row>
    <row r="35" spans="1:10" ht="12.75">
      <c r="A35" s="8"/>
      <c r="B35" s="12" t="s">
        <v>39</v>
      </c>
      <c r="C35" s="2">
        <v>2</v>
      </c>
      <c r="D35" s="2">
        <v>0.90</v>
      </c>
      <c r="E35" s="2">
        <f>C35*D35</f>
        <v>1.80</v>
      </c>
      <c r="F35" s="2"/>
      <c r="G35" s="3"/>
      <c r="H35" s="2"/>
      <c r="I35" s="2"/>
      <c r="J35" s="2"/>
    </row>
    <row r="36" spans="1:10" ht="12.75">
      <c r="A36" s="8"/>
      <c r="B36" s="12" t="s">
        <v>40</v>
      </c>
      <c r="C36" s="2">
        <v>2</v>
      </c>
      <c r="D36" s="2">
        <v>1.80</v>
      </c>
      <c r="E36" s="2">
        <f>C36*D36</f>
        <v>3.60</v>
      </c>
      <c r="F36" s="2"/>
      <c r="G36" s="3"/>
      <c r="H36" s="2"/>
      <c r="I36" s="2"/>
      <c r="J36" s="2"/>
    </row>
    <row r="37" spans="1:10" ht="12.75">
      <c r="A37" s="8"/>
      <c r="B37" s="12" t="s">
        <v>41</v>
      </c>
      <c r="C37" s="2">
        <v>2</v>
      </c>
      <c r="D37" s="2">
        <v>0.60</v>
      </c>
      <c r="E37" s="2">
        <f>C37*D37</f>
        <v>1.20</v>
      </c>
      <c r="F37" s="2"/>
      <c r="G37" s="3"/>
      <c r="H37" s="2"/>
      <c r="I37" s="2"/>
      <c r="J37" s="2"/>
    </row>
    <row r="38" spans="1:10" ht="12.75">
      <c r="A38" s="8"/>
      <c r="B38" s="12" t="s">
        <v>42</v>
      </c>
      <c r="C38" s="2"/>
      <c r="D38" s="2"/>
      <c r="E38" s="2">
        <f>SUM(E32:E37)</f>
        <v>17.80</v>
      </c>
      <c r="F38" s="2">
        <v>2.60</v>
      </c>
      <c r="G38" s="2" t="s">
        <v>43</v>
      </c>
      <c r="H38" s="2">
        <f>E38*F38</f>
        <v>46.28</v>
      </c>
      <c r="I38" s="3">
        <v>80.78</v>
      </c>
      <c r="J38" s="4">
        <f>H38*I38</f>
        <v>3738.4983999999999</v>
      </c>
    </row>
    <row r="39" spans="1:10" ht="12.75">
      <c r="A39" s="8"/>
      <c r="B39" s="12" t="s">
        <v>44</v>
      </c>
      <c r="C39" s="2"/>
      <c r="D39" s="2"/>
      <c r="E39" s="2"/>
      <c r="F39" s="2"/>
      <c r="G39" s="3"/>
      <c r="H39" s="2"/>
      <c r="I39" s="2"/>
      <c r="J39" s="2"/>
    </row>
    <row r="40" spans="1:10" ht="12.75">
      <c r="A40" s="8"/>
      <c r="B40" s="12" t="s">
        <v>45</v>
      </c>
      <c r="C40" s="2">
        <v>2</v>
      </c>
      <c r="D40" s="2">
        <v>2.30</v>
      </c>
      <c r="E40" s="2">
        <f>C40*D40</f>
        <v>4.60</v>
      </c>
      <c r="F40" s="2"/>
      <c r="G40" s="3"/>
      <c r="H40" s="2"/>
      <c r="I40" s="2"/>
      <c r="J40" s="2"/>
    </row>
    <row r="41" spans="1:10" ht="12.75">
      <c r="A41" s="8"/>
      <c r="B41" s="12" t="s">
        <v>46</v>
      </c>
      <c r="C41" s="2">
        <v>2</v>
      </c>
      <c r="D41" s="2">
        <v>1.20</v>
      </c>
      <c r="E41" s="2">
        <f>C41*D41</f>
        <v>2.40</v>
      </c>
      <c r="F41" s="2"/>
      <c r="G41" s="3"/>
      <c r="H41" s="2"/>
      <c r="I41" s="2"/>
      <c r="J41" s="2"/>
    </row>
    <row r="42" spans="1:10" ht="12.75">
      <c r="A42" s="8"/>
      <c r="B42" s="12" t="s">
        <v>47</v>
      </c>
      <c r="C42" s="2">
        <v>1</v>
      </c>
      <c r="D42" s="2">
        <v>2.10</v>
      </c>
      <c r="E42" s="2">
        <f>C42*D42</f>
        <v>2.10</v>
      </c>
      <c r="F42" s="2"/>
      <c r="G42" s="3"/>
      <c r="H42" s="2"/>
      <c r="I42" s="2"/>
      <c r="J42" s="2"/>
    </row>
    <row r="43" spans="1:10" ht="12.75">
      <c r="A43" s="8"/>
      <c r="B43" s="12" t="s">
        <v>48</v>
      </c>
      <c r="C43" s="2">
        <v>2</v>
      </c>
      <c r="D43" s="2">
        <v>0.60</v>
      </c>
      <c r="E43" s="2">
        <f>C43*D43</f>
        <v>1.20</v>
      </c>
      <c r="F43" s="2"/>
      <c r="G43" s="3"/>
      <c r="H43" s="2"/>
      <c r="I43" s="2"/>
      <c r="J43" s="2"/>
    </row>
    <row r="44" spans="1:10" ht="12.75">
      <c r="A44" s="8"/>
      <c r="B44" s="12" t="s">
        <v>49</v>
      </c>
      <c r="C44" s="2">
        <v>2</v>
      </c>
      <c r="D44" s="2">
        <v>2.20</v>
      </c>
      <c r="E44" s="2">
        <f>C44*D44</f>
        <v>4.40</v>
      </c>
      <c r="F44" s="2"/>
      <c r="G44" s="3"/>
      <c r="H44" s="2"/>
      <c r="I44" s="2"/>
      <c r="J44" s="2"/>
    </row>
    <row r="45" spans="1:10" ht="12.75">
      <c r="A45" s="8"/>
      <c r="B45" s="12" t="s">
        <v>50</v>
      </c>
      <c r="C45" s="2">
        <v>4</v>
      </c>
      <c r="D45" s="2">
        <v>0.90</v>
      </c>
      <c r="E45" s="2">
        <f>C45*D45</f>
        <v>3.60</v>
      </c>
      <c r="F45" s="2"/>
      <c r="G45" s="3"/>
      <c r="H45" s="2"/>
      <c r="I45" s="2"/>
      <c r="J45" s="2"/>
    </row>
    <row r="46" spans="1:10" ht="12.75">
      <c r="A46" s="8"/>
      <c r="B46" s="12" t="s">
        <v>40</v>
      </c>
      <c r="C46" s="2">
        <v>1</v>
      </c>
      <c r="D46" s="2">
        <v>1.80</v>
      </c>
      <c r="E46" s="2">
        <f>C46*D46</f>
        <v>1.80</v>
      </c>
      <c r="F46" s="2"/>
      <c r="G46" s="3"/>
      <c r="H46" s="2"/>
      <c r="I46" s="2"/>
      <c r="J46" s="2"/>
    </row>
    <row r="47" spans="1:10" ht="12.75">
      <c r="A47" s="8"/>
      <c r="B47" s="12" t="s">
        <v>41</v>
      </c>
      <c r="C47" s="2">
        <v>2</v>
      </c>
      <c r="D47" s="2">
        <v>0.60</v>
      </c>
      <c r="E47" s="2">
        <f>C47*D47</f>
        <v>1.20</v>
      </c>
      <c r="F47" s="2"/>
      <c r="G47" s="3"/>
      <c r="H47" s="2"/>
      <c r="I47" s="2"/>
      <c r="J47" s="2"/>
    </row>
    <row r="48" spans="1:10" ht="12.75">
      <c r="A48" s="8"/>
      <c r="B48" s="12" t="s">
        <v>51</v>
      </c>
      <c r="C48" s="2">
        <v>2</v>
      </c>
      <c r="D48" s="2">
        <v>1.20</v>
      </c>
      <c r="E48" s="2">
        <f>C48*D48</f>
        <v>2.40</v>
      </c>
      <c r="F48" s="2"/>
      <c r="G48" s="3"/>
      <c r="H48" s="2"/>
      <c r="I48" s="2"/>
      <c r="J48" s="2"/>
    </row>
    <row r="49" spans="1:10" ht="12.75">
      <c r="A49" s="8"/>
      <c r="B49" s="12"/>
      <c r="C49" s="2">
        <v>1</v>
      </c>
      <c r="D49" s="2">
        <v>0.90</v>
      </c>
      <c r="E49" s="2">
        <f>C49*D49</f>
        <v>0.90</v>
      </c>
      <c r="F49" s="2"/>
      <c r="G49" s="3"/>
      <c r="H49" s="2"/>
      <c r="I49" s="2"/>
      <c r="J49" s="2"/>
    </row>
    <row r="50" spans="1:10" ht="12.75">
      <c r="A50" s="11"/>
      <c r="B50" s="12" t="s">
        <v>42</v>
      </c>
      <c r="C50" s="2"/>
      <c r="D50" s="2"/>
      <c r="E50" s="2">
        <f>SUM(E40:E49)</f>
        <v>24.60</v>
      </c>
      <c r="F50" s="2">
        <v>1.68</v>
      </c>
      <c r="G50" s="2" t="s">
        <v>43</v>
      </c>
      <c r="H50" s="4">
        <f>E50*F50</f>
        <v>41.328000000000003</v>
      </c>
      <c r="I50" s="3">
        <v>80.78</v>
      </c>
      <c r="J50" s="4">
        <f>H50*I50</f>
        <v>3338.4758400000001</v>
      </c>
    </row>
    <row r="51" spans="1:10" ht="12.75">
      <c r="A51" s="5">
        <v>9</v>
      </c>
      <c r="B51" s="6" t="s">
        <v>52</v>
      </c>
      <c r="C51" s="7"/>
      <c r="D51" s="7"/>
      <c r="E51" s="7"/>
      <c r="F51" s="7"/>
      <c r="G51" s="7"/>
      <c r="H51" s="7"/>
      <c r="I51" s="7"/>
      <c r="J51" s="2"/>
    </row>
    <row r="52" spans="1:10" ht="12.75">
      <c r="A52" s="8"/>
      <c r="B52" s="12" t="s">
        <v>53</v>
      </c>
      <c r="C52" s="2" t="s">
        <v>4</v>
      </c>
      <c r="D52" s="2" t="s">
        <v>5</v>
      </c>
      <c r="E52" s="2"/>
      <c r="F52" s="2"/>
      <c r="G52" s="2"/>
      <c r="H52" s="2"/>
      <c r="I52" s="3"/>
      <c r="J52" s="2"/>
    </row>
    <row r="53" spans="1:10" ht="12.75">
      <c r="A53" s="8"/>
      <c r="B53" s="12" t="s">
        <v>54</v>
      </c>
      <c r="C53" s="2">
        <v>1.20</v>
      </c>
      <c r="D53" s="2">
        <v>2</v>
      </c>
      <c r="E53" s="2">
        <f>C53*D53</f>
        <v>2.40</v>
      </c>
      <c r="F53" s="2"/>
      <c r="G53" s="2"/>
      <c r="H53" s="2"/>
      <c r="I53" s="3"/>
      <c r="J53" s="2"/>
    </row>
    <row r="54" spans="1:10" ht="12.75">
      <c r="A54" s="8"/>
      <c r="B54" s="12" t="s">
        <v>55</v>
      </c>
      <c r="C54" s="2">
        <v>1.20</v>
      </c>
      <c r="D54" s="2">
        <v>1.80</v>
      </c>
      <c r="E54" s="2">
        <f>C54*D54</f>
        <v>2.16</v>
      </c>
      <c r="F54" s="2"/>
      <c r="G54" s="3"/>
      <c r="H54" s="2"/>
      <c r="I54" s="2"/>
      <c r="J54" s="2"/>
    </row>
    <row r="55" spans="1:10" ht="12.75">
      <c r="A55" s="8"/>
      <c r="B55" s="12" t="s">
        <v>56</v>
      </c>
      <c r="C55" s="2">
        <v>1.80</v>
      </c>
      <c r="D55" s="2">
        <v>1.90</v>
      </c>
      <c r="E55" s="2">
        <f>C55*D55</f>
        <v>3.42</v>
      </c>
      <c r="F55" s="2"/>
      <c r="G55" s="3"/>
      <c r="H55" s="2"/>
      <c r="I55" s="2"/>
      <c r="J55" s="2"/>
    </row>
    <row r="56" spans="1:10" ht="12.75">
      <c r="A56" s="8"/>
      <c r="B56" s="12" t="s">
        <v>57</v>
      </c>
      <c r="C56" s="2">
        <v>1.60</v>
      </c>
      <c r="D56" s="2">
        <v>1.30</v>
      </c>
      <c r="E56" s="2">
        <f>C56*D56</f>
        <v>2.08</v>
      </c>
      <c r="F56" s="2"/>
      <c r="G56" s="3"/>
      <c r="H56" s="2"/>
      <c r="I56" s="2"/>
      <c r="J56" s="2"/>
    </row>
    <row r="57" spans="1:10" ht="12.75">
      <c r="A57" s="8"/>
      <c r="B57" s="12" t="s">
        <v>58</v>
      </c>
      <c r="C57" s="2"/>
      <c r="D57" s="2"/>
      <c r="E57" s="2">
        <f>SUM(E53:E56)</f>
        <v>10.06</v>
      </c>
      <c r="F57" s="2">
        <v>6.30</v>
      </c>
      <c r="G57" s="2" t="s">
        <v>59</v>
      </c>
      <c r="H57" s="4">
        <f>E57*F57</f>
        <v>63.378</v>
      </c>
      <c r="I57" s="2"/>
      <c r="J57" s="2"/>
    </row>
    <row r="58" spans="1:10" ht="12.75">
      <c r="A58" s="11"/>
      <c r="B58" s="12" t="s">
        <v>7</v>
      </c>
      <c r="C58" s="2"/>
      <c r="D58" s="2"/>
      <c r="E58" s="2"/>
      <c r="F58" s="2"/>
      <c r="G58" s="3">
        <v>63.38</v>
      </c>
      <c r="H58" s="2" t="s">
        <v>60</v>
      </c>
      <c r="I58" s="3">
        <f>'[1]GI Works'!F29</f>
        <v>151.03995699999999</v>
      </c>
      <c r="J58" s="4">
        <f>G58*I58</f>
        <v>9572.9124759999995</v>
      </c>
    </row>
    <row r="59" spans="1:10" ht="12.75">
      <c r="A59" s="2">
        <v>10</v>
      </c>
      <c r="B59" s="13" t="s">
        <v>61</v>
      </c>
      <c r="C59" s="2"/>
      <c r="D59" s="2"/>
      <c r="E59" s="2"/>
      <c r="F59" s="2"/>
      <c r="G59" s="2">
        <v>1</v>
      </c>
      <c r="H59" s="2" t="s">
        <v>62</v>
      </c>
      <c r="I59" s="2">
        <v>222.08</v>
      </c>
      <c r="J59" s="2">
        <f>G59*I59</f>
        <v>222.08</v>
      </c>
    </row>
    <row r="60" spans="1:10" ht="12.75">
      <c r="A60" s="2">
        <v>11</v>
      </c>
      <c r="B60" s="12" t="s">
        <v>63</v>
      </c>
      <c r="C60" s="2"/>
      <c r="D60" s="2"/>
      <c r="E60" s="2"/>
      <c r="F60" s="2"/>
      <c r="G60" s="2">
        <v>3</v>
      </c>
      <c r="H60" s="2" t="s">
        <v>62</v>
      </c>
      <c r="I60" s="2">
        <v>128.23</v>
      </c>
      <c r="J60" s="4">
        <f>G60*I60</f>
        <v>384.69</v>
      </c>
    </row>
    <row r="61" spans="1:10" ht="12.75">
      <c r="A61" s="2">
        <v>12</v>
      </c>
      <c r="B61" s="13" t="s">
        <v>64</v>
      </c>
      <c r="C61" s="7"/>
      <c r="D61" s="7"/>
      <c r="E61" s="7"/>
      <c r="F61" s="7"/>
      <c r="G61" s="7"/>
      <c r="H61" s="7"/>
      <c r="I61" s="14"/>
      <c r="J61" s="2">
        <v>1153.96</v>
      </c>
    </row>
    <row r="62" spans="1:10" ht="12.75">
      <c r="A62" s="2">
        <v>13</v>
      </c>
      <c r="B62" s="16" t="s">
        <v>65</v>
      </c>
      <c r="C62" s="7"/>
      <c r="D62" s="7"/>
      <c r="E62" s="7"/>
      <c r="F62" s="7"/>
      <c r="G62" s="7"/>
      <c r="H62" s="7"/>
      <c r="I62" s="14"/>
      <c r="J62" s="17">
        <f>SUM(J5:J61)</f>
        <v>25999.99568</v>
      </c>
    </row>
    <row r="63" spans="1:10" ht="12.75">
      <c r="A63" s="2">
        <v>14</v>
      </c>
      <c r="B63" s="18" t="s">
        <v>66</v>
      </c>
      <c r="C63" s="7"/>
      <c r="D63" s="7"/>
      <c r="E63" s="7"/>
      <c r="F63" s="7"/>
      <c r="G63" s="7"/>
      <c r="H63" s="7"/>
      <c r="I63" s="7"/>
      <c r="J63" s="14"/>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