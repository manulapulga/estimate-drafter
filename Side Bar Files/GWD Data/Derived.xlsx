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[1]LMR!$C:$C</definedName>
    <definedName name="LMRCodes">[1]LMR!$A:$A</definedName>
  </definedNames>
  <calcPr fullCalcOnLoad="1"/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<sst xmlns="http://schemas.openxmlformats.org/spreadsheetml/2006/main" count="23" uniqueCount="19">
  <si>
    <t>Derived Code</t>
  </si>
  <si>
    <t>Spec</t>
  </si>
  <si>
    <t>Rate</t>
  </si>
  <si>
    <t>Support Data 1</t>
  </si>
  <si>
    <t>Support Data 2</t>
  </si>
  <si>
    <t>LMR Code</t>
  </si>
  <si>
    <t>LMR Price</t>
  </si>
  <si>
    <t>DL1</t>
  </si>
  <si>
    <t>180 mm 6 Kg/cm2</t>
  </si>
  <si>
    <t>MR10216</t>
  </si>
  <si>
    <t>PVC Pipe, 6kg/cm2, 160mm Dia.</t>
  </si>
  <si>
    <t>MR10217</t>
  </si>
  <si>
    <t>PVC Pipe, 6kg/cm2, 200mm Dia.</t>
  </si>
  <si>
    <t>DL2</t>
  </si>
  <si>
    <t>180mm 10kg/cm2</t>
  </si>
  <si>
    <t>MR10239</t>
  </si>
  <si>
    <t>PVC Pipe, 10kg/cm2, 160mm Dia.</t>
  </si>
  <si>
    <t>MR10240</t>
  </si>
  <si>
    <t>PVC Pipe, 10kg/cm2, 200mm Dia.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</si>
</sst>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i/>
      <sz val="11"/>
      <color theme="1"/>
      <name val="Cambria"/>
      <family val="2"/>
    </font>
    <font>
      <sz val="11"/>
      <color theme="1"/>
      <name val="Cambria"/>
      <family val="2"/>
    </font>
    <font>
      <b/>
      <i/>
      <sz val="11"/>
      <color theme="1"/>
      <name val="Cambri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rgb="FF46C6E2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2" borderId="2" xfId="0" applyFont="1" applyBorder="1" applyAlignment="1">
      <alignment horizontal="center" vertical="center" wrapText="1"/>
    </xf>
    <xf numFmtId="0" fontId="4" fillId="0" borderId="3" xfId="0" applyFont="1" applyBorder="1">
      <alignment/>
    </xf>
    <xf numFmtId="0" fontId="4" fillId="0" borderId="4" xfId="0" applyFont="1" applyBorder="1">
      <alignment/>
    </xf>
    <xf numFmtId="0" fontId="4" fillId="3" borderId="5" xfId="0" applyFont="1" applyFill="1" applyBorder="1">
      <alignment/>
    </xf>
    <xf numFmtId="0" fontId="3" fillId="2" borderId="6" xfId="0" applyFont="1" applyBorder="1" applyAlignment="1">
      <alignment horizontal="center" vertical="center" wrapText="1"/>
    </xf>
    <xf numFmtId="0" fontId="2" fillId="4" borderId="6" xfId="0" applyFont="1" applyBorder="1" applyAlignment="1">
      <alignment horizontal="center"/>
    </xf>
    <xf numFmtId="0" fontId="1" fillId="4" borderId="6" xfId="0" applyFont="1" applyBorder="1" applyAlignment="1">
      <alignment horizontal="center"/>
    </xf>
    <xf numFmtId="0" fontId="2" fillId="5" borderId="6" xfId="0" applyFont="1" applyBorder="1" applyAlignment="1">
      <alignment horizontal="center"/>
    </xf>
    <xf numFmtId="0" fontId="1" fillId="5" borderId="6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6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externalLink" Target="externalLinks/externalLink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Derived"/>
      <sheetName val="LMR"/>
      <sheetName val="PAMR39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0D8BCF-44FA-41A0-B2B1-17D6E298BAA6}">
  <dimension ref="A1:I4"/>
  <sheetViews>
    <sheetView tabSelected="1" workbookViewId="0" topLeftCell="A1"/>
  </sheetViews>
  <sheetFormatPr defaultRowHeight="12.75"/>
  <sheetData>
    <row r="1" spans="1:9" ht="12.75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2" t="s">
        <v>4</v>
      </c>
      <c r="H1" s="3"/>
      <c r="I1" s="4"/>
    </row>
    <row r="2" spans="1:9" ht="12.75">
      <c r="A2" s="5"/>
      <c r="B2" s="5"/>
      <c r="C2" s="5"/>
      <c r="D2" s="6" t="s">
        <v>5</v>
      </c>
      <c r="E2" s="6" t="s">
        <v>1</v>
      </c>
      <c r="F2" s="6" t="s">
        <v>6</v>
      </c>
      <c r="G2" s="6" t="s">
        <v>5</v>
      </c>
      <c r="H2" s="6" t="s">
        <v>1</v>
      </c>
      <c r="I2" s="6" t="s">
        <v>6</v>
      </c>
    </row>
    <row r="3" spans="1:9" ht="12.75">
      <c r="A3" s="7" t="s">
        <v>7</v>
      </c>
      <c r="B3" s="7" t="s">
        <v>8</v>
      </c>
      <c r="C3" s="7">
        <f>ROUND(AVERAGE(F3,I3),0)</f>
        <v>480</v>
      </c>
      <c r="D3" s="8" t="s">
        <v>9</v>
      </c>
      <c r="E3" s="8" t="s">
        <v>10</v>
      </c>
      <c r="F3" s="8">
        <f t="array" ref="F3">IFERROR(INDEX(LMRRates,MATCH(D3,LMRCodes,0),),)</f>
        <v>372</v>
      </c>
      <c r="G3" s="8" t="s">
        <v>11</v>
      </c>
      <c r="H3" s="8" t="s">
        <v>12</v>
      </c>
      <c r="I3" s="8">
        <v>588</v>
      </c>
    </row>
    <row r="4" spans="1:9" ht="12.75">
      <c r="A4" s="9" t="s">
        <v>13</v>
      </c>
      <c r="B4" s="9" t="s">
        <v>14</v>
      </c>
      <c r="C4" s="9">
        <f>ROUND(AVERAGE(F4,I4),0)</f>
        <v>784</v>
      </c>
      <c r="D4" s="10" t="s">
        <v>15</v>
      </c>
      <c r="E4" s="10" t="s">
        <v>16</v>
      </c>
      <c r="F4" s="10">
        <f t="array" ref="F4">IFERROR(INDEX(LMRRates,MATCH(D4,LMRCodes,0),),)</f>
        <v>610</v>
      </c>
      <c r="G4" s="10" t="s">
        <v>17</v>
      </c>
      <c r="H4" s="10" t="s">
        <v>18</v>
      </c>
      <c r="I4" s="10">
        <v>957</v>
      </c>
    </row>
  </sheetData>
  <mergeCells count="5">
    <mergeCell ref="A1:A2"/>
    <mergeCell ref="B1:B2"/>
    <mergeCell ref="C1:C2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