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4" lowestEdited="4" rupBuild="9302"/>
  <workbookPr/>
  <bookViews>
    <workbookView xWindow="240" yWindow="120" windowWidth="14940" windowHeight="9225" activeTab="0"/>
  </bookViews>
  <sheets>
    <sheet name="Sheet1" sheetId="1" r:id="rId3"/>
  </sheets>
  <definedNames/>
  <calcPr fullCalcOnLoad="1"/>
</workbook>
</file>

<file path=xl/calcChain.xml><?xml version="1.0" encoding="utf-8"?>
<calcChain xmlns="http://schemas.openxmlformats.org/spreadsheetml/2006/main">
  <c r="G4" i="1" l="1"/>
</calcChain>
</file>

<file path=xl/sharedStrings.xml><?xml version="1.0" encoding="utf-8"?>
<sst xmlns="http://schemas.openxmlformats.org/spreadsheetml/2006/main" count="49" uniqueCount="36">
  <si>
    <t>Well Protection Cover</t>
  </si>
  <si>
    <t>Sl. No.</t>
  </si>
  <si>
    <t>Item</t>
  </si>
  <si>
    <t>No.</t>
  </si>
  <si>
    <t>L</t>
  </si>
  <si>
    <t>B</t>
  </si>
  <si>
    <t>D</t>
  </si>
  <si>
    <t>Total</t>
  </si>
  <si>
    <t xml:space="preserve">Unit </t>
  </si>
  <si>
    <t>Rate</t>
  </si>
  <si>
    <t>Amount</t>
  </si>
  <si>
    <t>Earth work in excavation by mechanical means (Hydraulic excavator) / manual means in foundation trenches or drains (not exceeding 1.5 m in width or 10 sqm on plan), including dressing of sides and ramming of bottoms, lift up to 1.5 m, including getting out the excavated soil and disposal of surplus excavated soil as directed, within a lead of 50 m. All kinds of soil as per DSR item 2.8.1</t>
  </si>
  <si>
    <t>Foundation</t>
  </si>
  <si>
    <t>m3</t>
  </si>
  <si>
    <t>Providing and laying in position cement concrete All work up to plinth level: 1:4:8 (1 cement : 4 coarse sand : 8 graded stone aggregate 40 mm nominal size) as per DSR item 4.1.8</t>
  </si>
  <si>
    <t>Deduction for Borewell</t>
  </si>
  <si>
    <r>
      <rPr>
        <sz val="12"/>
        <color theme="1"/>
        <rFont val="Cambria"/>
        <family val="2"/>
      </rPr>
      <t>m</t>
    </r>
    <r>
      <rPr>
        <vertAlign val="superscript"/>
        <sz val="12"/>
        <color theme="1"/>
        <rFont val="Cambria"/>
        <family val="2"/>
      </rPr>
      <t>3</t>
    </r>
  </si>
  <si>
    <t>Brick work with common burnt clay F.P.S. (non modular) bricks of class designation 7.5 in Cement mortar 1:6 as per DSR item 6.4.2</t>
  </si>
  <si>
    <t xml:space="preserve"> Side Wall</t>
  </si>
  <si>
    <t>Providing and laying in position specified grade of reinforced cement concrete, excluding the cost of centering, shuttering, finishing and reinforcement - All work up to plinth level: 1:2:4 as per DSR item 5.1.3</t>
  </si>
  <si>
    <t>Slab</t>
  </si>
  <si>
    <t>Steel reinforcement for R.C.C. work including straightening, cutting, bending, placing in position and binding all complete above plinth level (Mild and Medium Tensile steel bars) as per DSR item 5.22.1</t>
  </si>
  <si>
    <t>Quantity as item 4</t>
  </si>
  <si>
    <t>at  80 kg/m3</t>
  </si>
  <si>
    <t>kg</t>
  </si>
  <si>
    <t>Centering and shuttering including strutting, propping etc. and removal of form for roofs etc. for mass concrete as per DSR item 5.9.3</t>
  </si>
  <si>
    <r>
      <rPr>
        <sz val="12"/>
        <color theme="1"/>
        <rFont val="Cambria"/>
        <family val="2"/>
      </rPr>
      <t>m</t>
    </r>
    <r>
      <rPr>
        <vertAlign val="superscript"/>
        <sz val="12"/>
        <color theme="1"/>
        <rFont val="Cambria"/>
        <family val="2"/>
      </rPr>
      <t>2</t>
    </r>
  </si>
  <si>
    <t>12 mm cement plaster of mix 1:4 as per DSR item  13.1.1</t>
  </si>
  <si>
    <t xml:space="preserve">Outside wall </t>
  </si>
  <si>
    <t xml:space="preserve">Inside wall </t>
  </si>
  <si>
    <t>Top of wall</t>
  </si>
  <si>
    <t>Slab top and bottom</t>
  </si>
  <si>
    <t>Side of slab</t>
  </si>
  <si>
    <t>Unforeseen if any</t>
  </si>
  <si>
    <t>TOTAL</t>
  </si>
  <si>
    <t>Say Rs. 3800 x Index</t>
  </si>
</sst>
</file>

<file path=xl/styles.xml><?xml version="1.0" encoding="utf-8"?>
<styleSheet xmlns="http://schemas.openxmlformats.org/spreadsheetml/2006/main">
  <numFmts count="6">
    <numFmt numFmtId="177" formatCode="0.000"/>
    <numFmt numFmtId="178" formatCode="0.000;[RED]\-0.000"/>
    <numFmt numFmtId="179" formatCode="0.000;[RED]0.000"/>
    <numFmt numFmtId="180" formatCode="0.0000;[RED]\-0.0000"/>
    <numFmt numFmtId="181" formatCode="0.0000;[RED]0.0000"/>
    <numFmt numFmtId="182" formatCode="0.00;[RED]0.00"/>
  </numFmts>
  <fonts count="6">
    <font>
      <sz val="10"/>
      <color theme="1"/>
      <name val="Arial"/>
      <family val="2"/>
    </font>
    <font>
      <b/>
      <sz val="12"/>
      <color theme="1"/>
      <name val="Cambria"/>
      <family val="2"/>
    </font>
    <font>
      <sz val="11"/>
      <color theme="1"/>
      <name val="Cambria"/>
      <family val="2"/>
    </font>
    <font>
      <sz val="12"/>
      <color theme="1"/>
      <name val="Cambria"/>
      <family val="2"/>
    </font>
    <font>
      <sz val="11"/>
      <color rgb="FF000000"/>
      <name val="Calibri"/>
      <family val="2"/>
      <scheme val="minor"/>
    </font>
    <font>
      <vertAlign val="superscript"/>
      <sz val="12"/>
      <color theme="1"/>
      <name val="Cambria"/>
      <family val="2"/>
    </font>
  </fonts>
  <fills count="3">
    <fill>
      <patternFill patternType="none"/>
    </fill>
    <fill>
      <patternFill patternType="gray125"/>
    </fill>
    <fill>
      <patternFill patternType="solid">
        <fgColor rgb="FFFFF2CC"/>
        <bgColor indexed="64"/>
      </patternFill>
    </fill>
  </fills>
  <borders count="5">
    <border>
      <left/>
      <right/>
      <top/>
      <bottom/>
      <diagonal/>
    </border>
    <border>
      <left style="thin">
        <color rgb="FF3D3D3D"/>
      </left>
      <right style="thin">
        <color rgb="FF3D3D3D"/>
      </right>
      <top style="thin">
        <color rgb="FF3D3D3D"/>
      </top>
      <bottom style="thin">
        <color rgb="FF3D3D3D"/>
      </bottom>
    </border>
    <border>
      <left style="thin">
        <color rgb="FF3D3D3D"/>
      </left>
      <right/>
      <top style="thin">
        <color rgb="FF3D3D3D"/>
      </top>
      <bottom style="thin">
        <color rgb="FF3D3D3D"/>
      </bottom>
    </border>
    <border>
      <left/>
      <right/>
      <top style="thin">
        <color rgb="FF3D3D3D"/>
      </top>
      <bottom style="thin">
        <color rgb="FF3D3D3D"/>
      </bottom>
    </border>
    <border>
      <left/>
      <right style="thin">
        <color rgb="FF3D3D3D"/>
      </right>
      <top style="thin">
        <color rgb="FF3D3D3D"/>
      </top>
      <bottom style="thin">
        <color rgb="FF3D3D3D"/>
      </bottom>
    </border>
  </borders>
  <cellStyleXfs count="6">
    <xf numFmtId="0" fontId="0" fillId="0" borderId="0">
      <alignment/>
      <protection/>
    </xf>
    <xf numFmtId="9" fontId="0" fillId="0" borderId="0" applyFont="0" applyFill="0" applyBorder="0" applyAlignment="0" applyProtection="0"/>
    <xf numFmtId="44" fontId="0" fillId="0" borderId="0" applyFont="0" applyFill="0" applyBorder="0" applyAlignment="0" applyProtection="0"/>
    <xf numFmtId="42" fontId="0" fillId="0" borderId="0" applyFont="0" applyFill="0" applyBorder="0" applyAlignment="0" applyProtection="0"/>
    <xf numFmtId="43" fontId="0" fillId="0" borderId="0" applyFont="0" applyFill="0" applyBorder="0" applyAlignment="0" applyProtection="0"/>
    <xf numFmtId="41" fontId="0" fillId="0" borderId="0" applyFont="0" applyFill="0" applyBorder="0" applyAlignment="0" applyProtection="0"/>
  </cellStyleXfs>
  <cellXfs count="19">
    <xf numFmtId="0" fontId="0" fillId="0" borderId="0" xfId="0"/>
    <xf numFmtId="0" fontId="1" fillId="2" borderId="0" xfId="0" applyFont="1" applyAlignment="1">
      <alignment horizontal="center" vertical="center" wrapText="1"/>
    </xf>
    <xf numFmtId="0" fontId="3" fillId="2" borderId="1" xfId="0" applyFont="1" applyBorder="1" applyAlignment="1">
      <alignment horizontal="center" vertical="center" wrapText="1"/>
    </xf>
    <xf numFmtId="182" fontId="3" fillId="2" borderId="1" xfId="0" applyNumberFormat="1" applyFont="1" applyBorder="1" applyAlignment="1">
      <alignment horizontal="center" vertical="center" wrapText="1"/>
    </xf>
    <xf numFmtId="2" fontId="3" fillId="2" borderId="1" xfId="0" applyNumberFormat="1" applyFont="1" applyBorder="1" applyAlignment="1">
      <alignment horizontal="center" vertical="center" wrapText="1"/>
    </xf>
    <xf numFmtId="0" fontId="3" fillId="2" borderId="2" xfId="0" applyFont="1" applyBorder="1" applyAlignment="1">
      <alignment vertical="center" wrapText="1"/>
    </xf>
    <xf numFmtId="0" fontId="4" fillId="0" borderId="3" xfId="0" applyFont="1" applyBorder="1">
      <alignment/>
    </xf>
    <xf numFmtId="0" fontId="4" fillId="0" borderId="4" xfId="0" applyFont="1" applyBorder="1">
      <alignment/>
    </xf>
    <xf numFmtId="0" fontId="3" fillId="2" borderId="1" xfId="0" applyFont="1" applyBorder="1" applyAlignment="1">
      <alignment vertical="center" wrapText="1"/>
    </xf>
    <xf numFmtId="181" fontId="3" fillId="2" borderId="1" xfId="0" applyNumberFormat="1" applyFont="1" applyBorder="1" applyAlignment="1">
      <alignment horizontal="center" vertical="center" wrapText="1"/>
    </xf>
    <xf numFmtId="180" fontId="3" fillId="2" borderId="1" xfId="0" applyNumberFormat="1" applyFont="1" applyBorder="1" applyAlignment="1">
      <alignment horizontal="center" vertical="center" wrapText="1"/>
    </xf>
    <xf numFmtId="0" fontId="3" fillId="2" borderId="2" xfId="0" applyFont="1" applyBorder="1" applyAlignment="1">
      <alignment horizontal="left" vertical="center" wrapText="1"/>
    </xf>
    <xf numFmtId="179" fontId="3" fillId="2" borderId="1" xfId="0" applyNumberFormat="1" applyFont="1" applyBorder="1" applyAlignment="1">
      <alignment horizontal="center" vertical="center" wrapText="1"/>
    </xf>
    <xf numFmtId="178" fontId="3" fillId="2" borderId="1" xfId="0" applyNumberFormat="1" applyFont="1" applyBorder="1" applyAlignment="1">
      <alignment horizontal="center" vertical="center" wrapText="1"/>
    </xf>
    <xf numFmtId="177" fontId="3" fillId="2" borderId="1" xfId="0" applyNumberFormat="1" applyFont="1" applyBorder="1" applyAlignment="1">
      <alignment horizontal="center" vertical="center" wrapText="1"/>
    </xf>
    <xf numFmtId="0" fontId="2" fillId="2" borderId="0" xfId="0" applyFont="1">
      <alignment/>
    </xf>
    <xf numFmtId="0" fontId="1" fillId="2" borderId="2" xfId="0" applyFont="1" applyBorder="1" applyAlignment="1">
      <alignment vertical="center" wrapText="1"/>
    </xf>
    <xf numFmtId="2" fontId="1" fillId="2" borderId="1" xfId="0" applyNumberFormat="1" applyFont="1" applyBorder="1" applyAlignment="1">
      <alignment horizontal="center" vertical="center" wrapText="1"/>
    </xf>
    <xf numFmtId="0" fontId="1" fillId="2" borderId="2" xfId="0" applyFont="1" applyBorder="1" applyAlignment="1">
      <alignment horizontal="center" vertical="center" wrapText="1"/>
    </xf>
  </cellXfs>
  <cellStyles count="6">
    <cellStyle name="Normal" xfId="0" builtinId="0"/>
    <cellStyle name="Percent" xfId="1" builtinId="5"/>
    <cellStyle name="Currency" xfId="2" builtinId="4"/>
    <cellStyle name="Currency [0]" xfId="3" builtinId="7"/>
    <cellStyle name="Comma" xfId="4" builtinId="3"/>
    <cellStyle name="Comma [0]" xfId="5" builtin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5" Type="http://schemas.openxmlformats.org/officeDocument/2006/relationships/calcChain" Target="calcChain.xml" /><Relationship Id="rId3" Type="http://schemas.openxmlformats.org/officeDocument/2006/relationships/worksheet" Target="worksheets/sheet1.xml" /><Relationship Id="rId2" Type="http://schemas.openxmlformats.org/officeDocument/2006/relationships/styles" Target="styles.xml" /><Relationship Id="rId1" Type="http://schemas.openxmlformats.org/officeDocument/2006/relationships/theme" Target="theme/theme1.xml" /><Relationship Id="rId4" Type="http://schemas.openxmlformats.org/officeDocument/2006/relationships/sharedStrings" Target="sharedStrings.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m="http://schemas.microsoft.com/office/excel/2006/main" xmlns:xr="http://schemas.microsoft.com/office/spreadsheetml/2014/revision" xmlns:xr2="http://schemas.microsoft.com/office/spreadsheetml/2015/revision2" xmlns:xr3="http://schemas.microsoft.com/office/spreadsheetml/2016/revision3" mc:Ignorable="x14ac xr xr2 xr3" xr:uid="{ED0A5B86-41BA-4FD2-BD6C-6B6637D3BAA6}">
  <dimension ref="A1:J31"/>
  <sheetViews>
    <sheetView tabSelected="1" workbookViewId="0" topLeftCell="A1"/>
  </sheetViews>
  <sheetFormatPr defaultRowHeight="12.75"/>
  <sheetData>
    <row r="1" spans="1:1" ht="12.75">
      <c r="A1" s="1" t="s">
        <v>0</v>
      </c>
    </row>
    <row r="2" spans="1:10" ht="12.75">
      <c r="A2" s="2" t="s">
        <v>1</v>
      </c>
      <c r="B2" s="2" t="s">
        <v>2</v>
      </c>
      <c r="C2" s="2" t="s">
        <v>3</v>
      </c>
      <c r="D2" s="2" t="s">
        <v>4</v>
      </c>
      <c r="E2" s="2" t="s">
        <v>5</v>
      </c>
      <c r="F2" s="2" t="s">
        <v>6</v>
      </c>
      <c r="G2" s="3" t="s">
        <v>7</v>
      </c>
      <c r="H2" s="2" t="s">
        <v>8</v>
      </c>
      <c r="I2" s="2" t="s">
        <v>9</v>
      </c>
      <c r="J2" s="4" t="s">
        <v>10</v>
      </c>
    </row>
    <row r="3" spans="1:10" ht="12.75">
      <c r="A3" s="2">
        <v>1</v>
      </c>
      <c r="B3" s="5" t="s">
        <v>11</v>
      </c>
      <c r="C3" s="6"/>
      <c r="D3" s="6"/>
      <c r="E3" s="6"/>
      <c r="F3" s="6"/>
      <c r="G3" s="6"/>
      <c r="H3" s="6"/>
      <c r="I3" s="6"/>
      <c r="J3" s="7"/>
    </row>
    <row r="4" spans="1:10" ht="12.75">
      <c r="A4" s="2"/>
      <c r="B4" s="8" t="s">
        <v>12</v>
      </c>
      <c r="C4" s="2">
        <v>1</v>
      </c>
      <c r="D4" s="2">
        <v>0.75</v>
      </c>
      <c r="E4" s="2">
        <v>0.75</v>
      </c>
      <c r="F4" s="2">
        <v>0.20</v>
      </c>
      <c r="G4" s="9">
        <f>PRODUCT(C4:F4)</f>
        <v>0.1125</v>
      </c>
      <c r="H4" s="2"/>
      <c r="I4" s="2"/>
      <c r="J4" s="4"/>
    </row>
    <row r="5" spans="1:10" ht="12.75">
      <c r="A5" s="2"/>
      <c r="B5" s="8" t="s">
        <v>7</v>
      </c>
      <c r="C5" s="2"/>
      <c r="D5" s="2"/>
      <c r="E5" s="2"/>
      <c r="F5" s="2"/>
      <c r="G5" s="10">
        <f>SUM(G4)</f>
        <v>0.1125</v>
      </c>
      <c r="H5" s="2" t="s">
        <v>13</v>
      </c>
      <c r="I5" s="2">
        <v>249.03</v>
      </c>
      <c r="J5" s="4">
        <f>G5*I5</f>
        <v>28.015875000000001</v>
      </c>
    </row>
    <row r="6" spans="1:10" ht="12.75">
      <c r="A6" s="2">
        <v>2</v>
      </c>
      <c r="B6" s="11" t="s">
        <v>14</v>
      </c>
      <c r="C6" s="6"/>
      <c r="D6" s="6"/>
      <c r="E6" s="6"/>
      <c r="F6" s="6"/>
      <c r="G6" s="6"/>
      <c r="H6" s="6"/>
      <c r="I6" s="6"/>
      <c r="J6" s="7"/>
    </row>
    <row r="7" spans="1:10" ht="12.75">
      <c r="A7" s="2"/>
      <c r="B7" s="8" t="s">
        <v>12</v>
      </c>
      <c r="C7" s="2">
        <v>1</v>
      </c>
      <c r="D7" s="2">
        <v>0.75</v>
      </c>
      <c r="E7" s="2">
        <v>0.75</v>
      </c>
      <c r="F7" s="2">
        <v>0.10</v>
      </c>
      <c r="G7" s="12">
        <f>PRODUCT(C7:F7)</f>
        <v>0.05625</v>
      </c>
      <c r="H7" s="2"/>
      <c r="I7" s="2"/>
      <c r="J7" s="4"/>
    </row>
    <row r="8" spans="1:10" ht="12.75">
      <c r="A8" s="2"/>
      <c r="B8" s="8" t="s">
        <v>15</v>
      </c>
      <c r="C8" s="2">
        <v>3.14</v>
      </c>
      <c r="D8" s="2">
        <v>0.07</v>
      </c>
      <c r="E8" s="2">
        <v>0.07</v>
      </c>
      <c r="F8" s="2">
        <v>0.10</v>
      </c>
      <c r="G8" s="12">
        <f>PRODUCT(C8:F8)</f>
        <v>0.0015386</v>
      </c>
      <c r="H8" s="2"/>
      <c r="I8" s="2"/>
      <c r="J8" s="4"/>
    </row>
    <row r="9" spans="1:10" ht="12.75">
      <c r="A9" s="2"/>
      <c r="B9" s="8" t="s">
        <v>7</v>
      </c>
      <c r="C9" s="2"/>
      <c r="D9" s="2"/>
      <c r="E9" s="2"/>
      <c r="F9" s="2"/>
      <c r="G9" s="12">
        <f>G7-G8</f>
        <v>0.0547114</v>
      </c>
      <c r="H9" s="2" t="s">
        <v>16</v>
      </c>
      <c r="I9" s="2">
        <v>5491.79</v>
      </c>
      <c r="J9" s="4">
        <f>G9*I9</f>
        <v>300.4635194</v>
      </c>
    </row>
    <row r="10" spans="1:10" ht="12.75">
      <c r="A10" s="2">
        <v>3</v>
      </c>
      <c r="B10" s="11" t="s">
        <v>17</v>
      </c>
      <c r="C10" s="6"/>
      <c r="D10" s="6"/>
      <c r="E10" s="6"/>
      <c r="F10" s="6"/>
      <c r="G10" s="6"/>
      <c r="H10" s="6"/>
      <c r="I10" s="6"/>
      <c r="J10" s="7"/>
    </row>
    <row r="11" spans="1:10" ht="12.75">
      <c r="A11" s="2"/>
      <c r="B11" s="8" t="s">
        <v>18</v>
      </c>
      <c r="C11" s="2">
        <v>4</v>
      </c>
      <c r="D11" s="2">
        <v>0.65</v>
      </c>
      <c r="E11" s="2">
        <v>0.10</v>
      </c>
      <c r="F11" s="2">
        <v>0.60</v>
      </c>
      <c r="G11" s="12">
        <f>PRODUCT(C11:F11)</f>
        <v>0.156</v>
      </c>
      <c r="H11" s="2"/>
      <c r="I11" s="2"/>
      <c r="J11" s="4"/>
    </row>
    <row r="12" spans="1:10" ht="12.75">
      <c r="A12" s="2"/>
      <c r="B12" s="8" t="s">
        <v>7</v>
      </c>
      <c r="C12" s="2"/>
      <c r="D12" s="2"/>
      <c r="E12" s="2"/>
      <c r="F12" s="2"/>
      <c r="G12" s="13">
        <f>SUM(G11)</f>
        <v>0.156</v>
      </c>
      <c r="H12" s="2" t="s">
        <v>16</v>
      </c>
      <c r="I12" s="2">
        <v>7195.35</v>
      </c>
      <c r="J12" s="4">
        <f>G12*I12</f>
        <v>1122.4746</v>
      </c>
    </row>
    <row r="13" spans="1:10" ht="12.75">
      <c r="A13" s="2">
        <v>4</v>
      </c>
      <c r="B13" s="11" t="s">
        <v>19</v>
      </c>
      <c r="C13" s="6"/>
      <c r="D13" s="6"/>
      <c r="E13" s="6"/>
      <c r="F13" s="6"/>
      <c r="G13" s="6"/>
      <c r="H13" s="6"/>
      <c r="I13" s="6"/>
      <c r="J13" s="7"/>
    </row>
    <row r="14" spans="1:10" ht="12.75">
      <c r="A14" s="2"/>
      <c r="B14" s="8" t="s">
        <v>20</v>
      </c>
      <c r="C14" s="2">
        <v>1</v>
      </c>
      <c r="D14" s="2">
        <v>0.80</v>
      </c>
      <c r="E14" s="2">
        <v>0.80</v>
      </c>
      <c r="F14" s="2">
        <v>0.10</v>
      </c>
      <c r="G14" s="12">
        <f>PRODUCT(C14:F14)</f>
        <v>0.064000000000000001</v>
      </c>
      <c r="H14" s="2"/>
      <c r="I14" s="2"/>
      <c r="J14" s="4"/>
    </row>
    <row r="15" spans="1:10" ht="12.75">
      <c r="A15" s="2"/>
      <c r="B15" s="8" t="s">
        <v>7</v>
      </c>
      <c r="C15" s="2"/>
      <c r="D15" s="2"/>
      <c r="E15" s="2"/>
      <c r="F15" s="2"/>
      <c r="G15" s="13">
        <f>SUM(G14)</f>
        <v>0.064000000000000001</v>
      </c>
      <c r="H15" s="2" t="s">
        <v>16</v>
      </c>
      <c r="I15" s="2">
        <v>6897.84</v>
      </c>
      <c r="J15" s="4">
        <f>G15*I15</f>
        <v>441.46176000000003</v>
      </c>
    </row>
    <row r="16" spans="1:10" ht="12.75">
      <c r="A16" s="2">
        <v>5</v>
      </c>
      <c r="B16" s="11" t="s">
        <v>21</v>
      </c>
      <c r="C16" s="6"/>
      <c r="D16" s="6"/>
      <c r="E16" s="6"/>
      <c r="F16" s="6"/>
      <c r="G16" s="6"/>
      <c r="H16" s="6"/>
      <c r="I16" s="6"/>
      <c r="J16" s="7"/>
    </row>
    <row r="17" spans="1:10" ht="12.75">
      <c r="A17" s="2"/>
      <c r="B17" s="8" t="s">
        <v>22</v>
      </c>
      <c r="C17" s="2"/>
      <c r="D17" s="2"/>
      <c r="E17" s="2"/>
      <c r="F17" s="2"/>
      <c r="G17" s="12">
        <f>G15</f>
        <v>0.064000000000000001</v>
      </c>
      <c r="H17" s="2" t="s">
        <v>16</v>
      </c>
      <c r="I17" s="2"/>
      <c r="J17" s="4"/>
    </row>
    <row r="18" spans="1:10" ht="12.75">
      <c r="A18" s="2"/>
      <c r="B18" s="8" t="s">
        <v>23</v>
      </c>
      <c r="C18" s="2"/>
      <c r="D18" s="2"/>
      <c r="E18" s="2">
        <v>80</v>
      </c>
      <c r="F18" s="14">
        <f>G17</f>
        <v>0.064000000000000001</v>
      </c>
      <c r="G18" s="12">
        <f>PRODUCT(C18:F18)</f>
        <v>5.12</v>
      </c>
      <c r="H18" s="2" t="s">
        <v>24</v>
      </c>
      <c r="I18" s="2">
        <v>77.22</v>
      </c>
      <c r="J18" s="4">
        <f>G18*I18</f>
        <v>395.3664</v>
      </c>
    </row>
    <row r="19" spans="1:10" ht="12.75">
      <c r="A19" s="2">
        <v>6</v>
      </c>
      <c r="B19" s="11" t="s">
        <v>25</v>
      </c>
      <c r="C19" s="6"/>
      <c r="D19" s="6"/>
      <c r="E19" s="6"/>
      <c r="F19" s="6"/>
      <c r="G19" s="6"/>
      <c r="H19" s="6"/>
      <c r="I19" s="6"/>
      <c r="J19" s="7"/>
    </row>
    <row r="20" spans="1:10" ht="12.75">
      <c r="A20" s="2"/>
      <c r="B20" s="8" t="s">
        <v>20</v>
      </c>
      <c r="C20" s="2">
        <v>4</v>
      </c>
      <c r="D20" s="2">
        <f>D14</f>
        <v>0.80</v>
      </c>
      <c r="E20" s="2"/>
      <c r="F20" s="2">
        <f>F14</f>
        <v>0.10</v>
      </c>
      <c r="G20" s="12">
        <f>PRODUCT(C20:F20)</f>
        <v>0.32</v>
      </c>
      <c r="H20" s="2" t="s">
        <v>26</v>
      </c>
      <c r="I20" s="2"/>
      <c r="J20" s="4"/>
    </row>
    <row r="21" spans="1:10" ht="12.75">
      <c r="A21" s="2"/>
      <c r="B21" s="8" t="s">
        <v>7</v>
      </c>
      <c r="C21" s="2"/>
      <c r="D21" s="2"/>
      <c r="E21" s="2"/>
      <c r="F21" s="2"/>
      <c r="G21" s="12">
        <f>SUM(G20)</f>
        <v>0.32</v>
      </c>
      <c r="H21" s="2" t="s">
        <v>26</v>
      </c>
      <c r="I21" s="2">
        <v>665.45</v>
      </c>
      <c r="J21" s="4">
        <f>G21*I21</f>
        <v>212.94399999999999</v>
      </c>
    </row>
    <row r="22" spans="1:10" ht="12.75">
      <c r="A22" s="2">
        <v>7</v>
      </c>
      <c r="B22" s="11" t="s">
        <v>27</v>
      </c>
      <c r="C22" s="6"/>
      <c r="D22" s="6"/>
      <c r="E22" s="6"/>
      <c r="F22" s="6"/>
      <c r="G22" s="6"/>
      <c r="H22" s="6"/>
      <c r="I22" s="6"/>
      <c r="J22" s="7"/>
    </row>
    <row r="23" spans="1:10" ht="12.75">
      <c r="A23" s="2"/>
      <c r="B23" s="8" t="s">
        <v>28</v>
      </c>
      <c r="C23" s="2">
        <v>4</v>
      </c>
      <c r="D23" s="2">
        <v>0.75</v>
      </c>
      <c r="E23" s="2"/>
      <c r="F23" s="2">
        <v>0.50</v>
      </c>
      <c r="G23" s="12">
        <f>PRODUCT(C23:F23)</f>
        <v>1.50</v>
      </c>
      <c r="H23" s="2"/>
      <c r="I23" s="2"/>
      <c r="J23" s="4"/>
    </row>
    <row r="24" spans="1:10" ht="12.75">
      <c r="A24" s="2"/>
      <c r="B24" s="8" t="s">
        <v>29</v>
      </c>
      <c r="C24" s="2">
        <v>4</v>
      </c>
      <c r="D24" s="2">
        <f>D23-2*E11</f>
        <v>0.55</v>
      </c>
      <c r="E24" s="2"/>
      <c r="F24" s="2">
        <v>0.60</v>
      </c>
      <c r="G24" s="12">
        <f>PRODUCT(C24:F24)</f>
        <v>1.32</v>
      </c>
      <c r="H24" s="2"/>
      <c r="I24" s="2"/>
      <c r="J24" s="4"/>
    </row>
    <row r="25" spans="1:10" ht="12.75">
      <c r="A25" s="2"/>
      <c r="B25" s="8" t="s">
        <v>30</v>
      </c>
      <c r="C25" s="2">
        <v>4</v>
      </c>
      <c r="D25" s="2">
        <v>0.65</v>
      </c>
      <c r="E25" s="2">
        <f>E11</f>
        <v>0.10</v>
      </c>
      <c r="F25" s="15"/>
      <c r="G25" s="12">
        <f>PRODUCT(C25:E25)</f>
        <v>0.26</v>
      </c>
      <c r="H25" s="2"/>
      <c r="I25" s="2"/>
      <c r="J25" s="4"/>
    </row>
    <row r="26" spans="1:10" ht="12.75">
      <c r="A26" s="2"/>
      <c r="B26" s="8" t="s">
        <v>31</v>
      </c>
      <c r="C26" s="2">
        <v>2</v>
      </c>
      <c r="D26" s="2">
        <f>D14</f>
        <v>0.80</v>
      </c>
      <c r="E26" s="2">
        <f>E14</f>
        <v>0.80</v>
      </c>
      <c r="F26" s="2"/>
      <c r="G26" s="12">
        <f>PRODUCT(C26:F26)</f>
        <v>1.28</v>
      </c>
      <c r="H26" s="2"/>
      <c r="I26" s="2"/>
      <c r="J26" s="4"/>
    </row>
    <row r="27" spans="1:10" ht="12.75">
      <c r="A27" s="2"/>
      <c r="B27" s="8" t="s">
        <v>32</v>
      </c>
      <c r="C27" s="2">
        <v>4</v>
      </c>
      <c r="D27" s="2">
        <f>D26</f>
        <v>0.80</v>
      </c>
      <c r="E27" s="2"/>
      <c r="F27" s="2">
        <f>F14</f>
        <v>0.10</v>
      </c>
      <c r="G27" s="12">
        <f>PRODUCT(C27:F27)</f>
        <v>0.32</v>
      </c>
      <c r="H27" s="2"/>
      <c r="I27" s="2"/>
      <c r="J27" s="4"/>
    </row>
    <row r="28" spans="1:10" ht="12.75">
      <c r="A28" s="2"/>
      <c r="B28" s="8" t="s">
        <v>7</v>
      </c>
      <c r="C28" s="2"/>
      <c r="D28" s="2"/>
      <c r="E28" s="2"/>
      <c r="F28" s="2"/>
      <c r="G28" s="12">
        <f>SUM(G23:G27)</f>
        <v>4.68</v>
      </c>
      <c r="H28" s="2" t="s">
        <v>26</v>
      </c>
      <c r="I28" s="2">
        <v>255.98</v>
      </c>
      <c r="J28" s="4">
        <f>G28*I28</f>
        <v>1197.9864</v>
      </c>
    </row>
    <row r="29" spans="1:10" ht="12.75">
      <c r="A29" s="2">
        <v>8</v>
      </c>
      <c r="B29" s="5" t="s">
        <v>33</v>
      </c>
      <c r="C29" s="6"/>
      <c r="D29" s="6"/>
      <c r="E29" s="6"/>
      <c r="F29" s="6"/>
      <c r="G29" s="6"/>
      <c r="H29" s="6"/>
      <c r="I29" s="7"/>
      <c r="J29" s="4">
        <v>101.29</v>
      </c>
    </row>
    <row r="30" spans="1:10" ht="12.75">
      <c r="A30" s="2"/>
      <c r="B30" s="16" t="s">
        <v>34</v>
      </c>
      <c r="C30" s="6"/>
      <c r="D30" s="6"/>
      <c r="E30" s="6"/>
      <c r="F30" s="6"/>
      <c r="G30" s="6"/>
      <c r="H30" s="6"/>
      <c r="I30" s="7"/>
      <c r="J30" s="17">
        <f>J5+J9+J12+J15+J18+J21+J28+J29</f>
        <v>3800.0025540000001</v>
      </c>
    </row>
    <row r="31" spans="1:10" ht="12.75">
      <c r="A31" s="2"/>
      <c r="B31" s="18" t="s">
        <v>35</v>
      </c>
      <c r="C31" s="6"/>
      <c r="D31" s="6"/>
      <c r="E31" s="6"/>
      <c r="F31" s="6"/>
      <c r="G31" s="6"/>
      <c r="H31" s="6"/>
      <c r="I31" s="6"/>
      <c r="J31" s="7"/>
    </row>
  </sheetData>
  <mergeCells count="11">
    <mergeCell ref="B22:J22"/>
    <mergeCell ref="B29:I29"/>
    <mergeCell ref="B30:I30"/>
    <mergeCell ref="B31:J31"/>
    <mergeCell ref="A1:J1"/>
    <mergeCell ref="B3:J3"/>
    <mergeCell ref="B6:J6"/>
    <mergeCell ref="B10:J10"/>
    <mergeCell ref="B13:J13"/>
    <mergeCell ref="B16:J16"/>
    <mergeCell ref="B19:J19"/>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AppVersion>14.0300</AppVersion>
  <DocSecurity>0</DocSecurity>
  <HeadingPairs>
    <vt:vector size="2" baseType="variant">
      <vt:variant>
        <vt:lpstr>Worksheets</vt:lpstr>
      </vt:variant>
      <vt:variant>
        <vt:i4>1</vt:i4>
      </vt:variant>
    </vt:vector>
  </HeadingPairs>
  <TitlesOfParts>
    <vt:vector size="1" baseType="lpstr">
      <vt:lpstr>Sheet1</vt:lpstr>
    </vt:vector>
  </TitlesOfParts>
  <Template/>
  <Manager/>
  <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category/>
</cp:coreProperties>
</file>