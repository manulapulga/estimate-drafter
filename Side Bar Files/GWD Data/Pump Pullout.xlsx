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F5" i="1" l="1"/>
</calcChain>
</file>

<file path=xl/sharedStrings.xml><?xml version="1.0" encoding="utf-8"?>
<sst xmlns="http://schemas.openxmlformats.org/spreadsheetml/2006/main" count="113" uniqueCount="28">
  <si>
    <t>Pump Pullout</t>
  </si>
  <si>
    <t>0</t>
  </si>
  <si>
    <t>Borewell submersible pump pullout charges upto 3 HP</t>
  </si>
  <si>
    <t>Code</t>
  </si>
  <si>
    <t>Description</t>
  </si>
  <si>
    <t>Unit</t>
  </si>
  <si>
    <t>Quantity</t>
  </si>
  <si>
    <t>Rate</t>
  </si>
  <si>
    <t>Amount</t>
  </si>
  <si>
    <t>MATERIALS:</t>
  </si>
  <si>
    <t xml:space="preserve">40mm Cast Iron Clamp </t>
  </si>
  <si>
    <t>set</t>
  </si>
  <si>
    <t>Add Water Charges @ 1%</t>
  </si>
  <si>
    <t>TOTAL</t>
  </si>
  <si>
    <t>Add CPOH @ 15%</t>
  </si>
  <si>
    <t>0015</t>
  </si>
  <si>
    <t>Tools hire charge (DSR 0015)</t>
  </si>
  <si>
    <t>day</t>
  </si>
  <si>
    <t>0116</t>
  </si>
  <si>
    <t>Fitter, Plumber, Electrician</t>
  </si>
  <si>
    <t>Day</t>
  </si>
  <si>
    <t>0114</t>
  </si>
  <si>
    <t>Beldar</t>
  </si>
  <si>
    <t>TOTAL  </t>
  </si>
  <si>
    <t>Borewell submersible pump pullout charges above 3 H.P. To 7.5 H.P.</t>
  </si>
  <si>
    <t xml:space="preserve">40mm Cast iron Clamp </t>
  </si>
  <si>
    <t>Borewell submersible pump pullout charges above 7.5 H.P.</t>
  </si>
  <si>
    <t>Compressor pump detaching charge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</si>
</sst>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2"/>
      <color theme="1"/>
      <name val="Cambria"/>
      <family val="2"/>
    </font>
    <font>
      <b/>
      <sz val="12"/>
      <color theme="1"/>
      <name val="Cambria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2E9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EAD1DC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</border>
    <border>
      <left style="thin">
        <color rgb="FF3D3D3D"/>
      </left>
      <right/>
      <top style="thin">
        <color rgb="FF3D3D3D"/>
      </top>
      <bottom style="thin">
        <color rgb="FF3D3D3D"/>
      </bottom>
    </border>
    <border>
      <left/>
      <right/>
      <top style="thin">
        <color rgb="FF3D3D3D"/>
      </top>
      <bottom style="thin">
        <color rgb="FF3D3D3D"/>
      </bottom>
    </border>
    <border>
      <left/>
      <right style="thin">
        <color rgb="FF3D3D3D"/>
      </right>
      <top style="thin">
        <color rgb="FF3D3D3D"/>
      </top>
      <bottom style="thin">
        <color rgb="FF3D3D3D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>
      <alignment/>
    </xf>
    <xf numFmtId="0" fontId="3" fillId="0" borderId="3" xfId="0" applyFont="1" applyBorder="1">
      <alignment/>
    </xf>
    <xf numFmtId="49" fontId="2" fillId="3" borderId="4" xfId="0" applyNumberFormat="1" applyFont="1" applyFill="1" applyBorder="1" applyAlignment="1">
      <alignment horizontal="center" vertical="center" wrapText="1"/>
    </xf>
    <xf numFmtId="0" fontId="1" fillId="3" borderId="5" xfId="0" applyFont="1" applyBorder="1" applyAlignment="1">
      <alignment horizontal="left" vertical="center" wrapText="1"/>
    </xf>
    <xf numFmtId="0" fontId="3" fillId="0" borderId="6" xfId="0" applyFont="1" applyBorder="1">
      <alignment/>
    </xf>
    <xf numFmtId="0" fontId="3" fillId="0" borderId="7" xfId="0" applyFont="1" applyBorder="1">
      <alignment/>
    </xf>
    <xf numFmtId="0" fontId="2" fillId="3" borderId="4" xfId="0" applyFont="1" applyBorder="1" applyAlignment="1">
      <alignment horizontal="center" vertical="center" wrapText="1"/>
    </xf>
    <xf numFmtId="2" fontId="2" fillId="3" borderId="4" xfId="0" applyNumberFormat="1" applyFont="1" applyBorder="1" applyAlignment="1">
      <alignment horizontal="center" vertical="center" wrapText="1"/>
    </xf>
    <xf numFmtId="49" fontId="1" fillId="3" borderId="4" xfId="0" applyNumberFormat="1" applyFont="1" applyBorder="1" applyAlignment="1">
      <alignment vertical="center" wrapText="1"/>
    </xf>
    <xf numFmtId="0" fontId="1" fillId="3" borderId="4" xfId="0" applyFont="1" applyBorder="1" applyAlignment="1">
      <alignment vertical="center" wrapText="1"/>
    </xf>
    <xf numFmtId="2" fontId="1" fillId="3" borderId="4" xfId="0" applyNumberFormat="1" applyFont="1" applyBorder="1" applyAlignment="1">
      <alignment vertical="center" wrapText="1"/>
    </xf>
    <xf numFmtId="49" fontId="1" fillId="3" borderId="4" xfId="0" applyNumberFormat="1" applyFont="1" applyBorder="1" applyAlignment="1">
      <alignment horizontal="center" vertical="center" wrapText="1"/>
    </xf>
    <xf numFmtId="0" fontId="1" fillId="3" borderId="4" xfId="0" applyFont="1" applyBorder="1" applyAlignment="1">
      <alignment horizontal="center" vertical="center" wrapText="1"/>
    </xf>
    <xf numFmtId="2" fontId="1" fillId="3" borderId="4" xfId="0" applyNumberFormat="1" applyFont="1" applyBorder="1" applyAlignment="1">
      <alignment horizontal="right" vertical="center" wrapText="1"/>
    </xf>
    <xf numFmtId="0" fontId="1" fillId="3" borderId="5" xfId="0" applyFont="1" applyBorder="1" applyAlignment="1">
      <alignment horizontal="right" vertical="center" wrapText="1"/>
    </xf>
    <xf numFmtId="49" fontId="1" fillId="3" borderId="4" xfId="0" applyNumberFormat="1" applyFont="1" applyBorder="1" applyAlignment="1">
      <alignment vertical="center"/>
    </xf>
    <xf numFmtId="49" fontId="2" fillId="3" borderId="5" xfId="0" applyNumberFormat="1" applyFont="1" applyBorder="1" applyAlignment="1">
      <alignment horizontal="center" vertical="center" wrapText="1"/>
    </xf>
    <xf numFmtId="49" fontId="2" fillId="4" borderId="4" xfId="0" applyNumberFormat="1" applyFont="1" applyBorder="1" applyAlignment="1">
      <alignment horizontal="center" vertical="center" wrapText="1"/>
    </xf>
    <xf numFmtId="0" fontId="1" fillId="4" borderId="5" xfId="0" applyFont="1" applyBorder="1" applyAlignment="1">
      <alignment vertical="center" wrapText="1"/>
    </xf>
    <xf numFmtId="0" fontId="2" fillId="4" borderId="4" xfId="0" applyFont="1" applyBorder="1" applyAlignment="1">
      <alignment horizontal="center" vertical="center" wrapText="1"/>
    </xf>
    <xf numFmtId="2" fontId="2" fillId="4" borderId="4" xfId="0" applyNumberFormat="1" applyFont="1" applyBorder="1" applyAlignment="1">
      <alignment horizontal="center" vertical="center" wrapText="1"/>
    </xf>
    <xf numFmtId="49" fontId="1" fillId="4" borderId="4" xfId="0" applyNumberFormat="1" applyFont="1" applyBorder="1" applyAlignment="1">
      <alignment vertical="center" wrapText="1"/>
    </xf>
    <xf numFmtId="0" fontId="1" fillId="4" borderId="4" xfId="0" applyFont="1" applyBorder="1" applyAlignment="1">
      <alignment vertical="center" wrapText="1"/>
    </xf>
    <xf numFmtId="2" fontId="1" fillId="4" borderId="4" xfId="0" applyNumberFormat="1" applyFont="1" applyBorder="1" applyAlignment="1">
      <alignment vertical="center" wrapText="1"/>
    </xf>
    <xf numFmtId="49" fontId="1" fillId="4" borderId="4" xfId="0" applyNumberFormat="1" applyFont="1" applyBorder="1" applyAlignment="1">
      <alignment horizontal="center" vertical="center" wrapText="1"/>
    </xf>
    <xf numFmtId="0" fontId="1" fillId="4" borderId="4" xfId="0" applyFont="1" applyBorder="1" applyAlignment="1">
      <alignment horizontal="center" vertical="center" wrapText="1"/>
    </xf>
    <xf numFmtId="2" fontId="1" fillId="4" borderId="4" xfId="0" applyNumberFormat="1" applyFont="1" applyBorder="1" applyAlignment="1">
      <alignment horizontal="right" vertical="center" wrapText="1"/>
    </xf>
    <xf numFmtId="0" fontId="1" fillId="4" borderId="5" xfId="0" applyFont="1" applyBorder="1" applyAlignment="1">
      <alignment horizontal="right" vertical="center" wrapText="1"/>
    </xf>
    <xf numFmtId="49" fontId="1" fillId="4" borderId="4" xfId="0" applyNumberFormat="1" applyFont="1" applyBorder="1" applyAlignment="1">
      <alignment vertical="center"/>
    </xf>
    <xf numFmtId="0" fontId="1" fillId="3" borderId="5" xfId="0" applyFont="1" applyBorder="1" applyAlignment="1">
      <alignment vertical="center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92A24CC-D50D-4E96-9581-7C79D495BAA6}">
  <dimension ref="A1:F63"/>
  <sheetViews>
    <sheetView tabSelected="1" workbookViewId="0" topLeftCell="A1"/>
  </sheetViews>
  <sheetFormatPr defaultRowHeight="12.75"/>
  <sheetData>
    <row r="1" spans="1:6" ht="12.75">
      <c r="A1" s="1" t="s">
        <v>0</v>
      </c>
      <c r="B1" s="2"/>
      <c r="C1" s="2"/>
      <c r="D1" s="2"/>
      <c r="E1" s="2"/>
      <c r="F1" s="3"/>
    </row>
    <row r="2" spans="1:6" ht="12.75">
      <c r="A2" s="4" t="s">
        <v>1</v>
      </c>
      <c r="B2" s="5" t="s">
        <v>2</v>
      </c>
      <c r="C2" s="6"/>
      <c r="D2" s="6"/>
      <c r="E2" s="6"/>
      <c r="F2" s="7"/>
    </row>
    <row r="3" spans="1:6" ht="12.75">
      <c r="A3" s="4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9" t="s">
        <v>8</v>
      </c>
    </row>
    <row r="4" spans="1:6" ht="12.75">
      <c r="A4" s="10"/>
      <c r="B4" s="11" t="s">
        <v>9</v>
      </c>
      <c r="C4" s="11"/>
      <c r="D4" s="11"/>
      <c r="E4" s="11"/>
      <c r="F4" s="12"/>
    </row>
    <row r="5" spans="1:6" ht="12.75">
      <c r="A5" s="13" t="s">
        <v>1</v>
      </c>
      <c r="B5" s="11" t="s">
        <v>10</v>
      </c>
      <c r="C5" s="14" t="s">
        <v>11</v>
      </c>
      <c r="D5" s="14">
        <v>0</v>
      </c>
      <c r="E5" s="14">
        <v>935</v>
      </c>
      <c r="F5" s="15">
        <f>D5*E5</f>
        <v>0</v>
      </c>
    </row>
    <row r="6" spans="1:6" ht="12.75">
      <c r="A6" s="13"/>
      <c r="B6" s="16" t="s">
        <v>12</v>
      </c>
      <c r="C6" s="6"/>
      <c r="D6" s="6"/>
      <c r="E6" s="7"/>
      <c r="F6" s="15">
        <f>F5*0.01</f>
        <v>0</v>
      </c>
    </row>
    <row r="7" spans="1:6" ht="12.75">
      <c r="A7" s="13"/>
      <c r="B7" s="16" t="s">
        <v>13</v>
      </c>
      <c r="C7" s="6"/>
      <c r="D7" s="6"/>
      <c r="E7" s="7"/>
      <c r="F7" s="15">
        <f>SUM(F5:F6)</f>
        <v>0</v>
      </c>
    </row>
    <row r="8" spans="1:6" ht="12.75">
      <c r="A8" s="13"/>
      <c r="B8" s="16" t="s">
        <v>14</v>
      </c>
      <c r="C8" s="6"/>
      <c r="D8" s="6"/>
      <c r="E8" s="7"/>
      <c r="F8" s="15">
        <f>F7*0.15</f>
        <v>0</v>
      </c>
    </row>
    <row r="9" spans="1:6" ht="12.75">
      <c r="A9" s="13"/>
      <c r="B9" s="16" t="s">
        <v>13</v>
      </c>
      <c r="C9" s="6"/>
      <c r="D9" s="6"/>
      <c r="E9" s="7"/>
      <c r="F9" s="15">
        <f>SUM(F7:F8)</f>
        <v>0</v>
      </c>
    </row>
    <row r="10" spans="1:6" ht="12.75">
      <c r="A10" s="13" t="s">
        <v>15</v>
      </c>
      <c r="B10" s="11" t="s">
        <v>16</v>
      </c>
      <c r="C10" s="14" t="s">
        <v>17</v>
      </c>
      <c r="D10" s="14">
        <v>0.50</v>
      </c>
      <c r="E10" s="14">
        <v>3000</v>
      </c>
      <c r="F10" s="15">
        <f>D10*E10</f>
        <v>1500</v>
      </c>
    </row>
    <row r="11" spans="1:6" ht="12.75">
      <c r="A11" s="13" t="s">
        <v>18</v>
      </c>
      <c r="B11" s="11" t="s">
        <v>19</v>
      </c>
      <c r="C11" s="14" t="s">
        <v>20</v>
      </c>
      <c r="D11" s="14">
        <v>1</v>
      </c>
      <c r="E11" s="14">
        <v>784</v>
      </c>
      <c r="F11" s="15">
        <f>D11*E11</f>
        <v>784</v>
      </c>
    </row>
    <row r="12" spans="1:6" ht="12.75">
      <c r="A12" s="13" t="s">
        <v>21</v>
      </c>
      <c r="B12" s="11" t="s">
        <v>22</v>
      </c>
      <c r="C12" s="14" t="s">
        <v>20</v>
      </c>
      <c r="D12" s="14">
        <v>1</v>
      </c>
      <c r="E12" s="14">
        <v>645</v>
      </c>
      <c r="F12" s="15">
        <f>D12*E12</f>
        <v>645</v>
      </c>
    </row>
    <row r="13" spans="1:6" ht="12.75">
      <c r="A13" s="17"/>
      <c r="B13" s="16" t="s">
        <v>23</v>
      </c>
      <c r="C13" s="6"/>
      <c r="D13" s="6"/>
      <c r="E13" s="7"/>
      <c r="F13" s="15">
        <f>SUM(F10:F12)</f>
        <v>2929</v>
      </c>
    </row>
    <row r="14" spans="1:6" ht="12.75">
      <c r="A14" s="17"/>
      <c r="B14" s="16" t="s">
        <v>12</v>
      </c>
      <c r="C14" s="6"/>
      <c r="D14" s="6"/>
      <c r="E14" s="7"/>
      <c r="F14" s="15">
        <f>F13*0.01</f>
        <v>29.29</v>
      </c>
    </row>
    <row r="15" spans="1:6" ht="12.75">
      <c r="A15" s="17"/>
      <c r="B15" s="16" t="s">
        <v>13</v>
      </c>
      <c r="C15" s="6"/>
      <c r="D15" s="6"/>
      <c r="E15" s="7"/>
      <c r="F15" s="15">
        <f>SUM(F13:F14)</f>
        <v>2958.29</v>
      </c>
    </row>
    <row r="16" spans="1:6" ht="12.75">
      <c r="A16" s="17"/>
      <c r="B16" s="16" t="s">
        <v>14</v>
      </c>
      <c r="C16" s="6"/>
      <c r="D16" s="6"/>
      <c r="E16" s="7"/>
      <c r="F16" s="15">
        <f>F15*0.15</f>
        <v>443.74349999999998</v>
      </c>
    </row>
    <row r="17" spans="1:6" ht="12.75">
      <c r="A17" s="17"/>
      <c r="B17" s="16" t="s">
        <v>13</v>
      </c>
      <c r="C17" s="6"/>
      <c r="D17" s="6"/>
      <c r="E17" s="7"/>
      <c r="F17" s="15">
        <f>MROUND(SUM(F15:F16),1)</f>
        <v>3402</v>
      </c>
    </row>
    <row r="18" spans="1:6" ht="12.75">
      <c r="A18" s="18" t="str">
        <f>CONCATENATE("Say Rs (",F17," x Cost Index)")</f>
        <v>Say Rs (3402 x Cost Index)</v>
      </c>
      <c r="B18" s="6"/>
      <c r="C18" s="6"/>
      <c r="D18" s="6"/>
      <c r="E18" s="6"/>
      <c r="F18" s="7"/>
    </row>
    <row r="19" spans="1:6" ht="12.75">
      <c r="A19" s="19" t="s">
        <v>1</v>
      </c>
      <c r="B19" s="20" t="s">
        <v>24</v>
      </c>
      <c r="C19" s="6"/>
      <c r="D19" s="6"/>
      <c r="E19" s="6"/>
      <c r="F19" s="7"/>
    </row>
    <row r="20" spans="1:6" ht="12.75">
      <c r="A20" s="19" t="s">
        <v>3</v>
      </c>
      <c r="B20" s="21" t="s">
        <v>4</v>
      </c>
      <c r="C20" s="21" t="s">
        <v>5</v>
      </c>
      <c r="D20" s="21" t="s">
        <v>6</v>
      </c>
      <c r="E20" s="21" t="s">
        <v>7</v>
      </c>
      <c r="F20" s="22" t="s">
        <v>8</v>
      </c>
    </row>
    <row r="21" spans="1:6" ht="12.75">
      <c r="A21" s="23"/>
      <c r="B21" s="24" t="s">
        <v>9</v>
      </c>
      <c r="C21" s="24"/>
      <c r="D21" s="24"/>
      <c r="E21" s="24"/>
      <c r="F21" s="25"/>
    </row>
    <row r="22" spans="1:6" ht="12.75">
      <c r="A22" s="26" t="s">
        <v>1</v>
      </c>
      <c r="B22" s="24" t="s">
        <v>25</v>
      </c>
      <c r="C22" s="27" t="s">
        <v>11</v>
      </c>
      <c r="D22" s="27">
        <v>0</v>
      </c>
      <c r="E22" s="27">
        <v>935</v>
      </c>
      <c r="F22" s="28">
        <f>D22*E22</f>
        <v>0</v>
      </c>
    </row>
    <row r="23" spans="1:6" ht="12.75">
      <c r="A23" s="26"/>
      <c r="B23" s="29" t="s">
        <v>12</v>
      </c>
      <c r="C23" s="6"/>
      <c r="D23" s="6"/>
      <c r="E23" s="7"/>
      <c r="F23" s="28">
        <f>F22*0.01</f>
        <v>0</v>
      </c>
    </row>
    <row r="24" spans="1:6" ht="12.75">
      <c r="A24" s="26"/>
      <c r="B24" s="29" t="s">
        <v>13</v>
      </c>
      <c r="C24" s="6"/>
      <c r="D24" s="6"/>
      <c r="E24" s="7"/>
      <c r="F24" s="28">
        <f>SUM(F22:F23)</f>
        <v>0</v>
      </c>
    </row>
    <row r="25" spans="1:6" ht="12.75">
      <c r="A25" s="26"/>
      <c r="B25" s="29" t="s">
        <v>14</v>
      </c>
      <c r="C25" s="6"/>
      <c r="D25" s="6"/>
      <c r="E25" s="7"/>
      <c r="F25" s="28">
        <f>F24*0.15</f>
        <v>0</v>
      </c>
    </row>
    <row r="26" spans="1:6" ht="12.75">
      <c r="A26" s="26"/>
      <c r="B26" s="29" t="s">
        <v>13</v>
      </c>
      <c r="C26" s="6"/>
      <c r="D26" s="6"/>
      <c r="E26" s="7"/>
      <c r="F26" s="28">
        <f>SUM(F24:F25)</f>
        <v>0</v>
      </c>
    </row>
    <row r="27" spans="1:6" ht="12.75">
      <c r="A27" s="26" t="s">
        <v>15</v>
      </c>
      <c r="B27" s="24" t="s">
        <v>16</v>
      </c>
      <c r="C27" s="27" t="s">
        <v>17</v>
      </c>
      <c r="D27" s="27">
        <v>0.75</v>
      </c>
      <c r="E27" s="27">
        <v>3000</v>
      </c>
      <c r="F27" s="28">
        <f>D27*E27</f>
        <v>2250</v>
      </c>
    </row>
    <row r="28" spans="1:6" ht="12.75">
      <c r="A28" s="26" t="s">
        <v>18</v>
      </c>
      <c r="B28" s="24" t="s">
        <v>19</v>
      </c>
      <c r="C28" s="27" t="s">
        <v>20</v>
      </c>
      <c r="D28" s="27">
        <v>1</v>
      </c>
      <c r="E28" s="27">
        <v>784</v>
      </c>
      <c r="F28" s="28">
        <f>D28*E28</f>
        <v>784</v>
      </c>
    </row>
    <row r="29" spans="1:6" ht="12.75">
      <c r="A29" s="26" t="s">
        <v>21</v>
      </c>
      <c r="B29" s="24" t="s">
        <v>22</v>
      </c>
      <c r="C29" s="27" t="s">
        <v>20</v>
      </c>
      <c r="D29" s="27">
        <v>1</v>
      </c>
      <c r="E29" s="27">
        <v>645</v>
      </c>
      <c r="F29" s="28">
        <f>D29*E29</f>
        <v>645</v>
      </c>
    </row>
    <row r="30" spans="1:6" ht="12.75">
      <c r="A30" s="30"/>
      <c r="B30" s="29" t="s">
        <v>23</v>
      </c>
      <c r="C30" s="6"/>
      <c r="D30" s="6"/>
      <c r="E30" s="7"/>
      <c r="F30" s="28">
        <f>SUM(F27:F29)</f>
        <v>3679</v>
      </c>
    </row>
    <row r="31" spans="1:6" ht="12.75">
      <c r="A31" s="30"/>
      <c r="B31" s="29" t="s">
        <v>12</v>
      </c>
      <c r="C31" s="6"/>
      <c r="D31" s="6"/>
      <c r="E31" s="7"/>
      <c r="F31" s="28">
        <f>F30*0.01</f>
        <v>36.79</v>
      </c>
    </row>
    <row r="32" spans="1:6" ht="12.75">
      <c r="A32" s="30"/>
      <c r="B32" s="29" t="s">
        <v>13</v>
      </c>
      <c r="C32" s="6"/>
      <c r="D32" s="6"/>
      <c r="E32" s="7"/>
      <c r="F32" s="28">
        <f>SUM(F30:F31)</f>
        <v>3715.79</v>
      </c>
    </row>
    <row r="33" spans="1:6" ht="12.75">
      <c r="A33" s="30"/>
      <c r="B33" s="29" t="s">
        <v>14</v>
      </c>
      <c r="C33" s="6"/>
      <c r="D33" s="6"/>
      <c r="E33" s="7"/>
      <c r="F33" s="28">
        <f>F32*0.15</f>
        <v>557.36850000000004</v>
      </c>
    </row>
    <row r="34" spans="1:6" ht="12.75">
      <c r="A34" s="30"/>
      <c r="B34" s="29" t="s">
        <v>13</v>
      </c>
      <c r="C34" s="6"/>
      <c r="D34" s="6"/>
      <c r="E34" s="7"/>
      <c r="F34" s="28">
        <f>MROUND(SUM(F32:F33),1)</f>
        <v>4273</v>
      </c>
    </row>
    <row r="35" spans="1:6" ht="12.75">
      <c r="A35" s="18" t="str">
        <f>CONCATENATE("Say Rs (",F34," x Cost Index)")</f>
        <v>Say Rs (4273 x Cost Index)</v>
      </c>
      <c r="B35" s="6"/>
      <c r="C35" s="6"/>
      <c r="D35" s="6"/>
      <c r="E35" s="6"/>
      <c r="F35" s="7"/>
    </row>
    <row r="36" spans="1:6" ht="12.75">
      <c r="A36" s="4" t="s">
        <v>1</v>
      </c>
      <c r="B36" s="31" t="s">
        <v>26</v>
      </c>
      <c r="C36" s="6"/>
      <c r="D36" s="6"/>
      <c r="E36" s="6"/>
      <c r="F36" s="7"/>
    </row>
    <row r="37" spans="1:6" ht="12.75">
      <c r="A37" s="4" t="s">
        <v>3</v>
      </c>
      <c r="B37" s="8" t="s">
        <v>4</v>
      </c>
      <c r="C37" s="8" t="s">
        <v>5</v>
      </c>
      <c r="D37" s="8" t="s">
        <v>6</v>
      </c>
      <c r="E37" s="8" t="s">
        <v>7</v>
      </c>
      <c r="F37" s="9" t="s">
        <v>8</v>
      </c>
    </row>
    <row r="38" spans="1:6" ht="12.75">
      <c r="A38" s="10"/>
      <c r="B38" s="11" t="s">
        <v>9</v>
      </c>
      <c r="C38" s="11"/>
      <c r="D38" s="11"/>
      <c r="E38" s="11"/>
      <c r="F38" s="12"/>
    </row>
    <row r="39" spans="1:6" ht="12.75">
      <c r="A39" s="13" t="s">
        <v>1</v>
      </c>
      <c r="B39" s="11" t="s">
        <v>25</v>
      </c>
      <c r="C39" s="14" t="s">
        <v>11</v>
      </c>
      <c r="D39" s="14">
        <v>0</v>
      </c>
      <c r="E39" s="14">
        <v>935</v>
      </c>
      <c r="F39" s="15">
        <f>D39*E39</f>
        <v>0</v>
      </c>
    </row>
    <row r="40" spans="1:6" ht="12.75">
      <c r="A40" s="13"/>
      <c r="B40" s="16" t="s">
        <v>12</v>
      </c>
      <c r="C40" s="6"/>
      <c r="D40" s="6"/>
      <c r="E40" s="7"/>
      <c r="F40" s="15">
        <f>F39*0.01</f>
        <v>0</v>
      </c>
    </row>
    <row r="41" spans="1:6" ht="12.75">
      <c r="A41" s="13"/>
      <c r="B41" s="16" t="s">
        <v>13</v>
      </c>
      <c r="C41" s="6"/>
      <c r="D41" s="6"/>
      <c r="E41" s="7"/>
      <c r="F41" s="15">
        <f>SUM(F39:F40)</f>
        <v>0</v>
      </c>
    </row>
    <row r="42" spans="1:6" ht="12.75">
      <c r="A42" s="13"/>
      <c r="B42" s="16" t="s">
        <v>14</v>
      </c>
      <c r="C42" s="6"/>
      <c r="D42" s="6"/>
      <c r="E42" s="7"/>
      <c r="F42" s="15">
        <f>F41*0.15</f>
        <v>0</v>
      </c>
    </row>
    <row r="43" spans="1:6" ht="12.75">
      <c r="A43" s="13"/>
      <c r="B43" s="16" t="s">
        <v>13</v>
      </c>
      <c r="C43" s="6"/>
      <c r="D43" s="6"/>
      <c r="E43" s="7"/>
      <c r="F43" s="15">
        <f>SUM(F41:F42)</f>
        <v>0</v>
      </c>
    </row>
    <row r="44" spans="1:6" ht="12.75">
      <c r="A44" s="13" t="s">
        <v>15</v>
      </c>
      <c r="B44" s="11" t="s">
        <v>16</v>
      </c>
      <c r="C44" s="14" t="s">
        <v>17</v>
      </c>
      <c r="D44" s="14">
        <v>1</v>
      </c>
      <c r="E44" s="14">
        <v>3000</v>
      </c>
      <c r="F44" s="15">
        <f>D44*E44</f>
        <v>3000</v>
      </c>
    </row>
    <row r="45" spans="1:6" ht="12.75">
      <c r="A45" s="13" t="s">
        <v>18</v>
      </c>
      <c r="B45" s="11" t="s">
        <v>19</v>
      </c>
      <c r="C45" s="14" t="s">
        <v>20</v>
      </c>
      <c r="D45" s="14">
        <v>1</v>
      </c>
      <c r="E45" s="14">
        <v>784</v>
      </c>
      <c r="F45" s="15">
        <f>D45*E45</f>
        <v>784</v>
      </c>
    </row>
    <row r="46" spans="1:6" ht="12.75">
      <c r="A46" s="13" t="s">
        <v>21</v>
      </c>
      <c r="B46" s="11" t="s">
        <v>22</v>
      </c>
      <c r="C46" s="14" t="s">
        <v>20</v>
      </c>
      <c r="D46" s="14">
        <v>1</v>
      </c>
      <c r="E46" s="14">
        <v>645</v>
      </c>
      <c r="F46" s="15">
        <f>D46*E46</f>
        <v>645</v>
      </c>
    </row>
    <row r="47" spans="1:6" ht="12.75">
      <c r="A47" s="17"/>
      <c r="B47" s="16" t="s">
        <v>23</v>
      </c>
      <c r="C47" s="6"/>
      <c r="D47" s="6"/>
      <c r="E47" s="7"/>
      <c r="F47" s="15">
        <f>SUM(F44:F46)</f>
        <v>4429</v>
      </c>
    </row>
    <row r="48" spans="1:6" ht="12.75">
      <c r="A48" s="17"/>
      <c r="B48" s="16" t="s">
        <v>12</v>
      </c>
      <c r="C48" s="6"/>
      <c r="D48" s="6"/>
      <c r="E48" s="7"/>
      <c r="F48" s="15">
        <f>F47*0.01</f>
        <v>44.29</v>
      </c>
    </row>
    <row r="49" spans="1:6" ht="12.75">
      <c r="A49" s="17"/>
      <c r="B49" s="16" t="s">
        <v>13</v>
      </c>
      <c r="C49" s="6"/>
      <c r="D49" s="6"/>
      <c r="E49" s="7"/>
      <c r="F49" s="15">
        <f>SUM(F47:F48)</f>
        <v>4473.29</v>
      </c>
    </row>
    <row r="50" spans="1:6" ht="12.75">
      <c r="A50" s="17"/>
      <c r="B50" s="16" t="s">
        <v>14</v>
      </c>
      <c r="C50" s="6"/>
      <c r="D50" s="6"/>
      <c r="E50" s="7"/>
      <c r="F50" s="15">
        <f>F49*0.15</f>
        <v>670.99350000000004</v>
      </c>
    </row>
    <row r="51" spans="1:6" ht="12.75">
      <c r="A51" s="17"/>
      <c r="B51" s="16" t="s">
        <v>13</v>
      </c>
      <c r="C51" s="6"/>
      <c r="D51" s="6"/>
      <c r="E51" s="7"/>
      <c r="F51" s="15">
        <f>MROUND(SUM(F49:F50),1)</f>
        <v>5144</v>
      </c>
    </row>
    <row r="52" spans="1:6" ht="12.75">
      <c r="A52" s="18" t="str">
        <f>CONCATENATE("Say Rs (",F51," x Cost Index)")</f>
        <v>Say Rs (5144 x Cost Index)</v>
      </c>
      <c r="B52" s="6"/>
      <c r="C52" s="6"/>
      <c r="D52" s="6"/>
      <c r="E52" s="6"/>
      <c r="F52" s="7"/>
    </row>
    <row r="53" spans="1:6" ht="12.75">
      <c r="A53" s="19" t="s">
        <v>1</v>
      </c>
      <c r="B53" s="20" t="s">
        <v>27</v>
      </c>
      <c r="C53" s="6"/>
      <c r="D53" s="6"/>
      <c r="E53" s="6"/>
      <c r="F53" s="7"/>
    </row>
    <row r="54" spans="1:6" ht="12.75">
      <c r="A54" s="19" t="s">
        <v>3</v>
      </c>
      <c r="B54" s="21" t="s">
        <v>4</v>
      </c>
      <c r="C54" s="21" t="s">
        <v>5</v>
      </c>
      <c r="D54" s="21" t="s">
        <v>6</v>
      </c>
      <c r="E54" s="21" t="s">
        <v>7</v>
      </c>
      <c r="F54" s="22" t="s">
        <v>8</v>
      </c>
    </row>
    <row r="55" spans="1:6" ht="12.75">
      <c r="A55" s="26" t="s">
        <v>15</v>
      </c>
      <c r="B55" s="24" t="s">
        <v>16</v>
      </c>
      <c r="C55" s="27" t="s">
        <v>17</v>
      </c>
      <c r="D55" s="27">
        <v>0.30</v>
      </c>
      <c r="E55" s="27">
        <v>3000</v>
      </c>
      <c r="F55" s="28">
        <f>D55*E55</f>
        <v>900</v>
      </c>
    </row>
    <row r="56" spans="1:6" ht="12.75">
      <c r="A56" s="26" t="s">
        <v>18</v>
      </c>
      <c r="B56" s="24" t="s">
        <v>19</v>
      </c>
      <c r="C56" s="27" t="s">
        <v>20</v>
      </c>
      <c r="D56" s="27">
        <v>0.50</v>
      </c>
      <c r="E56" s="27">
        <v>784</v>
      </c>
      <c r="F56" s="28">
        <f>D56*E56</f>
        <v>392</v>
      </c>
    </row>
    <row r="57" spans="1:6" ht="12.75">
      <c r="A57" s="26" t="s">
        <v>21</v>
      </c>
      <c r="B57" s="24" t="s">
        <v>22</v>
      </c>
      <c r="C57" s="27" t="s">
        <v>20</v>
      </c>
      <c r="D57" s="27">
        <v>0.50</v>
      </c>
      <c r="E57" s="27">
        <v>645</v>
      </c>
      <c r="F57" s="28">
        <f>D57*E57</f>
        <v>322.50</v>
      </c>
    </row>
    <row r="58" spans="1:6" ht="12.75">
      <c r="A58" s="30"/>
      <c r="B58" s="29" t="s">
        <v>23</v>
      </c>
      <c r="C58" s="6"/>
      <c r="D58" s="6"/>
      <c r="E58" s="7"/>
      <c r="F58" s="28">
        <f>SUM(F55:F57)</f>
        <v>1614.50</v>
      </c>
    </row>
    <row r="59" spans="1:6" ht="12.75">
      <c r="A59" s="30"/>
      <c r="B59" s="29" t="s">
        <v>12</v>
      </c>
      <c r="C59" s="6"/>
      <c r="D59" s="6"/>
      <c r="E59" s="7"/>
      <c r="F59" s="28">
        <f>F58*0.01</f>
        <v>16.145</v>
      </c>
    </row>
    <row r="60" spans="1:6" ht="12.75">
      <c r="A60" s="30"/>
      <c r="B60" s="29" t="s">
        <v>13</v>
      </c>
      <c r="C60" s="6"/>
      <c r="D60" s="6"/>
      <c r="E60" s="7"/>
      <c r="F60" s="28">
        <f>SUM(F58:F59)</f>
        <v>1630.645</v>
      </c>
    </row>
    <row r="61" spans="1:6" ht="12.75">
      <c r="A61" s="30"/>
      <c r="B61" s="29" t="s">
        <v>14</v>
      </c>
      <c r="C61" s="6"/>
      <c r="D61" s="6"/>
      <c r="E61" s="7"/>
      <c r="F61" s="28">
        <f>F60*0.15</f>
        <v>244.59674999999999</v>
      </c>
    </row>
    <row r="62" spans="1:6" ht="12.75">
      <c r="A62" s="30"/>
      <c r="B62" s="29" t="s">
        <v>13</v>
      </c>
      <c r="C62" s="6"/>
      <c r="D62" s="6"/>
      <c r="E62" s="7"/>
      <c r="F62" s="28">
        <f>MROUND(SUM(F60:F61),1)</f>
        <v>1875</v>
      </c>
    </row>
    <row r="63" spans="1:6" ht="12.75">
      <c r="A63" s="18" t="str">
        <f>CONCATENATE("Say Rs (",F62," x Cost Index)")</f>
        <v>Say Rs (1875 x Cost Index)</v>
      </c>
      <c r="B63" s="6"/>
      <c r="C63" s="6"/>
      <c r="D63" s="6"/>
      <c r="E63" s="6"/>
      <c r="F63" s="7"/>
    </row>
  </sheetData>
  <mergeCells count="41">
    <mergeCell ref="A1:F1"/>
    <mergeCell ref="B2:F2"/>
    <mergeCell ref="B6:E6"/>
    <mergeCell ref="B7:E7"/>
    <mergeCell ref="B8:E8"/>
    <mergeCell ref="B9:E9"/>
    <mergeCell ref="B13:E13"/>
    <mergeCell ref="B14:E14"/>
    <mergeCell ref="B15:E15"/>
    <mergeCell ref="B16:E16"/>
    <mergeCell ref="B17:E17"/>
    <mergeCell ref="A18:F18"/>
    <mergeCell ref="B19:F19"/>
    <mergeCell ref="B23:E23"/>
    <mergeCell ref="B24:E24"/>
    <mergeCell ref="B25:E25"/>
    <mergeCell ref="B26:E26"/>
    <mergeCell ref="B30:E30"/>
    <mergeCell ref="B31:E31"/>
    <mergeCell ref="B32:E32"/>
    <mergeCell ref="B33:E33"/>
    <mergeCell ref="B34:E34"/>
    <mergeCell ref="A35:F35"/>
    <mergeCell ref="B36:F36"/>
    <mergeCell ref="B40:E40"/>
    <mergeCell ref="B41:E41"/>
    <mergeCell ref="B42:E42"/>
    <mergeCell ref="B43:E43"/>
    <mergeCell ref="B58:E58"/>
    <mergeCell ref="B59:E59"/>
    <mergeCell ref="B60:E60"/>
    <mergeCell ref="B61:E61"/>
    <mergeCell ref="B62:E62"/>
    <mergeCell ref="A63:F63"/>
    <mergeCell ref="B47:E47"/>
    <mergeCell ref="B48:E48"/>
    <mergeCell ref="B49:E49"/>
    <mergeCell ref="B50:E50"/>
    <mergeCell ref="B51:E51"/>
    <mergeCell ref="A52:F52"/>
    <mergeCell ref="B53:F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