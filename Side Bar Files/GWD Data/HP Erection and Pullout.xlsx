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F4" i="1" l="1"/>
</calcChain>
</file>

<file path=xl/sharedStrings.xml><?xml version="1.0" encoding="utf-8"?>
<sst xmlns="http://schemas.openxmlformats.org/spreadsheetml/2006/main" count="86" uniqueCount="26">
  <si>
    <t>Hand Pump Erection and Pullout</t>
  </si>
  <si>
    <t>0</t>
  </si>
  <si>
    <t>Hand pump erection (deep well)</t>
  </si>
  <si>
    <t>Code</t>
  </si>
  <si>
    <t>Description</t>
  </si>
  <si>
    <t>Unit</t>
  </si>
  <si>
    <t>Quantity</t>
  </si>
  <si>
    <t>Rate</t>
  </si>
  <si>
    <t>Amount</t>
  </si>
  <si>
    <t>Tools hire charge (DSR 0015)</t>
  </si>
  <si>
    <t>day</t>
  </si>
  <si>
    <t>116</t>
  </si>
  <si>
    <t>Fitter, Plumber, Electrician</t>
  </si>
  <si>
    <t>Day</t>
  </si>
  <si>
    <t>114</t>
  </si>
  <si>
    <t>Beldar</t>
  </si>
  <si>
    <t>TOTAL</t>
  </si>
  <si>
    <t>Add Water Charges @ 1%</t>
  </si>
  <si>
    <t>Add CPOH @ 15%</t>
  </si>
  <si>
    <t>Hand pump erection (extra deep well)</t>
  </si>
  <si>
    <t>0015</t>
  </si>
  <si>
    <t>0116</t>
  </si>
  <si>
    <t>0114</t>
  </si>
  <si>
    <t>TOTAL  </t>
  </si>
  <si>
    <t>Hand pump pullout (deep well)</t>
  </si>
  <si>
    <t>Hand pump pullout (extra deep well)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</si>
</sst>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b/>
      <sz val="12"/>
      <color theme="1"/>
      <name val="Cambria"/>
      <family val="2"/>
    </font>
    <font>
      <sz val="12"/>
      <color theme="1"/>
      <name val="Cambria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2E9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</border>
    <border>
      <left style="thin">
        <color rgb="FF3D3D3D"/>
      </left>
      <right/>
      <top style="thin">
        <color rgb="FF3D3D3D"/>
      </top>
      <bottom style="thin">
        <color rgb="FF3D3D3D"/>
      </bottom>
    </border>
    <border>
      <left/>
      <right/>
      <top style="thin">
        <color rgb="FF3D3D3D"/>
      </top>
      <bottom style="thin">
        <color rgb="FF3D3D3D"/>
      </bottom>
    </border>
    <border>
      <left/>
      <right style="thin">
        <color rgb="FF3D3D3D"/>
      </right>
      <top style="thin">
        <color rgb="FF3D3D3D"/>
      </top>
      <bottom style="thin">
        <color rgb="FF3D3D3D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2" xfId="0" applyFont="1" applyBorder="1">
      <alignment/>
    </xf>
    <xf numFmtId="0" fontId="3" fillId="0" borderId="3" xfId="0" applyFont="1" applyBorder="1">
      <alignment/>
    </xf>
    <xf numFmtId="49" fontId="1" fillId="3" borderId="4" xfId="0" applyNumberFormat="1" applyFont="1" applyBorder="1" applyAlignment="1">
      <alignment horizontal="center" vertical="center" wrapText="1"/>
    </xf>
    <xf numFmtId="0" fontId="2" fillId="3" borderId="5" xfId="0" applyFont="1" applyBorder="1" applyAlignment="1">
      <alignment vertical="center" wrapText="1"/>
    </xf>
    <xf numFmtId="0" fontId="3" fillId="0" borderId="6" xfId="0" applyFont="1" applyBorder="1">
      <alignment/>
    </xf>
    <xf numFmtId="0" fontId="3" fillId="0" borderId="7" xfId="0" applyFont="1" applyBorder="1">
      <alignment/>
    </xf>
    <xf numFmtId="0" fontId="1" fillId="3" borderId="4" xfId="0" applyFont="1" applyBorder="1" applyAlignment="1">
      <alignment horizontal="center" vertical="center" wrapText="1"/>
    </xf>
    <xf numFmtId="2" fontId="1" fillId="3" borderId="4" xfId="0" applyNumberFormat="1" applyFont="1" applyBorder="1" applyAlignment="1">
      <alignment horizontal="center" vertical="center" wrapText="1"/>
    </xf>
    <xf numFmtId="49" fontId="2" fillId="3" borderId="4" xfId="0" applyNumberFormat="1" applyFont="1" applyBorder="1" applyAlignment="1">
      <alignment horizontal="center" vertical="center" wrapText="1"/>
    </xf>
    <xf numFmtId="0" fontId="2" fillId="3" borderId="4" xfId="0" applyFont="1" applyBorder="1" applyAlignment="1">
      <alignment vertical="center" wrapText="1"/>
    </xf>
    <xf numFmtId="0" fontId="2" fillId="3" borderId="4" xfId="0" applyFont="1" applyBorder="1" applyAlignment="1">
      <alignment horizontal="center" vertical="center" wrapText="1"/>
    </xf>
    <xf numFmtId="2" fontId="2" fillId="3" borderId="4" xfId="0" applyNumberFormat="1" applyFont="1" applyBorder="1" applyAlignment="1">
      <alignment horizontal="right" vertical="center" wrapText="1"/>
    </xf>
    <xf numFmtId="49" fontId="2" fillId="3" borderId="4" xfId="0" applyNumberFormat="1" applyFont="1" applyBorder="1" applyAlignment="1">
      <alignment vertical="center"/>
    </xf>
    <xf numFmtId="0" fontId="2" fillId="3" borderId="5" xfId="0" applyFont="1" applyBorder="1" applyAlignment="1">
      <alignment horizontal="right" vertical="center" wrapText="1"/>
    </xf>
    <xf numFmtId="0" fontId="1" fillId="3" borderId="5" xfId="0" applyFont="1" applyBorder="1" applyAlignment="1">
      <alignment horizontal="center" vertical="center" wrapText="1"/>
    </xf>
    <xf numFmtId="49" fontId="1" fillId="4" borderId="4" xfId="0" applyNumberFormat="1" applyFont="1" applyFill="1" applyBorder="1" applyAlignment="1">
      <alignment horizontal="center" vertical="center" wrapText="1"/>
    </xf>
    <xf numFmtId="0" fontId="2" fillId="4" borderId="5" xfId="0" applyFont="1" applyBorder="1" applyAlignment="1">
      <alignment vertical="center" wrapText="1"/>
    </xf>
    <xf numFmtId="0" fontId="1" fillId="4" borderId="4" xfId="0" applyFont="1" applyBorder="1" applyAlignment="1">
      <alignment horizontal="center" vertical="center" wrapText="1"/>
    </xf>
    <xf numFmtId="2" fontId="1" fillId="4" borderId="4" xfId="0" applyNumberFormat="1" applyFont="1" applyBorder="1" applyAlignment="1">
      <alignment horizontal="center" vertical="center" wrapText="1"/>
    </xf>
    <xf numFmtId="49" fontId="2" fillId="4" borderId="4" xfId="0" applyNumberFormat="1" applyFont="1" applyBorder="1" applyAlignment="1">
      <alignment horizontal="center" vertical="center" wrapText="1"/>
    </xf>
    <xf numFmtId="0" fontId="2" fillId="4" borderId="4" xfId="0" applyFont="1" applyBorder="1" applyAlignment="1">
      <alignment vertical="center" wrapText="1"/>
    </xf>
    <xf numFmtId="0" fontId="2" fillId="4" borderId="4" xfId="0" applyFont="1" applyBorder="1" applyAlignment="1">
      <alignment horizontal="center" vertical="center" wrapText="1"/>
    </xf>
    <xf numFmtId="2" fontId="2" fillId="4" borderId="4" xfId="0" applyNumberFormat="1" applyFont="1" applyBorder="1" applyAlignment="1">
      <alignment horizontal="right" vertical="center" wrapText="1"/>
    </xf>
    <xf numFmtId="49" fontId="2" fillId="4" borderId="4" xfId="0" applyNumberFormat="1" applyFont="1" applyBorder="1" applyAlignment="1">
      <alignment vertical="center"/>
    </xf>
    <xf numFmtId="0" fontId="2" fillId="4" borderId="5" xfId="0" applyFont="1" applyBorder="1" applyAlignment="1">
      <alignment horizontal="right" vertical="center" wrapText="1"/>
    </xf>
    <xf numFmtId="49" fontId="1" fillId="4" borderId="5" xfId="0" applyNumberFormat="1" applyFont="1" applyBorder="1" applyAlignment="1">
      <alignment horizontal="center" vertical="center" wrapText="1"/>
    </xf>
    <xf numFmtId="49" fontId="1" fillId="3" borderId="5" xfId="0" applyNumberFormat="1" applyFont="1" applyBorder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37E97DF-F7BC-4FCA-8A6A-61C36BE1B9A7}">
  <dimension ref="A1:F45"/>
  <sheetViews>
    <sheetView tabSelected="1" workbookViewId="0" topLeftCell="A1"/>
  </sheetViews>
  <sheetFormatPr defaultRowHeight="12.75"/>
  <sheetData>
    <row r="1" spans="1:6" ht="12.75">
      <c r="A1" s="1" t="s">
        <v>0</v>
      </c>
      <c r="B1" s="2"/>
      <c r="C1" s="2"/>
      <c r="D1" s="2"/>
      <c r="E1" s="2"/>
      <c r="F1" s="3"/>
    </row>
    <row r="2" spans="1:6" ht="12.75">
      <c r="A2" s="4" t="s">
        <v>1</v>
      </c>
      <c r="B2" s="5" t="s">
        <v>2</v>
      </c>
      <c r="C2" s="6"/>
      <c r="D2" s="6"/>
      <c r="E2" s="6"/>
      <c r="F2" s="7"/>
    </row>
    <row r="3" spans="1:6" ht="12.75">
      <c r="A3" s="4" t="s">
        <v>3</v>
      </c>
      <c r="B3" s="8" t="s">
        <v>4</v>
      </c>
      <c r="C3" s="8" t="s">
        <v>5</v>
      </c>
      <c r="D3" s="8" t="s">
        <v>6</v>
      </c>
      <c r="E3" s="8" t="s">
        <v>7</v>
      </c>
      <c r="F3" s="9" t="s">
        <v>8</v>
      </c>
    </row>
    <row r="4" spans="1:6" ht="12.75">
      <c r="A4" s="10"/>
      <c r="B4" s="11" t="s">
        <v>9</v>
      </c>
      <c r="C4" s="12" t="s">
        <v>10</v>
      </c>
      <c r="D4" s="12">
        <v>0.20</v>
      </c>
      <c r="E4" s="12">
        <v>3000</v>
      </c>
      <c r="F4" s="13">
        <f>D4*E4</f>
        <v>600</v>
      </c>
    </row>
    <row r="5" spans="1:6" ht="12.75">
      <c r="A5" s="10" t="s">
        <v>11</v>
      </c>
      <c r="B5" s="11" t="s">
        <v>12</v>
      </c>
      <c r="C5" s="12" t="s">
        <v>13</v>
      </c>
      <c r="D5" s="12">
        <v>1.50</v>
      </c>
      <c r="E5" s="12">
        <v>784</v>
      </c>
      <c r="F5" s="13">
        <f>D5*E5</f>
        <v>1176</v>
      </c>
    </row>
    <row r="6" spans="1:6" ht="12.75">
      <c r="A6" s="10" t="s">
        <v>14</v>
      </c>
      <c r="B6" s="11" t="s">
        <v>15</v>
      </c>
      <c r="C6" s="12" t="s">
        <v>13</v>
      </c>
      <c r="D6" s="12">
        <v>3</v>
      </c>
      <c r="E6" s="12">
        <v>645</v>
      </c>
      <c r="F6" s="13">
        <f>D6*E6</f>
        <v>1935</v>
      </c>
    </row>
    <row r="7" spans="1:6" ht="12.75">
      <c r="A7" s="14"/>
      <c r="B7" s="15" t="s">
        <v>16</v>
      </c>
      <c r="C7" s="6"/>
      <c r="D7" s="6"/>
      <c r="E7" s="7"/>
      <c r="F7" s="13">
        <f>SUM(F4:F6)</f>
        <v>3711</v>
      </c>
    </row>
    <row r="8" spans="1:6" ht="12.75">
      <c r="A8" s="14"/>
      <c r="B8" s="15" t="s">
        <v>17</v>
      </c>
      <c r="C8" s="6"/>
      <c r="D8" s="6"/>
      <c r="E8" s="7"/>
      <c r="F8" s="13">
        <f>F7*0.01</f>
        <v>37.11</v>
      </c>
    </row>
    <row r="9" spans="1:6" ht="12.75">
      <c r="A9" s="14"/>
      <c r="B9" s="15" t="s">
        <v>16</v>
      </c>
      <c r="C9" s="6"/>
      <c r="D9" s="6"/>
      <c r="E9" s="7"/>
      <c r="F9" s="13">
        <f>SUM(F7:F8)</f>
        <v>3748.11</v>
      </c>
    </row>
    <row r="10" spans="1:6" ht="12.75">
      <c r="A10" s="14"/>
      <c r="B10" s="15" t="s">
        <v>18</v>
      </c>
      <c r="C10" s="6"/>
      <c r="D10" s="6"/>
      <c r="E10" s="7"/>
      <c r="F10" s="13">
        <f>F9*0.15</f>
        <v>562.2165</v>
      </c>
    </row>
    <row r="11" spans="1:6" ht="12.75">
      <c r="A11" s="14"/>
      <c r="B11" s="15" t="s">
        <v>16</v>
      </c>
      <c r="C11" s="6"/>
      <c r="D11" s="6"/>
      <c r="E11" s="7"/>
      <c r="F11" s="13">
        <f>MROUND(SUM(F9:F10),1)</f>
        <v>4310</v>
      </c>
    </row>
    <row r="12" spans="1:6" ht="12.75">
      <c r="A12" s="16" t="str">
        <f>CONCATENATE("Say Rs (",F11," x Cost Index)")</f>
        <v>Say Rs (4310 x Cost Index)</v>
      </c>
      <c r="B12" s="6"/>
      <c r="C12" s="6"/>
      <c r="D12" s="6"/>
      <c r="E12" s="6"/>
      <c r="F12" s="7"/>
    </row>
    <row r="13" spans="1:6" ht="12.75">
      <c r="A13" s="17" t="s">
        <v>1</v>
      </c>
      <c r="B13" s="18" t="s">
        <v>19</v>
      </c>
      <c r="C13" s="6"/>
      <c r="D13" s="6"/>
      <c r="E13" s="6"/>
      <c r="F13" s="7"/>
    </row>
    <row r="14" spans="1:6" ht="12.75">
      <c r="A14" s="17" t="s">
        <v>3</v>
      </c>
      <c r="B14" s="19" t="s">
        <v>4</v>
      </c>
      <c r="C14" s="19" t="s">
        <v>5</v>
      </c>
      <c r="D14" s="19" t="s">
        <v>6</v>
      </c>
      <c r="E14" s="19" t="s">
        <v>7</v>
      </c>
      <c r="F14" s="20" t="s">
        <v>8</v>
      </c>
    </row>
    <row r="15" spans="1:6" ht="12.75">
      <c r="A15" s="21" t="s">
        <v>20</v>
      </c>
      <c r="B15" s="22" t="s">
        <v>9</v>
      </c>
      <c r="C15" s="23" t="s">
        <v>10</v>
      </c>
      <c r="D15" s="23">
        <v>0.30</v>
      </c>
      <c r="E15" s="23">
        <v>3000</v>
      </c>
      <c r="F15" s="24">
        <f>D15*E15</f>
        <v>900</v>
      </c>
    </row>
    <row r="16" spans="1:6" ht="12.75">
      <c r="A16" s="21" t="s">
        <v>21</v>
      </c>
      <c r="B16" s="22" t="s">
        <v>12</v>
      </c>
      <c r="C16" s="23" t="s">
        <v>13</v>
      </c>
      <c r="D16" s="23">
        <v>2.50</v>
      </c>
      <c r="E16" s="23">
        <v>784</v>
      </c>
      <c r="F16" s="24">
        <f>D16*E16</f>
        <v>1960</v>
      </c>
    </row>
    <row r="17" spans="1:6" ht="12.75">
      <c r="A17" s="21" t="s">
        <v>22</v>
      </c>
      <c r="B17" s="22" t="s">
        <v>15</v>
      </c>
      <c r="C17" s="23" t="s">
        <v>13</v>
      </c>
      <c r="D17" s="23">
        <v>3</v>
      </c>
      <c r="E17" s="23">
        <v>645</v>
      </c>
      <c r="F17" s="24">
        <f>D17*E17</f>
        <v>1935</v>
      </c>
    </row>
    <row r="18" spans="1:6" ht="12.75">
      <c r="A18" s="25"/>
      <c r="B18" s="26" t="s">
        <v>23</v>
      </c>
      <c r="C18" s="6"/>
      <c r="D18" s="6"/>
      <c r="E18" s="7"/>
      <c r="F18" s="24">
        <f>SUM(F15:F17)</f>
        <v>4795</v>
      </c>
    </row>
    <row r="19" spans="1:6" ht="12.75">
      <c r="A19" s="25"/>
      <c r="B19" s="26" t="s">
        <v>17</v>
      </c>
      <c r="C19" s="6"/>
      <c r="D19" s="6"/>
      <c r="E19" s="7"/>
      <c r="F19" s="24">
        <f>F18*0.01</f>
        <v>47.95</v>
      </c>
    </row>
    <row r="20" spans="1:6" ht="12.75">
      <c r="A20" s="25"/>
      <c r="B20" s="26" t="s">
        <v>16</v>
      </c>
      <c r="C20" s="6"/>
      <c r="D20" s="6"/>
      <c r="E20" s="7"/>
      <c r="F20" s="24">
        <f>SUM(F18:F19)</f>
        <v>4842.95</v>
      </c>
    </row>
    <row r="21" spans="1:6" ht="12.75">
      <c r="A21" s="25"/>
      <c r="B21" s="26" t="s">
        <v>18</v>
      </c>
      <c r="C21" s="6"/>
      <c r="D21" s="6"/>
      <c r="E21" s="7"/>
      <c r="F21" s="24">
        <f>F20*0.15</f>
        <v>726.4425</v>
      </c>
    </row>
    <row r="22" spans="1:6" ht="12.75">
      <c r="A22" s="25"/>
      <c r="B22" s="26" t="s">
        <v>16</v>
      </c>
      <c r="C22" s="6"/>
      <c r="D22" s="6"/>
      <c r="E22" s="7"/>
      <c r="F22" s="24">
        <f>MROUND(SUM(F20:F21),1)</f>
        <v>5569</v>
      </c>
    </row>
    <row r="23" spans="1:6" ht="12.75">
      <c r="A23" s="27" t="str">
        <f>CONCATENATE("Say Rs (",F22," x Cost Index)")</f>
        <v>Say Rs (5569 x Cost Index)</v>
      </c>
      <c r="B23" s="6"/>
      <c r="C23" s="6"/>
      <c r="D23" s="6"/>
      <c r="E23" s="6"/>
      <c r="F23" s="7"/>
    </row>
    <row r="24" spans="1:6" ht="12.75">
      <c r="A24" s="4" t="s">
        <v>1</v>
      </c>
      <c r="B24" s="5" t="s">
        <v>24</v>
      </c>
      <c r="C24" s="6"/>
      <c r="D24" s="6"/>
      <c r="E24" s="6"/>
      <c r="F24" s="7"/>
    </row>
    <row r="25" spans="1:6" ht="12.75">
      <c r="A25" s="4" t="s">
        <v>3</v>
      </c>
      <c r="B25" s="8" t="s">
        <v>4</v>
      </c>
      <c r="C25" s="8" t="s">
        <v>5</v>
      </c>
      <c r="D25" s="8" t="s">
        <v>6</v>
      </c>
      <c r="E25" s="8" t="s">
        <v>7</v>
      </c>
      <c r="F25" s="9" t="s">
        <v>8</v>
      </c>
    </row>
    <row r="26" spans="1:6" ht="12.75">
      <c r="A26" s="10"/>
      <c r="B26" s="11" t="s">
        <v>9</v>
      </c>
      <c r="C26" s="12" t="s">
        <v>10</v>
      </c>
      <c r="D26" s="12">
        <v>0.10</v>
      </c>
      <c r="E26" s="12">
        <v>3000</v>
      </c>
      <c r="F26" s="13">
        <f>D26*E26</f>
        <v>300</v>
      </c>
    </row>
    <row r="27" spans="1:6" ht="12.75">
      <c r="A27" s="10" t="s">
        <v>11</v>
      </c>
      <c r="B27" s="11" t="s">
        <v>12</v>
      </c>
      <c r="C27" s="12" t="s">
        <v>13</v>
      </c>
      <c r="D27" s="12">
        <v>0.75</v>
      </c>
      <c r="E27" s="12">
        <v>784</v>
      </c>
      <c r="F27" s="13">
        <f>D27*E27</f>
        <v>588</v>
      </c>
    </row>
    <row r="28" spans="1:6" ht="12.75">
      <c r="A28" s="10" t="s">
        <v>14</v>
      </c>
      <c r="B28" s="11" t="s">
        <v>15</v>
      </c>
      <c r="C28" s="12" t="s">
        <v>13</v>
      </c>
      <c r="D28" s="12">
        <v>1.50</v>
      </c>
      <c r="E28" s="12">
        <v>645</v>
      </c>
      <c r="F28" s="13">
        <f>D28*E28</f>
        <v>967.50</v>
      </c>
    </row>
    <row r="29" spans="1:6" ht="12.75">
      <c r="A29" s="14"/>
      <c r="B29" s="15" t="s">
        <v>23</v>
      </c>
      <c r="C29" s="6"/>
      <c r="D29" s="6"/>
      <c r="E29" s="7"/>
      <c r="F29" s="13">
        <f>SUM(F26:F28)</f>
        <v>1855.50</v>
      </c>
    </row>
    <row r="30" spans="1:6" ht="12.75">
      <c r="A30" s="14"/>
      <c r="B30" s="15" t="s">
        <v>17</v>
      </c>
      <c r="C30" s="6"/>
      <c r="D30" s="6"/>
      <c r="E30" s="7"/>
      <c r="F30" s="13">
        <f>F29*0.01</f>
        <v>18.555</v>
      </c>
    </row>
    <row r="31" spans="1:6" ht="12.75">
      <c r="A31" s="14"/>
      <c r="B31" s="15" t="s">
        <v>16</v>
      </c>
      <c r="C31" s="6"/>
      <c r="D31" s="6"/>
      <c r="E31" s="7"/>
      <c r="F31" s="13">
        <f>SUM(F29:F30)</f>
        <v>1874.055</v>
      </c>
    </row>
    <row r="32" spans="1:6" ht="12.75">
      <c r="A32" s="14"/>
      <c r="B32" s="15" t="s">
        <v>18</v>
      </c>
      <c r="C32" s="6"/>
      <c r="D32" s="6"/>
      <c r="E32" s="7"/>
      <c r="F32" s="13">
        <f>F31*0.15</f>
        <v>281.10825</v>
      </c>
    </row>
    <row r="33" spans="1:6" ht="12.75">
      <c r="A33" s="14"/>
      <c r="B33" s="15" t="s">
        <v>16</v>
      </c>
      <c r="C33" s="6"/>
      <c r="D33" s="6"/>
      <c r="E33" s="7"/>
      <c r="F33" s="13">
        <f>MROUND(SUM(F31:F32),1)</f>
        <v>2155</v>
      </c>
    </row>
    <row r="34" spans="1:6" ht="12.75">
      <c r="A34" s="28" t="str">
        <f>CONCATENATE("Say Rs (",F33," x Cost Index)")</f>
        <v>Say Rs (2155 x Cost Index)</v>
      </c>
      <c r="B34" s="6"/>
      <c r="C34" s="6"/>
      <c r="D34" s="6"/>
      <c r="E34" s="6"/>
      <c r="F34" s="7"/>
    </row>
    <row r="35" spans="1:6" ht="12.75">
      <c r="A35" s="17" t="s">
        <v>1</v>
      </c>
      <c r="B35" s="18" t="s">
        <v>25</v>
      </c>
      <c r="C35" s="6"/>
      <c r="D35" s="6"/>
      <c r="E35" s="6"/>
      <c r="F35" s="7"/>
    </row>
    <row r="36" spans="1:6" ht="12.75">
      <c r="A36" s="17" t="s">
        <v>3</v>
      </c>
      <c r="B36" s="19" t="s">
        <v>4</v>
      </c>
      <c r="C36" s="19" t="s">
        <v>5</v>
      </c>
      <c r="D36" s="19" t="s">
        <v>6</v>
      </c>
      <c r="E36" s="19" t="s">
        <v>7</v>
      </c>
      <c r="F36" s="20" t="s">
        <v>8</v>
      </c>
    </row>
    <row r="37" spans="1:6" ht="12.75">
      <c r="A37" s="21"/>
      <c r="B37" s="22" t="s">
        <v>9</v>
      </c>
      <c r="C37" s="23" t="s">
        <v>10</v>
      </c>
      <c r="D37" s="23">
        <v>0.15</v>
      </c>
      <c r="E37" s="23">
        <v>3000</v>
      </c>
      <c r="F37" s="24">
        <f>D37*E37</f>
        <v>450</v>
      </c>
    </row>
    <row r="38" spans="1:6" ht="12.75">
      <c r="A38" s="21" t="s">
        <v>11</v>
      </c>
      <c r="B38" s="22" t="s">
        <v>12</v>
      </c>
      <c r="C38" s="23" t="s">
        <v>13</v>
      </c>
      <c r="D38" s="23">
        <v>1.25</v>
      </c>
      <c r="E38" s="23">
        <v>784</v>
      </c>
      <c r="F38" s="24">
        <f>D38*E38</f>
        <v>980</v>
      </c>
    </row>
    <row r="39" spans="1:6" ht="12.75">
      <c r="A39" s="21" t="s">
        <v>14</v>
      </c>
      <c r="B39" s="22" t="s">
        <v>15</v>
      </c>
      <c r="C39" s="23" t="s">
        <v>13</v>
      </c>
      <c r="D39" s="23">
        <v>1.50</v>
      </c>
      <c r="E39" s="23">
        <v>645</v>
      </c>
      <c r="F39" s="24">
        <f>D39*E39</f>
        <v>967.50</v>
      </c>
    </row>
    <row r="40" spans="1:6" ht="12.75">
      <c r="A40" s="25"/>
      <c r="B40" s="26" t="s">
        <v>23</v>
      </c>
      <c r="C40" s="6"/>
      <c r="D40" s="6"/>
      <c r="E40" s="7"/>
      <c r="F40" s="24">
        <f>SUM(F37:F39)</f>
        <v>2397.50</v>
      </c>
    </row>
    <row r="41" spans="1:6" ht="12.75">
      <c r="A41" s="25"/>
      <c r="B41" s="26" t="s">
        <v>17</v>
      </c>
      <c r="C41" s="6"/>
      <c r="D41" s="6"/>
      <c r="E41" s="7"/>
      <c r="F41" s="24">
        <f>F40*0.01</f>
        <v>23.975</v>
      </c>
    </row>
    <row r="42" spans="1:6" ht="12.75">
      <c r="A42" s="25"/>
      <c r="B42" s="26" t="s">
        <v>16</v>
      </c>
      <c r="C42" s="6"/>
      <c r="D42" s="6"/>
      <c r="E42" s="7"/>
      <c r="F42" s="24">
        <f>SUM(F40:F41)</f>
        <v>2421.475</v>
      </c>
    </row>
    <row r="43" spans="1:6" ht="12.75">
      <c r="A43" s="25"/>
      <c r="B43" s="26" t="s">
        <v>18</v>
      </c>
      <c r="C43" s="6"/>
      <c r="D43" s="6"/>
      <c r="E43" s="7"/>
      <c r="F43" s="24">
        <f>F42*0.15</f>
        <v>363.22125</v>
      </c>
    </row>
    <row r="44" spans="1:6" ht="12.75">
      <c r="A44" s="25"/>
      <c r="B44" s="26" t="s">
        <v>16</v>
      </c>
      <c r="C44" s="6"/>
      <c r="D44" s="6"/>
      <c r="E44" s="7"/>
      <c r="F44" s="24">
        <f>MROUND(SUM(F42:F43),1)</f>
        <v>2785</v>
      </c>
    </row>
    <row r="45" spans="1:6" ht="12.75">
      <c r="A45" s="27" t="str">
        <f>CONCATENATE("Say Rs (",F44," x Cost Index)")</f>
        <v>Say Rs (2785 x Cost Index)</v>
      </c>
      <c r="B45" s="6"/>
      <c r="C45" s="6"/>
      <c r="D45" s="6"/>
      <c r="E45" s="6"/>
      <c r="F45" s="7"/>
    </row>
  </sheetData>
  <mergeCells count="29">
    <mergeCell ref="A1:F1"/>
    <mergeCell ref="B2:F2"/>
    <mergeCell ref="B7:E7"/>
    <mergeCell ref="B8:E8"/>
    <mergeCell ref="B9:E9"/>
    <mergeCell ref="B10:E10"/>
    <mergeCell ref="B11:E11"/>
    <mergeCell ref="A12:F12"/>
    <mergeCell ref="B13:F13"/>
    <mergeCell ref="B18:E18"/>
    <mergeCell ref="B19:E19"/>
    <mergeCell ref="B20:E20"/>
    <mergeCell ref="B21:E21"/>
    <mergeCell ref="B22:E22"/>
    <mergeCell ref="A34:F34"/>
    <mergeCell ref="B35:F35"/>
    <mergeCell ref="B40:E40"/>
    <mergeCell ref="B41:E41"/>
    <mergeCell ref="B42:E42"/>
    <mergeCell ref="B43:E43"/>
    <mergeCell ref="B44:E44"/>
    <mergeCell ref="A45:F45"/>
    <mergeCell ref="A23:F23"/>
    <mergeCell ref="B24:F24"/>
    <mergeCell ref="B29:E29"/>
    <mergeCell ref="B30:E30"/>
    <mergeCell ref="B31:E31"/>
    <mergeCell ref="B32:E32"/>
    <mergeCell ref="B33:E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