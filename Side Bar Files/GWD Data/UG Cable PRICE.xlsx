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<sst xmlns="http://schemas.openxmlformats.org/spreadsheetml/2006/main" count="522" uniqueCount="74">
  <si>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</si>
  <si>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</si>
  <si>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</si>
  <si>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</si>
  <si>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</si>
  <si>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</si>
  <si>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</si>
  <si>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</si>
  <si>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</si>
  <si>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4 sq mm (90.12.37.1)</t>
  </si>
  <si>
    <t>Header Unit</t>
  </si>
  <si>
    <t>metre</t>
  </si>
  <si>
    <t>Header Quantity</t>
  </si>
  <si>
    <t>Header Details</t>
  </si>
  <si>
    <t>COST FOR 50 METERS RUN A1 MATERIALS</t>
  </si>
  <si>
    <t>Material (M), Labour (L), Additional Charges (A), Subdata (S)</t>
  </si>
  <si>
    <t>MR826</t>
  </si>
  <si>
    <t>4 sqmm 2 core PVC/XLPE insulated armoured cable withcopper conductors for working voltages up to and including 1100 volts conforming IS 1584/part I/ 1988 for PVC IS 7098 part I for XLPE</t>
  </si>
  <si>
    <t>M1</t>
  </si>
  <si>
    <t>tcode</t>
  </si>
  <si>
    <t>Wastage @ 5% of :(M1)</t>
  </si>
  <si>
    <t>L.S</t>
  </si>
  <si>
    <t>A1</t>
  </si>
  <si>
    <t>MR704</t>
  </si>
  <si>
    <t>Man Mazdoor</t>
  </si>
  <si>
    <t>Day</t>
  </si>
  <si>
    <t>L2</t>
  </si>
  <si>
    <t>Hire charges for T &amp; P @ 1%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</si>
  <si>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</si>
  <si>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</si>
  <si>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</si>
  <si>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</si>
  <si>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</si>
  <si>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</si>
  <si>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</si>
  <si>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1% of :(L1)</t>
  </si>
  <si>
    <t>A3</t>
  </si>
  <si>
    <t>Civil Items : Excavation for cable trenches in soft soil, depth upto 1.2 m including dressing of sides lift upto 1.5 m, including getting out the excavated soil, refilling with sand and or good soil after laying of cable/ pipe etc in layers of 20 cm, ramming, watering and disposal of surplus excavated soil as directed, within a lead of 50 metres.</t>
  </si>
  <si>
    <t>cum</t>
  </si>
  <si>
    <t>S1</t>
  </si>
  <si>
    <t>Say ₹ 255.9 + 169.38 x Cost Index</t>
  </si>
  <si>
    <t>/m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</si>
  <si>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6 sq mm (90.12.37.2)</t>
  </si>
  <si>
    <t>MR827</t>
  </si>
  <si>
    <t>6 sqmm 2 core PVC/XLPE insulated armoured cable with copper conductors for working Voltages up to and including 1100 volts conforming IS 1584/part I/ 1988 for PVC IS 7098 part I for XLPE</t>
  </si>
  <si>
    <t>Say ₹ 306.01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</si>
  <si>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10 sq mm (90.12.37.3)</t>
  </si>
  <si>
    <t>MR828</t>
  </si>
  <si>
    <t>10 sqmm 2 core PVC/XLPE insulated armoured cable with copper conductors for working Voltages up to and including 1100 volts conforming IS 1584/part I/ 1988 for PVC IS 7098 part I for XLPE</t>
  </si>
  <si>
    <t>Say ₹ 407.27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</si>
  <si>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16 sq mm (90.12.37.4)</t>
  </si>
  <si>
    <t>MR829</t>
  </si>
  <si>
    <t>16 sqmm 2 core PVC/XLPE insulated armoured cable with copper conductors for working Voltages up to and including 1100 volts conforming IS 1584/part I/ 1988 for PVC IS 7098 part I for XLPE</t>
  </si>
  <si>
    <t>Say ₹ 532.53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</si>
  <si>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4 sq mm (90.12.37.5)</t>
  </si>
  <si>
    <t>MR830</t>
  </si>
  <si>
    <t>4 sqmm 3 core PVC/XLPE insulated armoured cable with copper conductors for working Voltages up to and including 1100 volts conforming IS 1584/part I/ 1988 for PVC IS 7098 part I for XLPE</t>
  </si>
  <si>
    <t>Say ₹ 298.7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</si>
  <si>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6 sq mm (90.12.37.6)</t>
  </si>
  <si>
    <t>MR831</t>
  </si>
  <si>
    <t>6 sqmm 3 core PVC/XLPE insulated armoured cable with copper conductors for working Voltages up to and including 1100 volts conforming IS 1584/part I/ 1988 for PVC IS 7098 part I for XLPE</t>
  </si>
  <si>
    <t>Say ₹ 370.72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</si>
  <si>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10 sq mm (90.12.37.7)</t>
  </si>
  <si>
    <t>MR832</t>
  </si>
  <si>
    <t>10 sqmm 3 core PVC/XLPE insulated armoured cable with copper conductors for working Voltages up to and including 1100 volts conforming IS 1584/part I/ 1988 for PVC IS 7098 part I for XLPE</t>
  </si>
  <si>
    <t>Say ₹ 515.83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</si>
  <si>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16 sq mm (90.12.37.8)</t>
  </si>
  <si>
    <t>MR833</t>
  </si>
  <si>
    <t>16 sqmm 3 core PVC/XLPE insulated armoured cable with copper conductors for working Voltages up to and including 1100 volts conforming IS 1584/part I/ 1988 for PVC IS 7098 part I for XLPE</t>
  </si>
  <si>
    <t>Say ₹ 684.94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</si>
  <si>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4 core 10 sq mm (90.12.37.33)</t>
  </si>
  <si>
    <t>MR858</t>
  </si>
  <si>
    <t>10 sqmm 4 core PVC /XLPE insulated armoured cable with copper conductors for working voltages up to and including 1100 volts conforming IS 1584/part I/ 1988 for PVC IS 7098 part I for XLPE</t>
  </si>
  <si>
    <t>Say ₹ 633.78 + 169.38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</si>
</sst>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3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Border="1" applyAlignment="1">
      <alignment horizontal="center" vertical="center" wrapText="1"/>
    </xf>
    <xf numFmtId="0" fontId="2" fillId="0" borderId="3" xfId="0" applyFont="1" applyBorder="1">
      <alignment/>
    </xf>
    <xf numFmtId="0" fontId="2" fillId="0" borderId="4" xfId="0" applyFont="1" applyBorder="1">
      <alignment/>
    </xf>
    <xf numFmtId="0" fontId="2" fillId="0" borderId="5" xfId="0" applyFont="1" applyBorder="1">
      <alignment/>
    </xf>
    <xf numFmtId="0" fontId="5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3" fillId="3" borderId="6" xfId="0" applyFont="1" applyBorder="1" applyAlignment="1">
      <alignment vertical="center" wrapText="1"/>
    </xf>
    <xf numFmtId="0" fontId="4" fillId="3" borderId="2" xfId="0" applyFont="1" applyBorder="1" applyAlignment="1">
      <alignment vertical="center" wrapText="1"/>
    </xf>
    <xf numFmtId="177" fontId="3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0" borderId="8" xfId="0" applyFont="1" applyBorder="1">
      <alignment/>
    </xf>
    <xf numFmtId="0" fontId="2" fillId="0" borderId="9" xfId="0" applyFont="1" applyBorder="1">
      <alignment/>
    </xf>
    <xf numFmtId="0" fontId="1" fillId="0" borderId="1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576867E-5075-4CB5-B948-9FFA08B8BAA6}">
  <dimension ref="A1:G279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50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50</v>
      </c>
      <c r="E8" s="13">
        <v>118.64</v>
      </c>
      <c r="F8" s="13">
        <f>D8*E8</f>
        <v>5932</v>
      </c>
      <c r="G8" s="13" t="s">
        <v>18</v>
      </c>
    </row>
    <row r="9" spans="1:7" ht="12.75">
      <c r="A9" s="11" t="s">
        <v>19</v>
      </c>
      <c r="B9" s="10"/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/>
      <c r="E10" s="13"/>
      <c r="F10" s="13">
        <f>F8*5%</f>
        <v>296.60</v>
      </c>
      <c r="G10" s="13" t="s">
        <v>22</v>
      </c>
    </row>
    <row r="11" spans="1:7" ht="12.75">
      <c r="A11" s="10"/>
      <c r="B11" s="11" t="s">
        <v>23</v>
      </c>
      <c r="C11" s="12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>
        <v>7</v>
      </c>
      <c r="E12" s="13">
        <v>675</v>
      </c>
      <c r="F12" s="13">
        <f>D12*E12</f>
        <v>4725</v>
      </c>
      <c r="G12" s="13" t="s">
        <v>26</v>
      </c>
    </row>
    <row r="13" spans="1:7" ht="12.75">
      <c r="A13" s="11" t="s">
        <v>19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21</v>
      </c>
      <c r="D14" s="13"/>
      <c r="E14" s="13"/>
      <c r="F14" s="13">
        <f>(F8+F10+F12)*1%</f>
        <v>109.536</v>
      </c>
      <c r="G14" s="13" t="s">
        <v>28</v>
      </c>
    </row>
    <row r="15" spans="1:7" ht="12.75">
      <c r="A15" s="9" t="s">
        <v>29</v>
      </c>
      <c r="B15" s="3"/>
      <c r="C15" s="4"/>
      <c r="D15" s="8">
        <v>50</v>
      </c>
      <c r="E15" s="8" t="s">
        <v>11</v>
      </c>
      <c r="F15" s="8">
        <f>F8+F10+F12+F14</f>
        <v>11063.136</v>
      </c>
      <c r="G15" s="8"/>
    </row>
    <row r="16" spans="1:7" ht="12.75">
      <c r="A16" s="9" t="s">
        <v>30</v>
      </c>
      <c r="B16" s="3"/>
      <c r="C16" s="4"/>
      <c r="D16" s="8">
        <v>1</v>
      </c>
      <c r="E16" s="8" t="s">
        <v>11</v>
      </c>
      <c r="F16" s="8">
        <f>F15/D15</f>
        <v>221.26272</v>
      </c>
      <c r="G16" s="8"/>
    </row>
    <row r="17" spans="1:7" ht="12.75">
      <c r="A17" s="9" t="s">
        <v>31</v>
      </c>
      <c r="B17" s="3"/>
      <c r="C17" s="3"/>
      <c r="D17" s="4"/>
      <c r="E17" s="15">
        <f>F8*105%*101%/D15</f>
        <v>125.81771999999999</v>
      </c>
      <c r="F17" s="8">
        <f>E17*1%</f>
        <v>1.2581772</v>
      </c>
      <c r="G17" s="8"/>
    </row>
    <row r="18" spans="1:7" ht="12.75">
      <c r="A18" s="9" t="s">
        <v>29</v>
      </c>
      <c r="B18" s="3"/>
      <c r="C18" s="3"/>
      <c r="D18" s="4"/>
      <c r="E18" s="8"/>
      <c r="F18" s="8">
        <f>F16+F17</f>
        <v>222.52089720000001</v>
      </c>
      <c r="G18" s="8"/>
    </row>
    <row r="19" spans="1:7" ht="12.75">
      <c r="A19" s="9" t="s">
        <v>32</v>
      </c>
      <c r="B19" s="3"/>
      <c r="C19" s="3"/>
      <c r="D19" s="4"/>
      <c r="E19" s="8">
        <f>F18</f>
        <v>222.52089720000001</v>
      </c>
      <c r="F19" s="8">
        <f>E19*15%</f>
        <v>33.378134580000001</v>
      </c>
      <c r="G19" s="8"/>
    </row>
    <row r="20" spans="1:7" ht="12.75">
      <c r="A20" s="16" t="s">
        <v>29</v>
      </c>
      <c r="B20" s="3"/>
      <c r="C20" s="3"/>
      <c r="D20" s="4"/>
      <c r="E20" s="8"/>
      <c r="F20" s="17">
        <f>ROUND(F18+F19,2)</f>
        <v>255.90</v>
      </c>
      <c r="G20" s="8"/>
    </row>
    <row r="21" spans="1:7" ht="12.75">
      <c r="A21" s="11">
        <v>1001</v>
      </c>
      <c r="B21" s="10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25</v>
      </c>
      <c r="D22" s="13">
        <v>1</v>
      </c>
      <c r="E22" s="13">
        <v>806</v>
      </c>
      <c r="F22" s="13">
        <f>E22*D22</f>
        <v>806</v>
      </c>
      <c r="G22" s="13" t="s">
        <v>34</v>
      </c>
    </row>
    <row r="23" spans="1:7" ht="12.75">
      <c r="A23" s="11" t="s">
        <v>19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21</v>
      </c>
      <c r="D24" s="13"/>
      <c r="E24" s="13"/>
      <c r="F24" s="13">
        <f>F22*1%</f>
        <v>8.06</v>
      </c>
      <c r="G24" s="13" t="s">
        <v>36</v>
      </c>
    </row>
    <row r="25" spans="1:7" ht="12.75">
      <c r="A25" s="13">
        <v>14.40</v>
      </c>
      <c r="B25" s="13"/>
      <c r="C25" s="12" t="s">
        <v>37</v>
      </c>
      <c r="D25" s="3"/>
      <c r="E25" s="4"/>
      <c r="F25" s="13"/>
      <c r="G25" s="13"/>
    </row>
    <row r="26" spans="1:7" ht="12.75">
      <c r="A26" s="13"/>
      <c r="B26" s="13"/>
      <c r="C26" s="13" t="s">
        <v>38</v>
      </c>
      <c r="D26" s="13">
        <v>13.13</v>
      </c>
      <c r="E26" s="13">
        <v>498.87</v>
      </c>
      <c r="F26" s="13">
        <f>D26*E26</f>
        <v>6550.1630999999998</v>
      </c>
      <c r="G26" s="13" t="s">
        <v>39</v>
      </c>
    </row>
    <row r="27" spans="1:7" ht="12.75">
      <c r="A27" s="9" t="s">
        <v>29</v>
      </c>
      <c r="B27" s="3"/>
      <c r="C27" s="4"/>
      <c r="D27" s="8">
        <v>50</v>
      </c>
      <c r="E27" s="8" t="s">
        <v>11</v>
      </c>
      <c r="F27" s="8">
        <f>F22+F24+F26</f>
        <v>7364.2231000000002</v>
      </c>
      <c r="G27" s="8"/>
    </row>
    <row r="28" spans="1:7" ht="12.75">
      <c r="A28" s="9" t="s">
        <v>30</v>
      </c>
      <c r="B28" s="3"/>
      <c r="C28" s="4"/>
      <c r="D28" s="8">
        <v>1</v>
      </c>
      <c r="E28" s="8" t="s">
        <v>11</v>
      </c>
      <c r="F28" s="8">
        <f>F27/D27</f>
        <v>147.28446199999999</v>
      </c>
      <c r="G28" s="8"/>
    </row>
    <row r="29" spans="1:7" ht="12.75">
      <c r="A29" s="9" t="s">
        <v>32</v>
      </c>
      <c r="B29" s="3"/>
      <c r="C29" s="3"/>
      <c r="D29" s="4"/>
      <c r="E29" s="8">
        <f>F28</f>
        <v>147.28446199999999</v>
      </c>
      <c r="F29" s="8">
        <f>E29*15%</f>
        <v>22.092669300000001</v>
      </c>
      <c r="G29" s="8"/>
    </row>
    <row r="30" spans="1:7" ht="12.75">
      <c r="A30" s="16" t="s">
        <v>29</v>
      </c>
      <c r="B30" s="3"/>
      <c r="C30" s="3"/>
      <c r="D30" s="4"/>
      <c r="E30" s="8"/>
      <c r="F30" s="17">
        <f>ROUND(F28+F29,2)</f>
        <v>169.38</v>
      </c>
      <c r="G30" s="8"/>
    </row>
    <row r="31" spans="1:7" ht="12.75">
      <c r="A31" s="18" t="s">
        <v>40</v>
      </c>
      <c r="B31" s="3"/>
      <c r="C31" s="3"/>
      <c r="D31" s="3"/>
      <c r="E31" s="3"/>
      <c r="F31" s="4"/>
      <c r="G31" s="17" t="s">
        <v>41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42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50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43</v>
      </c>
      <c r="C38" s="12" t="s">
        <v>44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50</v>
      </c>
      <c r="E39" s="13">
        <v>159.32</v>
      </c>
      <c r="F39" s="13">
        <f>D39*E39</f>
        <v>7966</v>
      </c>
      <c r="G39" s="13" t="s">
        <v>18</v>
      </c>
    </row>
    <row r="40" spans="1:7" ht="12.75">
      <c r="A40" s="11" t="s">
        <v>19</v>
      </c>
      <c r="B40" s="10"/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/>
      <c r="E41" s="13"/>
      <c r="F41" s="13">
        <f>F39*5%</f>
        <v>398.30</v>
      </c>
      <c r="G41" s="13" t="s">
        <v>22</v>
      </c>
    </row>
    <row r="42" spans="1:7" ht="12.75">
      <c r="A42" s="10"/>
      <c r="B42" s="11" t="s">
        <v>23</v>
      </c>
      <c r="C42" s="12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>
        <v>7</v>
      </c>
      <c r="E43" s="13">
        <v>675</v>
      </c>
      <c r="F43" s="13">
        <f>D43*E43</f>
        <v>4725</v>
      </c>
      <c r="G43" s="13" t="s">
        <v>26</v>
      </c>
    </row>
    <row r="44" spans="1:7" ht="12.75">
      <c r="A44" s="11" t="s">
        <v>19</v>
      </c>
      <c r="B44" s="10"/>
      <c r="C44" s="14" t="s">
        <v>27</v>
      </c>
      <c r="D44" s="3"/>
      <c r="E44" s="4"/>
      <c r="F44" s="12"/>
      <c r="G44" s="4"/>
    </row>
    <row r="45" spans="1:7" ht="12.75">
      <c r="A45" s="5"/>
      <c r="B45" s="5"/>
      <c r="C45" s="13" t="s">
        <v>21</v>
      </c>
      <c r="D45" s="13"/>
      <c r="E45" s="13"/>
      <c r="F45" s="13">
        <f>(F39+F41+F43)*1%</f>
        <v>130.893</v>
      </c>
      <c r="G45" s="13" t="s">
        <v>28</v>
      </c>
    </row>
    <row r="46" spans="1:7" ht="12.75">
      <c r="A46" s="9" t="s">
        <v>29</v>
      </c>
      <c r="B46" s="3"/>
      <c r="C46" s="4"/>
      <c r="D46" s="8">
        <v>50</v>
      </c>
      <c r="E46" s="8" t="s">
        <v>11</v>
      </c>
      <c r="F46" s="8">
        <f>F39+F41+F43+F45</f>
        <v>13220.192999999999</v>
      </c>
      <c r="G46" s="8"/>
    </row>
    <row r="47" spans="1:7" ht="12.75">
      <c r="A47" s="9" t="s">
        <v>30</v>
      </c>
      <c r="B47" s="3"/>
      <c r="C47" s="4"/>
      <c r="D47" s="8">
        <v>1</v>
      </c>
      <c r="E47" s="8" t="s">
        <v>11</v>
      </c>
      <c r="F47" s="8">
        <f>F46/D46</f>
        <v>264.40386000000001</v>
      </c>
      <c r="G47" s="8"/>
    </row>
    <row r="48" spans="1:7" ht="12.75">
      <c r="A48" s="9" t="s">
        <v>31</v>
      </c>
      <c r="B48" s="3"/>
      <c r="C48" s="3"/>
      <c r="D48" s="4"/>
      <c r="E48" s="15">
        <f>F39*105%*101%/D46</f>
        <v>168.95885999999999</v>
      </c>
      <c r="F48" s="8">
        <f>E48*1%</f>
        <v>1.6895886</v>
      </c>
      <c r="G48" s="8"/>
    </row>
    <row r="49" spans="1:7" ht="12.75">
      <c r="A49" s="9" t="s">
        <v>29</v>
      </c>
      <c r="B49" s="3"/>
      <c r="C49" s="3"/>
      <c r="D49" s="4"/>
      <c r="E49" s="8"/>
      <c r="F49" s="8">
        <f>F47+F48</f>
        <v>266.09344859999999</v>
      </c>
      <c r="G49" s="8"/>
    </row>
    <row r="50" spans="1:7" ht="12.75">
      <c r="A50" s="9" t="s">
        <v>32</v>
      </c>
      <c r="B50" s="3"/>
      <c r="C50" s="3"/>
      <c r="D50" s="4"/>
      <c r="E50" s="8">
        <f>F49</f>
        <v>266.09344859999999</v>
      </c>
      <c r="F50" s="8">
        <f>E50*15%</f>
        <v>39.914017289999997</v>
      </c>
      <c r="G50" s="8"/>
    </row>
    <row r="51" spans="1:7" ht="12.75">
      <c r="A51" s="16" t="s">
        <v>29</v>
      </c>
      <c r="B51" s="3"/>
      <c r="C51" s="3"/>
      <c r="D51" s="4"/>
      <c r="E51" s="8"/>
      <c r="F51" s="17">
        <f>ROUND(F49+F50,2)</f>
        <v>306.01</v>
      </c>
      <c r="G51" s="8"/>
    </row>
    <row r="52" spans="1:7" ht="12.75">
      <c r="A52" s="11">
        <v>1001</v>
      </c>
      <c r="B52" s="10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25</v>
      </c>
      <c r="D53" s="13">
        <v>1</v>
      </c>
      <c r="E53" s="13">
        <v>806</v>
      </c>
      <c r="F53" s="13">
        <f>E53*D53</f>
        <v>806</v>
      </c>
      <c r="G53" s="13" t="s">
        <v>34</v>
      </c>
    </row>
    <row r="54" spans="1:7" ht="12.75">
      <c r="A54" s="11" t="s">
        <v>19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21</v>
      </c>
      <c r="D55" s="13"/>
      <c r="E55" s="13"/>
      <c r="F55" s="13">
        <f>F53*1%</f>
        <v>8.06</v>
      </c>
      <c r="G55" s="13" t="s">
        <v>36</v>
      </c>
    </row>
    <row r="56" spans="1:7" ht="12.75">
      <c r="A56" s="13">
        <v>14.40</v>
      </c>
      <c r="B56" s="13"/>
      <c r="C56" s="12" t="s">
        <v>37</v>
      </c>
      <c r="D56" s="3"/>
      <c r="E56" s="4"/>
      <c r="F56" s="13"/>
      <c r="G56" s="13"/>
    </row>
    <row r="57" spans="1:7" ht="12.75">
      <c r="A57" s="13"/>
      <c r="B57" s="13"/>
      <c r="C57" s="13" t="s">
        <v>38</v>
      </c>
      <c r="D57" s="13">
        <v>13.13</v>
      </c>
      <c r="E57" s="13">
        <v>498.87</v>
      </c>
      <c r="F57" s="13">
        <f>D57*E57</f>
        <v>6550.1630999999998</v>
      </c>
      <c r="G57" s="13" t="s">
        <v>39</v>
      </c>
    </row>
    <row r="58" spans="1:7" ht="12.75">
      <c r="A58" s="9" t="s">
        <v>29</v>
      </c>
      <c r="B58" s="3"/>
      <c r="C58" s="4"/>
      <c r="D58" s="8">
        <v>50</v>
      </c>
      <c r="E58" s="8" t="s">
        <v>11</v>
      </c>
      <c r="F58" s="8">
        <f>F53+F55+F57</f>
        <v>7364.2231000000002</v>
      </c>
      <c r="G58" s="8"/>
    </row>
    <row r="59" spans="1:7" ht="12.75">
      <c r="A59" s="9" t="s">
        <v>30</v>
      </c>
      <c r="B59" s="3"/>
      <c r="C59" s="4"/>
      <c r="D59" s="8">
        <v>1</v>
      </c>
      <c r="E59" s="8" t="s">
        <v>11</v>
      </c>
      <c r="F59" s="8">
        <f>F58/D58</f>
        <v>147.28446199999999</v>
      </c>
      <c r="G59" s="8"/>
    </row>
    <row r="60" spans="1:7" ht="12.75">
      <c r="A60" s="9" t="s">
        <v>32</v>
      </c>
      <c r="B60" s="3"/>
      <c r="C60" s="3"/>
      <c r="D60" s="4"/>
      <c r="E60" s="8">
        <f>F59</f>
        <v>147.28446199999999</v>
      </c>
      <c r="F60" s="8">
        <f>E60*15%</f>
        <v>22.092669300000001</v>
      </c>
      <c r="G60" s="8"/>
    </row>
    <row r="61" spans="1:7" ht="12.75">
      <c r="A61" s="16" t="s">
        <v>29</v>
      </c>
      <c r="B61" s="3"/>
      <c r="C61" s="3"/>
      <c r="D61" s="4"/>
      <c r="E61" s="8"/>
      <c r="F61" s="17">
        <f>ROUND(F59+F60,2)</f>
        <v>169.38</v>
      </c>
      <c r="G61" s="8"/>
    </row>
    <row r="62" spans="1:7" ht="12.75">
      <c r="A62" s="18" t="s">
        <v>45</v>
      </c>
      <c r="B62" s="3"/>
      <c r="C62" s="3"/>
      <c r="D62" s="3"/>
      <c r="E62" s="3"/>
      <c r="F62" s="4"/>
      <c r="G62" s="17" t="s">
        <v>41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46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50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47</v>
      </c>
      <c r="C69" s="12" t="s">
        <v>48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50</v>
      </c>
      <c r="E70" s="13">
        <v>241.53</v>
      </c>
      <c r="F70" s="13">
        <f>D70*E70</f>
        <v>12076.50</v>
      </c>
      <c r="G70" s="13" t="s">
        <v>18</v>
      </c>
    </row>
    <row r="71" spans="1:7" ht="12.75">
      <c r="A71" s="11" t="s">
        <v>19</v>
      </c>
      <c r="B71" s="10"/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/>
      <c r="E72" s="13"/>
      <c r="F72" s="13">
        <f>F70*5%</f>
        <v>603.825</v>
      </c>
      <c r="G72" s="13" t="s">
        <v>22</v>
      </c>
    </row>
    <row r="73" spans="1:7" ht="12.75">
      <c r="A73" s="10"/>
      <c r="B73" s="11" t="s">
        <v>23</v>
      </c>
      <c r="C73" s="12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>
        <v>7</v>
      </c>
      <c r="E74" s="13">
        <v>675</v>
      </c>
      <c r="F74" s="13">
        <f>D74*E74</f>
        <v>4725</v>
      </c>
      <c r="G74" s="13" t="s">
        <v>26</v>
      </c>
    </row>
    <row r="75" spans="1:7" ht="12.75">
      <c r="A75" s="11" t="s">
        <v>19</v>
      </c>
      <c r="B75" s="10"/>
      <c r="C75" s="14" t="s">
        <v>27</v>
      </c>
      <c r="D75" s="3"/>
      <c r="E75" s="4"/>
      <c r="F75" s="12"/>
      <c r="G75" s="4"/>
    </row>
    <row r="76" spans="1:7" ht="12.75">
      <c r="A76" s="5"/>
      <c r="B76" s="5"/>
      <c r="C76" s="13" t="s">
        <v>21</v>
      </c>
      <c r="D76" s="13"/>
      <c r="E76" s="13"/>
      <c r="F76" s="13">
        <f>(F70+F72+F74)*1%</f>
        <v>174.05324999999999</v>
      </c>
      <c r="G76" s="13" t="s">
        <v>28</v>
      </c>
    </row>
    <row r="77" spans="1:7" ht="12.75">
      <c r="A77" s="9" t="s">
        <v>29</v>
      </c>
      <c r="B77" s="3"/>
      <c r="C77" s="4"/>
      <c r="D77" s="8">
        <v>50</v>
      </c>
      <c r="E77" s="8" t="s">
        <v>11</v>
      </c>
      <c r="F77" s="8">
        <f>F70+F72+F74+F76</f>
        <v>17579.378250000002</v>
      </c>
      <c r="G77" s="8"/>
    </row>
    <row r="78" spans="1:7" ht="12.75">
      <c r="A78" s="9" t="s">
        <v>30</v>
      </c>
      <c r="B78" s="3"/>
      <c r="C78" s="4"/>
      <c r="D78" s="8">
        <v>1</v>
      </c>
      <c r="E78" s="8" t="s">
        <v>11</v>
      </c>
      <c r="F78" s="8">
        <f>F77/D77</f>
        <v>351.58756499999998</v>
      </c>
      <c r="G78" s="8"/>
    </row>
    <row r="79" spans="1:7" ht="12.75">
      <c r="A79" s="9" t="s">
        <v>31</v>
      </c>
      <c r="B79" s="3"/>
      <c r="C79" s="3"/>
      <c r="D79" s="4"/>
      <c r="E79" s="15">
        <f>F70*105%*101%/D77</f>
        <v>256.14256499999999</v>
      </c>
      <c r="F79" s="8">
        <f>E79*1%</f>
        <v>2.5614256499999999</v>
      </c>
      <c r="G79" s="8"/>
    </row>
    <row r="80" spans="1:7" ht="12.75">
      <c r="A80" s="9" t="s">
        <v>29</v>
      </c>
      <c r="B80" s="3"/>
      <c r="C80" s="3"/>
      <c r="D80" s="4"/>
      <c r="E80" s="8"/>
      <c r="F80" s="8">
        <f>F78+F79</f>
        <v>354.14899070000001</v>
      </c>
      <c r="G80" s="8"/>
    </row>
    <row r="81" spans="1:7" ht="12.75">
      <c r="A81" s="9" t="s">
        <v>32</v>
      </c>
      <c r="B81" s="3"/>
      <c r="C81" s="3"/>
      <c r="D81" s="4"/>
      <c r="E81" s="8">
        <f>F80</f>
        <v>354.14899070000001</v>
      </c>
      <c r="F81" s="8">
        <f>E81*15%</f>
        <v>53.122348600000002</v>
      </c>
      <c r="G81" s="8"/>
    </row>
    <row r="82" spans="1:7" ht="12.75">
      <c r="A82" s="16" t="s">
        <v>29</v>
      </c>
      <c r="B82" s="3"/>
      <c r="C82" s="3"/>
      <c r="D82" s="4"/>
      <c r="E82" s="8"/>
      <c r="F82" s="17">
        <f>ROUND(F80+F81,2)</f>
        <v>407.27</v>
      </c>
      <c r="G82" s="8"/>
    </row>
    <row r="83" spans="1:7" ht="12.75">
      <c r="A83" s="11">
        <v>1001</v>
      </c>
      <c r="B83" s="10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25</v>
      </c>
      <c r="D84" s="13">
        <v>1</v>
      </c>
      <c r="E84" s="13">
        <v>806</v>
      </c>
      <c r="F84" s="13">
        <f>E84*D84</f>
        <v>806</v>
      </c>
      <c r="G84" s="13" t="s">
        <v>34</v>
      </c>
    </row>
    <row r="85" spans="1:7" ht="12.75">
      <c r="A85" s="11" t="s">
        <v>19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21</v>
      </c>
      <c r="D86" s="13"/>
      <c r="E86" s="13"/>
      <c r="F86" s="13">
        <f>F84*1%</f>
        <v>8.06</v>
      </c>
      <c r="G86" s="13" t="s">
        <v>36</v>
      </c>
    </row>
    <row r="87" spans="1:7" ht="12.75">
      <c r="A87" s="13">
        <v>14.40</v>
      </c>
      <c r="B87" s="13"/>
      <c r="C87" s="12" t="s">
        <v>37</v>
      </c>
      <c r="D87" s="3"/>
      <c r="E87" s="4"/>
      <c r="F87" s="13"/>
      <c r="G87" s="13"/>
    </row>
    <row r="88" spans="1:7" ht="12.75">
      <c r="A88" s="13"/>
      <c r="B88" s="13"/>
      <c r="C88" s="13" t="s">
        <v>38</v>
      </c>
      <c r="D88" s="13">
        <v>13.13</v>
      </c>
      <c r="E88" s="13">
        <v>498.87</v>
      </c>
      <c r="F88" s="13">
        <f>D88*E88</f>
        <v>6550.1630999999998</v>
      </c>
      <c r="G88" s="13" t="s">
        <v>39</v>
      </c>
    </row>
    <row r="89" spans="1:7" ht="12.75">
      <c r="A89" s="9" t="s">
        <v>29</v>
      </c>
      <c r="B89" s="3"/>
      <c r="C89" s="4"/>
      <c r="D89" s="8">
        <v>50</v>
      </c>
      <c r="E89" s="8" t="s">
        <v>11</v>
      </c>
      <c r="F89" s="8">
        <f>F84+F86+F88</f>
        <v>7364.2231000000002</v>
      </c>
      <c r="G89" s="8"/>
    </row>
    <row r="90" spans="1:7" ht="12.75">
      <c r="A90" s="9" t="s">
        <v>30</v>
      </c>
      <c r="B90" s="3"/>
      <c r="C90" s="4"/>
      <c r="D90" s="8">
        <v>1</v>
      </c>
      <c r="E90" s="8" t="s">
        <v>11</v>
      </c>
      <c r="F90" s="8">
        <f>F89/D89</f>
        <v>147.28446199999999</v>
      </c>
      <c r="G90" s="8"/>
    </row>
    <row r="91" spans="1:7" ht="12.75">
      <c r="A91" s="9" t="s">
        <v>32</v>
      </c>
      <c r="B91" s="3"/>
      <c r="C91" s="3"/>
      <c r="D91" s="4"/>
      <c r="E91" s="8">
        <f>F90</f>
        <v>147.28446199999999</v>
      </c>
      <c r="F91" s="8">
        <f>E91*15%</f>
        <v>22.092669300000001</v>
      </c>
      <c r="G91" s="8"/>
    </row>
    <row r="92" spans="1:7" ht="12.75">
      <c r="A92" s="16" t="s">
        <v>29</v>
      </c>
      <c r="B92" s="3"/>
      <c r="C92" s="3"/>
      <c r="D92" s="4"/>
      <c r="E92" s="8"/>
      <c r="F92" s="17">
        <f>ROUND(F90+F91,2)</f>
        <v>169.38</v>
      </c>
      <c r="G92" s="8"/>
    </row>
    <row r="93" spans="1:7" ht="12.75">
      <c r="A93" s="18" t="s">
        <v>49</v>
      </c>
      <c r="B93" s="3"/>
      <c r="C93" s="3"/>
      <c r="D93" s="3"/>
      <c r="E93" s="3"/>
      <c r="F93" s="4"/>
      <c r="G93" s="17" t="s">
        <v>41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50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50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51</v>
      </c>
      <c r="C100" s="12" t="s">
        <v>52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50</v>
      </c>
      <c r="E101" s="13">
        <v>343.22</v>
      </c>
      <c r="F101" s="13">
        <f>D101*E101</f>
        <v>17161</v>
      </c>
      <c r="G101" s="13" t="s">
        <v>18</v>
      </c>
    </row>
    <row r="102" spans="1:7" ht="12.75">
      <c r="A102" s="11" t="s">
        <v>19</v>
      </c>
      <c r="B102" s="10"/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/>
      <c r="E103" s="13"/>
      <c r="F103" s="13">
        <f>F101*5%</f>
        <v>858.05</v>
      </c>
      <c r="G103" s="13" t="s">
        <v>22</v>
      </c>
    </row>
    <row r="104" spans="1:7" ht="12.75">
      <c r="A104" s="10"/>
      <c r="B104" s="11" t="s">
        <v>23</v>
      </c>
      <c r="C104" s="12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>
        <v>7</v>
      </c>
      <c r="E105" s="13">
        <v>675</v>
      </c>
      <c r="F105" s="13">
        <f>D105*E105</f>
        <v>4725</v>
      </c>
      <c r="G105" s="13" t="s">
        <v>26</v>
      </c>
    </row>
    <row r="106" spans="1:7" ht="12.75">
      <c r="A106" s="11" t="s">
        <v>19</v>
      </c>
      <c r="B106" s="10"/>
      <c r="C106" s="14" t="s">
        <v>27</v>
      </c>
      <c r="D106" s="3"/>
      <c r="E106" s="4"/>
      <c r="F106" s="12"/>
      <c r="G106" s="4"/>
    </row>
    <row r="107" spans="1:7" ht="12.75">
      <c r="A107" s="5"/>
      <c r="B107" s="5"/>
      <c r="C107" s="13" t="s">
        <v>21</v>
      </c>
      <c r="D107" s="13"/>
      <c r="E107" s="13"/>
      <c r="F107" s="13">
        <f>(F101+F103+F105)*1%</f>
        <v>227.44049999999999</v>
      </c>
      <c r="G107" s="13" t="s">
        <v>28</v>
      </c>
    </row>
    <row r="108" spans="1:7" ht="12.75">
      <c r="A108" s="9" t="s">
        <v>29</v>
      </c>
      <c r="B108" s="3"/>
      <c r="C108" s="4"/>
      <c r="D108" s="8">
        <v>50</v>
      </c>
      <c r="E108" s="8" t="s">
        <v>11</v>
      </c>
      <c r="F108" s="8">
        <f>F101+F103+F105+F107</f>
        <v>22971.4905</v>
      </c>
      <c r="G108" s="8"/>
    </row>
    <row r="109" spans="1:7" ht="12.75">
      <c r="A109" s="9" t="s">
        <v>30</v>
      </c>
      <c r="B109" s="3"/>
      <c r="C109" s="4"/>
      <c r="D109" s="8">
        <v>1</v>
      </c>
      <c r="E109" s="8" t="s">
        <v>11</v>
      </c>
      <c r="F109" s="8">
        <f>F108/D108</f>
        <v>459.42980999999997</v>
      </c>
      <c r="G109" s="8"/>
    </row>
    <row r="110" spans="1:7" ht="12.75">
      <c r="A110" s="9" t="s">
        <v>31</v>
      </c>
      <c r="B110" s="3"/>
      <c r="C110" s="3"/>
      <c r="D110" s="4"/>
      <c r="E110" s="15">
        <f>F101*105%*101%/D108</f>
        <v>363.98480999999998</v>
      </c>
      <c r="F110" s="8">
        <f>E110*1%</f>
        <v>3.6398481</v>
      </c>
      <c r="G110" s="8"/>
    </row>
    <row r="111" spans="1:7" ht="12.75">
      <c r="A111" s="9" t="s">
        <v>29</v>
      </c>
      <c r="B111" s="3"/>
      <c r="C111" s="3"/>
      <c r="D111" s="4"/>
      <c r="E111" s="8"/>
      <c r="F111" s="8">
        <f>F109+F110</f>
        <v>463.06965810000003</v>
      </c>
      <c r="G111" s="8"/>
    </row>
    <row r="112" spans="1:7" ht="12.75">
      <c r="A112" s="9" t="s">
        <v>32</v>
      </c>
      <c r="B112" s="3"/>
      <c r="C112" s="3"/>
      <c r="D112" s="4"/>
      <c r="E112" s="8">
        <f>F111</f>
        <v>463.06965810000003</v>
      </c>
      <c r="F112" s="8">
        <f>E112*15%</f>
        <v>69.460448720000002</v>
      </c>
      <c r="G112" s="8"/>
    </row>
    <row r="113" spans="1:7" ht="12.75">
      <c r="A113" s="16" t="s">
        <v>29</v>
      </c>
      <c r="B113" s="3"/>
      <c r="C113" s="3"/>
      <c r="D113" s="4"/>
      <c r="E113" s="8"/>
      <c r="F113" s="17">
        <f>ROUND(F111+F112,2)</f>
        <v>532.53</v>
      </c>
      <c r="G113" s="8"/>
    </row>
    <row r="114" spans="1:7" ht="12.75">
      <c r="A114" s="11">
        <v>1001</v>
      </c>
      <c r="B114" s="10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25</v>
      </c>
      <c r="D115" s="13">
        <v>1</v>
      </c>
      <c r="E115" s="13">
        <v>806</v>
      </c>
      <c r="F115" s="13">
        <f>E115*D115</f>
        <v>806</v>
      </c>
      <c r="G115" s="13" t="s">
        <v>34</v>
      </c>
    </row>
    <row r="116" spans="1:7" ht="12.75">
      <c r="A116" s="11" t="s">
        <v>19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21</v>
      </c>
      <c r="D117" s="13"/>
      <c r="E117" s="13"/>
      <c r="F117" s="13">
        <f>F115*1%</f>
        <v>8.06</v>
      </c>
      <c r="G117" s="13" t="s">
        <v>36</v>
      </c>
    </row>
    <row r="118" spans="1:7" ht="12.75">
      <c r="A118" s="13">
        <v>14.40</v>
      </c>
      <c r="B118" s="13"/>
      <c r="C118" s="12" t="s">
        <v>37</v>
      </c>
      <c r="D118" s="3"/>
      <c r="E118" s="4"/>
      <c r="F118" s="13"/>
      <c r="G118" s="13"/>
    </row>
    <row r="119" spans="1:7" ht="12.75">
      <c r="A119" s="13"/>
      <c r="B119" s="13"/>
      <c r="C119" s="13" t="s">
        <v>38</v>
      </c>
      <c r="D119" s="13">
        <v>13.13</v>
      </c>
      <c r="E119" s="13">
        <v>498.87</v>
      </c>
      <c r="F119" s="13">
        <f>D119*E119</f>
        <v>6550.1630999999998</v>
      </c>
      <c r="G119" s="13" t="s">
        <v>39</v>
      </c>
    </row>
    <row r="120" spans="1:7" ht="12.75">
      <c r="A120" s="9" t="s">
        <v>29</v>
      </c>
      <c r="B120" s="3"/>
      <c r="C120" s="4"/>
      <c r="D120" s="8">
        <v>50</v>
      </c>
      <c r="E120" s="8" t="s">
        <v>11</v>
      </c>
      <c r="F120" s="8">
        <f>F115+F117+F119</f>
        <v>7364.2231000000002</v>
      </c>
      <c r="G120" s="8"/>
    </row>
    <row r="121" spans="1:7" ht="12.75">
      <c r="A121" s="9" t="s">
        <v>30</v>
      </c>
      <c r="B121" s="3"/>
      <c r="C121" s="4"/>
      <c r="D121" s="8">
        <v>1</v>
      </c>
      <c r="E121" s="8" t="s">
        <v>11</v>
      </c>
      <c r="F121" s="8">
        <f>F120/D120</f>
        <v>147.28446199999999</v>
      </c>
      <c r="G121" s="8"/>
    </row>
    <row r="122" spans="1:7" ht="12.75">
      <c r="A122" s="9" t="s">
        <v>32</v>
      </c>
      <c r="B122" s="3"/>
      <c r="C122" s="3"/>
      <c r="D122" s="4"/>
      <c r="E122" s="8">
        <f>F121</f>
        <v>147.28446199999999</v>
      </c>
      <c r="F122" s="8">
        <f>E122*15%</f>
        <v>22.092669300000001</v>
      </c>
      <c r="G122" s="8"/>
    </row>
    <row r="123" spans="1:7" ht="12.75">
      <c r="A123" s="16" t="s">
        <v>29</v>
      </c>
      <c r="B123" s="3"/>
      <c r="C123" s="3"/>
      <c r="D123" s="4"/>
      <c r="E123" s="8"/>
      <c r="F123" s="17">
        <f>ROUND(F121+F122,2)</f>
        <v>169.38</v>
      </c>
      <c r="G123" s="8"/>
    </row>
    <row r="124" spans="1:7" ht="12.75">
      <c r="A124" s="18" t="s">
        <v>53</v>
      </c>
      <c r="B124" s="3"/>
      <c r="C124" s="3"/>
      <c r="D124" s="3"/>
      <c r="E124" s="3"/>
      <c r="F124" s="4"/>
      <c r="G124" s="17" t="s">
        <v>41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54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50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55</v>
      </c>
      <c r="C131" s="12" t="s">
        <v>56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50</v>
      </c>
      <c r="E132" s="13">
        <v>153.39</v>
      </c>
      <c r="F132" s="13">
        <f>D132*E132</f>
        <v>7669.50</v>
      </c>
      <c r="G132" s="13" t="s">
        <v>18</v>
      </c>
    </row>
    <row r="133" spans="1:7" ht="12.75">
      <c r="A133" s="11" t="s">
        <v>19</v>
      </c>
      <c r="B133" s="10"/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/>
      <c r="E134" s="13"/>
      <c r="F134" s="13">
        <f>F132*5%</f>
        <v>383.475</v>
      </c>
      <c r="G134" s="13" t="s">
        <v>22</v>
      </c>
    </row>
    <row r="135" spans="1:7" ht="12.75">
      <c r="A135" s="10"/>
      <c r="B135" s="11" t="s">
        <v>23</v>
      </c>
      <c r="C135" s="12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>
        <v>7</v>
      </c>
      <c r="E136" s="13">
        <v>675</v>
      </c>
      <c r="F136" s="13">
        <f>D136*E136</f>
        <v>4725</v>
      </c>
      <c r="G136" s="13" t="s">
        <v>26</v>
      </c>
    </row>
    <row r="137" spans="1:7" ht="12.75">
      <c r="A137" s="11" t="s">
        <v>19</v>
      </c>
      <c r="B137" s="10"/>
      <c r="C137" s="14" t="s">
        <v>27</v>
      </c>
      <c r="D137" s="3"/>
      <c r="E137" s="4"/>
      <c r="F137" s="12"/>
      <c r="G137" s="4"/>
    </row>
    <row r="138" spans="1:7" ht="12.75">
      <c r="A138" s="5"/>
      <c r="B138" s="5"/>
      <c r="C138" s="13" t="s">
        <v>21</v>
      </c>
      <c r="D138" s="13"/>
      <c r="E138" s="13"/>
      <c r="F138" s="13">
        <f>(F132+F134+F136)*1%</f>
        <v>127.77975000000001</v>
      </c>
      <c r="G138" s="13" t="s">
        <v>28</v>
      </c>
    </row>
    <row r="139" spans="1:7" ht="12.75">
      <c r="A139" s="9" t="s">
        <v>29</v>
      </c>
      <c r="B139" s="3"/>
      <c r="C139" s="4"/>
      <c r="D139" s="8">
        <v>50</v>
      </c>
      <c r="E139" s="8" t="s">
        <v>11</v>
      </c>
      <c r="F139" s="8">
        <f>F132+F134+F136+F138</f>
        <v>12905.75475</v>
      </c>
      <c r="G139" s="8"/>
    </row>
    <row r="140" spans="1:7" ht="12.75">
      <c r="A140" s="9" t="s">
        <v>30</v>
      </c>
      <c r="B140" s="3"/>
      <c r="C140" s="4"/>
      <c r="D140" s="8">
        <v>1</v>
      </c>
      <c r="E140" s="8" t="s">
        <v>11</v>
      </c>
      <c r="F140" s="8">
        <f>F139/D139</f>
        <v>258.115095</v>
      </c>
      <c r="G140" s="8"/>
    </row>
    <row r="141" spans="1:7" ht="12.75">
      <c r="A141" s="9" t="s">
        <v>31</v>
      </c>
      <c r="B141" s="3"/>
      <c r="C141" s="3"/>
      <c r="D141" s="4"/>
      <c r="E141" s="15">
        <f>F132*105%*101%/D139</f>
        <v>162.670095</v>
      </c>
      <c r="F141" s="8">
        <f>E141*1%</f>
        <v>1.62670095</v>
      </c>
      <c r="G141" s="8"/>
    </row>
    <row r="142" spans="1:7" ht="12.75">
      <c r="A142" s="9" t="s">
        <v>29</v>
      </c>
      <c r="B142" s="3"/>
      <c r="C142" s="3"/>
      <c r="D142" s="4"/>
      <c r="E142" s="8"/>
      <c r="F142" s="8">
        <f>F140+F141</f>
        <v>259.74179600000002</v>
      </c>
      <c r="G142" s="8"/>
    </row>
    <row r="143" spans="1:7" ht="12.75">
      <c r="A143" s="9" t="s">
        <v>32</v>
      </c>
      <c r="B143" s="3"/>
      <c r="C143" s="3"/>
      <c r="D143" s="4"/>
      <c r="E143" s="8">
        <f>F142</f>
        <v>259.74179600000002</v>
      </c>
      <c r="F143" s="8">
        <f>E143*15%</f>
        <v>38.961269389999998</v>
      </c>
      <c r="G143" s="8"/>
    </row>
    <row r="144" spans="1:7" ht="12.75">
      <c r="A144" s="16" t="s">
        <v>29</v>
      </c>
      <c r="B144" s="3"/>
      <c r="C144" s="3"/>
      <c r="D144" s="4"/>
      <c r="E144" s="8"/>
      <c r="F144" s="17">
        <f>ROUND(F142+F143,2)</f>
        <v>298.70</v>
      </c>
      <c r="G144" s="8"/>
    </row>
    <row r="145" spans="1:7" ht="12.75">
      <c r="A145" s="11">
        <v>1001</v>
      </c>
      <c r="B145" s="10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25</v>
      </c>
      <c r="D146" s="13">
        <v>1</v>
      </c>
      <c r="E146" s="13">
        <v>806</v>
      </c>
      <c r="F146" s="13">
        <f>E146*D146</f>
        <v>806</v>
      </c>
      <c r="G146" s="13" t="s">
        <v>34</v>
      </c>
    </row>
    <row r="147" spans="1:7" ht="12.75">
      <c r="A147" s="11" t="s">
        <v>19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21</v>
      </c>
      <c r="D148" s="13"/>
      <c r="E148" s="13"/>
      <c r="F148" s="13">
        <f>F146*1%</f>
        <v>8.06</v>
      </c>
      <c r="G148" s="13" t="s">
        <v>36</v>
      </c>
    </row>
    <row r="149" spans="1:7" ht="12.75">
      <c r="A149" s="13">
        <v>14.40</v>
      </c>
      <c r="B149" s="13"/>
      <c r="C149" s="12" t="s">
        <v>37</v>
      </c>
      <c r="D149" s="3"/>
      <c r="E149" s="4"/>
      <c r="F149" s="13"/>
      <c r="G149" s="13"/>
    </row>
    <row r="150" spans="1:7" ht="12.75">
      <c r="A150" s="13"/>
      <c r="B150" s="13"/>
      <c r="C150" s="13" t="s">
        <v>38</v>
      </c>
      <c r="D150" s="13">
        <v>13.13</v>
      </c>
      <c r="E150" s="13">
        <v>498.87</v>
      </c>
      <c r="F150" s="13">
        <f>D150*E150</f>
        <v>6550.1630999999998</v>
      </c>
      <c r="G150" s="13" t="s">
        <v>39</v>
      </c>
    </row>
    <row r="151" spans="1:7" ht="12.75">
      <c r="A151" s="9" t="s">
        <v>29</v>
      </c>
      <c r="B151" s="3"/>
      <c r="C151" s="4"/>
      <c r="D151" s="8">
        <v>50</v>
      </c>
      <c r="E151" s="8" t="s">
        <v>11</v>
      </c>
      <c r="F151" s="8">
        <f>F146+F148+F150</f>
        <v>7364.2231000000002</v>
      </c>
      <c r="G151" s="8"/>
    </row>
    <row r="152" spans="1:7" ht="12.75">
      <c r="A152" s="9" t="s">
        <v>30</v>
      </c>
      <c r="B152" s="3"/>
      <c r="C152" s="4"/>
      <c r="D152" s="8">
        <v>1</v>
      </c>
      <c r="E152" s="8" t="s">
        <v>11</v>
      </c>
      <c r="F152" s="8">
        <f>F151/D151</f>
        <v>147.28446199999999</v>
      </c>
      <c r="G152" s="8"/>
    </row>
    <row r="153" spans="1:7" ht="12.75">
      <c r="A153" s="9" t="s">
        <v>32</v>
      </c>
      <c r="B153" s="3"/>
      <c r="C153" s="3"/>
      <c r="D153" s="4"/>
      <c r="E153" s="8">
        <f>F152</f>
        <v>147.28446199999999</v>
      </c>
      <c r="F153" s="8">
        <f>E153*15%</f>
        <v>22.092669300000001</v>
      </c>
      <c r="G153" s="8"/>
    </row>
    <row r="154" spans="1:7" ht="12.75">
      <c r="A154" s="16" t="s">
        <v>29</v>
      </c>
      <c r="B154" s="3"/>
      <c r="C154" s="3"/>
      <c r="D154" s="4"/>
      <c r="E154" s="8"/>
      <c r="F154" s="17">
        <f>ROUND(F152+F153,2)</f>
        <v>169.38</v>
      </c>
      <c r="G154" s="8"/>
    </row>
    <row r="155" spans="1:7" ht="12.75">
      <c r="A155" s="18" t="s">
        <v>57</v>
      </c>
      <c r="B155" s="3"/>
      <c r="C155" s="3"/>
      <c r="D155" s="3"/>
      <c r="E155" s="3"/>
      <c r="F155" s="4"/>
      <c r="G155" s="17" t="s">
        <v>41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58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50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59</v>
      </c>
      <c r="C162" s="12" t="s">
        <v>60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50</v>
      </c>
      <c r="E163" s="13">
        <v>211.86</v>
      </c>
      <c r="F163" s="13">
        <f>D163*E163</f>
        <v>10593</v>
      </c>
      <c r="G163" s="13" t="s">
        <v>18</v>
      </c>
    </row>
    <row r="164" spans="1:7" ht="12.75">
      <c r="A164" s="11" t="s">
        <v>19</v>
      </c>
      <c r="B164" s="10"/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/>
      <c r="E165" s="13"/>
      <c r="F165" s="13">
        <f>F163*5%</f>
        <v>529.65</v>
      </c>
      <c r="G165" s="13" t="s">
        <v>22</v>
      </c>
    </row>
    <row r="166" spans="1:7" ht="12.75">
      <c r="A166" s="10"/>
      <c r="B166" s="11" t="s">
        <v>23</v>
      </c>
      <c r="C166" s="12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>
        <v>7</v>
      </c>
      <c r="E167" s="13">
        <v>675</v>
      </c>
      <c r="F167" s="13">
        <f>D167*E167</f>
        <v>4725</v>
      </c>
      <c r="G167" s="13" t="s">
        <v>26</v>
      </c>
    </row>
    <row r="168" spans="1:7" ht="12.75">
      <c r="A168" s="11" t="s">
        <v>19</v>
      </c>
      <c r="B168" s="10"/>
      <c r="C168" s="14" t="s">
        <v>27</v>
      </c>
      <c r="D168" s="3"/>
      <c r="E168" s="4"/>
      <c r="F168" s="12"/>
      <c r="G168" s="4"/>
    </row>
    <row r="169" spans="1:7" ht="12.75">
      <c r="A169" s="5"/>
      <c r="B169" s="5"/>
      <c r="C169" s="13" t="s">
        <v>21</v>
      </c>
      <c r="D169" s="13"/>
      <c r="E169" s="13"/>
      <c r="F169" s="13">
        <f>(F163+F165+F167)*1%</f>
        <v>158.47649999999999</v>
      </c>
      <c r="G169" s="13" t="s">
        <v>28</v>
      </c>
    </row>
    <row r="170" spans="1:7" ht="12.75">
      <c r="A170" s="9" t="s">
        <v>29</v>
      </c>
      <c r="B170" s="3"/>
      <c r="C170" s="4"/>
      <c r="D170" s="8">
        <v>50</v>
      </c>
      <c r="E170" s="8" t="s">
        <v>11</v>
      </c>
      <c r="F170" s="8">
        <f>F163+F165+F167+F169</f>
        <v>16006.1265</v>
      </c>
      <c r="G170" s="8"/>
    </row>
    <row r="171" spans="1:7" ht="12.75">
      <c r="A171" s="9" t="s">
        <v>30</v>
      </c>
      <c r="B171" s="3"/>
      <c r="C171" s="4"/>
      <c r="D171" s="8">
        <v>1</v>
      </c>
      <c r="E171" s="8" t="s">
        <v>11</v>
      </c>
      <c r="F171" s="8">
        <f>F170/D170</f>
        <v>320.12252999999998</v>
      </c>
      <c r="G171" s="8"/>
    </row>
    <row r="172" spans="1:7" ht="12.75">
      <c r="A172" s="9" t="s">
        <v>31</v>
      </c>
      <c r="B172" s="3"/>
      <c r="C172" s="3"/>
      <c r="D172" s="4"/>
      <c r="E172" s="15">
        <f>F163*105%*101%/D170</f>
        <v>224.67752999999999</v>
      </c>
      <c r="F172" s="8">
        <f>E172*1%</f>
        <v>2.2467752999999999</v>
      </c>
      <c r="G172" s="8"/>
    </row>
    <row r="173" spans="1:7" ht="12.75">
      <c r="A173" s="9" t="s">
        <v>29</v>
      </c>
      <c r="B173" s="3"/>
      <c r="C173" s="3"/>
      <c r="D173" s="4"/>
      <c r="E173" s="8"/>
      <c r="F173" s="8">
        <f>F171+F172</f>
        <v>322.36930530000001</v>
      </c>
      <c r="G173" s="8"/>
    </row>
    <row r="174" spans="1:7" ht="12.75">
      <c r="A174" s="9" t="s">
        <v>32</v>
      </c>
      <c r="B174" s="3"/>
      <c r="C174" s="3"/>
      <c r="D174" s="4"/>
      <c r="E174" s="8">
        <f>F173</f>
        <v>322.36930530000001</v>
      </c>
      <c r="F174" s="8">
        <f>E174*15%</f>
        <v>48.355395799999997</v>
      </c>
      <c r="G174" s="8"/>
    </row>
    <row r="175" spans="1:7" ht="12.75">
      <c r="A175" s="16" t="s">
        <v>29</v>
      </c>
      <c r="B175" s="3"/>
      <c r="C175" s="3"/>
      <c r="D175" s="4"/>
      <c r="E175" s="8"/>
      <c r="F175" s="17">
        <f>ROUND(F173+F174,2)</f>
        <v>370.72</v>
      </c>
      <c r="G175" s="8"/>
    </row>
    <row r="176" spans="1:7" ht="12.75">
      <c r="A176" s="11">
        <v>1001</v>
      </c>
      <c r="B176" s="10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25</v>
      </c>
      <c r="D177" s="13">
        <v>1</v>
      </c>
      <c r="E177" s="13">
        <v>806</v>
      </c>
      <c r="F177" s="13">
        <f>E177*D177</f>
        <v>806</v>
      </c>
      <c r="G177" s="13" t="s">
        <v>34</v>
      </c>
    </row>
    <row r="178" spans="1:7" ht="12.75">
      <c r="A178" s="11" t="s">
        <v>19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21</v>
      </c>
      <c r="D179" s="13"/>
      <c r="E179" s="13"/>
      <c r="F179" s="13">
        <f>F177*1%</f>
        <v>8.06</v>
      </c>
      <c r="G179" s="13" t="s">
        <v>36</v>
      </c>
    </row>
    <row r="180" spans="1:7" ht="12.75">
      <c r="A180" s="13">
        <v>14.40</v>
      </c>
      <c r="B180" s="13"/>
      <c r="C180" s="12" t="s">
        <v>37</v>
      </c>
      <c r="D180" s="3"/>
      <c r="E180" s="4"/>
      <c r="F180" s="13"/>
      <c r="G180" s="13"/>
    </row>
    <row r="181" spans="1:7" ht="12.75">
      <c r="A181" s="13"/>
      <c r="B181" s="13"/>
      <c r="C181" s="13" t="s">
        <v>38</v>
      </c>
      <c r="D181" s="13">
        <v>13.13</v>
      </c>
      <c r="E181" s="13">
        <v>498.87</v>
      </c>
      <c r="F181" s="13">
        <f>D181*E181</f>
        <v>6550.1630999999998</v>
      </c>
      <c r="G181" s="13" t="s">
        <v>39</v>
      </c>
    </row>
    <row r="182" spans="1:7" ht="12.75">
      <c r="A182" s="9" t="s">
        <v>29</v>
      </c>
      <c r="B182" s="3"/>
      <c r="C182" s="4"/>
      <c r="D182" s="8">
        <v>50</v>
      </c>
      <c r="E182" s="8" t="s">
        <v>11</v>
      </c>
      <c r="F182" s="8">
        <f>F177+F179+F181</f>
        <v>7364.2231000000002</v>
      </c>
      <c r="G182" s="8"/>
    </row>
    <row r="183" spans="1:7" ht="12.75">
      <c r="A183" s="9" t="s">
        <v>30</v>
      </c>
      <c r="B183" s="3"/>
      <c r="C183" s="4"/>
      <c r="D183" s="8">
        <v>1</v>
      </c>
      <c r="E183" s="8" t="s">
        <v>11</v>
      </c>
      <c r="F183" s="8">
        <f>F182/D182</f>
        <v>147.28446199999999</v>
      </c>
      <c r="G183" s="8"/>
    </row>
    <row r="184" spans="1:7" ht="12.75">
      <c r="A184" s="9" t="s">
        <v>32</v>
      </c>
      <c r="B184" s="3"/>
      <c r="C184" s="3"/>
      <c r="D184" s="4"/>
      <c r="E184" s="8">
        <f>F183</f>
        <v>147.28446199999999</v>
      </c>
      <c r="F184" s="8">
        <f>E184*15%</f>
        <v>22.092669300000001</v>
      </c>
      <c r="G184" s="8"/>
    </row>
    <row r="185" spans="1:7" ht="12.75">
      <c r="A185" s="16" t="s">
        <v>29</v>
      </c>
      <c r="B185" s="3"/>
      <c r="C185" s="3"/>
      <c r="D185" s="4"/>
      <c r="E185" s="8"/>
      <c r="F185" s="17">
        <f>ROUND(F183+F184,2)</f>
        <v>169.38</v>
      </c>
      <c r="G185" s="8"/>
    </row>
    <row r="186" spans="1:7" ht="12.75">
      <c r="A186" s="18" t="s">
        <v>61</v>
      </c>
      <c r="B186" s="3"/>
      <c r="C186" s="3"/>
      <c r="D186" s="3"/>
      <c r="E186" s="3"/>
      <c r="F186" s="4"/>
      <c r="G186" s="17" t="s">
        <v>41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62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50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63</v>
      </c>
      <c r="C193" s="12" t="s">
        <v>64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50</v>
      </c>
      <c r="E194" s="13">
        <v>329.66</v>
      </c>
      <c r="F194" s="13">
        <f>D194*E194</f>
        <v>16483</v>
      </c>
      <c r="G194" s="13" t="s">
        <v>18</v>
      </c>
    </row>
    <row r="195" spans="1:7" ht="12.75">
      <c r="A195" s="11" t="s">
        <v>19</v>
      </c>
      <c r="B195" s="10"/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/>
      <c r="E196" s="13"/>
      <c r="F196" s="13">
        <f>F194*5%</f>
        <v>824.15</v>
      </c>
      <c r="G196" s="13" t="s">
        <v>22</v>
      </c>
    </row>
    <row r="197" spans="1:7" ht="12.75">
      <c r="A197" s="10"/>
      <c r="B197" s="11" t="s">
        <v>23</v>
      </c>
      <c r="C197" s="12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>
        <v>7</v>
      </c>
      <c r="E198" s="13">
        <v>675</v>
      </c>
      <c r="F198" s="13">
        <f>D198*E198</f>
        <v>4725</v>
      </c>
      <c r="G198" s="13" t="s">
        <v>26</v>
      </c>
    </row>
    <row r="199" spans="1:7" ht="12.75">
      <c r="A199" s="11" t="s">
        <v>19</v>
      </c>
      <c r="B199" s="10"/>
      <c r="C199" s="14" t="s">
        <v>27</v>
      </c>
      <c r="D199" s="3"/>
      <c r="E199" s="4"/>
      <c r="F199" s="12"/>
      <c r="G199" s="4"/>
    </row>
    <row r="200" spans="1:7" ht="12.75">
      <c r="A200" s="5"/>
      <c r="B200" s="5"/>
      <c r="C200" s="13" t="s">
        <v>21</v>
      </c>
      <c r="D200" s="13"/>
      <c r="E200" s="13"/>
      <c r="F200" s="13">
        <f>(F194+F196+F198)*1%</f>
        <v>220.32149999999999</v>
      </c>
      <c r="G200" s="13" t="s">
        <v>28</v>
      </c>
    </row>
    <row r="201" spans="1:7" ht="12.75">
      <c r="A201" s="9" t="s">
        <v>29</v>
      </c>
      <c r="B201" s="3"/>
      <c r="C201" s="4"/>
      <c r="D201" s="8">
        <v>50</v>
      </c>
      <c r="E201" s="8" t="s">
        <v>11</v>
      </c>
      <c r="F201" s="8">
        <f>F194+F196+F198+F200</f>
        <v>22252.4715</v>
      </c>
      <c r="G201" s="8"/>
    </row>
    <row r="202" spans="1:7" ht="12.75">
      <c r="A202" s="9" t="s">
        <v>30</v>
      </c>
      <c r="B202" s="3"/>
      <c r="C202" s="4"/>
      <c r="D202" s="8">
        <v>1</v>
      </c>
      <c r="E202" s="8" t="s">
        <v>11</v>
      </c>
      <c r="F202" s="8">
        <f>F201/D201</f>
        <v>445.04942999999997</v>
      </c>
      <c r="G202" s="8"/>
    </row>
    <row r="203" spans="1:7" ht="12.75">
      <c r="A203" s="9" t="s">
        <v>31</v>
      </c>
      <c r="B203" s="3"/>
      <c r="C203" s="3"/>
      <c r="D203" s="4"/>
      <c r="E203" s="15">
        <f>F194*105%*101%/D201</f>
        <v>349.60442999999998</v>
      </c>
      <c r="F203" s="8">
        <f>E203*1%</f>
        <v>3.4960442999999999</v>
      </c>
      <c r="G203" s="8"/>
    </row>
    <row r="204" spans="1:7" ht="12.75">
      <c r="A204" s="9" t="s">
        <v>29</v>
      </c>
      <c r="B204" s="3"/>
      <c r="C204" s="3"/>
      <c r="D204" s="4"/>
      <c r="E204" s="8"/>
      <c r="F204" s="8">
        <f>F202+F203</f>
        <v>448.54547430000002</v>
      </c>
      <c r="G204" s="8"/>
    </row>
    <row r="205" spans="1:7" ht="12.75">
      <c r="A205" s="9" t="s">
        <v>32</v>
      </c>
      <c r="B205" s="3"/>
      <c r="C205" s="3"/>
      <c r="D205" s="4"/>
      <c r="E205" s="8">
        <f>F204</f>
        <v>448.54547430000002</v>
      </c>
      <c r="F205" s="8">
        <f>E205*15%</f>
        <v>67.281821149999999</v>
      </c>
      <c r="G205" s="8"/>
    </row>
    <row r="206" spans="1:7" ht="12.75">
      <c r="A206" s="16" t="s">
        <v>29</v>
      </c>
      <c r="B206" s="3"/>
      <c r="C206" s="3"/>
      <c r="D206" s="4"/>
      <c r="E206" s="8"/>
      <c r="F206" s="17">
        <f>ROUND(F204+F205,2)</f>
        <v>515.83</v>
      </c>
      <c r="G206" s="8"/>
    </row>
    <row r="207" spans="1:7" ht="12.75">
      <c r="A207" s="11">
        <v>1001</v>
      </c>
      <c r="B207" s="10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25</v>
      </c>
      <c r="D208" s="13">
        <v>1</v>
      </c>
      <c r="E208" s="13">
        <v>806</v>
      </c>
      <c r="F208" s="13">
        <f>E208*D208</f>
        <v>806</v>
      </c>
      <c r="G208" s="13" t="s">
        <v>34</v>
      </c>
    </row>
    <row r="209" spans="1:7" ht="12.75">
      <c r="A209" s="11" t="s">
        <v>19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21</v>
      </c>
      <c r="D210" s="13"/>
      <c r="E210" s="13"/>
      <c r="F210" s="13">
        <f>F208*1%</f>
        <v>8.06</v>
      </c>
      <c r="G210" s="13" t="s">
        <v>36</v>
      </c>
    </row>
    <row r="211" spans="1:7" ht="12.75">
      <c r="A211" s="13">
        <v>14.40</v>
      </c>
      <c r="B211" s="13"/>
      <c r="C211" s="12" t="s">
        <v>37</v>
      </c>
      <c r="D211" s="3"/>
      <c r="E211" s="4"/>
      <c r="F211" s="13"/>
      <c r="G211" s="13"/>
    </row>
    <row r="212" spans="1:7" ht="12.75">
      <c r="A212" s="13"/>
      <c r="B212" s="13"/>
      <c r="C212" s="13" t="s">
        <v>38</v>
      </c>
      <c r="D212" s="13">
        <v>13.13</v>
      </c>
      <c r="E212" s="13">
        <v>498.87</v>
      </c>
      <c r="F212" s="13">
        <f>D212*E212</f>
        <v>6550.1630999999998</v>
      </c>
      <c r="G212" s="13" t="s">
        <v>39</v>
      </c>
    </row>
    <row r="213" spans="1:7" ht="12.75">
      <c r="A213" s="9" t="s">
        <v>29</v>
      </c>
      <c r="B213" s="3"/>
      <c r="C213" s="4"/>
      <c r="D213" s="8">
        <v>50</v>
      </c>
      <c r="E213" s="8" t="s">
        <v>11</v>
      </c>
      <c r="F213" s="8">
        <f>F208+F210+F212</f>
        <v>7364.2231000000002</v>
      </c>
      <c r="G213" s="8"/>
    </row>
    <row r="214" spans="1:7" ht="12.75">
      <c r="A214" s="9" t="s">
        <v>30</v>
      </c>
      <c r="B214" s="3"/>
      <c r="C214" s="4"/>
      <c r="D214" s="8">
        <v>1</v>
      </c>
      <c r="E214" s="8" t="s">
        <v>11</v>
      </c>
      <c r="F214" s="8">
        <f>F213/D213</f>
        <v>147.28446199999999</v>
      </c>
      <c r="G214" s="8"/>
    </row>
    <row r="215" spans="1:7" ht="12.75">
      <c r="A215" s="9" t="s">
        <v>32</v>
      </c>
      <c r="B215" s="3"/>
      <c r="C215" s="3"/>
      <c r="D215" s="4"/>
      <c r="E215" s="8">
        <f>F214</f>
        <v>147.28446199999999</v>
      </c>
      <c r="F215" s="8">
        <f>E215*15%</f>
        <v>22.092669300000001</v>
      </c>
      <c r="G215" s="8"/>
    </row>
    <row r="216" spans="1:7" ht="12.75">
      <c r="A216" s="16" t="s">
        <v>29</v>
      </c>
      <c r="B216" s="3"/>
      <c r="C216" s="3"/>
      <c r="D216" s="4"/>
      <c r="E216" s="8"/>
      <c r="F216" s="17">
        <f>ROUND(F214+F215,2)</f>
        <v>169.38</v>
      </c>
      <c r="G216" s="8"/>
    </row>
    <row r="217" spans="1:7" ht="12.75">
      <c r="A217" s="18" t="s">
        <v>65</v>
      </c>
      <c r="B217" s="3"/>
      <c r="C217" s="3"/>
      <c r="D217" s="3"/>
      <c r="E217" s="3"/>
      <c r="F217" s="4"/>
      <c r="G217" s="17" t="s">
        <v>41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66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50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67</v>
      </c>
      <c r="C224" s="12" t="s">
        <v>68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50</v>
      </c>
      <c r="E225" s="13">
        <v>466.95</v>
      </c>
      <c r="F225" s="13">
        <f>D225*E225</f>
        <v>23347.50</v>
      </c>
      <c r="G225" s="13" t="s">
        <v>18</v>
      </c>
    </row>
    <row r="226" spans="1:7" ht="12.75">
      <c r="A226" s="11" t="s">
        <v>19</v>
      </c>
      <c r="B226" s="10"/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/>
      <c r="E227" s="13"/>
      <c r="F227" s="13">
        <f>F225*5%</f>
        <v>1167.375</v>
      </c>
      <c r="G227" s="13" t="s">
        <v>22</v>
      </c>
    </row>
    <row r="228" spans="1:7" ht="12.75">
      <c r="A228" s="10"/>
      <c r="B228" s="11" t="s">
        <v>23</v>
      </c>
      <c r="C228" s="12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>
        <v>7</v>
      </c>
      <c r="E229" s="13">
        <v>675</v>
      </c>
      <c r="F229" s="13">
        <f>D229*E229</f>
        <v>4725</v>
      </c>
      <c r="G229" s="13" t="s">
        <v>26</v>
      </c>
    </row>
    <row r="230" spans="1:7" ht="12.75">
      <c r="A230" s="11" t="s">
        <v>19</v>
      </c>
      <c r="B230" s="10"/>
      <c r="C230" s="14" t="s">
        <v>27</v>
      </c>
      <c r="D230" s="3"/>
      <c r="E230" s="4"/>
      <c r="F230" s="12"/>
      <c r="G230" s="4"/>
    </row>
    <row r="231" spans="1:7" ht="12.75">
      <c r="A231" s="5"/>
      <c r="B231" s="5"/>
      <c r="C231" s="13" t="s">
        <v>21</v>
      </c>
      <c r="D231" s="13"/>
      <c r="E231" s="13"/>
      <c r="F231" s="13">
        <f>(F225+F227+F229)*1%</f>
        <v>292.39875</v>
      </c>
      <c r="G231" s="13" t="s">
        <v>28</v>
      </c>
    </row>
    <row r="232" spans="1:7" ht="12.75">
      <c r="A232" s="9" t="s">
        <v>29</v>
      </c>
      <c r="B232" s="3"/>
      <c r="C232" s="4"/>
      <c r="D232" s="8">
        <v>50</v>
      </c>
      <c r="E232" s="8" t="s">
        <v>11</v>
      </c>
      <c r="F232" s="8">
        <f>F225+F227+F229+F231</f>
        <v>29532.27375</v>
      </c>
      <c r="G232" s="8"/>
    </row>
    <row r="233" spans="1:7" ht="12.75">
      <c r="A233" s="9" t="s">
        <v>30</v>
      </c>
      <c r="B233" s="3"/>
      <c r="C233" s="4"/>
      <c r="D233" s="8">
        <v>1</v>
      </c>
      <c r="E233" s="8" t="s">
        <v>11</v>
      </c>
      <c r="F233" s="8">
        <f>F232/D232</f>
        <v>590.64547500000003</v>
      </c>
      <c r="G233" s="8"/>
    </row>
    <row r="234" spans="1:7" ht="12.75">
      <c r="A234" s="9" t="s">
        <v>31</v>
      </c>
      <c r="B234" s="3"/>
      <c r="C234" s="3"/>
      <c r="D234" s="4"/>
      <c r="E234" s="15">
        <f>F225*105%*101%/D232</f>
        <v>495.20047499999998</v>
      </c>
      <c r="F234" s="8">
        <f>E234*1%</f>
        <v>4.9520047500000004</v>
      </c>
      <c r="G234" s="8"/>
    </row>
    <row r="235" spans="1:7" ht="12.75">
      <c r="A235" s="9" t="s">
        <v>29</v>
      </c>
      <c r="B235" s="3"/>
      <c r="C235" s="3"/>
      <c r="D235" s="4"/>
      <c r="E235" s="8"/>
      <c r="F235" s="8">
        <f>F233+F234</f>
        <v>595.59747979999997</v>
      </c>
      <c r="G235" s="8"/>
    </row>
    <row r="236" spans="1:7" ht="12.75">
      <c r="A236" s="9" t="s">
        <v>32</v>
      </c>
      <c r="B236" s="3"/>
      <c r="C236" s="3"/>
      <c r="D236" s="4"/>
      <c r="E236" s="8">
        <f>F235</f>
        <v>595.59747979999997</v>
      </c>
      <c r="F236" s="8">
        <f>E236*15%</f>
        <v>89.339621960000002</v>
      </c>
      <c r="G236" s="8"/>
    </row>
    <row r="237" spans="1:7" ht="12.75">
      <c r="A237" s="16" t="s">
        <v>29</v>
      </c>
      <c r="B237" s="3"/>
      <c r="C237" s="3"/>
      <c r="D237" s="4"/>
      <c r="E237" s="8"/>
      <c r="F237" s="17">
        <f>ROUND(F235+F236,2)</f>
        <v>684.94</v>
      </c>
      <c r="G237" s="8"/>
    </row>
    <row r="238" spans="1:7" ht="12.75">
      <c r="A238" s="11">
        <v>1001</v>
      </c>
      <c r="B238" s="10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25</v>
      </c>
      <c r="D239" s="13">
        <v>1</v>
      </c>
      <c r="E239" s="13">
        <v>806</v>
      </c>
      <c r="F239" s="13">
        <f>E239*D239</f>
        <v>806</v>
      </c>
      <c r="G239" s="13" t="s">
        <v>34</v>
      </c>
    </row>
    <row r="240" spans="1:7" ht="12.75">
      <c r="A240" s="11" t="s">
        <v>19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21</v>
      </c>
      <c r="D241" s="13"/>
      <c r="E241" s="13"/>
      <c r="F241" s="13">
        <f>F239*1%</f>
        <v>8.06</v>
      </c>
      <c r="G241" s="13" t="s">
        <v>36</v>
      </c>
    </row>
    <row r="242" spans="1:7" ht="12.75">
      <c r="A242" s="13">
        <v>14.40</v>
      </c>
      <c r="B242" s="13"/>
      <c r="C242" s="12" t="s">
        <v>37</v>
      </c>
      <c r="D242" s="3"/>
      <c r="E242" s="4"/>
      <c r="F242" s="13"/>
      <c r="G242" s="13"/>
    </row>
    <row r="243" spans="1:7" ht="12.75">
      <c r="A243" s="13"/>
      <c r="B243" s="13"/>
      <c r="C243" s="13" t="s">
        <v>38</v>
      </c>
      <c r="D243" s="13">
        <v>13.13</v>
      </c>
      <c r="E243" s="13">
        <v>498.87</v>
      </c>
      <c r="F243" s="13">
        <f>D243*E243</f>
        <v>6550.1630999999998</v>
      </c>
      <c r="G243" s="13" t="s">
        <v>39</v>
      </c>
    </row>
    <row r="244" spans="1:7" ht="12.75">
      <c r="A244" s="9" t="s">
        <v>29</v>
      </c>
      <c r="B244" s="3"/>
      <c r="C244" s="4"/>
      <c r="D244" s="8">
        <v>50</v>
      </c>
      <c r="E244" s="8" t="s">
        <v>11</v>
      </c>
      <c r="F244" s="8">
        <f>F239+F241+F243</f>
        <v>7364.2231000000002</v>
      </c>
      <c r="G244" s="8"/>
    </row>
    <row r="245" spans="1:7" ht="12.75">
      <c r="A245" s="9" t="s">
        <v>30</v>
      </c>
      <c r="B245" s="3"/>
      <c r="C245" s="4"/>
      <c r="D245" s="8">
        <v>1</v>
      </c>
      <c r="E245" s="8" t="s">
        <v>11</v>
      </c>
      <c r="F245" s="8">
        <f>F244/D244</f>
        <v>147.28446199999999</v>
      </c>
      <c r="G245" s="8"/>
    </row>
    <row r="246" spans="1:7" ht="12.75">
      <c r="A246" s="9" t="s">
        <v>32</v>
      </c>
      <c r="B246" s="3"/>
      <c r="C246" s="3"/>
      <c r="D246" s="4"/>
      <c r="E246" s="8">
        <f>F245</f>
        <v>147.28446199999999</v>
      </c>
      <c r="F246" s="8">
        <f>E246*15%</f>
        <v>22.092669300000001</v>
      </c>
      <c r="G246" s="8"/>
    </row>
    <row r="247" spans="1:7" ht="12.75">
      <c r="A247" s="16" t="s">
        <v>29</v>
      </c>
      <c r="B247" s="3"/>
      <c r="C247" s="3"/>
      <c r="D247" s="4"/>
      <c r="E247" s="8"/>
      <c r="F247" s="17">
        <f>ROUND(F245+F246,2)</f>
        <v>169.38</v>
      </c>
      <c r="G247" s="8"/>
    </row>
    <row r="248" spans="1:7" ht="12.75">
      <c r="A248" s="19" t="s">
        <v>69</v>
      </c>
      <c r="B248" s="20"/>
      <c r="C248" s="20"/>
      <c r="D248" s="20"/>
      <c r="E248" s="20"/>
      <c r="F248" s="21"/>
      <c r="G248" s="22" t="s">
        <v>41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70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8">
        <v>50</v>
      </c>
      <c r="F252" s="8"/>
      <c r="G252" s="8"/>
    </row>
    <row r="253" spans="1:7" ht="12.75">
      <c r="A253" s="8" t="s">
        <v>13</v>
      </c>
      <c r="B253" s="9" t="s">
        <v>14</v>
      </c>
      <c r="C253" s="3"/>
      <c r="D253" s="3"/>
      <c r="E253" s="3"/>
      <c r="F253" s="3"/>
      <c r="G253" s="4"/>
    </row>
    <row r="254" spans="1:7" ht="12.75">
      <c r="A254" s="9" t="s">
        <v>15</v>
      </c>
      <c r="B254" s="3"/>
      <c r="C254" s="3"/>
      <c r="D254" s="3"/>
      <c r="E254" s="3"/>
      <c r="F254" s="3"/>
      <c r="G254" s="4"/>
    </row>
    <row r="255" spans="1:7" ht="12.75">
      <c r="A255" s="10"/>
      <c r="B255" s="11" t="s">
        <v>71</v>
      </c>
      <c r="C255" s="12" t="s">
        <v>72</v>
      </c>
      <c r="D255" s="3"/>
      <c r="E255" s="4"/>
      <c r="F255" s="12"/>
      <c r="G255" s="4"/>
    </row>
    <row r="256" spans="1:7" ht="12.75">
      <c r="A256" s="5"/>
      <c r="B256" s="5"/>
      <c r="C256" s="13" t="s">
        <v>11</v>
      </c>
      <c r="D256" s="13">
        <v>50</v>
      </c>
      <c r="E256" s="13">
        <v>425.42</v>
      </c>
      <c r="F256" s="13">
        <f>D256*E256</f>
        <v>21271</v>
      </c>
      <c r="G256" s="13" t="s">
        <v>18</v>
      </c>
    </row>
    <row r="257" spans="1:7" ht="12.75">
      <c r="A257" s="11" t="s">
        <v>19</v>
      </c>
      <c r="B257" s="10"/>
      <c r="C257" s="12" t="s">
        <v>20</v>
      </c>
      <c r="D257" s="3"/>
      <c r="E257" s="4"/>
      <c r="F257" s="12"/>
      <c r="G257" s="4"/>
    </row>
    <row r="258" spans="1:7" ht="12.75">
      <c r="A258" s="5"/>
      <c r="B258" s="5"/>
      <c r="C258" s="13" t="s">
        <v>21</v>
      </c>
      <c r="D258" s="13"/>
      <c r="E258" s="13"/>
      <c r="F258" s="13">
        <f>F256*5%</f>
        <v>1063.55</v>
      </c>
      <c r="G258" s="13" t="s">
        <v>22</v>
      </c>
    </row>
    <row r="259" spans="1:7" ht="12.75">
      <c r="A259" s="10"/>
      <c r="B259" s="11" t="s">
        <v>23</v>
      </c>
      <c r="C259" s="12" t="s">
        <v>24</v>
      </c>
      <c r="D259" s="3"/>
      <c r="E259" s="4"/>
      <c r="F259" s="12"/>
      <c r="G259" s="4"/>
    </row>
    <row r="260" spans="1:7" ht="12.75">
      <c r="A260" s="5"/>
      <c r="B260" s="5"/>
      <c r="C260" s="13" t="s">
        <v>25</v>
      </c>
      <c r="D260" s="13">
        <v>7</v>
      </c>
      <c r="E260" s="13">
        <v>675</v>
      </c>
      <c r="F260" s="13">
        <f>D260*E260</f>
        <v>4725</v>
      </c>
      <c r="G260" s="13" t="s">
        <v>26</v>
      </c>
    </row>
    <row r="261" spans="1:7" ht="12.75">
      <c r="A261" s="11" t="s">
        <v>19</v>
      </c>
      <c r="B261" s="10"/>
      <c r="C261" s="14" t="s">
        <v>27</v>
      </c>
      <c r="D261" s="3"/>
      <c r="E261" s="4"/>
      <c r="F261" s="12"/>
      <c r="G261" s="4"/>
    </row>
    <row r="262" spans="1:7" ht="12.75">
      <c r="A262" s="5"/>
      <c r="B262" s="5"/>
      <c r="C262" s="13" t="s">
        <v>21</v>
      </c>
      <c r="D262" s="13"/>
      <c r="E262" s="13"/>
      <c r="F262" s="13">
        <f>(F256+F258+F260)*1%</f>
        <v>270.59550000000002</v>
      </c>
      <c r="G262" s="13" t="s">
        <v>28</v>
      </c>
    </row>
    <row r="263" spans="1:7" ht="12.75">
      <c r="A263" s="9" t="s">
        <v>29</v>
      </c>
      <c r="B263" s="3"/>
      <c r="C263" s="4"/>
      <c r="D263" s="8">
        <v>50</v>
      </c>
      <c r="E263" s="8" t="s">
        <v>11</v>
      </c>
      <c r="F263" s="8">
        <f>F256+F258+F260+F262</f>
        <v>27330.145499999999</v>
      </c>
      <c r="G263" s="8"/>
    </row>
    <row r="264" spans="1:7" ht="12.75">
      <c r="A264" s="9" t="s">
        <v>30</v>
      </c>
      <c r="B264" s="3"/>
      <c r="C264" s="4"/>
      <c r="D264" s="8">
        <v>1</v>
      </c>
      <c r="E264" s="8" t="s">
        <v>11</v>
      </c>
      <c r="F264" s="8">
        <f>F263/D263</f>
        <v>546.60290999999995</v>
      </c>
      <c r="G264" s="8"/>
    </row>
    <row r="265" spans="1:7" ht="12.75">
      <c r="A265" s="9" t="s">
        <v>31</v>
      </c>
      <c r="B265" s="3"/>
      <c r="C265" s="3"/>
      <c r="D265" s="4"/>
      <c r="E265" s="15">
        <f>F256*105%*101%/D263</f>
        <v>451.15791000000002</v>
      </c>
      <c r="F265" s="8">
        <f>E265*1%</f>
        <v>4.5115790999999996</v>
      </c>
      <c r="G265" s="8"/>
    </row>
    <row r="266" spans="1:7" ht="12.75">
      <c r="A266" s="9" t="s">
        <v>29</v>
      </c>
      <c r="B266" s="3"/>
      <c r="C266" s="3"/>
      <c r="D266" s="4"/>
      <c r="E266" s="8"/>
      <c r="F266" s="8">
        <f>F264+F265</f>
        <v>551.11448910000001</v>
      </c>
      <c r="G266" s="8"/>
    </row>
    <row r="267" spans="1:7" ht="12.75">
      <c r="A267" s="9" t="s">
        <v>32</v>
      </c>
      <c r="B267" s="3"/>
      <c r="C267" s="3"/>
      <c r="D267" s="4"/>
      <c r="E267" s="8">
        <f>F266</f>
        <v>551.11448910000001</v>
      </c>
      <c r="F267" s="8">
        <f>E267*15%</f>
        <v>82.66717337</v>
      </c>
      <c r="G267" s="8"/>
    </row>
    <row r="268" spans="1:7" ht="12.75">
      <c r="A268" s="16" t="s">
        <v>29</v>
      </c>
      <c r="B268" s="3"/>
      <c r="C268" s="3"/>
      <c r="D268" s="4"/>
      <c r="E268" s="8"/>
      <c r="F268" s="17">
        <f>ROUND(F266+F267,2)</f>
        <v>633.78</v>
      </c>
      <c r="G268" s="8"/>
    </row>
    <row r="269" spans="1:7" ht="12.75">
      <c r="A269" s="11">
        <v>1001</v>
      </c>
      <c r="B269" s="10"/>
      <c r="C269" s="12" t="s">
        <v>33</v>
      </c>
      <c r="D269" s="3"/>
      <c r="E269" s="4"/>
      <c r="F269" s="12"/>
      <c r="G269" s="4"/>
    </row>
    <row r="270" spans="1:7" ht="12.75">
      <c r="A270" s="5"/>
      <c r="B270" s="5"/>
      <c r="C270" s="13" t="s">
        <v>25</v>
      </c>
      <c r="D270" s="13">
        <v>1</v>
      </c>
      <c r="E270" s="13">
        <v>806</v>
      </c>
      <c r="F270" s="13">
        <f>E270*D270</f>
        <v>806</v>
      </c>
      <c r="G270" s="13" t="s">
        <v>34</v>
      </c>
    </row>
    <row r="271" spans="1:7" ht="12.75">
      <c r="A271" s="11" t="s">
        <v>19</v>
      </c>
      <c r="B271" s="10"/>
      <c r="C271" s="14" t="s">
        <v>35</v>
      </c>
      <c r="D271" s="3"/>
      <c r="E271" s="4"/>
      <c r="F271" s="12"/>
      <c r="G271" s="4"/>
    </row>
    <row r="272" spans="1:7" ht="12.75">
      <c r="A272" s="5"/>
      <c r="B272" s="5"/>
      <c r="C272" s="13" t="s">
        <v>21</v>
      </c>
      <c r="D272" s="13"/>
      <c r="E272" s="13"/>
      <c r="F272" s="13">
        <f>F270*1%</f>
        <v>8.06</v>
      </c>
      <c r="G272" s="13" t="s">
        <v>36</v>
      </c>
    </row>
    <row r="273" spans="1:7" ht="12.75">
      <c r="A273" s="13">
        <v>14.40</v>
      </c>
      <c r="B273" s="13"/>
      <c r="C273" s="12" t="s">
        <v>37</v>
      </c>
      <c r="D273" s="3"/>
      <c r="E273" s="4"/>
      <c r="F273" s="13"/>
      <c r="G273" s="13"/>
    </row>
    <row r="274" spans="1:7" ht="12.75">
      <c r="A274" s="13"/>
      <c r="B274" s="13"/>
      <c r="C274" s="13" t="s">
        <v>38</v>
      </c>
      <c r="D274" s="13">
        <v>13.13</v>
      </c>
      <c r="E274" s="13">
        <v>498.87</v>
      </c>
      <c r="F274" s="13">
        <f>D274*E274</f>
        <v>6550.1630999999998</v>
      </c>
      <c r="G274" s="13" t="s">
        <v>39</v>
      </c>
    </row>
    <row r="275" spans="1:7" ht="12.75">
      <c r="A275" s="9" t="s">
        <v>29</v>
      </c>
      <c r="B275" s="3"/>
      <c r="C275" s="4"/>
      <c r="D275" s="8">
        <v>50</v>
      </c>
      <c r="E275" s="8" t="s">
        <v>11</v>
      </c>
      <c r="F275" s="8">
        <f>F270+F272+F274</f>
        <v>7364.2231000000002</v>
      </c>
      <c r="G275" s="8"/>
    </row>
    <row r="276" spans="1:7" ht="12.75">
      <c r="A276" s="9" t="s">
        <v>30</v>
      </c>
      <c r="B276" s="3"/>
      <c r="C276" s="4"/>
      <c r="D276" s="8">
        <v>1</v>
      </c>
      <c r="E276" s="8" t="s">
        <v>11</v>
      </c>
      <c r="F276" s="8">
        <f>F275/D275</f>
        <v>147.28446199999999</v>
      </c>
      <c r="G276" s="8"/>
    </row>
    <row r="277" spans="1:7" ht="12.75">
      <c r="A277" s="9" t="s">
        <v>32</v>
      </c>
      <c r="B277" s="3"/>
      <c r="C277" s="3"/>
      <c r="D277" s="4"/>
      <c r="E277" s="8">
        <f>F276</f>
        <v>147.28446199999999</v>
      </c>
      <c r="F277" s="8">
        <f>E277*15%</f>
        <v>22.092669300000001</v>
      </c>
      <c r="G277" s="8"/>
    </row>
    <row r="278" spans="1:7" ht="12.75">
      <c r="A278" s="16" t="s">
        <v>29</v>
      </c>
      <c r="B278" s="3"/>
      <c r="C278" s="3"/>
      <c r="D278" s="4"/>
      <c r="E278" s="8"/>
      <c r="F278" s="17">
        <f>ROUND(F276+F277,2)</f>
        <v>169.38</v>
      </c>
      <c r="G278" s="8"/>
    </row>
    <row r="279" spans="1:7" ht="12.75">
      <c r="A279" s="18" t="s">
        <v>73</v>
      </c>
      <c r="B279" s="3"/>
      <c r="C279" s="3"/>
      <c r="D279" s="3"/>
      <c r="E279" s="3"/>
      <c r="F279" s="4"/>
      <c r="G279" s="17" t="s">
        <v>41</v>
      </c>
    </row>
  </sheetData>
  <mergeCells count="387"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50:D50"/>
    <mergeCell ref="A51:D51"/>
    <mergeCell ref="A52:A53"/>
    <mergeCell ref="B52:B53"/>
    <mergeCell ref="C52:E52"/>
    <mergeCell ref="F52:G52"/>
    <mergeCell ref="A54:A55"/>
    <mergeCell ref="F54:G54"/>
    <mergeCell ref="B54:B55"/>
    <mergeCell ref="C54:E54"/>
    <mergeCell ref="C56:E56"/>
    <mergeCell ref="A58:C58"/>
    <mergeCell ref="A59:C59"/>
    <mergeCell ref="A60:D60"/>
    <mergeCell ref="A61:D61"/>
    <mergeCell ref="C69:E69"/>
    <mergeCell ref="F69:G69"/>
    <mergeCell ref="C71:E71"/>
    <mergeCell ref="F71:G71"/>
    <mergeCell ref="C73:E73"/>
    <mergeCell ref="F73:G73"/>
    <mergeCell ref="A62:F62"/>
    <mergeCell ref="B63:B64"/>
    <mergeCell ref="C63:E63"/>
    <mergeCell ref="F63:G63"/>
    <mergeCell ref="A65:G65"/>
    <mergeCell ref="B67:G67"/>
    <mergeCell ref="A68:G68"/>
    <mergeCell ref="A63:A64"/>
    <mergeCell ref="A69:A70"/>
    <mergeCell ref="B69:B70"/>
    <mergeCell ref="A71:A72"/>
    <mergeCell ref="B71:B72"/>
    <mergeCell ref="A73:A74"/>
    <mergeCell ref="B73:B74"/>
    <mergeCell ref="A75:A76"/>
    <mergeCell ref="B75:B76"/>
    <mergeCell ref="C75:E75"/>
    <mergeCell ref="F75:G75"/>
    <mergeCell ref="A77:C77"/>
    <mergeCell ref="A78:C78"/>
    <mergeCell ref="A79:D79"/>
    <mergeCell ref="A104:A105"/>
    <mergeCell ref="A106:A107"/>
    <mergeCell ref="B106:B107"/>
    <mergeCell ref="A108:C108"/>
    <mergeCell ref="A109:C109"/>
    <mergeCell ref="A110:D110"/>
    <mergeCell ref="A111:D111"/>
    <mergeCell ref="A23:A24"/>
    <mergeCell ref="A32:A33"/>
    <mergeCell ref="B32:B33"/>
    <mergeCell ref="A21:A22"/>
    <mergeCell ref="B23:B24"/>
    <mergeCell ref="A27:C27"/>
    <mergeCell ref="A28:C28"/>
    <mergeCell ref="A29:D29"/>
    <mergeCell ref="A30:D30"/>
    <mergeCell ref="A31:F31"/>
    <mergeCell ref="C38:E38"/>
    <mergeCell ref="F38:G38"/>
    <mergeCell ref="C32:E32"/>
    <mergeCell ref="F32:G32"/>
    <mergeCell ref="A34:G34"/>
    <mergeCell ref="B36:G36"/>
    <mergeCell ref="A37:G37"/>
    <mergeCell ref="A38:A39"/>
    <mergeCell ref="B38:B39"/>
    <mergeCell ref="C44:E44"/>
    <mergeCell ref="F44:G44"/>
    <mergeCell ref="A40:A41"/>
    <mergeCell ref="B40:B41"/>
    <mergeCell ref="C40:E40"/>
    <mergeCell ref="F40:G40"/>
    <mergeCell ref="B42:B43"/>
    <mergeCell ref="C42:E42"/>
    <mergeCell ref="F42:G42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C25:E25"/>
    <mergeCell ref="A17:D17"/>
    <mergeCell ref="A18:D18"/>
    <mergeCell ref="A19:D19"/>
    <mergeCell ref="A20:D20"/>
    <mergeCell ref="B21:B22"/>
    <mergeCell ref="C21:E21"/>
    <mergeCell ref="F21:G21"/>
    <mergeCell ref="A42:A43"/>
    <mergeCell ref="A44:A45"/>
    <mergeCell ref="B44:B45"/>
    <mergeCell ref="A46:C46"/>
    <mergeCell ref="A47:C47"/>
    <mergeCell ref="A48:D48"/>
    <mergeCell ref="A49:D49"/>
    <mergeCell ref="A80:D80"/>
    <mergeCell ref="A81:D81"/>
    <mergeCell ref="A82:D82"/>
    <mergeCell ref="A83:A84"/>
    <mergeCell ref="B83:B84"/>
    <mergeCell ref="C83:E83"/>
    <mergeCell ref="F83:G83"/>
    <mergeCell ref="A85:A86"/>
    <mergeCell ref="B85:B86"/>
    <mergeCell ref="C85:E85"/>
    <mergeCell ref="F85:G85"/>
    <mergeCell ref="C87:E87"/>
    <mergeCell ref="A89:C89"/>
    <mergeCell ref="A90:C90"/>
    <mergeCell ref="C106:E106"/>
    <mergeCell ref="F106:G106"/>
    <mergeCell ref="A102:A103"/>
    <mergeCell ref="B102:B103"/>
    <mergeCell ref="C102:E102"/>
    <mergeCell ref="F102:G102"/>
    <mergeCell ref="B104:B105"/>
    <mergeCell ref="C104:E104"/>
    <mergeCell ref="F104:G104"/>
    <mergeCell ref="A142:D142"/>
    <mergeCell ref="A143:D143"/>
    <mergeCell ref="A144:D144"/>
    <mergeCell ref="A145:A146"/>
    <mergeCell ref="B145:B146"/>
    <mergeCell ref="C145:E145"/>
    <mergeCell ref="F145:G145"/>
    <mergeCell ref="A147:A148"/>
    <mergeCell ref="B147:B148"/>
    <mergeCell ref="C147:E147"/>
    <mergeCell ref="F147:G147"/>
    <mergeCell ref="C149:E149"/>
    <mergeCell ref="A151:C151"/>
    <mergeCell ref="A152:C152"/>
    <mergeCell ref="A266:D266"/>
    <mergeCell ref="A267:D267"/>
    <mergeCell ref="A268:D268"/>
    <mergeCell ref="A269:A270"/>
    <mergeCell ref="B269:B270"/>
    <mergeCell ref="C269:E269"/>
    <mergeCell ref="F269:G269"/>
    <mergeCell ref="A271:A272"/>
    <mergeCell ref="B271:B272"/>
    <mergeCell ref="C271:E271"/>
    <mergeCell ref="F271:G271"/>
    <mergeCell ref="C273:E273"/>
    <mergeCell ref="A275:C275"/>
    <mergeCell ref="A276:C276"/>
    <mergeCell ref="A236:D236"/>
    <mergeCell ref="A237:D237"/>
    <mergeCell ref="A238:A239"/>
    <mergeCell ref="B238:B239"/>
    <mergeCell ref="C238:E238"/>
    <mergeCell ref="F238:G238"/>
    <mergeCell ref="A240:A241"/>
    <mergeCell ref="F240:G240"/>
    <mergeCell ref="B240:B241"/>
    <mergeCell ref="C240:E240"/>
    <mergeCell ref="C242:E242"/>
    <mergeCell ref="A244:C244"/>
    <mergeCell ref="A245:C245"/>
    <mergeCell ref="A246:D246"/>
    <mergeCell ref="A247:D247"/>
    <mergeCell ref="C255:E255"/>
    <mergeCell ref="F255:G255"/>
    <mergeCell ref="C257:E257"/>
    <mergeCell ref="F257:G257"/>
    <mergeCell ref="C259:E259"/>
    <mergeCell ref="F259:G259"/>
    <mergeCell ref="A248:F248"/>
    <mergeCell ref="B249:B250"/>
    <mergeCell ref="C249:E249"/>
    <mergeCell ref="F249:G249"/>
    <mergeCell ref="A251:G251"/>
    <mergeCell ref="B253:G253"/>
    <mergeCell ref="A254:G254"/>
    <mergeCell ref="A249:A250"/>
    <mergeCell ref="A255:A256"/>
    <mergeCell ref="B255:B256"/>
    <mergeCell ref="A257:A258"/>
    <mergeCell ref="B257:B258"/>
    <mergeCell ref="A259:A260"/>
    <mergeCell ref="B259:B260"/>
    <mergeCell ref="A261:A262"/>
    <mergeCell ref="B261:B262"/>
    <mergeCell ref="C261:E261"/>
    <mergeCell ref="F261:G261"/>
    <mergeCell ref="A263:C263"/>
    <mergeCell ref="A264:C264"/>
    <mergeCell ref="A265:D265"/>
    <mergeCell ref="A277:D277"/>
    <mergeCell ref="A278:D278"/>
    <mergeCell ref="A279:F279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C168:E168"/>
    <mergeCell ref="F168:G168"/>
    <mergeCell ref="A164:A165"/>
    <mergeCell ref="B164:B165"/>
    <mergeCell ref="C164:E164"/>
    <mergeCell ref="F164:G164"/>
    <mergeCell ref="B166:B167"/>
    <mergeCell ref="C166:E166"/>
    <mergeCell ref="F166:G166"/>
    <mergeCell ref="A112:D112"/>
    <mergeCell ref="A113:D113"/>
    <mergeCell ref="A114:A115"/>
    <mergeCell ref="B114:B115"/>
    <mergeCell ref="C114:E114"/>
    <mergeCell ref="F114:G114"/>
    <mergeCell ref="A116:A117"/>
    <mergeCell ref="F116:G116"/>
    <mergeCell ref="B116:B117"/>
    <mergeCell ref="C116:E116"/>
    <mergeCell ref="C118:E118"/>
    <mergeCell ref="A120:C120"/>
    <mergeCell ref="A121:C121"/>
    <mergeCell ref="A122:D122"/>
    <mergeCell ref="A123:D123"/>
    <mergeCell ref="C131:E131"/>
    <mergeCell ref="F131:G131"/>
    <mergeCell ref="C133:E133"/>
    <mergeCell ref="F133:G133"/>
    <mergeCell ref="C135:E135"/>
    <mergeCell ref="F135:G135"/>
    <mergeCell ref="A124:F124"/>
    <mergeCell ref="B125:B126"/>
    <mergeCell ref="C125:E125"/>
    <mergeCell ref="F125:G125"/>
    <mergeCell ref="A127:G127"/>
    <mergeCell ref="B129:G129"/>
    <mergeCell ref="A130:G130"/>
    <mergeCell ref="A125:A126"/>
    <mergeCell ref="A131:A132"/>
    <mergeCell ref="B131:B132"/>
    <mergeCell ref="A133:A134"/>
    <mergeCell ref="B133:B134"/>
    <mergeCell ref="A135:A136"/>
    <mergeCell ref="B135:B136"/>
    <mergeCell ref="A137:A138"/>
    <mergeCell ref="B137:B138"/>
    <mergeCell ref="C137:E137"/>
    <mergeCell ref="F137:G137"/>
    <mergeCell ref="A139:C139"/>
    <mergeCell ref="A140:C140"/>
    <mergeCell ref="A141:D141"/>
    <mergeCell ref="A166:A167"/>
    <mergeCell ref="A168:A169"/>
    <mergeCell ref="B168:B169"/>
    <mergeCell ref="A170:C170"/>
    <mergeCell ref="A171:C171"/>
    <mergeCell ref="A172:D172"/>
    <mergeCell ref="A173:D173"/>
    <mergeCell ref="A204:D204"/>
    <mergeCell ref="A205:D205"/>
    <mergeCell ref="A206:D206"/>
    <mergeCell ref="A207:A208"/>
    <mergeCell ref="B207:B208"/>
    <mergeCell ref="C207:E207"/>
    <mergeCell ref="F207:G207"/>
    <mergeCell ref="A209:A210"/>
    <mergeCell ref="B209:B210"/>
    <mergeCell ref="C209:E209"/>
    <mergeCell ref="F209:G209"/>
    <mergeCell ref="C211:E211"/>
    <mergeCell ref="A213:C213"/>
    <mergeCell ref="A214:C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C230:E230"/>
    <mergeCell ref="F230:G230"/>
    <mergeCell ref="A226:A227"/>
    <mergeCell ref="B226:B227"/>
    <mergeCell ref="C226:E226"/>
    <mergeCell ref="F226:G226"/>
    <mergeCell ref="B228:B229"/>
    <mergeCell ref="C228:E228"/>
    <mergeCell ref="F228:G228"/>
    <mergeCell ref="A174:D174"/>
    <mergeCell ref="A175:D175"/>
    <mergeCell ref="A176:A177"/>
    <mergeCell ref="B176:B177"/>
    <mergeCell ref="C176:E176"/>
    <mergeCell ref="F176:G176"/>
    <mergeCell ref="A178:A179"/>
    <mergeCell ref="F178:G178"/>
    <mergeCell ref="B178:B179"/>
    <mergeCell ref="C178:E178"/>
    <mergeCell ref="C180:E180"/>
    <mergeCell ref="A182:C182"/>
    <mergeCell ref="A183:C183"/>
    <mergeCell ref="A184:D184"/>
    <mergeCell ref="A185:D185"/>
    <mergeCell ref="C193:E193"/>
    <mergeCell ref="F193:G193"/>
    <mergeCell ref="C195:E195"/>
    <mergeCell ref="F195:G195"/>
    <mergeCell ref="C197:E197"/>
    <mergeCell ref="F197:G197"/>
    <mergeCell ref="A186:F186"/>
    <mergeCell ref="B187:B188"/>
    <mergeCell ref="C187:E187"/>
    <mergeCell ref="F187:G187"/>
    <mergeCell ref="A189:G189"/>
    <mergeCell ref="B191:G191"/>
    <mergeCell ref="A192:G192"/>
    <mergeCell ref="A187:A188"/>
    <mergeCell ref="A193:A194"/>
    <mergeCell ref="B193:B194"/>
    <mergeCell ref="A195:A196"/>
    <mergeCell ref="B195:B196"/>
    <mergeCell ref="A197:A198"/>
    <mergeCell ref="B197:B198"/>
    <mergeCell ref="A199:A200"/>
    <mergeCell ref="B199:B200"/>
    <mergeCell ref="C199:E199"/>
    <mergeCell ref="F199:G199"/>
    <mergeCell ref="A201:C201"/>
    <mergeCell ref="A202:C202"/>
    <mergeCell ref="A203:D203"/>
    <mergeCell ref="A228:A229"/>
    <mergeCell ref="A230:A231"/>
    <mergeCell ref="B230:B231"/>
    <mergeCell ref="A232:C232"/>
    <mergeCell ref="A233:C233"/>
    <mergeCell ref="A234:D234"/>
    <mergeCell ref="A235:D2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