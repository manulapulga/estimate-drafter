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[1]zLMR!$C:$C</definedName>
    <definedName name="LMRCodes">[1]zLMR!$A:$A</definedName>
    <definedName name="DerivedRates">[1]zDerived!$D:$D</definedName>
    <definedName name="DerivedCodes">[1]zDerived!$A:$A</definedName>
  </definedNames>
  <calcPr fullCalcOnLoad="1"/>
</workbook>
</file>

<file path=xl/calcChain.xml><?xml version="1.0" encoding="utf-8"?>
<calcChain xmlns="http://schemas.openxmlformats.org/spreadsheetml/2006/main">
  <c r="E6" i="1" l="1" a="1"/>
</calcChain>
</file>

<file path=xl/sharedStrings.xml><?xml version="1.0" encoding="utf-8"?>
<sst xmlns="http://schemas.openxmlformats.org/spreadsheetml/2006/main" count="397" uniqueCount="59">
  <si>
    <t>Casing Pipe For Borewell , Tube Well And Filterpoint Well</t>
  </si>
  <si>
    <t>Supplying, assembling, lowering and fixing in vertical position in Borewell, PVC 140 mm 6 Kg/cm2 well casing pipe of required dia, conforming to IS : 4985:2000, including required hire and labour charges, fittings &amp; accessories etc. all complete, for all depths, as per direction of Engineer- in- Charge.</t>
  </si>
  <si>
    <t>Code</t>
  </si>
  <si>
    <t>Description</t>
  </si>
  <si>
    <t>Unit</t>
  </si>
  <si>
    <t>Quantity</t>
  </si>
  <si>
    <t>Rate</t>
  </si>
  <si>
    <t>Amount</t>
  </si>
  <si>
    <t>Details of cost for 100 metre</t>
  </si>
  <si>
    <t>MATERIAL:</t>
  </si>
  <si>
    <t>MR10215</t>
  </si>
  <si>
    <t>PVC Pipe, 6kg/cm2, 140mm Dia</t>
  </si>
  <si>
    <t>metre</t>
  </si>
  <si>
    <t>TOTAL  </t>
  </si>
  <si>
    <t>Add Water Charges @ 1%</t>
  </si>
  <si>
    <t>TOTAL</t>
  </si>
  <si>
    <t>Add CPOH @ 15%</t>
  </si>
  <si>
    <t>Cost of 100 metre</t>
  </si>
  <si>
    <t>Cost per metre</t>
  </si>
  <si>
    <t>LABOUR:</t>
  </si>
  <si>
    <t>Carriage of Spun iron S &amp; S pipes 150 mm dia</t>
  </si>
  <si>
    <t>100 meter</t>
  </si>
  <si>
    <t>Beldar</t>
  </si>
  <si>
    <t>Day</t>
  </si>
  <si>
    <t>Coolie</t>
  </si>
  <si>
    <t>Sundries-(Adhesive etc.)</t>
  </si>
  <si>
    <t>L.S</t>
  </si>
  <si>
    <t>Cost of 100.0 metre</t>
  </si>
  <si>
    <t>Say</t>
  </si>
  <si>
    <t>Supplying, assembling, lowering and fixing in vertical position in Borewell, PVC 140 mm 8 Kg/cm2 well casing pipe of required dia, conforming to IS : 4985:2000, including required hire and labour charges, fittings &amp; accessories etc. all complete, for all depths, as per direction of Engineer- in- Charge.</t>
  </si>
  <si>
    <t>MR10225</t>
  </si>
  <si>
    <t>PVC Pipe, 8kg/cm2, 140mm Dia.</t>
  </si>
  <si>
    <t>Supplying, assembling, lowering and fixing in vertical position in Borewell, PVC 160mm 6 Kg/cm2 well casing pipe of required dia, conforming to IS : 4985:2000, including required hire and labour charges, fittings &amp; accessories etc. all complete, for all depths, as per direction of Engineer- in- Charge.</t>
  </si>
  <si>
    <t>MR10216</t>
  </si>
  <si>
    <t>PVC Pipe, 6kg/cm2, 160mm Dia</t>
  </si>
  <si>
    <t>Supplying, assembling, lowering and fixing in vertical position in Borewell, PVC 180mm 6 Kg/cm2 well casing pipe of required dia, conforming to IS : 4985:2000, including required hire and labour charges, fittings &amp; accessories etc. all complete, for all depths, as per direction of Engineer- in- Charge.</t>
  </si>
  <si>
    <t>DL1</t>
  </si>
  <si>
    <t>PVC Pipe, 6kg/cm2, 180mm Dia.</t>
  </si>
  <si>
    <t>Supplying, assembling, lowering and fixing in vertical position in Borewell, PVC 180mm 8 Kg/cm2 well casing pipe of required dia, conforming to IS : 4985:2000, including required hire and labour charges, fittings &amp; accessories etc. all complete, for all depths, as per direction of Engineer- in- Charge.</t>
  </si>
  <si>
    <t>MR10228</t>
  </si>
  <si>
    <t>PVC Pipe, 8kg/cm2, 180mm Dia.</t>
  </si>
  <si>
    <t>Supplying, assembling, lowering and fixing in vertical position in Borewell, PVC 200mm 8 Kg/cm2 well casing pipe of required dia, conforming to IS : 4985:2000, including required hire and labour charges, fittings &amp; accessories etc. all complete, for all depths, as per direction of Engineer- in- Charge.</t>
  </si>
  <si>
    <t>MR10227</t>
  </si>
  <si>
    <t>PVC Pipe, 8kg/cm2, 200mm Dia.</t>
  </si>
  <si>
    <t>Supplying, assembling, lowering and fixing in vertical position in Borewell, PVC 200mm 10 Kg/cm2 well casing pipe of required dia, conforming to IS : 4985:2000, including required hire and labour charges, fittings &amp; accessories etc. all complete, for all depths, as per direction of Engineer- in- Charge.</t>
  </si>
  <si>
    <t>MR10240</t>
  </si>
  <si>
    <t>PVC Pipe, 10kg/cm2, 200mm Dia.</t>
  </si>
  <si>
    <t>Supplying, assembling, lowering and fixing in vertical position in Borewell, PVC 110 mm 6 Kg/cm2 well casing pipe of required dia, conforming to IS : 4985:2000, including required hire and labour charges, fittings &amp; accessories etc. all complete, for all depths, as per direction of Engineer- in- Charge.</t>
  </si>
  <si>
    <t>MR10214</t>
  </si>
  <si>
    <t>PVC Pipe, 6kg/cm2, 110mm Dia.</t>
  </si>
  <si>
    <t>Supplying, assembling, lowering and fixing in vertical position in Borewell, PVC 110 mm 4 Kg/cm2 well casing pipe of required dia, conforming to IS : 4985:2000, including required hire and labour charges, fittings &amp; accessories etc. all complete, for all depths, as per direction of Engineer- in- Charge.</t>
  </si>
  <si>
    <t>MR55</t>
  </si>
  <si>
    <t>PVC pipe 110 mm outer dia. 4kgf/cm2</t>
  </si>
  <si>
    <t>Supplying, assembling, lowering and fixing in vertical position in Borewell, PVC 140 mm 10 Kg/cm2 well casing pipe of required dia, conforming to IS : 4985:2000, including required hire and labour charges, fittings &amp; accessories etc. all complete, for all depths, as per direction of Engineer- in- Charge.</t>
  </si>
  <si>
    <t>MR10238</t>
  </si>
  <si>
    <t>PVC Pipe, 10kg/cm2, 140mm Dia.</t>
  </si>
  <si>
    <t>Supplying, assembling, lowering and fixing in vertical position in Borewell, PVC 180mm 10 Kg/cm2 well casing pipe of required dia, conforming to IS : 4985:2000, including required hire and labour charges, fittings &amp; accessories etc. all complete, for all depths, as per direction of Engineer- in- Charge.</t>
  </si>
  <si>
    <t>DL2</t>
  </si>
  <si>
    <t>PVC Pipe, 10kg/cm2, 180mm Dia.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</si>
</sst>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2" fillId="3" borderId="4" xfId="0" applyFont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4" fontId="2" fillId="3" borderId="4" xfId="0" applyNumberFormat="1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 wrapText="1"/>
    </xf>
    <xf numFmtId="0" fontId="1" fillId="3" borderId="4" xfId="0" applyFont="1" applyBorder="1" applyAlignment="1">
      <alignment vertical="center" wrapText="1"/>
    </xf>
    <xf numFmtId="4" fontId="1" fillId="3" borderId="5" xfId="0" applyNumberFormat="1" applyFont="1" applyBorder="1" applyAlignment="1">
      <alignment horizontal="center" vertical="center" wrapText="1"/>
    </xf>
    <xf numFmtId="0" fontId="3" fillId="0" borderId="6" xfId="0" applyFont="1" applyBorder="1">
      <alignment/>
    </xf>
    <xf numFmtId="0" fontId="1" fillId="3" borderId="4" xfId="0" applyFont="1" applyBorder="1" applyAlignment="1">
      <alignment horizontal="center" vertical="center" wrapText="1"/>
    </xf>
    <xf numFmtId="4" fontId="1" fillId="3" borderId="4" xfId="0" applyNumberFormat="1" applyFont="1" applyBorder="1" applyAlignment="1">
      <alignment horizontal="center" vertical="center" wrapText="1"/>
    </xf>
    <xf numFmtId="0" fontId="1" fillId="3" borderId="4" xfId="0" applyFont="1" applyBorder="1" applyAlignment="1">
      <alignment horizontal="right" vertical="center" wrapText="1"/>
    </xf>
    <xf numFmtId="0" fontId="2" fillId="3" borderId="1" xfId="0" applyFont="1" applyBorder="1" applyAlignment="1">
      <alignment horizontal="center" vertical="center" wrapText="1"/>
    </xf>
    <xf numFmtId="0" fontId="2" fillId="2" borderId="4" xfId="0" applyFont="1" applyBorder="1" applyAlignment="1">
      <alignment horizontal="center" vertical="center" wrapText="1"/>
    </xf>
    <xf numFmtId="0" fontId="1" fillId="2" borderId="1" xfId="0" applyFont="1" applyBorder="1" applyAlignment="1">
      <alignment vertical="center" wrapText="1"/>
    </xf>
    <xf numFmtId="4" fontId="2" fillId="2" borderId="4" xfId="0" applyNumberFormat="1" applyFont="1" applyBorder="1" applyAlignment="1">
      <alignment horizontal="center" vertical="center" wrapText="1"/>
    </xf>
    <xf numFmtId="0" fontId="1" fillId="2" borderId="5" xfId="0" applyFont="1" applyBorder="1" applyAlignment="1">
      <alignment horizontal="center" vertical="center" wrapText="1"/>
    </xf>
    <xf numFmtId="0" fontId="1" fillId="2" borderId="4" xfId="0" applyFont="1" applyBorder="1" applyAlignment="1">
      <alignment vertical="center" wrapText="1"/>
    </xf>
    <xf numFmtId="4" fontId="1" fillId="2" borderId="5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center" vertical="center" wrapText="1"/>
    </xf>
    <xf numFmtId="4" fontId="1" fillId="2" borderId="4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right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  <sheetName val="zDerived"/>
      <sheetName val="zLMR"/>
      <sheetName val="zPAMR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7C2E4E-A1D2-4EDF-B384-73F6C6F1BAA6}">
  <dimension ref="A1:F287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6" t="s">
        <v>7</v>
      </c>
    </row>
    <row r="4" spans="1:6" ht="12.75">
      <c r="A4" s="7"/>
      <c r="B4" s="8" t="s">
        <v>8</v>
      </c>
      <c r="C4" s="7"/>
      <c r="D4" s="7"/>
      <c r="E4" s="7"/>
      <c r="F4" s="9"/>
    </row>
    <row r="5" spans="1:6" ht="12.75">
      <c r="A5" s="10"/>
      <c r="B5" s="8" t="s">
        <v>9</v>
      </c>
      <c r="C5" s="10"/>
      <c r="D5" s="10"/>
      <c r="E5" s="10"/>
      <c r="F5" s="10"/>
    </row>
    <row r="6" spans="1:6" ht="12.75">
      <c r="A6" s="11" t="s">
        <v>10</v>
      </c>
      <c r="B6" s="8" t="s">
        <v>11</v>
      </c>
      <c r="C6" s="11" t="s">
        <v>12</v>
      </c>
      <c r="D6" s="11">
        <v>100</v>
      </c>
      <c r="E6" s="11">
        <f t="array" ref="E6">IFERROR(INDEX(LMRRates,MATCH(A6,LMRCodes,0),),)</f>
        <v>284</v>
      </c>
      <c r="F6" s="12">
        <f>D6*E6</f>
        <v>28400</v>
      </c>
    </row>
    <row r="7" spans="1:6" ht="12.75">
      <c r="A7" s="11"/>
      <c r="B7" s="13" t="s">
        <v>13</v>
      </c>
      <c r="C7" s="11"/>
      <c r="D7" s="11"/>
      <c r="E7" s="11"/>
      <c r="F7" s="12">
        <f>SUM(F6)</f>
        <v>28400</v>
      </c>
    </row>
    <row r="8" spans="1:6" ht="12.75">
      <c r="A8" s="11"/>
      <c r="B8" s="13" t="s">
        <v>14</v>
      </c>
      <c r="C8" s="11"/>
      <c r="D8" s="11"/>
      <c r="E8" s="11"/>
      <c r="F8" s="12">
        <f>F7*1/100</f>
        <v>284</v>
      </c>
    </row>
    <row r="9" spans="1:6" ht="12.75">
      <c r="A9" s="11"/>
      <c r="B9" s="13" t="s">
        <v>15</v>
      </c>
      <c r="C9" s="11"/>
      <c r="D9" s="11"/>
      <c r="E9" s="11"/>
      <c r="F9" s="12">
        <f>SUM(F7:F8)</f>
        <v>28684</v>
      </c>
    </row>
    <row r="10" spans="1:6" ht="12.75">
      <c r="A10" s="11"/>
      <c r="B10" s="13" t="s">
        <v>16</v>
      </c>
      <c r="C10" s="11"/>
      <c r="D10" s="11"/>
      <c r="E10" s="11"/>
      <c r="F10" s="12">
        <f>F9*0.15</f>
        <v>4302.60</v>
      </c>
    </row>
    <row r="11" spans="1:6" ht="12.75">
      <c r="A11" s="11"/>
      <c r="B11" s="13" t="s">
        <v>15</v>
      </c>
      <c r="C11" s="11"/>
      <c r="D11" s="11"/>
      <c r="E11" s="11"/>
      <c r="F11" s="12">
        <f>SUM(F9:F10)</f>
        <v>32986.60</v>
      </c>
    </row>
    <row r="12" spans="1:6" ht="12.75">
      <c r="A12" s="11"/>
      <c r="B12" s="13" t="s">
        <v>17</v>
      </c>
      <c r="C12" s="11"/>
      <c r="D12" s="11"/>
      <c r="E12" s="11"/>
      <c r="F12" s="12">
        <f>F11</f>
        <v>32986.60</v>
      </c>
    </row>
    <row r="13" spans="1:6" ht="12.75">
      <c r="A13" s="11"/>
      <c r="B13" s="13" t="s">
        <v>18</v>
      </c>
      <c r="C13" s="11"/>
      <c r="D13" s="11"/>
      <c r="E13" s="11"/>
      <c r="F13" s="12">
        <f>MROUND((F12/100),0.05)</f>
        <v>329.85</v>
      </c>
    </row>
    <row r="14" spans="1:6" ht="12.75">
      <c r="A14" s="11"/>
      <c r="B14" s="8" t="s">
        <v>19</v>
      </c>
      <c r="C14" s="11"/>
      <c r="D14" s="11"/>
      <c r="E14" s="11"/>
      <c r="F14" s="12"/>
    </row>
    <row r="15" spans="1:6" ht="12.75">
      <c r="A15" s="11">
        <v>2321</v>
      </c>
      <c r="B15" s="8" t="s">
        <v>20</v>
      </c>
      <c r="C15" s="11" t="s">
        <v>21</v>
      </c>
      <c r="D15" s="11">
        <v>50</v>
      </c>
      <c r="E15" s="11">
        <v>597</v>
      </c>
      <c r="F15" s="12">
        <f>E15/2</f>
        <v>298.50</v>
      </c>
    </row>
    <row r="16" spans="1:6" ht="12.75">
      <c r="A16" s="11">
        <v>114</v>
      </c>
      <c r="B16" s="8" t="s">
        <v>22</v>
      </c>
      <c r="C16" s="11" t="s">
        <v>23</v>
      </c>
      <c r="D16" s="11">
        <v>0.50</v>
      </c>
      <c r="E16" s="11">
        <v>645</v>
      </c>
      <c r="F16" s="12">
        <f>E16*D16</f>
        <v>322.50</v>
      </c>
    </row>
    <row r="17" spans="1:6" ht="12.75">
      <c r="A17" s="11">
        <v>115</v>
      </c>
      <c r="B17" s="8" t="s">
        <v>24</v>
      </c>
      <c r="C17" s="11" t="s">
        <v>23</v>
      </c>
      <c r="D17" s="11">
        <v>0.50</v>
      </c>
      <c r="E17" s="11">
        <v>645</v>
      </c>
      <c r="F17" s="12">
        <f>E17*D17</f>
        <v>322.50</v>
      </c>
    </row>
    <row r="18" spans="1:6" ht="12.75">
      <c r="A18" s="11">
        <v>9999</v>
      </c>
      <c r="B18" s="8" t="s">
        <v>25</v>
      </c>
      <c r="C18" s="11" t="s">
        <v>26</v>
      </c>
      <c r="D18" s="11">
        <v>10.07</v>
      </c>
      <c r="E18" s="11">
        <v>2.12</v>
      </c>
      <c r="F18" s="12">
        <f>E18*D18</f>
        <v>21.348400000000002</v>
      </c>
    </row>
    <row r="19" spans="1:6" ht="12.75">
      <c r="A19" s="11"/>
      <c r="B19" s="13" t="s">
        <v>13</v>
      </c>
      <c r="C19" s="11"/>
      <c r="D19" s="11"/>
      <c r="E19" s="11"/>
      <c r="F19" s="12">
        <f>SUM(F15:F18)</f>
        <v>964.84839999999997</v>
      </c>
    </row>
    <row r="20" spans="1:6" ht="12.75">
      <c r="A20" s="11"/>
      <c r="B20" s="13" t="s">
        <v>14</v>
      </c>
      <c r="C20" s="11"/>
      <c r="D20" s="11"/>
      <c r="E20" s="11"/>
      <c r="F20" s="12">
        <f>F19*0.01</f>
        <v>9.6484839999999998</v>
      </c>
    </row>
    <row r="21" spans="1:6" ht="12.75">
      <c r="A21" s="11"/>
      <c r="B21" s="13" t="s">
        <v>15</v>
      </c>
      <c r="C21" s="11"/>
      <c r="D21" s="11"/>
      <c r="E21" s="11"/>
      <c r="F21" s="12">
        <f>SUM(F19:F20)</f>
        <v>974.49688400000002</v>
      </c>
    </row>
    <row r="22" spans="1:6" ht="12.75">
      <c r="A22" s="11"/>
      <c r="B22" s="13" t="s">
        <v>16</v>
      </c>
      <c r="C22" s="11"/>
      <c r="D22" s="11"/>
      <c r="E22" s="11"/>
      <c r="F22" s="12">
        <f>F21*0.15</f>
        <v>146.17453259999999</v>
      </c>
    </row>
    <row r="23" spans="1:6" ht="12.75">
      <c r="A23" s="11"/>
      <c r="B23" s="13" t="s">
        <v>15</v>
      </c>
      <c r="C23" s="11"/>
      <c r="D23" s="11"/>
      <c r="E23" s="11"/>
      <c r="F23" s="12">
        <f>SUM(F21:F22)</f>
        <v>1120.671417</v>
      </c>
    </row>
    <row r="24" spans="1:6" ht="12.75">
      <c r="A24" s="11"/>
      <c r="B24" s="13" t="s">
        <v>27</v>
      </c>
      <c r="C24" s="11"/>
      <c r="D24" s="11"/>
      <c r="E24" s="11"/>
      <c r="F24" s="12">
        <f>F23</f>
        <v>1120.671417</v>
      </c>
    </row>
    <row r="25" spans="1:6" ht="12.75">
      <c r="A25" s="11"/>
      <c r="B25" s="13" t="s">
        <v>18</v>
      </c>
      <c r="C25" s="11"/>
      <c r="D25" s="11"/>
      <c r="E25" s="11"/>
      <c r="F25" s="12">
        <f>F24/100</f>
        <v>11.20671417</v>
      </c>
    </row>
    <row r="26" spans="1:6" ht="12.75">
      <c r="A26" s="11"/>
      <c r="B26" s="13" t="s">
        <v>28</v>
      </c>
      <c r="C26" s="11"/>
      <c r="D26" s="11"/>
      <c r="E26" s="11"/>
      <c r="F26" s="12">
        <f>MROUND(F25,0.05)</f>
        <v>11.20</v>
      </c>
    </row>
    <row r="27" spans="1:6" ht="12.75">
      <c r="A27" s="14" t="str">
        <f>CONCATENATE("Say ",F13," + ",F26," x Cost Index")</f>
        <v>Say 329.85 + 11.2 x Cost Index</v>
      </c>
      <c r="B27" s="2"/>
      <c r="C27" s="2"/>
      <c r="D27" s="2"/>
      <c r="E27" s="2"/>
      <c r="F27" s="3"/>
    </row>
    <row r="28" spans="1:6" ht="12.75">
      <c r="A28" s="15">
        <v>0</v>
      </c>
      <c r="B28" s="16" t="s">
        <v>29</v>
      </c>
      <c r="C28" s="2"/>
      <c r="D28" s="2"/>
      <c r="E28" s="2"/>
      <c r="F28" s="3"/>
    </row>
    <row r="29" spans="1:6" ht="12.75">
      <c r="A29" s="15" t="s">
        <v>2</v>
      </c>
      <c r="B29" s="15" t="s">
        <v>3</v>
      </c>
      <c r="C29" s="15" t="s">
        <v>4</v>
      </c>
      <c r="D29" s="15" t="s">
        <v>5</v>
      </c>
      <c r="E29" s="15" t="s">
        <v>6</v>
      </c>
      <c r="F29" s="17" t="s">
        <v>7</v>
      </c>
    </row>
    <row r="30" spans="1:6" ht="12.75">
      <c r="A30" s="18"/>
      <c r="B30" s="19" t="s">
        <v>8</v>
      </c>
      <c r="C30" s="18"/>
      <c r="D30" s="18"/>
      <c r="E30" s="18"/>
      <c r="F30" s="20"/>
    </row>
    <row r="31" spans="1:6" ht="12.75">
      <c r="A31" s="10"/>
      <c r="B31" s="19" t="s">
        <v>9</v>
      </c>
      <c r="C31" s="10"/>
      <c r="D31" s="10"/>
      <c r="E31" s="10"/>
      <c r="F31" s="10"/>
    </row>
    <row r="32" spans="1:6" ht="12.75">
      <c r="A32" s="21" t="s">
        <v>30</v>
      </c>
      <c r="B32" s="19" t="s">
        <v>31</v>
      </c>
      <c r="C32" s="21" t="s">
        <v>12</v>
      </c>
      <c r="D32" s="21">
        <v>100</v>
      </c>
      <c r="E32" s="21">
        <f t="array" ref="E32">IFERROR(INDEX(LMRRates,MATCH(A32,LMRCodes,0),),)</f>
        <v>386</v>
      </c>
      <c r="F32" s="22">
        <f>D32*E32</f>
        <v>38600</v>
      </c>
    </row>
    <row r="33" spans="1:6" ht="12.75">
      <c r="A33" s="21"/>
      <c r="B33" s="23" t="s">
        <v>13</v>
      </c>
      <c r="C33" s="21"/>
      <c r="D33" s="21"/>
      <c r="E33" s="21"/>
      <c r="F33" s="22">
        <f>SUM(F32)</f>
        <v>38600</v>
      </c>
    </row>
    <row r="34" spans="1:6" ht="12.75">
      <c r="A34" s="21"/>
      <c r="B34" s="23" t="s">
        <v>14</v>
      </c>
      <c r="C34" s="21"/>
      <c r="D34" s="21"/>
      <c r="E34" s="21"/>
      <c r="F34" s="22">
        <f>F33*0.01</f>
        <v>386</v>
      </c>
    </row>
    <row r="35" spans="1:6" ht="12.75">
      <c r="A35" s="21"/>
      <c r="B35" s="23" t="s">
        <v>15</v>
      </c>
      <c r="C35" s="21"/>
      <c r="D35" s="21"/>
      <c r="E35" s="21"/>
      <c r="F35" s="22">
        <f>SUM(F33:F34)</f>
        <v>38986</v>
      </c>
    </row>
    <row r="36" spans="1:6" ht="12.75">
      <c r="A36" s="21"/>
      <c r="B36" s="23" t="s">
        <v>16</v>
      </c>
      <c r="C36" s="21"/>
      <c r="D36" s="21"/>
      <c r="E36" s="21"/>
      <c r="F36" s="22">
        <f>F35*0.15</f>
        <v>5847.90</v>
      </c>
    </row>
    <row r="37" spans="1:6" ht="12.75">
      <c r="A37" s="21"/>
      <c r="B37" s="23" t="s">
        <v>15</v>
      </c>
      <c r="C37" s="21"/>
      <c r="D37" s="21"/>
      <c r="E37" s="21"/>
      <c r="F37" s="22">
        <f>SUM(F35:F36)</f>
        <v>44833.90</v>
      </c>
    </row>
    <row r="38" spans="1:6" ht="12.75">
      <c r="A38" s="21"/>
      <c r="B38" s="23" t="s">
        <v>17</v>
      </c>
      <c r="C38" s="21"/>
      <c r="D38" s="21"/>
      <c r="E38" s="21"/>
      <c r="F38" s="22">
        <f>F37</f>
        <v>44833.90</v>
      </c>
    </row>
    <row r="39" spans="1:6" ht="12.75">
      <c r="A39" s="21"/>
      <c r="B39" s="23" t="s">
        <v>18</v>
      </c>
      <c r="C39" s="21"/>
      <c r="D39" s="21"/>
      <c r="E39" s="21"/>
      <c r="F39" s="22">
        <f>MROUND((F38/100),0.05)</f>
        <v>448.35</v>
      </c>
    </row>
    <row r="40" spans="1:6" ht="12.75">
      <c r="A40" s="21"/>
      <c r="B40" s="19" t="s">
        <v>19</v>
      </c>
      <c r="C40" s="21"/>
      <c r="D40" s="21"/>
      <c r="E40" s="21"/>
      <c r="F40" s="22"/>
    </row>
    <row r="41" spans="1:6" ht="12.75">
      <c r="A41" s="21">
        <v>2321</v>
      </c>
      <c r="B41" s="19" t="s">
        <v>20</v>
      </c>
      <c r="C41" s="21" t="s">
        <v>21</v>
      </c>
      <c r="D41" s="21">
        <v>50</v>
      </c>
      <c r="E41" s="21">
        <v>597</v>
      </c>
      <c r="F41" s="22">
        <f>E41/2</f>
        <v>298.50</v>
      </c>
    </row>
    <row r="42" spans="1:6" ht="12.75">
      <c r="A42" s="21">
        <v>114</v>
      </c>
      <c r="B42" s="19" t="s">
        <v>22</v>
      </c>
      <c r="C42" s="21" t="s">
        <v>23</v>
      </c>
      <c r="D42" s="21">
        <v>0.50</v>
      </c>
      <c r="E42" s="21">
        <v>645</v>
      </c>
      <c r="F42" s="22">
        <f>D42*E42</f>
        <v>322.50</v>
      </c>
    </row>
    <row r="43" spans="1:6" ht="12.75">
      <c r="A43" s="21">
        <v>115</v>
      </c>
      <c r="B43" s="19" t="s">
        <v>24</v>
      </c>
      <c r="C43" s="21" t="s">
        <v>23</v>
      </c>
      <c r="D43" s="21">
        <v>0.50</v>
      </c>
      <c r="E43" s="21">
        <v>645</v>
      </c>
      <c r="F43" s="22">
        <f>D43*E43</f>
        <v>322.50</v>
      </c>
    </row>
    <row r="44" spans="1:6" ht="12.75">
      <c r="A44" s="21">
        <v>9999</v>
      </c>
      <c r="B44" s="19" t="s">
        <v>25</v>
      </c>
      <c r="C44" s="21" t="s">
        <v>26</v>
      </c>
      <c r="D44" s="21">
        <v>10.07</v>
      </c>
      <c r="E44" s="21">
        <v>2.12</v>
      </c>
      <c r="F44" s="22">
        <f>D44*E44</f>
        <v>21.348400000000002</v>
      </c>
    </row>
    <row r="45" spans="1:6" ht="12.75">
      <c r="A45" s="21"/>
      <c r="B45" s="23" t="s">
        <v>13</v>
      </c>
      <c r="C45" s="21"/>
      <c r="D45" s="21"/>
      <c r="E45" s="21"/>
      <c r="F45" s="22">
        <f>SUM(F41:F44)</f>
        <v>964.84839999999997</v>
      </c>
    </row>
    <row r="46" spans="1:6" ht="12.75">
      <c r="A46" s="21"/>
      <c r="B46" s="23" t="s">
        <v>14</v>
      </c>
      <c r="C46" s="21"/>
      <c r="D46" s="21"/>
      <c r="E46" s="21"/>
      <c r="F46" s="22">
        <f>F45*0.01</f>
        <v>9.6484839999999998</v>
      </c>
    </row>
    <row r="47" spans="1:6" ht="12.75">
      <c r="A47" s="21"/>
      <c r="B47" s="23" t="s">
        <v>15</v>
      </c>
      <c r="C47" s="21"/>
      <c r="D47" s="21"/>
      <c r="E47" s="21"/>
      <c r="F47" s="22">
        <f>SUM(F45:F46)</f>
        <v>974.49688400000002</v>
      </c>
    </row>
    <row r="48" spans="1:6" ht="12.75">
      <c r="A48" s="21"/>
      <c r="B48" s="23" t="s">
        <v>16</v>
      </c>
      <c r="C48" s="21"/>
      <c r="D48" s="21"/>
      <c r="E48" s="21"/>
      <c r="F48" s="22">
        <f>F47*0.15</f>
        <v>146.17453259999999</v>
      </c>
    </row>
    <row r="49" spans="1:6" ht="12.75">
      <c r="A49" s="21"/>
      <c r="B49" s="23" t="s">
        <v>15</v>
      </c>
      <c r="C49" s="21"/>
      <c r="D49" s="21"/>
      <c r="E49" s="21"/>
      <c r="F49" s="22">
        <f>SUM(F47:F48)</f>
        <v>1120.671417</v>
      </c>
    </row>
    <row r="50" spans="1:6" ht="12.75">
      <c r="A50" s="21"/>
      <c r="B50" s="23" t="s">
        <v>27</v>
      </c>
      <c r="C50" s="21"/>
      <c r="D50" s="21"/>
      <c r="E50" s="21"/>
      <c r="F50" s="22">
        <f>F49</f>
        <v>1120.671417</v>
      </c>
    </row>
    <row r="51" spans="1:6" ht="12.75">
      <c r="A51" s="21"/>
      <c r="B51" s="23" t="s">
        <v>18</v>
      </c>
      <c r="C51" s="21"/>
      <c r="D51" s="21"/>
      <c r="E51" s="21"/>
      <c r="F51" s="22">
        <f>F50/100</f>
        <v>11.20671417</v>
      </c>
    </row>
    <row r="52" spans="1:6" ht="12.75">
      <c r="A52" s="21"/>
      <c r="B52" s="23" t="s">
        <v>28</v>
      </c>
      <c r="C52" s="21"/>
      <c r="D52" s="21"/>
      <c r="E52" s="21"/>
      <c r="F52" s="22">
        <f>MROUND(F51,0.05)</f>
        <v>11.20</v>
      </c>
    </row>
    <row r="53" spans="1:6" ht="12.75">
      <c r="A53" s="14" t="str">
        <f>CONCATENATE("Say ",F39," + ",F52," x Cost Index")</f>
        <v>Say 448.35 + 11.2 x Cost Index</v>
      </c>
      <c r="B53" s="2"/>
      <c r="C53" s="2"/>
      <c r="D53" s="2"/>
      <c r="E53" s="2"/>
      <c r="F53" s="3"/>
    </row>
    <row r="54" spans="1:6" ht="12.75">
      <c r="A54" s="4">
        <v>0</v>
      </c>
      <c r="B54" s="5" t="s">
        <v>32</v>
      </c>
      <c r="C54" s="2"/>
      <c r="D54" s="2"/>
      <c r="E54" s="2"/>
      <c r="F54" s="3"/>
    </row>
    <row r="55" spans="1:6" ht="12.75">
      <c r="A55" s="4" t="s">
        <v>2</v>
      </c>
      <c r="B55" s="4" t="s">
        <v>3</v>
      </c>
      <c r="C55" s="4" t="s">
        <v>4</v>
      </c>
      <c r="D55" s="4" t="s">
        <v>5</v>
      </c>
      <c r="E55" s="4" t="s">
        <v>6</v>
      </c>
      <c r="F55" s="6" t="s">
        <v>7</v>
      </c>
    </row>
    <row r="56" spans="1:6" ht="12.75">
      <c r="A56" s="7"/>
      <c r="B56" s="8" t="s">
        <v>8</v>
      </c>
      <c r="C56" s="7"/>
      <c r="D56" s="7"/>
      <c r="E56" s="7"/>
      <c r="F56" s="9"/>
    </row>
    <row r="57" spans="1:6" ht="12.75">
      <c r="A57" s="10"/>
      <c r="B57" s="8" t="s">
        <v>9</v>
      </c>
      <c r="C57" s="10"/>
      <c r="D57" s="10"/>
      <c r="E57" s="10"/>
      <c r="F57" s="10"/>
    </row>
    <row r="58" spans="1:6" ht="12.75">
      <c r="A58" s="11" t="s">
        <v>33</v>
      </c>
      <c r="B58" s="8" t="s">
        <v>34</v>
      </c>
      <c r="C58" s="11" t="s">
        <v>12</v>
      </c>
      <c r="D58" s="11">
        <v>100</v>
      </c>
      <c r="E58" s="11">
        <f t="array" ref="E58">IFERROR(INDEX(LMRRates,MATCH(A58,LMRCodes,0),),)</f>
        <v>372</v>
      </c>
      <c r="F58" s="12">
        <f>D58*E58</f>
        <v>37200</v>
      </c>
    </row>
    <row r="59" spans="1:6" ht="12.75">
      <c r="A59" s="11"/>
      <c r="B59" s="13" t="s">
        <v>13</v>
      </c>
      <c r="C59" s="11"/>
      <c r="D59" s="11"/>
      <c r="E59" s="11"/>
      <c r="F59" s="12">
        <f>SUM(F58)</f>
        <v>37200</v>
      </c>
    </row>
    <row r="60" spans="1:6" ht="12.75">
      <c r="A60" s="11"/>
      <c r="B60" s="13" t="s">
        <v>14</v>
      </c>
      <c r="C60" s="11"/>
      <c r="D60" s="11"/>
      <c r="E60" s="11"/>
      <c r="F60" s="12">
        <f>F59*0.01</f>
        <v>372</v>
      </c>
    </row>
    <row r="61" spans="1:6" ht="12.75">
      <c r="A61" s="11"/>
      <c r="B61" s="13" t="s">
        <v>15</v>
      </c>
      <c r="C61" s="11"/>
      <c r="D61" s="11"/>
      <c r="E61" s="11"/>
      <c r="F61" s="12">
        <f>SUM(F59:F60)</f>
        <v>37572</v>
      </c>
    </row>
    <row r="62" spans="1:6" ht="12.75">
      <c r="A62" s="11">
        <v>114</v>
      </c>
      <c r="B62" s="13" t="s">
        <v>16</v>
      </c>
      <c r="C62" s="11"/>
      <c r="D62" s="11"/>
      <c r="E62" s="11"/>
      <c r="F62" s="12">
        <f>F61*0.15</f>
        <v>5635.80</v>
      </c>
    </row>
    <row r="63" spans="1:6" ht="12.75">
      <c r="A63" s="11">
        <v>115</v>
      </c>
      <c r="B63" s="13" t="s">
        <v>15</v>
      </c>
      <c r="C63" s="11"/>
      <c r="D63" s="11"/>
      <c r="E63" s="11"/>
      <c r="F63" s="12">
        <f>SUM(F61:F62)</f>
        <v>43207.80</v>
      </c>
    </row>
    <row r="64" spans="1:6" ht="12.75">
      <c r="A64" s="11">
        <v>9999</v>
      </c>
      <c r="B64" s="13" t="s">
        <v>17</v>
      </c>
      <c r="C64" s="11"/>
      <c r="D64" s="11"/>
      <c r="E64" s="11"/>
      <c r="F64" s="12">
        <f>F63</f>
        <v>43207.80</v>
      </c>
    </row>
    <row r="65" spans="1:6" ht="12.75">
      <c r="A65" s="11"/>
      <c r="B65" s="13" t="s">
        <v>18</v>
      </c>
      <c r="C65" s="11"/>
      <c r="D65" s="11"/>
      <c r="E65" s="11"/>
      <c r="F65" s="12">
        <f>MROUND((F64/100),0.05)</f>
        <v>432.10</v>
      </c>
    </row>
    <row r="66" spans="1:6" ht="12.75">
      <c r="A66" s="11"/>
      <c r="B66" s="8" t="s">
        <v>19</v>
      </c>
      <c r="C66" s="11"/>
      <c r="D66" s="11"/>
      <c r="E66" s="11"/>
      <c r="F66" s="12"/>
    </row>
    <row r="67" spans="1:6" ht="12.75">
      <c r="A67" s="11">
        <v>2321</v>
      </c>
      <c r="B67" s="8" t="s">
        <v>20</v>
      </c>
      <c r="C67" s="11" t="s">
        <v>21</v>
      </c>
      <c r="D67" s="11">
        <v>50</v>
      </c>
      <c r="E67" s="11">
        <v>597</v>
      </c>
      <c r="F67" s="12">
        <f>E67/2</f>
        <v>298.50</v>
      </c>
    </row>
    <row r="68" spans="1:6" ht="12.75">
      <c r="A68" s="11">
        <v>114</v>
      </c>
      <c r="B68" s="8" t="s">
        <v>22</v>
      </c>
      <c r="C68" s="11" t="s">
        <v>23</v>
      </c>
      <c r="D68" s="11">
        <v>0.50</v>
      </c>
      <c r="E68" s="11">
        <v>645</v>
      </c>
      <c r="F68" s="12">
        <f>D68*E68</f>
        <v>322.50</v>
      </c>
    </row>
    <row r="69" spans="1:6" ht="12.75">
      <c r="A69" s="11">
        <v>115</v>
      </c>
      <c r="B69" s="8" t="s">
        <v>24</v>
      </c>
      <c r="C69" s="11" t="s">
        <v>23</v>
      </c>
      <c r="D69" s="11">
        <v>0.50</v>
      </c>
      <c r="E69" s="11">
        <v>645</v>
      </c>
      <c r="F69" s="12">
        <f>D69*E69</f>
        <v>322.50</v>
      </c>
    </row>
    <row r="70" spans="1:6" ht="12.75">
      <c r="A70" s="11">
        <v>9999</v>
      </c>
      <c r="B70" s="8" t="s">
        <v>25</v>
      </c>
      <c r="C70" s="11" t="s">
        <v>26</v>
      </c>
      <c r="D70" s="11">
        <v>10.07</v>
      </c>
      <c r="E70" s="11">
        <v>2.12</v>
      </c>
      <c r="F70" s="12">
        <f>D70*E70</f>
        <v>21.348400000000002</v>
      </c>
    </row>
    <row r="71" spans="1:6" ht="12.75">
      <c r="A71" s="11"/>
      <c r="B71" s="13" t="s">
        <v>13</v>
      </c>
      <c r="C71" s="11"/>
      <c r="D71" s="11"/>
      <c r="E71" s="11"/>
      <c r="F71" s="12">
        <f>SUM(F67:F70)</f>
        <v>964.84839999999997</v>
      </c>
    </row>
    <row r="72" spans="1:6" ht="12.75">
      <c r="A72" s="11"/>
      <c r="B72" s="13" t="s">
        <v>14</v>
      </c>
      <c r="C72" s="11"/>
      <c r="D72" s="11"/>
      <c r="E72" s="11"/>
      <c r="F72" s="12">
        <f>F71*0.01</f>
        <v>9.6484839999999998</v>
      </c>
    </row>
    <row r="73" spans="1:6" ht="12.75">
      <c r="A73" s="11"/>
      <c r="B73" s="13" t="s">
        <v>15</v>
      </c>
      <c r="C73" s="11"/>
      <c r="D73" s="11"/>
      <c r="E73" s="11"/>
      <c r="F73" s="12">
        <f>SUM(F71:F72)</f>
        <v>974.49688400000002</v>
      </c>
    </row>
    <row r="74" spans="1:6" ht="12.75">
      <c r="A74" s="11"/>
      <c r="B74" s="13" t="s">
        <v>16</v>
      </c>
      <c r="C74" s="11"/>
      <c r="D74" s="11"/>
      <c r="E74" s="11"/>
      <c r="F74" s="12">
        <f>F73*0.15</f>
        <v>146.17453259999999</v>
      </c>
    </row>
    <row r="75" spans="1:6" ht="12.75">
      <c r="A75" s="11"/>
      <c r="B75" s="13" t="s">
        <v>15</v>
      </c>
      <c r="C75" s="11"/>
      <c r="D75" s="11"/>
      <c r="E75" s="11"/>
      <c r="F75" s="12">
        <f>SUM(F73:F74)</f>
        <v>1120.671417</v>
      </c>
    </row>
    <row r="76" spans="1:6" ht="12.75">
      <c r="A76" s="11"/>
      <c r="B76" s="13" t="s">
        <v>27</v>
      </c>
      <c r="C76" s="11"/>
      <c r="D76" s="11"/>
      <c r="E76" s="11"/>
      <c r="F76" s="12">
        <f>F75</f>
        <v>1120.671417</v>
      </c>
    </row>
    <row r="77" spans="1:6" ht="12.75">
      <c r="A77" s="11"/>
      <c r="B77" s="13" t="s">
        <v>18</v>
      </c>
      <c r="C77" s="11"/>
      <c r="D77" s="11"/>
      <c r="E77" s="11"/>
      <c r="F77" s="12">
        <f>F76/100</f>
        <v>11.20671417</v>
      </c>
    </row>
    <row r="78" spans="1:6" ht="12.75">
      <c r="A78" s="11"/>
      <c r="B78" s="13" t="s">
        <v>28</v>
      </c>
      <c r="C78" s="11"/>
      <c r="D78" s="11"/>
      <c r="E78" s="11"/>
      <c r="F78" s="12">
        <f>MROUND(F77,0.05)</f>
        <v>11.20</v>
      </c>
    </row>
    <row r="79" spans="1:6" ht="12.75">
      <c r="A79" s="14" t="str">
        <f>CONCATENATE("Say ",F65," + ",F78," x Cost Index")</f>
        <v>Say 432.1 + 11.2 x Cost Index</v>
      </c>
      <c r="B79" s="2"/>
      <c r="C79" s="2"/>
      <c r="D79" s="2"/>
      <c r="E79" s="2"/>
      <c r="F79" s="3"/>
    </row>
    <row r="80" spans="1:6" ht="12.75">
      <c r="A80" s="15">
        <v>0</v>
      </c>
      <c r="B80" s="16" t="s">
        <v>35</v>
      </c>
      <c r="C80" s="2"/>
      <c r="D80" s="2"/>
      <c r="E80" s="2"/>
      <c r="F80" s="3"/>
    </row>
    <row r="81" spans="1:6" ht="12.75">
      <c r="A81" s="15" t="s">
        <v>2</v>
      </c>
      <c r="B81" s="15" t="s">
        <v>3</v>
      </c>
      <c r="C81" s="15" t="s">
        <v>4</v>
      </c>
      <c r="D81" s="15" t="s">
        <v>5</v>
      </c>
      <c r="E81" s="15" t="s">
        <v>6</v>
      </c>
      <c r="F81" s="17" t="s">
        <v>7</v>
      </c>
    </row>
    <row r="82" spans="1:6" ht="12.75">
      <c r="A82" s="18"/>
      <c r="B82" s="19" t="s">
        <v>8</v>
      </c>
      <c r="C82" s="18"/>
      <c r="D82" s="18"/>
      <c r="E82" s="18"/>
      <c r="F82" s="20"/>
    </row>
    <row r="83" spans="1:6" ht="12.75">
      <c r="A83" s="10"/>
      <c r="B83" s="19" t="s">
        <v>9</v>
      </c>
      <c r="C83" s="10"/>
      <c r="D83" s="10"/>
      <c r="E83" s="10"/>
      <c r="F83" s="10"/>
    </row>
    <row r="84" spans="1:6" ht="12.75">
      <c r="A84" s="21" t="s">
        <v>36</v>
      </c>
      <c r="B84" s="19" t="s">
        <v>37</v>
      </c>
      <c r="C84" s="21" t="s">
        <v>12</v>
      </c>
      <c r="D84" s="21">
        <v>100</v>
      </c>
      <c r="E84" s="21">
        <f t="array" ref="E84">IFERROR(INDEX(DerivedRates,MATCH(A84,DerivedCodes,0),),)</f>
        <v>480</v>
      </c>
      <c r="F84" s="22">
        <f>D84*E84</f>
        <v>48000</v>
      </c>
    </row>
    <row r="85" spans="1:6" ht="12.75">
      <c r="A85" s="21"/>
      <c r="B85" s="23" t="s">
        <v>13</v>
      </c>
      <c r="C85" s="21"/>
      <c r="D85" s="21"/>
      <c r="E85" s="21"/>
      <c r="F85" s="22">
        <f>SUM(F84)</f>
        <v>48000</v>
      </c>
    </row>
    <row r="86" spans="1:6" ht="12.75">
      <c r="A86" s="21"/>
      <c r="B86" s="23" t="s">
        <v>14</v>
      </c>
      <c r="C86" s="21"/>
      <c r="D86" s="21"/>
      <c r="E86" s="21"/>
      <c r="F86" s="22">
        <f>F85*0.01</f>
        <v>480</v>
      </c>
    </row>
    <row r="87" spans="1:6" ht="12.75">
      <c r="A87" s="21"/>
      <c r="B87" s="23" t="s">
        <v>15</v>
      </c>
      <c r="C87" s="21"/>
      <c r="D87" s="21"/>
      <c r="E87" s="21"/>
      <c r="F87" s="22">
        <f>SUM(F85:F86)</f>
        <v>48480</v>
      </c>
    </row>
    <row r="88" spans="1:6" ht="12.75">
      <c r="A88" s="21"/>
      <c r="B88" s="23" t="s">
        <v>16</v>
      </c>
      <c r="C88" s="21"/>
      <c r="D88" s="21"/>
      <c r="E88" s="21"/>
      <c r="F88" s="22">
        <f>F87*0.15</f>
        <v>7272</v>
      </c>
    </row>
    <row r="89" spans="1:6" ht="12.75">
      <c r="A89" s="21"/>
      <c r="B89" s="23" t="s">
        <v>15</v>
      </c>
      <c r="C89" s="21"/>
      <c r="D89" s="21"/>
      <c r="E89" s="21"/>
      <c r="F89" s="22">
        <f>SUM(F87:F88)</f>
        <v>55752</v>
      </c>
    </row>
    <row r="90" spans="1:6" ht="12.75">
      <c r="A90" s="21"/>
      <c r="B90" s="23" t="s">
        <v>17</v>
      </c>
      <c r="C90" s="21"/>
      <c r="D90" s="21"/>
      <c r="E90" s="21"/>
      <c r="F90" s="22">
        <f>F89</f>
        <v>55752</v>
      </c>
    </row>
    <row r="91" spans="1:6" ht="12.75">
      <c r="A91" s="21"/>
      <c r="B91" s="23" t="s">
        <v>18</v>
      </c>
      <c r="C91" s="21"/>
      <c r="D91" s="21"/>
      <c r="E91" s="21"/>
      <c r="F91" s="22">
        <f>MROUND((F90/100),0.05)</f>
        <v>557.50</v>
      </c>
    </row>
    <row r="92" spans="1:6" ht="12.75">
      <c r="A92" s="21"/>
      <c r="B92" s="19" t="s">
        <v>19</v>
      </c>
      <c r="C92" s="21"/>
      <c r="D92" s="21"/>
      <c r="E92" s="21"/>
      <c r="F92" s="22"/>
    </row>
    <row r="93" spans="1:6" ht="12.75">
      <c r="A93" s="21">
        <v>2321</v>
      </c>
      <c r="B93" s="19" t="s">
        <v>20</v>
      </c>
      <c r="C93" s="21" t="s">
        <v>21</v>
      </c>
      <c r="D93" s="21">
        <v>50</v>
      </c>
      <c r="E93" s="21">
        <v>597</v>
      </c>
      <c r="F93" s="22">
        <f>E93/2</f>
        <v>298.50</v>
      </c>
    </row>
    <row r="94" spans="1:6" ht="12.75">
      <c r="A94" s="21">
        <v>114</v>
      </c>
      <c r="B94" s="19" t="s">
        <v>22</v>
      </c>
      <c r="C94" s="21" t="s">
        <v>23</v>
      </c>
      <c r="D94" s="21">
        <v>0.50</v>
      </c>
      <c r="E94" s="21">
        <v>645</v>
      </c>
      <c r="F94" s="22">
        <f>E94*D94</f>
        <v>322.50</v>
      </c>
    </row>
    <row r="95" spans="1:6" ht="12.75">
      <c r="A95" s="21">
        <v>115</v>
      </c>
      <c r="B95" s="19" t="s">
        <v>24</v>
      </c>
      <c r="C95" s="21" t="s">
        <v>23</v>
      </c>
      <c r="D95" s="21">
        <v>0.50</v>
      </c>
      <c r="E95" s="21">
        <v>645</v>
      </c>
      <c r="F95" s="22">
        <f>E95*D95</f>
        <v>322.50</v>
      </c>
    </row>
    <row r="96" spans="1:6" ht="12.75">
      <c r="A96" s="21">
        <v>9999</v>
      </c>
      <c r="B96" s="19" t="s">
        <v>25</v>
      </c>
      <c r="C96" s="21" t="s">
        <v>26</v>
      </c>
      <c r="D96" s="21">
        <v>10.07</v>
      </c>
      <c r="E96" s="21">
        <v>2.12</v>
      </c>
      <c r="F96" s="22">
        <f>E96*D96</f>
        <v>21.348400000000002</v>
      </c>
    </row>
    <row r="97" spans="1:6" ht="12.75">
      <c r="A97" s="21"/>
      <c r="B97" s="23" t="s">
        <v>13</v>
      </c>
      <c r="C97" s="21"/>
      <c r="D97" s="21"/>
      <c r="E97" s="21"/>
      <c r="F97" s="22">
        <f>SUM(F93:F96)</f>
        <v>964.84839999999997</v>
      </c>
    </row>
    <row r="98" spans="1:6" ht="12.75">
      <c r="A98" s="21"/>
      <c r="B98" s="23" t="s">
        <v>14</v>
      </c>
      <c r="C98" s="21"/>
      <c r="D98" s="21"/>
      <c r="E98" s="21"/>
      <c r="F98" s="22">
        <f>F97*0.01</f>
        <v>9.6484839999999998</v>
      </c>
    </row>
    <row r="99" spans="1:6" ht="12.75">
      <c r="A99" s="21"/>
      <c r="B99" s="23" t="s">
        <v>15</v>
      </c>
      <c r="C99" s="21"/>
      <c r="D99" s="21"/>
      <c r="E99" s="21"/>
      <c r="F99" s="22">
        <f>SUM(F97:F98)</f>
        <v>974.49688400000002</v>
      </c>
    </row>
    <row r="100" spans="1:6" ht="12.75">
      <c r="A100" s="21"/>
      <c r="B100" s="23" t="s">
        <v>16</v>
      </c>
      <c r="C100" s="21"/>
      <c r="D100" s="21"/>
      <c r="E100" s="21"/>
      <c r="F100" s="22">
        <f>F99*0.15</f>
        <v>146.17453259999999</v>
      </c>
    </row>
    <row r="101" spans="1:6" ht="12.75">
      <c r="A101" s="21"/>
      <c r="B101" s="23" t="s">
        <v>15</v>
      </c>
      <c r="C101" s="21"/>
      <c r="D101" s="21"/>
      <c r="E101" s="21"/>
      <c r="F101" s="22">
        <f>SUM(F99:F100)</f>
        <v>1120.671417</v>
      </c>
    </row>
    <row r="102" spans="1:6" ht="12.75">
      <c r="A102" s="21"/>
      <c r="B102" s="23" t="s">
        <v>27</v>
      </c>
      <c r="C102" s="21"/>
      <c r="D102" s="21"/>
      <c r="E102" s="21"/>
      <c r="F102" s="22">
        <f>F101</f>
        <v>1120.671417</v>
      </c>
    </row>
    <row r="103" spans="1:6" ht="12.75">
      <c r="A103" s="21"/>
      <c r="B103" s="23" t="s">
        <v>18</v>
      </c>
      <c r="C103" s="21"/>
      <c r="D103" s="21"/>
      <c r="E103" s="21"/>
      <c r="F103" s="22">
        <f>F102/100</f>
        <v>11.20671417</v>
      </c>
    </row>
    <row r="104" spans="1:6" ht="12.75">
      <c r="A104" s="21"/>
      <c r="B104" s="23" t="s">
        <v>28</v>
      </c>
      <c r="C104" s="21"/>
      <c r="D104" s="21"/>
      <c r="E104" s="21"/>
      <c r="F104" s="22">
        <f>MROUND(F103,0.05)</f>
        <v>11.20</v>
      </c>
    </row>
    <row r="105" spans="1:6" ht="12.75">
      <c r="A105" s="14" t="str">
        <f>CONCATENATE("Say ",F91," + ",F104," x Cost Index")</f>
        <v>Say 557.5 + 11.2 x Cost Index</v>
      </c>
      <c r="B105" s="2"/>
      <c r="C105" s="2"/>
      <c r="D105" s="2"/>
      <c r="E105" s="2"/>
      <c r="F105" s="3"/>
    </row>
    <row r="106" spans="1:6" ht="12.75">
      <c r="A106" s="4">
        <v>0</v>
      </c>
      <c r="B106" s="5" t="s">
        <v>38</v>
      </c>
      <c r="C106" s="2"/>
      <c r="D106" s="2"/>
      <c r="E106" s="2"/>
      <c r="F106" s="3"/>
    </row>
    <row r="107" spans="1:6" ht="12.75">
      <c r="A107" s="4" t="s">
        <v>2</v>
      </c>
      <c r="B107" s="4" t="s">
        <v>3</v>
      </c>
      <c r="C107" s="4" t="s">
        <v>4</v>
      </c>
      <c r="D107" s="4" t="s">
        <v>5</v>
      </c>
      <c r="E107" s="4" t="s">
        <v>6</v>
      </c>
      <c r="F107" s="6" t="s">
        <v>7</v>
      </c>
    </row>
    <row r="108" spans="1:6" ht="12.75">
      <c r="A108" s="7"/>
      <c r="B108" s="8" t="s">
        <v>8</v>
      </c>
      <c r="C108" s="7"/>
      <c r="D108" s="7"/>
      <c r="E108" s="7"/>
      <c r="F108" s="9"/>
    </row>
    <row r="109" spans="1:6" ht="12.75">
      <c r="A109" s="10"/>
      <c r="B109" s="8" t="s">
        <v>9</v>
      </c>
      <c r="C109" s="10"/>
      <c r="D109" s="10"/>
      <c r="E109" s="10"/>
      <c r="F109" s="10"/>
    </row>
    <row r="110" spans="1:6" ht="12.75">
      <c r="A110" s="11" t="s">
        <v>39</v>
      </c>
      <c r="B110" s="8" t="s">
        <v>40</v>
      </c>
      <c r="C110" s="11" t="s">
        <v>12</v>
      </c>
      <c r="D110" s="11">
        <v>100</v>
      </c>
      <c r="E110" s="11">
        <f t="array" ref="E110">IFERROR(INDEX(LMRRates,MATCH(A110,LMRCodes,0),),)</f>
        <v>631</v>
      </c>
      <c r="F110" s="12">
        <f>D110*E110</f>
        <v>63100</v>
      </c>
    </row>
    <row r="111" spans="1:6" ht="12.75">
      <c r="A111" s="11"/>
      <c r="B111" s="13" t="s">
        <v>13</v>
      </c>
      <c r="C111" s="11"/>
      <c r="D111" s="11"/>
      <c r="E111" s="11"/>
      <c r="F111" s="12">
        <f>SUM(F110)</f>
        <v>63100</v>
      </c>
    </row>
    <row r="112" spans="1:6" ht="12.75">
      <c r="A112" s="11"/>
      <c r="B112" s="13" t="s">
        <v>14</v>
      </c>
      <c r="C112" s="11"/>
      <c r="D112" s="11"/>
      <c r="E112" s="11"/>
      <c r="F112" s="12">
        <f>F111*0.01</f>
        <v>631</v>
      </c>
    </row>
    <row r="113" spans="1:6" ht="12.75">
      <c r="A113" s="11"/>
      <c r="B113" s="13" t="s">
        <v>15</v>
      </c>
      <c r="C113" s="11"/>
      <c r="D113" s="11"/>
      <c r="E113" s="11"/>
      <c r="F113" s="12">
        <f>SUM(F111:F112)</f>
        <v>63731</v>
      </c>
    </row>
    <row r="114" spans="1:6" ht="12.75">
      <c r="A114" s="11"/>
      <c r="B114" s="13" t="s">
        <v>16</v>
      </c>
      <c r="C114" s="11"/>
      <c r="D114" s="11"/>
      <c r="E114" s="11"/>
      <c r="F114" s="12">
        <f>F113*0.15</f>
        <v>9559.65</v>
      </c>
    </row>
    <row r="115" spans="1:6" ht="12.75">
      <c r="A115" s="11"/>
      <c r="B115" s="13" t="s">
        <v>15</v>
      </c>
      <c r="C115" s="11"/>
      <c r="D115" s="11"/>
      <c r="E115" s="11"/>
      <c r="F115" s="12">
        <f>SUM(F113:F114)</f>
        <v>73290.65</v>
      </c>
    </row>
    <row r="116" spans="1:6" ht="12.75">
      <c r="A116" s="11"/>
      <c r="B116" s="13" t="s">
        <v>17</v>
      </c>
      <c r="C116" s="11"/>
      <c r="D116" s="11"/>
      <c r="E116" s="11"/>
      <c r="F116" s="12">
        <f>F115</f>
        <v>73290.65</v>
      </c>
    </row>
    <row r="117" spans="1:6" ht="12.75">
      <c r="A117" s="11"/>
      <c r="B117" s="13" t="s">
        <v>18</v>
      </c>
      <c r="C117" s="11"/>
      <c r="D117" s="11"/>
      <c r="E117" s="11"/>
      <c r="F117" s="12">
        <f>MROUND((F116/100),0.05)</f>
        <v>732.90</v>
      </c>
    </row>
    <row r="118" spans="1:6" ht="12.75">
      <c r="A118" s="11"/>
      <c r="B118" s="8" t="s">
        <v>19</v>
      </c>
      <c r="C118" s="11"/>
      <c r="D118" s="11"/>
      <c r="E118" s="11"/>
      <c r="F118" s="12"/>
    </row>
    <row r="119" spans="1:6" ht="12.75">
      <c r="A119" s="11">
        <v>2321</v>
      </c>
      <c r="B119" s="8" t="s">
        <v>20</v>
      </c>
      <c r="C119" s="11" t="s">
        <v>21</v>
      </c>
      <c r="D119" s="11">
        <v>50</v>
      </c>
      <c r="E119" s="11">
        <v>597</v>
      </c>
      <c r="F119" s="12">
        <f>E119/2</f>
        <v>298.50</v>
      </c>
    </row>
    <row r="120" spans="1:6" ht="12.75">
      <c r="A120" s="11">
        <v>114</v>
      </c>
      <c r="B120" s="8" t="s">
        <v>22</v>
      </c>
      <c r="C120" s="11" t="s">
        <v>23</v>
      </c>
      <c r="D120" s="11">
        <v>0.50</v>
      </c>
      <c r="E120" s="11">
        <v>645</v>
      </c>
      <c r="F120" s="12">
        <f>D120*E120</f>
        <v>322.50</v>
      </c>
    </row>
    <row r="121" spans="1:6" ht="12.75">
      <c r="A121" s="11">
        <v>115</v>
      </c>
      <c r="B121" s="8" t="s">
        <v>24</v>
      </c>
      <c r="C121" s="11" t="s">
        <v>23</v>
      </c>
      <c r="D121" s="11">
        <v>0.50</v>
      </c>
      <c r="E121" s="11">
        <v>645</v>
      </c>
      <c r="F121" s="12">
        <f>D121*E121</f>
        <v>322.50</v>
      </c>
    </row>
    <row r="122" spans="1:6" ht="12.75">
      <c r="A122" s="11">
        <v>9999</v>
      </c>
      <c r="B122" s="8" t="s">
        <v>25</v>
      </c>
      <c r="C122" s="11" t="s">
        <v>26</v>
      </c>
      <c r="D122" s="11">
        <v>10.07</v>
      </c>
      <c r="E122" s="11">
        <v>2.12</v>
      </c>
      <c r="F122" s="12">
        <f>D122*E122</f>
        <v>21.348400000000002</v>
      </c>
    </row>
    <row r="123" spans="1:6" ht="12.75">
      <c r="A123" s="11"/>
      <c r="B123" s="13" t="s">
        <v>13</v>
      </c>
      <c r="C123" s="11"/>
      <c r="D123" s="11"/>
      <c r="E123" s="11"/>
      <c r="F123" s="12">
        <f>SUM(F119:F122)</f>
        <v>964.84839999999997</v>
      </c>
    </row>
    <row r="124" spans="1:6" ht="12.75">
      <c r="A124" s="11"/>
      <c r="B124" s="13" t="s">
        <v>14</v>
      </c>
      <c r="C124" s="11"/>
      <c r="D124" s="11"/>
      <c r="E124" s="11"/>
      <c r="F124" s="12">
        <f>F123*0.01</f>
        <v>9.6484839999999998</v>
      </c>
    </row>
    <row r="125" spans="1:6" ht="12.75">
      <c r="A125" s="11"/>
      <c r="B125" s="13" t="s">
        <v>15</v>
      </c>
      <c r="C125" s="11"/>
      <c r="D125" s="11"/>
      <c r="E125" s="11"/>
      <c r="F125" s="12">
        <f>SUM(F123:F124)</f>
        <v>974.49688400000002</v>
      </c>
    </row>
    <row r="126" spans="1:6" ht="12.75">
      <c r="A126" s="11"/>
      <c r="B126" s="13" t="s">
        <v>16</v>
      </c>
      <c r="C126" s="11"/>
      <c r="D126" s="11"/>
      <c r="E126" s="11"/>
      <c r="F126" s="12">
        <f>F125*0.15</f>
        <v>146.17453259999999</v>
      </c>
    </row>
    <row r="127" spans="1:6" ht="12.75">
      <c r="A127" s="11"/>
      <c r="B127" s="13" t="s">
        <v>15</v>
      </c>
      <c r="C127" s="11"/>
      <c r="D127" s="11"/>
      <c r="E127" s="11"/>
      <c r="F127" s="12">
        <f>SUM(F125:F126)</f>
        <v>1120.671417</v>
      </c>
    </row>
    <row r="128" spans="1:6" ht="12.75">
      <c r="A128" s="11"/>
      <c r="B128" s="13" t="s">
        <v>27</v>
      </c>
      <c r="C128" s="11"/>
      <c r="D128" s="11"/>
      <c r="E128" s="11"/>
      <c r="F128" s="12">
        <f>F127</f>
        <v>1120.671417</v>
      </c>
    </row>
    <row r="129" spans="1:6" ht="12.75">
      <c r="A129" s="11"/>
      <c r="B129" s="13" t="s">
        <v>18</v>
      </c>
      <c r="C129" s="11"/>
      <c r="D129" s="11"/>
      <c r="E129" s="11"/>
      <c r="F129" s="12">
        <f>F128/100</f>
        <v>11.20671417</v>
      </c>
    </row>
    <row r="130" spans="1:6" ht="12.75">
      <c r="A130" s="11"/>
      <c r="B130" s="13" t="s">
        <v>28</v>
      </c>
      <c r="C130" s="11"/>
      <c r="D130" s="11"/>
      <c r="E130" s="11"/>
      <c r="F130" s="12">
        <f>MROUND(F129,0.05)</f>
        <v>11.20</v>
      </c>
    </row>
    <row r="131" spans="1:6" ht="12.75">
      <c r="A131" s="14" t="str">
        <f>CONCATENATE("Say ",F117," + ",F130," x Cost Index")</f>
        <v>Say 732.9 + 11.2 x Cost Index</v>
      </c>
      <c r="B131" s="2"/>
      <c r="C131" s="2"/>
      <c r="D131" s="2"/>
      <c r="E131" s="2"/>
      <c r="F131" s="3"/>
    </row>
    <row r="132" spans="1:6" ht="12.75">
      <c r="A132" s="15">
        <v>0</v>
      </c>
      <c r="B132" s="16" t="s">
        <v>41</v>
      </c>
      <c r="C132" s="2"/>
      <c r="D132" s="2"/>
      <c r="E132" s="2"/>
      <c r="F132" s="3"/>
    </row>
    <row r="133" spans="1:6" ht="12.75">
      <c r="A133" s="15" t="s">
        <v>2</v>
      </c>
      <c r="B133" s="15" t="s">
        <v>3</v>
      </c>
      <c r="C133" s="15" t="s">
        <v>4</v>
      </c>
      <c r="D133" s="15" t="s">
        <v>5</v>
      </c>
      <c r="E133" s="15" t="s">
        <v>6</v>
      </c>
      <c r="F133" s="17" t="s">
        <v>7</v>
      </c>
    </row>
    <row r="134" spans="1:6" ht="12.75">
      <c r="A134" s="18"/>
      <c r="B134" s="19" t="s">
        <v>8</v>
      </c>
      <c r="C134" s="18"/>
      <c r="D134" s="18"/>
      <c r="E134" s="18"/>
      <c r="F134" s="20"/>
    </row>
    <row r="135" spans="1:6" ht="12.75">
      <c r="A135" s="10"/>
      <c r="B135" s="19" t="s">
        <v>9</v>
      </c>
      <c r="C135" s="10"/>
      <c r="D135" s="10"/>
      <c r="E135" s="10"/>
      <c r="F135" s="10"/>
    </row>
    <row r="136" spans="1:6" ht="12.75">
      <c r="A136" s="21" t="s">
        <v>42</v>
      </c>
      <c r="B136" s="19" t="s">
        <v>43</v>
      </c>
      <c r="C136" s="21" t="s">
        <v>12</v>
      </c>
      <c r="D136" s="21">
        <v>100</v>
      </c>
      <c r="E136" s="21">
        <f t="array" ref="E136">IFERROR(INDEX(LMRRates,MATCH(A136,LMRCodes,0),),)</f>
        <v>770</v>
      </c>
      <c r="F136" s="22">
        <f>D136*E136</f>
        <v>77000</v>
      </c>
    </row>
    <row r="137" spans="1:6" ht="12.75">
      <c r="A137" s="21"/>
      <c r="B137" s="23" t="s">
        <v>13</v>
      </c>
      <c r="C137" s="21"/>
      <c r="D137" s="21"/>
      <c r="E137" s="21"/>
      <c r="F137" s="22">
        <f>SUM(F136)</f>
        <v>77000</v>
      </c>
    </row>
    <row r="138" spans="1:6" ht="12.75">
      <c r="A138" s="21"/>
      <c r="B138" s="23" t="s">
        <v>14</v>
      </c>
      <c r="C138" s="21"/>
      <c r="D138" s="21"/>
      <c r="E138" s="21"/>
      <c r="F138" s="22">
        <f>F137*0.01</f>
        <v>770</v>
      </c>
    </row>
    <row r="139" spans="1:6" ht="12.75">
      <c r="A139" s="21"/>
      <c r="B139" s="23" t="s">
        <v>15</v>
      </c>
      <c r="C139" s="21"/>
      <c r="D139" s="21"/>
      <c r="E139" s="21"/>
      <c r="F139" s="22">
        <f>SUM(F137:F138)</f>
        <v>77770</v>
      </c>
    </row>
    <row r="140" spans="1:6" ht="12.75">
      <c r="A140" s="21"/>
      <c r="B140" s="23" t="s">
        <v>16</v>
      </c>
      <c r="C140" s="21"/>
      <c r="D140" s="21"/>
      <c r="E140" s="21"/>
      <c r="F140" s="22">
        <f>F139*0.15</f>
        <v>11665.50</v>
      </c>
    </row>
    <row r="141" spans="1:6" ht="12.75">
      <c r="A141" s="21"/>
      <c r="B141" s="23" t="s">
        <v>15</v>
      </c>
      <c r="C141" s="21"/>
      <c r="D141" s="21"/>
      <c r="E141" s="21"/>
      <c r="F141" s="22">
        <f>SUM(F139:F140)</f>
        <v>89435.50</v>
      </c>
    </row>
    <row r="142" spans="1:6" ht="12.75">
      <c r="A142" s="21"/>
      <c r="B142" s="23" t="s">
        <v>17</v>
      </c>
      <c r="C142" s="21"/>
      <c r="D142" s="21"/>
      <c r="E142" s="21"/>
      <c r="F142" s="22">
        <f>F141</f>
        <v>89435.50</v>
      </c>
    </row>
    <row r="143" spans="1:6" ht="12.75">
      <c r="A143" s="21"/>
      <c r="B143" s="23" t="s">
        <v>18</v>
      </c>
      <c r="C143" s="21"/>
      <c r="D143" s="21"/>
      <c r="E143" s="21"/>
      <c r="F143" s="22">
        <f>MROUND((F142/100),0.05)</f>
        <v>894.35</v>
      </c>
    </row>
    <row r="144" spans="1:6" ht="12.75">
      <c r="A144" s="21"/>
      <c r="B144" s="19" t="s">
        <v>19</v>
      </c>
      <c r="C144" s="21"/>
      <c r="D144" s="21"/>
      <c r="E144" s="21"/>
      <c r="F144" s="22"/>
    </row>
    <row r="145" spans="1:6" ht="12.75">
      <c r="A145" s="21">
        <v>2321</v>
      </c>
      <c r="B145" s="19" t="s">
        <v>20</v>
      </c>
      <c r="C145" s="21" t="s">
        <v>21</v>
      </c>
      <c r="D145" s="21">
        <v>50</v>
      </c>
      <c r="E145" s="21">
        <v>597</v>
      </c>
      <c r="F145" s="22">
        <f>E145/2</f>
        <v>298.50</v>
      </c>
    </row>
    <row r="146" spans="1:6" ht="12.75">
      <c r="A146" s="21">
        <v>114</v>
      </c>
      <c r="B146" s="19" t="s">
        <v>22</v>
      </c>
      <c r="C146" s="21" t="s">
        <v>23</v>
      </c>
      <c r="D146" s="21">
        <v>0.50</v>
      </c>
      <c r="E146" s="21">
        <v>645</v>
      </c>
      <c r="F146" s="22">
        <f>D146*E146</f>
        <v>322.50</v>
      </c>
    </row>
    <row r="147" spans="1:6" ht="12.75">
      <c r="A147" s="21">
        <v>115</v>
      </c>
      <c r="B147" s="19" t="s">
        <v>24</v>
      </c>
      <c r="C147" s="21" t="s">
        <v>23</v>
      </c>
      <c r="D147" s="21">
        <v>0.50</v>
      </c>
      <c r="E147" s="21">
        <v>645</v>
      </c>
      <c r="F147" s="22">
        <f>D147*E147</f>
        <v>322.50</v>
      </c>
    </row>
    <row r="148" spans="1:6" ht="12.75">
      <c r="A148" s="21">
        <v>9999</v>
      </c>
      <c r="B148" s="19" t="s">
        <v>25</v>
      </c>
      <c r="C148" s="21" t="s">
        <v>26</v>
      </c>
      <c r="D148" s="21">
        <v>10.07</v>
      </c>
      <c r="E148" s="21">
        <v>2.12</v>
      </c>
      <c r="F148" s="22">
        <v>20.14</v>
      </c>
    </row>
    <row r="149" spans="1:6" ht="12.75">
      <c r="A149" s="21"/>
      <c r="B149" s="23" t="s">
        <v>13</v>
      </c>
      <c r="C149" s="21"/>
      <c r="D149" s="21"/>
      <c r="E149" s="21"/>
      <c r="F149" s="22">
        <f>SUM(F145:F148)</f>
        <v>963.64</v>
      </c>
    </row>
    <row r="150" spans="1:6" ht="12.75">
      <c r="A150" s="21"/>
      <c r="B150" s="23" t="s">
        <v>14</v>
      </c>
      <c r="C150" s="21"/>
      <c r="D150" s="21"/>
      <c r="E150" s="21"/>
      <c r="F150" s="22">
        <f>F149*0.01</f>
        <v>9.6364000000000001</v>
      </c>
    </row>
    <row r="151" spans="1:6" ht="12.75">
      <c r="A151" s="21"/>
      <c r="B151" s="23" t="s">
        <v>15</v>
      </c>
      <c r="C151" s="21"/>
      <c r="D151" s="21"/>
      <c r="E151" s="21"/>
      <c r="F151" s="22">
        <f>SUM(F149:F150)</f>
        <v>973.27639999999997</v>
      </c>
    </row>
    <row r="152" spans="1:6" ht="12.75">
      <c r="A152" s="21"/>
      <c r="B152" s="23" t="s">
        <v>16</v>
      </c>
      <c r="C152" s="21"/>
      <c r="D152" s="21"/>
      <c r="E152" s="21"/>
      <c r="F152" s="22">
        <f>F151*0.15</f>
        <v>145.99145999999999</v>
      </c>
    </row>
    <row r="153" spans="1:6" ht="12.75">
      <c r="A153" s="21"/>
      <c r="B153" s="23" t="s">
        <v>15</v>
      </c>
      <c r="C153" s="21"/>
      <c r="D153" s="21"/>
      <c r="E153" s="21"/>
      <c r="F153" s="22">
        <f>SUM(F151:F152)</f>
        <v>1119.2678599999999</v>
      </c>
    </row>
    <row r="154" spans="1:6" ht="12.75">
      <c r="A154" s="21"/>
      <c r="B154" s="23" t="s">
        <v>27</v>
      </c>
      <c r="C154" s="21"/>
      <c r="D154" s="21"/>
      <c r="E154" s="21"/>
      <c r="F154" s="22">
        <f>F153</f>
        <v>1119.2678599999999</v>
      </c>
    </row>
    <row r="155" spans="1:6" ht="12.75">
      <c r="A155" s="21"/>
      <c r="B155" s="23" t="s">
        <v>18</v>
      </c>
      <c r="C155" s="21"/>
      <c r="D155" s="21"/>
      <c r="E155" s="21"/>
      <c r="F155" s="22">
        <f>F154/100</f>
        <v>11.192678600000001</v>
      </c>
    </row>
    <row r="156" spans="1:6" ht="12.75">
      <c r="A156" s="21"/>
      <c r="B156" s="23" t="s">
        <v>28</v>
      </c>
      <c r="C156" s="21"/>
      <c r="D156" s="21"/>
      <c r="E156" s="21"/>
      <c r="F156" s="22">
        <f>MROUND(F155,0.05)</f>
        <v>11.20</v>
      </c>
    </row>
    <row r="157" spans="1:6" ht="12.75">
      <c r="A157" s="14" t="str">
        <f>CONCATENATE("Say ",F143," + ",F156," x Cost Index")</f>
        <v>Say 894.35 + 11.2 x Cost Index</v>
      </c>
      <c r="B157" s="2"/>
      <c r="C157" s="2"/>
      <c r="D157" s="2"/>
      <c r="E157" s="2"/>
      <c r="F157" s="3"/>
    </row>
    <row r="158" spans="1:6" ht="12.75">
      <c r="A158" s="4">
        <v>0</v>
      </c>
      <c r="B158" s="5" t="s">
        <v>44</v>
      </c>
      <c r="C158" s="2"/>
      <c r="D158" s="2"/>
      <c r="E158" s="2"/>
      <c r="F158" s="3"/>
    </row>
    <row r="159" spans="1:6" ht="12.75">
      <c r="A159" s="4" t="s">
        <v>2</v>
      </c>
      <c r="B159" s="4" t="s">
        <v>3</v>
      </c>
      <c r="C159" s="4" t="s">
        <v>4</v>
      </c>
      <c r="D159" s="4" t="s">
        <v>5</v>
      </c>
      <c r="E159" s="4" t="s">
        <v>6</v>
      </c>
      <c r="F159" s="6" t="s">
        <v>7</v>
      </c>
    </row>
    <row r="160" spans="1:6" ht="12.75">
      <c r="A160" s="7"/>
      <c r="B160" s="8" t="s">
        <v>8</v>
      </c>
      <c r="C160" s="7"/>
      <c r="D160" s="7"/>
      <c r="E160" s="7"/>
      <c r="F160" s="9"/>
    </row>
    <row r="161" spans="1:6" ht="12.75">
      <c r="A161" s="10"/>
      <c r="B161" s="8" t="s">
        <v>9</v>
      </c>
      <c r="C161" s="10"/>
      <c r="D161" s="10"/>
      <c r="E161" s="10"/>
      <c r="F161" s="10"/>
    </row>
    <row r="162" spans="1:6" ht="12.75">
      <c r="A162" s="11" t="s">
        <v>45</v>
      </c>
      <c r="B162" s="8" t="s">
        <v>46</v>
      </c>
      <c r="C162" s="11" t="s">
        <v>12</v>
      </c>
      <c r="D162" s="11">
        <v>100</v>
      </c>
      <c r="E162" s="11">
        <f t="array" ref="E162">IFERROR(INDEX(LMRRates,MATCH(A162,LMRCodes,0),),)</f>
        <v>957</v>
      </c>
      <c r="F162" s="12">
        <f>D162*E162</f>
        <v>95700</v>
      </c>
    </row>
    <row r="163" spans="1:6" ht="12.75">
      <c r="A163" s="11"/>
      <c r="B163" s="13" t="s">
        <v>13</v>
      </c>
      <c r="C163" s="11"/>
      <c r="D163" s="11"/>
      <c r="E163" s="11"/>
      <c r="F163" s="12">
        <f>SUM(F162)</f>
        <v>95700</v>
      </c>
    </row>
    <row r="164" spans="1:6" ht="12.75">
      <c r="A164" s="11"/>
      <c r="B164" s="13" t="s">
        <v>14</v>
      </c>
      <c r="C164" s="11"/>
      <c r="D164" s="11"/>
      <c r="E164" s="11"/>
      <c r="F164" s="12">
        <f>F163*0.01</f>
        <v>957</v>
      </c>
    </row>
    <row r="165" spans="1:6" ht="12.75">
      <c r="A165" s="11"/>
      <c r="B165" s="13" t="s">
        <v>15</v>
      </c>
      <c r="C165" s="11"/>
      <c r="D165" s="11"/>
      <c r="E165" s="11"/>
      <c r="F165" s="12">
        <f>SUM(F163:F164)</f>
        <v>96657</v>
      </c>
    </row>
    <row r="166" spans="1:6" ht="12.75">
      <c r="A166" s="11"/>
      <c r="B166" s="13" t="s">
        <v>16</v>
      </c>
      <c r="C166" s="11"/>
      <c r="D166" s="11"/>
      <c r="E166" s="11"/>
      <c r="F166" s="12">
        <f>F165*0.15</f>
        <v>14498.55</v>
      </c>
    </row>
    <row r="167" spans="1:6" ht="12.75">
      <c r="A167" s="11"/>
      <c r="B167" s="13" t="s">
        <v>15</v>
      </c>
      <c r="C167" s="11"/>
      <c r="D167" s="11"/>
      <c r="E167" s="11"/>
      <c r="F167" s="12">
        <f>SUM(F165:F166)</f>
        <v>111155.55</v>
      </c>
    </row>
    <row r="168" spans="1:6" ht="12.75">
      <c r="A168" s="11"/>
      <c r="B168" s="13" t="s">
        <v>17</v>
      </c>
      <c r="C168" s="11"/>
      <c r="D168" s="11"/>
      <c r="E168" s="11"/>
      <c r="F168" s="12">
        <f>F167</f>
        <v>111155.55</v>
      </c>
    </row>
    <row r="169" spans="1:6" ht="12.75">
      <c r="A169" s="11"/>
      <c r="B169" s="13" t="s">
        <v>18</v>
      </c>
      <c r="C169" s="11"/>
      <c r="D169" s="11"/>
      <c r="E169" s="11"/>
      <c r="F169" s="12">
        <f>MROUND((F168/100),0.05)</f>
        <v>1111.55</v>
      </c>
    </row>
    <row r="170" spans="1:6" ht="12.75">
      <c r="A170" s="11"/>
      <c r="B170" s="8" t="s">
        <v>19</v>
      </c>
      <c r="C170" s="11"/>
      <c r="D170" s="11"/>
      <c r="E170" s="11"/>
      <c r="F170" s="12"/>
    </row>
    <row r="171" spans="1:6" ht="12.75">
      <c r="A171" s="11">
        <v>2321</v>
      </c>
      <c r="B171" s="8" t="s">
        <v>20</v>
      </c>
      <c r="C171" s="11" t="s">
        <v>21</v>
      </c>
      <c r="D171" s="11">
        <v>50</v>
      </c>
      <c r="E171" s="11">
        <v>597</v>
      </c>
      <c r="F171" s="12">
        <f>E171/2</f>
        <v>298.50</v>
      </c>
    </row>
    <row r="172" spans="1:6" ht="12.75">
      <c r="A172" s="11">
        <v>114</v>
      </c>
      <c r="B172" s="8" t="s">
        <v>22</v>
      </c>
      <c r="C172" s="11" t="s">
        <v>23</v>
      </c>
      <c r="D172" s="11">
        <v>0.50</v>
      </c>
      <c r="E172" s="11">
        <v>645</v>
      </c>
      <c r="F172" s="12">
        <f>D172*E172</f>
        <v>322.50</v>
      </c>
    </row>
    <row r="173" spans="1:6" ht="12.75">
      <c r="A173" s="11">
        <v>115</v>
      </c>
      <c r="B173" s="8" t="s">
        <v>24</v>
      </c>
      <c r="C173" s="11" t="s">
        <v>23</v>
      </c>
      <c r="D173" s="11">
        <v>0.50</v>
      </c>
      <c r="E173" s="11">
        <v>645</v>
      </c>
      <c r="F173" s="12">
        <f>D173*E173</f>
        <v>322.50</v>
      </c>
    </row>
    <row r="174" spans="1:6" ht="12.75">
      <c r="A174" s="11">
        <v>9999</v>
      </c>
      <c r="B174" s="8" t="s">
        <v>25</v>
      </c>
      <c r="C174" s="11" t="s">
        <v>26</v>
      </c>
      <c r="D174" s="11">
        <v>10.07</v>
      </c>
      <c r="E174" s="11">
        <v>2.12</v>
      </c>
      <c r="F174" s="12">
        <v>20.14</v>
      </c>
    </row>
    <row r="175" spans="1:6" ht="12.75">
      <c r="A175" s="11"/>
      <c r="B175" s="13" t="s">
        <v>13</v>
      </c>
      <c r="C175" s="11"/>
      <c r="D175" s="11"/>
      <c r="E175" s="11"/>
      <c r="F175" s="12">
        <f>SUM(F171:F174)</f>
        <v>963.64</v>
      </c>
    </row>
    <row r="176" spans="1:6" ht="12.75">
      <c r="A176" s="11"/>
      <c r="B176" s="13" t="s">
        <v>14</v>
      </c>
      <c r="C176" s="11"/>
      <c r="D176" s="11"/>
      <c r="E176" s="11"/>
      <c r="F176" s="12">
        <f>F175*0.01</f>
        <v>9.6364000000000001</v>
      </c>
    </row>
    <row r="177" spans="1:6" ht="12.75">
      <c r="A177" s="11"/>
      <c r="B177" s="13" t="s">
        <v>15</v>
      </c>
      <c r="C177" s="11"/>
      <c r="D177" s="11"/>
      <c r="E177" s="11"/>
      <c r="F177" s="12">
        <f>SUM(F175:F176)</f>
        <v>973.27639999999997</v>
      </c>
    </row>
    <row r="178" spans="1:6" ht="12.75">
      <c r="A178" s="11"/>
      <c r="B178" s="13" t="s">
        <v>16</v>
      </c>
      <c r="C178" s="11"/>
      <c r="D178" s="11"/>
      <c r="E178" s="11"/>
      <c r="F178" s="12">
        <f>F177*0.15</f>
        <v>145.99145999999999</v>
      </c>
    </row>
    <row r="179" spans="1:6" ht="12.75">
      <c r="A179" s="11"/>
      <c r="B179" s="13" t="s">
        <v>15</v>
      </c>
      <c r="C179" s="11"/>
      <c r="D179" s="11"/>
      <c r="E179" s="11"/>
      <c r="F179" s="12">
        <f>SUM(F177:F178)</f>
        <v>1119.2678599999999</v>
      </c>
    </row>
    <row r="180" spans="1:6" ht="12.75">
      <c r="A180" s="11"/>
      <c r="B180" s="13" t="s">
        <v>27</v>
      </c>
      <c r="C180" s="11"/>
      <c r="D180" s="11"/>
      <c r="E180" s="11"/>
      <c r="F180" s="12">
        <f>F179</f>
        <v>1119.2678599999999</v>
      </c>
    </row>
    <row r="181" spans="1:6" ht="12.75">
      <c r="A181" s="11"/>
      <c r="B181" s="13" t="s">
        <v>18</v>
      </c>
      <c r="C181" s="11"/>
      <c r="D181" s="11"/>
      <c r="E181" s="11"/>
      <c r="F181" s="12">
        <f>F180/100</f>
        <v>11.192678600000001</v>
      </c>
    </row>
    <row r="182" spans="1:6" ht="12.75">
      <c r="A182" s="11"/>
      <c r="B182" s="13" t="s">
        <v>28</v>
      </c>
      <c r="C182" s="11"/>
      <c r="D182" s="11"/>
      <c r="E182" s="11"/>
      <c r="F182" s="12">
        <f>MROUND(F181,0.05)</f>
        <v>11.20</v>
      </c>
    </row>
    <row r="183" spans="1:6" ht="12.75">
      <c r="A183" s="14" t="str">
        <f>CONCATENATE("Say ",F169," + ",F182," x Cost Index")</f>
        <v>Say 1111.55 + 11.2 x Cost Index</v>
      </c>
      <c r="B183" s="2"/>
      <c r="C183" s="2"/>
      <c r="D183" s="2"/>
      <c r="E183" s="2"/>
      <c r="F183" s="3"/>
    </row>
    <row r="184" spans="1:6" ht="12.75">
      <c r="A184" s="15">
        <v>0</v>
      </c>
      <c r="B184" s="16" t="s">
        <v>47</v>
      </c>
      <c r="C184" s="2"/>
      <c r="D184" s="2"/>
      <c r="E184" s="2"/>
      <c r="F184" s="3"/>
    </row>
    <row r="185" spans="1:6" ht="12.75">
      <c r="A185" s="15" t="s">
        <v>2</v>
      </c>
      <c r="B185" s="15" t="s">
        <v>3</v>
      </c>
      <c r="C185" s="15" t="s">
        <v>4</v>
      </c>
      <c r="D185" s="15" t="s">
        <v>5</v>
      </c>
      <c r="E185" s="15" t="s">
        <v>6</v>
      </c>
      <c r="F185" s="17" t="s">
        <v>7</v>
      </c>
    </row>
    <row r="186" spans="1:6" ht="12.75">
      <c r="A186" s="18"/>
      <c r="B186" s="19" t="s">
        <v>8</v>
      </c>
      <c r="C186" s="18"/>
      <c r="D186" s="18"/>
      <c r="E186" s="18"/>
      <c r="F186" s="20"/>
    </row>
    <row r="187" spans="1:6" ht="12.75">
      <c r="A187" s="10"/>
      <c r="B187" s="19" t="s">
        <v>9</v>
      </c>
      <c r="C187" s="10"/>
      <c r="D187" s="10"/>
      <c r="E187" s="10"/>
      <c r="F187" s="10"/>
    </row>
    <row r="188" spans="1:6" ht="12.75">
      <c r="A188" s="21" t="s">
        <v>48</v>
      </c>
      <c r="B188" s="19" t="s">
        <v>49</v>
      </c>
      <c r="C188" s="21" t="s">
        <v>12</v>
      </c>
      <c r="D188" s="21">
        <v>100</v>
      </c>
      <c r="E188" s="21">
        <f t="array" ref="E188">IFERROR(INDEX(LMRRates,MATCH(A188,LMRCodes,0),),)</f>
        <v>180</v>
      </c>
      <c r="F188" s="22">
        <f>D188*E188</f>
        <v>18000</v>
      </c>
    </row>
    <row r="189" spans="1:6" ht="12.75">
      <c r="A189" s="21"/>
      <c r="B189" s="23" t="s">
        <v>13</v>
      </c>
      <c r="C189" s="21"/>
      <c r="D189" s="21"/>
      <c r="E189" s="21"/>
      <c r="F189" s="22">
        <f>SUM(F188)</f>
        <v>18000</v>
      </c>
    </row>
    <row r="190" spans="1:6" ht="12.75">
      <c r="A190" s="21"/>
      <c r="B190" s="23" t="s">
        <v>14</v>
      </c>
      <c r="C190" s="21"/>
      <c r="D190" s="21"/>
      <c r="E190" s="21"/>
      <c r="F190" s="22">
        <f>F189*0.01</f>
        <v>180</v>
      </c>
    </row>
    <row r="191" spans="1:6" ht="12.75">
      <c r="A191" s="21"/>
      <c r="B191" s="23" t="s">
        <v>15</v>
      </c>
      <c r="C191" s="21"/>
      <c r="D191" s="21"/>
      <c r="E191" s="21"/>
      <c r="F191" s="22">
        <f>SUM(F189:F190)</f>
        <v>18180</v>
      </c>
    </row>
    <row r="192" spans="1:6" ht="12.75">
      <c r="A192" s="21"/>
      <c r="B192" s="23" t="s">
        <v>16</v>
      </c>
      <c r="C192" s="21"/>
      <c r="D192" s="21"/>
      <c r="E192" s="21"/>
      <c r="F192" s="22">
        <f>F191*0.15</f>
        <v>2727</v>
      </c>
    </row>
    <row r="193" spans="1:6" ht="12.75">
      <c r="A193" s="21"/>
      <c r="B193" s="23" t="s">
        <v>15</v>
      </c>
      <c r="C193" s="21"/>
      <c r="D193" s="21"/>
      <c r="E193" s="21"/>
      <c r="F193" s="22">
        <f>SUM(F191:F192)</f>
        <v>20907</v>
      </c>
    </row>
    <row r="194" spans="1:6" ht="12.75">
      <c r="A194" s="21"/>
      <c r="B194" s="23" t="s">
        <v>17</v>
      </c>
      <c r="C194" s="21"/>
      <c r="D194" s="21"/>
      <c r="E194" s="21"/>
      <c r="F194" s="22">
        <f>F193</f>
        <v>20907</v>
      </c>
    </row>
    <row r="195" spans="1:6" ht="12.75">
      <c r="A195" s="21"/>
      <c r="B195" s="23" t="s">
        <v>18</v>
      </c>
      <c r="C195" s="21"/>
      <c r="D195" s="21"/>
      <c r="E195" s="21"/>
      <c r="F195" s="22">
        <f>MROUND((F194/100),0.05)</f>
        <v>209.05</v>
      </c>
    </row>
    <row r="196" spans="1:6" ht="12.75">
      <c r="A196" s="21"/>
      <c r="B196" s="19" t="s">
        <v>19</v>
      </c>
      <c r="C196" s="21"/>
      <c r="D196" s="21"/>
      <c r="E196" s="21"/>
      <c r="F196" s="22"/>
    </row>
    <row r="197" spans="1:6" ht="12.75">
      <c r="A197" s="21">
        <v>2321</v>
      </c>
      <c r="B197" s="19" t="s">
        <v>20</v>
      </c>
      <c r="C197" s="21" t="s">
        <v>21</v>
      </c>
      <c r="D197" s="21">
        <v>50</v>
      </c>
      <c r="E197" s="21">
        <v>597</v>
      </c>
      <c r="F197" s="22">
        <f>E197/2</f>
        <v>298.50</v>
      </c>
    </row>
    <row r="198" spans="1:6" ht="12.75">
      <c r="A198" s="21">
        <v>114</v>
      </c>
      <c r="B198" s="19" t="s">
        <v>22</v>
      </c>
      <c r="C198" s="21" t="s">
        <v>23</v>
      </c>
      <c r="D198" s="21">
        <v>0.50</v>
      </c>
      <c r="E198" s="21">
        <v>645</v>
      </c>
      <c r="F198" s="22">
        <f>D198*E198</f>
        <v>322.50</v>
      </c>
    </row>
    <row r="199" spans="1:6" ht="12.75">
      <c r="A199" s="21">
        <v>115</v>
      </c>
      <c r="B199" s="19" t="s">
        <v>24</v>
      </c>
      <c r="C199" s="21" t="s">
        <v>23</v>
      </c>
      <c r="D199" s="21">
        <v>0.50</v>
      </c>
      <c r="E199" s="21">
        <v>645</v>
      </c>
      <c r="F199" s="22">
        <f>D199*E199</f>
        <v>322.50</v>
      </c>
    </row>
    <row r="200" spans="1:6" ht="12.75">
      <c r="A200" s="21">
        <v>9999</v>
      </c>
      <c r="B200" s="19" t="s">
        <v>25</v>
      </c>
      <c r="C200" s="21" t="s">
        <v>26</v>
      </c>
      <c r="D200" s="21">
        <v>10.07</v>
      </c>
      <c r="E200" s="21">
        <v>2.12</v>
      </c>
      <c r="F200" s="22">
        <f>D200*E200</f>
        <v>21.348400000000002</v>
      </c>
    </row>
    <row r="201" spans="1:6" ht="12.75">
      <c r="A201" s="21"/>
      <c r="B201" s="23" t="s">
        <v>13</v>
      </c>
      <c r="C201" s="21"/>
      <c r="D201" s="21"/>
      <c r="E201" s="21"/>
      <c r="F201" s="22">
        <f>SUM(F197:F200)</f>
        <v>964.84839999999997</v>
      </c>
    </row>
    <row r="202" spans="1:6" ht="12.75">
      <c r="A202" s="21"/>
      <c r="B202" s="23" t="s">
        <v>14</v>
      </c>
      <c r="C202" s="21"/>
      <c r="D202" s="21"/>
      <c r="E202" s="21"/>
      <c r="F202" s="22">
        <f>F201*0.01</f>
        <v>9.6484839999999998</v>
      </c>
    </row>
    <row r="203" spans="1:6" ht="12.75">
      <c r="A203" s="21"/>
      <c r="B203" s="23" t="s">
        <v>15</v>
      </c>
      <c r="C203" s="21"/>
      <c r="D203" s="21"/>
      <c r="E203" s="21"/>
      <c r="F203" s="22">
        <f>SUM(F201:F202)</f>
        <v>974.49688400000002</v>
      </c>
    </row>
    <row r="204" spans="1:6" ht="12.75">
      <c r="A204" s="21"/>
      <c r="B204" s="23" t="s">
        <v>16</v>
      </c>
      <c r="C204" s="21"/>
      <c r="D204" s="21"/>
      <c r="E204" s="21"/>
      <c r="F204" s="22">
        <f>F203*0.15</f>
        <v>146.17453259999999</v>
      </c>
    </row>
    <row r="205" spans="1:6" ht="12.75">
      <c r="A205" s="21"/>
      <c r="B205" s="23" t="s">
        <v>15</v>
      </c>
      <c r="C205" s="21"/>
      <c r="D205" s="21"/>
      <c r="E205" s="21"/>
      <c r="F205" s="22">
        <f>SUM(F203:F204)</f>
        <v>1120.671417</v>
      </c>
    </row>
    <row r="206" spans="1:6" ht="12.75">
      <c r="A206" s="21"/>
      <c r="B206" s="23" t="s">
        <v>27</v>
      </c>
      <c r="C206" s="21"/>
      <c r="D206" s="21"/>
      <c r="E206" s="21"/>
      <c r="F206" s="22">
        <f>F205</f>
        <v>1120.671417</v>
      </c>
    </row>
    <row r="207" spans="1:6" ht="12.75">
      <c r="A207" s="21"/>
      <c r="B207" s="23" t="s">
        <v>18</v>
      </c>
      <c r="C207" s="21"/>
      <c r="D207" s="21"/>
      <c r="E207" s="21"/>
      <c r="F207" s="22">
        <f>F206/100</f>
        <v>11.20671417</v>
      </c>
    </row>
    <row r="208" spans="1:6" ht="12.75">
      <c r="A208" s="21"/>
      <c r="B208" s="23" t="s">
        <v>28</v>
      </c>
      <c r="C208" s="21"/>
      <c r="D208" s="21"/>
      <c r="E208" s="21"/>
      <c r="F208" s="22">
        <f>MROUND(F207,0.05)</f>
        <v>11.20</v>
      </c>
    </row>
    <row r="209" spans="1:6" ht="12.75">
      <c r="A209" s="14" t="str">
        <f>CONCATENATE("Say ",F195," + ",F208," x Cost Index")</f>
        <v>Say 209.05 + 11.2 x Cost Index</v>
      </c>
      <c r="B209" s="2"/>
      <c r="C209" s="2"/>
      <c r="D209" s="2"/>
      <c r="E209" s="2"/>
      <c r="F209" s="3"/>
    </row>
    <row r="210" spans="1:6" ht="12.75">
      <c r="A210" s="4">
        <v>0</v>
      </c>
      <c r="B210" s="5" t="s">
        <v>50</v>
      </c>
      <c r="C210" s="2"/>
      <c r="D210" s="2"/>
      <c r="E210" s="2"/>
      <c r="F210" s="3"/>
    </row>
    <row r="211" spans="1:6" ht="12.75">
      <c r="A211" s="4" t="s">
        <v>2</v>
      </c>
      <c r="B211" s="4" t="s">
        <v>3</v>
      </c>
      <c r="C211" s="4" t="s">
        <v>4</v>
      </c>
      <c r="D211" s="4" t="s">
        <v>5</v>
      </c>
      <c r="E211" s="4" t="s">
        <v>6</v>
      </c>
      <c r="F211" s="6" t="s">
        <v>7</v>
      </c>
    </row>
    <row r="212" spans="1:6" ht="12.75">
      <c r="A212" s="7"/>
      <c r="B212" s="8" t="s">
        <v>8</v>
      </c>
      <c r="C212" s="7"/>
      <c r="D212" s="7"/>
      <c r="E212" s="7"/>
      <c r="F212" s="9"/>
    </row>
    <row r="213" spans="1:6" ht="12.75">
      <c r="A213" s="10"/>
      <c r="B213" s="8" t="s">
        <v>9</v>
      </c>
      <c r="C213" s="10"/>
      <c r="D213" s="10"/>
      <c r="E213" s="10"/>
      <c r="F213" s="10"/>
    </row>
    <row r="214" spans="1:6" ht="12.75">
      <c r="A214" s="11" t="s">
        <v>51</v>
      </c>
      <c r="B214" s="8" t="s">
        <v>52</v>
      </c>
      <c r="C214" s="11" t="s">
        <v>12</v>
      </c>
      <c r="D214" s="11">
        <v>100</v>
      </c>
      <c r="E214" s="11">
        <v>170</v>
      </c>
      <c r="F214" s="12">
        <f>D214*E214</f>
        <v>17000</v>
      </c>
    </row>
    <row r="215" spans="1:6" ht="12.75">
      <c r="A215" s="11"/>
      <c r="B215" s="13" t="s">
        <v>13</v>
      </c>
      <c r="C215" s="11"/>
      <c r="D215" s="11"/>
      <c r="E215" s="11"/>
      <c r="F215" s="12">
        <f>SUM(F214)</f>
        <v>17000</v>
      </c>
    </row>
    <row r="216" spans="1:6" ht="12.75">
      <c r="A216" s="11"/>
      <c r="B216" s="13" t="s">
        <v>14</v>
      </c>
      <c r="C216" s="11"/>
      <c r="D216" s="11"/>
      <c r="E216" s="11"/>
      <c r="F216" s="12">
        <f>F215*0.01</f>
        <v>170</v>
      </c>
    </row>
    <row r="217" spans="1:6" ht="12.75">
      <c r="A217" s="11"/>
      <c r="B217" s="13" t="s">
        <v>15</v>
      </c>
      <c r="C217" s="11"/>
      <c r="D217" s="11"/>
      <c r="E217" s="11"/>
      <c r="F217" s="12">
        <f>SUM(F215:F216)</f>
        <v>17170</v>
      </c>
    </row>
    <row r="218" spans="1:6" ht="12.75">
      <c r="A218" s="11"/>
      <c r="B218" s="13" t="s">
        <v>16</v>
      </c>
      <c r="C218" s="11"/>
      <c r="D218" s="11"/>
      <c r="E218" s="11"/>
      <c r="F218" s="12">
        <f>F217*0.15</f>
        <v>2575.50</v>
      </c>
    </row>
    <row r="219" spans="1:6" ht="12.75">
      <c r="A219" s="11"/>
      <c r="B219" s="13" t="s">
        <v>15</v>
      </c>
      <c r="C219" s="11"/>
      <c r="D219" s="11"/>
      <c r="E219" s="11"/>
      <c r="F219" s="12">
        <f>SUM(F217:F218)</f>
        <v>19745.50</v>
      </c>
    </row>
    <row r="220" spans="1:6" ht="12.75">
      <c r="A220" s="11"/>
      <c r="B220" s="13" t="s">
        <v>17</v>
      </c>
      <c r="C220" s="11"/>
      <c r="D220" s="11"/>
      <c r="E220" s="11"/>
      <c r="F220" s="12">
        <f>F219</f>
        <v>19745.50</v>
      </c>
    </row>
    <row r="221" spans="1:6" ht="12.75">
      <c r="A221" s="11"/>
      <c r="B221" s="13" t="s">
        <v>18</v>
      </c>
      <c r="C221" s="11"/>
      <c r="D221" s="11"/>
      <c r="E221" s="11"/>
      <c r="F221" s="12">
        <f>MROUND((F220/100),0.05)</f>
        <v>197.45</v>
      </c>
    </row>
    <row r="222" spans="1:6" ht="12.75">
      <c r="A222" s="11"/>
      <c r="B222" s="8" t="s">
        <v>19</v>
      </c>
      <c r="C222" s="11"/>
      <c r="D222" s="11"/>
      <c r="E222" s="11"/>
      <c r="F222" s="12"/>
    </row>
    <row r="223" spans="1:6" ht="12.75">
      <c r="A223" s="11">
        <v>2321</v>
      </c>
      <c r="B223" s="8" t="s">
        <v>20</v>
      </c>
      <c r="C223" s="11" t="s">
        <v>21</v>
      </c>
      <c r="D223" s="11">
        <v>50</v>
      </c>
      <c r="E223" s="11">
        <v>597</v>
      </c>
      <c r="F223" s="12">
        <f>E223/2</f>
        <v>298.50</v>
      </c>
    </row>
    <row r="224" spans="1:6" ht="12.75">
      <c r="A224" s="11">
        <v>114</v>
      </c>
      <c r="B224" s="8" t="s">
        <v>22</v>
      </c>
      <c r="C224" s="11" t="s">
        <v>23</v>
      </c>
      <c r="D224" s="11">
        <v>0.50</v>
      </c>
      <c r="E224" s="11">
        <v>645</v>
      </c>
      <c r="F224" s="12">
        <f>D224*E224</f>
        <v>322.50</v>
      </c>
    </row>
    <row r="225" spans="1:6" ht="12.75">
      <c r="A225" s="11">
        <v>115</v>
      </c>
      <c r="B225" s="8" t="s">
        <v>24</v>
      </c>
      <c r="C225" s="11" t="s">
        <v>23</v>
      </c>
      <c r="D225" s="11">
        <v>0.50</v>
      </c>
      <c r="E225" s="11">
        <v>645</v>
      </c>
      <c r="F225" s="12">
        <f>D225*E225</f>
        <v>322.50</v>
      </c>
    </row>
    <row r="226" spans="1:6" ht="12.75">
      <c r="A226" s="11">
        <v>9999</v>
      </c>
      <c r="B226" s="8" t="s">
        <v>25</v>
      </c>
      <c r="C226" s="11" t="s">
        <v>26</v>
      </c>
      <c r="D226" s="11">
        <v>10.07</v>
      </c>
      <c r="E226" s="11">
        <v>2.12</v>
      </c>
      <c r="F226" s="12">
        <f>D226*E226</f>
        <v>21.348400000000002</v>
      </c>
    </row>
    <row r="227" spans="1:6" ht="12.75">
      <c r="A227" s="11"/>
      <c r="B227" s="13" t="s">
        <v>13</v>
      </c>
      <c r="C227" s="11"/>
      <c r="D227" s="11"/>
      <c r="E227" s="11"/>
      <c r="F227" s="12">
        <f>SUM(F223:F226)</f>
        <v>964.84839999999997</v>
      </c>
    </row>
    <row r="228" spans="1:6" ht="12.75">
      <c r="A228" s="11"/>
      <c r="B228" s="13" t="s">
        <v>14</v>
      </c>
      <c r="C228" s="11"/>
      <c r="D228" s="11"/>
      <c r="E228" s="11"/>
      <c r="F228" s="12">
        <f>F227*0.01</f>
        <v>9.6484839999999998</v>
      </c>
    </row>
    <row r="229" spans="1:6" ht="12.75">
      <c r="A229" s="11"/>
      <c r="B229" s="13" t="s">
        <v>15</v>
      </c>
      <c r="C229" s="11"/>
      <c r="D229" s="11"/>
      <c r="E229" s="11"/>
      <c r="F229" s="12">
        <f>SUM(F227:F228)</f>
        <v>974.49688400000002</v>
      </c>
    </row>
    <row r="230" spans="1:6" ht="12.75">
      <c r="A230" s="11"/>
      <c r="B230" s="13" t="s">
        <v>16</v>
      </c>
      <c r="C230" s="11"/>
      <c r="D230" s="11"/>
      <c r="E230" s="11"/>
      <c r="F230" s="12">
        <f>F229*0.15</f>
        <v>146.17453259999999</v>
      </c>
    </row>
    <row r="231" spans="1:6" ht="12.75">
      <c r="A231" s="11"/>
      <c r="B231" s="13" t="s">
        <v>15</v>
      </c>
      <c r="C231" s="11"/>
      <c r="D231" s="11"/>
      <c r="E231" s="11"/>
      <c r="F231" s="12">
        <f>SUM(F229:F230)</f>
        <v>1120.671417</v>
      </c>
    </row>
    <row r="232" spans="1:6" ht="12.75">
      <c r="A232" s="11"/>
      <c r="B232" s="13" t="s">
        <v>27</v>
      </c>
      <c r="C232" s="11"/>
      <c r="D232" s="11"/>
      <c r="E232" s="11"/>
      <c r="F232" s="12">
        <f>F231</f>
        <v>1120.671417</v>
      </c>
    </row>
    <row r="233" spans="1:6" ht="12.75">
      <c r="A233" s="11"/>
      <c r="B233" s="13" t="s">
        <v>18</v>
      </c>
      <c r="C233" s="11"/>
      <c r="D233" s="11"/>
      <c r="E233" s="11"/>
      <c r="F233" s="12">
        <f>F232/100</f>
        <v>11.20671417</v>
      </c>
    </row>
    <row r="234" spans="1:6" ht="12.75">
      <c r="A234" s="11"/>
      <c r="B234" s="13" t="s">
        <v>28</v>
      </c>
      <c r="C234" s="11"/>
      <c r="D234" s="11"/>
      <c r="E234" s="11"/>
      <c r="F234" s="12">
        <f>MROUND(F233,0.05)</f>
        <v>11.20</v>
      </c>
    </row>
    <row r="235" spans="1:6" ht="12.75">
      <c r="A235" s="14" t="str">
        <f>CONCATENATE("Say ",F221," + ",F234," x Cost Index")</f>
        <v>Say 197.45 + 11.2 x Cost Index</v>
      </c>
      <c r="B235" s="2"/>
      <c r="C235" s="2"/>
      <c r="D235" s="2"/>
      <c r="E235" s="2"/>
      <c r="F235" s="3"/>
    </row>
    <row r="236" spans="1:6" ht="12.75">
      <c r="A236" s="15">
        <v>0</v>
      </c>
      <c r="B236" s="16" t="s">
        <v>53</v>
      </c>
      <c r="C236" s="2"/>
      <c r="D236" s="2"/>
      <c r="E236" s="2"/>
      <c r="F236" s="3"/>
    </row>
    <row r="237" spans="1:6" ht="12.75">
      <c r="A237" s="15" t="s">
        <v>2</v>
      </c>
      <c r="B237" s="15" t="s">
        <v>3</v>
      </c>
      <c r="C237" s="15" t="s">
        <v>4</v>
      </c>
      <c r="D237" s="15" t="s">
        <v>5</v>
      </c>
      <c r="E237" s="15" t="s">
        <v>6</v>
      </c>
      <c r="F237" s="17" t="s">
        <v>7</v>
      </c>
    </row>
    <row r="238" spans="1:6" ht="12.75">
      <c r="A238" s="18"/>
      <c r="B238" s="19" t="s">
        <v>8</v>
      </c>
      <c r="C238" s="18"/>
      <c r="D238" s="18"/>
      <c r="E238" s="18"/>
      <c r="F238" s="20"/>
    </row>
    <row r="239" spans="1:6" ht="12.75">
      <c r="A239" s="10"/>
      <c r="B239" s="19" t="s">
        <v>9</v>
      </c>
      <c r="C239" s="10"/>
      <c r="D239" s="10"/>
      <c r="E239" s="10"/>
      <c r="F239" s="10"/>
    </row>
    <row r="240" spans="1:6" ht="12.75">
      <c r="A240" s="21" t="s">
        <v>54</v>
      </c>
      <c r="B240" s="19" t="s">
        <v>55</v>
      </c>
      <c r="C240" s="21" t="s">
        <v>12</v>
      </c>
      <c r="D240" s="21">
        <v>100</v>
      </c>
      <c r="E240" s="21">
        <f t="array" ref="E240">IFERROR(INDEX(LMRRates,MATCH(A240,LMRCodes,0),),)</f>
        <v>467</v>
      </c>
      <c r="F240" s="22">
        <f>D240*E240</f>
        <v>46700</v>
      </c>
    </row>
    <row r="241" spans="1:6" ht="12.75">
      <c r="A241" s="21"/>
      <c r="B241" s="23" t="s">
        <v>13</v>
      </c>
      <c r="C241" s="21"/>
      <c r="D241" s="21"/>
      <c r="E241" s="21"/>
      <c r="F241" s="22">
        <f>SUM(F240)</f>
        <v>46700</v>
      </c>
    </row>
    <row r="242" spans="1:6" ht="12.75">
      <c r="A242" s="21"/>
      <c r="B242" s="23" t="s">
        <v>14</v>
      </c>
      <c r="C242" s="21"/>
      <c r="D242" s="21"/>
      <c r="E242" s="21"/>
      <c r="F242" s="22">
        <f>F241*0.01</f>
        <v>467</v>
      </c>
    </row>
    <row r="243" spans="1:6" ht="12.75">
      <c r="A243" s="21"/>
      <c r="B243" s="23" t="s">
        <v>15</v>
      </c>
      <c r="C243" s="21"/>
      <c r="D243" s="21"/>
      <c r="E243" s="21"/>
      <c r="F243" s="22">
        <f>SUM(F241:F242)</f>
        <v>47167</v>
      </c>
    </row>
    <row r="244" spans="1:6" ht="12.75">
      <c r="A244" s="21"/>
      <c r="B244" s="23" t="s">
        <v>16</v>
      </c>
      <c r="C244" s="21"/>
      <c r="D244" s="21"/>
      <c r="E244" s="21"/>
      <c r="F244" s="22">
        <f>F243*0.15</f>
        <v>7075.05</v>
      </c>
    </row>
    <row r="245" spans="1:6" ht="12.75">
      <c r="A245" s="21"/>
      <c r="B245" s="23" t="s">
        <v>15</v>
      </c>
      <c r="C245" s="21"/>
      <c r="D245" s="21"/>
      <c r="E245" s="21"/>
      <c r="F245" s="22">
        <f>SUM(F243:F244)</f>
        <v>54242.05</v>
      </c>
    </row>
    <row r="246" spans="1:6" ht="12.75">
      <c r="A246" s="21"/>
      <c r="B246" s="23" t="s">
        <v>17</v>
      </c>
      <c r="C246" s="21"/>
      <c r="D246" s="21"/>
      <c r="E246" s="21"/>
      <c r="F246" s="22">
        <f>F245</f>
        <v>54242.05</v>
      </c>
    </row>
    <row r="247" spans="1:6" ht="12.75">
      <c r="A247" s="21"/>
      <c r="B247" s="23" t="s">
        <v>18</v>
      </c>
      <c r="C247" s="21"/>
      <c r="D247" s="21"/>
      <c r="E247" s="21"/>
      <c r="F247" s="22">
        <f>MROUND((F246/100),0.05)</f>
        <v>542.40</v>
      </c>
    </row>
    <row r="248" spans="1:6" ht="12.75">
      <c r="A248" s="21"/>
      <c r="B248" s="19" t="s">
        <v>19</v>
      </c>
      <c r="C248" s="21"/>
      <c r="D248" s="21"/>
      <c r="E248" s="21"/>
      <c r="F248" s="22"/>
    </row>
    <row r="249" spans="1:6" ht="12.75">
      <c r="A249" s="21">
        <v>2321</v>
      </c>
      <c r="B249" s="19" t="s">
        <v>20</v>
      </c>
      <c r="C249" s="21" t="s">
        <v>21</v>
      </c>
      <c r="D249" s="21">
        <v>50</v>
      </c>
      <c r="E249" s="21">
        <v>597</v>
      </c>
      <c r="F249" s="22">
        <f>E249/2</f>
        <v>298.50</v>
      </c>
    </row>
    <row r="250" spans="1:6" ht="12.75">
      <c r="A250" s="21">
        <v>114</v>
      </c>
      <c r="B250" s="19" t="s">
        <v>22</v>
      </c>
      <c r="C250" s="21" t="s">
        <v>23</v>
      </c>
      <c r="D250" s="21">
        <v>0.50</v>
      </c>
      <c r="E250" s="21">
        <v>645</v>
      </c>
      <c r="F250" s="22">
        <f>D250*E250</f>
        <v>322.50</v>
      </c>
    </row>
    <row r="251" spans="1:6" ht="12.75">
      <c r="A251" s="21">
        <v>115</v>
      </c>
      <c r="B251" s="19" t="s">
        <v>24</v>
      </c>
      <c r="C251" s="21" t="s">
        <v>23</v>
      </c>
      <c r="D251" s="21">
        <v>0.50</v>
      </c>
      <c r="E251" s="21">
        <v>645</v>
      </c>
      <c r="F251" s="22">
        <f>D251*E251</f>
        <v>322.50</v>
      </c>
    </row>
    <row r="252" spans="1:6" ht="12.75">
      <c r="A252" s="21">
        <v>9999</v>
      </c>
      <c r="B252" s="19" t="s">
        <v>25</v>
      </c>
      <c r="C252" s="21" t="s">
        <v>26</v>
      </c>
      <c r="D252" s="21">
        <v>10.07</v>
      </c>
      <c r="E252" s="21">
        <v>2.12</v>
      </c>
      <c r="F252" s="22">
        <f>D252*E252</f>
        <v>21.348400000000002</v>
      </c>
    </row>
    <row r="253" spans="1:6" ht="12.75">
      <c r="A253" s="21"/>
      <c r="B253" s="23" t="s">
        <v>13</v>
      </c>
      <c r="C253" s="21"/>
      <c r="D253" s="21"/>
      <c r="E253" s="21"/>
      <c r="F253" s="22">
        <f>SUM(F249:F252)</f>
        <v>964.84839999999997</v>
      </c>
    </row>
    <row r="254" spans="1:6" ht="12.75">
      <c r="A254" s="21"/>
      <c r="B254" s="23" t="s">
        <v>14</v>
      </c>
      <c r="C254" s="21"/>
      <c r="D254" s="21"/>
      <c r="E254" s="21"/>
      <c r="F254" s="22">
        <f>F253*0.01</f>
        <v>9.6484839999999998</v>
      </c>
    </row>
    <row r="255" spans="1:6" ht="12.75">
      <c r="A255" s="21"/>
      <c r="B255" s="23" t="s">
        <v>15</v>
      </c>
      <c r="C255" s="21"/>
      <c r="D255" s="21"/>
      <c r="E255" s="21"/>
      <c r="F255" s="22">
        <f>SUM(F253:F254)</f>
        <v>974.49688400000002</v>
      </c>
    </row>
    <row r="256" spans="1:6" ht="12.75">
      <c r="A256" s="21"/>
      <c r="B256" s="23" t="s">
        <v>16</v>
      </c>
      <c r="C256" s="21"/>
      <c r="D256" s="21"/>
      <c r="E256" s="21"/>
      <c r="F256" s="22">
        <f>F255*0.15</f>
        <v>146.17453259999999</v>
      </c>
    </row>
    <row r="257" spans="1:6" ht="12.75">
      <c r="A257" s="21"/>
      <c r="B257" s="23" t="s">
        <v>15</v>
      </c>
      <c r="C257" s="21"/>
      <c r="D257" s="21"/>
      <c r="E257" s="21"/>
      <c r="F257" s="22">
        <f>SUM(F255:F256)</f>
        <v>1120.671417</v>
      </c>
    </row>
    <row r="258" spans="1:6" ht="12.75">
      <c r="A258" s="21"/>
      <c r="B258" s="23" t="s">
        <v>27</v>
      </c>
      <c r="C258" s="21"/>
      <c r="D258" s="21"/>
      <c r="E258" s="21"/>
      <c r="F258" s="22">
        <f>F257</f>
        <v>1120.671417</v>
      </c>
    </row>
    <row r="259" spans="1:6" ht="12.75">
      <c r="A259" s="21"/>
      <c r="B259" s="23" t="s">
        <v>18</v>
      </c>
      <c r="C259" s="21"/>
      <c r="D259" s="21"/>
      <c r="E259" s="21"/>
      <c r="F259" s="22">
        <f>F258/100</f>
        <v>11.20671417</v>
      </c>
    </row>
    <row r="260" spans="1:6" ht="12.75">
      <c r="A260" s="21"/>
      <c r="B260" s="23" t="s">
        <v>28</v>
      </c>
      <c r="C260" s="21"/>
      <c r="D260" s="21"/>
      <c r="E260" s="21"/>
      <c r="F260" s="22">
        <f>MROUND(F259,0.05)</f>
        <v>11.20</v>
      </c>
    </row>
    <row r="261" spans="1:6" ht="12.75">
      <c r="A261" s="14" t="str">
        <f>CONCATENATE("Say ",F247," + ",F260," x Cost Index")</f>
        <v>Say 542.4 + 11.2 x Cost Index</v>
      </c>
      <c r="B261" s="2"/>
      <c r="C261" s="2"/>
      <c r="D261" s="2"/>
      <c r="E261" s="2"/>
      <c r="F261" s="3"/>
    </row>
    <row r="262" spans="1:6" ht="12.75">
      <c r="A262" s="4">
        <v>0</v>
      </c>
      <c r="B262" s="5" t="s">
        <v>56</v>
      </c>
      <c r="C262" s="2"/>
      <c r="D262" s="2"/>
      <c r="E262" s="2"/>
      <c r="F262" s="3"/>
    </row>
    <row r="263" spans="1:6" ht="12.75">
      <c r="A263" s="4" t="s">
        <v>2</v>
      </c>
      <c r="B263" s="4" t="s">
        <v>3</v>
      </c>
      <c r="C263" s="4" t="s">
        <v>4</v>
      </c>
      <c r="D263" s="4" t="s">
        <v>5</v>
      </c>
      <c r="E263" s="4" t="s">
        <v>6</v>
      </c>
      <c r="F263" s="6" t="s">
        <v>7</v>
      </c>
    </row>
    <row r="264" spans="1:6" ht="12.75">
      <c r="A264" s="7"/>
      <c r="B264" s="8" t="s">
        <v>8</v>
      </c>
      <c r="C264" s="7"/>
      <c r="D264" s="7"/>
      <c r="E264" s="7"/>
      <c r="F264" s="9"/>
    </row>
    <row r="265" spans="1:6" ht="12.75">
      <c r="A265" s="10"/>
      <c r="B265" s="8" t="s">
        <v>9</v>
      </c>
      <c r="C265" s="10"/>
      <c r="D265" s="10"/>
      <c r="E265" s="10"/>
      <c r="F265" s="10"/>
    </row>
    <row r="266" spans="1:6" ht="12.75">
      <c r="A266" s="11" t="s">
        <v>57</v>
      </c>
      <c r="B266" s="8" t="s">
        <v>58</v>
      </c>
      <c r="C266" s="11" t="s">
        <v>12</v>
      </c>
      <c r="D266" s="11">
        <v>100</v>
      </c>
      <c r="E266" s="11">
        <f t="array" ref="E266">IFERROR(INDEX(DerivedRates,MATCH(A266,DerivedCodes,0),),)</f>
        <v>784</v>
      </c>
      <c r="F266" s="12">
        <f>D266*E266</f>
        <v>78400</v>
      </c>
    </row>
    <row r="267" spans="1:6" ht="12.75">
      <c r="A267" s="11"/>
      <c r="B267" s="13" t="s">
        <v>13</v>
      </c>
      <c r="C267" s="11"/>
      <c r="D267" s="11"/>
      <c r="E267" s="11"/>
      <c r="F267" s="12">
        <f>SUM(F266)</f>
        <v>78400</v>
      </c>
    </row>
    <row r="268" spans="1:6" ht="12.75">
      <c r="A268" s="11"/>
      <c r="B268" s="13" t="s">
        <v>14</v>
      </c>
      <c r="C268" s="11"/>
      <c r="D268" s="11"/>
      <c r="E268" s="11"/>
      <c r="F268" s="12">
        <f>F267*0.01</f>
        <v>784</v>
      </c>
    </row>
    <row r="269" spans="1:6" ht="12.75">
      <c r="A269" s="11"/>
      <c r="B269" s="13" t="s">
        <v>15</v>
      </c>
      <c r="C269" s="11"/>
      <c r="D269" s="11"/>
      <c r="E269" s="11"/>
      <c r="F269" s="12">
        <f>SUM(F267:F268)</f>
        <v>79184</v>
      </c>
    </row>
    <row r="270" spans="1:6" ht="12.75">
      <c r="A270" s="11"/>
      <c r="B270" s="13" t="s">
        <v>16</v>
      </c>
      <c r="C270" s="11"/>
      <c r="D270" s="11"/>
      <c r="E270" s="11"/>
      <c r="F270" s="12">
        <f>F269*0.15</f>
        <v>11877.60</v>
      </c>
    </row>
    <row r="271" spans="1:6" ht="12.75">
      <c r="A271" s="11"/>
      <c r="B271" s="13" t="s">
        <v>15</v>
      </c>
      <c r="C271" s="11"/>
      <c r="D271" s="11"/>
      <c r="E271" s="11"/>
      <c r="F271" s="12">
        <f>SUM(F269:F270)</f>
        <v>91061.60</v>
      </c>
    </row>
    <row r="272" spans="1:6" ht="12.75">
      <c r="A272" s="11"/>
      <c r="B272" s="13" t="s">
        <v>17</v>
      </c>
      <c r="C272" s="11"/>
      <c r="D272" s="11"/>
      <c r="E272" s="11"/>
      <c r="F272" s="12">
        <f>F271</f>
        <v>91061.60</v>
      </c>
    </row>
    <row r="273" spans="1:6" ht="12.75">
      <c r="A273" s="11"/>
      <c r="B273" s="13" t="s">
        <v>18</v>
      </c>
      <c r="C273" s="11"/>
      <c r="D273" s="11"/>
      <c r="E273" s="11"/>
      <c r="F273" s="12">
        <f>MROUND((F272/100),0.05)</f>
        <v>910.60</v>
      </c>
    </row>
    <row r="274" spans="1:6" ht="12.75">
      <c r="A274" s="11"/>
      <c r="B274" s="8" t="s">
        <v>19</v>
      </c>
      <c r="C274" s="11"/>
      <c r="D274" s="11"/>
      <c r="E274" s="11"/>
      <c r="F274" s="12"/>
    </row>
    <row r="275" spans="1:6" ht="12.75">
      <c r="A275" s="11">
        <v>2321</v>
      </c>
      <c r="B275" s="8" t="s">
        <v>20</v>
      </c>
      <c r="C275" s="11" t="s">
        <v>21</v>
      </c>
      <c r="D275" s="11">
        <v>50</v>
      </c>
      <c r="E275" s="11">
        <v>597</v>
      </c>
      <c r="F275" s="12">
        <f>E275/2</f>
        <v>298.50</v>
      </c>
    </row>
    <row r="276" spans="1:6" ht="12.75">
      <c r="A276" s="11">
        <v>114</v>
      </c>
      <c r="B276" s="8" t="s">
        <v>22</v>
      </c>
      <c r="C276" s="11" t="s">
        <v>23</v>
      </c>
      <c r="D276" s="11">
        <v>0.50</v>
      </c>
      <c r="E276" s="11">
        <v>645</v>
      </c>
      <c r="F276" s="12">
        <f>D276*E276</f>
        <v>322.50</v>
      </c>
    </row>
    <row r="277" spans="1:6" ht="12.75">
      <c r="A277" s="11">
        <v>115</v>
      </c>
      <c r="B277" s="8" t="s">
        <v>24</v>
      </c>
      <c r="C277" s="11" t="s">
        <v>23</v>
      </c>
      <c r="D277" s="11">
        <v>0.50</v>
      </c>
      <c r="E277" s="11">
        <v>645</v>
      </c>
      <c r="F277" s="12">
        <f>D277*E277</f>
        <v>322.50</v>
      </c>
    </row>
    <row r="278" spans="1:6" ht="12.75">
      <c r="A278" s="11">
        <v>9999</v>
      </c>
      <c r="B278" s="8" t="s">
        <v>25</v>
      </c>
      <c r="C278" s="11" t="s">
        <v>26</v>
      </c>
      <c r="D278" s="11">
        <v>10.07</v>
      </c>
      <c r="E278" s="11">
        <v>2.12</v>
      </c>
      <c r="F278" s="12">
        <f>D278*E278</f>
        <v>21.348400000000002</v>
      </c>
    </row>
    <row r="279" spans="1:6" ht="12.75">
      <c r="A279" s="11"/>
      <c r="B279" s="13" t="s">
        <v>13</v>
      </c>
      <c r="C279" s="11"/>
      <c r="D279" s="11"/>
      <c r="E279" s="11"/>
      <c r="F279" s="12">
        <f>SUM(F275:F278)</f>
        <v>964.84839999999997</v>
      </c>
    </row>
    <row r="280" spans="1:6" ht="12.75">
      <c r="A280" s="11"/>
      <c r="B280" s="13" t="s">
        <v>14</v>
      </c>
      <c r="C280" s="11"/>
      <c r="D280" s="11"/>
      <c r="E280" s="11"/>
      <c r="F280" s="12">
        <f>F279*0.01</f>
        <v>9.6484839999999998</v>
      </c>
    </row>
    <row r="281" spans="1:6" ht="12.75">
      <c r="A281" s="11"/>
      <c r="B281" s="13" t="s">
        <v>15</v>
      </c>
      <c r="C281" s="11"/>
      <c r="D281" s="11"/>
      <c r="E281" s="11"/>
      <c r="F281" s="12">
        <f>SUM(F279:F280)</f>
        <v>974.49688400000002</v>
      </c>
    </row>
    <row r="282" spans="1:6" ht="12.75">
      <c r="A282" s="11"/>
      <c r="B282" s="13" t="s">
        <v>16</v>
      </c>
      <c r="C282" s="11"/>
      <c r="D282" s="11"/>
      <c r="E282" s="11"/>
      <c r="F282" s="12">
        <f>F281*0.15</f>
        <v>146.17453259999999</v>
      </c>
    </row>
    <row r="283" spans="1:6" ht="12.75">
      <c r="A283" s="11"/>
      <c r="B283" s="13" t="s">
        <v>15</v>
      </c>
      <c r="C283" s="11"/>
      <c r="D283" s="11"/>
      <c r="E283" s="11"/>
      <c r="F283" s="12">
        <f>SUM(F281:F282)</f>
        <v>1120.671417</v>
      </c>
    </row>
    <row r="284" spans="1:6" ht="12.75">
      <c r="A284" s="11"/>
      <c r="B284" s="13" t="s">
        <v>27</v>
      </c>
      <c r="C284" s="11"/>
      <c r="D284" s="11"/>
      <c r="E284" s="11"/>
      <c r="F284" s="12">
        <f>F283</f>
        <v>1120.671417</v>
      </c>
    </row>
    <row r="285" spans="1:6" ht="12.75">
      <c r="A285" s="11"/>
      <c r="B285" s="13" t="s">
        <v>18</v>
      </c>
      <c r="C285" s="11"/>
      <c r="D285" s="11"/>
      <c r="E285" s="11"/>
      <c r="F285" s="12">
        <f>F284/100</f>
        <v>11.20671417</v>
      </c>
    </row>
    <row r="286" spans="1:6" ht="12.75">
      <c r="A286" s="11"/>
      <c r="B286" s="13" t="s">
        <v>28</v>
      </c>
      <c r="C286" s="11"/>
      <c r="D286" s="11"/>
      <c r="E286" s="11"/>
      <c r="F286" s="12">
        <f>MROUND(F285,0.05)</f>
        <v>11.20</v>
      </c>
    </row>
    <row r="287" spans="1:6" ht="12.75">
      <c r="A287" s="14" t="str">
        <f>CONCATENATE("Say ",F273," + ",F286," x Cost Index")</f>
        <v>Say 910.6 + 11.2 x Cost Index</v>
      </c>
      <c r="B287" s="2"/>
      <c r="C287" s="2"/>
      <c r="D287" s="2"/>
      <c r="E287" s="2"/>
      <c r="F287" s="3"/>
    </row>
  </sheetData>
  <mergeCells count="78">
    <mergeCell ref="A183:F183"/>
    <mergeCell ref="B184:F184"/>
    <mergeCell ref="A186:A187"/>
    <mergeCell ref="C186:C187"/>
    <mergeCell ref="D186:D187"/>
    <mergeCell ref="E186:E187"/>
    <mergeCell ref="F186:F187"/>
    <mergeCell ref="A209:F209"/>
    <mergeCell ref="B210:F210"/>
    <mergeCell ref="A212:A213"/>
    <mergeCell ref="C212:C213"/>
    <mergeCell ref="D212:D213"/>
    <mergeCell ref="E212:E213"/>
    <mergeCell ref="F212:F213"/>
    <mergeCell ref="A261:F261"/>
    <mergeCell ref="B262:F262"/>
    <mergeCell ref="A264:A265"/>
    <mergeCell ref="C264:C265"/>
    <mergeCell ref="D264:D265"/>
    <mergeCell ref="E264:E265"/>
    <mergeCell ref="F264:F265"/>
    <mergeCell ref="A287:F287"/>
    <mergeCell ref="A235:F235"/>
    <mergeCell ref="B236:F236"/>
    <mergeCell ref="A238:A239"/>
    <mergeCell ref="C238:C239"/>
    <mergeCell ref="D238:D239"/>
    <mergeCell ref="E238:E239"/>
    <mergeCell ref="F238:F239"/>
    <mergeCell ref="A1:F1"/>
    <mergeCell ref="B2:F2"/>
    <mergeCell ref="A4:A5"/>
    <mergeCell ref="C4:C5"/>
    <mergeCell ref="D4:D5"/>
    <mergeCell ref="E4:E5"/>
    <mergeCell ref="F4:F5"/>
    <mergeCell ref="A27:F27"/>
    <mergeCell ref="B28:F28"/>
    <mergeCell ref="A30:A31"/>
    <mergeCell ref="C30:C31"/>
    <mergeCell ref="D30:D31"/>
    <mergeCell ref="E30:E31"/>
    <mergeCell ref="F30:F31"/>
    <mergeCell ref="A53:F53"/>
    <mergeCell ref="B54:F54"/>
    <mergeCell ref="A56:A57"/>
    <mergeCell ref="C56:C57"/>
    <mergeCell ref="D56:D57"/>
    <mergeCell ref="E56:E57"/>
    <mergeCell ref="F56:F57"/>
    <mergeCell ref="A79:F79"/>
    <mergeCell ref="B80:F80"/>
    <mergeCell ref="A82:A83"/>
    <mergeCell ref="C82:C83"/>
    <mergeCell ref="D82:D83"/>
    <mergeCell ref="E82:E83"/>
    <mergeCell ref="F82:F83"/>
    <mergeCell ref="A105:F105"/>
    <mergeCell ref="B106:F106"/>
    <mergeCell ref="A108:A109"/>
    <mergeCell ref="C108:C109"/>
    <mergeCell ref="D108:D109"/>
    <mergeCell ref="E108:E109"/>
    <mergeCell ref="F108:F109"/>
    <mergeCell ref="A131:F131"/>
    <mergeCell ref="B132:F132"/>
    <mergeCell ref="A134:A135"/>
    <mergeCell ref="C134:C135"/>
    <mergeCell ref="D134:D135"/>
    <mergeCell ref="E134:E135"/>
    <mergeCell ref="F134:F135"/>
    <mergeCell ref="A157:F157"/>
    <mergeCell ref="B158:F158"/>
    <mergeCell ref="A160:A161"/>
    <mergeCell ref="C160:C161"/>
    <mergeCell ref="D160:D161"/>
    <mergeCell ref="E160:E161"/>
    <mergeCell ref="F160:F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