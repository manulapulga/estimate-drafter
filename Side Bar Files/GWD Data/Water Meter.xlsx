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externalReferences>
    <externalReference r:id="rId5"/>
  </externalReferences>
  <definedNames>
    <definedName name="LMRRates">[1]LMR!$C:$C</definedName>
    <definedName name="LMRCodes">[1]LMR!$A:$A</definedName>
  </definedNames>
  <calcPr fullCalcOnLoad="1"/>
</workbook>
</file>

<file path=xl/calcChain.xml><?xml version="1.0" encoding="utf-8"?>
<calcChain xmlns="http://schemas.openxmlformats.org/spreadsheetml/2006/main">
  <c r="E8" i="1" l="1" a="1"/>
</calcChain>
</file>

<file path=xl/sharedStrings.xml><?xml version="1.0" encoding="utf-8"?>
<sst xmlns="http://schemas.openxmlformats.org/spreadsheetml/2006/main" count="90" uniqueCount="37">
  <si>
    <t>Sor/Spec Code</t>
  </si>
  <si>
    <t>MR Code</t>
  </si>
  <si>
    <t>Description</t>
  </si>
  <si>
    <t>Remarks</t>
  </si>
  <si>
    <t>Unit</t>
  </si>
  <si>
    <t>Quantity</t>
  </si>
  <si>
    <t>Rate (₹)</t>
  </si>
  <si>
    <t>Amount</t>
  </si>
  <si>
    <t>Label</t>
  </si>
  <si>
    <t>Providing and fixing Water meter for Rigid PVC pipes, including jointing with PVC solvent cement-15 mm water meter</t>
  </si>
  <si>
    <t>Header Unit</t>
  </si>
  <si>
    <t>no</t>
  </si>
  <si>
    <t>Header Quantity</t>
  </si>
  <si>
    <t>Header Details</t>
  </si>
  <si>
    <t>Details of cost for one no.</t>
  </si>
  <si>
    <t>Material</t>
  </si>
  <si>
    <t>M</t>
  </si>
  <si>
    <t>MR11005</t>
  </si>
  <si>
    <t>Water Meter, Indian Standard, Class B, Multijet, 15mm ( ½")</t>
  </si>
  <si>
    <t>each</t>
  </si>
  <si>
    <t>M1</t>
  </si>
  <si>
    <t>TOTAL (Material)</t>
  </si>
  <si>
    <t>UNIT TOTAL</t>
  </si>
  <si>
    <t>Water Charge@ 1.00 %</t>
  </si>
  <si>
    <t>TOTAL</t>
  </si>
  <si>
    <t>Contractors Profit &amp; Overhead@ 15.00 %</t>
  </si>
  <si>
    <t>Tools &amp; Plants</t>
  </si>
  <si>
    <t>L</t>
  </si>
  <si>
    <t>Sundries
Adhesive, and sundries etc.</t>
  </si>
  <si>
    <t>L.S</t>
  </si>
  <si>
    <t>T1</t>
  </si>
  <si>
    <t>Sundries
Carriage and fixing charges</t>
  </si>
  <si>
    <t>T2</t>
  </si>
  <si>
    <t>TOTAL (Tools &amp; Plants)</t>
  </si>
  <si>
    <t>Providing and fixing Water meter for Rigid PVC pipes, including jointing with PVC solvent cement-20 mm water meter</t>
  </si>
  <si>
    <t>MR11006</t>
  </si>
  <si>
    <t>Water Meter, Indian Standard, Class B, Multijet, 20mm ( ¾" )</t>
  </si>
</sst>
</file>

<file path=xl/styles.xml><?xml version="1.0" encoding="utf-8"?>
<styleSheet xmlns="http://schemas.openxmlformats.org/spreadsheetml/2006/main">
  <fonts count="6">
    <font>
      <sz val="10"/>
      <color theme="1"/>
      <name val="Arial"/>
      <family val="2"/>
    </font>
    <font>
      <b/>
      <sz val="12"/>
      <color rgb="FF000000"/>
      <name val="Cambria"/>
      <family val="2"/>
    </font>
    <font>
      <b/>
      <sz val="12"/>
      <color rgb="FF212529"/>
      <name val="Cambria"/>
      <family val="2"/>
    </font>
    <font>
      <sz val="12"/>
      <color rgb="FF212529"/>
      <name val="Cambria"/>
      <family val="2"/>
    </font>
    <font>
      <b/>
      <sz val="12"/>
      <color rgb="FFFFFFFF"/>
      <name val="Cambria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1252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EE2E6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9">
    <xf numFmtId="0" fontId="0" fillId="0" borderId="0" xfId="0"/>
    <xf numFmtId="0" fontId="4" fillId="2" borderId="1" xfId="0" applyFont="1" applyBorder="1" applyAlignment="1">
      <alignment vertical="center" wrapText="1"/>
    </xf>
    <xf numFmtId="0" fontId="4" fillId="2" borderId="2" xfId="0" applyFont="1" applyBorder="1" applyAlignment="1">
      <alignment vertical="center" wrapText="1"/>
    </xf>
    <xf numFmtId="0" fontId="5" fillId="0" borderId="3" xfId="0" applyFont="1" applyBorder="1">
      <alignment/>
    </xf>
    <xf numFmtId="0" fontId="5" fillId="0" borderId="4" xfId="0" applyFont="1" applyBorder="1">
      <alignment/>
    </xf>
    <xf numFmtId="0" fontId="5" fillId="0" borderId="5" xfId="0" applyFont="1" applyBorder="1">
      <alignment/>
    </xf>
    <xf numFmtId="0" fontId="4" fillId="2" borderId="6" xfId="0" applyFont="1" applyBorder="1" applyAlignment="1">
      <alignment vertical="center" wrapText="1"/>
    </xf>
    <xf numFmtId="0" fontId="2" fillId="3" borderId="2" xfId="0" applyFont="1" applyBorder="1" applyAlignment="1">
      <alignment vertical="center" wrapText="1"/>
    </xf>
    <xf numFmtId="0" fontId="3" fillId="3" borderId="6" xfId="0" applyFont="1" applyBorder="1" applyAlignment="1">
      <alignment horizontal="center" vertical="center" wrapText="1"/>
    </xf>
    <xf numFmtId="0" fontId="3" fillId="3" borderId="6" xfId="0" applyFont="1" applyBorder="1" applyAlignment="1">
      <alignment horizontal="right" vertical="center" wrapText="1"/>
    </xf>
    <xf numFmtId="0" fontId="3" fillId="3" borderId="2" xfId="0" applyFont="1" applyBorder="1" applyAlignment="1">
      <alignment horizontal="left" vertical="center" wrapText="1"/>
    </xf>
    <xf numFmtId="0" fontId="3" fillId="4" borderId="2" xfId="0" applyFont="1" applyBorder="1" applyAlignment="1">
      <alignment horizontal="left" vertical="center" wrapText="1"/>
    </xf>
    <xf numFmtId="0" fontId="3" fillId="4" borderId="6" xfId="0" applyFont="1" applyBorder="1" applyAlignment="1">
      <alignment horizontal="center" vertical="center" wrapText="1"/>
    </xf>
    <xf numFmtId="0" fontId="3" fillId="3" borderId="1" xfId="0" applyFont="1" applyBorder="1" applyAlignment="1">
      <alignment horizontal="center" vertical="center" wrapText="1"/>
    </xf>
    <xf numFmtId="0" fontId="2" fillId="3" borderId="2" xfId="0" applyFont="1" applyBorder="1" applyAlignment="1">
      <alignment horizontal="center" vertical="center" wrapText="1"/>
    </xf>
    <xf numFmtId="0" fontId="3" fillId="3" borderId="6" xfId="0" applyFont="1" applyBorder="1" applyAlignment="1">
      <alignment horizontal="left" vertical="center" wrapText="1"/>
    </xf>
    <xf numFmtId="0" fontId="3" fillId="3" borderId="2" xfId="0" applyFont="1" applyBorder="1" applyAlignment="1">
      <alignment horizontal="center" vertical="center" wrapText="1"/>
    </xf>
    <xf numFmtId="0" fontId="2" fillId="3" borderId="6" xfId="0" applyFont="1" applyBorder="1" applyAlignment="1">
      <alignment horizontal="right" vertical="center" wrapText="1"/>
    </xf>
    <xf numFmtId="0" fontId="1" fillId="4" borderId="2" xfId="0" applyFont="1" applyBorder="1" applyAlignment="1">
      <alignment horizontal="center" vertical="center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calcChain" Target="calcChain.xml" /><Relationship Id="rId5" Type="http://schemas.openxmlformats.org/officeDocument/2006/relationships/externalLink" Target="externalLinks/externalLink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Book1.xlsx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WD DR Abstract"/>
      <sheetName val="GWD MR Abstract"/>
      <sheetName val="3 Core Cable PRICE"/>
      <sheetName val="ARS Filter Media"/>
      <sheetName val="BW Casing Pipes"/>
      <sheetName val="Electrical Essentials"/>
      <sheetName val="GI on Wall PRICE"/>
      <sheetName val="GI wo Trench"/>
      <sheetName val="GI With Trench PRICE"/>
      <sheetName val="GI Works"/>
      <sheetName val="Gravel for TWC"/>
      <sheetName val="Gutter&amp;Clamp"/>
      <sheetName val="HP Erection and Pullout"/>
      <sheetName val="HP Repair Labour"/>
      <sheetName val="HP Repair Spares"/>
      <sheetName val="Hydrants"/>
      <sheetName val="Iron Structure"/>
      <sheetName val="Lock"/>
      <sheetName val="Metallic PH"/>
      <sheetName val="Motor Starter GWD"/>
      <sheetName val="Motor Starter Monoblock"/>
      <sheetName val="Motor Starter PRICE"/>
      <sheetName val="Other Fittings PRICE"/>
      <sheetName val="Panel Board"/>
      <sheetName val="Pump Cover"/>
      <sheetName val="Pump Erection "/>
      <sheetName val="Pump Pullout"/>
      <sheetName val="PVC Fittings"/>
      <sheetName val="PVC Fittings PRICE"/>
      <sheetName val="PVC on Wall (Concealed) PRICE"/>
      <sheetName val="PVC on Wall PRICE"/>
      <sheetName val="PVC on Wall"/>
      <sheetName val="PVC wo Trench PRICE"/>
      <sheetName val="PVC wo Trench"/>
      <sheetName val="PVC With Trench PRICE"/>
      <sheetName val="PVC With Trench"/>
      <sheetName val="Scaffolding"/>
      <sheetName val="Services"/>
      <sheetName val="TW Casing Pipes"/>
      <sheetName val="UG Cable PRICE"/>
      <sheetName val="Water Meter"/>
      <sheetName val="Water Tank"/>
      <sheetName val="Well Protection"/>
      <sheetName val="WTP"/>
      <sheetName val="Derived"/>
      <sheetName val="LMR"/>
      <sheetName val="PAMR39"/>
      <sheetName val="ZCost Inde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E9F1567-CD3A-43CF-9A7C-C5F2BF04BAA6}">
  <dimension ref="A1:G52"/>
  <sheetViews>
    <sheetView tabSelected="1" workbookViewId="0" topLeftCell="A1"/>
  </sheetViews>
  <sheetFormatPr defaultRowHeight="12.75"/>
  <sheetData>
    <row r="1" spans="1:7" ht="12.75">
      <c r="A1" s="1" t="s">
        <v>0</v>
      </c>
      <c r="B1" s="1" t="s">
        <v>1</v>
      </c>
      <c r="C1" s="2" t="s">
        <v>2</v>
      </c>
      <c r="D1" s="3"/>
      <c r="E1" s="4"/>
      <c r="F1" s="2" t="s">
        <v>3</v>
      </c>
      <c r="G1" s="4"/>
    </row>
    <row r="2" spans="1:7" ht="12.75">
      <c r="A2" s="5"/>
      <c r="B2" s="5"/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</row>
    <row r="3" spans="1:7" ht="12.75">
      <c r="A3" s="7" t="s">
        <v>9</v>
      </c>
      <c r="B3" s="3"/>
      <c r="C3" s="3"/>
      <c r="D3" s="3"/>
      <c r="E3" s="3"/>
      <c r="F3" s="3"/>
      <c r="G3" s="4"/>
    </row>
    <row r="4" spans="1:7" ht="12.75">
      <c r="A4" s="8"/>
      <c r="B4" s="8" t="s">
        <v>10</v>
      </c>
      <c r="C4" s="8" t="s">
        <v>11</v>
      </c>
      <c r="D4" s="8" t="s">
        <v>12</v>
      </c>
      <c r="E4" s="9">
        <v>1</v>
      </c>
      <c r="F4" s="10"/>
      <c r="G4" s="4"/>
    </row>
    <row r="5" spans="1:7" ht="12.75">
      <c r="A5" s="8" t="s">
        <v>13</v>
      </c>
      <c r="B5" s="10" t="s">
        <v>14</v>
      </c>
      <c r="C5" s="3"/>
      <c r="D5" s="3"/>
      <c r="E5" s="3"/>
      <c r="F5" s="3"/>
      <c r="G5" s="4"/>
    </row>
    <row r="6" spans="1:7" ht="12.75">
      <c r="A6" s="11" t="s">
        <v>15</v>
      </c>
      <c r="B6" s="3"/>
      <c r="C6" s="3"/>
      <c r="D6" s="3"/>
      <c r="E6" s="3"/>
      <c r="F6" s="4"/>
      <c r="G6" s="12" t="s">
        <v>16</v>
      </c>
    </row>
    <row r="7" spans="1:7" ht="12.75">
      <c r="A7" s="13"/>
      <c r="B7" s="13" t="s">
        <v>17</v>
      </c>
      <c r="C7" s="10" t="s">
        <v>18</v>
      </c>
      <c r="D7" s="3"/>
      <c r="E7" s="4"/>
      <c r="F7" s="10"/>
      <c r="G7" s="4"/>
    </row>
    <row r="8" spans="1:7" ht="12.75">
      <c r="A8" s="5"/>
      <c r="B8" s="5"/>
      <c r="C8" s="8" t="s">
        <v>19</v>
      </c>
      <c r="D8" s="9">
        <v>1</v>
      </c>
      <c r="E8" s="9">
        <f t="array" ref="E8">IFERROR(INDEX(LMRRates,MATCH(B7,LMRCodes,0),),)</f>
        <v>875</v>
      </c>
      <c r="F8" s="9">
        <f>D8*E8</f>
        <v>875</v>
      </c>
      <c r="G8" s="8" t="s">
        <v>20</v>
      </c>
    </row>
    <row r="9" spans="1:7" ht="12.75">
      <c r="A9" s="14" t="s">
        <v>21</v>
      </c>
      <c r="B9" s="3"/>
      <c r="C9" s="4"/>
      <c r="D9" s="9">
        <v>1</v>
      </c>
      <c r="E9" s="15" t="s">
        <v>11</v>
      </c>
      <c r="F9" s="9">
        <f>F8</f>
        <v>875</v>
      </c>
      <c r="G9" s="8"/>
    </row>
    <row r="10" spans="1:7" ht="12.75">
      <c r="A10" s="14" t="s">
        <v>22</v>
      </c>
      <c r="B10" s="3"/>
      <c r="C10" s="4"/>
      <c r="D10" s="9">
        <v>1</v>
      </c>
      <c r="E10" s="15" t="s">
        <v>11</v>
      </c>
      <c r="F10" s="9">
        <f>F9/D9</f>
        <v>875</v>
      </c>
      <c r="G10" s="8"/>
    </row>
    <row r="11" spans="1:7" ht="12.75">
      <c r="A11" s="16" t="s">
        <v>23</v>
      </c>
      <c r="B11" s="3"/>
      <c r="C11" s="3"/>
      <c r="D11" s="4"/>
      <c r="E11" s="9"/>
      <c r="F11" s="9">
        <f>F10*1%</f>
        <v>8.75</v>
      </c>
      <c r="G11" s="8"/>
    </row>
    <row r="12" spans="1:7" ht="12.75">
      <c r="A12" s="16" t="s">
        <v>24</v>
      </c>
      <c r="B12" s="3"/>
      <c r="C12" s="3"/>
      <c r="D12" s="4"/>
      <c r="E12" s="15"/>
      <c r="F12" s="9">
        <f>F11+F10</f>
        <v>883.75</v>
      </c>
      <c r="G12" s="8"/>
    </row>
    <row r="13" spans="1:7" ht="12.75">
      <c r="A13" s="16" t="s">
        <v>25</v>
      </c>
      <c r="B13" s="3"/>
      <c r="C13" s="3"/>
      <c r="D13" s="4"/>
      <c r="E13" s="9"/>
      <c r="F13" s="9">
        <f>F12*15%</f>
        <v>132.5625</v>
      </c>
      <c r="G13" s="8"/>
    </row>
    <row r="14" spans="1:7" ht="12.75">
      <c r="A14" s="16" t="s">
        <v>24</v>
      </c>
      <c r="B14" s="3"/>
      <c r="C14" s="3"/>
      <c r="D14" s="4"/>
      <c r="E14" s="15"/>
      <c r="F14" s="17">
        <f>ROUND(F13+F12,2)</f>
        <v>1016.31</v>
      </c>
      <c r="G14" s="8"/>
    </row>
    <row r="15" spans="1:7" ht="12.75">
      <c r="A15" s="11" t="s">
        <v>26</v>
      </c>
      <c r="B15" s="3"/>
      <c r="C15" s="3"/>
      <c r="D15" s="3"/>
      <c r="E15" s="3"/>
      <c r="F15" s="4"/>
      <c r="G15" s="12" t="s">
        <v>27</v>
      </c>
    </row>
    <row r="16" spans="1:7" ht="12.75">
      <c r="A16" s="13">
        <v>9999</v>
      </c>
      <c r="B16" s="13"/>
      <c r="C16" s="10" t="s">
        <v>28</v>
      </c>
      <c r="D16" s="3"/>
      <c r="E16" s="4"/>
      <c r="F16" s="10"/>
      <c r="G16" s="4"/>
    </row>
    <row r="17" spans="1:7" ht="12.75">
      <c r="A17" s="5"/>
      <c r="B17" s="5"/>
      <c r="C17" s="8" t="s">
        <v>29</v>
      </c>
      <c r="D17" s="9">
        <v>10</v>
      </c>
      <c r="E17" s="9">
        <v>2.12</v>
      </c>
      <c r="F17" s="9">
        <f>D17*E17</f>
        <v>21.20</v>
      </c>
      <c r="G17" s="8" t="s">
        <v>30</v>
      </c>
    </row>
    <row r="18" spans="1:7" ht="12.75">
      <c r="A18" s="13">
        <v>9999</v>
      </c>
      <c r="B18" s="13"/>
      <c r="C18" s="10" t="s">
        <v>31</v>
      </c>
      <c r="D18" s="3"/>
      <c r="E18" s="4"/>
      <c r="F18" s="10"/>
      <c r="G18" s="4"/>
    </row>
    <row r="19" spans="1:7" ht="12.75">
      <c r="A19" s="5"/>
      <c r="B19" s="5"/>
      <c r="C19" s="8" t="s">
        <v>29</v>
      </c>
      <c r="D19" s="9">
        <v>9.36</v>
      </c>
      <c r="E19" s="9">
        <v>2.12</v>
      </c>
      <c r="F19" s="9">
        <f>D19*E19</f>
        <v>19.8432</v>
      </c>
      <c r="G19" s="8" t="s">
        <v>32</v>
      </c>
    </row>
    <row r="20" spans="1:7" ht="12.75">
      <c r="A20" s="14" t="s">
        <v>33</v>
      </c>
      <c r="B20" s="3"/>
      <c r="C20" s="4"/>
      <c r="D20" s="9">
        <v>1</v>
      </c>
      <c r="E20" s="15" t="s">
        <v>11</v>
      </c>
      <c r="F20" s="9">
        <f>F19+F17</f>
        <v>41.043199999999999</v>
      </c>
      <c r="G20" s="15"/>
    </row>
    <row r="21" spans="1:7" ht="12.75">
      <c r="A21" s="14" t="s">
        <v>22</v>
      </c>
      <c r="B21" s="3"/>
      <c r="C21" s="4"/>
      <c r="D21" s="9">
        <v>1</v>
      </c>
      <c r="E21" s="15" t="s">
        <v>11</v>
      </c>
      <c r="F21" s="9">
        <f>F20/D20</f>
        <v>41.043199999999999</v>
      </c>
      <c r="G21" s="15"/>
    </row>
    <row r="22" spans="1:7" ht="12.75">
      <c r="A22" s="16" t="s">
        <v>23</v>
      </c>
      <c r="B22" s="3"/>
      <c r="C22" s="3"/>
      <c r="D22" s="4"/>
      <c r="E22" s="9"/>
      <c r="F22" s="9">
        <f>F21*1%</f>
        <v>0.41043200000000002</v>
      </c>
      <c r="G22" s="15"/>
    </row>
    <row r="23" spans="1:7" ht="12.75">
      <c r="A23" s="16" t="s">
        <v>24</v>
      </c>
      <c r="B23" s="3"/>
      <c r="C23" s="3"/>
      <c r="D23" s="4"/>
      <c r="E23" s="15"/>
      <c r="F23" s="9">
        <f>F22+F21</f>
        <v>41.453631999999999</v>
      </c>
      <c r="G23" s="15"/>
    </row>
    <row r="24" spans="1:7" ht="12.75">
      <c r="A24" s="16" t="s">
        <v>25</v>
      </c>
      <c r="B24" s="3"/>
      <c r="C24" s="3"/>
      <c r="D24" s="4"/>
      <c r="E24" s="9"/>
      <c r="F24" s="9">
        <f>F23*15%</f>
        <v>6.2180448000000004</v>
      </c>
      <c r="G24" s="15"/>
    </row>
    <row r="25" spans="1:7" ht="12.75">
      <c r="A25" s="16" t="s">
        <v>24</v>
      </c>
      <c r="B25" s="3"/>
      <c r="C25" s="3"/>
      <c r="D25" s="4"/>
      <c r="E25" s="15"/>
      <c r="F25" s="17">
        <f>ROUND(F24+F23,2)</f>
        <v>47.67</v>
      </c>
      <c r="G25" s="15"/>
    </row>
    <row r="26" spans="1:7" ht="12.75">
      <c r="A26" s="18" t="str">
        <f>CONCATENATE("Say ₹ ",F14," + ",F25," x Cost Index")</f>
        <v>Say ₹ 1016.31 + 47.67 x Cost Index</v>
      </c>
      <c r="B26" s="3"/>
      <c r="C26" s="3"/>
      <c r="D26" s="3"/>
      <c r="E26" s="3"/>
      <c r="F26" s="3"/>
      <c r="G26" s="4"/>
    </row>
    <row r="27" spans="1:7" ht="12.75">
      <c r="A27" s="1" t="s">
        <v>0</v>
      </c>
      <c r="B27" s="1" t="s">
        <v>1</v>
      </c>
      <c r="C27" s="2" t="s">
        <v>2</v>
      </c>
      <c r="D27" s="3"/>
      <c r="E27" s="4"/>
      <c r="F27" s="2" t="s">
        <v>3</v>
      </c>
      <c r="G27" s="4"/>
    </row>
    <row r="28" spans="1:7" ht="12.75">
      <c r="A28" s="5"/>
      <c r="B28" s="5"/>
      <c r="C28" s="6" t="s">
        <v>4</v>
      </c>
      <c r="D28" s="6" t="s">
        <v>5</v>
      </c>
      <c r="E28" s="6" t="s">
        <v>6</v>
      </c>
      <c r="F28" s="6" t="s">
        <v>7</v>
      </c>
      <c r="G28" s="6" t="s">
        <v>8</v>
      </c>
    </row>
    <row r="29" spans="1:7" ht="12.75">
      <c r="A29" s="7" t="s">
        <v>34</v>
      </c>
      <c r="B29" s="3"/>
      <c r="C29" s="3"/>
      <c r="D29" s="3"/>
      <c r="E29" s="3"/>
      <c r="F29" s="3"/>
      <c r="G29" s="4"/>
    </row>
    <row r="30" spans="1:7" ht="12.75">
      <c r="A30" s="8"/>
      <c r="B30" s="8" t="s">
        <v>10</v>
      </c>
      <c r="C30" s="8" t="s">
        <v>11</v>
      </c>
      <c r="D30" s="8" t="s">
        <v>12</v>
      </c>
      <c r="E30" s="9">
        <v>1</v>
      </c>
      <c r="F30" s="10"/>
      <c r="G30" s="4"/>
    </row>
    <row r="31" spans="1:7" ht="12.75">
      <c r="A31" s="8" t="s">
        <v>13</v>
      </c>
      <c r="B31" s="10" t="s">
        <v>14</v>
      </c>
      <c r="C31" s="3"/>
      <c r="D31" s="3"/>
      <c r="E31" s="3"/>
      <c r="F31" s="3"/>
      <c r="G31" s="4"/>
    </row>
    <row r="32" spans="1:7" ht="12.75">
      <c r="A32" s="11" t="s">
        <v>15</v>
      </c>
      <c r="B32" s="3"/>
      <c r="C32" s="3"/>
      <c r="D32" s="3"/>
      <c r="E32" s="3"/>
      <c r="F32" s="4"/>
      <c r="G32" s="12" t="s">
        <v>16</v>
      </c>
    </row>
    <row r="33" spans="1:7" ht="12.75">
      <c r="A33" s="13"/>
      <c r="B33" s="13" t="s">
        <v>35</v>
      </c>
      <c r="C33" s="10" t="s">
        <v>36</v>
      </c>
      <c r="D33" s="3"/>
      <c r="E33" s="4"/>
      <c r="F33" s="10"/>
      <c r="G33" s="4"/>
    </row>
    <row r="34" spans="1:7" ht="12.75">
      <c r="A34" s="5"/>
      <c r="B34" s="5"/>
      <c r="C34" s="8" t="s">
        <v>19</v>
      </c>
      <c r="D34" s="9">
        <v>1</v>
      </c>
      <c r="E34" s="9">
        <f t="array" ref="E34">IFERROR(INDEX(LMRRates,MATCH(B33,LMRCodes,0),),)</f>
        <v>1228</v>
      </c>
      <c r="F34" s="9">
        <f>D34*E34</f>
        <v>1228</v>
      </c>
      <c r="G34" s="8" t="s">
        <v>20</v>
      </c>
    </row>
    <row r="35" spans="1:7" ht="12.75">
      <c r="A35" s="14" t="s">
        <v>21</v>
      </c>
      <c r="B35" s="3"/>
      <c r="C35" s="4"/>
      <c r="D35" s="9">
        <v>1</v>
      </c>
      <c r="E35" s="15" t="s">
        <v>11</v>
      </c>
      <c r="F35" s="9">
        <f>F34</f>
        <v>1228</v>
      </c>
      <c r="G35" s="8"/>
    </row>
    <row r="36" spans="1:7" ht="12.75">
      <c r="A36" s="14" t="s">
        <v>22</v>
      </c>
      <c r="B36" s="3"/>
      <c r="C36" s="4"/>
      <c r="D36" s="9">
        <v>1</v>
      </c>
      <c r="E36" s="15" t="s">
        <v>11</v>
      </c>
      <c r="F36" s="9">
        <f>F35/D35</f>
        <v>1228</v>
      </c>
      <c r="G36" s="8"/>
    </row>
    <row r="37" spans="1:7" ht="12.75">
      <c r="A37" s="16" t="s">
        <v>23</v>
      </c>
      <c r="B37" s="3"/>
      <c r="C37" s="3"/>
      <c r="D37" s="4"/>
      <c r="E37" s="9"/>
      <c r="F37" s="9">
        <f>F36*1%</f>
        <v>12.28</v>
      </c>
      <c r="G37" s="8"/>
    </row>
    <row r="38" spans="1:7" ht="12.75">
      <c r="A38" s="16" t="s">
        <v>24</v>
      </c>
      <c r="B38" s="3"/>
      <c r="C38" s="3"/>
      <c r="D38" s="4"/>
      <c r="E38" s="15"/>
      <c r="F38" s="9">
        <f>F37+F36</f>
        <v>1240.28</v>
      </c>
      <c r="G38" s="8"/>
    </row>
    <row r="39" spans="1:7" ht="12.75">
      <c r="A39" s="16" t="s">
        <v>25</v>
      </c>
      <c r="B39" s="3"/>
      <c r="C39" s="3"/>
      <c r="D39" s="4"/>
      <c r="E39" s="9"/>
      <c r="F39" s="9">
        <f>F38*15%</f>
        <v>186.042</v>
      </c>
      <c r="G39" s="8"/>
    </row>
    <row r="40" spans="1:7" ht="12.75">
      <c r="A40" s="16" t="s">
        <v>24</v>
      </c>
      <c r="B40" s="3"/>
      <c r="C40" s="3"/>
      <c r="D40" s="4"/>
      <c r="E40" s="15"/>
      <c r="F40" s="17">
        <f>ROUND(F39+F38,2)</f>
        <v>1426.32</v>
      </c>
      <c r="G40" s="8"/>
    </row>
    <row r="41" spans="1:7" ht="12.75">
      <c r="A41" s="11" t="s">
        <v>26</v>
      </c>
      <c r="B41" s="3"/>
      <c r="C41" s="3"/>
      <c r="D41" s="3"/>
      <c r="E41" s="3"/>
      <c r="F41" s="4"/>
      <c r="G41" s="12" t="s">
        <v>27</v>
      </c>
    </row>
    <row r="42" spans="1:7" ht="12.75">
      <c r="A42" s="13">
        <v>9999</v>
      </c>
      <c r="B42" s="13"/>
      <c r="C42" s="10" t="s">
        <v>28</v>
      </c>
      <c r="D42" s="3"/>
      <c r="E42" s="4"/>
      <c r="F42" s="10"/>
      <c r="G42" s="4"/>
    </row>
    <row r="43" spans="1:7" ht="12.75">
      <c r="A43" s="5"/>
      <c r="B43" s="5"/>
      <c r="C43" s="8" t="s">
        <v>29</v>
      </c>
      <c r="D43" s="9">
        <v>10</v>
      </c>
      <c r="E43" s="9">
        <v>2.12</v>
      </c>
      <c r="F43" s="9">
        <f>D43*E43</f>
        <v>21.20</v>
      </c>
      <c r="G43" s="8" t="s">
        <v>30</v>
      </c>
    </row>
    <row r="44" spans="1:7" ht="12.75">
      <c r="A44" s="13">
        <v>9999</v>
      </c>
      <c r="B44" s="13"/>
      <c r="C44" s="10" t="s">
        <v>31</v>
      </c>
      <c r="D44" s="3"/>
      <c r="E44" s="4"/>
      <c r="F44" s="10"/>
      <c r="G44" s="4"/>
    </row>
    <row r="45" spans="1:7" ht="12.75">
      <c r="A45" s="5"/>
      <c r="B45" s="5"/>
      <c r="C45" s="8" t="s">
        <v>29</v>
      </c>
      <c r="D45" s="9">
        <v>9.36</v>
      </c>
      <c r="E45" s="9">
        <v>2.12</v>
      </c>
      <c r="F45" s="9">
        <f>D45*E45</f>
        <v>19.8432</v>
      </c>
      <c r="G45" s="8" t="s">
        <v>32</v>
      </c>
    </row>
    <row r="46" spans="1:7" ht="12.75">
      <c r="A46" s="14" t="s">
        <v>33</v>
      </c>
      <c r="B46" s="3"/>
      <c r="C46" s="4"/>
      <c r="D46" s="9">
        <v>1</v>
      </c>
      <c r="E46" s="15" t="s">
        <v>11</v>
      </c>
      <c r="F46" s="9">
        <f>F45+F43</f>
        <v>41.043199999999999</v>
      </c>
      <c r="G46" s="15"/>
    </row>
    <row r="47" spans="1:7" ht="12.75">
      <c r="A47" s="14" t="s">
        <v>22</v>
      </c>
      <c r="B47" s="3"/>
      <c r="C47" s="4"/>
      <c r="D47" s="9">
        <v>1</v>
      </c>
      <c r="E47" s="15" t="s">
        <v>11</v>
      </c>
      <c r="F47" s="9">
        <f>F46/D46</f>
        <v>41.043199999999999</v>
      </c>
      <c r="G47" s="15"/>
    </row>
    <row r="48" spans="1:7" ht="12.75">
      <c r="A48" s="16" t="s">
        <v>23</v>
      </c>
      <c r="B48" s="3"/>
      <c r="C48" s="3"/>
      <c r="D48" s="4"/>
      <c r="E48" s="9"/>
      <c r="F48" s="9">
        <f>F47*1%</f>
        <v>0.41043200000000002</v>
      </c>
      <c r="G48" s="15"/>
    </row>
    <row r="49" spans="1:7" ht="12.75">
      <c r="A49" s="16" t="s">
        <v>24</v>
      </c>
      <c r="B49" s="3"/>
      <c r="C49" s="3"/>
      <c r="D49" s="4"/>
      <c r="E49" s="15"/>
      <c r="F49" s="9">
        <f>F48+F47</f>
        <v>41.453631999999999</v>
      </c>
      <c r="G49" s="15"/>
    </row>
    <row r="50" spans="1:7" ht="12.75">
      <c r="A50" s="16" t="s">
        <v>25</v>
      </c>
      <c r="B50" s="3"/>
      <c r="C50" s="3"/>
      <c r="D50" s="4"/>
      <c r="E50" s="9"/>
      <c r="F50" s="9">
        <f>F49*15%</f>
        <v>6.2180448000000004</v>
      </c>
      <c r="G50" s="15"/>
    </row>
    <row r="51" spans="1:7" ht="12.75">
      <c r="A51" s="16" t="s">
        <v>24</v>
      </c>
      <c r="B51" s="3"/>
      <c r="C51" s="3"/>
      <c r="D51" s="4"/>
      <c r="E51" s="15"/>
      <c r="F51" s="17">
        <f>ROUND(F50+F49,2)</f>
        <v>47.67</v>
      </c>
      <c r="G51" s="15"/>
    </row>
    <row r="52" spans="1:7" ht="12.75">
      <c r="A52" s="18" t="str">
        <f>CONCATENATE("Say ₹ ",F40," + ",F51," x Cost Index")</f>
        <v>Say ₹ 1426.32 + 47.67 x Cost Index</v>
      </c>
      <c r="B52" s="3"/>
      <c r="C52" s="3"/>
      <c r="D52" s="3"/>
      <c r="E52" s="3"/>
      <c r="F52" s="3"/>
      <c r="G52" s="4"/>
    </row>
  </sheetData>
  <mergeCells count="68">
    <mergeCell ref="A23:D23"/>
    <mergeCell ref="A24:D24"/>
    <mergeCell ref="A25:D25"/>
    <mergeCell ref="A26:G26"/>
    <mergeCell ref="A27:A28"/>
    <mergeCell ref="B27:B28"/>
    <mergeCell ref="F27:G27"/>
    <mergeCell ref="C27:E27"/>
    <mergeCell ref="A29:G29"/>
    <mergeCell ref="F30:G30"/>
    <mergeCell ref="B31:G31"/>
    <mergeCell ref="A32:F32"/>
    <mergeCell ref="A33:A34"/>
    <mergeCell ref="B33:B34"/>
    <mergeCell ref="A35:C35"/>
    <mergeCell ref="A36:C36"/>
    <mergeCell ref="A37:D37"/>
    <mergeCell ref="A38:D38"/>
    <mergeCell ref="A39:D39"/>
    <mergeCell ref="A40:D40"/>
    <mergeCell ref="A41:F41"/>
    <mergeCell ref="A47:C47"/>
    <mergeCell ref="A48:D48"/>
    <mergeCell ref="A49:D49"/>
    <mergeCell ref="A50:D50"/>
    <mergeCell ref="A51:D51"/>
    <mergeCell ref="A52:G52"/>
    <mergeCell ref="A42:A43"/>
    <mergeCell ref="B42:B43"/>
    <mergeCell ref="A44:A45"/>
    <mergeCell ref="B44:B45"/>
    <mergeCell ref="C44:E44"/>
    <mergeCell ref="F44:G44"/>
    <mergeCell ref="A46:C46"/>
    <mergeCell ref="C7:E7"/>
    <mergeCell ref="F7:G7"/>
    <mergeCell ref="B1:B2"/>
    <mergeCell ref="C1:E1"/>
    <mergeCell ref="F1:G1"/>
    <mergeCell ref="A3:G3"/>
    <mergeCell ref="F4:G4"/>
    <mergeCell ref="B5:G5"/>
    <mergeCell ref="A6:F6"/>
    <mergeCell ref="A1:A2"/>
    <mergeCell ref="A7:A8"/>
    <mergeCell ref="B7:B8"/>
    <mergeCell ref="A9:C9"/>
    <mergeCell ref="A10:C10"/>
    <mergeCell ref="A11:D11"/>
    <mergeCell ref="A12:D12"/>
    <mergeCell ref="A13:D13"/>
    <mergeCell ref="A14:D14"/>
    <mergeCell ref="A15:F15"/>
    <mergeCell ref="A16:A17"/>
    <mergeCell ref="B16:B17"/>
    <mergeCell ref="C16:E16"/>
    <mergeCell ref="F16:G16"/>
    <mergeCell ref="A18:A19"/>
    <mergeCell ref="B18:B19"/>
    <mergeCell ref="C18:E18"/>
    <mergeCell ref="F18:G18"/>
    <mergeCell ref="A20:C20"/>
    <mergeCell ref="A21:C21"/>
    <mergeCell ref="A22:D22"/>
    <mergeCell ref="C33:E33"/>
    <mergeCell ref="F33:G33"/>
    <mergeCell ref="C42:E42"/>
    <mergeCell ref="F42:G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