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[1]zLMR!$C:$C</definedName>
    <definedName name="LMRCodes">[1]zLMR!$A:$A</definedName>
  </definedNames>
  <calcPr fullCalcOnLoad="1"/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<sst xmlns="http://schemas.openxmlformats.org/spreadsheetml/2006/main" count="45" uniqueCount="31">
  <si>
    <t>LMR Based Derived Items</t>
  </si>
  <si>
    <t>Derived Code</t>
  </si>
  <si>
    <t>Spec</t>
  </si>
  <si>
    <t>Dia</t>
  </si>
  <si>
    <t>Rate (min 20)</t>
  </si>
  <si>
    <t>Support Data 1</t>
  </si>
  <si>
    <t>Support Data 2</t>
  </si>
  <si>
    <t>LMR Code</t>
  </si>
  <si>
    <t>LMR Price</t>
  </si>
  <si>
    <t>DL1</t>
  </si>
  <si>
    <t>PVC Pipe, 6kg/cm2, 180mm Dia.</t>
  </si>
  <si>
    <t>MR10216</t>
  </si>
  <si>
    <t>PVC Pipe, 6kg/cm2, 160mm Dia.</t>
  </si>
  <si>
    <t>MR10217</t>
  </si>
  <si>
    <t>PVC Pipe, 6kg/cm2, 200mm Dia.</t>
  </si>
  <si>
    <t>DL2</t>
  </si>
  <si>
    <t>PVC Pipe, 10kg/cm2, 180mm Dia.</t>
  </si>
  <si>
    <t>MR10239</t>
  </si>
  <si>
    <t>PVC Pipe, 10kg/cm2, 160mm Dia.</t>
  </si>
  <si>
    <t>MR10240</t>
  </si>
  <si>
    <t>PVC Pipe, 10kg/cm2, 200mm Dia.</t>
  </si>
  <si>
    <t>GWDMR076</t>
  </si>
  <si>
    <t>20 mm dia HDPE pipe (DG) (8kg)</t>
  </si>
  <si>
    <t>MR10131</t>
  </si>
  <si>
    <t>HDPE Pipe PE 100 (IS
4984/1995), 8kg, 50mm Outer Dia.</t>
  </si>
  <si>
    <t>MR10132</t>
  </si>
  <si>
    <t>HDPE Pipe PE 100 (IS
4984/1995), 8kg, 63mm Outer Dia.</t>
  </si>
  <si>
    <t>GWDMR077</t>
  </si>
  <si>
    <t>32 mm dia HDPE pipe (DG) (8kg)</t>
  </si>
  <si>
    <t>GWDMR078</t>
  </si>
  <si>
    <t>40 mm dia HDPE pipe (DG) (8kg)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</si>
</sst>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i/>
      <sz val="11"/>
      <color theme="1"/>
      <name val="Cambria"/>
      <family val="2"/>
    </font>
    <font>
      <sz val="11"/>
      <color theme="1"/>
      <name val="Cambria"/>
      <family val="2"/>
    </font>
    <font>
      <b/>
      <i/>
      <sz val="11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46C6E2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2" borderId="1" xfId="0" applyFont="1" applyBorder="1" applyAlignment="1">
      <alignment horizontal="center" vertical="center" wrapText="1"/>
    </xf>
    <xf numFmtId="0" fontId="3" fillId="2" borderId="2" xfId="0" applyFont="1" applyBorder="1" applyAlignment="1">
      <alignment horizontal="center" vertical="center" wrapText="1"/>
    </xf>
    <xf numFmtId="0" fontId="4" fillId="0" borderId="3" xfId="0" applyFont="1" applyBorder="1">
      <alignment/>
    </xf>
    <xf numFmtId="0" fontId="4" fillId="0" borderId="4" xfId="0" applyFont="1" applyBorder="1">
      <alignment/>
    </xf>
    <xf numFmtId="0" fontId="4" fillId="3" borderId="5" xfId="0" applyFont="1" applyFill="1" applyBorder="1">
      <alignment/>
    </xf>
    <xf numFmtId="0" fontId="3" fillId="2" borderId="6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center" vertical="center"/>
    </xf>
    <xf numFmtId="0" fontId="1" fillId="4" borderId="6" xfId="0" applyFont="1" applyBorder="1" applyAlignment="1">
      <alignment horizontal="center" vertical="center"/>
    </xf>
    <xf numFmtId="0" fontId="2" fillId="5" borderId="6" xfId="0" applyFont="1" applyBorder="1" applyAlignment="1">
      <alignment horizontal="center" vertical="center"/>
    </xf>
    <xf numFmtId="0" fontId="1" fillId="5" borderId="6" xfId="0" applyFont="1" applyBorder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  <sheetName val="zDerived"/>
      <sheetName val="zLMR"/>
      <sheetName val="zPAMR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49EEC2-0EE0-46EE-96BC-41068CDDBAA6}">
  <dimension ref="A1:L8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2" spans="1:12" ht="12.7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/>
      <c r="G2" s="4"/>
      <c r="H2" s="5"/>
      <c r="I2" s="3" t="s">
        <v>6</v>
      </c>
      <c r="J2" s="4"/>
      <c r="K2" s="4"/>
      <c r="L2" s="5"/>
    </row>
    <row r="3" spans="1:12" ht="12.75">
      <c r="A3" s="6"/>
      <c r="B3" s="6"/>
      <c r="C3" s="6"/>
      <c r="D3" s="6"/>
      <c r="E3" s="7" t="s">
        <v>7</v>
      </c>
      <c r="F3" s="7" t="s">
        <v>2</v>
      </c>
      <c r="G3" s="7" t="s">
        <v>3</v>
      </c>
      <c r="H3" s="7" t="s">
        <v>8</v>
      </c>
      <c r="I3" s="7" t="s">
        <v>7</v>
      </c>
      <c r="J3" s="7" t="s">
        <v>2</v>
      </c>
      <c r="K3" s="7" t="s">
        <v>3</v>
      </c>
      <c r="L3" s="7" t="s">
        <v>8</v>
      </c>
    </row>
    <row r="4" spans="1:12" ht="12.75">
      <c r="A4" s="8" t="s">
        <v>9</v>
      </c>
      <c r="B4" s="8" t="s">
        <v>10</v>
      </c>
      <c r="C4" s="8">
        <v>180</v>
      </c>
      <c r="D4" s="8">
        <f>IF(H4+((C4-G4)*(L4-H4)/(K4-G4))&lt;20,20,MROUND(H4+((C4-G4)*(L4-H4)/(K4-G4)),1))</f>
        <v>480</v>
      </c>
      <c r="E4" s="9" t="s">
        <v>11</v>
      </c>
      <c r="F4" s="9" t="s">
        <v>12</v>
      </c>
      <c r="G4" s="9">
        <v>160</v>
      </c>
      <c r="H4" s="9">
        <f t="array" ref="H4">IFERROR(INDEX(LMRRates,MATCH(E4,LMRCodes,0),),)</f>
        <v>372</v>
      </c>
      <c r="I4" s="9" t="s">
        <v>13</v>
      </c>
      <c r="J4" s="9" t="s">
        <v>14</v>
      </c>
      <c r="K4" s="9">
        <v>200</v>
      </c>
      <c r="L4" s="9">
        <f t="array" ref="L4">IFERROR(INDEX(LMRRates,MATCH(I4,LMRCodes,0),),)</f>
        <v>588</v>
      </c>
    </row>
    <row r="5" spans="1:12" ht="12.75">
      <c r="A5" s="10" t="s">
        <v>15</v>
      </c>
      <c r="B5" s="10" t="s">
        <v>16</v>
      </c>
      <c r="C5" s="10">
        <v>180</v>
      </c>
      <c r="D5" s="10">
        <f>IF(H5+((C5-G5)*(L5-H5)/(K5-G5))&lt;20,20,MROUND(H5+((C5-G5)*(L5-H5)/(K5-G5)),1))</f>
        <v>784</v>
      </c>
      <c r="E5" s="11" t="s">
        <v>17</v>
      </c>
      <c r="F5" s="11" t="s">
        <v>18</v>
      </c>
      <c r="G5" s="11">
        <v>160</v>
      </c>
      <c r="H5" s="11">
        <f t="array" ref="H5">IFERROR(INDEX(LMRRates,MATCH(E5,LMRCodes,0),),)</f>
        <v>610</v>
      </c>
      <c r="I5" s="11" t="s">
        <v>19</v>
      </c>
      <c r="J5" s="11" t="s">
        <v>20</v>
      </c>
      <c r="K5" s="11">
        <v>200</v>
      </c>
      <c r="L5" s="11">
        <f t="array" ref="L5">IFERROR(INDEX(LMRRates,MATCH(I5,LMRCodes,0),),)</f>
        <v>957</v>
      </c>
    </row>
    <row r="6" spans="1:12" ht="12.75">
      <c r="A6" s="8" t="s">
        <v>21</v>
      </c>
      <c r="B6" s="8" t="s">
        <v>22</v>
      </c>
      <c r="C6" s="8">
        <v>20</v>
      </c>
      <c r="D6" s="8">
        <f>IF(H6+((C6-G6)*(L6-H6)/(K6-G6))&lt;20,20,MROUND(H6+((C6-G6)*(L6-H6)/(K6-G6)),1))</f>
        <v>20</v>
      </c>
      <c r="E6" s="9" t="s">
        <v>23</v>
      </c>
      <c r="F6" s="9" t="s">
        <v>24</v>
      </c>
      <c r="G6" s="9">
        <v>50</v>
      </c>
      <c r="H6" s="9">
        <f t="array" ref="H6">IFERROR(INDEX(LMRRates,MATCH(E6,LMRCodes,0),),)</f>
        <v>55</v>
      </c>
      <c r="I6" s="9" t="s">
        <v>25</v>
      </c>
      <c r="J6" s="9" t="s">
        <v>26</v>
      </c>
      <c r="K6" s="9">
        <v>63</v>
      </c>
      <c r="L6" s="9">
        <f t="array" ref="L6">IFERROR(INDEX(LMRRates,MATCH(I6,LMRCodes,0),),)</f>
        <v>88</v>
      </c>
    </row>
    <row r="7" spans="1:12" ht="12.75">
      <c r="A7" s="10" t="s">
        <v>27</v>
      </c>
      <c r="B7" s="10" t="s">
        <v>28</v>
      </c>
      <c r="C7" s="10">
        <v>32</v>
      </c>
      <c r="D7" s="10">
        <f>IF(H7+((C7-G7)*(L7-H7)/(K7-G7))&lt;20,20,MROUND(H7+((C7-G7)*(L7-H7)/(K7-G7)),1))</f>
        <v>20</v>
      </c>
      <c r="E7" s="11" t="s">
        <v>23</v>
      </c>
      <c r="F7" s="11" t="s">
        <v>24</v>
      </c>
      <c r="G7" s="11">
        <v>50</v>
      </c>
      <c r="H7" s="11">
        <f t="array" ref="H7">IFERROR(INDEX(LMRRates,MATCH(E7,LMRCodes,0),),)</f>
        <v>55</v>
      </c>
      <c r="I7" s="11" t="s">
        <v>25</v>
      </c>
      <c r="J7" s="11" t="s">
        <v>26</v>
      </c>
      <c r="K7" s="11">
        <v>63</v>
      </c>
      <c r="L7" s="11">
        <f t="array" ref="L7">IFERROR(INDEX(LMRRates,MATCH(I7,LMRCodes,0),),)</f>
        <v>88</v>
      </c>
    </row>
    <row r="8" spans="1:12" ht="12.75">
      <c r="A8" s="8" t="s">
        <v>29</v>
      </c>
      <c r="B8" s="8" t="s">
        <v>30</v>
      </c>
      <c r="C8" s="8">
        <v>40</v>
      </c>
      <c r="D8" s="8">
        <f>IF(H8+((C8-G8)*(L8-H8)/(K8-G8))&lt;20,20,MROUND(H8+((C8-G8)*(L8-H8)/(K8-G8)),1))</f>
        <v>30</v>
      </c>
      <c r="E8" s="9" t="s">
        <v>23</v>
      </c>
      <c r="F8" s="9" t="s">
        <v>24</v>
      </c>
      <c r="G8" s="9">
        <v>50</v>
      </c>
      <c r="H8" s="9">
        <f t="array" ref="H8">IFERROR(INDEX(LMRRates,MATCH(E8,LMRCodes,0),),)</f>
        <v>55</v>
      </c>
      <c r="I8" s="9" t="s">
        <v>25</v>
      </c>
      <c r="J8" s="9" t="s">
        <v>26</v>
      </c>
      <c r="K8" s="9">
        <v>63</v>
      </c>
      <c r="L8" s="9">
        <f t="array" ref="L8">IFERROR(INDEX(LMRRates,MATCH(I8,LMRCodes,0),),)</f>
        <v>88</v>
      </c>
    </row>
  </sheetData>
  <mergeCells count="7">
    <mergeCell ref="A1:L1"/>
    <mergeCell ref="A2:A3"/>
    <mergeCell ref="B2:B3"/>
    <mergeCell ref="C2:C3"/>
    <mergeCell ref="D2:D3"/>
    <mergeCell ref="E2:H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