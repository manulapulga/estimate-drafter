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<sst xmlns="http://schemas.openxmlformats.org/spreadsheetml/2006/main" count="504" uniqueCount="71">
  <si>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</si>
  <si>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</si>
  <si>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</si>
  <si>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</si>
  <si>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</si>
  <si>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</si>
  <si>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</si>
  <si>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</si>
  <si>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</si>
  <si>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0.5HP submersible motor pumps (DOL) (90.14.28.10)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</si>
  <si>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</si>
  <si>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</si>
  <si>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</si>
  <si>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</si>
  <si>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</si>
  <si>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</si>
  <si>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MR2001</t>
  </si>
  <si>
    <t>Submersible pump controllers with ammeter,DPMCB for single phase 0.5HP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</si>
  <si>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</si>
  <si>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</si>
  <si>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</si>
  <si>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</si>
  <si>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</si>
  <si>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</si>
  <si>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</si>
  <si>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</si>
  <si>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</si>
  <si>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</si>
  <si>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</si>
  <si>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</si>
  <si>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</si>
  <si>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</si>
  <si>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</si>
  <si>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</si>
  <si>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</si>
  <si>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</si>
  <si>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</si>
  <si>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1788.44 + 16.89 x Cost Index</t>
  </si>
  <si>
    <t>/E</t>
  </si>
  <si>
    <t>S &amp; F Motor starters of the following ratings Submersible pump controllers with ammeter,DPMCB for single phase 1 HP submersible motor pumps (DOL) (90.14.28.11)</t>
  </si>
  <si>
    <t>MR2002</t>
  </si>
  <si>
    <t>Submersible pump controllers with ammeter,DPMCB for single phase 1 HP submersible motor pumps (DOL)</t>
  </si>
  <si>
    <t>Say ₹ 1837.91 + 16.89 x Cost Index</t>
  </si>
  <si>
    <t>S &amp; F Motor starters of the following ratings Submersible pump controllers with ammeter,DPMCB for single phase 1.5 HP submersible motor pumps (DOL) (90.14.28.12)</t>
  </si>
  <si>
    <t>MR2003</t>
  </si>
  <si>
    <t>Submersible pump controllers with ammeter,DPMCB for single phase 1.5HP submersible motor pumps (DOL)</t>
  </si>
  <si>
    <t>Say ₹ 1887.36 + 16.89 x Cost Index</t>
  </si>
  <si>
    <t>S &amp; F Motor starters of the following ratings Submersible pump controllers with ammeter,DPMCB for single phase 2 HP submersible motor pumps (DOL) (90.14.28.13)</t>
  </si>
  <si>
    <t>MR2004</t>
  </si>
  <si>
    <t>Submersible pump controllers with ammeter,DPMCB for single phase 2 HP submersible motor pumps (DOL)</t>
  </si>
  <si>
    <t>Say ₹ 1936.82 + 16.89 x Cost Index</t>
  </si>
  <si>
    <t>S &amp; F Motor starters of the following ratings Submersible pump controllers with ammeter,TPMCB for three phase 5 to 7.5HP submersible motor pumps (DOL) (90.14.28.14)</t>
  </si>
  <si>
    <t>MR2005</t>
  </si>
  <si>
    <t>Submersible pump controllers with ammeter,DPMCB for single phase 5 - 7.5 HP submersible motor pumps (DOL)</t>
  </si>
  <si>
    <t>Say ₹ 4038.97 + 16.89 x Cost Index</t>
  </si>
  <si>
    <t>S &amp; F Motor starters of the following ratings Submersible pump controllers with ammeter,TPMCB for three phase 10 to 12.5HP submersible motor pumps (DOL) (90.14.28.15)</t>
  </si>
  <si>
    <t>MR2006</t>
  </si>
  <si>
    <t>Submersible pump controllers with ammeter,DPMCB for single phase 10- 12.5 HP submersible motor pumps (DOL)</t>
  </si>
  <si>
    <t>Say ₹ 4909.9 + 135.65 x Cost Index</t>
  </si>
  <si>
    <t>S &amp; F Motor starters of the following ratings Fully automatic star delta pump starter for three phase 25-30HP Submersible motor (90.14.28.16)</t>
  </si>
  <si>
    <t>MR2009</t>
  </si>
  <si>
    <t>Fully automatic Star Delta Pump starters for Three phase 25- 30 HP Submersible motor pumps</t>
  </si>
  <si>
    <t>Say ₹ 18792.81 + 220.48 x Cost Index</t>
  </si>
  <si>
    <t>S &amp; F Motor starters of the following ratings Fully automatic star delta pump starter for three phase 15HP Submersible motor (90.14.28.17)</t>
  </si>
  <si>
    <t>MR2007</t>
  </si>
  <si>
    <t>Submersible pump controllers with ammeter,DPMCB for single phase 15 HP submersible motor pumps (DOL)</t>
  </si>
  <si>
    <t>Say ₹ 8059.52 + 220.48 x Cost Index</t>
  </si>
  <si>
    <t>S &amp; F Motor starters of the following ratings Fully automatic star delta pump starter for three phase 20HP Submersible motor (90.14.28.18)</t>
  </si>
  <si>
    <t>MR2008</t>
  </si>
  <si>
    <t>Fully automatic Star Delta Pump starters for Three phase 20 HP Submersible motor pumps</t>
  </si>
  <si>
    <t>Say ₹ 9395 + 220.48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</si>
</sst>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65757F3-BF87-41C2-93A4-771C8255BAA6}">
  <dimension ref="A1:G279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1525.42</v>
      </c>
      <c r="F8" s="13">
        <f>D8*E8</f>
        <v>1525.42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7.6608499999999999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1539.8308500000001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1539.8308500000001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1533.0471</v>
      </c>
      <c r="F15" s="8">
        <f>E15*1%</f>
        <v>15.330470999999999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1555.161321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1555.161321</v>
      </c>
      <c r="F17" s="8">
        <f>E17*15%</f>
        <v>233.2741982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1788.44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40</v>
      </c>
      <c r="C38" s="12" t="s">
        <v>41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1567.80</v>
      </c>
      <c r="F39" s="13">
        <f>D39*E39</f>
        <v>1567.80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7.8727499999999999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1582.42275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1582.42275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1575.6389999999999</v>
      </c>
      <c r="F46" s="8">
        <f>E46*1%</f>
        <v>15.75639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1598.17914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1598.17914</v>
      </c>
      <c r="F48" s="8">
        <f>E48*15%</f>
        <v>239.72687099999999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1837.91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42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44</v>
      </c>
      <c r="C69" s="12" t="s">
        <v>45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1610.17</v>
      </c>
      <c r="F70" s="13">
        <f>D70*E70</f>
        <v>1610.17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8.0846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1625.0046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1625.0046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1618.2208499999999</v>
      </c>
      <c r="F77" s="8">
        <f>E77*1%</f>
        <v>16.182208500000002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1641.186809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1641.186809</v>
      </c>
      <c r="F79" s="8">
        <f>E79*15%</f>
        <v>246.17802130000001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1887.36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46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47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48</v>
      </c>
      <c r="C100" s="12" t="s">
        <v>49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1652.54</v>
      </c>
      <c r="F101" s="13">
        <f>D101*E101</f>
        <v>1652.54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8.2964500000000001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1667.58645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1667.58645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1660.8027</v>
      </c>
      <c r="F108" s="8">
        <f>E108*1%</f>
        <v>16.608027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1684.194477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1684.194477</v>
      </c>
      <c r="F110" s="8">
        <f>E110*15%</f>
        <v>252.62917160000001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1936.82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50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51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52</v>
      </c>
      <c r="C131" s="12" t="s">
        <v>53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3453.39</v>
      </c>
      <c r="F132" s="13">
        <f>D132*E132</f>
        <v>3453.39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17.300699999999999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3477.4407000000001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3477.4407000000001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3470.6569500000001</v>
      </c>
      <c r="F139" s="8">
        <f>E139*1%</f>
        <v>34.706569500000001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3512.1472699999999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3512.1472699999999</v>
      </c>
      <c r="F141" s="8">
        <f>E141*15%</f>
        <v>526.82209039999998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4038.97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54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55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56</v>
      </c>
      <c r="C162" s="12" t="s">
        <v>57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4105.93</v>
      </c>
      <c r="F163" s="13">
        <f>D163*E163</f>
        <v>4105.93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0.15</v>
      </c>
      <c r="E165" s="13">
        <v>675</v>
      </c>
      <c r="F165" s="13">
        <f>D165*E165</f>
        <v>101.25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21.035900000000002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4228.2159000000001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4228.2159000000001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4126.4596499999998</v>
      </c>
      <c r="F170" s="8">
        <f>E170*1%</f>
        <v>41.264596500000003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4269.4804969999996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4269.4804969999996</v>
      </c>
      <c r="F172" s="8">
        <f>E172*15%</f>
        <v>640.42207450000001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4909.90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0.15</v>
      </c>
      <c r="E177" s="13">
        <v>734</v>
      </c>
      <c r="F177" s="13">
        <f>D177*E177</f>
        <v>110.10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0.58650000000000002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117.8865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117.8865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117.95886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117.95886</v>
      </c>
      <c r="F184" s="8">
        <f>E184*15%</f>
        <v>17.693829000000001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135.65</v>
      </c>
      <c r="G185" s="8"/>
    </row>
    <row r="186" spans="1:7" ht="12.75">
      <c r="A186" s="18" t="s">
        <v>58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59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60</v>
      </c>
      <c r="C193" s="12" t="s">
        <v>61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15932.20</v>
      </c>
      <c r="F194" s="13">
        <f>D194*E194</f>
        <v>15932.20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0.25</v>
      </c>
      <c r="E196" s="13">
        <v>675</v>
      </c>
      <c r="F196" s="13">
        <f>D196*E196</f>
        <v>168.75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80.504750000000001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16181.454750000001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16181.454750000001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16011.861000000001</v>
      </c>
      <c r="F201" s="8">
        <f>E201*1%</f>
        <v>160.11860999999999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16341.57336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16341.57336</v>
      </c>
      <c r="F203" s="8">
        <f>E203*15%</f>
        <v>2451.2360039999999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18792.81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0.25</v>
      </c>
      <c r="E208" s="13">
        <v>734</v>
      </c>
      <c r="F208" s="13">
        <f>D208*E208</f>
        <v>183.50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0.95350000000000001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191.65350000000001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191.65350000000001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191.72586000000001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191.72586000000001</v>
      </c>
      <c r="F215" s="8">
        <f>E215*15%</f>
        <v>28.758879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220.48</v>
      </c>
      <c r="G216" s="8"/>
    </row>
    <row r="217" spans="1:7" ht="12.75">
      <c r="A217" s="18" t="s">
        <v>62</v>
      </c>
      <c r="B217" s="3"/>
      <c r="C217" s="3"/>
      <c r="D217" s="3"/>
      <c r="E217" s="3"/>
      <c r="F217" s="4"/>
      <c r="G217" s="19" t="s">
        <v>38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63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1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64</v>
      </c>
      <c r="C224" s="12" t="s">
        <v>65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1</v>
      </c>
      <c r="E225" s="13">
        <v>6737.29</v>
      </c>
      <c r="F225" s="13">
        <f>D225*E225</f>
        <v>6737.29</v>
      </c>
      <c r="G225" s="13" t="s">
        <v>18</v>
      </c>
    </row>
    <row r="226" spans="1:7" ht="12.75">
      <c r="A226" s="10"/>
      <c r="B226" s="11" t="s">
        <v>19</v>
      </c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>
        <v>0.25</v>
      </c>
      <c r="E227" s="13">
        <v>675</v>
      </c>
      <c r="F227" s="13">
        <f>D227*E227</f>
        <v>168.75</v>
      </c>
      <c r="G227" s="13" t="s">
        <v>22</v>
      </c>
    </row>
    <row r="228" spans="1:7" ht="12.75">
      <c r="A228" s="11" t="s">
        <v>23</v>
      </c>
      <c r="B228" s="10"/>
      <c r="C228" s="14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/>
      <c r="E229" s="13"/>
      <c r="F229" s="13">
        <f>(F225+F227)*0.5%</f>
        <v>34.530200000000001</v>
      </c>
      <c r="G229" s="13" t="s">
        <v>26</v>
      </c>
    </row>
    <row r="230" spans="1:7" ht="12.75">
      <c r="A230" s="9" t="s">
        <v>27</v>
      </c>
      <c r="B230" s="3"/>
      <c r="C230" s="4"/>
      <c r="D230" s="8">
        <v>1</v>
      </c>
      <c r="E230" s="8" t="s">
        <v>11</v>
      </c>
      <c r="F230" s="8">
        <f>F225+F227+F229</f>
        <v>6940.5702000000001</v>
      </c>
      <c r="G230" s="8"/>
    </row>
    <row r="231" spans="1:7" ht="12.75">
      <c r="A231" s="9" t="s">
        <v>28</v>
      </c>
      <c r="B231" s="3"/>
      <c r="C231" s="4"/>
      <c r="D231" s="8">
        <v>1</v>
      </c>
      <c r="E231" s="8" t="s">
        <v>11</v>
      </c>
      <c r="F231" s="8">
        <f>F230/D230</f>
        <v>6940.5702000000001</v>
      </c>
      <c r="G231" s="8"/>
    </row>
    <row r="232" spans="1:7" ht="12.75">
      <c r="A232" s="9" t="s">
        <v>29</v>
      </c>
      <c r="B232" s="3"/>
      <c r="C232" s="3"/>
      <c r="D232" s="4"/>
      <c r="E232" s="15">
        <f>F225*100.5%/D230</f>
        <v>6770.9764500000001</v>
      </c>
      <c r="F232" s="8">
        <f>E232*1%</f>
        <v>67.709764500000006</v>
      </c>
      <c r="G232" s="8"/>
    </row>
    <row r="233" spans="1:7" ht="12.75">
      <c r="A233" s="9" t="s">
        <v>27</v>
      </c>
      <c r="B233" s="3"/>
      <c r="C233" s="3"/>
      <c r="D233" s="4"/>
      <c r="E233" s="8"/>
      <c r="F233" s="8">
        <f>F231+F232</f>
        <v>7008.2799649999997</v>
      </c>
      <c r="G233" s="8"/>
    </row>
    <row r="234" spans="1:7" ht="12.75">
      <c r="A234" s="9" t="s">
        <v>30</v>
      </c>
      <c r="B234" s="3"/>
      <c r="C234" s="3"/>
      <c r="D234" s="4"/>
      <c r="E234" s="8">
        <f>F233</f>
        <v>7008.2799649999997</v>
      </c>
      <c r="F234" s="8">
        <f>E234*15%</f>
        <v>1051.2419950000001</v>
      </c>
      <c r="G234" s="8"/>
    </row>
    <row r="235" spans="1:7" ht="12.75">
      <c r="A235" s="16" t="s">
        <v>27</v>
      </c>
      <c r="B235" s="3"/>
      <c r="C235" s="3"/>
      <c r="D235" s="4"/>
      <c r="E235" s="8"/>
      <c r="F235" s="17">
        <f>ROUND(F233+F234,2)</f>
        <v>8059.52</v>
      </c>
      <c r="G235" s="8"/>
    </row>
    <row r="236" spans="1:7" ht="12.75">
      <c r="A236" s="10">
        <v>2852</v>
      </c>
      <c r="B236" s="11"/>
      <c r="C236" s="12" t="s">
        <v>31</v>
      </c>
      <c r="D236" s="3"/>
      <c r="E236" s="4"/>
      <c r="F236" s="12"/>
      <c r="G236" s="4"/>
    </row>
    <row r="237" spans="1:7" ht="12.75">
      <c r="A237" s="5"/>
      <c r="B237" s="5"/>
      <c r="C237" s="13" t="s">
        <v>11</v>
      </c>
      <c r="D237" s="13">
        <v>4</v>
      </c>
      <c r="E237" s="13">
        <v>1.80</v>
      </c>
      <c r="F237" s="13">
        <f>D237*E237</f>
        <v>7.20</v>
      </c>
      <c r="G237" s="13" t="s">
        <v>32</v>
      </c>
    </row>
    <row r="238" spans="1:7" ht="12.75">
      <c r="A238" s="10">
        <v>1005</v>
      </c>
      <c r="B238" s="11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21</v>
      </c>
      <c r="D239" s="13">
        <v>0.25</v>
      </c>
      <c r="E239" s="13">
        <v>734</v>
      </c>
      <c r="F239" s="13">
        <f>D239*E239</f>
        <v>183.50</v>
      </c>
      <c r="G239" s="13" t="s">
        <v>34</v>
      </c>
    </row>
    <row r="240" spans="1:7" ht="12.75">
      <c r="A240" s="11" t="s">
        <v>23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25</v>
      </c>
      <c r="D241" s="13"/>
      <c r="E241" s="13"/>
      <c r="F241" s="13">
        <f>(F237+F239)*0.5%</f>
        <v>0.95350000000000001</v>
      </c>
      <c r="G241" s="13" t="s">
        <v>36</v>
      </c>
    </row>
    <row r="242" spans="1:7" ht="12.75">
      <c r="A242" s="9" t="s">
        <v>27</v>
      </c>
      <c r="B242" s="3"/>
      <c r="C242" s="4"/>
      <c r="D242" s="8">
        <v>1</v>
      </c>
      <c r="E242" s="8" t="s">
        <v>11</v>
      </c>
      <c r="F242" s="8">
        <f>F237+F239+F241</f>
        <v>191.65350000000001</v>
      </c>
      <c r="G242" s="8"/>
    </row>
    <row r="243" spans="1:7" ht="12.75">
      <c r="A243" s="9" t="s">
        <v>28</v>
      </c>
      <c r="B243" s="3"/>
      <c r="C243" s="4"/>
      <c r="D243" s="8">
        <v>1</v>
      </c>
      <c r="E243" s="8" t="s">
        <v>11</v>
      </c>
      <c r="F243" s="8">
        <f>F242/D242</f>
        <v>191.65350000000001</v>
      </c>
      <c r="G243" s="8"/>
    </row>
    <row r="244" spans="1:7" ht="12.75">
      <c r="A244" s="9" t="s">
        <v>29</v>
      </c>
      <c r="B244" s="3"/>
      <c r="C244" s="3"/>
      <c r="D244" s="4"/>
      <c r="E244" s="15">
        <f>F237*100.5%/D242</f>
        <v>7.2359999999999998</v>
      </c>
      <c r="F244" s="8">
        <f>E244*1%</f>
        <v>0.072359999999999994</v>
      </c>
      <c r="G244" s="8"/>
    </row>
    <row r="245" spans="1:7" ht="12.75">
      <c r="A245" s="9" t="s">
        <v>27</v>
      </c>
      <c r="B245" s="3"/>
      <c r="C245" s="3"/>
      <c r="D245" s="4"/>
      <c r="E245" s="8"/>
      <c r="F245" s="8">
        <f>F243+F244</f>
        <v>191.72586000000001</v>
      </c>
      <c r="G245" s="8"/>
    </row>
    <row r="246" spans="1:7" ht="12.75">
      <c r="A246" s="9" t="s">
        <v>30</v>
      </c>
      <c r="B246" s="3"/>
      <c r="C246" s="3"/>
      <c r="D246" s="4"/>
      <c r="E246" s="8">
        <f>F245</f>
        <v>191.72586000000001</v>
      </c>
      <c r="F246" s="8">
        <f>E246*15%</f>
        <v>28.758879</v>
      </c>
      <c r="G246" s="8"/>
    </row>
    <row r="247" spans="1:7" ht="12.75">
      <c r="A247" s="16" t="s">
        <v>27</v>
      </c>
      <c r="B247" s="3"/>
      <c r="C247" s="3"/>
      <c r="D247" s="4"/>
      <c r="E247" s="8"/>
      <c r="F247" s="17">
        <f>ROUND(F245+F246,2)</f>
        <v>220.48</v>
      </c>
      <c r="G247" s="8"/>
    </row>
    <row r="248" spans="1:7" ht="12.75">
      <c r="A248" s="18" t="s">
        <v>66</v>
      </c>
      <c r="B248" s="3"/>
      <c r="C248" s="3"/>
      <c r="D248" s="3"/>
      <c r="E248" s="3"/>
      <c r="F248" s="4"/>
      <c r="G248" s="19" t="s">
        <v>38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67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8">
        <v>1</v>
      </c>
      <c r="F252" s="8"/>
      <c r="G252" s="8"/>
    </row>
    <row r="253" spans="1:7" ht="12.75">
      <c r="A253" s="8" t="s">
        <v>13</v>
      </c>
      <c r="B253" s="9" t="s">
        <v>14</v>
      </c>
      <c r="C253" s="3"/>
      <c r="D253" s="3"/>
      <c r="E253" s="3"/>
      <c r="F253" s="3"/>
      <c r="G253" s="4"/>
    </row>
    <row r="254" spans="1:7" ht="12.75">
      <c r="A254" s="9" t="s">
        <v>15</v>
      </c>
      <c r="B254" s="3"/>
      <c r="C254" s="3"/>
      <c r="D254" s="3"/>
      <c r="E254" s="3"/>
      <c r="F254" s="3"/>
      <c r="G254" s="4"/>
    </row>
    <row r="255" spans="1:7" ht="12.75">
      <c r="A255" s="10"/>
      <c r="B255" s="11" t="s">
        <v>68</v>
      </c>
      <c r="C255" s="12" t="s">
        <v>69</v>
      </c>
      <c r="D255" s="3"/>
      <c r="E255" s="4"/>
      <c r="F255" s="12"/>
      <c r="G255" s="4"/>
    </row>
    <row r="256" spans="1:7" ht="12.75">
      <c r="A256" s="5"/>
      <c r="B256" s="5"/>
      <c r="C256" s="13" t="s">
        <v>11</v>
      </c>
      <c r="D256" s="13">
        <v>1</v>
      </c>
      <c r="E256" s="13">
        <v>7881.36</v>
      </c>
      <c r="F256" s="13">
        <f>D256*E256</f>
        <v>7881.36</v>
      </c>
      <c r="G256" s="13" t="s">
        <v>18</v>
      </c>
    </row>
    <row r="257" spans="1:7" ht="12.75">
      <c r="A257" s="10"/>
      <c r="B257" s="11" t="s">
        <v>19</v>
      </c>
      <c r="C257" s="12" t="s">
        <v>20</v>
      </c>
      <c r="D257" s="3"/>
      <c r="E257" s="4"/>
      <c r="F257" s="12"/>
      <c r="G257" s="4"/>
    </row>
    <row r="258" spans="1:7" ht="12.75">
      <c r="A258" s="5"/>
      <c r="B258" s="5"/>
      <c r="C258" s="13" t="s">
        <v>21</v>
      </c>
      <c r="D258" s="13">
        <v>0.25</v>
      </c>
      <c r="E258" s="13">
        <v>675</v>
      </c>
      <c r="F258" s="13">
        <f>D258*E258</f>
        <v>168.75</v>
      </c>
      <c r="G258" s="13" t="s">
        <v>22</v>
      </c>
    </row>
    <row r="259" spans="1:7" ht="12.75">
      <c r="A259" s="11" t="s">
        <v>23</v>
      </c>
      <c r="B259" s="10"/>
      <c r="C259" s="14" t="s">
        <v>24</v>
      </c>
      <c r="D259" s="3"/>
      <c r="E259" s="4"/>
      <c r="F259" s="12"/>
      <c r="G259" s="4"/>
    </row>
    <row r="260" spans="1:7" ht="12.75">
      <c r="A260" s="5"/>
      <c r="B260" s="5"/>
      <c r="C260" s="13" t="s">
        <v>25</v>
      </c>
      <c r="D260" s="13"/>
      <c r="E260" s="13"/>
      <c r="F260" s="13">
        <f>(F256+F258)*0.5%</f>
        <v>40.250549999999997</v>
      </c>
      <c r="G260" s="13" t="s">
        <v>26</v>
      </c>
    </row>
    <row r="261" spans="1:7" ht="12.75">
      <c r="A261" s="9" t="s">
        <v>27</v>
      </c>
      <c r="B261" s="3"/>
      <c r="C261" s="4"/>
      <c r="D261" s="8">
        <v>1</v>
      </c>
      <c r="E261" s="8" t="s">
        <v>11</v>
      </c>
      <c r="F261" s="8">
        <f>F256+F258+F260</f>
        <v>8090.3605500000003</v>
      </c>
      <c r="G261" s="8"/>
    </row>
    <row r="262" spans="1:7" ht="12.75">
      <c r="A262" s="9" t="s">
        <v>28</v>
      </c>
      <c r="B262" s="3"/>
      <c r="C262" s="4"/>
      <c r="D262" s="8">
        <v>1</v>
      </c>
      <c r="E262" s="8" t="s">
        <v>11</v>
      </c>
      <c r="F262" s="8">
        <f>F261/D261</f>
        <v>8090.3605500000003</v>
      </c>
      <c r="G262" s="8"/>
    </row>
    <row r="263" spans="1:7" ht="12.75">
      <c r="A263" s="9" t="s">
        <v>29</v>
      </c>
      <c r="B263" s="3"/>
      <c r="C263" s="3"/>
      <c r="D263" s="4"/>
      <c r="E263" s="15">
        <f>F256*100.5%/D261</f>
        <v>7920.7668000000003</v>
      </c>
      <c r="F263" s="8">
        <f>E263*1%</f>
        <v>79.207667999999998</v>
      </c>
      <c r="G263" s="8"/>
    </row>
    <row r="264" spans="1:7" ht="12.75">
      <c r="A264" s="9" t="s">
        <v>27</v>
      </c>
      <c r="B264" s="3"/>
      <c r="C264" s="3"/>
      <c r="D264" s="4"/>
      <c r="E264" s="8"/>
      <c r="F264" s="8">
        <f>F262+F263</f>
        <v>8169.5682180000003</v>
      </c>
      <c r="G264" s="8"/>
    </row>
    <row r="265" spans="1:7" ht="12.75">
      <c r="A265" s="9" t="s">
        <v>30</v>
      </c>
      <c r="B265" s="3"/>
      <c r="C265" s="3"/>
      <c r="D265" s="4"/>
      <c r="E265" s="8">
        <f>F264</f>
        <v>8169.5682180000003</v>
      </c>
      <c r="F265" s="8">
        <f>E265*15%</f>
        <v>1225.4352329999999</v>
      </c>
      <c r="G265" s="8"/>
    </row>
    <row r="266" spans="1:7" ht="12.75">
      <c r="A266" s="16" t="s">
        <v>27</v>
      </c>
      <c r="B266" s="3"/>
      <c r="C266" s="3"/>
      <c r="D266" s="4"/>
      <c r="E266" s="8"/>
      <c r="F266" s="17">
        <f>ROUND(F264+F265,2)</f>
        <v>9395</v>
      </c>
      <c r="G266" s="8"/>
    </row>
    <row r="267" spans="1:7" ht="12.75">
      <c r="A267" s="10">
        <v>2852</v>
      </c>
      <c r="B267" s="11"/>
      <c r="C267" s="12" t="s">
        <v>31</v>
      </c>
      <c r="D267" s="3"/>
      <c r="E267" s="4"/>
      <c r="F267" s="12"/>
      <c r="G267" s="4"/>
    </row>
    <row r="268" spans="1:7" ht="12.75">
      <c r="A268" s="5"/>
      <c r="B268" s="5"/>
      <c r="C268" s="13" t="s">
        <v>11</v>
      </c>
      <c r="D268" s="13">
        <v>4</v>
      </c>
      <c r="E268" s="13">
        <v>1.80</v>
      </c>
      <c r="F268" s="13">
        <f>D268*E268</f>
        <v>7.20</v>
      </c>
      <c r="G268" s="13" t="s">
        <v>32</v>
      </c>
    </row>
    <row r="269" spans="1:7" ht="12.75">
      <c r="A269" s="10">
        <v>1005</v>
      </c>
      <c r="B269" s="11"/>
      <c r="C269" s="12" t="s">
        <v>33</v>
      </c>
      <c r="D269" s="3"/>
      <c r="E269" s="4"/>
      <c r="F269" s="12"/>
      <c r="G269" s="4"/>
    </row>
    <row r="270" spans="1:7" ht="12.75">
      <c r="A270" s="5"/>
      <c r="B270" s="5"/>
      <c r="C270" s="13" t="s">
        <v>21</v>
      </c>
      <c r="D270" s="13">
        <v>0.25</v>
      </c>
      <c r="E270" s="13">
        <v>734</v>
      </c>
      <c r="F270" s="13">
        <f>D270*E270</f>
        <v>183.50</v>
      </c>
      <c r="G270" s="13" t="s">
        <v>34</v>
      </c>
    </row>
    <row r="271" spans="1:7" ht="12.75">
      <c r="A271" s="11" t="s">
        <v>23</v>
      </c>
      <c r="B271" s="10"/>
      <c r="C271" s="14" t="s">
        <v>35</v>
      </c>
      <c r="D271" s="3"/>
      <c r="E271" s="4"/>
      <c r="F271" s="12"/>
      <c r="G271" s="4"/>
    </row>
    <row r="272" spans="1:7" ht="12.75">
      <c r="A272" s="5"/>
      <c r="B272" s="5"/>
      <c r="C272" s="13" t="s">
        <v>25</v>
      </c>
      <c r="D272" s="13"/>
      <c r="E272" s="13"/>
      <c r="F272" s="13">
        <f>(F268+F270)*0.5%</f>
        <v>0.95350000000000001</v>
      </c>
      <c r="G272" s="13" t="s">
        <v>36</v>
      </c>
    </row>
    <row r="273" spans="1:7" ht="12.75">
      <c r="A273" s="9" t="s">
        <v>27</v>
      </c>
      <c r="B273" s="3"/>
      <c r="C273" s="4"/>
      <c r="D273" s="8">
        <v>1</v>
      </c>
      <c r="E273" s="8" t="s">
        <v>11</v>
      </c>
      <c r="F273" s="8">
        <f>F268+F270+F272</f>
        <v>191.65350000000001</v>
      </c>
      <c r="G273" s="8"/>
    </row>
    <row r="274" spans="1:7" ht="12.75">
      <c r="A274" s="9" t="s">
        <v>28</v>
      </c>
      <c r="B274" s="3"/>
      <c r="C274" s="4"/>
      <c r="D274" s="8">
        <v>1</v>
      </c>
      <c r="E274" s="8" t="s">
        <v>11</v>
      </c>
      <c r="F274" s="8">
        <f>F273/D273</f>
        <v>191.65350000000001</v>
      </c>
      <c r="G274" s="8"/>
    </row>
    <row r="275" spans="1:7" ht="12.75">
      <c r="A275" s="9" t="s">
        <v>29</v>
      </c>
      <c r="B275" s="3"/>
      <c r="C275" s="3"/>
      <c r="D275" s="4"/>
      <c r="E275" s="15">
        <f>F268*100.5%/D273</f>
        <v>7.2359999999999998</v>
      </c>
      <c r="F275" s="8">
        <f>E275*1%</f>
        <v>0.072359999999999994</v>
      </c>
      <c r="G275" s="8"/>
    </row>
    <row r="276" spans="1:7" ht="12.75">
      <c r="A276" s="9" t="s">
        <v>27</v>
      </c>
      <c r="B276" s="3"/>
      <c r="C276" s="3"/>
      <c r="D276" s="4"/>
      <c r="E276" s="8"/>
      <c r="F276" s="8">
        <f>F274+F275</f>
        <v>191.72586000000001</v>
      </c>
      <c r="G276" s="8"/>
    </row>
    <row r="277" spans="1:7" ht="12.75">
      <c r="A277" s="9" t="s">
        <v>30</v>
      </c>
      <c r="B277" s="3"/>
      <c r="C277" s="3"/>
      <c r="D277" s="4"/>
      <c r="E277" s="8">
        <f>F276</f>
        <v>191.72586000000001</v>
      </c>
      <c r="F277" s="8">
        <f>E277*15%</f>
        <v>28.758879</v>
      </c>
      <c r="G277" s="8"/>
    </row>
    <row r="278" spans="1:7" ht="12.75">
      <c r="A278" s="16" t="s">
        <v>27</v>
      </c>
      <c r="B278" s="3"/>
      <c r="C278" s="3"/>
      <c r="D278" s="4"/>
      <c r="E278" s="8"/>
      <c r="F278" s="17">
        <f>ROUND(F276+F277,2)</f>
        <v>220.48</v>
      </c>
      <c r="G278" s="8"/>
    </row>
    <row r="279" spans="1:7" ht="12.75">
      <c r="A279" s="18" t="s">
        <v>70</v>
      </c>
      <c r="B279" s="3"/>
      <c r="C279" s="3"/>
      <c r="D279" s="3"/>
      <c r="E279" s="3"/>
      <c r="F279" s="4"/>
      <c r="G279" s="19" t="s">
        <v>38</v>
      </c>
    </row>
  </sheetData>
  <mergeCells count="396"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  <mergeCell ref="A207:A208"/>
    <mergeCell ref="A209:A210"/>
    <mergeCell ref="B209:B210"/>
    <mergeCell ref="A211:C211"/>
    <mergeCell ref="A212:C212"/>
    <mergeCell ref="A213:D213"/>
    <mergeCell ref="A214:D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A226:A227"/>
    <mergeCell ref="B226:B227"/>
    <mergeCell ref="C226:E226"/>
    <mergeCell ref="F226:G226"/>
    <mergeCell ref="A228:A229"/>
    <mergeCell ref="C228:E228"/>
    <mergeCell ref="F228:G228"/>
    <mergeCell ref="B228:B229"/>
    <mergeCell ref="A230:C230"/>
    <mergeCell ref="A231:C231"/>
    <mergeCell ref="A232:D232"/>
    <mergeCell ref="A233:D233"/>
    <mergeCell ref="A234:D234"/>
    <mergeCell ref="A235:D235"/>
    <mergeCell ref="C240:E240"/>
    <mergeCell ref="F240:G240"/>
    <mergeCell ref="A236:A237"/>
    <mergeCell ref="B236:B237"/>
    <mergeCell ref="C236:E236"/>
    <mergeCell ref="F236:G236"/>
    <mergeCell ref="B238:B239"/>
    <mergeCell ref="C238:E238"/>
    <mergeCell ref="F238:G238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77:D277"/>
    <mergeCell ref="A278:D278"/>
    <mergeCell ref="A279:F279"/>
    <mergeCell ref="A269:A270"/>
    <mergeCell ref="A271:A272"/>
    <mergeCell ref="B271:B272"/>
    <mergeCell ref="A273:C273"/>
    <mergeCell ref="A274:C274"/>
    <mergeCell ref="A275:D275"/>
    <mergeCell ref="A276:D276"/>
    <mergeCell ref="A238:A239"/>
    <mergeCell ref="A240:A241"/>
    <mergeCell ref="B240:B241"/>
    <mergeCell ref="A242:C242"/>
    <mergeCell ref="A243:C243"/>
    <mergeCell ref="A244:D244"/>
    <mergeCell ref="A245:D245"/>
    <mergeCell ref="A246:D246"/>
    <mergeCell ref="A247:D247"/>
    <mergeCell ref="A248:F248"/>
    <mergeCell ref="A249:A250"/>
    <mergeCell ref="B249:B250"/>
    <mergeCell ref="C249:E249"/>
    <mergeCell ref="F249:G249"/>
    <mergeCell ref="A251:G251"/>
    <mergeCell ref="B253:G253"/>
    <mergeCell ref="A254:G254"/>
    <mergeCell ref="A255:A256"/>
    <mergeCell ref="B255:B256"/>
    <mergeCell ref="C255:E255"/>
    <mergeCell ref="F255:G255"/>
    <mergeCell ref="A257:A258"/>
    <mergeCell ref="B257:B258"/>
    <mergeCell ref="C257:E257"/>
    <mergeCell ref="F257:G257"/>
    <mergeCell ref="A259:A260"/>
    <mergeCell ref="C259:E259"/>
    <mergeCell ref="F259:G259"/>
    <mergeCell ref="B259:B260"/>
    <mergeCell ref="A261:C261"/>
    <mergeCell ref="A262:C262"/>
    <mergeCell ref="A263:D263"/>
    <mergeCell ref="A264:D264"/>
    <mergeCell ref="A265:D265"/>
    <mergeCell ref="A266:D266"/>
    <mergeCell ref="C271:E271"/>
    <mergeCell ref="F271:G271"/>
    <mergeCell ref="A267:A268"/>
    <mergeCell ref="B267:B268"/>
    <mergeCell ref="C267:E267"/>
    <mergeCell ref="F267:G267"/>
    <mergeCell ref="B269:B270"/>
    <mergeCell ref="C269:E269"/>
    <mergeCell ref="F269:G2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