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Types>
</file>

<file path=_rels/.rels><?xml version="1.0" encoding="UTF-8" standalone="yes"?><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externalReferences>
    <externalReference r:id="rId5"/>
  </externalReferences>
  <definedNames>
    <definedName name="LMRRates">[1]LMR!$C:$C</definedName>
    <definedName name="LMRCodes">[1]LMR!$A:$A</definedName>
  </definedNames>
  <calcPr fullCalcOnLoad="1"/>
</workbook>
</file>

<file path=xl/calcChain.xml><?xml version="1.0" encoding="utf-8"?>
<calcChain xmlns="http://schemas.openxmlformats.org/spreadsheetml/2006/main">
  <c r="E8" i="1" l="1" a="1"/>
</calcChain>
</file>

<file path=xl/sharedStrings.xml><?xml version="1.0" encoding="utf-8"?>
<sst xmlns="http://schemas.openxmlformats.org/spreadsheetml/2006/main" count="55" uniqueCount="39">
  <si>
    <t>Sor/Spec Code</t>
  </si>
  <si>
    <t>MR Code</t>
  </si>
  <si>
    <t>Description</t>
  </si>
  <si>
    <t>Remarks</t>
  </si>
  <si>
    <t>Unit</t>
  </si>
  <si>
    <t>Quantity</t>
  </si>
  <si>
    <t>Rate (₹)</t>
  </si>
  <si>
    <t>Amount</t>
  </si>
  <si>
    <t>Label</t>
  </si>
  <si>
    <t>Supplying of 4.75 to 8mm size pebble (pebbles shall be hard, clean, free from clay, dust and other impurities), stacking in standard heaps for measurement including cost, conveyance up to 5km and labour charges for stacking, spreading, testing and as per the directions of the department officers etc complete and as per CPHEEO specification.</t>
  </si>
  <si>
    <t>Header Unit</t>
  </si>
  <si>
    <t>cum</t>
  </si>
  <si>
    <t>Header Quantity</t>
  </si>
  <si>
    <t>Header Details</t>
  </si>
  <si>
    <t>Details of cost for 1 cum</t>
  </si>
  <si>
    <t>Material</t>
  </si>
  <si>
    <t>M</t>
  </si>
  <si>
    <t>MR10045</t>
  </si>
  <si>
    <t>Cost of pebble 4.75 mm to 8 mm.</t>
  </si>
  <si>
    <t>M1</t>
  </si>
  <si>
    <t>TOTAL</t>
  </si>
  <si>
    <t>UNIT TOTAL</t>
  </si>
  <si>
    <t>Water Charge@ 1.00 %</t>
  </si>
  <si>
    <t>Contractors Profit &amp; Overhead@ 15.00 %</t>
  </si>
  <si>
    <t>Carriage</t>
  </si>
  <si>
    <t>C</t>
  </si>
  <si>
    <t>Carriage of Stone aggregate below 40 mm nominal size</t>
  </si>
  <si>
    <t>C1</t>
  </si>
  <si>
    <t>Labour</t>
  </si>
  <si>
    <t>L</t>
  </si>
  <si>
    <t>Coolie
For spreading.</t>
  </si>
  <si>
    <t>Day</t>
  </si>
  <si>
    <t>L1</t>
  </si>
  <si>
    <t>Tools &amp; Plants</t>
  </si>
  <si>
    <t>Sundries
Hire for tools.</t>
  </si>
  <si>
    <t>L.S</t>
  </si>
  <si>
    <t>T1</t>
  </si>
  <si>
    <t>Sundries
Charges for testing.</t>
  </si>
  <si>
    <t>T2</t>
  </si>
</sst>
</file>

<file path=xl/styles.xml><?xml version="1.0" encoding="utf-8"?>
<styleSheet xmlns="http://schemas.openxmlformats.org/spreadsheetml/2006/main">
  <fonts count="5">
    <font>
      <sz val="10"/>
      <color theme="1"/>
      <name val="Arial"/>
      <family val="2"/>
    </font>
    <font>
      <sz val="12"/>
      <color rgb="FF212529"/>
      <name val="Cambria"/>
      <family val="2"/>
    </font>
    <font>
      <b/>
      <sz val="12"/>
      <color rgb="FF212529"/>
      <name val="Cambria"/>
      <family val="2"/>
    </font>
    <font>
      <b/>
      <sz val="12"/>
      <color rgb="FFFFFFFF"/>
      <name val="Cambria"/>
      <family val="2"/>
    </font>
    <font>
      <sz val="11"/>
      <color rgb="FF000000"/>
      <name val="Calibri"/>
      <family val="2"/>
      <scheme val="minor"/>
    </font>
  </fonts>
  <fills count="5">
    <fill>
      <patternFill patternType="none"/>
    </fill>
    <fill>
      <patternFill patternType="gray125"/>
    </fill>
    <fill>
      <patternFill patternType="solid">
        <fgColor rgb="FF212529"/>
        <bgColor indexed="64"/>
      </patternFill>
    </fill>
    <fill>
      <patternFill patternType="solid">
        <fgColor rgb="FFFFFFFF"/>
        <bgColor indexed="64"/>
      </patternFill>
    </fill>
    <fill>
      <patternFill patternType="solid">
        <fgColor rgb="FFDEE2E6"/>
        <bgColor indexed="64"/>
      </patternFill>
    </fill>
  </fills>
  <borders count="7">
    <border>
      <left/>
      <right/>
      <top/>
      <bottom/>
      <diagonal/>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style="thin">
        <color rgb="FF000000"/>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23">
    <xf numFmtId="0" fontId="0" fillId="0" borderId="0" xfId="0"/>
    <xf numFmtId="0" fontId="3" fillId="2" borderId="1" xfId="0" applyFont="1" applyBorder="1" applyAlignment="1">
      <alignment vertical="center" wrapText="1"/>
    </xf>
    <xf numFmtId="0" fontId="3" fillId="2" borderId="2" xfId="0" applyFont="1" applyBorder="1" applyAlignment="1">
      <alignment vertical="center" wrapText="1"/>
    </xf>
    <xf numFmtId="0" fontId="4" fillId="0" borderId="3" xfId="0" applyFont="1" applyBorder="1">
      <alignment/>
    </xf>
    <xf numFmtId="0" fontId="4" fillId="0" borderId="4" xfId="0" applyFont="1" applyBorder="1">
      <alignment/>
    </xf>
    <xf numFmtId="2" fontId="3" fillId="2" borderId="2" xfId="0" applyNumberFormat="1" applyFont="1" applyBorder="1" applyAlignment="1">
      <alignment vertical="center" wrapText="1"/>
    </xf>
    <xf numFmtId="0" fontId="4" fillId="0" borderId="5" xfId="0" applyFont="1" applyBorder="1">
      <alignment/>
    </xf>
    <xf numFmtId="0" fontId="3" fillId="2" borderId="6" xfId="0" applyFont="1" applyBorder="1" applyAlignment="1">
      <alignment vertical="center" wrapText="1"/>
    </xf>
    <xf numFmtId="2" fontId="3" fillId="2" borderId="6" xfId="0" applyNumberFormat="1" applyFont="1" applyBorder="1" applyAlignment="1">
      <alignment vertical="center" wrapText="1"/>
    </xf>
    <xf numFmtId="0" fontId="2" fillId="3" borderId="2" xfId="0" applyFont="1" applyBorder="1" applyAlignment="1">
      <alignment vertical="center" wrapText="1"/>
    </xf>
    <xf numFmtId="0" fontId="1" fillId="3" borderId="6" xfId="0" applyFont="1" applyBorder="1" applyAlignment="1">
      <alignment horizontal="center" vertical="center" wrapText="1"/>
    </xf>
    <xf numFmtId="0" fontId="1" fillId="3" borderId="6" xfId="0" applyFont="1" applyBorder="1" applyAlignment="1">
      <alignment horizontal="right" vertical="center" wrapText="1"/>
    </xf>
    <xf numFmtId="2" fontId="1" fillId="3" borderId="2" xfId="0" applyNumberFormat="1" applyFont="1" applyBorder="1" applyAlignment="1">
      <alignment horizontal="left" vertical="center" wrapText="1"/>
    </xf>
    <xf numFmtId="0" fontId="1" fillId="3" borderId="2" xfId="0" applyFont="1" applyBorder="1" applyAlignment="1">
      <alignment horizontal="left" vertical="center" wrapText="1"/>
    </xf>
    <xf numFmtId="0" fontId="1" fillId="4" borderId="2" xfId="0" applyFont="1" applyBorder="1" applyAlignment="1">
      <alignment horizontal="left" vertical="center" wrapText="1"/>
    </xf>
    <xf numFmtId="0" fontId="1" fillId="4" borderId="6" xfId="0" applyFont="1" applyBorder="1" applyAlignment="1">
      <alignment horizontal="center" vertical="center" wrapText="1"/>
    </xf>
    <xf numFmtId="0" fontId="1" fillId="3" borderId="1" xfId="0" applyFont="1" applyBorder="1" applyAlignment="1">
      <alignment horizontal="center" vertical="center" wrapText="1"/>
    </xf>
    <xf numFmtId="2" fontId="1" fillId="3" borderId="6" xfId="0" applyNumberFormat="1" applyFont="1" applyBorder="1" applyAlignment="1">
      <alignment horizontal="right" vertical="center" wrapText="1"/>
    </xf>
    <xf numFmtId="0" fontId="2" fillId="3" borderId="2" xfId="0" applyFont="1" applyBorder="1" applyAlignment="1">
      <alignment horizontal="center" vertical="center" wrapText="1"/>
    </xf>
    <xf numFmtId="0" fontId="1" fillId="3" borderId="6" xfId="0" applyFont="1" applyBorder="1" applyAlignment="1">
      <alignment horizontal="left" vertical="center" wrapText="1"/>
    </xf>
    <xf numFmtId="2" fontId="2" fillId="3" borderId="6" xfId="0" applyNumberFormat="1" applyFont="1" applyBorder="1" applyAlignment="1">
      <alignment horizontal="right" vertical="center" wrapText="1"/>
    </xf>
    <xf numFmtId="0" fontId="1" fillId="3" borderId="2" xfId="0" applyFont="1" applyBorder="1" applyAlignment="1">
      <alignment horizontal="center" vertical="center" wrapText="1"/>
    </xf>
    <xf numFmtId="0" fontId="1" fillId="4" borderId="2" xfId="0" applyFont="1" applyBorder="1" applyAlignment="1">
      <alignment horizontal="center" vertical="center" wrapText="1"/>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6" Type="http://schemas.openxmlformats.org/officeDocument/2006/relationships/calcChain" Target="calcChain.xml" /><Relationship Id="rId5" Type="http://schemas.openxmlformats.org/officeDocument/2006/relationships/externalLink" Target="externalLinks/externalLink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 Id="rId1" Type="http://schemas.openxmlformats.org/officeDocument/2006/relationships/theme" Target="theme/theme1.xml" /></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Book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WD DR Abstract"/>
      <sheetName val="GWD MR Abstract"/>
      <sheetName val="3 Core Cable PRICE"/>
      <sheetName val="ARS Filter Media"/>
      <sheetName val="BW Casing Pipes"/>
      <sheetName val="Electrical Essentials"/>
      <sheetName val="GI on Wall PRICE"/>
      <sheetName val="GI wo Trench"/>
      <sheetName val="GI With Trench PRICE"/>
      <sheetName val="GI Works"/>
      <sheetName val="Gravel for TWC"/>
      <sheetName val="Gutter&amp;Clamp"/>
      <sheetName val="HP Erection and Pullout"/>
      <sheetName val="HP Repair Labour"/>
      <sheetName val="HP Repair Spares"/>
      <sheetName val="Hydrants"/>
      <sheetName val="Iron Structure"/>
      <sheetName val="Lock"/>
      <sheetName val="Metallic PH"/>
      <sheetName val="Motor Starter GWD"/>
      <sheetName val="Motor Starter Monoblock"/>
      <sheetName val="Motor Starter PRICE"/>
      <sheetName val="Other Fittings PRICE"/>
      <sheetName val="Panel Board"/>
      <sheetName val="Pump Cover"/>
      <sheetName val="Pump Erection "/>
      <sheetName val="Pump Pullout"/>
      <sheetName val="PVC Fittings"/>
      <sheetName val="PVC Fittings PRICE"/>
      <sheetName val="PVC on Wall (Concealed) PRICE"/>
      <sheetName val="PVC on Wall PRICE"/>
      <sheetName val="PVC on Wall"/>
      <sheetName val="PVC wo Trench PRICE"/>
      <sheetName val="PVC wo Trench"/>
      <sheetName val="PVC With Trench PRICE"/>
      <sheetName val="PVC With Trench"/>
      <sheetName val="Scaffolding"/>
      <sheetName val="Services"/>
      <sheetName val="TW Casing Pipes"/>
      <sheetName val="UG Cable PRICE"/>
      <sheetName val="Water Meter"/>
      <sheetName val="Water Tank"/>
      <sheetName val="Well Protection"/>
      <sheetName val="WTP"/>
      <sheetName val="Derived"/>
      <sheetName val="LMR"/>
      <sheetName val="PAMR39"/>
      <sheetName val="ZCost Index"/>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F9014B49-E0C0-42FA-9257-86B7940BBAA6}">
  <dimension ref="A1:G32"/>
  <sheetViews>
    <sheetView tabSelected="1" workbookViewId="0" topLeftCell="A1"/>
  </sheetViews>
  <sheetFormatPr defaultRowHeight="12.75"/>
  <sheetData>
    <row r="1" spans="1:7" ht="12.75">
      <c r="A1" s="1" t="s">
        <v>0</v>
      </c>
      <c r="B1" s="1" t="s">
        <v>1</v>
      </c>
      <c r="C1" s="2" t="s">
        <v>2</v>
      </c>
      <c r="D1" s="3"/>
      <c r="E1" s="4"/>
      <c r="F1" s="5" t="s">
        <v>3</v>
      </c>
      <c r="G1" s="4"/>
    </row>
    <row r="2" spans="1:7" ht="12.75">
      <c r="A2" s="6"/>
      <c r="B2" s="6"/>
      <c r="C2" s="7" t="s">
        <v>4</v>
      </c>
      <c r="D2" s="7" t="s">
        <v>5</v>
      </c>
      <c r="E2" s="7" t="s">
        <v>6</v>
      </c>
      <c r="F2" s="8" t="s">
        <v>7</v>
      </c>
      <c r="G2" s="7" t="s">
        <v>8</v>
      </c>
    </row>
    <row r="3" spans="1:7" ht="12.75">
      <c r="A3" s="9" t="s">
        <v>9</v>
      </c>
      <c r="B3" s="3"/>
      <c r="C3" s="3"/>
      <c r="D3" s="3"/>
      <c r="E3" s="3"/>
      <c r="F3" s="3"/>
      <c r="G3" s="4"/>
    </row>
    <row r="4" spans="1:7" ht="12.75">
      <c r="A4" s="10"/>
      <c r="B4" s="10" t="s">
        <v>10</v>
      </c>
      <c r="C4" s="10" t="s">
        <v>11</v>
      </c>
      <c r="D4" s="10" t="s">
        <v>12</v>
      </c>
      <c r="E4" s="11">
        <v>1</v>
      </c>
      <c r="F4" s="12"/>
      <c r="G4" s="4"/>
    </row>
    <row r="5" spans="1:7" ht="12.75">
      <c r="A5" s="10" t="s">
        <v>13</v>
      </c>
      <c r="B5" s="13" t="s">
        <v>14</v>
      </c>
      <c r="C5" s="3"/>
      <c r="D5" s="3"/>
      <c r="E5" s="3"/>
      <c r="F5" s="3"/>
      <c r="G5" s="4"/>
    </row>
    <row r="6" spans="1:7" ht="12.75">
      <c r="A6" s="14" t="s">
        <v>15</v>
      </c>
      <c r="B6" s="3"/>
      <c r="C6" s="3"/>
      <c r="D6" s="3"/>
      <c r="E6" s="3"/>
      <c r="F6" s="4"/>
      <c r="G6" s="15" t="s">
        <v>16</v>
      </c>
    </row>
    <row r="7" spans="1:7" ht="12.75">
      <c r="A7" s="16"/>
      <c r="B7" s="16" t="s">
        <v>17</v>
      </c>
      <c r="C7" s="13" t="s">
        <v>18</v>
      </c>
      <c r="D7" s="3"/>
      <c r="E7" s="4"/>
      <c r="F7" s="12"/>
      <c r="G7" s="4"/>
    </row>
    <row r="8" spans="1:7" ht="12.75">
      <c r="A8" s="6"/>
      <c r="B8" s="6"/>
      <c r="C8" s="10" t="s">
        <v>11</v>
      </c>
      <c r="D8" s="11">
        <v>1</v>
      </c>
      <c r="E8" s="11">
        <f t="array" ref="E8">IFERROR(INDEX(LMRRates,MATCH(B7,LMRCodes,0),),)</f>
        <v>6553</v>
      </c>
      <c r="F8" s="17">
        <f>D8*E8</f>
        <v>6553</v>
      </c>
      <c r="G8" s="10" t="s">
        <v>19</v>
      </c>
    </row>
    <row r="9" spans="1:7" ht="12.75">
      <c r="A9" s="18" t="s">
        <v>20</v>
      </c>
      <c r="B9" s="3"/>
      <c r="C9" s="4"/>
      <c r="D9" s="11">
        <v>1</v>
      </c>
      <c r="E9" s="19" t="s">
        <v>11</v>
      </c>
      <c r="F9" s="17">
        <f>F8</f>
        <v>6553</v>
      </c>
      <c r="G9" s="19"/>
    </row>
    <row r="10" spans="1:7" ht="12.75">
      <c r="A10" s="18" t="s">
        <v>21</v>
      </c>
      <c r="B10" s="3"/>
      <c r="C10" s="4"/>
      <c r="D10" s="11">
        <v>1</v>
      </c>
      <c r="E10" s="19" t="s">
        <v>11</v>
      </c>
      <c r="F10" s="20">
        <f>F9/D9</f>
        <v>6553</v>
      </c>
      <c r="G10" s="19"/>
    </row>
    <row r="11" spans="1:7" ht="12.75">
      <c r="A11" s="21" t="s">
        <v>22</v>
      </c>
      <c r="B11" s="3"/>
      <c r="C11" s="3"/>
      <c r="D11" s="4"/>
      <c r="E11" s="17">
        <f>F10</f>
        <v>6553</v>
      </c>
      <c r="F11" s="17">
        <f>E11*1%</f>
        <v>65.53</v>
      </c>
      <c r="G11" s="19"/>
    </row>
    <row r="12" spans="1:7" ht="12.75">
      <c r="A12" s="21" t="s">
        <v>20</v>
      </c>
      <c r="B12" s="3"/>
      <c r="C12" s="3"/>
      <c r="D12" s="4"/>
      <c r="E12" s="19"/>
      <c r="F12" s="20">
        <f>F10+F11</f>
        <v>6618.53</v>
      </c>
      <c r="G12" s="19"/>
    </row>
    <row r="13" spans="1:7" ht="12.75">
      <c r="A13" s="21" t="s">
        <v>23</v>
      </c>
      <c r="B13" s="3"/>
      <c r="C13" s="3"/>
      <c r="D13" s="4"/>
      <c r="E13" s="17">
        <f>F12</f>
        <v>6618.53</v>
      </c>
      <c r="F13" s="17">
        <f>E13*15%</f>
        <v>992.77949999999998</v>
      </c>
      <c r="G13" s="19"/>
    </row>
    <row r="14" spans="1:7" ht="12.75">
      <c r="A14" s="21" t="s">
        <v>20</v>
      </c>
      <c r="B14" s="3"/>
      <c r="C14" s="3"/>
      <c r="D14" s="4"/>
      <c r="E14" s="19"/>
      <c r="F14" s="20">
        <f>ROUND(F12+F13,2)</f>
        <v>7611.31</v>
      </c>
      <c r="G14" s="19"/>
    </row>
    <row r="15" spans="1:7" ht="12.75">
      <c r="A15" s="14" t="s">
        <v>24</v>
      </c>
      <c r="B15" s="3"/>
      <c r="C15" s="3"/>
      <c r="D15" s="3"/>
      <c r="E15" s="3"/>
      <c r="F15" s="4"/>
      <c r="G15" s="15" t="s">
        <v>25</v>
      </c>
    </row>
    <row r="16" spans="1:7" ht="12.75">
      <c r="A16" s="16">
        <v>2202</v>
      </c>
      <c r="B16" s="16"/>
      <c r="C16" s="13" t="s">
        <v>26</v>
      </c>
      <c r="D16" s="3"/>
      <c r="E16" s="4"/>
      <c r="F16" s="12"/>
      <c r="G16" s="4"/>
    </row>
    <row r="17" spans="1:7" ht="12.75">
      <c r="A17" s="6"/>
      <c r="B17" s="6"/>
      <c r="C17" s="10" t="s">
        <v>11</v>
      </c>
      <c r="D17" s="11">
        <v>1</v>
      </c>
      <c r="E17" s="11">
        <v>163.93</v>
      </c>
      <c r="F17" s="17">
        <f>D17*E17</f>
        <v>163.93</v>
      </c>
      <c r="G17" s="10" t="s">
        <v>27</v>
      </c>
    </row>
    <row r="18" spans="1:7" ht="12.75">
      <c r="A18" s="14" t="s">
        <v>28</v>
      </c>
      <c r="B18" s="3"/>
      <c r="C18" s="3"/>
      <c r="D18" s="3"/>
      <c r="E18" s="3"/>
      <c r="F18" s="4"/>
      <c r="G18" s="15" t="s">
        <v>29</v>
      </c>
    </row>
    <row r="19" spans="1:7" ht="12.75">
      <c r="A19" s="16">
        <v>115</v>
      </c>
      <c r="B19" s="16"/>
      <c r="C19" s="13" t="s">
        <v>30</v>
      </c>
      <c r="D19" s="3"/>
      <c r="E19" s="4"/>
      <c r="F19" s="12"/>
      <c r="G19" s="4"/>
    </row>
    <row r="20" spans="1:7" ht="12.75">
      <c r="A20" s="6"/>
      <c r="B20" s="6"/>
      <c r="C20" s="10" t="s">
        <v>31</v>
      </c>
      <c r="D20" s="11">
        <v>0.80</v>
      </c>
      <c r="E20" s="11">
        <v>645</v>
      </c>
      <c r="F20" s="17">
        <f>D20*E20</f>
        <v>516</v>
      </c>
      <c r="G20" s="10" t="s">
        <v>32</v>
      </c>
    </row>
    <row r="21" spans="1:7" ht="12.75">
      <c r="A21" s="14" t="s">
        <v>33</v>
      </c>
      <c r="B21" s="3"/>
      <c r="C21" s="3"/>
      <c r="D21" s="3"/>
      <c r="E21" s="3"/>
      <c r="F21" s="4"/>
      <c r="G21" s="15" t="s">
        <v>29</v>
      </c>
    </row>
    <row r="22" spans="1:7" ht="12.75">
      <c r="A22" s="16">
        <v>9999</v>
      </c>
      <c r="B22" s="16"/>
      <c r="C22" s="13" t="s">
        <v>34</v>
      </c>
      <c r="D22" s="3"/>
      <c r="E22" s="4"/>
      <c r="F22" s="12"/>
      <c r="G22" s="4"/>
    </row>
    <row r="23" spans="1:7" ht="12.75">
      <c r="A23" s="6"/>
      <c r="B23" s="6"/>
      <c r="C23" s="10" t="s">
        <v>35</v>
      </c>
      <c r="D23" s="11">
        <v>10</v>
      </c>
      <c r="E23" s="11">
        <v>2.12</v>
      </c>
      <c r="F23" s="17">
        <f>D23*E23</f>
        <v>21.20</v>
      </c>
      <c r="G23" s="10" t="s">
        <v>36</v>
      </c>
    </row>
    <row r="24" spans="1:7" ht="12.75">
      <c r="A24" s="16">
        <v>9999</v>
      </c>
      <c r="B24" s="16"/>
      <c r="C24" s="13" t="s">
        <v>37</v>
      </c>
      <c r="D24" s="3"/>
      <c r="E24" s="4"/>
      <c r="F24" s="12"/>
      <c r="G24" s="4"/>
    </row>
    <row r="25" spans="1:7" ht="12.75">
      <c r="A25" s="6"/>
      <c r="B25" s="6"/>
      <c r="C25" s="10" t="s">
        <v>35</v>
      </c>
      <c r="D25" s="11">
        <v>5</v>
      </c>
      <c r="E25" s="11">
        <v>2.12</v>
      </c>
      <c r="F25" s="17">
        <f>D25*E25</f>
        <v>10.60</v>
      </c>
      <c r="G25" s="10" t="s">
        <v>38</v>
      </c>
    </row>
    <row r="26" spans="1:7" ht="12.75">
      <c r="A26" s="18" t="s">
        <v>20</v>
      </c>
      <c r="B26" s="3"/>
      <c r="C26" s="4"/>
      <c r="D26" s="11">
        <v>1</v>
      </c>
      <c r="E26" s="19" t="s">
        <v>11</v>
      </c>
      <c r="F26" s="17">
        <f>F17+F20+F23+F25</f>
        <v>711.73</v>
      </c>
      <c r="G26" s="19"/>
    </row>
    <row r="27" spans="1:7" ht="12.75">
      <c r="A27" s="18" t="s">
        <v>21</v>
      </c>
      <c r="B27" s="3"/>
      <c r="C27" s="4"/>
      <c r="D27" s="11">
        <v>1</v>
      </c>
      <c r="E27" s="19" t="s">
        <v>11</v>
      </c>
      <c r="F27" s="20">
        <f>F26/D26</f>
        <v>711.73</v>
      </c>
      <c r="G27" s="19"/>
    </row>
    <row r="28" spans="1:7" ht="12.75">
      <c r="A28" s="21" t="s">
        <v>22</v>
      </c>
      <c r="B28" s="3"/>
      <c r="C28" s="3"/>
      <c r="D28" s="4"/>
      <c r="E28" s="17">
        <f>F27</f>
        <v>711.73</v>
      </c>
      <c r="F28" s="17">
        <f>E28*1%</f>
        <v>7.1173000000000002</v>
      </c>
      <c r="G28" s="19"/>
    </row>
    <row r="29" spans="1:7" ht="12.75">
      <c r="A29" s="21" t="s">
        <v>20</v>
      </c>
      <c r="B29" s="3"/>
      <c r="C29" s="3"/>
      <c r="D29" s="4"/>
      <c r="E29" s="19"/>
      <c r="F29" s="20">
        <f>F27+F28</f>
        <v>718.84730000000002</v>
      </c>
      <c r="G29" s="19"/>
    </row>
    <row r="30" spans="1:7" ht="12.75">
      <c r="A30" s="21" t="s">
        <v>23</v>
      </c>
      <c r="B30" s="3"/>
      <c r="C30" s="3"/>
      <c r="D30" s="4"/>
      <c r="E30" s="17">
        <f>F29</f>
        <v>718.84730000000002</v>
      </c>
      <c r="F30" s="17">
        <f>E30*15%</f>
        <v>107.827095</v>
      </c>
      <c r="G30" s="19"/>
    </row>
    <row r="31" spans="1:7" ht="12.75">
      <c r="A31" s="21" t="s">
        <v>20</v>
      </c>
      <c r="B31" s="3"/>
      <c r="C31" s="3"/>
      <c r="D31" s="4"/>
      <c r="E31" s="19"/>
      <c r="F31" s="20">
        <f>ROUND(F29+F30,2)</f>
        <v>826.67</v>
      </c>
      <c r="G31" s="19"/>
    </row>
    <row r="32" spans="1:7" ht="12.75">
      <c r="A32" s="22" t="str">
        <f>CONCATENATE("Say ₹ ",F14," + ",F31," x Cost Index")</f>
        <v>Say ₹ 7611.31 + 826.67 x Cost Index</v>
      </c>
      <c r="B32" s="3"/>
      <c r="C32" s="3"/>
      <c r="D32" s="3"/>
      <c r="E32" s="3"/>
      <c r="F32" s="3"/>
      <c r="G32" s="4"/>
    </row>
  </sheetData>
  <mergeCells count="44">
    <mergeCell ref="C7:E7"/>
    <mergeCell ref="F7:G7"/>
    <mergeCell ref="B1:B2"/>
    <mergeCell ref="C1:E1"/>
    <mergeCell ref="F1:G1"/>
    <mergeCell ref="A3:G3"/>
    <mergeCell ref="F4:G4"/>
    <mergeCell ref="B5:G5"/>
    <mergeCell ref="A6:F6"/>
    <mergeCell ref="A1:A2"/>
    <mergeCell ref="A7:A8"/>
    <mergeCell ref="B7:B8"/>
    <mergeCell ref="A9:C9"/>
    <mergeCell ref="A10:C10"/>
    <mergeCell ref="A11:D11"/>
    <mergeCell ref="A12:D12"/>
    <mergeCell ref="C19:E19"/>
    <mergeCell ref="F19:G19"/>
    <mergeCell ref="A21:F21"/>
    <mergeCell ref="C22:E22"/>
    <mergeCell ref="F22:G22"/>
    <mergeCell ref="C24:E24"/>
    <mergeCell ref="F24:G24"/>
    <mergeCell ref="A13:D13"/>
    <mergeCell ref="A14:D14"/>
    <mergeCell ref="A15:F15"/>
    <mergeCell ref="B16:B17"/>
    <mergeCell ref="C16:E16"/>
    <mergeCell ref="F16:G16"/>
    <mergeCell ref="A18:F18"/>
    <mergeCell ref="A26:C26"/>
    <mergeCell ref="A27:C27"/>
    <mergeCell ref="A28:D28"/>
    <mergeCell ref="A29:D29"/>
    <mergeCell ref="A30:D30"/>
    <mergeCell ref="A31:D31"/>
    <mergeCell ref="A32:G32"/>
    <mergeCell ref="A16:A17"/>
    <mergeCell ref="A19:A20"/>
    <mergeCell ref="B19:B20"/>
    <mergeCell ref="A22:A23"/>
    <mergeCell ref="B22:B23"/>
    <mergeCell ref="A24:A25"/>
    <mergeCell ref="B24:B25"/>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