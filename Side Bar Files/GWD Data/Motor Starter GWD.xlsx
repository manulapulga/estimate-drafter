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<sst xmlns="http://schemas.openxmlformats.org/spreadsheetml/2006/main" count="390" uniqueCount="57">
  <si>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</si>
  <si>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</si>
  <si>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</si>
  <si>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</si>
  <si>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</si>
  <si>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</si>
  <si>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</si>
  <si>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</si>
  <si>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</si>
  <si>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Submersible pump controllers with ammeter,DPMCB for single phase 2.5HP submersible motor pumps (DOL)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</si>
  <si>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</si>
  <si>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</si>
  <si>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</si>
  <si>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</si>
  <si>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</si>
  <si>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</si>
  <si>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D</t>
  </si>
  <si>
    <t>Submersible pump controllers with ammeter,DPMCB for single phase 2.5HP submersible motor pumps (DOL)</t>
  </si>
  <si>
    <t>M1</t>
  </si>
  <si>
    <t>MR704</t>
  </si>
  <si>
    <t>Man Mazdoor</t>
  </si>
  <si>
    <t>Day</t>
  </si>
  <si>
    <t>L2</t>
  </si>
  <si>
    <t>tcode</t>
  </si>
  <si>
    <t>Other Charge @ .5% of :(M1+L2)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</si>
  <si>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</si>
  <si>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</si>
  <si>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</si>
  <si>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</si>
  <si>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</si>
  <si>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</si>
  <si>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Iron screws, 35 mm X 6 mm</t>
  </si>
  <si>
    <t>M2</t>
  </si>
  <si>
    <t>Fitter, Grade 2</t>
  </si>
  <si>
    <t>L1</t>
  </si>
  <si>
    <t>Other Charge @ .5% of :(M2+L1)
 Add Hire charges for T&amp;P @ 0.5%</t>
  </si>
  <si>
    <t>A2</t>
  </si>
  <si>
    <t>Say ₹ 2167.32 + 16.89 x Cost Index</t>
  </si>
  <si>
    <t>/E</t>
  </si>
  <si>
    <t>S &amp; F Motor starters of the following ratings Submersible pump controllers with ammeter,DPMCB for single phase 3HP submersible motor pumps (DOL)</t>
  </si>
  <si>
    <t>Submersible pump controllers with ammeter,DPMCB for single phase 3HP submersible motor pumps (DOL)</t>
  </si>
  <si>
    <t>Say ₹ 2459.15 + 16.89 x Cost Index</t>
  </si>
  <si>
    <t>S &amp; F Motor starters of the following ratings Submersible pump controllers with ammeter,DPMCB for single phase 3.5HP submersible motor pumps (DOL)</t>
  </si>
  <si>
    <t>Submersible pump controllers with ammeter,DPMCB for single phase 3.5 HP submersible motor pumps (DOL)</t>
  </si>
  <si>
    <t>Say ₹ 2809.34 + 16.89 x Cost Index</t>
  </si>
  <si>
    <t>S &amp; F Motor starters of the following ratings Submersible pump controllers with ammeter,TPMCB for three phase 2 to 4.5 HP submersible motor pumps (DOL)</t>
  </si>
  <si>
    <t>Submersible pump controllers with ammeter,TPMCB for three phase 2 to 4.5 HP submersible motor pumps (DOL)</t>
  </si>
  <si>
    <t>Say ₹ 3620.02 + 16.89 x Cost Index</t>
  </si>
  <si>
    <t>S &amp; F Motor starters of the following ratings Submersible pump controllers with ammeter, TPMCB for three phase 8 to 9.5 HP submersible motor pumps (DOL)</t>
  </si>
  <si>
    <t>Submersible pump controllers with ammeter,TPMCB for three phase 8 to 9.5 HP motor pumps (DOL)</t>
  </si>
  <si>
    <t>Say ₹ 4419.84 + 16.89 x Cost Index</t>
  </si>
  <si>
    <t>S &amp; F Single phase starters suitable for Compressor pump upto 2HP</t>
  </si>
  <si>
    <t>Compressor pump controllers with DPMCB for single phase Compressor pumps upto 2 HP</t>
  </si>
  <si>
    <t>Say ₹ 2984.44 + 16.89 x Cost Index</t>
  </si>
  <si>
    <t>S &amp; F Single phase starters suitable for 3HP Compressor pump</t>
  </si>
  <si>
    <t>Compressor pump controllers with DPMCB for single phase 3 HP Compressor pumps</t>
  </si>
  <si>
    <t>Say ₹ 3042.8 + 16.89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</si>
</sst>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sz val="11"/>
      <color theme="1"/>
      <name val="Cambria"/>
      <family val="2"/>
    </font>
    <font>
      <b/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Border="1" applyAlignment="1">
      <alignment vertical="center" wrapText="1"/>
    </xf>
    <xf numFmtId="0" fontId="1" fillId="3" borderId="2" xfId="0" applyFont="1" applyBorder="1" applyAlignment="1">
      <alignment vertical="center" wrapText="1"/>
    </xf>
    <xf numFmtId="0" fontId="1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1" fillId="0" borderId="6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vertical="center" wrapText="1"/>
    </xf>
    <xf numFmtId="0" fontId="1" fillId="3" borderId="1" xfId="0" applyFont="1" applyBorder="1" applyAlignment="1">
      <alignment horizontal="lef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1298AF4-FF5D-4FEE-8F80-26FE3C6BBAA6}">
  <dimension ref="A1:G217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1850</v>
      </c>
      <c r="F8" s="13">
        <f>D8*E8</f>
        <v>1850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>
        <v>0.01</v>
      </c>
      <c r="E10" s="13">
        <v>675</v>
      </c>
      <c r="F10" s="13">
        <f>D10*E10</f>
        <v>6.75</v>
      </c>
      <c r="G10" s="13" t="s">
        <v>22</v>
      </c>
    </row>
    <row r="11" spans="1:7" ht="12.75">
      <c r="A11" s="11" t="s">
        <v>23</v>
      </c>
      <c r="B11" s="10"/>
      <c r="C11" s="14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/>
      <c r="E12" s="13"/>
      <c r="F12" s="13">
        <f>(F8+F10)*0.5%</f>
        <v>9.28375</v>
      </c>
      <c r="G12" s="13" t="s">
        <v>26</v>
      </c>
    </row>
    <row r="13" spans="1:7" ht="12.75">
      <c r="A13" s="9" t="s">
        <v>27</v>
      </c>
      <c r="B13" s="3"/>
      <c r="C13" s="4"/>
      <c r="D13" s="8">
        <v>1</v>
      </c>
      <c r="E13" s="8" t="s">
        <v>11</v>
      </c>
      <c r="F13" s="8">
        <f>F8+F10+F12</f>
        <v>1866.0337500000001</v>
      </c>
      <c r="G13" s="8"/>
    </row>
    <row r="14" spans="1:7" ht="12.75">
      <c r="A14" s="9" t="s">
        <v>28</v>
      </c>
      <c r="B14" s="3"/>
      <c r="C14" s="4"/>
      <c r="D14" s="8">
        <v>1</v>
      </c>
      <c r="E14" s="8" t="s">
        <v>11</v>
      </c>
      <c r="F14" s="8">
        <f>F13/D13</f>
        <v>1866.0337500000001</v>
      </c>
      <c r="G14" s="8"/>
    </row>
    <row r="15" spans="1:7" ht="12.75">
      <c r="A15" s="9" t="s">
        <v>29</v>
      </c>
      <c r="B15" s="3"/>
      <c r="C15" s="3"/>
      <c r="D15" s="4"/>
      <c r="E15" s="15">
        <f>F8*100.5%/D13</f>
        <v>1859.25</v>
      </c>
      <c r="F15" s="8">
        <f>E15*1%</f>
        <v>18.5925</v>
      </c>
      <c r="G15" s="8"/>
    </row>
    <row r="16" spans="1:7" ht="12.75">
      <c r="A16" s="9" t="s">
        <v>27</v>
      </c>
      <c r="B16" s="3"/>
      <c r="C16" s="3"/>
      <c r="D16" s="4"/>
      <c r="E16" s="8"/>
      <c r="F16" s="8">
        <f>F14+F15</f>
        <v>1884.62625</v>
      </c>
      <c r="G16" s="8"/>
    </row>
    <row r="17" spans="1:7" ht="12.75">
      <c r="A17" s="9" t="s">
        <v>30</v>
      </c>
      <c r="B17" s="3"/>
      <c r="C17" s="3"/>
      <c r="D17" s="4"/>
      <c r="E17" s="8">
        <f>F16</f>
        <v>1884.62625</v>
      </c>
      <c r="F17" s="8">
        <f>E17*15%</f>
        <v>282.6939375</v>
      </c>
      <c r="G17" s="8"/>
    </row>
    <row r="18" spans="1:7" ht="12.75">
      <c r="A18" s="16" t="s">
        <v>27</v>
      </c>
      <c r="B18" s="3"/>
      <c r="C18" s="3"/>
      <c r="D18" s="4"/>
      <c r="E18" s="8"/>
      <c r="F18" s="17">
        <f>ROUND(F16+F17,2)</f>
        <v>2167.32</v>
      </c>
      <c r="G18" s="8"/>
    </row>
    <row r="19" spans="1:7" ht="12.75">
      <c r="A19" s="10">
        <v>2852</v>
      </c>
      <c r="B19" s="11"/>
      <c r="C19" s="12" t="s">
        <v>31</v>
      </c>
      <c r="D19" s="3"/>
      <c r="E19" s="4"/>
      <c r="F19" s="12"/>
      <c r="G19" s="4"/>
    </row>
    <row r="20" spans="1:7" ht="12.75">
      <c r="A20" s="5"/>
      <c r="B20" s="5"/>
      <c r="C20" s="13" t="s">
        <v>11</v>
      </c>
      <c r="D20" s="13">
        <v>4</v>
      </c>
      <c r="E20" s="13">
        <v>1.80</v>
      </c>
      <c r="F20" s="13">
        <f>D20*E20</f>
        <v>7.20</v>
      </c>
      <c r="G20" s="13" t="s">
        <v>32</v>
      </c>
    </row>
    <row r="21" spans="1:7" ht="12.75">
      <c r="A21" s="10">
        <v>1005</v>
      </c>
      <c r="B21" s="11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21</v>
      </c>
      <c r="D22" s="13">
        <v>0.01</v>
      </c>
      <c r="E22" s="13">
        <v>734</v>
      </c>
      <c r="F22" s="13">
        <f>D22*E22</f>
        <v>7.34</v>
      </c>
      <c r="G22" s="13" t="s">
        <v>34</v>
      </c>
    </row>
    <row r="23" spans="1:7" ht="12.75">
      <c r="A23" s="11" t="s">
        <v>23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25</v>
      </c>
      <c r="D24" s="13"/>
      <c r="E24" s="13"/>
      <c r="F24" s="13">
        <f>(F20+F22)*0.5%</f>
        <v>0.072700000000000001</v>
      </c>
      <c r="G24" s="13" t="s">
        <v>36</v>
      </c>
    </row>
    <row r="25" spans="1:7" ht="12.75">
      <c r="A25" s="9" t="s">
        <v>27</v>
      </c>
      <c r="B25" s="3"/>
      <c r="C25" s="4"/>
      <c r="D25" s="8">
        <v>1</v>
      </c>
      <c r="E25" s="8" t="s">
        <v>11</v>
      </c>
      <c r="F25" s="8">
        <f>F20+F22+F24</f>
        <v>14.6127</v>
      </c>
      <c r="G25" s="8"/>
    </row>
    <row r="26" spans="1:7" ht="12.75">
      <c r="A26" s="9" t="s">
        <v>28</v>
      </c>
      <c r="B26" s="3"/>
      <c r="C26" s="4"/>
      <c r="D26" s="8">
        <v>1</v>
      </c>
      <c r="E26" s="8" t="s">
        <v>11</v>
      </c>
      <c r="F26" s="8">
        <f>F25/D25</f>
        <v>14.6127</v>
      </c>
      <c r="G26" s="8"/>
    </row>
    <row r="27" spans="1:7" ht="12.75">
      <c r="A27" s="9" t="s">
        <v>29</v>
      </c>
      <c r="B27" s="3"/>
      <c r="C27" s="3"/>
      <c r="D27" s="4"/>
      <c r="E27" s="15">
        <f>F20*100.5%/D25</f>
        <v>7.2359999999999998</v>
      </c>
      <c r="F27" s="8">
        <f>E27*1%</f>
        <v>0.072359999999999994</v>
      </c>
      <c r="G27" s="8"/>
    </row>
    <row r="28" spans="1:7" ht="12.75">
      <c r="A28" s="9" t="s">
        <v>27</v>
      </c>
      <c r="B28" s="3"/>
      <c r="C28" s="3"/>
      <c r="D28" s="4"/>
      <c r="E28" s="8"/>
      <c r="F28" s="8">
        <f>F26+F27</f>
        <v>14.68506</v>
      </c>
      <c r="G28" s="8"/>
    </row>
    <row r="29" spans="1:7" ht="12.75">
      <c r="A29" s="9" t="s">
        <v>30</v>
      </c>
      <c r="B29" s="3"/>
      <c r="C29" s="3"/>
      <c r="D29" s="4"/>
      <c r="E29" s="8">
        <f>F28</f>
        <v>14.68506</v>
      </c>
      <c r="F29" s="8">
        <f>E29*15%</f>
        <v>2.2027589999999999</v>
      </c>
      <c r="G29" s="8"/>
    </row>
    <row r="30" spans="1:7" ht="12.75">
      <c r="A30" s="16" t="s">
        <v>27</v>
      </c>
      <c r="B30" s="3"/>
      <c r="C30" s="3"/>
      <c r="D30" s="4"/>
      <c r="E30" s="8"/>
      <c r="F30" s="17">
        <f>ROUND(F28+F29,2)</f>
        <v>16.89</v>
      </c>
      <c r="G30" s="8"/>
    </row>
    <row r="31" spans="1:7" ht="12.75">
      <c r="A31" s="18" t="s">
        <v>37</v>
      </c>
      <c r="B31" s="3"/>
      <c r="C31" s="3"/>
      <c r="D31" s="3"/>
      <c r="E31" s="3"/>
      <c r="F31" s="4"/>
      <c r="G31" s="19" t="s">
        <v>38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39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1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16</v>
      </c>
      <c r="C38" s="12" t="s">
        <v>40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1</v>
      </c>
      <c r="E39" s="13">
        <v>2100</v>
      </c>
      <c r="F39" s="13">
        <f>D39*E39</f>
        <v>2100</v>
      </c>
      <c r="G39" s="13" t="s">
        <v>18</v>
      </c>
    </row>
    <row r="40" spans="1:7" ht="12.75">
      <c r="A40" s="10"/>
      <c r="B40" s="11" t="s">
        <v>19</v>
      </c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>
        <v>0.01</v>
      </c>
      <c r="E41" s="13">
        <v>675</v>
      </c>
      <c r="F41" s="13">
        <f>D41*E41</f>
        <v>6.75</v>
      </c>
      <c r="G41" s="13" t="s">
        <v>22</v>
      </c>
    </row>
    <row r="42" spans="1:7" ht="12.75">
      <c r="A42" s="11" t="s">
        <v>23</v>
      </c>
      <c r="B42" s="10"/>
      <c r="C42" s="14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/>
      <c r="E43" s="13"/>
      <c r="F43" s="13">
        <f>(F39+F41)*0.5%</f>
        <v>10.53375</v>
      </c>
      <c r="G43" s="13" t="s">
        <v>26</v>
      </c>
    </row>
    <row r="44" spans="1:7" ht="12.75">
      <c r="A44" s="9" t="s">
        <v>27</v>
      </c>
      <c r="B44" s="3"/>
      <c r="C44" s="4"/>
      <c r="D44" s="8">
        <v>1</v>
      </c>
      <c r="E44" s="8" t="s">
        <v>11</v>
      </c>
      <c r="F44" s="8">
        <f>F39+F41+F43</f>
        <v>2117.2837500000001</v>
      </c>
      <c r="G44" s="8"/>
    </row>
    <row r="45" spans="1:7" ht="12.75">
      <c r="A45" s="9" t="s">
        <v>28</v>
      </c>
      <c r="B45" s="3"/>
      <c r="C45" s="4"/>
      <c r="D45" s="8">
        <v>1</v>
      </c>
      <c r="E45" s="8" t="s">
        <v>11</v>
      </c>
      <c r="F45" s="8">
        <f>F44/D44</f>
        <v>2117.2837500000001</v>
      </c>
      <c r="G45" s="8"/>
    </row>
    <row r="46" spans="1:7" ht="12.75">
      <c r="A46" s="9" t="s">
        <v>29</v>
      </c>
      <c r="B46" s="3"/>
      <c r="C46" s="3"/>
      <c r="D46" s="4"/>
      <c r="E46" s="15">
        <f>F39*100.5%/D44</f>
        <v>2110.50</v>
      </c>
      <c r="F46" s="8">
        <f>E46*1%</f>
        <v>21.105</v>
      </c>
      <c r="G46" s="8"/>
    </row>
    <row r="47" spans="1:7" ht="12.75">
      <c r="A47" s="9" t="s">
        <v>27</v>
      </c>
      <c r="B47" s="3"/>
      <c r="C47" s="3"/>
      <c r="D47" s="4"/>
      <c r="E47" s="8"/>
      <c r="F47" s="8">
        <f>F45+F46</f>
        <v>2138.3887500000001</v>
      </c>
      <c r="G47" s="8"/>
    </row>
    <row r="48" spans="1:7" ht="12.75">
      <c r="A48" s="9" t="s">
        <v>30</v>
      </c>
      <c r="B48" s="3"/>
      <c r="C48" s="3"/>
      <c r="D48" s="4"/>
      <c r="E48" s="8">
        <f>F47</f>
        <v>2138.3887500000001</v>
      </c>
      <c r="F48" s="8">
        <f>E48*15%</f>
        <v>320.75831249999999</v>
      </c>
      <c r="G48" s="8"/>
    </row>
    <row r="49" spans="1:7" ht="12.75">
      <c r="A49" s="16" t="s">
        <v>27</v>
      </c>
      <c r="B49" s="3"/>
      <c r="C49" s="3"/>
      <c r="D49" s="4"/>
      <c r="E49" s="8"/>
      <c r="F49" s="17">
        <f>ROUND(F47+F48,2)</f>
        <v>2459.15</v>
      </c>
      <c r="G49" s="8"/>
    </row>
    <row r="50" spans="1:7" ht="12.75">
      <c r="A50" s="10">
        <v>2852</v>
      </c>
      <c r="B50" s="11"/>
      <c r="C50" s="12" t="s">
        <v>31</v>
      </c>
      <c r="D50" s="3"/>
      <c r="E50" s="4"/>
      <c r="F50" s="12"/>
      <c r="G50" s="4"/>
    </row>
    <row r="51" spans="1:7" ht="12.75">
      <c r="A51" s="5"/>
      <c r="B51" s="5"/>
      <c r="C51" s="13" t="s">
        <v>11</v>
      </c>
      <c r="D51" s="13">
        <v>4</v>
      </c>
      <c r="E51" s="13">
        <v>1.80</v>
      </c>
      <c r="F51" s="13">
        <f>D51*E51</f>
        <v>7.20</v>
      </c>
      <c r="G51" s="13" t="s">
        <v>32</v>
      </c>
    </row>
    <row r="52" spans="1:7" ht="12.75">
      <c r="A52" s="10">
        <v>1005</v>
      </c>
      <c r="B52" s="11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>
        <v>0.01</v>
      </c>
      <c r="E53" s="13">
        <v>734</v>
      </c>
      <c r="F53" s="13">
        <f>D53*E53</f>
        <v>7.34</v>
      </c>
      <c r="G53" s="13" t="s">
        <v>34</v>
      </c>
    </row>
    <row r="54" spans="1:7" ht="12.75">
      <c r="A54" s="11" t="s">
        <v>23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25</v>
      </c>
      <c r="D55" s="13"/>
      <c r="E55" s="13"/>
      <c r="F55" s="13">
        <f>(F51+F53)*0.5%</f>
        <v>0.072700000000000001</v>
      </c>
      <c r="G55" s="13" t="s">
        <v>36</v>
      </c>
    </row>
    <row r="56" spans="1:7" ht="12.75">
      <c r="A56" s="9" t="s">
        <v>27</v>
      </c>
      <c r="B56" s="3"/>
      <c r="C56" s="4"/>
      <c r="D56" s="8">
        <v>1</v>
      </c>
      <c r="E56" s="8" t="s">
        <v>11</v>
      </c>
      <c r="F56" s="8">
        <f>F51+F53+F55</f>
        <v>14.6127</v>
      </c>
      <c r="G56" s="8"/>
    </row>
    <row r="57" spans="1:7" ht="12.75">
      <c r="A57" s="9" t="s">
        <v>28</v>
      </c>
      <c r="B57" s="3"/>
      <c r="C57" s="4"/>
      <c r="D57" s="8">
        <v>1</v>
      </c>
      <c r="E57" s="8" t="s">
        <v>11</v>
      </c>
      <c r="F57" s="8">
        <f>F56/D56</f>
        <v>14.6127</v>
      </c>
      <c r="G57" s="8"/>
    </row>
    <row r="58" spans="1:7" ht="12.75">
      <c r="A58" s="9" t="s">
        <v>29</v>
      </c>
      <c r="B58" s="3"/>
      <c r="C58" s="3"/>
      <c r="D58" s="4"/>
      <c r="E58" s="15">
        <f>F51*100.5%/D56</f>
        <v>7.2359999999999998</v>
      </c>
      <c r="F58" s="8">
        <f>E58*1%</f>
        <v>0.072359999999999994</v>
      </c>
      <c r="G58" s="8"/>
    </row>
    <row r="59" spans="1:7" ht="12.75">
      <c r="A59" s="9" t="s">
        <v>27</v>
      </c>
      <c r="B59" s="3"/>
      <c r="C59" s="3"/>
      <c r="D59" s="4"/>
      <c r="E59" s="8"/>
      <c r="F59" s="8">
        <f>F57+F58</f>
        <v>14.68506</v>
      </c>
      <c r="G59" s="8"/>
    </row>
    <row r="60" spans="1:7" ht="12.75">
      <c r="A60" s="9" t="s">
        <v>30</v>
      </c>
      <c r="B60" s="3"/>
      <c r="C60" s="3"/>
      <c r="D60" s="4"/>
      <c r="E60" s="8">
        <f>F59</f>
        <v>14.68506</v>
      </c>
      <c r="F60" s="8">
        <f>E60*15%</f>
        <v>2.2027589999999999</v>
      </c>
      <c r="G60" s="8"/>
    </row>
    <row r="61" spans="1:7" ht="12.75">
      <c r="A61" s="16" t="s">
        <v>27</v>
      </c>
      <c r="B61" s="3"/>
      <c r="C61" s="3"/>
      <c r="D61" s="4"/>
      <c r="E61" s="8"/>
      <c r="F61" s="17">
        <f>ROUND(F59+F60,2)</f>
        <v>16.89</v>
      </c>
      <c r="G61" s="8"/>
    </row>
    <row r="62" spans="1:7" ht="12.75">
      <c r="A62" s="18" t="s">
        <v>41</v>
      </c>
      <c r="B62" s="3"/>
      <c r="C62" s="3"/>
      <c r="D62" s="3"/>
      <c r="E62" s="3"/>
      <c r="F62" s="4"/>
      <c r="G62" s="19" t="s">
        <v>38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42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1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16</v>
      </c>
      <c r="C69" s="12" t="s">
        <v>43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1</v>
      </c>
      <c r="E70" s="13">
        <v>2400</v>
      </c>
      <c r="F70" s="13">
        <f>D70*E70</f>
        <v>2400</v>
      </c>
      <c r="G70" s="13" t="s">
        <v>18</v>
      </c>
    </row>
    <row r="71" spans="1:7" ht="12.75">
      <c r="A71" s="10"/>
      <c r="B71" s="11" t="s">
        <v>19</v>
      </c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>
        <v>0.01</v>
      </c>
      <c r="E72" s="13">
        <v>675</v>
      </c>
      <c r="F72" s="13">
        <f>D72*E72</f>
        <v>6.75</v>
      </c>
      <c r="G72" s="13" t="s">
        <v>22</v>
      </c>
    </row>
    <row r="73" spans="1:7" ht="12.75">
      <c r="A73" s="11" t="s">
        <v>23</v>
      </c>
      <c r="B73" s="10"/>
      <c r="C73" s="14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/>
      <c r="E74" s="13"/>
      <c r="F74" s="13">
        <f>(F70+F72)*0.5%</f>
        <v>12.03375</v>
      </c>
      <c r="G74" s="13" t="s">
        <v>26</v>
      </c>
    </row>
    <row r="75" spans="1:7" ht="12.75">
      <c r="A75" s="9" t="s">
        <v>27</v>
      </c>
      <c r="B75" s="3"/>
      <c r="C75" s="4"/>
      <c r="D75" s="8">
        <v>1</v>
      </c>
      <c r="E75" s="8" t="s">
        <v>11</v>
      </c>
      <c r="F75" s="8">
        <f>F70+F72+F74</f>
        <v>2418.7837500000001</v>
      </c>
      <c r="G75" s="8"/>
    </row>
    <row r="76" spans="1:7" ht="12.75">
      <c r="A76" s="9" t="s">
        <v>28</v>
      </c>
      <c r="B76" s="3"/>
      <c r="C76" s="4"/>
      <c r="D76" s="8">
        <v>1</v>
      </c>
      <c r="E76" s="8" t="s">
        <v>11</v>
      </c>
      <c r="F76" s="8">
        <f>F75/D75</f>
        <v>2418.7837500000001</v>
      </c>
      <c r="G76" s="8"/>
    </row>
    <row r="77" spans="1:7" ht="12.75">
      <c r="A77" s="9" t="s">
        <v>29</v>
      </c>
      <c r="B77" s="3"/>
      <c r="C77" s="3"/>
      <c r="D77" s="4"/>
      <c r="E77" s="15">
        <f>F70*100.5%/D75</f>
        <v>2412</v>
      </c>
      <c r="F77" s="8">
        <f>E77*1%</f>
        <v>24.12</v>
      </c>
      <c r="G77" s="8"/>
    </row>
    <row r="78" spans="1:7" ht="12.75">
      <c r="A78" s="9" t="s">
        <v>27</v>
      </c>
      <c r="B78" s="3"/>
      <c r="C78" s="3"/>
      <c r="D78" s="4"/>
      <c r="E78" s="8"/>
      <c r="F78" s="8">
        <f>F76+F77</f>
        <v>2442.9037499999999</v>
      </c>
      <c r="G78" s="8"/>
    </row>
    <row r="79" spans="1:7" ht="12.75">
      <c r="A79" s="9" t="s">
        <v>30</v>
      </c>
      <c r="B79" s="3"/>
      <c r="C79" s="3"/>
      <c r="D79" s="4"/>
      <c r="E79" s="8">
        <f>F78</f>
        <v>2442.9037499999999</v>
      </c>
      <c r="F79" s="8">
        <f>E79*15%</f>
        <v>366.4355625</v>
      </c>
      <c r="G79" s="8"/>
    </row>
    <row r="80" spans="1:7" ht="12.75">
      <c r="A80" s="16" t="s">
        <v>27</v>
      </c>
      <c r="B80" s="3"/>
      <c r="C80" s="3"/>
      <c r="D80" s="4"/>
      <c r="E80" s="8"/>
      <c r="F80" s="17">
        <f>ROUND(F78+F79,2)</f>
        <v>2809.34</v>
      </c>
      <c r="G80" s="8"/>
    </row>
    <row r="81" spans="1:7" ht="12.75">
      <c r="A81" s="10">
        <v>2852</v>
      </c>
      <c r="B81" s="11"/>
      <c r="C81" s="12" t="s">
        <v>31</v>
      </c>
      <c r="D81" s="3"/>
      <c r="E81" s="4"/>
      <c r="F81" s="12"/>
      <c r="G81" s="4"/>
    </row>
    <row r="82" spans="1:7" ht="12.75">
      <c r="A82" s="5"/>
      <c r="B82" s="5"/>
      <c r="C82" s="13" t="s">
        <v>11</v>
      </c>
      <c r="D82" s="13">
        <v>4</v>
      </c>
      <c r="E82" s="13">
        <v>1.80</v>
      </c>
      <c r="F82" s="13">
        <f>D82*E82</f>
        <v>7.20</v>
      </c>
      <c r="G82" s="13" t="s">
        <v>32</v>
      </c>
    </row>
    <row r="83" spans="1:7" ht="12.75">
      <c r="A83" s="10">
        <v>1005</v>
      </c>
      <c r="B83" s="11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21</v>
      </c>
      <c r="D84" s="13">
        <v>0.01</v>
      </c>
      <c r="E84" s="13">
        <v>734</v>
      </c>
      <c r="F84" s="13">
        <f>D84*E84</f>
        <v>7.34</v>
      </c>
      <c r="G84" s="13" t="s">
        <v>34</v>
      </c>
    </row>
    <row r="85" spans="1:7" ht="12.75">
      <c r="A85" s="11" t="s">
        <v>23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25</v>
      </c>
      <c r="D86" s="13"/>
      <c r="E86" s="13"/>
      <c r="F86" s="13">
        <f>(F82+F84)*0.5%</f>
        <v>0.072700000000000001</v>
      </c>
      <c r="G86" s="13" t="s">
        <v>36</v>
      </c>
    </row>
    <row r="87" spans="1:7" ht="12.75">
      <c r="A87" s="9" t="s">
        <v>27</v>
      </c>
      <c r="B87" s="3"/>
      <c r="C87" s="4"/>
      <c r="D87" s="8">
        <v>1</v>
      </c>
      <c r="E87" s="8" t="s">
        <v>11</v>
      </c>
      <c r="F87" s="8">
        <f>F82+F84+F86</f>
        <v>14.6127</v>
      </c>
      <c r="G87" s="8"/>
    </row>
    <row r="88" spans="1:7" ht="12.75">
      <c r="A88" s="9" t="s">
        <v>28</v>
      </c>
      <c r="B88" s="3"/>
      <c r="C88" s="4"/>
      <c r="D88" s="8">
        <v>1</v>
      </c>
      <c r="E88" s="8" t="s">
        <v>11</v>
      </c>
      <c r="F88" s="8">
        <f>F87/D87</f>
        <v>14.6127</v>
      </c>
      <c r="G88" s="8"/>
    </row>
    <row r="89" spans="1:7" ht="12.75">
      <c r="A89" s="9" t="s">
        <v>29</v>
      </c>
      <c r="B89" s="3"/>
      <c r="C89" s="3"/>
      <c r="D89" s="4"/>
      <c r="E89" s="15">
        <f>F82*100.5%/D87</f>
        <v>7.2359999999999998</v>
      </c>
      <c r="F89" s="8">
        <f>E89*1%</f>
        <v>0.072359999999999994</v>
      </c>
      <c r="G89" s="8"/>
    </row>
    <row r="90" spans="1:7" ht="12.75">
      <c r="A90" s="9" t="s">
        <v>27</v>
      </c>
      <c r="B90" s="3"/>
      <c r="C90" s="3"/>
      <c r="D90" s="4"/>
      <c r="E90" s="8"/>
      <c r="F90" s="8">
        <f>F88+F89</f>
        <v>14.68506</v>
      </c>
      <c r="G90" s="8"/>
    </row>
    <row r="91" spans="1:7" ht="12.75">
      <c r="A91" s="9" t="s">
        <v>30</v>
      </c>
      <c r="B91" s="3"/>
      <c r="C91" s="3"/>
      <c r="D91" s="4"/>
      <c r="E91" s="8">
        <f>F90</f>
        <v>14.68506</v>
      </c>
      <c r="F91" s="8">
        <f>E91*15%</f>
        <v>2.2027589999999999</v>
      </c>
      <c r="G91" s="8"/>
    </row>
    <row r="92" spans="1:7" ht="12.75">
      <c r="A92" s="16" t="s">
        <v>27</v>
      </c>
      <c r="B92" s="3"/>
      <c r="C92" s="3"/>
      <c r="D92" s="4"/>
      <c r="E92" s="8"/>
      <c r="F92" s="17">
        <f>ROUND(F90+F91,2)</f>
        <v>16.89</v>
      </c>
      <c r="G92" s="8"/>
    </row>
    <row r="93" spans="1:7" ht="12.75">
      <c r="A93" s="18" t="s">
        <v>44</v>
      </c>
      <c r="B93" s="3"/>
      <c r="C93" s="3"/>
      <c r="D93" s="3"/>
      <c r="E93" s="3"/>
      <c r="F93" s="4"/>
      <c r="G93" s="19" t="s">
        <v>38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45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1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16</v>
      </c>
      <c r="C100" s="12" t="s">
        <v>46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1</v>
      </c>
      <c r="E101" s="13">
        <v>3094.49</v>
      </c>
      <c r="F101" s="13">
        <f>D101*E101</f>
        <v>3094.49</v>
      </c>
      <c r="G101" s="13" t="s">
        <v>18</v>
      </c>
    </row>
    <row r="102" spans="1:7" ht="12.75">
      <c r="A102" s="10"/>
      <c r="B102" s="11" t="s">
        <v>19</v>
      </c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>
        <v>0.01</v>
      </c>
      <c r="E103" s="13">
        <v>675</v>
      </c>
      <c r="F103" s="13">
        <f>D103*E103</f>
        <v>6.75</v>
      </c>
      <c r="G103" s="13" t="s">
        <v>22</v>
      </c>
    </row>
    <row r="104" spans="1:7" ht="12.75">
      <c r="A104" s="11" t="s">
        <v>23</v>
      </c>
      <c r="B104" s="10"/>
      <c r="C104" s="14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/>
      <c r="E105" s="13"/>
      <c r="F105" s="13">
        <f>(F101+F103)*0.5%</f>
        <v>15.5062</v>
      </c>
      <c r="G105" s="13" t="s">
        <v>26</v>
      </c>
    </row>
    <row r="106" spans="1:7" ht="12.75">
      <c r="A106" s="9" t="s">
        <v>27</v>
      </c>
      <c r="B106" s="3"/>
      <c r="C106" s="4"/>
      <c r="D106" s="8">
        <v>1</v>
      </c>
      <c r="E106" s="8" t="s">
        <v>11</v>
      </c>
      <c r="F106" s="8">
        <f>F101+F103+F105</f>
        <v>3116.7462</v>
      </c>
      <c r="G106" s="8"/>
    </row>
    <row r="107" spans="1:7" ht="12.75">
      <c r="A107" s="9" t="s">
        <v>28</v>
      </c>
      <c r="B107" s="3"/>
      <c r="C107" s="4"/>
      <c r="D107" s="8">
        <v>1</v>
      </c>
      <c r="E107" s="8" t="s">
        <v>11</v>
      </c>
      <c r="F107" s="8">
        <f>F106/D106</f>
        <v>3116.7462</v>
      </c>
      <c r="G107" s="8"/>
    </row>
    <row r="108" spans="1:7" ht="12.75">
      <c r="A108" s="9" t="s">
        <v>29</v>
      </c>
      <c r="B108" s="3"/>
      <c r="C108" s="3"/>
      <c r="D108" s="4"/>
      <c r="E108" s="15">
        <f>F101*100.5%/D106</f>
        <v>3109.96245</v>
      </c>
      <c r="F108" s="8">
        <f>E108*1%</f>
        <v>31.099624500000001</v>
      </c>
      <c r="G108" s="8"/>
    </row>
    <row r="109" spans="1:7" ht="12.75">
      <c r="A109" s="9" t="s">
        <v>27</v>
      </c>
      <c r="B109" s="3"/>
      <c r="C109" s="3"/>
      <c r="D109" s="4"/>
      <c r="E109" s="8"/>
      <c r="F109" s="8">
        <f>F107+F108</f>
        <v>3147.8458249999999</v>
      </c>
      <c r="G109" s="8"/>
    </row>
    <row r="110" spans="1:7" ht="12.75">
      <c r="A110" s="9" t="s">
        <v>30</v>
      </c>
      <c r="B110" s="3"/>
      <c r="C110" s="3"/>
      <c r="D110" s="4"/>
      <c r="E110" s="8">
        <f>F109</f>
        <v>3147.8458249999999</v>
      </c>
      <c r="F110" s="8">
        <f>E110*15%</f>
        <v>472.17687369999999</v>
      </c>
      <c r="G110" s="8"/>
    </row>
    <row r="111" spans="1:7" ht="12.75">
      <c r="A111" s="16" t="s">
        <v>27</v>
      </c>
      <c r="B111" s="3"/>
      <c r="C111" s="3"/>
      <c r="D111" s="4"/>
      <c r="E111" s="8"/>
      <c r="F111" s="17">
        <f>ROUND(F109+F110,2)</f>
        <v>3620.02</v>
      </c>
      <c r="G111" s="8"/>
    </row>
    <row r="112" spans="1:7" ht="12.75">
      <c r="A112" s="10">
        <v>2852</v>
      </c>
      <c r="B112" s="11"/>
      <c r="C112" s="12" t="s">
        <v>31</v>
      </c>
      <c r="D112" s="3"/>
      <c r="E112" s="4"/>
      <c r="F112" s="12"/>
      <c r="G112" s="4"/>
    </row>
    <row r="113" spans="1:7" ht="12.75">
      <c r="A113" s="5"/>
      <c r="B113" s="5"/>
      <c r="C113" s="13" t="s">
        <v>11</v>
      </c>
      <c r="D113" s="13">
        <v>4</v>
      </c>
      <c r="E113" s="13">
        <v>1.80</v>
      </c>
      <c r="F113" s="13">
        <f>D113*E113</f>
        <v>7.20</v>
      </c>
      <c r="G113" s="13" t="s">
        <v>32</v>
      </c>
    </row>
    <row r="114" spans="1:7" ht="12.75">
      <c r="A114" s="10">
        <v>1005</v>
      </c>
      <c r="B114" s="11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21</v>
      </c>
      <c r="D115" s="13">
        <v>0.01</v>
      </c>
      <c r="E115" s="13">
        <v>734</v>
      </c>
      <c r="F115" s="13">
        <f>D115*E115</f>
        <v>7.34</v>
      </c>
      <c r="G115" s="13" t="s">
        <v>34</v>
      </c>
    </row>
    <row r="116" spans="1:7" ht="12.75">
      <c r="A116" s="11" t="s">
        <v>23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25</v>
      </c>
      <c r="D117" s="13"/>
      <c r="E117" s="13"/>
      <c r="F117" s="13">
        <f>(F113+F115)*0.5%</f>
        <v>0.072700000000000001</v>
      </c>
      <c r="G117" s="13" t="s">
        <v>36</v>
      </c>
    </row>
    <row r="118" spans="1:7" ht="12.75">
      <c r="A118" s="9" t="s">
        <v>27</v>
      </c>
      <c r="B118" s="3"/>
      <c r="C118" s="4"/>
      <c r="D118" s="8">
        <v>1</v>
      </c>
      <c r="E118" s="8" t="s">
        <v>11</v>
      </c>
      <c r="F118" s="8">
        <f>F113+F115+F117</f>
        <v>14.6127</v>
      </c>
      <c r="G118" s="8"/>
    </row>
    <row r="119" spans="1:7" ht="12.75">
      <c r="A119" s="9" t="s">
        <v>28</v>
      </c>
      <c r="B119" s="3"/>
      <c r="C119" s="4"/>
      <c r="D119" s="8">
        <v>1</v>
      </c>
      <c r="E119" s="8" t="s">
        <v>11</v>
      </c>
      <c r="F119" s="8">
        <f>F118/D118</f>
        <v>14.6127</v>
      </c>
      <c r="G119" s="8"/>
    </row>
    <row r="120" spans="1:7" ht="12.75">
      <c r="A120" s="9" t="s">
        <v>29</v>
      </c>
      <c r="B120" s="3"/>
      <c r="C120" s="3"/>
      <c r="D120" s="4"/>
      <c r="E120" s="15">
        <f>F113*100.5%/D118</f>
        <v>7.2359999999999998</v>
      </c>
      <c r="F120" s="8">
        <f>E120*1%</f>
        <v>0.072359999999999994</v>
      </c>
      <c r="G120" s="8"/>
    </row>
    <row r="121" spans="1:7" ht="12.75">
      <c r="A121" s="9" t="s">
        <v>27</v>
      </c>
      <c r="B121" s="3"/>
      <c r="C121" s="3"/>
      <c r="D121" s="4"/>
      <c r="E121" s="8"/>
      <c r="F121" s="8">
        <f>F119+F120</f>
        <v>14.68506</v>
      </c>
      <c r="G121" s="8"/>
    </row>
    <row r="122" spans="1:7" ht="12.75">
      <c r="A122" s="9" t="s">
        <v>30</v>
      </c>
      <c r="B122" s="3"/>
      <c r="C122" s="3"/>
      <c r="D122" s="4"/>
      <c r="E122" s="8">
        <f>F121</f>
        <v>14.68506</v>
      </c>
      <c r="F122" s="8">
        <f>E122*15%</f>
        <v>2.2027589999999999</v>
      </c>
      <c r="G122" s="8"/>
    </row>
    <row r="123" spans="1:7" ht="12.75">
      <c r="A123" s="16" t="s">
        <v>27</v>
      </c>
      <c r="B123" s="3"/>
      <c r="C123" s="3"/>
      <c r="D123" s="4"/>
      <c r="E123" s="8"/>
      <c r="F123" s="17">
        <f>ROUND(F121+F122,2)</f>
        <v>16.89</v>
      </c>
      <c r="G123" s="8"/>
    </row>
    <row r="124" spans="1:7" ht="12.75">
      <c r="A124" s="18" t="s">
        <v>47</v>
      </c>
      <c r="B124" s="3"/>
      <c r="C124" s="3"/>
      <c r="D124" s="3"/>
      <c r="E124" s="3"/>
      <c r="F124" s="4"/>
      <c r="G124" s="19" t="s">
        <v>38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48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1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16</v>
      </c>
      <c r="C131" s="12" t="s">
        <v>49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1</v>
      </c>
      <c r="E132" s="13">
        <v>3779.67</v>
      </c>
      <c r="F132" s="13">
        <f>D132*E132</f>
        <v>3779.67</v>
      </c>
      <c r="G132" s="13" t="s">
        <v>18</v>
      </c>
    </row>
    <row r="133" spans="1:7" ht="12.75">
      <c r="A133" s="10"/>
      <c r="B133" s="11" t="s">
        <v>19</v>
      </c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>
        <v>0.01</v>
      </c>
      <c r="E134" s="13">
        <v>675</v>
      </c>
      <c r="F134" s="13">
        <f>D134*E134</f>
        <v>6.75</v>
      </c>
      <c r="G134" s="13" t="s">
        <v>22</v>
      </c>
    </row>
    <row r="135" spans="1:7" ht="12.75">
      <c r="A135" s="11" t="s">
        <v>23</v>
      </c>
      <c r="B135" s="10"/>
      <c r="C135" s="14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/>
      <c r="E136" s="13"/>
      <c r="F136" s="13">
        <f>(F132+F134)*0.5%</f>
        <v>18.932099999999998</v>
      </c>
      <c r="G136" s="13" t="s">
        <v>26</v>
      </c>
    </row>
    <row r="137" spans="1:7" ht="12.75">
      <c r="A137" s="9" t="s">
        <v>27</v>
      </c>
      <c r="B137" s="3"/>
      <c r="C137" s="4"/>
      <c r="D137" s="8">
        <v>1</v>
      </c>
      <c r="E137" s="8" t="s">
        <v>11</v>
      </c>
      <c r="F137" s="8">
        <f>F132+F134+F136</f>
        <v>3805.3521000000001</v>
      </c>
      <c r="G137" s="8"/>
    </row>
    <row r="138" spans="1:7" ht="12.75">
      <c r="A138" s="9" t="s">
        <v>28</v>
      </c>
      <c r="B138" s="3"/>
      <c r="C138" s="4"/>
      <c r="D138" s="8">
        <v>1</v>
      </c>
      <c r="E138" s="8" t="s">
        <v>11</v>
      </c>
      <c r="F138" s="8">
        <f>F137/D137</f>
        <v>3805.3521000000001</v>
      </c>
      <c r="G138" s="8"/>
    </row>
    <row r="139" spans="1:7" ht="12.75">
      <c r="A139" s="9" t="s">
        <v>29</v>
      </c>
      <c r="B139" s="3"/>
      <c r="C139" s="3"/>
      <c r="D139" s="4"/>
      <c r="E139" s="15">
        <f>F132*100.5%/D137</f>
        <v>3798.56835</v>
      </c>
      <c r="F139" s="8">
        <f>E139*1%</f>
        <v>37.9856835</v>
      </c>
      <c r="G139" s="8"/>
    </row>
    <row r="140" spans="1:7" ht="12.75">
      <c r="A140" s="9" t="s">
        <v>27</v>
      </c>
      <c r="B140" s="3"/>
      <c r="C140" s="3"/>
      <c r="D140" s="4"/>
      <c r="E140" s="8"/>
      <c r="F140" s="8">
        <f>F138+F139</f>
        <v>3843.3377839999998</v>
      </c>
      <c r="G140" s="8"/>
    </row>
    <row r="141" spans="1:7" ht="12.75">
      <c r="A141" s="9" t="s">
        <v>30</v>
      </c>
      <c r="B141" s="3"/>
      <c r="C141" s="3"/>
      <c r="D141" s="4"/>
      <c r="E141" s="8">
        <f>F140</f>
        <v>3843.3377839999998</v>
      </c>
      <c r="F141" s="8">
        <f>E141*15%</f>
        <v>576.50066749999996</v>
      </c>
      <c r="G141" s="8"/>
    </row>
    <row r="142" spans="1:7" ht="12.75">
      <c r="A142" s="16" t="s">
        <v>27</v>
      </c>
      <c r="B142" s="3"/>
      <c r="C142" s="3"/>
      <c r="D142" s="4"/>
      <c r="E142" s="8"/>
      <c r="F142" s="17">
        <f>ROUND(F140+F141,2)</f>
        <v>4419.84</v>
      </c>
      <c r="G142" s="8"/>
    </row>
    <row r="143" spans="1:7" ht="12.75">
      <c r="A143" s="10">
        <v>2852</v>
      </c>
      <c r="B143" s="11"/>
      <c r="C143" s="12" t="s">
        <v>31</v>
      </c>
      <c r="D143" s="3"/>
      <c r="E143" s="4"/>
      <c r="F143" s="12"/>
      <c r="G143" s="4"/>
    </row>
    <row r="144" spans="1:7" ht="12.75">
      <c r="A144" s="5"/>
      <c r="B144" s="5"/>
      <c r="C144" s="13" t="s">
        <v>11</v>
      </c>
      <c r="D144" s="13">
        <v>4</v>
      </c>
      <c r="E144" s="13">
        <v>1.80</v>
      </c>
      <c r="F144" s="13">
        <f>D144*E144</f>
        <v>7.20</v>
      </c>
      <c r="G144" s="13" t="s">
        <v>32</v>
      </c>
    </row>
    <row r="145" spans="1:7" ht="12.75">
      <c r="A145" s="10">
        <v>1005</v>
      </c>
      <c r="B145" s="11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21</v>
      </c>
      <c r="D146" s="13">
        <v>0.01</v>
      </c>
      <c r="E146" s="13">
        <v>734</v>
      </c>
      <c r="F146" s="13">
        <f>D146*E146</f>
        <v>7.34</v>
      </c>
      <c r="G146" s="13" t="s">
        <v>34</v>
      </c>
    </row>
    <row r="147" spans="1:7" ht="12.75">
      <c r="A147" s="11" t="s">
        <v>23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25</v>
      </c>
      <c r="D148" s="13"/>
      <c r="E148" s="13"/>
      <c r="F148" s="13">
        <f>(F144+F146)*0.5%</f>
        <v>0.072700000000000001</v>
      </c>
      <c r="G148" s="13" t="s">
        <v>36</v>
      </c>
    </row>
    <row r="149" spans="1:7" ht="12.75">
      <c r="A149" s="9" t="s">
        <v>27</v>
      </c>
      <c r="B149" s="3"/>
      <c r="C149" s="4"/>
      <c r="D149" s="8">
        <v>1</v>
      </c>
      <c r="E149" s="8" t="s">
        <v>11</v>
      </c>
      <c r="F149" s="8">
        <f>F144+F146+F148</f>
        <v>14.6127</v>
      </c>
      <c r="G149" s="8"/>
    </row>
    <row r="150" spans="1:7" ht="12.75">
      <c r="A150" s="9" t="s">
        <v>28</v>
      </c>
      <c r="B150" s="3"/>
      <c r="C150" s="4"/>
      <c r="D150" s="8">
        <v>1</v>
      </c>
      <c r="E150" s="8" t="s">
        <v>11</v>
      </c>
      <c r="F150" s="8">
        <f>F149/D149</f>
        <v>14.6127</v>
      </c>
      <c r="G150" s="8"/>
    </row>
    <row r="151" spans="1:7" ht="12.75">
      <c r="A151" s="9" t="s">
        <v>29</v>
      </c>
      <c r="B151" s="3"/>
      <c r="C151" s="3"/>
      <c r="D151" s="4"/>
      <c r="E151" s="15">
        <f>F144*100.5%/D149</f>
        <v>7.2359999999999998</v>
      </c>
      <c r="F151" s="8">
        <f>E151*1%</f>
        <v>0.072359999999999994</v>
      </c>
      <c r="G151" s="8"/>
    </row>
    <row r="152" spans="1:7" ht="12.75">
      <c r="A152" s="9" t="s">
        <v>27</v>
      </c>
      <c r="B152" s="3"/>
      <c r="C152" s="3"/>
      <c r="D152" s="4"/>
      <c r="E152" s="8"/>
      <c r="F152" s="8">
        <f>F150+F151</f>
        <v>14.68506</v>
      </c>
      <c r="G152" s="8"/>
    </row>
    <row r="153" spans="1:7" ht="12.75">
      <c r="A153" s="9" t="s">
        <v>30</v>
      </c>
      <c r="B153" s="3"/>
      <c r="C153" s="3"/>
      <c r="D153" s="4"/>
      <c r="E153" s="8">
        <f>F152</f>
        <v>14.68506</v>
      </c>
      <c r="F153" s="8">
        <f>E153*15%</f>
        <v>2.2027589999999999</v>
      </c>
      <c r="G153" s="8"/>
    </row>
    <row r="154" spans="1:7" ht="12.75">
      <c r="A154" s="16" t="s">
        <v>27</v>
      </c>
      <c r="B154" s="3"/>
      <c r="C154" s="3"/>
      <c r="D154" s="4"/>
      <c r="E154" s="8"/>
      <c r="F154" s="17">
        <f>ROUND(F152+F153,2)</f>
        <v>16.89</v>
      </c>
      <c r="G154" s="8"/>
    </row>
    <row r="155" spans="1:7" ht="12.75">
      <c r="A155" s="18" t="s">
        <v>50</v>
      </c>
      <c r="B155" s="3"/>
      <c r="C155" s="3"/>
      <c r="D155" s="3"/>
      <c r="E155" s="3"/>
      <c r="F155" s="4"/>
      <c r="G155" s="19" t="s">
        <v>38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51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1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20">
        <v>0</v>
      </c>
      <c r="C162" s="12" t="s">
        <v>52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1</v>
      </c>
      <c r="E163" s="13">
        <v>2550</v>
      </c>
      <c r="F163" s="13">
        <f>D163*E163</f>
        <v>2550</v>
      </c>
      <c r="G163" s="13" t="s">
        <v>18</v>
      </c>
    </row>
    <row r="164" spans="1:7" ht="12.75">
      <c r="A164" s="10"/>
      <c r="B164" s="11" t="s">
        <v>19</v>
      </c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>
        <v>0.01</v>
      </c>
      <c r="E165" s="13">
        <v>675</v>
      </c>
      <c r="F165" s="13">
        <f>D165*E165</f>
        <v>6.75</v>
      </c>
      <c r="G165" s="13" t="s">
        <v>22</v>
      </c>
    </row>
    <row r="166" spans="1:7" ht="12.75">
      <c r="A166" s="11" t="s">
        <v>23</v>
      </c>
      <c r="B166" s="10"/>
      <c r="C166" s="14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/>
      <c r="E167" s="13"/>
      <c r="F167" s="13">
        <f>(F163+F165)*0.5%</f>
        <v>12.78375</v>
      </c>
      <c r="G167" s="13" t="s">
        <v>26</v>
      </c>
    </row>
    <row r="168" spans="1:7" ht="12.75">
      <c r="A168" s="9" t="s">
        <v>27</v>
      </c>
      <c r="B168" s="3"/>
      <c r="C168" s="4"/>
      <c r="D168" s="8">
        <v>1</v>
      </c>
      <c r="E168" s="8" t="s">
        <v>11</v>
      </c>
      <c r="F168" s="8">
        <f>F163+F165+F167</f>
        <v>2569.5337500000001</v>
      </c>
      <c r="G168" s="8"/>
    </row>
    <row r="169" spans="1:7" ht="12.75">
      <c r="A169" s="9" t="s">
        <v>28</v>
      </c>
      <c r="B169" s="3"/>
      <c r="C169" s="4"/>
      <c r="D169" s="8">
        <v>1</v>
      </c>
      <c r="E169" s="8" t="s">
        <v>11</v>
      </c>
      <c r="F169" s="8">
        <f>F168/D168</f>
        <v>2569.5337500000001</v>
      </c>
      <c r="G169" s="8"/>
    </row>
    <row r="170" spans="1:7" ht="12.75">
      <c r="A170" s="9" t="s">
        <v>29</v>
      </c>
      <c r="B170" s="3"/>
      <c r="C170" s="3"/>
      <c r="D170" s="4"/>
      <c r="E170" s="15">
        <f>F163*100.5%/D168</f>
        <v>2562.75</v>
      </c>
      <c r="F170" s="8">
        <f>E170*1%</f>
        <v>25.6275</v>
      </c>
      <c r="G170" s="8"/>
    </row>
    <row r="171" spans="1:7" ht="12.75">
      <c r="A171" s="9" t="s">
        <v>27</v>
      </c>
      <c r="B171" s="3"/>
      <c r="C171" s="3"/>
      <c r="D171" s="4"/>
      <c r="E171" s="8"/>
      <c r="F171" s="8">
        <f>F169+F170</f>
        <v>2595.1612500000001</v>
      </c>
      <c r="G171" s="8"/>
    </row>
    <row r="172" spans="1:7" ht="12.75">
      <c r="A172" s="9" t="s">
        <v>30</v>
      </c>
      <c r="B172" s="3"/>
      <c r="C172" s="3"/>
      <c r="D172" s="4"/>
      <c r="E172" s="8">
        <f>F171</f>
        <v>2595.1612500000001</v>
      </c>
      <c r="F172" s="8">
        <f>E172*15%</f>
        <v>389.27418749999998</v>
      </c>
      <c r="G172" s="8"/>
    </row>
    <row r="173" spans="1:7" ht="12.75">
      <c r="A173" s="16" t="s">
        <v>27</v>
      </c>
      <c r="B173" s="3"/>
      <c r="C173" s="3"/>
      <c r="D173" s="4"/>
      <c r="E173" s="8"/>
      <c r="F173" s="17">
        <f>ROUND(F171+F172,2)</f>
        <v>2984.44</v>
      </c>
      <c r="G173" s="8"/>
    </row>
    <row r="174" spans="1:7" ht="12.75">
      <c r="A174" s="10">
        <v>2852</v>
      </c>
      <c r="B174" s="11"/>
      <c r="C174" s="12" t="s">
        <v>31</v>
      </c>
      <c r="D174" s="3"/>
      <c r="E174" s="4"/>
      <c r="F174" s="12"/>
      <c r="G174" s="4"/>
    </row>
    <row r="175" spans="1:7" ht="12.75">
      <c r="A175" s="5"/>
      <c r="B175" s="5"/>
      <c r="C175" s="13" t="s">
        <v>11</v>
      </c>
      <c r="D175" s="13">
        <v>4</v>
      </c>
      <c r="E175" s="13">
        <v>1.80</v>
      </c>
      <c r="F175" s="13">
        <f>D175*E175</f>
        <v>7.20</v>
      </c>
      <c r="G175" s="13" t="s">
        <v>32</v>
      </c>
    </row>
    <row r="176" spans="1:7" ht="12.75">
      <c r="A176" s="10">
        <v>1005</v>
      </c>
      <c r="B176" s="11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21</v>
      </c>
      <c r="D177" s="13">
        <v>0.01</v>
      </c>
      <c r="E177" s="13">
        <v>734</v>
      </c>
      <c r="F177" s="13">
        <f>D177*E177</f>
        <v>7.34</v>
      </c>
      <c r="G177" s="13" t="s">
        <v>34</v>
      </c>
    </row>
    <row r="178" spans="1:7" ht="12.75">
      <c r="A178" s="11" t="s">
        <v>23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25</v>
      </c>
      <c r="D179" s="13"/>
      <c r="E179" s="13"/>
      <c r="F179" s="13">
        <f>(F175+F177)*0.5%</f>
        <v>0.072700000000000001</v>
      </c>
      <c r="G179" s="13" t="s">
        <v>36</v>
      </c>
    </row>
    <row r="180" spans="1:7" ht="12.75">
      <c r="A180" s="9" t="s">
        <v>27</v>
      </c>
      <c r="B180" s="3"/>
      <c r="C180" s="4"/>
      <c r="D180" s="8">
        <v>1</v>
      </c>
      <c r="E180" s="8" t="s">
        <v>11</v>
      </c>
      <c r="F180" s="8">
        <f>F175+F177+F179</f>
        <v>14.6127</v>
      </c>
      <c r="G180" s="8"/>
    </row>
    <row r="181" spans="1:7" ht="12.75">
      <c r="A181" s="9" t="s">
        <v>28</v>
      </c>
      <c r="B181" s="3"/>
      <c r="C181" s="4"/>
      <c r="D181" s="8">
        <v>1</v>
      </c>
      <c r="E181" s="8" t="s">
        <v>11</v>
      </c>
      <c r="F181" s="8">
        <f>F180/D180</f>
        <v>14.6127</v>
      </c>
      <c r="G181" s="8"/>
    </row>
    <row r="182" spans="1:7" ht="12.75">
      <c r="A182" s="9" t="s">
        <v>29</v>
      </c>
      <c r="B182" s="3"/>
      <c r="C182" s="3"/>
      <c r="D182" s="4"/>
      <c r="E182" s="15">
        <f>F175*100.5%/D180</f>
        <v>7.2359999999999998</v>
      </c>
      <c r="F182" s="8">
        <f>E182*1%</f>
        <v>0.072359999999999994</v>
      </c>
      <c r="G182" s="8"/>
    </row>
    <row r="183" spans="1:7" ht="12.75">
      <c r="A183" s="9" t="s">
        <v>27</v>
      </c>
      <c r="B183" s="3"/>
      <c r="C183" s="3"/>
      <c r="D183" s="4"/>
      <c r="E183" s="8"/>
      <c r="F183" s="8">
        <f>F181+F182</f>
        <v>14.68506</v>
      </c>
      <c r="G183" s="8"/>
    </row>
    <row r="184" spans="1:7" ht="12.75">
      <c r="A184" s="9" t="s">
        <v>30</v>
      </c>
      <c r="B184" s="3"/>
      <c r="C184" s="3"/>
      <c r="D184" s="4"/>
      <c r="E184" s="8">
        <f>F183</f>
        <v>14.68506</v>
      </c>
      <c r="F184" s="8">
        <f>E184*15%</f>
        <v>2.2027589999999999</v>
      </c>
      <c r="G184" s="8"/>
    </row>
    <row r="185" spans="1:7" ht="12.75">
      <c r="A185" s="16" t="s">
        <v>27</v>
      </c>
      <c r="B185" s="3"/>
      <c r="C185" s="3"/>
      <c r="D185" s="4"/>
      <c r="E185" s="8"/>
      <c r="F185" s="17">
        <f>ROUND(F183+F184,2)</f>
        <v>16.89</v>
      </c>
      <c r="G185" s="8"/>
    </row>
    <row r="186" spans="1:7" ht="12.75">
      <c r="A186" s="18" t="s">
        <v>53</v>
      </c>
      <c r="B186" s="3"/>
      <c r="C186" s="3"/>
      <c r="D186" s="3"/>
      <c r="E186" s="3"/>
      <c r="F186" s="4"/>
      <c r="G186" s="19" t="s">
        <v>38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54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1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20">
        <v>0</v>
      </c>
      <c r="C193" s="12" t="s">
        <v>55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1</v>
      </c>
      <c r="E194" s="13">
        <v>2600</v>
      </c>
      <c r="F194" s="13">
        <f>D194*E194</f>
        <v>2600</v>
      </c>
      <c r="G194" s="13" t="s">
        <v>18</v>
      </c>
    </row>
    <row r="195" spans="1:7" ht="12.75">
      <c r="A195" s="10"/>
      <c r="B195" s="11" t="s">
        <v>19</v>
      </c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>
        <v>0.01</v>
      </c>
      <c r="E196" s="13">
        <v>675</v>
      </c>
      <c r="F196" s="13">
        <f>D196*E196</f>
        <v>6.75</v>
      </c>
      <c r="G196" s="13" t="s">
        <v>22</v>
      </c>
    </row>
    <row r="197" spans="1:7" ht="12.75">
      <c r="A197" s="11" t="s">
        <v>23</v>
      </c>
      <c r="B197" s="10"/>
      <c r="C197" s="14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/>
      <c r="E198" s="13"/>
      <c r="F198" s="13">
        <f>(F194+F196)*0.5%</f>
        <v>13.03375</v>
      </c>
      <c r="G198" s="13" t="s">
        <v>26</v>
      </c>
    </row>
    <row r="199" spans="1:7" ht="12.75">
      <c r="A199" s="9" t="s">
        <v>27</v>
      </c>
      <c r="B199" s="3"/>
      <c r="C199" s="4"/>
      <c r="D199" s="8">
        <v>1</v>
      </c>
      <c r="E199" s="8" t="s">
        <v>11</v>
      </c>
      <c r="F199" s="8">
        <f>F194+F196+F198</f>
        <v>2619.7837500000001</v>
      </c>
      <c r="G199" s="8"/>
    </row>
    <row r="200" spans="1:7" ht="12.75">
      <c r="A200" s="9" t="s">
        <v>28</v>
      </c>
      <c r="B200" s="3"/>
      <c r="C200" s="4"/>
      <c r="D200" s="8">
        <v>1</v>
      </c>
      <c r="E200" s="8" t="s">
        <v>11</v>
      </c>
      <c r="F200" s="8">
        <f>F199/D199</f>
        <v>2619.7837500000001</v>
      </c>
      <c r="G200" s="8"/>
    </row>
    <row r="201" spans="1:7" ht="12.75">
      <c r="A201" s="9" t="s">
        <v>29</v>
      </c>
      <c r="B201" s="3"/>
      <c r="C201" s="3"/>
      <c r="D201" s="4"/>
      <c r="E201" s="15">
        <f>F194*100.5%/D199</f>
        <v>2613</v>
      </c>
      <c r="F201" s="8">
        <f>E201*1%</f>
        <v>26.13</v>
      </c>
      <c r="G201" s="8"/>
    </row>
    <row r="202" spans="1:7" ht="12.75">
      <c r="A202" s="9" t="s">
        <v>27</v>
      </c>
      <c r="B202" s="3"/>
      <c r="C202" s="3"/>
      <c r="D202" s="4"/>
      <c r="E202" s="8"/>
      <c r="F202" s="8">
        <f>F200+F201</f>
        <v>2645.9137500000002</v>
      </c>
      <c r="G202" s="8"/>
    </row>
    <row r="203" spans="1:7" ht="12.75">
      <c r="A203" s="9" t="s">
        <v>30</v>
      </c>
      <c r="B203" s="3"/>
      <c r="C203" s="3"/>
      <c r="D203" s="4"/>
      <c r="E203" s="8">
        <f>F202</f>
        <v>2645.9137500000002</v>
      </c>
      <c r="F203" s="8">
        <f>E203*15%</f>
        <v>396.88706250000001</v>
      </c>
      <c r="G203" s="8"/>
    </row>
    <row r="204" spans="1:7" ht="12.75">
      <c r="A204" s="16" t="s">
        <v>27</v>
      </c>
      <c r="B204" s="3"/>
      <c r="C204" s="3"/>
      <c r="D204" s="4"/>
      <c r="E204" s="8"/>
      <c r="F204" s="17">
        <f>ROUND(F202+F203,2)</f>
        <v>3042.80</v>
      </c>
      <c r="G204" s="8"/>
    </row>
    <row r="205" spans="1:7" ht="12.75">
      <c r="A205" s="10">
        <v>2852</v>
      </c>
      <c r="B205" s="11"/>
      <c r="C205" s="12" t="s">
        <v>31</v>
      </c>
      <c r="D205" s="3"/>
      <c r="E205" s="4"/>
      <c r="F205" s="12"/>
      <c r="G205" s="4"/>
    </row>
    <row r="206" spans="1:7" ht="12.75">
      <c r="A206" s="5"/>
      <c r="B206" s="5"/>
      <c r="C206" s="13" t="s">
        <v>11</v>
      </c>
      <c r="D206" s="13">
        <v>4</v>
      </c>
      <c r="E206" s="13">
        <v>1.80</v>
      </c>
      <c r="F206" s="13">
        <f>D206*E206</f>
        <v>7.20</v>
      </c>
      <c r="G206" s="13" t="s">
        <v>32</v>
      </c>
    </row>
    <row r="207" spans="1:7" ht="12.75">
      <c r="A207" s="10">
        <v>1005</v>
      </c>
      <c r="B207" s="11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21</v>
      </c>
      <c r="D208" s="13">
        <v>0.01</v>
      </c>
      <c r="E208" s="13">
        <v>734</v>
      </c>
      <c r="F208" s="13">
        <f>D208*E208</f>
        <v>7.34</v>
      </c>
      <c r="G208" s="13" t="s">
        <v>34</v>
      </c>
    </row>
    <row r="209" spans="1:7" ht="12.75">
      <c r="A209" s="11" t="s">
        <v>23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25</v>
      </c>
      <c r="D210" s="13"/>
      <c r="E210" s="13"/>
      <c r="F210" s="13">
        <f>(F206+F208)*0.5%</f>
        <v>0.072700000000000001</v>
      </c>
      <c r="G210" s="13" t="s">
        <v>36</v>
      </c>
    </row>
    <row r="211" spans="1:7" ht="12.75">
      <c r="A211" s="9" t="s">
        <v>27</v>
      </c>
      <c r="B211" s="3"/>
      <c r="C211" s="4"/>
      <c r="D211" s="8">
        <v>1</v>
      </c>
      <c r="E211" s="8" t="s">
        <v>11</v>
      </c>
      <c r="F211" s="8">
        <f>F206+F208+F210</f>
        <v>14.6127</v>
      </c>
      <c r="G211" s="8"/>
    </row>
    <row r="212" spans="1:7" ht="12.75">
      <c r="A212" s="9" t="s">
        <v>28</v>
      </c>
      <c r="B212" s="3"/>
      <c r="C212" s="4"/>
      <c r="D212" s="8">
        <v>1</v>
      </c>
      <c r="E212" s="8" t="s">
        <v>11</v>
      </c>
      <c r="F212" s="8">
        <f>F211/D211</f>
        <v>14.6127</v>
      </c>
      <c r="G212" s="8"/>
    </row>
    <row r="213" spans="1:7" ht="12.75">
      <c r="A213" s="9" t="s">
        <v>29</v>
      </c>
      <c r="B213" s="3"/>
      <c r="C213" s="3"/>
      <c r="D213" s="4"/>
      <c r="E213" s="15">
        <f>F206*100.5%/D211</f>
        <v>7.2359999999999998</v>
      </c>
      <c r="F213" s="8">
        <f>E213*1%</f>
        <v>0.072359999999999994</v>
      </c>
      <c r="G213" s="8"/>
    </row>
    <row r="214" spans="1:7" ht="12.75">
      <c r="A214" s="9" t="s">
        <v>27</v>
      </c>
      <c r="B214" s="3"/>
      <c r="C214" s="3"/>
      <c r="D214" s="4"/>
      <c r="E214" s="8"/>
      <c r="F214" s="8">
        <f>F212+F213</f>
        <v>14.68506</v>
      </c>
      <c r="G214" s="8"/>
    </row>
    <row r="215" spans="1:7" ht="12.75">
      <c r="A215" s="9" t="s">
        <v>30</v>
      </c>
      <c r="B215" s="3"/>
      <c r="C215" s="3"/>
      <c r="D215" s="4"/>
      <c r="E215" s="8">
        <f>F214</f>
        <v>14.68506</v>
      </c>
      <c r="F215" s="8">
        <f>E215*15%</f>
        <v>2.2027589999999999</v>
      </c>
      <c r="G215" s="8"/>
    </row>
    <row r="216" spans="1:7" ht="12.75">
      <c r="A216" s="16" t="s">
        <v>27</v>
      </c>
      <c r="B216" s="3"/>
      <c r="C216" s="3"/>
      <c r="D216" s="4"/>
      <c r="E216" s="8"/>
      <c r="F216" s="17">
        <f>ROUND(F214+F215,2)</f>
        <v>16.89</v>
      </c>
      <c r="G216" s="8"/>
    </row>
    <row r="217" spans="1:7" ht="12.75">
      <c r="A217" s="18" t="s">
        <v>56</v>
      </c>
      <c r="B217" s="3"/>
      <c r="C217" s="3"/>
      <c r="D217" s="3"/>
      <c r="E217" s="3"/>
      <c r="F217" s="4"/>
      <c r="G217" s="19" t="s">
        <v>38</v>
      </c>
    </row>
  </sheetData>
  <mergeCells count="308"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C13"/>
    <mergeCell ref="A14:C14"/>
    <mergeCell ref="A15:D15"/>
    <mergeCell ref="A16:D16"/>
    <mergeCell ref="F21:G21"/>
    <mergeCell ref="F23:G23"/>
    <mergeCell ref="A17:D17"/>
    <mergeCell ref="A18:D18"/>
    <mergeCell ref="A19:A20"/>
    <mergeCell ref="B19:B20"/>
    <mergeCell ref="C19:E19"/>
    <mergeCell ref="F19:G19"/>
    <mergeCell ref="A21:A22"/>
    <mergeCell ref="B21:B22"/>
    <mergeCell ref="C21:E21"/>
    <mergeCell ref="A23:A24"/>
    <mergeCell ref="B23:B24"/>
    <mergeCell ref="C23:E23"/>
    <mergeCell ref="A25:C25"/>
    <mergeCell ref="A26:C26"/>
    <mergeCell ref="C32:E32"/>
    <mergeCell ref="F32:G32"/>
    <mergeCell ref="A27:D27"/>
    <mergeCell ref="A28:D28"/>
    <mergeCell ref="A29:D29"/>
    <mergeCell ref="A30:D30"/>
    <mergeCell ref="A31:F31"/>
    <mergeCell ref="A32:A33"/>
    <mergeCell ref="B32:B33"/>
    <mergeCell ref="A34:G34"/>
    <mergeCell ref="B36:G36"/>
    <mergeCell ref="A37:G37"/>
    <mergeCell ref="A38:A39"/>
    <mergeCell ref="B38:B39"/>
    <mergeCell ref="C38:E38"/>
    <mergeCell ref="F38:G38"/>
    <mergeCell ref="A40:A41"/>
    <mergeCell ref="B40:B41"/>
    <mergeCell ref="C40:E40"/>
    <mergeCell ref="F40:G40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4:E54"/>
    <mergeCell ref="F54:G54"/>
    <mergeCell ref="A50:A51"/>
    <mergeCell ref="B50:B51"/>
    <mergeCell ref="C50:E50"/>
    <mergeCell ref="F50:G50"/>
    <mergeCell ref="B52:B53"/>
    <mergeCell ref="C52:E52"/>
    <mergeCell ref="F52:G52"/>
    <mergeCell ref="A52:A53"/>
    <mergeCell ref="A54:A55"/>
    <mergeCell ref="B54:B55"/>
    <mergeCell ref="A56:C56"/>
    <mergeCell ref="A57:C57"/>
    <mergeCell ref="A58:D58"/>
    <mergeCell ref="A59:D59"/>
    <mergeCell ref="A60:D60"/>
    <mergeCell ref="A61:D61"/>
    <mergeCell ref="A62:F62"/>
    <mergeCell ref="A63:A64"/>
    <mergeCell ref="B63:B64"/>
    <mergeCell ref="C63:E63"/>
    <mergeCell ref="F63:G63"/>
    <mergeCell ref="A65:G65"/>
    <mergeCell ref="B67:G67"/>
    <mergeCell ref="A68:G68"/>
    <mergeCell ref="A69:A70"/>
    <mergeCell ref="B69:B70"/>
    <mergeCell ref="C69:E69"/>
    <mergeCell ref="F69:G69"/>
    <mergeCell ref="A71:A72"/>
    <mergeCell ref="B71:B72"/>
    <mergeCell ref="C71:E71"/>
    <mergeCell ref="F71:G71"/>
    <mergeCell ref="A73:A74"/>
    <mergeCell ref="C73:E73"/>
    <mergeCell ref="F73:G73"/>
    <mergeCell ref="B73:B74"/>
    <mergeCell ref="A75:C75"/>
    <mergeCell ref="A76:C76"/>
    <mergeCell ref="A77:D77"/>
    <mergeCell ref="A78:D78"/>
    <mergeCell ref="A79:D79"/>
    <mergeCell ref="A80:D80"/>
    <mergeCell ref="C85:E85"/>
    <mergeCell ref="F85:G85"/>
    <mergeCell ref="A81:A82"/>
    <mergeCell ref="B81:B82"/>
    <mergeCell ref="C81:E81"/>
    <mergeCell ref="F81:G81"/>
    <mergeCell ref="B83:B84"/>
    <mergeCell ref="C83:E83"/>
    <mergeCell ref="F83:G83"/>
    <mergeCell ref="A83:A84"/>
    <mergeCell ref="A85:A86"/>
    <mergeCell ref="B85:B8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102:A103"/>
    <mergeCell ref="B102:B103"/>
    <mergeCell ref="C102:E102"/>
    <mergeCell ref="F102:G102"/>
    <mergeCell ref="A104:A105"/>
    <mergeCell ref="C104:E104"/>
    <mergeCell ref="F104:G104"/>
    <mergeCell ref="B104:B105"/>
    <mergeCell ref="A106:C106"/>
    <mergeCell ref="A107:C107"/>
    <mergeCell ref="A108:D108"/>
    <mergeCell ref="A109:D109"/>
    <mergeCell ref="A110:D110"/>
    <mergeCell ref="A111:D111"/>
    <mergeCell ref="C116:E116"/>
    <mergeCell ref="F116:G116"/>
    <mergeCell ref="A112:A113"/>
    <mergeCell ref="B112:B113"/>
    <mergeCell ref="C112:E112"/>
    <mergeCell ref="F112:G112"/>
    <mergeCell ref="B114:B115"/>
    <mergeCell ref="C114:E114"/>
    <mergeCell ref="F114:G114"/>
    <mergeCell ref="A114:A115"/>
    <mergeCell ref="A116:A117"/>
    <mergeCell ref="B116:B117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C125:E125"/>
    <mergeCell ref="F125:G125"/>
    <mergeCell ref="A127:G127"/>
    <mergeCell ref="B129:G129"/>
    <mergeCell ref="A130:G130"/>
    <mergeCell ref="A131:A132"/>
    <mergeCell ref="B131:B132"/>
    <mergeCell ref="C131:E131"/>
    <mergeCell ref="F131:G131"/>
    <mergeCell ref="A133:A134"/>
    <mergeCell ref="B133:B134"/>
    <mergeCell ref="C133:E133"/>
    <mergeCell ref="F133:G133"/>
    <mergeCell ref="A135:A136"/>
    <mergeCell ref="C135:E135"/>
    <mergeCell ref="F135:G135"/>
    <mergeCell ref="B135:B136"/>
    <mergeCell ref="A137:C137"/>
    <mergeCell ref="A138:C138"/>
    <mergeCell ref="A139:D139"/>
    <mergeCell ref="A140:D140"/>
    <mergeCell ref="A141:D141"/>
    <mergeCell ref="A142:D142"/>
    <mergeCell ref="C147:E147"/>
    <mergeCell ref="F147:G147"/>
    <mergeCell ref="A143:A144"/>
    <mergeCell ref="B143:B144"/>
    <mergeCell ref="C143:E143"/>
    <mergeCell ref="F143:G143"/>
    <mergeCell ref="B145:B146"/>
    <mergeCell ref="C145:E145"/>
    <mergeCell ref="F145:G145"/>
    <mergeCell ref="A145:A146"/>
    <mergeCell ref="A147:A148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A164:A165"/>
    <mergeCell ref="B164:B165"/>
    <mergeCell ref="C164:E164"/>
    <mergeCell ref="F164:G164"/>
    <mergeCell ref="A166:A167"/>
    <mergeCell ref="C166:E166"/>
    <mergeCell ref="F166:G166"/>
    <mergeCell ref="B166:B167"/>
    <mergeCell ref="A168:C168"/>
    <mergeCell ref="A169:C169"/>
    <mergeCell ref="A170:D170"/>
    <mergeCell ref="A171:D171"/>
    <mergeCell ref="A172:D172"/>
    <mergeCell ref="A173:D173"/>
    <mergeCell ref="C178:E178"/>
    <mergeCell ref="F178:G178"/>
    <mergeCell ref="A174:A175"/>
    <mergeCell ref="B174:B175"/>
    <mergeCell ref="C174:E174"/>
    <mergeCell ref="F174:G174"/>
    <mergeCell ref="B176:B177"/>
    <mergeCell ref="C176:E176"/>
    <mergeCell ref="F176:G176"/>
    <mergeCell ref="A215:D215"/>
    <mergeCell ref="A216:D216"/>
    <mergeCell ref="A217:F217"/>
    <mergeCell ref="A207:A208"/>
    <mergeCell ref="A209:A210"/>
    <mergeCell ref="B209:B210"/>
    <mergeCell ref="A211:C211"/>
    <mergeCell ref="A212:C212"/>
    <mergeCell ref="A213:D213"/>
    <mergeCell ref="A214:D214"/>
    <mergeCell ref="A176:A177"/>
    <mergeCell ref="A178:A179"/>
    <mergeCell ref="B178:B179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B191:G191"/>
    <mergeCell ref="A192:G192"/>
    <mergeCell ref="A193:A194"/>
    <mergeCell ref="B193:B194"/>
    <mergeCell ref="C193:E193"/>
    <mergeCell ref="F193:G193"/>
    <mergeCell ref="A195:A196"/>
    <mergeCell ref="B195:B196"/>
    <mergeCell ref="C195:E195"/>
    <mergeCell ref="F195:G195"/>
    <mergeCell ref="A197:A198"/>
    <mergeCell ref="C197:E197"/>
    <mergeCell ref="F197:G197"/>
    <mergeCell ref="B197:B198"/>
    <mergeCell ref="A199:C199"/>
    <mergeCell ref="A200:C200"/>
    <mergeCell ref="A201:D201"/>
    <mergeCell ref="A202:D202"/>
    <mergeCell ref="A203:D203"/>
    <mergeCell ref="A204:D204"/>
    <mergeCell ref="C209:E209"/>
    <mergeCell ref="F209:G209"/>
    <mergeCell ref="A205:A206"/>
    <mergeCell ref="B205:B206"/>
    <mergeCell ref="C205:E205"/>
    <mergeCell ref="F205:G205"/>
    <mergeCell ref="B207:B208"/>
    <mergeCell ref="C207:E207"/>
    <mergeCell ref="F207:G20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