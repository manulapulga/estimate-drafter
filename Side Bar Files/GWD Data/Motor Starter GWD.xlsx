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<sst xmlns="http://schemas.openxmlformats.org/spreadsheetml/2006/main" count="392" uniqueCount="58">
  <si>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</si>
  <si>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</si>
  <si>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</si>
  <si>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</si>
  <si>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</si>
  <si>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</si>
  <si>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</si>
  <si>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</si>
  <si>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</si>
  <si>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 &amp; F Motor starters of the following ratings Submersible pump controllers with ammeter,DPMCB for single phase 2.5HP submersible motor pumps (DOL)</t>
  </si>
  <si>
    <t>Header Unit</t>
  </si>
  <si>
    <t>each</t>
  </si>
  <si>
    <t>Header Quantity</t>
  </si>
  <si>
    <t>Header Details</t>
  </si>
  <si>
    <t>COST FOR 1 EACH A1 MATERIALS</t>
  </si>
  <si>
    <t>Material (M), Labour (L), Additional Charges (A)</t>
  </si>
  <si>
    <t>D</t>
  </si>
  <si>
    <t>Submersible pump controllers with ammeter,DPMCB for single phase 2.5HP submersible motor pumps (DOL)</t>
  </si>
  <si>
    <t>M1</t>
  </si>
  <si>
    <t>MR704</t>
  </si>
  <si>
    <t>Man Mazdoor</t>
  </si>
  <si>
    <t>Day</t>
  </si>
  <si>
    <t>L2</t>
  </si>
  <si>
    <t>tcode</t>
  </si>
  <si>
    <t>Other Charge @ .5% of :(M1+L2)
 Add Hire charges for T&amp;P @ 0.5%</t>
  </si>
  <si>
    <t>LS</t>
  </si>
  <si>
    <t>A1</t>
  </si>
  <si>
    <t>TOTAL</t>
  </si>
  <si>
    <t>UNIT TOTAL</t>
  </si>
  <si>
    <t>Cartage@ 1.00 % (for material)</t>
  </si>
  <si>
    <t>Contractors Profit &amp; Overhead@ 15.00 %</t>
  </si>
  <si>
    <t>Iron screws, 35 mm X 6 mm</t>
  </si>
  <si>
    <t>M2</t>
  </si>
  <si>
    <t>Fitter, Grade 2</t>
  </si>
  <si>
    <t>L1</t>
  </si>
  <si>
    <t>Other Charge @ .5% of :(M2+L1)
 Add Hire charges for T&amp;P @ 0.5%</t>
  </si>
  <si>
    <t>A2</t>
  </si>
  <si>
    <t>Say ₹ 2167.32 + 16.89 x Cost Index</t>
  </si>
  <si>
    <t>/E</t>
  </si>
  <si>
    <t>S &amp; F Motor starters of the following ratings Submersible pump controllers with ammeter,DPMCB for single phase 3HP submersible motor pumps (DOL)</t>
  </si>
  <si>
    <t>Submersible pump controllers with ammeter,DPMCB for single phase 3HP submersible motor pumps (DOL)</t>
  </si>
  <si>
    <t>Say ₹ 2459.15 + 16.89 x Cost Index</t>
  </si>
  <si>
    <t>S &amp; F Motor starters of the following ratings Submersible pump controllers with ammeter,DPMCB for single phase 3.5HP submersible motor pumps (DOL)</t>
  </si>
  <si>
    <t>Submersible pump controllers with ammeter,DPMCB for single phase 3.5 HP submersible motor pumps (DOL)</t>
  </si>
  <si>
    <t>Say ₹ 2809.34 + 16.89 x Cost Index</t>
  </si>
  <si>
    <t>S &amp; F Motor starters of the following ratings Submersible pump controllers with ammeter,TPMCB for three phase 2 to 4.5 HP submersible motor pumps (DOL)</t>
  </si>
  <si>
    <t>Submersible pump controllers with ammeter,TPMCB for three phase 2 to 4.5 HP submersible motor pumps (DOL)</t>
  </si>
  <si>
    <t>Say ₹ 3620.02 + 16.89 x Cost Index</t>
  </si>
  <si>
    <t>S &amp; F Motor starters of the following ratings Submersible pump controllers with ammeter, TPMCB for three phase 8 to 9.5 HP submersible motor pumps (DOL)</t>
  </si>
  <si>
    <t>Submersible pump controllers with ammeter,TPMCB for three phase 8 to 9.5 HP motor pumps (DOL)</t>
  </si>
  <si>
    <t>Say ₹ 4419.84 + 16.89 x Cost Index</t>
  </si>
  <si>
    <t>S &amp; F Single phase starters suitable for Compressor pump upto 2HP</t>
  </si>
  <si>
    <t>MR</t>
  </si>
  <si>
    <t>Compressor pump controllers with DPMCB for single phase Compressor pumps upto 2 HP</t>
  </si>
  <si>
    <t>Say ₹ 2984.44 + 16.89 x Cost Index</t>
  </si>
  <si>
    <t>S &amp; F Single phase starters suitable for 3HP Compressor pump</t>
  </si>
  <si>
    <t>Compressor pump controllers with DPMCB for single phase 3 HP Compressor pumps</t>
  </si>
  <si>
    <t>Say ₹ 3042.8 + 16.89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</si>
</sst>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7">
    <font>
      <sz val="10"/>
      <color theme="1"/>
      <name val="Arial"/>
      <family val="2"/>
    </font>
    <font>
      <sz val="12"/>
      <color rgb="FFFF0000"/>
      <name val="Cambria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Border="1" applyAlignment="1">
      <alignment horizontal="center" vertical="center" wrapText="1"/>
    </xf>
    <xf numFmtId="0" fontId="6" fillId="0" borderId="3" xfId="0" applyFont="1" applyBorder="1">
      <alignment/>
    </xf>
    <xf numFmtId="0" fontId="6" fillId="0" borderId="4" xfId="0" applyFont="1" applyBorder="1">
      <alignment/>
    </xf>
    <xf numFmtId="2" fontId="1" fillId="0" borderId="0" xfId="0" applyNumberFormat="1" applyFont="1" applyAlignment="1">
      <alignment horizontal="center" vertical="center" wrapText="1"/>
    </xf>
    <xf numFmtId="0" fontId="6" fillId="0" borderId="5" xfId="0" applyFont="1" applyBorder="1">
      <alignment/>
    </xf>
    <xf numFmtId="0" fontId="5" fillId="2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3" fillId="3" borderId="6" xfId="0" applyFont="1" applyBorder="1" applyAlignment="1">
      <alignment vertical="center" wrapText="1"/>
    </xf>
    <xf numFmtId="0" fontId="4" fillId="3" borderId="2" xfId="0" applyFont="1" applyBorder="1" applyAlignment="1">
      <alignment vertical="center" wrapText="1"/>
    </xf>
    <xf numFmtId="177" fontId="3" fillId="0" borderId="6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4" borderId="2" xfId="0" applyFont="1" applyBorder="1" applyAlignment="1">
      <alignment horizontal="center" vertical="center" wrapText="1"/>
    </xf>
    <xf numFmtId="0" fontId="2" fillId="4" borderId="6" xfId="0" applyFont="1" applyBorder="1" applyAlignment="1">
      <alignment vertical="center" wrapText="1"/>
    </xf>
    <xf numFmtId="2" fontId="1" fillId="5" borderId="0" xfId="0" applyNumberFormat="1" applyFont="1" applyFill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648F98-C88E-480A-9B92-3825E71BB9A7}">
  <dimension ref="A1:I217"/>
  <sheetViews>
    <sheetView tabSelected="1" workbookViewId="0" topLeftCell="A1"/>
  </sheetViews>
  <sheetFormatPr defaultRowHeight="12.75"/>
  <sheetData>
    <row r="1" spans="1:9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  <c r="H1" s="5"/>
      <c r="I1" s="5"/>
    </row>
    <row r="2" spans="1:9" ht="12.75">
      <c r="A2" s="6"/>
      <c r="B2" s="6"/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5"/>
      <c r="I2" s="5"/>
    </row>
    <row r="3" spans="1:9" ht="12.75">
      <c r="A3" s="8" t="s">
        <v>9</v>
      </c>
      <c r="B3" s="3"/>
      <c r="C3" s="3"/>
      <c r="D3" s="3"/>
      <c r="E3" s="3"/>
      <c r="F3" s="3"/>
      <c r="G3" s="4"/>
      <c r="H3" s="5"/>
      <c r="I3" s="5"/>
    </row>
    <row r="4" spans="1:9" ht="12.75">
      <c r="A4" s="9"/>
      <c r="B4" s="9" t="s">
        <v>10</v>
      </c>
      <c r="C4" s="9" t="s">
        <v>11</v>
      </c>
      <c r="D4" s="9" t="s">
        <v>12</v>
      </c>
      <c r="E4" s="9">
        <v>1</v>
      </c>
      <c r="F4" s="9"/>
      <c r="G4" s="9"/>
      <c r="H4" s="5"/>
      <c r="I4" s="5"/>
    </row>
    <row r="5" spans="1:9" ht="12.75">
      <c r="A5" s="9" t="s">
        <v>13</v>
      </c>
      <c r="B5" s="10" t="s">
        <v>14</v>
      </c>
      <c r="C5" s="3"/>
      <c r="D5" s="3"/>
      <c r="E5" s="3"/>
      <c r="F5" s="3"/>
      <c r="G5" s="4"/>
      <c r="H5" s="5"/>
      <c r="I5" s="5"/>
    </row>
    <row r="6" spans="1:9" ht="12.75">
      <c r="A6" s="10" t="s">
        <v>15</v>
      </c>
      <c r="B6" s="3"/>
      <c r="C6" s="3"/>
      <c r="D6" s="3"/>
      <c r="E6" s="3"/>
      <c r="F6" s="3"/>
      <c r="G6" s="4"/>
      <c r="H6" s="5"/>
      <c r="I6" s="5"/>
    </row>
    <row r="7" spans="1:9" ht="12.75">
      <c r="A7" s="11"/>
      <c r="B7" s="12" t="s">
        <v>16</v>
      </c>
      <c r="C7" s="13" t="s">
        <v>17</v>
      </c>
      <c r="D7" s="3"/>
      <c r="E7" s="4"/>
      <c r="F7" s="13"/>
      <c r="G7" s="4"/>
      <c r="H7" s="5"/>
      <c r="I7" s="5"/>
    </row>
    <row r="8" spans="1:9" ht="12.75">
      <c r="A8" s="6"/>
      <c r="B8" s="6"/>
      <c r="C8" s="14" t="s">
        <v>11</v>
      </c>
      <c r="D8" s="14">
        <v>1</v>
      </c>
      <c r="E8" s="14">
        <v>1850</v>
      </c>
      <c r="F8" s="14">
        <f>D8*E8</f>
        <v>1850</v>
      </c>
      <c r="G8" s="14" t="s">
        <v>18</v>
      </c>
      <c r="H8" s="5"/>
      <c r="I8" s="5"/>
    </row>
    <row r="9" spans="1:9" ht="12.75">
      <c r="A9" s="11"/>
      <c r="B9" s="12" t="s">
        <v>19</v>
      </c>
      <c r="C9" s="13" t="s">
        <v>20</v>
      </c>
      <c r="D9" s="3"/>
      <c r="E9" s="4"/>
      <c r="F9" s="13"/>
      <c r="G9" s="4"/>
      <c r="H9" s="5"/>
      <c r="I9" s="5"/>
    </row>
    <row r="10" spans="1:9" ht="12.75">
      <c r="A10" s="6"/>
      <c r="B10" s="6"/>
      <c r="C10" s="14" t="s">
        <v>21</v>
      </c>
      <c r="D10" s="14">
        <v>0.01</v>
      </c>
      <c r="E10" s="14">
        <v>675</v>
      </c>
      <c r="F10" s="14">
        <f>D10*E10</f>
        <v>6.75</v>
      </c>
      <c r="G10" s="14" t="s">
        <v>22</v>
      </c>
      <c r="H10" s="5"/>
      <c r="I10" s="5"/>
    </row>
    <row r="11" spans="1:9" ht="12.75">
      <c r="A11" s="12" t="s">
        <v>23</v>
      </c>
      <c r="B11" s="11"/>
      <c r="C11" s="15" t="s">
        <v>24</v>
      </c>
      <c r="D11" s="3"/>
      <c r="E11" s="4"/>
      <c r="F11" s="13"/>
      <c r="G11" s="4"/>
      <c r="H11" s="5"/>
      <c r="I11" s="5"/>
    </row>
    <row r="12" spans="1:9" ht="12.75">
      <c r="A12" s="6"/>
      <c r="B12" s="6"/>
      <c r="C12" s="14" t="s">
        <v>25</v>
      </c>
      <c r="D12" s="14"/>
      <c r="E12" s="14"/>
      <c r="F12" s="14">
        <f>(F8+F10)*0.5%</f>
        <v>9.28375</v>
      </c>
      <c r="G12" s="14" t="s">
        <v>26</v>
      </c>
      <c r="H12" s="5"/>
      <c r="I12" s="5"/>
    </row>
    <row r="13" spans="1:9" ht="12.75">
      <c r="A13" s="10" t="s">
        <v>27</v>
      </c>
      <c r="B13" s="3"/>
      <c r="C13" s="4"/>
      <c r="D13" s="9">
        <v>1</v>
      </c>
      <c r="E13" s="9" t="s">
        <v>11</v>
      </c>
      <c r="F13" s="9">
        <f>F8+F10+F12</f>
        <v>1866.0337500000001</v>
      </c>
      <c r="G13" s="9"/>
      <c r="H13" s="5"/>
      <c r="I13" s="5"/>
    </row>
    <row r="14" spans="1:9" ht="12.75">
      <c r="A14" s="10" t="s">
        <v>28</v>
      </c>
      <c r="B14" s="3"/>
      <c r="C14" s="4"/>
      <c r="D14" s="9">
        <v>1</v>
      </c>
      <c r="E14" s="9" t="s">
        <v>11</v>
      </c>
      <c r="F14" s="9">
        <f>F13/D13</f>
        <v>1866.0337500000001</v>
      </c>
      <c r="G14" s="9"/>
      <c r="H14" s="5"/>
      <c r="I14" s="5"/>
    </row>
    <row r="15" spans="1:9" ht="12.75">
      <c r="A15" s="10" t="s">
        <v>29</v>
      </c>
      <c r="B15" s="3"/>
      <c r="C15" s="3"/>
      <c r="D15" s="4"/>
      <c r="E15" s="16">
        <f>F8*100.5%/D13</f>
        <v>1859.25</v>
      </c>
      <c r="F15" s="9">
        <f>E15*1%</f>
        <v>18.5925</v>
      </c>
      <c r="G15" s="9"/>
      <c r="H15" s="5"/>
      <c r="I15" s="5"/>
    </row>
    <row r="16" spans="1:9" ht="12.75">
      <c r="A16" s="10" t="s">
        <v>27</v>
      </c>
      <c r="B16" s="3"/>
      <c r="C16" s="3"/>
      <c r="D16" s="4"/>
      <c r="E16" s="9"/>
      <c r="F16" s="9">
        <f>F14+F15</f>
        <v>1884.62625</v>
      </c>
      <c r="G16" s="9"/>
      <c r="H16" s="5"/>
      <c r="I16" s="5"/>
    </row>
    <row r="17" spans="1:9" ht="12.75">
      <c r="A17" s="10" t="s">
        <v>30</v>
      </c>
      <c r="B17" s="3"/>
      <c r="C17" s="3"/>
      <c r="D17" s="4"/>
      <c r="E17" s="9">
        <f>F16</f>
        <v>1884.62625</v>
      </c>
      <c r="F17" s="9">
        <f>E17*15%</f>
        <v>282.6939375</v>
      </c>
      <c r="G17" s="9"/>
      <c r="H17" s="5"/>
      <c r="I17" s="5"/>
    </row>
    <row r="18" spans="1:9" ht="12.75">
      <c r="A18" s="17" t="s">
        <v>27</v>
      </c>
      <c r="B18" s="3"/>
      <c r="C18" s="3"/>
      <c r="D18" s="4"/>
      <c r="E18" s="9"/>
      <c r="F18" s="18">
        <f>ROUND(F16+F17,2)</f>
        <v>2167.32</v>
      </c>
      <c r="G18" s="9"/>
      <c r="H18" s="5"/>
      <c r="I18" s="5"/>
    </row>
    <row r="19" spans="1:9" ht="12.75">
      <c r="A19" s="11">
        <v>2852</v>
      </c>
      <c r="B19" s="12"/>
      <c r="C19" s="13" t="s">
        <v>31</v>
      </c>
      <c r="D19" s="3"/>
      <c r="E19" s="4"/>
      <c r="F19" s="13"/>
      <c r="G19" s="4"/>
      <c r="H19" s="5"/>
      <c r="I19" s="5"/>
    </row>
    <row r="20" spans="1:9" ht="12.75">
      <c r="A20" s="6"/>
      <c r="B20" s="6"/>
      <c r="C20" s="14" t="s">
        <v>11</v>
      </c>
      <c r="D20" s="14">
        <v>4</v>
      </c>
      <c r="E20" s="14">
        <v>1.80</v>
      </c>
      <c r="F20" s="14">
        <f>D20*E20</f>
        <v>7.20</v>
      </c>
      <c r="G20" s="14" t="s">
        <v>32</v>
      </c>
      <c r="H20" s="5"/>
      <c r="I20" s="5"/>
    </row>
    <row r="21" spans="1:9" ht="12.75">
      <c r="A21" s="11">
        <v>1005</v>
      </c>
      <c r="B21" s="12"/>
      <c r="C21" s="13" t="s">
        <v>33</v>
      </c>
      <c r="D21" s="3"/>
      <c r="E21" s="4"/>
      <c r="F21" s="13"/>
      <c r="G21" s="4"/>
      <c r="H21" s="5"/>
      <c r="I21" s="5"/>
    </row>
    <row r="22" spans="1:9" ht="12.75">
      <c r="A22" s="6"/>
      <c r="B22" s="6"/>
      <c r="C22" s="14" t="s">
        <v>21</v>
      </c>
      <c r="D22" s="14">
        <v>0.01</v>
      </c>
      <c r="E22" s="14">
        <v>734</v>
      </c>
      <c r="F22" s="14">
        <f>D22*E22</f>
        <v>7.34</v>
      </c>
      <c r="G22" s="14" t="s">
        <v>34</v>
      </c>
      <c r="H22" s="5"/>
      <c r="I22" s="5"/>
    </row>
    <row r="23" spans="1:9" ht="12.75">
      <c r="A23" s="12" t="s">
        <v>23</v>
      </c>
      <c r="B23" s="11"/>
      <c r="C23" s="15" t="s">
        <v>35</v>
      </c>
      <c r="D23" s="3"/>
      <c r="E23" s="4"/>
      <c r="F23" s="13"/>
      <c r="G23" s="4"/>
      <c r="H23" s="5"/>
      <c r="I23" s="5"/>
    </row>
    <row r="24" spans="1:9" ht="12.75">
      <c r="A24" s="6"/>
      <c r="B24" s="6"/>
      <c r="C24" s="14" t="s">
        <v>25</v>
      </c>
      <c r="D24" s="14"/>
      <c r="E24" s="14"/>
      <c r="F24" s="14">
        <f>(F20+F22)*0.5%</f>
        <v>0.072700000000000001</v>
      </c>
      <c r="G24" s="14" t="s">
        <v>36</v>
      </c>
      <c r="H24" s="5"/>
      <c r="I24" s="5"/>
    </row>
    <row r="25" spans="1:9" ht="12.75">
      <c r="A25" s="10" t="s">
        <v>27</v>
      </c>
      <c r="B25" s="3"/>
      <c r="C25" s="4"/>
      <c r="D25" s="9">
        <v>1</v>
      </c>
      <c r="E25" s="9" t="s">
        <v>11</v>
      </c>
      <c r="F25" s="9">
        <f>F20+F22+F24</f>
        <v>14.6127</v>
      </c>
      <c r="G25" s="9"/>
      <c r="H25" s="5"/>
      <c r="I25" s="5"/>
    </row>
    <row r="26" spans="1:9" ht="12.75">
      <c r="A26" s="10" t="s">
        <v>28</v>
      </c>
      <c r="B26" s="3"/>
      <c r="C26" s="4"/>
      <c r="D26" s="9">
        <v>1</v>
      </c>
      <c r="E26" s="9" t="s">
        <v>11</v>
      </c>
      <c r="F26" s="9">
        <f>F25/D25</f>
        <v>14.6127</v>
      </c>
      <c r="G26" s="9"/>
      <c r="H26" s="5"/>
      <c r="I26" s="5"/>
    </row>
    <row r="27" spans="1:9" ht="12.75">
      <c r="A27" s="10" t="s">
        <v>29</v>
      </c>
      <c r="B27" s="3"/>
      <c r="C27" s="3"/>
      <c r="D27" s="4"/>
      <c r="E27" s="16">
        <f>F20*100.5%/D25</f>
        <v>7.2359999999999998</v>
      </c>
      <c r="F27" s="9">
        <f>E27*1%</f>
        <v>0.072359999999999994</v>
      </c>
      <c r="G27" s="9"/>
      <c r="H27" s="5"/>
      <c r="I27" s="5"/>
    </row>
    <row r="28" spans="1:9" ht="12.75">
      <c r="A28" s="10" t="s">
        <v>27</v>
      </c>
      <c r="B28" s="3"/>
      <c r="C28" s="3"/>
      <c r="D28" s="4"/>
      <c r="E28" s="9"/>
      <c r="F28" s="9">
        <f>F26+F27</f>
        <v>14.68506</v>
      </c>
      <c r="G28" s="9"/>
      <c r="H28" s="5"/>
      <c r="I28" s="5"/>
    </row>
    <row r="29" spans="1:9" ht="12.75">
      <c r="A29" s="10" t="s">
        <v>30</v>
      </c>
      <c r="B29" s="3"/>
      <c r="C29" s="3"/>
      <c r="D29" s="4"/>
      <c r="E29" s="9">
        <f>F28</f>
        <v>14.68506</v>
      </c>
      <c r="F29" s="9">
        <f>E29*15%</f>
        <v>2.2027589999999999</v>
      </c>
      <c r="G29" s="9"/>
      <c r="H29" s="5"/>
      <c r="I29" s="5"/>
    </row>
    <row r="30" spans="1:9" ht="12.75">
      <c r="A30" s="17" t="s">
        <v>27</v>
      </c>
      <c r="B30" s="3"/>
      <c r="C30" s="3"/>
      <c r="D30" s="4"/>
      <c r="E30" s="9"/>
      <c r="F30" s="18">
        <f>ROUND(F28+F29,2)</f>
        <v>16.89</v>
      </c>
      <c r="G30" s="9"/>
      <c r="H30" s="5"/>
      <c r="I30" s="5"/>
    </row>
    <row r="31" spans="1:9" ht="12.75">
      <c r="A31" s="19" t="s">
        <v>37</v>
      </c>
      <c r="B31" s="3"/>
      <c r="C31" s="3"/>
      <c r="D31" s="3"/>
      <c r="E31" s="3"/>
      <c r="F31" s="4"/>
      <c r="G31" s="20" t="s">
        <v>38</v>
      </c>
      <c r="H31" s="21">
        <f>((F8*1.005*1.01)+(F10*1.005))*1.15</f>
        <v>2167.3201880000001</v>
      </c>
      <c r="I31" s="21">
        <f>((F20*1.005*1.01)+(F22*1.005))*1.15</f>
        <v>16.887819</v>
      </c>
    </row>
    <row r="32" spans="1:9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  <c r="H32" s="5"/>
      <c r="I32" s="5"/>
    </row>
    <row r="33" spans="1:9" ht="12.75">
      <c r="A33" s="6"/>
      <c r="B33" s="6"/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5"/>
      <c r="I33" s="5"/>
    </row>
    <row r="34" spans="1:9" ht="12.75">
      <c r="A34" s="8" t="s">
        <v>39</v>
      </c>
      <c r="B34" s="3"/>
      <c r="C34" s="3"/>
      <c r="D34" s="3"/>
      <c r="E34" s="3"/>
      <c r="F34" s="3"/>
      <c r="G34" s="4"/>
      <c r="H34" s="5"/>
      <c r="I34" s="5"/>
    </row>
    <row r="35" spans="1:9" ht="12.75">
      <c r="A35" s="9"/>
      <c r="B35" s="9" t="s">
        <v>10</v>
      </c>
      <c r="C35" s="9" t="s">
        <v>11</v>
      </c>
      <c r="D35" s="9" t="s">
        <v>12</v>
      </c>
      <c r="E35" s="9">
        <v>1</v>
      </c>
      <c r="F35" s="9"/>
      <c r="G35" s="9"/>
      <c r="H35" s="5"/>
      <c r="I35" s="5"/>
    </row>
    <row r="36" spans="1:9" ht="12.75">
      <c r="A36" s="9" t="s">
        <v>13</v>
      </c>
      <c r="B36" s="10" t="s">
        <v>14</v>
      </c>
      <c r="C36" s="3"/>
      <c r="D36" s="3"/>
      <c r="E36" s="3"/>
      <c r="F36" s="3"/>
      <c r="G36" s="4"/>
      <c r="H36" s="5"/>
      <c r="I36" s="5"/>
    </row>
    <row r="37" spans="1:9" ht="12.75">
      <c r="A37" s="10" t="s">
        <v>15</v>
      </c>
      <c r="B37" s="3"/>
      <c r="C37" s="3"/>
      <c r="D37" s="3"/>
      <c r="E37" s="3"/>
      <c r="F37" s="3"/>
      <c r="G37" s="4"/>
      <c r="H37" s="5"/>
      <c r="I37" s="5"/>
    </row>
    <row r="38" spans="1:9" ht="12.75">
      <c r="A38" s="11"/>
      <c r="B38" s="12" t="s">
        <v>16</v>
      </c>
      <c r="C38" s="13" t="s">
        <v>40</v>
      </c>
      <c r="D38" s="3"/>
      <c r="E38" s="4"/>
      <c r="F38" s="13"/>
      <c r="G38" s="4"/>
      <c r="H38" s="5"/>
      <c r="I38" s="5"/>
    </row>
    <row r="39" spans="1:9" ht="12.75">
      <c r="A39" s="6"/>
      <c r="B39" s="6"/>
      <c r="C39" s="14" t="s">
        <v>11</v>
      </c>
      <c r="D39" s="14">
        <v>1</v>
      </c>
      <c r="E39" s="14">
        <v>2100</v>
      </c>
      <c r="F39" s="14">
        <f>D39*E39</f>
        <v>2100</v>
      </c>
      <c r="G39" s="14" t="s">
        <v>18</v>
      </c>
      <c r="H39" s="5"/>
      <c r="I39" s="5"/>
    </row>
    <row r="40" spans="1:9" ht="12.75">
      <c r="A40" s="11"/>
      <c r="B40" s="12" t="s">
        <v>19</v>
      </c>
      <c r="C40" s="13" t="s">
        <v>20</v>
      </c>
      <c r="D40" s="3"/>
      <c r="E40" s="4"/>
      <c r="F40" s="13"/>
      <c r="G40" s="4"/>
      <c r="H40" s="5"/>
      <c r="I40" s="5"/>
    </row>
    <row r="41" spans="1:9" ht="12.75">
      <c r="A41" s="6"/>
      <c r="B41" s="6"/>
      <c r="C41" s="14" t="s">
        <v>21</v>
      </c>
      <c r="D41" s="14">
        <v>0.01</v>
      </c>
      <c r="E41" s="14">
        <v>675</v>
      </c>
      <c r="F41" s="14">
        <f>D41*E41</f>
        <v>6.75</v>
      </c>
      <c r="G41" s="14" t="s">
        <v>22</v>
      </c>
      <c r="H41" s="5"/>
      <c r="I41" s="5"/>
    </row>
    <row r="42" spans="1:9" ht="12.75">
      <c r="A42" s="12" t="s">
        <v>23</v>
      </c>
      <c r="B42" s="11"/>
      <c r="C42" s="15" t="s">
        <v>24</v>
      </c>
      <c r="D42" s="3"/>
      <c r="E42" s="4"/>
      <c r="F42" s="13"/>
      <c r="G42" s="4"/>
      <c r="H42" s="5"/>
      <c r="I42" s="5"/>
    </row>
    <row r="43" spans="1:9" ht="12.75">
      <c r="A43" s="6"/>
      <c r="B43" s="6"/>
      <c r="C43" s="14" t="s">
        <v>25</v>
      </c>
      <c r="D43" s="14"/>
      <c r="E43" s="14"/>
      <c r="F43" s="14">
        <f>(F39+F41)*0.5%</f>
        <v>10.53375</v>
      </c>
      <c r="G43" s="14" t="s">
        <v>26</v>
      </c>
      <c r="H43" s="5"/>
      <c r="I43" s="5"/>
    </row>
    <row r="44" spans="1:9" ht="12.75">
      <c r="A44" s="10" t="s">
        <v>27</v>
      </c>
      <c r="B44" s="3"/>
      <c r="C44" s="4"/>
      <c r="D44" s="9">
        <v>1</v>
      </c>
      <c r="E44" s="9" t="s">
        <v>11</v>
      </c>
      <c r="F44" s="9">
        <f>F39+F41+F43</f>
        <v>2117.2837500000001</v>
      </c>
      <c r="G44" s="9"/>
      <c r="H44" s="5"/>
      <c r="I44" s="5"/>
    </row>
    <row r="45" spans="1:9" ht="12.75">
      <c r="A45" s="10" t="s">
        <v>28</v>
      </c>
      <c r="B45" s="3"/>
      <c r="C45" s="4"/>
      <c r="D45" s="9">
        <v>1</v>
      </c>
      <c r="E45" s="9" t="s">
        <v>11</v>
      </c>
      <c r="F45" s="9">
        <f>F44/D44</f>
        <v>2117.2837500000001</v>
      </c>
      <c r="G45" s="9"/>
      <c r="H45" s="5"/>
      <c r="I45" s="5"/>
    </row>
    <row r="46" spans="1:9" ht="12.75">
      <c r="A46" s="10" t="s">
        <v>29</v>
      </c>
      <c r="B46" s="3"/>
      <c r="C46" s="3"/>
      <c r="D46" s="4"/>
      <c r="E46" s="16">
        <f>F39*100.5%/D44</f>
        <v>2110.50</v>
      </c>
      <c r="F46" s="9">
        <f>E46*1%</f>
        <v>21.105</v>
      </c>
      <c r="G46" s="9"/>
      <c r="H46" s="5"/>
      <c r="I46" s="5"/>
    </row>
    <row r="47" spans="1:9" ht="12.75">
      <c r="A47" s="10" t="s">
        <v>27</v>
      </c>
      <c r="B47" s="3"/>
      <c r="C47" s="3"/>
      <c r="D47" s="4"/>
      <c r="E47" s="9"/>
      <c r="F47" s="9">
        <f>F45+F46</f>
        <v>2138.3887500000001</v>
      </c>
      <c r="G47" s="9"/>
      <c r="H47" s="5"/>
      <c r="I47" s="5"/>
    </row>
    <row r="48" spans="1:9" ht="12.75">
      <c r="A48" s="10" t="s">
        <v>30</v>
      </c>
      <c r="B48" s="3"/>
      <c r="C48" s="3"/>
      <c r="D48" s="4"/>
      <c r="E48" s="9">
        <f>F47</f>
        <v>2138.3887500000001</v>
      </c>
      <c r="F48" s="9">
        <f>E48*15%</f>
        <v>320.75831249999999</v>
      </c>
      <c r="G48" s="9"/>
      <c r="H48" s="5"/>
      <c r="I48" s="5"/>
    </row>
    <row r="49" spans="1:9" ht="12.75">
      <c r="A49" s="17" t="s">
        <v>27</v>
      </c>
      <c r="B49" s="3"/>
      <c r="C49" s="3"/>
      <c r="D49" s="4"/>
      <c r="E49" s="9"/>
      <c r="F49" s="18">
        <f>ROUND(F47+F48,2)</f>
        <v>2459.15</v>
      </c>
      <c r="G49" s="9"/>
      <c r="H49" s="5"/>
      <c r="I49" s="5"/>
    </row>
    <row r="50" spans="1:9" ht="12.75">
      <c r="A50" s="11">
        <v>2852</v>
      </c>
      <c r="B50" s="12"/>
      <c r="C50" s="13" t="s">
        <v>31</v>
      </c>
      <c r="D50" s="3"/>
      <c r="E50" s="4"/>
      <c r="F50" s="13"/>
      <c r="G50" s="4"/>
      <c r="H50" s="5"/>
      <c r="I50" s="5"/>
    </row>
    <row r="51" spans="1:9" ht="12.75">
      <c r="A51" s="6"/>
      <c r="B51" s="6"/>
      <c r="C51" s="14" t="s">
        <v>11</v>
      </c>
      <c r="D51" s="14">
        <v>4</v>
      </c>
      <c r="E51" s="14">
        <v>1.80</v>
      </c>
      <c r="F51" s="14">
        <f>D51*E51</f>
        <v>7.20</v>
      </c>
      <c r="G51" s="14" t="s">
        <v>32</v>
      </c>
      <c r="H51" s="5"/>
      <c r="I51" s="5"/>
    </row>
    <row r="52" spans="1:9" ht="12.75">
      <c r="A52" s="11">
        <v>1005</v>
      </c>
      <c r="B52" s="12"/>
      <c r="C52" s="13" t="s">
        <v>33</v>
      </c>
      <c r="D52" s="3"/>
      <c r="E52" s="4"/>
      <c r="F52" s="13"/>
      <c r="G52" s="4"/>
      <c r="H52" s="5"/>
      <c r="I52" s="5"/>
    </row>
    <row r="53" spans="1:9" ht="12.75">
      <c r="A53" s="6"/>
      <c r="B53" s="6"/>
      <c r="C53" s="14" t="s">
        <v>21</v>
      </c>
      <c r="D53" s="14">
        <v>0.01</v>
      </c>
      <c r="E53" s="14">
        <v>734</v>
      </c>
      <c r="F53" s="14">
        <f>D53*E53</f>
        <v>7.34</v>
      </c>
      <c r="G53" s="14" t="s">
        <v>34</v>
      </c>
      <c r="H53" s="5"/>
      <c r="I53" s="5"/>
    </row>
    <row r="54" spans="1:9" ht="12.75">
      <c r="A54" s="12" t="s">
        <v>23</v>
      </c>
      <c r="B54" s="11"/>
      <c r="C54" s="15" t="s">
        <v>35</v>
      </c>
      <c r="D54" s="3"/>
      <c r="E54" s="4"/>
      <c r="F54" s="13"/>
      <c r="G54" s="4"/>
      <c r="H54" s="5"/>
      <c r="I54" s="5"/>
    </row>
    <row r="55" spans="1:9" ht="12.75">
      <c r="A55" s="6"/>
      <c r="B55" s="6"/>
      <c r="C55" s="14" t="s">
        <v>25</v>
      </c>
      <c r="D55" s="14"/>
      <c r="E55" s="14"/>
      <c r="F55" s="14">
        <f>(F51+F53)*0.5%</f>
        <v>0.072700000000000001</v>
      </c>
      <c r="G55" s="14" t="s">
        <v>36</v>
      </c>
      <c r="H55" s="5"/>
      <c r="I55" s="5"/>
    </row>
    <row r="56" spans="1:9" ht="12.75">
      <c r="A56" s="10" t="s">
        <v>27</v>
      </c>
      <c r="B56" s="3"/>
      <c r="C56" s="4"/>
      <c r="D56" s="9">
        <v>1</v>
      </c>
      <c r="E56" s="9" t="s">
        <v>11</v>
      </c>
      <c r="F56" s="9">
        <f>F51+F53+F55</f>
        <v>14.6127</v>
      </c>
      <c r="G56" s="9"/>
      <c r="H56" s="5"/>
      <c r="I56" s="5"/>
    </row>
    <row r="57" spans="1:9" ht="12.75">
      <c r="A57" s="10" t="s">
        <v>28</v>
      </c>
      <c r="B57" s="3"/>
      <c r="C57" s="4"/>
      <c r="D57" s="9">
        <v>1</v>
      </c>
      <c r="E57" s="9" t="s">
        <v>11</v>
      </c>
      <c r="F57" s="9">
        <f>F56/D56</f>
        <v>14.6127</v>
      </c>
      <c r="G57" s="9"/>
      <c r="H57" s="5"/>
      <c r="I57" s="5"/>
    </row>
    <row r="58" spans="1:9" ht="12.75">
      <c r="A58" s="10" t="s">
        <v>29</v>
      </c>
      <c r="B58" s="3"/>
      <c r="C58" s="3"/>
      <c r="D58" s="4"/>
      <c r="E58" s="16">
        <f>F51*100.5%/D56</f>
        <v>7.2359999999999998</v>
      </c>
      <c r="F58" s="9">
        <f>E58*1%</f>
        <v>0.072359999999999994</v>
      </c>
      <c r="G58" s="9"/>
      <c r="H58" s="5"/>
      <c r="I58" s="5"/>
    </row>
    <row r="59" spans="1:9" ht="12.75">
      <c r="A59" s="10" t="s">
        <v>27</v>
      </c>
      <c r="B59" s="3"/>
      <c r="C59" s="3"/>
      <c r="D59" s="4"/>
      <c r="E59" s="9"/>
      <c r="F59" s="9">
        <f>F57+F58</f>
        <v>14.68506</v>
      </c>
      <c r="G59" s="9"/>
      <c r="H59" s="5"/>
      <c r="I59" s="5"/>
    </row>
    <row r="60" spans="1:9" ht="12.75">
      <c r="A60" s="10" t="s">
        <v>30</v>
      </c>
      <c r="B60" s="3"/>
      <c r="C60" s="3"/>
      <c r="D60" s="4"/>
      <c r="E60" s="9">
        <f>F59</f>
        <v>14.68506</v>
      </c>
      <c r="F60" s="9">
        <f>E60*15%</f>
        <v>2.2027589999999999</v>
      </c>
      <c r="G60" s="9"/>
      <c r="H60" s="5"/>
      <c r="I60" s="5"/>
    </row>
    <row r="61" spans="1:9" ht="12.75">
      <c r="A61" s="17" t="s">
        <v>27</v>
      </c>
      <c r="B61" s="3"/>
      <c r="C61" s="3"/>
      <c r="D61" s="4"/>
      <c r="E61" s="9"/>
      <c r="F61" s="18">
        <f>ROUND(F59+F60,2)</f>
        <v>16.89</v>
      </c>
      <c r="G61" s="9"/>
      <c r="H61" s="5"/>
      <c r="I61" s="5"/>
    </row>
    <row r="62" spans="1:9" ht="12.75">
      <c r="A62" s="19" t="s">
        <v>41</v>
      </c>
      <c r="B62" s="3"/>
      <c r="C62" s="3"/>
      <c r="D62" s="3"/>
      <c r="E62" s="3"/>
      <c r="F62" s="4"/>
      <c r="G62" s="20" t="s">
        <v>38</v>
      </c>
      <c r="H62" s="21">
        <f>((F39*1.005*1.01)+(F41*1.005))*1.15</f>
        <v>2459.1470629999999</v>
      </c>
      <c r="I62" s="21">
        <f>((F51*1.005*1.01)+(F53*1.005))*1.15</f>
        <v>16.887819</v>
      </c>
    </row>
    <row r="63" spans="1:9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  <c r="H63" s="5"/>
      <c r="I63" s="5"/>
    </row>
    <row r="64" spans="1:9" ht="12.75">
      <c r="A64" s="6"/>
      <c r="B64" s="6"/>
      <c r="C64" s="7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5"/>
      <c r="I64" s="5"/>
    </row>
    <row r="65" spans="1:9" ht="12.75">
      <c r="A65" s="8" t="s">
        <v>42</v>
      </c>
      <c r="B65" s="3"/>
      <c r="C65" s="3"/>
      <c r="D65" s="3"/>
      <c r="E65" s="3"/>
      <c r="F65" s="3"/>
      <c r="G65" s="4"/>
      <c r="H65" s="5"/>
      <c r="I65" s="5"/>
    </row>
    <row r="66" spans="1:9" ht="12.75">
      <c r="A66" s="9"/>
      <c r="B66" s="9" t="s">
        <v>10</v>
      </c>
      <c r="C66" s="9" t="s">
        <v>11</v>
      </c>
      <c r="D66" s="9" t="s">
        <v>12</v>
      </c>
      <c r="E66" s="9">
        <v>1</v>
      </c>
      <c r="F66" s="9"/>
      <c r="G66" s="9"/>
      <c r="H66" s="5"/>
      <c r="I66" s="5"/>
    </row>
    <row r="67" spans="1:9" ht="12.75">
      <c r="A67" s="9" t="s">
        <v>13</v>
      </c>
      <c r="B67" s="10" t="s">
        <v>14</v>
      </c>
      <c r="C67" s="3"/>
      <c r="D67" s="3"/>
      <c r="E67" s="3"/>
      <c r="F67" s="3"/>
      <c r="G67" s="4"/>
      <c r="H67" s="5"/>
      <c r="I67" s="5"/>
    </row>
    <row r="68" spans="1:9" ht="12.75">
      <c r="A68" s="10" t="s">
        <v>15</v>
      </c>
      <c r="B68" s="3"/>
      <c r="C68" s="3"/>
      <c r="D68" s="3"/>
      <c r="E68" s="3"/>
      <c r="F68" s="3"/>
      <c r="G68" s="4"/>
      <c r="H68" s="5"/>
      <c r="I68" s="5"/>
    </row>
    <row r="69" spans="1:9" ht="12.75">
      <c r="A69" s="11"/>
      <c r="B69" s="12" t="s">
        <v>16</v>
      </c>
      <c r="C69" s="13" t="s">
        <v>43</v>
      </c>
      <c r="D69" s="3"/>
      <c r="E69" s="4"/>
      <c r="F69" s="13"/>
      <c r="G69" s="4"/>
      <c r="H69" s="5"/>
      <c r="I69" s="5"/>
    </row>
    <row r="70" spans="1:9" ht="12.75">
      <c r="A70" s="6"/>
      <c r="B70" s="6"/>
      <c r="C70" s="14" t="s">
        <v>11</v>
      </c>
      <c r="D70" s="14">
        <v>1</v>
      </c>
      <c r="E70" s="14">
        <v>2400</v>
      </c>
      <c r="F70" s="14">
        <f>D70*E70</f>
        <v>2400</v>
      </c>
      <c r="G70" s="14" t="s">
        <v>18</v>
      </c>
      <c r="H70" s="5"/>
      <c r="I70" s="5"/>
    </row>
    <row r="71" spans="1:9" ht="12.75">
      <c r="A71" s="11"/>
      <c r="B71" s="12" t="s">
        <v>19</v>
      </c>
      <c r="C71" s="13" t="s">
        <v>20</v>
      </c>
      <c r="D71" s="3"/>
      <c r="E71" s="4"/>
      <c r="F71" s="13"/>
      <c r="G71" s="4"/>
      <c r="H71" s="5"/>
      <c r="I71" s="5"/>
    </row>
    <row r="72" spans="1:9" ht="12.75">
      <c r="A72" s="6"/>
      <c r="B72" s="6"/>
      <c r="C72" s="14" t="s">
        <v>21</v>
      </c>
      <c r="D72" s="14">
        <v>0.01</v>
      </c>
      <c r="E72" s="14">
        <v>675</v>
      </c>
      <c r="F72" s="14">
        <f>D72*E72</f>
        <v>6.75</v>
      </c>
      <c r="G72" s="14" t="s">
        <v>22</v>
      </c>
      <c r="H72" s="5"/>
      <c r="I72" s="5"/>
    </row>
    <row r="73" spans="1:9" ht="12.75">
      <c r="A73" s="12" t="s">
        <v>23</v>
      </c>
      <c r="B73" s="11"/>
      <c r="C73" s="15" t="s">
        <v>24</v>
      </c>
      <c r="D73" s="3"/>
      <c r="E73" s="4"/>
      <c r="F73" s="13"/>
      <c r="G73" s="4"/>
      <c r="H73" s="5"/>
      <c r="I73" s="5"/>
    </row>
    <row r="74" spans="1:9" ht="12.75">
      <c r="A74" s="6"/>
      <c r="B74" s="6"/>
      <c r="C74" s="14" t="s">
        <v>25</v>
      </c>
      <c r="D74" s="14"/>
      <c r="E74" s="14"/>
      <c r="F74" s="14">
        <f>(F70+F72)*0.5%</f>
        <v>12.03375</v>
      </c>
      <c r="G74" s="14" t="s">
        <v>26</v>
      </c>
      <c r="H74" s="5"/>
      <c r="I74" s="5"/>
    </row>
    <row r="75" spans="1:9" ht="12.75">
      <c r="A75" s="10" t="s">
        <v>27</v>
      </c>
      <c r="B75" s="3"/>
      <c r="C75" s="4"/>
      <c r="D75" s="9">
        <v>1</v>
      </c>
      <c r="E75" s="9" t="s">
        <v>11</v>
      </c>
      <c r="F75" s="9">
        <f>F70+F72+F74</f>
        <v>2418.7837500000001</v>
      </c>
      <c r="G75" s="9"/>
      <c r="H75" s="5"/>
      <c r="I75" s="5"/>
    </row>
    <row r="76" spans="1:9" ht="12.75">
      <c r="A76" s="10" t="s">
        <v>28</v>
      </c>
      <c r="B76" s="3"/>
      <c r="C76" s="4"/>
      <c r="D76" s="9">
        <v>1</v>
      </c>
      <c r="E76" s="9" t="s">
        <v>11</v>
      </c>
      <c r="F76" s="9">
        <f>F75/D75</f>
        <v>2418.7837500000001</v>
      </c>
      <c r="G76" s="9"/>
      <c r="H76" s="5"/>
      <c r="I76" s="5"/>
    </row>
    <row r="77" spans="1:9" ht="12.75">
      <c r="A77" s="10" t="s">
        <v>29</v>
      </c>
      <c r="B77" s="3"/>
      <c r="C77" s="3"/>
      <c r="D77" s="4"/>
      <c r="E77" s="16">
        <f>F70*100.5%/D75</f>
        <v>2412</v>
      </c>
      <c r="F77" s="9">
        <f>E77*1%</f>
        <v>24.12</v>
      </c>
      <c r="G77" s="9"/>
      <c r="H77" s="5"/>
      <c r="I77" s="5"/>
    </row>
    <row r="78" spans="1:9" ht="12.75">
      <c r="A78" s="10" t="s">
        <v>27</v>
      </c>
      <c r="B78" s="3"/>
      <c r="C78" s="3"/>
      <c r="D78" s="4"/>
      <c r="E78" s="9"/>
      <c r="F78" s="9">
        <f>F76+F77</f>
        <v>2442.9037499999999</v>
      </c>
      <c r="G78" s="9"/>
      <c r="H78" s="5"/>
      <c r="I78" s="5"/>
    </row>
    <row r="79" spans="1:9" ht="12.75">
      <c r="A79" s="10" t="s">
        <v>30</v>
      </c>
      <c r="B79" s="3"/>
      <c r="C79" s="3"/>
      <c r="D79" s="4"/>
      <c r="E79" s="9">
        <f>F78</f>
        <v>2442.9037499999999</v>
      </c>
      <c r="F79" s="9">
        <f>E79*15%</f>
        <v>366.4355625</v>
      </c>
      <c r="G79" s="9"/>
      <c r="H79" s="5"/>
      <c r="I79" s="5"/>
    </row>
    <row r="80" spans="1:9" ht="12.75">
      <c r="A80" s="17" t="s">
        <v>27</v>
      </c>
      <c r="B80" s="3"/>
      <c r="C80" s="3"/>
      <c r="D80" s="4"/>
      <c r="E80" s="9"/>
      <c r="F80" s="18">
        <f>ROUND(F78+F79,2)</f>
        <v>2809.34</v>
      </c>
      <c r="G80" s="9"/>
      <c r="H80" s="5"/>
      <c r="I80" s="5"/>
    </row>
    <row r="81" spans="1:9" ht="12.75">
      <c r="A81" s="11">
        <v>2852</v>
      </c>
      <c r="B81" s="12"/>
      <c r="C81" s="13" t="s">
        <v>31</v>
      </c>
      <c r="D81" s="3"/>
      <c r="E81" s="4"/>
      <c r="F81" s="13"/>
      <c r="G81" s="4"/>
      <c r="H81" s="5"/>
      <c r="I81" s="5"/>
    </row>
    <row r="82" spans="1:9" ht="12.75">
      <c r="A82" s="6"/>
      <c r="B82" s="6"/>
      <c r="C82" s="14" t="s">
        <v>11</v>
      </c>
      <c r="D82" s="14">
        <v>4</v>
      </c>
      <c r="E82" s="14">
        <v>1.80</v>
      </c>
      <c r="F82" s="14">
        <f>D82*E82</f>
        <v>7.20</v>
      </c>
      <c r="G82" s="14" t="s">
        <v>32</v>
      </c>
      <c r="H82" s="5"/>
      <c r="I82" s="5"/>
    </row>
    <row r="83" spans="1:9" ht="12.75">
      <c r="A83" s="11">
        <v>1005</v>
      </c>
      <c r="B83" s="12"/>
      <c r="C83" s="13" t="s">
        <v>33</v>
      </c>
      <c r="D83" s="3"/>
      <c r="E83" s="4"/>
      <c r="F83" s="13"/>
      <c r="G83" s="4"/>
      <c r="H83" s="5"/>
      <c r="I83" s="5"/>
    </row>
    <row r="84" spans="1:9" ht="12.75">
      <c r="A84" s="6"/>
      <c r="B84" s="6"/>
      <c r="C84" s="14" t="s">
        <v>21</v>
      </c>
      <c r="D84" s="14">
        <v>0.01</v>
      </c>
      <c r="E84" s="14">
        <v>734</v>
      </c>
      <c r="F84" s="14">
        <f>D84*E84</f>
        <v>7.34</v>
      </c>
      <c r="G84" s="14" t="s">
        <v>34</v>
      </c>
      <c r="H84" s="5"/>
      <c r="I84" s="5"/>
    </row>
    <row r="85" spans="1:9" ht="12.75">
      <c r="A85" s="12" t="s">
        <v>23</v>
      </c>
      <c r="B85" s="11"/>
      <c r="C85" s="15" t="s">
        <v>35</v>
      </c>
      <c r="D85" s="3"/>
      <c r="E85" s="4"/>
      <c r="F85" s="13"/>
      <c r="G85" s="4"/>
      <c r="H85" s="5"/>
      <c r="I85" s="5"/>
    </row>
    <row r="86" spans="1:9" ht="12.75">
      <c r="A86" s="6"/>
      <c r="B86" s="6"/>
      <c r="C86" s="14" t="s">
        <v>25</v>
      </c>
      <c r="D86" s="14"/>
      <c r="E86" s="14"/>
      <c r="F86" s="14">
        <f>(F82+F84)*0.5%</f>
        <v>0.072700000000000001</v>
      </c>
      <c r="G86" s="14" t="s">
        <v>36</v>
      </c>
      <c r="H86" s="5"/>
      <c r="I86" s="5"/>
    </row>
    <row r="87" spans="1:9" ht="12.75">
      <c r="A87" s="10" t="s">
        <v>27</v>
      </c>
      <c r="B87" s="3"/>
      <c r="C87" s="4"/>
      <c r="D87" s="9">
        <v>1</v>
      </c>
      <c r="E87" s="9" t="s">
        <v>11</v>
      </c>
      <c r="F87" s="9">
        <f>F82+F84+F86</f>
        <v>14.6127</v>
      </c>
      <c r="G87" s="9"/>
      <c r="H87" s="5"/>
      <c r="I87" s="5"/>
    </row>
    <row r="88" spans="1:9" ht="12.75">
      <c r="A88" s="10" t="s">
        <v>28</v>
      </c>
      <c r="B88" s="3"/>
      <c r="C88" s="4"/>
      <c r="D88" s="9">
        <v>1</v>
      </c>
      <c r="E88" s="9" t="s">
        <v>11</v>
      </c>
      <c r="F88" s="9">
        <f>F87/D87</f>
        <v>14.6127</v>
      </c>
      <c r="G88" s="9"/>
      <c r="H88" s="5"/>
      <c r="I88" s="5"/>
    </row>
    <row r="89" spans="1:9" ht="12.75">
      <c r="A89" s="10" t="s">
        <v>29</v>
      </c>
      <c r="B89" s="3"/>
      <c r="C89" s="3"/>
      <c r="D89" s="4"/>
      <c r="E89" s="16">
        <f>F82*100.5%/D87</f>
        <v>7.2359999999999998</v>
      </c>
      <c r="F89" s="9">
        <f>E89*1%</f>
        <v>0.072359999999999994</v>
      </c>
      <c r="G89" s="9"/>
      <c r="H89" s="5"/>
      <c r="I89" s="5"/>
    </row>
    <row r="90" spans="1:9" ht="12.75">
      <c r="A90" s="10" t="s">
        <v>27</v>
      </c>
      <c r="B90" s="3"/>
      <c r="C90" s="3"/>
      <c r="D90" s="4"/>
      <c r="E90" s="9"/>
      <c r="F90" s="9">
        <f>F88+F89</f>
        <v>14.68506</v>
      </c>
      <c r="G90" s="9"/>
      <c r="H90" s="5"/>
      <c r="I90" s="5"/>
    </row>
    <row r="91" spans="1:9" ht="12.75">
      <c r="A91" s="10" t="s">
        <v>30</v>
      </c>
      <c r="B91" s="3"/>
      <c r="C91" s="3"/>
      <c r="D91" s="4"/>
      <c r="E91" s="9">
        <f>F90</f>
        <v>14.68506</v>
      </c>
      <c r="F91" s="9">
        <f>E91*15%</f>
        <v>2.2027589999999999</v>
      </c>
      <c r="G91" s="9"/>
      <c r="H91" s="5"/>
      <c r="I91" s="5"/>
    </row>
    <row r="92" spans="1:9" ht="12.75">
      <c r="A92" s="17" t="s">
        <v>27</v>
      </c>
      <c r="B92" s="3"/>
      <c r="C92" s="3"/>
      <c r="D92" s="4"/>
      <c r="E92" s="9"/>
      <c r="F92" s="18">
        <f>ROUND(F90+F91,2)</f>
        <v>16.89</v>
      </c>
      <c r="G92" s="9"/>
      <c r="H92" s="5"/>
      <c r="I92" s="5"/>
    </row>
    <row r="93" spans="1:9" ht="12.75">
      <c r="A93" s="19" t="s">
        <v>44</v>
      </c>
      <c r="B93" s="3"/>
      <c r="C93" s="3"/>
      <c r="D93" s="3"/>
      <c r="E93" s="3"/>
      <c r="F93" s="4"/>
      <c r="G93" s="20" t="s">
        <v>38</v>
      </c>
      <c r="H93" s="21">
        <f>((F70*1.005*1.01)+(F72*1.005))*1.15</f>
        <v>2809.3393129999999</v>
      </c>
      <c r="I93" s="21">
        <f>((F82*1.005*1.01)+(F84*1.005))*1.15</f>
        <v>16.887819</v>
      </c>
    </row>
    <row r="94" spans="1:9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  <c r="H94" s="5"/>
      <c r="I94" s="5"/>
    </row>
    <row r="95" spans="1:9" ht="12.75">
      <c r="A95" s="6"/>
      <c r="B95" s="6"/>
      <c r="C95" s="7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5"/>
      <c r="I95" s="5"/>
    </row>
    <row r="96" spans="1:9" ht="12.75">
      <c r="A96" s="8" t="s">
        <v>45</v>
      </c>
      <c r="B96" s="3"/>
      <c r="C96" s="3"/>
      <c r="D96" s="3"/>
      <c r="E96" s="3"/>
      <c r="F96" s="3"/>
      <c r="G96" s="4"/>
      <c r="H96" s="5"/>
      <c r="I96" s="5"/>
    </row>
    <row r="97" spans="1:9" ht="12.75">
      <c r="A97" s="9"/>
      <c r="B97" s="9" t="s">
        <v>10</v>
      </c>
      <c r="C97" s="9" t="s">
        <v>11</v>
      </c>
      <c r="D97" s="9" t="s">
        <v>12</v>
      </c>
      <c r="E97" s="9">
        <v>1</v>
      </c>
      <c r="F97" s="9"/>
      <c r="G97" s="9"/>
      <c r="H97" s="5"/>
      <c r="I97" s="5"/>
    </row>
    <row r="98" spans="1:9" ht="12.75">
      <c r="A98" s="9" t="s">
        <v>13</v>
      </c>
      <c r="B98" s="10" t="s">
        <v>14</v>
      </c>
      <c r="C98" s="3"/>
      <c r="D98" s="3"/>
      <c r="E98" s="3"/>
      <c r="F98" s="3"/>
      <c r="G98" s="4"/>
      <c r="H98" s="5"/>
      <c r="I98" s="5"/>
    </row>
    <row r="99" spans="1:9" ht="12.75">
      <c r="A99" s="10" t="s">
        <v>15</v>
      </c>
      <c r="B99" s="3"/>
      <c r="C99" s="3"/>
      <c r="D99" s="3"/>
      <c r="E99" s="3"/>
      <c r="F99" s="3"/>
      <c r="G99" s="4"/>
      <c r="H99" s="5"/>
      <c r="I99" s="5"/>
    </row>
    <row r="100" spans="1:9" ht="12.75">
      <c r="A100" s="11"/>
      <c r="B100" s="12" t="s">
        <v>16</v>
      </c>
      <c r="C100" s="13" t="s">
        <v>46</v>
      </c>
      <c r="D100" s="3"/>
      <c r="E100" s="4"/>
      <c r="F100" s="13"/>
      <c r="G100" s="4"/>
      <c r="H100" s="5"/>
      <c r="I100" s="5"/>
    </row>
    <row r="101" spans="1:9" ht="12.75">
      <c r="A101" s="6"/>
      <c r="B101" s="6"/>
      <c r="C101" s="14" t="s">
        <v>11</v>
      </c>
      <c r="D101" s="14">
        <v>1</v>
      </c>
      <c r="E101" s="14">
        <v>3094.49</v>
      </c>
      <c r="F101" s="14">
        <f>D101*E101</f>
        <v>3094.49</v>
      </c>
      <c r="G101" s="14" t="s">
        <v>18</v>
      </c>
      <c r="H101" s="5"/>
      <c r="I101" s="5"/>
    </row>
    <row r="102" spans="1:9" ht="12.75">
      <c r="A102" s="11"/>
      <c r="B102" s="12" t="s">
        <v>19</v>
      </c>
      <c r="C102" s="13" t="s">
        <v>20</v>
      </c>
      <c r="D102" s="3"/>
      <c r="E102" s="4"/>
      <c r="F102" s="13"/>
      <c r="G102" s="4"/>
      <c r="H102" s="5"/>
      <c r="I102" s="5"/>
    </row>
    <row r="103" spans="1:9" ht="12.75">
      <c r="A103" s="6"/>
      <c r="B103" s="6"/>
      <c r="C103" s="14" t="s">
        <v>21</v>
      </c>
      <c r="D103" s="14">
        <v>0.01</v>
      </c>
      <c r="E103" s="14">
        <v>675</v>
      </c>
      <c r="F103" s="14">
        <f>D103*E103</f>
        <v>6.75</v>
      </c>
      <c r="G103" s="14" t="s">
        <v>22</v>
      </c>
      <c r="H103" s="5"/>
      <c r="I103" s="5"/>
    </row>
    <row r="104" spans="1:9" ht="12.75">
      <c r="A104" s="12" t="s">
        <v>23</v>
      </c>
      <c r="B104" s="11"/>
      <c r="C104" s="15" t="s">
        <v>24</v>
      </c>
      <c r="D104" s="3"/>
      <c r="E104" s="4"/>
      <c r="F104" s="13"/>
      <c r="G104" s="4"/>
      <c r="H104" s="5"/>
      <c r="I104" s="5"/>
    </row>
    <row r="105" spans="1:9" ht="12.75">
      <c r="A105" s="6"/>
      <c r="B105" s="6"/>
      <c r="C105" s="14" t="s">
        <v>25</v>
      </c>
      <c r="D105" s="14"/>
      <c r="E105" s="14"/>
      <c r="F105" s="14">
        <f>(F101+F103)*0.5%</f>
        <v>15.5062</v>
      </c>
      <c r="G105" s="14" t="s">
        <v>26</v>
      </c>
      <c r="H105" s="5"/>
      <c r="I105" s="5"/>
    </row>
    <row r="106" spans="1:9" ht="12.75">
      <c r="A106" s="10" t="s">
        <v>27</v>
      </c>
      <c r="B106" s="3"/>
      <c r="C106" s="4"/>
      <c r="D106" s="9">
        <v>1</v>
      </c>
      <c r="E106" s="9" t="s">
        <v>11</v>
      </c>
      <c r="F106" s="9">
        <f>F101+F103+F105</f>
        <v>3116.7462</v>
      </c>
      <c r="G106" s="9"/>
      <c r="H106" s="5"/>
      <c r="I106" s="5"/>
    </row>
    <row r="107" spans="1:9" ht="12.75">
      <c r="A107" s="10" t="s">
        <v>28</v>
      </c>
      <c r="B107" s="3"/>
      <c r="C107" s="4"/>
      <c r="D107" s="9">
        <v>1</v>
      </c>
      <c r="E107" s="9" t="s">
        <v>11</v>
      </c>
      <c r="F107" s="9">
        <f>F106/D106</f>
        <v>3116.7462</v>
      </c>
      <c r="G107" s="9"/>
      <c r="H107" s="5"/>
      <c r="I107" s="5"/>
    </row>
    <row r="108" spans="1:9" ht="12.75">
      <c r="A108" s="10" t="s">
        <v>29</v>
      </c>
      <c r="B108" s="3"/>
      <c r="C108" s="3"/>
      <c r="D108" s="4"/>
      <c r="E108" s="16">
        <f>F101*100.5%/D106</f>
        <v>3109.96245</v>
      </c>
      <c r="F108" s="9">
        <f>E108*1%</f>
        <v>31.099624500000001</v>
      </c>
      <c r="G108" s="9"/>
      <c r="H108" s="5"/>
      <c r="I108" s="5"/>
    </row>
    <row r="109" spans="1:9" ht="12.75">
      <c r="A109" s="10" t="s">
        <v>27</v>
      </c>
      <c r="B109" s="3"/>
      <c r="C109" s="3"/>
      <c r="D109" s="4"/>
      <c r="E109" s="9"/>
      <c r="F109" s="9">
        <f>F107+F108</f>
        <v>3147.8458249999999</v>
      </c>
      <c r="G109" s="9"/>
      <c r="H109" s="5"/>
      <c r="I109" s="5"/>
    </row>
    <row r="110" spans="1:9" ht="12.75">
      <c r="A110" s="10" t="s">
        <v>30</v>
      </c>
      <c r="B110" s="3"/>
      <c r="C110" s="3"/>
      <c r="D110" s="4"/>
      <c r="E110" s="9">
        <f>F109</f>
        <v>3147.8458249999999</v>
      </c>
      <c r="F110" s="9">
        <f>E110*15%</f>
        <v>472.17687369999999</v>
      </c>
      <c r="G110" s="9"/>
      <c r="H110" s="5"/>
      <c r="I110" s="5"/>
    </row>
    <row r="111" spans="1:9" ht="12.75">
      <c r="A111" s="17" t="s">
        <v>27</v>
      </c>
      <c r="B111" s="3"/>
      <c r="C111" s="3"/>
      <c r="D111" s="4"/>
      <c r="E111" s="9"/>
      <c r="F111" s="18">
        <f>ROUND(F109+F110,2)</f>
        <v>3620.02</v>
      </c>
      <c r="G111" s="9"/>
      <c r="H111" s="5"/>
      <c r="I111" s="5"/>
    </row>
    <row r="112" spans="1:9" ht="12.75">
      <c r="A112" s="11">
        <v>2852</v>
      </c>
      <c r="B112" s="12"/>
      <c r="C112" s="13" t="s">
        <v>31</v>
      </c>
      <c r="D112" s="3"/>
      <c r="E112" s="4"/>
      <c r="F112" s="13"/>
      <c r="G112" s="4"/>
      <c r="H112" s="5"/>
      <c r="I112" s="5"/>
    </row>
    <row r="113" spans="1:9" ht="12.75">
      <c r="A113" s="6"/>
      <c r="B113" s="6"/>
      <c r="C113" s="14" t="s">
        <v>11</v>
      </c>
      <c r="D113" s="14">
        <v>4</v>
      </c>
      <c r="E113" s="14">
        <v>1.80</v>
      </c>
      <c r="F113" s="14">
        <f>D113*E113</f>
        <v>7.20</v>
      </c>
      <c r="G113" s="14" t="s">
        <v>32</v>
      </c>
      <c r="H113" s="5"/>
      <c r="I113" s="5"/>
    </row>
    <row r="114" spans="1:9" ht="12.75">
      <c r="A114" s="11">
        <v>1005</v>
      </c>
      <c r="B114" s="12"/>
      <c r="C114" s="13" t="s">
        <v>33</v>
      </c>
      <c r="D114" s="3"/>
      <c r="E114" s="4"/>
      <c r="F114" s="13"/>
      <c r="G114" s="4"/>
      <c r="H114" s="5"/>
      <c r="I114" s="5"/>
    </row>
    <row r="115" spans="1:9" ht="12.75">
      <c r="A115" s="6"/>
      <c r="B115" s="6"/>
      <c r="C115" s="14" t="s">
        <v>21</v>
      </c>
      <c r="D115" s="14">
        <v>0.01</v>
      </c>
      <c r="E115" s="14">
        <v>734</v>
      </c>
      <c r="F115" s="14">
        <f>D115*E115</f>
        <v>7.34</v>
      </c>
      <c r="G115" s="14" t="s">
        <v>34</v>
      </c>
      <c r="H115" s="5"/>
      <c r="I115" s="5"/>
    </row>
    <row r="116" spans="1:9" ht="12.75">
      <c r="A116" s="12" t="s">
        <v>23</v>
      </c>
      <c r="B116" s="11"/>
      <c r="C116" s="15" t="s">
        <v>35</v>
      </c>
      <c r="D116" s="3"/>
      <c r="E116" s="4"/>
      <c r="F116" s="13"/>
      <c r="G116" s="4"/>
      <c r="H116" s="5"/>
      <c r="I116" s="5"/>
    </row>
    <row r="117" spans="1:9" ht="12.75">
      <c r="A117" s="6"/>
      <c r="B117" s="6"/>
      <c r="C117" s="14" t="s">
        <v>25</v>
      </c>
      <c r="D117" s="14"/>
      <c r="E117" s="14"/>
      <c r="F117" s="14">
        <f>(F113+F115)*0.5%</f>
        <v>0.072700000000000001</v>
      </c>
      <c r="G117" s="14" t="s">
        <v>36</v>
      </c>
      <c r="H117" s="5"/>
      <c r="I117" s="5"/>
    </row>
    <row r="118" spans="1:9" ht="12.75">
      <c r="A118" s="10" t="s">
        <v>27</v>
      </c>
      <c r="B118" s="3"/>
      <c r="C118" s="4"/>
      <c r="D118" s="9">
        <v>1</v>
      </c>
      <c r="E118" s="9" t="s">
        <v>11</v>
      </c>
      <c r="F118" s="9">
        <f>F113+F115+F117</f>
        <v>14.6127</v>
      </c>
      <c r="G118" s="9"/>
      <c r="H118" s="5"/>
      <c r="I118" s="5"/>
    </row>
    <row r="119" spans="1:9" ht="12.75">
      <c r="A119" s="10" t="s">
        <v>28</v>
      </c>
      <c r="B119" s="3"/>
      <c r="C119" s="4"/>
      <c r="D119" s="9">
        <v>1</v>
      </c>
      <c r="E119" s="9" t="s">
        <v>11</v>
      </c>
      <c r="F119" s="9">
        <f>F118/D118</f>
        <v>14.6127</v>
      </c>
      <c r="G119" s="9"/>
      <c r="H119" s="5"/>
      <c r="I119" s="5"/>
    </row>
    <row r="120" spans="1:9" ht="12.75">
      <c r="A120" s="10" t="s">
        <v>29</v>
      </c>
      <c r="B120" s="3"/>
      <c r="C120" s="3"/>
      <c r="D120" s="4"/>
      <c r="E120" s="16">
        <f>F113*100.5%/D118</f>
        <v>7.2359999999999998</v>
      </c>
      <c r="F120" s="9">
        <f>E120*1%</f>
        <v>0.072359999999999994</v>
      </c>
      <c r="G120" s="9"/>
      <c r="H120" s="5"/>
      <c r="I120" s="5"/>
    </row>
    <row r="121" spans="1:9" ht="12.75">
      <c r="A121" s="10" t="s">
        <v>27</v>
      </c>
      <c r="B121" s="3"/>
      <c r="C121" s="3"/>
      <c r="D121" s="4"/>
      <c r="E121" s="9"/>
      <c r="F121" s="9">
        <f>F119+F120</f>
        <v>14.68506</v>
      </c>
      <c r="G121" s="9"/>
      <c r="H121" s="5"/>
      <c r="I121" s="5"/>
    </row>
    <row r="122" spans="1:9" ht="12.75">
      <c r="A122" s="10" t="s">
        <v>30</v>
      </c>
      <c r="B122" s="3"/>
      <c r="C122" s="3"/>
      <c r="D122" s="4"/>
      <c r="E122" s="9">
        <f>F121</f>
        <v>14.68506</v>
      </c>
      <c r="F122" s="9">
        <f>E122*15%</f>
        <v>2.2027589999999999</v>
      </c>
      <c r="G122" s="9"/>
      <c r="H122" s="5"/>
      <c r="I122" s="5"/>
    </row>
    <row r="123" spans="1:9" ht="12.75">
      <c r="A123" s="17" t="s">
        <v>27</v>
      </c>
      <c r="B123" s="3"/>
      <c r="C123" s="3"/>
      <c r="D123" s="4"/>
      <c r="E123" s="9"/>
      <c r="F123" s="18">
        <f>ROUND(F121+F122,2)</f>
        <v>16.89</v>
      </c>
      <c r="G123" s="9"/>
      <c r="H123" s="5"/>
      <c r="I123" s="5"/>
    </row>
    <row r="124" spans="1:9" ht="12.75">
      <c r="A124" s="19" t="s">
        <v>47</v>
      </c>
      <c r="B124" s="3"/>
      <c r="C124" s="3"/>
      <c r="D124" s="3"/>
      <c r="E124" s="3"/>
      <c r="F124" s="4"/>
      <c r="G124" s="20" t="s">
        <v>38</v>
      </c>
      <c r="H124" s="21">
        <f>((F101*1.005*1.01)+(F103*1.005))*1.15</f>
        <v>3620.0226980000002</v>
      </c>
      <c r="I124" s="21">
        <f>((F113*1.005*1.01)+(F115*1.005))*1.15</f>
        <v>16.887819</v>
      </c>
    </row>
    <row r="125" spans="1:9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  <c r="H125" s="5"/>
      <c r="I125" s="5"/>
    </row>
    <row r="126" spans="1:9" ht="12.75">
      <c r="A126" s="6"/>
      <c r="B126" s="6"/>
      <c r="C126" s="7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5"/>
      <c r="I126" s="5"/>
    </row>
    <row r="127" spans="1:9" ht="12.75">
      <c r="A127" s="8" t="s">
        <v>48</v>
      </c>
      <c r="B127" s="3"/>
      <c r="C127" s="3"/>
      <c r="D127" s="3"/>
      <c r="E127" s="3"/>
      <c r="F127" s="3"/>
      <c r="G127" s="4"/>
      <c r="H127" s="5"/>
      <c r="I127" s="5"/>
    </row>
    <row r="128" spans="1:9" ht="12.75">
      <c r="A128" s="9"/>
      <c r="B128" s="9" t="s">
        <v>10</v>
      </c>
      <c r="C128" s="9" t="s">
        <v>11</v>
      </c>
      <c r="D128" s="9" t="s">
        <v>12</v>
      </c>
      <c r="E128" s="9">
        <v>1</v>
      </c>
      <c r="F128" s="9"/>
      <c r="G128" s="9"/>
      <c r="H128" s="5"/>
      <c r="I128" s="5"/>
    </row>
    <row r="129" spans="1:9" ht="12.75">
      <c r="A129" s="9" t="s">
        <v>13</v>
      </c>
      <c r="B129" s="10" t="s">
        <v>14</v>
      </c>
      <c r="C129" s="3"/>
      <c r="D129" s="3"/>
      <c r="E129" s="3"/>
      <c r="F129" s="3"/>
      <c r="G129" s="4"/>
      <c r="H129" s="5"/>
      <c r="I129" s="5"/>
    </row>
    <row r="130" spans="1:9" ht="12.75">
      <c r="A130" s="10" t="s">
        <v>15</v>
      </c>
      <c r="B130" s="3"/>
      <c r="C130" s="3"/>
      <c r="D130" s="3"/>
      <c r="E130" s="3"/>
      <c r="F130" s="3"/>
      <c r="G130" s="4"/>
      <c r="H130" s="5"/>
      <c r="I130" s="5"/>
    </row>
    <row r="131" spans="1:9" ht="12.75">
      <c r="A131" s="11"/>
      <c r="B131" s="12" t="s">
        <v>16</v>
      </c>
      <c r="C131" s="13" t="s">
        <v>49</v>
      </c>
      <c r="D131" s="3"/>
      <c r="E131" s="4"/>
      <c r="F131" s="13"/>
      <c r="G131" s="4"/>
      <c r="H131" s="5"/>
      <c r="I131" s="5"/>
    </row>
    <row r="132" spans="1:9" ht="12.75">
      <c r="A132" s="6"/>
      <c r="B132" s="6"/>
      <c r="C132" s="14" t="s">
        <v>11</v>
      </c>
      <c r="D132" s="14">
        <v>1</v>
      </c>
      <c r="E132" s="14">
        <v>3779.67</v>
      </c>
      <c r="F132" s="14">
        <f>D132*E132</f>
        <v>3779.67</v>
      </c>
      <c r="G132" s="14" t="s">
        <v>18</v>
      </c>
      <c r="H132" s="5"/>
      <c r="I132" s="5"/>
    </row>
    <row r="133" spans="1:9" ht="12.75">
      <c r="A133" s="11"/>
      <c r="B133" s="12" t="s">
        <v>19</v>
      </c>
      <c r="C133" s="13" t="s">
        <v>20</v>
      </c>
      <c r="D133" s="3"/>
      <c r="E133" s="4"/>
      <c r="F133" s="13"/>
      <c r="G133" s="4"/>
      <c r="H133" s="5"/>
      <c r="I133" s="5"/>
    </row>
    <row r="134" spans="1:9" ht="12.75">
      <c r="A134" s="6"/>
      <c r="B134" s="6"/>
      <c r="C134" s="14" t="s">
        <v>21</v>
      </c>
      <c r="D134" s="14">
        <v>0.01</v>
      </c>
      <c r="E134" s="14">
        <v>675</v>
      </c>
      <c r="F134" s="14">
        <f>D134*E134</f>
        <v>6.75</v>
      </c>
      <c r="G134" s="14" t="s">
        <v>22</v>
      </c>
      <c r="H134" s="5"/>
      <c r="I134" s="5"/>
    </row>
    <row r="135" spans="1:9" ht="12.75">
      <c r="A135" s="12" t="s">
        <v>23</v>
      </c>
      <c r="B135" s="11"/>
      <c r="C135" s="15" t="s">
        <v>24</v>
      </c>
      <c r="D135" s="3"/>
      <c r="E135" s="4"/>
      <c r="F135" s="13"/>
      <c r="G135" s="4"/>
      <c r="H135" s="5"/>
      <c r="I135" s="5"/>
    </row>
    <row r="136" spans="1:9" ht="12.75">
      <c r="A136" s="6"/>
      <c r="B136" s="6"/>
      <c r="C136" s="14" t="s">
        <v>25</v>
      </c>
      <c r="D136" s="14"/>
      <c r="E136" s="14"/>
      <c r="F136" s="14">
        <f>(F132+F134)*0.5%</f>
        <v>18.932099999999998</v>
      </c>
      <c r="G136" s="14" t="s">
        <v>26</v>
      </c>
      <c r="H136" s="5"/>
      <c r="I136" s="5"/>
    </row>
    <row r="137" spans="1:9" ht="12.75">
      <c r="A137" s="10" t="s">
        <v>27</v>
      </c>
      <c r="B137" s="3"/>
      <c r="C137" s="4"/>
      <c r="D137" s="9">
        <v>1</v>
      </c>
      <c r="E137" s="9" t="s">
        <v>11</v>
      </c>
      <c r="F137" s="9">
        <f>F132+F134+F136</f>
        <v>3805.3521000000001</v>
      </c>
      <c r="G137" s="9"/>
      <c r="H137" s="5"/>
      <c r="I137" s="5"/>
    </row>
    <row r="138" spans="1:9" ht="12.75">
      <c r="A138" s="10" t="s">
        <v>28</v>
      </c>
      <c r="B138" s="3"/>
      <c r="C138" s="4"/>
      <c r="D138" s="9">
        <v>1</v>
      </c>
      <c r="E138" s="9" t="s">
        <v>11</v>
      </c>
      <c r="F138" s="9">
        <f>F137/D137</f>
        <v>3805.3521000000001</v>
      </c>
      <c r="G138" s="9"/>
      <c r="H138" s="5"/>
      <c r="I138" s="5"/>
    </row>
    <row r="139" spans="1:9" ht="12.75">
      <c r="A139" s="10" t="s">
        <v>29</v>
      </c>
      <c r="B139" s="3"/>
      <c r="C139" s="3"/>
      <c r="D139" s="4"/>
      <c r="E139" s="16">
        <f>F132*100.5%/D137</f>
        <v>3798.56835</v>
      </c>
      <c r="F139" s="9">
        <f>E139*1%</f>
        <v>37.9856835</v>
      </c>
      <c r="G139" s="9"/>
      <c r="H139" s="5"/>
      <c r="I139" s="5"/>
    </row>
    <row r="140" spans="1:9" ht="12.75">
      <c r="A140" s="10" t="s">
        <v>27</v>
      </c>
      <c r="B140" s="3"/>
      <c r="C140" s="3"/>
      <c r="D140" s="4"/>
      <c r="E140" s="9"/>
      <c r="F140" s="9">
        <f>F138+F139</f>
        <v>3843.3377839999998</v>
      </c>
      <c r="G140" s="9"/>
      <c r="H140" s="5"/>
      <c r="I140" s="5"/>
    </row>
    <row r="141" spans="1:9" ht="12.75">
      <c r="A141" s="10" t="s">
        <v>30</v>
      </c>
      <c r="B141" s="3"/>
      <c r="C141" s="3"/>
      <c r="D141" s="4"/>
      <c r="E141" s="9">
        <f>F140</f>
        <v>3843.3377839999998</v>
      </c>
      <c r="F141" s="9">
        <f>E141*15%</f>
        <v>576.50066749999996</v>
      </c>
      <c r="G141" s="9"/>
      <c r="H141" s="5"/>
      <c r="I141" s="5"/>
    </row>
    <row r="142" spans="1:9" ht="12.75">
      <c r="A142" s="17" t="s">
        <v>27</v>
      </c>
      <c r="B142" s="3"/>
      <c r="C142" s="3"/>
      <c r="D142" s="4"/>
      <c r="E142" s="9"/>
      <c r="F142" s="18">
        <f>ROUND(F140+F141,2)</f>
        <v>4419.84</v>
      </c>
      <c r="G142" s="9"/>
      <c r="H142" s="5"/>
      <c r="I142" s="5"/>
    </row>
    <row r="143" spans="1:9" ht="12.75">
      <c r="A143" s="11">
        <v>2852</v>
      </c>
      <c r="B143" s="12"/>
      <c r="C143" s="13" t="s">
        <v>31</v>
      </c>
      <c r="D143" s="3"/>
      <c r="E143" s="4"/>
      <c r="F143" s="13"/>
      <c r="G143" s="4"/>
      <c r="H143" s="5"/>
      <c r="I143" s="5"/>
    </row>
    <row r="144" spans="1:9" ht="12.75">
      <c r="A144" s="6"/>
      <c r="B144" s="6"/>
      <c r="C144" s="14" t="s">
        <v>11</v>
      </c>
      <c r="D144" s="14">
        <v>4</v>
      </c>
      <c r="E144" s="14">
        <v>1.80</v>
      </c>
      <c r="F144" s="14">
        <f>D144*E144</f>
        <v>7.20</v>
      </c>
      <c r="G144" s="14" t="s">
        <v>32</v>
      </c>
      <c r="H144" s="5"/>
      <c r="I144" s="5"/>
    </row>
    <row r="145" spans="1:9" ht="12.75">
      <c r="A145" s="11">
        <v>1005</v>
      </c>
      <c r="B145" s="12"/>
      <c r="C145" s="13" t="s">
        <v>33</v>
      </c>
      <c r="D145" s="3"/>
      <c r="E145" s="4"/>
      <c r="F145" s="13"/>
      <c r="G145" s="4"/>
      <c r="H145" s="5"/>
      <c r="I145" s="5"/>
    </row>
    <row r="146" spans="1:9" ht="12.75">
      <c r="A146" s="6"/>
      <c r="B146" s="6"/>
      <c r="C146" s="14" t="s">
        <v>21</v>
      </c>
      <c r="D146" s="14">
        <v>0.01</v>
      </c>
      <c r="E146" s="14">
        <v>734</v>
      </c>
      <c r="F146" s="14">
        <f>D146*E146</f>
        <v>7.34</v>
      </c>
      <c r="G146" s="14" t="s">
        <v>34</v>
      </c>
      <c r="H146" s="5"/>
      <c r="I146" s="5"/>
    </row>
    <row r="147" spans="1:9" ht="12.75">
      <c r="A147" s="12" t="s">
        <v>23</v>
      </c>
      <c r="B147" s="11"/>
      <c r="C147" s="15" t="s">
        <v>35</v>
      </c>
      <c r="D147" s="3"/>
      <c r="E147" s="4"/>
      <c r="F147" s="13"/>
      <c r="G147" s="4"/>
      <c r="H147" s="5"/>
      <c r="I147" s="5"/>
    </row>
    <row r="148" spans="1:9" ht="12.75">
      <c r="A148" s="6"/>
      <c r="B148" s="6"/>
      <c r="C148" s="14" t="s">
        <v>25</v>
      </c>
      <c r="D148" s="14"/>
      <c r="E148" s="14"/>
      <c r="F148" s="14">
        <f>(F144+F146)*0.5%</f>
        <v>0.072700000000000001</v>
      </c>
      <c r="G148" s="14" t="s">
        <v>36</v>
      </c>
      <c r="H148" s="5"/>
      <c r="I148" s="5"/>
    </row>
    <row r="149" spans="1:9" ht="12.75">
      <c r="A149" s="10" t="s">
        <v>27</v>
      </c>
      <c r="B149" s="3"/>
      <c r="C149" s="4"/>
      <c r="D149" s="9">
        <v>1</v>
      </c>
      <c r="E149" s="9" t="s">
        <v>11</v>
      </c>
      <c r="F149" s="9">
        <f>F144+F146+F148</f>
        <v>14.6127</v>
      </c>
      <c r="G149" s="9"/>
      <c r="H149" s="5"/>
      <c r="I149" s="5"/>
    </row>
    <row r="150" spans="1:9" ht="12.75">
      <c r="A150" s="10" t="s">
        <v>28</v>
      </c>
      <c r="B150" s="3"/>
      <c r="C150" s="4"/>
      <c r="D150" s="9">
        <v>1</v>
      </c>
      <c r="E150" s="9" t="s">
        <v>11</v>
      </c>
      <c r="F150" s="9">
        <f>F149/D149</f>
        <v>14.6127</v>
      </c>
      <c r="G150" s="9"/>
      <c r="H150" s="5"/>
      <c r="I150" s="5"/>
    </row>
    <row r="151" spans="1:9" ht="12.75">
      <c r="A151" s="10" t="s">
        <v>29</v>
      </c>
      <c r="B151" s="3"/>
      <c r="C151" s="3"/>
      <c r="D151" s="4"/>
      <c r="E151" s="16">
        <f>F144*100.5%/D149</f>
        <v>7.2359999999999998</v>
      </c>
      <c r="F151" s="9">
        <f>E151*1%</f>
        <v>0.072359999999999994</v>
      </c>
      <c r="G151" s="9"/>
      <c r="H151" s="5"/>
      <c r="I151" s="5"/>
    </row>
    <row r="152" spans="1:9" ht="12.75">
      <c r="A152" s="10" t="s">
        <v>27</v>
      </c>
      <c r="B152" s="3"/>
      <c r="C152" s="3"/>
      <c r="D152" s="4"/>
      <c r="E152" s="9"/>
      <c r="F152" s="9">
        <f>F150+F151</f>
        <v>14.68506</v>
      </c>
      <c r="G152" s="9"/>
      <c r="H152" s="5"/>
      <c r="I152" s="5"/>
    </row>
    <row r="153" spans="1:9" ht="12.75">
      <c r="A153" s="10" t="s">
        <v>30</v>
      </c>
      <c r="B153" s="3"/>
      <c r="C153" s="3"/>
      <c r="D153" s="4"/>
      <c r="E153" s="9">
        <f>F152</f>
        <v>14.68506</v>
      </c>
      <c r="F153" s="9">
        <f>E153*15%</f>
        <v>2.2027589999999999</v>
      </c>
      <c r="G153" s="9"/>
      <c r="H153" s="5"/>
      <c r="I153" s="5"/>
    </row>
    <row r="154" spans="1:9" ht="12.75">
      <c r="A154" s="17" t="s">
        <v>27</v>
      </c>
      <c r="B154" s="3"/>
      <c r="C154" s="3"/>
      <c r="D154" s="4"/>
      <c r="E154" s="9"/>
      <c r="F154" s="18">
        <f>ROUND(F152+F153,2)</f>
        <v>16.89</v>
      </c>
      <c r="G154" s="9"/>
      <c r="H154" s="5"/>
      <c r="I154" s="5"/>
    </row>
    <row r="155" spans="1:9" ht="12.75">
      <c r="A155" s="19" t="s">
        <v>50</v>
      </c>
      <c r="B155" s="3"/>
      <c r="C155" s="3"/>
      <c r="D155" s="3"/>
      <c r="E155" s="3"/>
      <c r="F155" s="4"/>
      <c r="G155" s="20" t="s">
        <v>38</v>
      </c>
      <c r="H155" s="21">
        <f>((F132*1.005*1.01)+(F134*1.005))*1.15</f>
        <v>4419.8384509999996</v>
      </c>
      <c r="I155" s="21">
        <f>((F144*1.005*1.01)+(F146*1.005))*1.15</f>
        <v>16.887819</v>
      </c>
    </row>
    <row r="156" spans="1:9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  <c r="H156" s="5"/>
      <c r="I156" s="5"/>
    </row>
    <row r="157" spans="1:9" ht="12.75">
      <c r="A157" s="6"/>
      <c r="B157" s="6"/>
      <c r="C157" s="7" t="s">
        <v>4</v>
      </c>
      <c r="D157" s="7" t="s">
        <v>5</v>
      </c>
      <c r="E157" s="7" t="s">
        <v>6</v>
      </c>
      <c r="F157" s="7" t="s">
        <v>7</v>
      </c>
      <c r="G157" s="7" t="s">
        <v>8</v>
      </c>
      <c r="H157" s="5"/>
      <c r="I157" s="5"/>
    </row>
    <row r="158" spans="1:9" ht="12.75">
      <c r="A158" s="8" t="s">
        <v>51</v>
      </c>
      <c r="B158" s="3"/>
      <c r="C158" s="3"/>
      <c r="D158" s="3"/>
      <c r="E158" s="3"/>
      <c r="F158" s="3"/>
      <c r="G158" s="4"/>
      <c r="H158" s="5"/>
      <c r="I158" s="5"/>
    </row>
    <row r="159" spans="1:9" ht="12.75">
      <c r="A159" s="9"/>
      <c r="B159" s="9" t="s">
        <v>10</v>
      </c>
      <c r="C159" s="9" t="s">
        <v>11</v>
      </c>
      <c r="D159" s="9" t="s">
        <v>12</v>
      </c>
      <c r="E159" s="9">
        <v>1</v>
      </c>
      <c r="F159" s="9"/>
      <c r="G159" s="9"/>
      <c r="H159" s="5"/>
      <c r="I159" s="5"/>
    </row>
    <row r="160" spans="1:9" ht="12.75">
      <c r="A160" s="9" t="s">
        <v>13</v>
      </c>
      <c r="B160" s="10" t="s">
        <v>14</v>
      </c>
      <c r="C160" s="3"/>
      <c r="D160" s="3"/>
      <c r="E160" s="3"/>
      <c r="F160" s="3"/>
      <c r="G160" s="4"/>
      <c r="H160" s="5"/>
      <c r="I160" s="5"/>
    </row>
    <row r="161" spans="1:9" ht="12.75">
      <c r="A161" s="10" t="s">
        <v>15</v>
      </c>
      <c r="B161" s="3"/>
      <c r="C161" s="3"/>
      <c r="D161" s="3"/>
      <c r="E161" s="3"/>
      <c r="F161" s="3"/>
      <c r="G161" s="4"/>
      <c r="H161" s="5"/>
      <c r="I161" s="5"/>
    </row>
    <row r="162" spans="1:9" ht="12.75">
      <c r="A162" s="11"/>
      <c r="B162" s="12" t="s">
        <v>52</v>
      </c>
      <c r="C162" s="13" t="s">
        <v>53</v>
      </c>
      <c r="D162" s="3"/>
      <c r="E162" s="4"/>
      <c r="F162" s="13"/>
      <c r="G162" s="4"/>
      <c r="H162" s="5"/>
      <c r="I162" s="5"/>
    </row>
    <row r="163" spans="1:9" ht="12.75">
      <c r="A163" s="6"/>
      <c r="B163" s="6"/>
      <c r="C163" s="14" t="s">
        <v>11</v>
      </c>
      <c r="D163" s="14">
        <v>1</v>
      </c>
      <c r="E163" s="14">
        <v>2550</v>
      </c>
      <c r="F163" s="14">
        <f>D163*E163</f>
        <v>2550</v>
      </c>
      <c r="G163" s="14" t="s">
        <v>18</v>
      </c>
      <c r="H163" s="5"/>
      <c r="I163" s="5"/>
    </row>
    <row r="164" spans="1:9" ht="12.75">
      <c r="A164" s="11"/>
      <c r="B164" s="12" t="s">
        <v>19</v>
      </c>
      <c r="C164" s="13" t="s">
        <v>20</v>
      </c>
      <c r="D164" s="3"/>
      <c r="E164" s="4"/>
      <c r="F164" s="13"/>
      <c r="G164" s="4"/>
      <c r="H164" s="5"/>
      <c r="I164" s="5"/>
    </row>
    <row r="165" spans="1:9" ht="12.75">
      <c r="A165" s="6"/>
      <c r="B165" s="6"/>
      <c r="C165" s="14" t="s">
        <v>21</v>
      </c>
      <c r="D165" s="14">
        <v>0.01</v>
      </c>
      <c r="E165" s="14">
        <v>675</v>
      </c>
      <c r="F165" s="14">
        <f>D165*E165</f>
        <v>6.75</v>
      </c>
      <c r="G165" s="14" t="s">
        <v>22</v>
      </c>
      <c r="H165" s="5"/>
      <c r="I165" s="5"/>
    </row>
    <row r="166" spans="1:9" ht="12.75">
      <c r="A166" s="12" t="s">
        <v>23</v>
      </c>
      <c r="B166" s="11"/>
      <c r="C166" s="15" t="s">
        <v>24</v>
      </c>
      <c r="D166" s="3"/>
      <c r="E166" s="4"/>
      <c r="F166" s="13"/>
      <c r="G166" s="4"/>
      <c r="H166" s="5"/>
      <c r="I166" s="5"/>
    </row>
    <row r="167" spans="1:9" ht="12.75">
      <c r="A167" s="6"/>
      <c r="B167" s="6"/>
      <c r="C167" s="14" t="s">
        <v>25</v>
      </c>
      <c r="D167" s="14"/>
      <c r="E167" s="14"/>
      <c r="F167" s="14">
        <f>(F163+F165)*0.5%</f>
        <v>12.78375</v>
      </c>
      <c r="G167" s="14" t="s">
        <v>26</v>
      </c>
      <c r="H167" s="5"/>
      <c r="I167" s="5"/>
    </row>
    <row r="168" spans="1:9" ht="12.75">
      <c r="A168" s="10" t="s">
        <v>27</v>
      </c>
      <c r="B168" s="3"/>
      <c r="C168" s="4"/>
      <c r="D168" s="9">
        <v>1</v>
      </c>
      <c r="E168" s="9" t="s">
        <v>11</v>
      </c>
      <c r="F168" s="9">
        <f>F163+F165+F167</f>
        <v>2569.5337500000001</v>
      </c>
      <c r="G168" s="9"/>
      <c r="H168" s="5"/>
      <c r="I168" s="5"/>
    </row>
    <row r="169" spans="1:9" ht="12.75">
      <c r="A169" s="10" t="s">
        <v>28</v>
      </c>
      <c r="B169" s="3"/>
      <c r="C169" s="4"/>
      <c r="D169" s="9">
        <v>1</v>
      </c>
      <c r="E169" s="9" t="s">
        <v>11</v>
      </c>
      <c r="F169" s="9">
        <f>F168/D168</f>
        <v>2569.5337500000001</v>
      </c>
      <c r="G169" s="9"/>
      <c r="H169" s="5"/>
      <c r="I169" s="5"/>
    </row>
    <row r="170" spans="1:9" ht="12.75">
      <c r="A170" s="10" t="s">
        <v>29</v>
      </c>
      <c r="B170" s="3"/>
      <c r="C170" s="3"/>
      <c r="D170" s="4"/>
      <c r="E170" s="16">
        <f>F163*100.5%/D168</f>
        <v>2562.75</v>
      </c>
      <c r="F170" s="9">
        <f>E170*1%</f>
        <v>25.6275</v>
      </c>
      <c r="G170" s="9"/>
      <c r="H170" s="5"/>
      <c r="I170" s="5"/>
    </row>
    <row r="171" spans="1:9" ht="12.75">
      <c r="A171" s="10" t="s">
        <v>27</v>
      </c>
      <c r="B171" s="3"/>
      <c r="C171" s="3"/>
      <c r="D171" s="4"/>
      <c r="E171" s="9"/>
      <c r="F171" s="9">
        <f>F169+F170</f>
        <v>2595.1612500000001</v>
      </c>
      <c r="G171" s="9"/>
      <c r="H171" s="5"/>
      <c r="I171" s="5"/>
    </row>
    <row r="172" spans="1:9" ht="12.75">
      <c r="A172" s="10" t="s">
        <v>30</v>
      </c>
      <c r="B172" s="3"/>
      <c r="C172" s="3"/>
      <c r="D172" s="4"/>
      <c r="E172" s="9">
        <f>F171</f>
        <v>2595.1612500000001</v>
      </c>
      <c r="F172" s="9">
        <f>E172*15%</f>
        <v>389.27418749999998</v>
      </c>
      <c r="G172" s="9"/>
      <c r="H172" s="5"/>
      <c r="I172" s="5"/>
    </row>
    <row r="173" spans="1:9" ht="12.75">
      <c r="A173" s="17" t="s">
        <v>27</v>
      </c>
      <c r="B173" s="3"/>
      <c r="C173" s="3"/>
      <c r="D173" s="4"/>
      <c r="E173" s="9"/>
      <c r="F173" s="18">
        <f>ROUND(F171+F172,2)</f>
        <v>2984.44</v>
      </c>
      <c r="G173" s="9"/>
      <c r="H173" s="5"/>
      <c r="I173" s="5"/>
    </row>
    <row r="174" spans="1:9" ht="12.75">
      <c r="A174" s="11">
        <v>2852</v>
      </c>
      <c r="B174" s="12"/>
      <c r="C174" s="13" t="s">
        <v>31</v>
      </c>
      <c r="D174" s="3"/>
      <c r="E174" s="4"/>
      <c r="F174" s="13"/>
      <c r="G174" s="4"/>
      <c r="H174" s="5"/>
      <c r="I174" s="5"/>
    </row>
    <row r="175" spans="1:9" ht="12.75">
      <c r="A175" s="6"/>
      <c r="B175" s="6"/>
      <c r="C175" s="14" t="s">
        <v>11</v>
      </c>
      <c r="D175" s="14">
        <v>4</v>
      </c>
      <c r="E175" s="14">
        <v>1.80</v>
      </c>
      <c r="F175" s="14">
        <f>D175*E175</f>
        <v>7.20</v>
      </c>
      <c r="G175" s="14" t="s">
        <v>32</v>
      </c>
      <c r="H175" s="5"/>
      <c r="I175" s="5"/>
    </row>
    <row r="176" spans="1:9" ht="12.75">
      <c r="A176" s="11">
        <v>1005</v>
      </c>
      <c r="B176" s="12"/>
      <c r="C176" s="13" t="s">
        <v>33</v>
      </c>
      <c r="D176" s="3"/>
      <c r="E176" s="4"/>
      <c r="F176" s="13"/>
      <c r="G176" s="4"/>
      <c r="H176" s="5"/>
      <c r="I176" s="5"/>
    </row>
    <row r="177" spans="1:9" ht="12.75">
      <c r="A177" s="6"/>
      <c r="B177" s="6"/>
      <c r="C177" s="14" t="s">
        <v>21</v>
      </c>
      <c r="D177" s="14">
        <v>0.01</v>
      </c>
      <c r="E177" s="14">
        <v>734</v>
      </c>
      <c r="F177" s="14">
        <f>D177*E177</f>
        <v>7.34</v>
      </c>
      <c r="G177" s="14" t="s">
        <v>34</v>
      </c>
      <c r="H177" s="5"/>
      <c r="I177" s="5"/>
    </row>
    <row r="178" spans="1:9" ht="12.75">
      <c r="A178" s="12" t="s">
        <v>23</v>
      </c>
      <c r="B178" s="11"/>
      <c r="C178" s="15" t="s">
        <v>35</v>
      </c>
      <c r="D178" s="3"/>
      <c r="E178" s="4"/>
      <c r="F178" s="13"/>
      <c r="G178" s="4"/>
      <c r="H178" s="5"/>
      <c r="I178" s="5"/>
    </row>
    <row r="179" spans="1:9" ht="12.75">
      <c r="A179" s="6"/>
      <c r="B179" s="6"/>
      <c r="C179" s="14" t="s">
        <v>25</v>
      </c>
      <c r="D179" s="14"/>
      <c r="E179" s="14"/>
      <c r="F179" s="14">
        <f>(F175+F177)*0.5%</f>
        <v>0.072700000000000001</v>
      </c>
      <c r="G179" s="14" t="s">
        <v>36</v>
      </c>
      <c r="H179" s="5"/>
      <c r="I179" s="5"/>
    </row>
    <row r="180" spans="1:9" ht="12.75">
      <c r="A180" s="10" t="s">
        <v>27</v>
      </c>
      <c r="B180" s="3"/>
      <c r="C180" s="4"/>
      <c r="D180" s="9">
        <v>1</v>
      </c>
      <c r="E180" s="9" t="s">
        <v>11</v>
      </c>
      <c r="F180" s="9">
        <f>F175+F177+F179</f>
        <v>14.6127</v>
      </c>
      <c r="G180" s="9"/>
      <c r="H180" s="5"/>
      <c r="I180" s="5"/>
    </row>
    <row r="181" spans="1:9" ht="12.75">
      <c r="A181" s="10" t="s">
        <v>28</v>
      </c>
      <c r="B181" s="3"/>
      <c r="C181" s="4"/>
      <c r="D181" s="9">
        <v>1</v>
      </c>
      <c r="E181" s="9" t="s">
        <v>11</v>
      </c>
      <c r="F181" s="9">
        <f>F180/D180</f>
        <v>14.6127</v>
      </c>
      <c r="G181" s="9"/>
      <c r="H181" s="5"/>
      <c r="I181" s="5"/>
    </row>
    <row r="182" spans="1:9" ht="12.75">
      <c r="A182" s="10" t="s">
        <v>29</v>
      </c>
      <c r="B182" s="3"/>
      <c r="C182" s="3"/>
      <c r="D182" s="4"/>
      <c r="E182" s="16">
        <f>F175*100.5%/D180</f>
        <v>7.2359999999999998</v>
      </c>
      <c r="F182" s="9">
        <f>E182*1%</f>
        <v>0.072359999999999994</v>
      </c>
      <c r="G182" s="9"/>
      <c r="H182" s="5"/>
      <c r="I182" s="5"/>
    </row>
    <row r="183" spans="1:9" ht="12.75">
      <c r="A183" s="10" t="s">
        <v>27</v>
      </c>
      <c r="B183" s="3"/>
      <c r="C183" s="3"/>
      <c r="D183" s="4"/>
      <c r="E183" s="9"/>
      <c r="F183" s="9">
        <f>F181+F182</f>
        <v>14.68506</v>
      </c>
      <c r="G183" s="9"/>
      <c r="H183" s="5"/>
      <c r="I183" s="5"/>
    </row>
    <row r="184" spans="1:9" ht="12.75">
      <c r="A184" s="10" t="s">
        <v>30</v>
      </c>
      <c r="B184" s="3"/>
      <c r="C184" s="3"/>
      <c r="D184" s="4"/>
      <c r="E184" s="9">
        <f>F183</f>
        <v>14.68506</v>
      </c>
      <c r="F184" s="9">
        <f>E184*15%</f>
        <v>2.2027589999999999</v>
      </c>
      <c r="G184" s="9"/>
      <c r="H184" s="5"/>
      <c r="I184" s="5"/>
    </row>
    <row r="185" spans="1:9" ht="12.75">
      <c r="A185" s="17" t="s">
        <v>27</v>
      </c>
      <c r="B185" s="3"/>
      <c r="C185" s="3"/>
      <c r="D185" s="4"/>
      <c r="E185" s="9"/>
      <c r="F185" s="18">
        <f>ROUND(F183+F184,2)</f>
        <v>16.89</v>
      </c>
      <c r="G185" s="9"/>
      <c r="H185" s="5"/>
      <c r="I185" s="5"/>
    </row>
    <row r="186" spans="1:9" ht="12.75">
      <c r="A186" s="19" t="s">
        <v>54</v>
      </c>
      <c r="B186" s="3"/>
      <c r="C186" s="3"/>
      <c r="D186" s="3"/>
      <c r="E186" s="3"/>
      <c r="F186" s="4"/>
      <c r="G186" s="20" t="s">
        <v>38</v>
      </c>
      <c r="H186" s="21">
        <f>((F163*1.005*1.01)+(F165*1.005))*1.15</f>
        <v>2984.435438</v>
      </c>
      <c r="I186" s="21">
        <f>((F175*1.005*1.01)+(F177*1.005))*1.15</f>
        <v>16.887819</v>
      </c>
    </row>
    <row r="187" spans="1:9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  <c r="H187" s="5"/>
      <c r="I187" s="5"/>
    </row>
    <row r="188" spans="1:9" ht="12.75">
      <c r="A188" s="6"/>
      <c r="B188" s="6"/>
      <c r="C188" s="7" t="s">
        <v>4</v>
      </c>
      <c r="D188" s="7" t="s">
        <v>5</v>
      </c>
      <c r="E188" s="7" t="s">
        <v>6</v>
      </c>
      <c r="F188" s="7" t="s">
        <v>7</v>
      </c>
      <c r="G188" s="7" t="s">
        <v>8</v>
      </c>
      <c r="H188" s="5"/>
      <c r="I188" s="5"/>
    </row>
    <row r="189" spans="1:9" ht="12.75">
      <c r="A189" s="8" t="s">
        <v>55</v>
      </c>
      <c r="B189" s="3"/>
      <c r="C189" s="3"/>
      <c r="D189" s="3"/>
      <c r="E189" s="3"/>
      <c r="F189" s="3"/>
      <c r="G189" s="4"/>
      <c r="H189" s="5"/>
      <c r="I189" s="5"/>
    </row>
    <row r="190" spans="1:9" ht="12.75">
      <c r="A190" s="9"/>
      <c r="B190" s="9" t="s">
        <v>10</v>
      </c>
      <c r="C190" s="9" t="s">
        <v>11</v>
      </c>
      <c r="D190" s="9" t="s">
        <v>12</v>
      </c>
      <c r="E190" s="9">
        <v>1</v>
      </c>
      <c r="F190" s="9"/>
      <c r="G190" s="9"/>
      <c r="H190" s="5"/>
      <c r="I190" s="5"/>
    </row>
    <row r="191" spans="1:9" ht="12.75">
      <c r="A191" s="9" t="s">
        <v>13</v>
      </c>
      <c r="B191" s="10" t="s">
        <v>14</v>
      </c>
      <c r="C191" s="3"/>
      <c r="D191" s="3"/>
      <c r="E191" s="3"/>
      <c r="F191" s="3"/>
      <c r="G191" s="4"/>
      <c r="H191" s="5"/>
      <c r="I191" s="5"/>
    </row>
    <row r="192" spans="1:9" ht="12.75">
      <c r="A192" s="10" t="s">
        <v>15</v>
      </c>
      <c r="B192" s="3"/>
      <c r="C192" s="3"/>
      <c r="D192" s="3"/>
      <c r="E192" s="3"/>
      <c r="F192" s="3"/>
      <c r="G192" s="4"/>
      <c r="H192" s="5"/>
      <c r="I192" s="5"/>
    </row>
    <row r="193" spans="1:9" ht="12.75">
      <c r="A193" s="11"/>
      <c r="B193" s="12" t="s">
        <v>52</v>
      </c>
      <c r="C193" s="13" t="s">
        <v>56</v>
      </c>
      <c r="D193" s="3"/>
      <c r="E193" s="4"/>
      <c r="F193" s="13"/>
      <c r="G193" s="4"/>
      <c r="H193" s="5"/>
      <c r="I193" s="5"/>
    </row>
    <row r="194" spans="1:9" ht="12.75">
      <c r="A194" s="6"/>
      <c r="B194" s="6"/>
      <c r="C194" s="14" t="s">
        <v>11</v>
      </c>
      <c r="D194" s="14">
        <v>1</v>
      </c>
      <c r="E194" s="14">
        <v>2600</v>
      </c>
      <c r="F194" s="14">
        <f>D194*E194</f>
        <v>2600</v>
      </c>
      <c r="G194" s="14" t="s">
        <v>18</v>
      </c>
      <c r="H194" s="5"/>
      <c r="I194" s="5"/>
    </row>
    <row r="195" spans="1:9" ht="12.75">
      <c r="A195" s="11"/>
      <c r="B195" s="12" t="s">
        <v>19</v>
      </c>
      <c r="C195" s="13" t="s">
        <v>20</v>
      </c>
      <c r="D195" s="3"/>
      <c r="E195" s="4"/>
      <c r="F195" s="13"/>
      <c r="G195" s="4"/>
      <c r="H195" s="5"/>
      <c r="I195" s="5"/>
    </row>
    <row r="196" spans="1:9" ht="12.75">
      <c r="A196" s="6"/>
      <c r="B196" s="6"/>
      <c r="C196" s="14" t="s">
        <v>21</v>
      </c>
      <c r="D196" s="14">
        <v>0.01</v>
      </c>
      <c r="E196" s="14">
        <v>675</v>
      </c>
      <c r="F196" s="14">
        <f>D196*E196</f>
        <v>6.75</v>
      </c>
      <c r="G196" s="14" t="s">
        <v>22</v>
      </c>
      <c r="H196" s="5"/>
      <c r="I196" s="5"/>
    </row>
    <row r="197" spans="1:9" ht="12.75">
      <c r="A197" s="12" t="s">
        <v>23</v>
      </c>
      <c r="B197" s="11"/>
      <c r="C197" s="15" t="s">
        <v>24</v>
      </c>
      <c r="D197" s="3"/>
      <c r="E197" s="4"/>
      <c r="F197" s="13"/>
      <c r="G197" s="4"/>
      <c r="H197" s="5"/>
      <c r="I197" s="5"/>
    </row>
    <row r="198" spans="1:9" ht="12.75">
      <c r="A198" s="6"/>
      <c r="B198" s="6"/>
      <c r="C198" s="14" t="s">
        <v>25</v>
      </c>
      <c r="D198" s="14"/>
      <c r="E198" s="14"/>
      <c r="F198" s="14">
        <f>(F194+F196)*0.5%</f>
        <v>13.03375</v>
      </c>
      <c r="G198" s="14" t="s">
        <v>26</v>
      </c>
      <c r="H198" s="5"/>
      <c r="I198" s="5"/>
    </row>
    <row r="199" spans="1:9" ht="12.75">
      <c r="A199" s="10" t="s">
        <v>27</v>
      </c>
      <c r="B199" s="3"/>
      <c r="C199" s="4"/>
      <c r="D199" s="9">
        <v>1</v>
      </c>
      <c r="E199" s="9" t="s">
        <v>11</v>
      </c>
      <c r="F199" s="9">
        <f>F194+F196+F198</f>
        <v>2619.7837500000001</v>
      </c>
      <c r="G199" s="9"/>
      <c r="H199" s="5"/>
      <c r="I199" s="5"/>
    </row>
    <row r="200" spans="1:9" ht="12.75">
      <c r="A200" s="10" t="s">
        <v>28</v>
      </c>
      <c r="B200" s="3"/>
      <c r="C200" s="4"/>
      <c r="D200" s="9">
        <v>1</v>
      </c>
      <c r="E200" s="9" t="s">
        <v>11</v>
      </c>
      <c r="F200" s="9">
        <f>F199/D199</f>
        <v>2619.7837500000001</v>
      </c>
      <c r="G200" s="9"/>
      <c r="H200" s="5"/>
      <c r="I200" s="5"/>
    </row>
    <row r="201" spans="1:9" ht="12.75">
      <c r="A201" s="10" t="s">
        <v>29</v>
      </c>
      <c r="B201" s="3"/>
      <c r="C201" s="3"/>
      <c r="D201" s="4"/>
      <c r="E201" s="16">
        <f>F194*100.5%/D199</f>
        <v>2613</v>
      </c>
      <c r="F201" s="9">
        <f>E201*1%</f>
        <v>26.13</v>
      </c>
      <c r="G201" s="9"/>
      <c r="H201" s="5"/>
      <c r="I201" s="5"/>
    </row>
    <row r="202" spans="1:9" ht="12.75">
      <c r="A202" s="10" t="s">
        <v>27</v>
      </c>
      <c r="B202" s="3"/>
      <c r="C202" s="3"/>
      <c r="D202" s="4"/>
      <c r="E202" s="9"/>
      <c r="F202" s="9">
        <f>F200+F201</f>
        <v>2645.9137500000002</v>
      </c>
      <c r="G202" s="9"/>
      <c r="H202" s="5"/>
      <c r="I202" s="5"/>
    </row>
    <row r="203" spans="1:9" ht="12.75">
      <c r="A203" s="10" t="s">
        <v>30</v>
      </c>
      <c r="B203" s="3"/>
      <c r="C203" s="3"/>
      <c r="D203" s="4"/>
      <c r="E203" s="9">
        <f>F202</f>
        <v>2645.9137500000002</v>
      </c>
      <c r="F203" s="9">
        <f>E203*15%</f>
        <v>396.88706250000001</v>
      </c>
      <c r="G203" s="9"/>
      <c r="H203" s="5"/>
      <c r="I203" s="5"/>
    </row>
    <row r="204" spans="1:9" ht="12.75">
      <c r="A204" s="17" t="s">
        <v>27</v>
      </c>
      <c r="B204" s="3"/>
      <c r="C204" s="3"/>
      <c r="D204" s="4"/>
      <c r="E204" s="9"/>
      <c r="F204" s="18">
        <f>ROUND(F202+F203,2)</f>
        <v>3042.80</v>
      </c>
      <c r="G204" s="9"/>
      <c r="H204" s="5"/>
      <c r="I204" s="5"/>
    </row>
    <row r="205" spans="1:9" ht="12.75">
      <c r="A205" s="11">
        <v>2852</v>
      </c>
      <c r="B205" s="12"/>
      <c r="C205" s="13" t="s">
        <v>31</v>
      </c>
      <c r="D205" s="3"/>
      <c r="E205" s="4"/>
      <c r="F205" s="13"/>
      <c r="G205" s="4"/>
      <c r="H205" s="5"/>
      <c r="I205" s="5"/>
    </row>
    <row r="206" spans="1:9" ht="12.75">
      <c r="A206" s="6"/>
      <c r="B206" s="6"/>
      <c r="C206" s="14" t="s">
        <v>11</v>
      </c>
      <c r="D206" s="14">
        <v>4</v>
      </c>
      <c r="E206" s="14">
        <v>1.80</v>
      </c>
      <c r="F206" s="14">
        <f>D206*E206</f>
        <v>7.20</v>
      </c>
      <c r="G206" s="14" t="s">
        <v>32</v>
      </c>
      <c r="H206" s="5"/>
      <c r="I206" s="5"/>
    </row>
    <row r="207" spans="1:9" ht="12.75">
      <c r="A207" s="11">
        <v>1005</v>
      </c>
      <c r="B207" s="12"/>
      <c r="C207" s="13" t="s">
        <v>33</v>
      </c>
      <c r="D207" s="3"/>
      <c r="E207" s="4"/>
      <c r="F207" s="13"/>
      <c r="G207" s="4"/>
      <c r="H207" s="5"/>
      <c r="I207" s="5"/>
    </row>
    <row r="208" spans="1:9" ht="12.75">
      <c r="A208" s="6"/>
      <c r="B208" s="6"/>
      <c r="C208" s="14" t="s">
        <v>21</v>
      </c>
      <c r="D208" s="14">
        <v>0.01</v>
      </c>
      <c r="E208" s="14">
        <v>734</v>
      </c>
      <c r="F208" s="14">
        <f>D208*E208</f>
        <v>7.34</v>
      </c>
      <c r="G208" s="14" t="s">
        <v>34</v>
      </c>
      <c r="H208" s="5"/>
      <c r="I208" s="5"/>
    </row>
    <row r="209" spans="1:9" ht="12.75">
      <c r="A209" s="12" t="s">
        <v>23</v>
      </c>
      <c r="B209" s="11"/>
      <c r="C209" s="15" t="s">
        <v>35</v>
      </c>
      <c r="D209" s="3"/>
      <c r="E209" s="4"/>
      <c r="F209" s="13"/>
      <c r="G209" s="4"/>
      <c r="H209" s="5"/>
      <c r="I209" s="5"/>
    </row>
    <row r="210" spans="1:9" ht="12.75">
      <c r="A210" s="6"/>
      <c r="B210" s="6"/>
      <c r="C210" s="14" t="s">
        <v>25</v>
      </c>
      <c r="D210" s="14"/>
      <c r="E210" s="14"/>
      <c r="F210" s="14">
        <f>(F206+F208)*0.5%</f>
        <v>0.072700000000000001</v>
      </c>
      <c r="G210" s="14" t="s">
        <v>36</v>
      </c>
      <c r="H210" s="5"/>
      <c r="I210" s="5"/>
    </row>
    <row r="211" spans="1:9" ht="12.75">
      <c r="A211" s="10" t="s">
        <v>27</v>
      </c>
      <c r="B211" s="3"/>
      <c r="C211" s="4"/>
      <c r="D211" s="9">
        <v>1</v>
      </c>
      <c r="E211" s="9" t="s">
        <v>11</v>
      </c>
      <c r="F211" s="9">
        <f>F206+F208+F210</f>
        <v>14.6127</v>
      </c>
      <c r="G211" s="9"/>
      <c r="H211" s="5"/>
      <c r="I211" s="5"/>
    </row>
    <row r="212" spans="1:9" ht="12.75">
      <c r="A212" s="10" t="s">
        <v>28</v>
      </c>
      <c r="B212" s="3"/>
      <c r="C212" s="4"/>
      <c r="D212" s="9">
        <v>1</v>
      </c>
      <c r="E212" s="9" t="s">
        <v>11</v>
      </c>
      <c r="F212" s="9">
        <f>F211/D211</f>
        <v>14.6127</v>
      </c>
      <c r="G212" s="9"/>
      <c r="H212" s="5"/>
      <c r="I212" s="5"/>
    </row>
    <row r="213" spans="1:9" ht="12.75">
      <c r="A213" s="10" t="s">
        <v>29</v>
      </c>
      <c r="B213" s="3"/>
      <c r="C213" s="3"/>
      <c r="D213" s="4"/>
      <c r="E213" s="16">
        <f>F206*100.5%/D211</f>
        <v>7.2359999999999998</v>
      </c>
      <c r="F213" s="9">
        <f>E213*1%</f>
        <v>0.072359999999999994</v>
      </c>
      <c r="G213" s="9"/>
      <c r="H213" s="5"/>
      <c r="I213" s="5"/>
    </row>
    <row r="214" spans="1:9" ht="12.75">
      <c r="A214" s="10" t="s">
        <v>27</v>
      </c>
      <c r="B214" s="3"/>
      <c r="C214" s="3"/>
      <c r="D214" s="4"/>
      <c r="E214" s="9"/>
      <c r="F214" s="9">
        <f>F212+F213</f>
        <v>14.68506</v>
      </c>
      <c r="G214" s="9"/>
      <c r="H214" s="5"/>
      <c r="I214" s="5"/>
    </row>
    <row r="215" spans="1:9" ht="12.75">
      <c r="A215" s="10" t="s">
        <v>30</v>
      </c>
      <c r="B215" s="3"/>
      <c r="C215" s="3"/>
      <c r="D215" s="4"/>
      <c r="E215" s="9">
        <f>F214</f>
        <v>14.68506</v>
      </c>
      <c r="F215" s="9">
        <f>E215*15%</f>
        <v>2.2027589999999999</v>
      </c>
      <c r="G215" s="9"/>
      <c r="H215" s="5"/>
      <c r="I215" s="5"/>
    </row>
    <row r="216" spans="1:9" ht="12.75">
      <c r="A216" s="17" t="s">
        <v>27</v>
      </c>
      <c r="B216" s="3"/>
      <c r="C216" s="3"/>
      <c r="D216" s="4"/>
      <c r="E216" s="9"/>
      <c r="F216" s="18">
        <f>ROUND(F214+F215,2)</f>
        <v>16.89</v>
      </c>
      <c r="G216" s="9"/>
      <c r="H216" s="5"/>
      <c r="I216" s="5"/>
    </row>
    <row r="217" spans="1:9" ht="12.75">
      <c r="A217" s="19" t="s">
        <v>57</v>
      </c>
      <c r="B217" s="3"/>
      <c r="C217" s="3"/>
      <c r="D217" s="3"/>
      <c r="E217" s="3"/>
      <c r="F217" s="4"/>
      <c r="G217" s="20" t="s">
        <v>38</v>
      </c>
      <c r="H217" s="21">
        <f>((F194*1.005*1.01)+(F196*1.005))*1.15</f>
        <v>3042.8008129999998</v>
      </c>
      <c r="I217" s="21">
        <f>((F206*1.005*1.01)+(F208*1.005))*1.15</f>
        <v>16.887819</v>
      </c>
    </row>
  </sheetData>
  <mergeCells count="308"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C13"/>
    <mergeCell ref="A14:C14"/>
    <mergeCell ref="A15:D15"/>
    <mergeCell ref="A16:D16"/>
    <mergeCell ref="F21:G21"/>
    <mergeCell ref="F23:G23"/>
    <mergeCell ref="A17:D17"/>
    <mergeCell ref="A18:D18"/>
    <mergeCell ref="A19:A20"/>
    <mergeCell ref="B19:B20"/>
    <mergeCell ref="C19:E19"/>
    <mergeCell ref="F19:G19"/>
    <mergeCell ref="A21:A22"/>
    <mergeCell ref="B21:B22"/>
    <mergeCell ref="C21:E21"/>
    <mergeCell ref="A23:A24"/>
    <mergeCell ref="B23:B24"/>
    <mergeCell ref="C23:E23"/>
    <mergeCell ref="A25:C25"/>
    <mergeCell ref="A26:C26"/>
    <mergeCell ref="C32:E32"/>
    <mergeCell ref="F32:G32"/>
    <mergeCell ref="A27:D27"/>
    <mergeCell ref="A28:D28"/>
    <mergeCell ref="A29:D29"/>
    <mergeCell ref="A30:D30"/>
    <mergeCell ref="A31:F31"/>
    <mergeCell ref="A32:A33"/>
    <mergeCell ref="B32:B33"/>
    <mergeCell ref="A34:G34"/>
    <mergeCell ref="B36:G36"/>
    <mergeCell ref="A37:G37"/>
    <mergeCell ref="A38:A39"/>
    <mergeCell ref="B38:B39"/>
    <mergeCell ref="C38:E38"/>
    <mergeCell ref="F38:G38"/>
    <mergeCell ref="A40:A41"/>
    <mergeCell ref="B40:B41"/>
    <mergeCell ref="C40:E40"/>
    <mergeCell ref="F40:G40"/>
    <mergeCell ref="A42:A43"/>
    <mergeCell ref="C42:E42"/>
    <mergeCell ref="F42:G42"/>
    <mergeCell ref="B42:B43"/>
    <mergeCell ref="A44:C44"/>
    <mergeCell ref="A45:C45"/>
    <mergeCell ref="A46:D46"/>
    <mergeCell ref="A47:D47"/>
    <mergeCell ref="A48:D48"/>
    <mergeCell ref="A49:D49"/>
    <mergeCell ref="C54:E54"/>
    <mergeCell ref="F54:G54"/>
    <mergeCell ref="A50:A51"/>
    <mergeCell ref="B50:B51"/>
    <mergeCell ref="C50:E50"/>
    <mergeCell ref="F50:G50"/>
    <mergeCell ref="B52:B53"/>
    <mergeCell ref="C52:E52"/>
    <mergeCell ref="F52:G52"/>
    <mergeCell ref="A52:A53"/>
    <mergeCell ref="A54:A55"/>
    <mergeCell ref="B54:B55"/>
    <mergeCell ref="A56:C56"/>
    <mergeCell ref="A57:C57"/>
    <mergeCell ref="A58:D58"/>
    <mergeCell ref="A59:D59"/>
    <mergeCell ref="A60:D60"/>
    <mergeCell ref="A61:D61"/>
    <mergeCell ref="A62:F62"/>
    <mergeCell ref="A63:A64"/>
    <mergeCell ref="B63:B64"/>
    <mergeCell ref="C63:E63"/>
    <mergeCell ref="F63:G63"/>
    <mergeCell ref="A65:G65"/>
    <mergeCell ref="B67:G67"/>
    <mergeCell ref="A68:G68"/>
    <mergeCell ref="A69:A70"/>
    <mergeCell ref="B69:B70"/>
    <mergeCell ref="C69:E69"/>
    <mergeCell ref="F69:G69"/>
    <mergeCell ref="A71:A72"/>
    <mergeCell ref="B71:B72"/>
    <mergeCell ref="C71:E71"/>
    <mergeCell ref="F71:G71"/>
    <mergeCell ref="A73:A74"/>
    <mergeCell ref="C73:E73"/>
    <mergeCell ref="F73:G73"/>
    <mergeCell ref="B73:B74"/>
    <mergeCell ref="A75:C75"/>
    <mergeCell ref="A76:C76"/>
    <mergeCell ref="A77:D77"/>
    <mergeCell ref="A78:D78"/>
    <mergeCell ref="A79:D79"/>
    <mergeCell ref="A80:D80"/>
    <mergeCell ref="C85:E85"/>
    <mergeCell ref="F85:G85"/>
    <mergeCell ref="A81:A82"/>
    <mergeCell ref="B81:B82"/>
    <mergeCell ref="C81:E81"/>
    <mergeCell ref="F81:G81"/>
    <mergeCell ref="B83:B84"/>
    <mergeCell ref="C83:E83"/>
    <mergeCell ref="F83:G83"/>
    <mergeCell ref="A83:A84"/>
    <mergeCell ref="A85:A86"/>
    <mergeCell ref="B85:B8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C94:E94"/>
    <mergeCell ref="F94:G94"/>
    <mergeCell ref="A96:G96"/>
    <mergeCell ref="B98:G98"/>
    <mergeCell ref="A99:G99"/>
    <mergeCell ref="A100:A101"/>
    <mergeCell ref="B100:B101"/>
    <mergeCell ref="C100:E100"/>
    <mergeCell ref="F100:G100"/>
    <mergeCell ref="A102:A103"/>
    <mergeCell ref="B102:B103"/>
    <mergeCell ref="C102:E102"/>
    <mergeCell ref="F102:G102"/>
    <mergeCell ref="A104:A105"/>
    <mergeCell ref="C104:E104"/>
    <mergeCell ref="F104:G104"/>
    <mergeCell ref="B104:B105"/>
    <mergeCell ref="A106:C106"/>
    <mergeCell ref="A107:C107"/>
    <mergeCell ref="A108:D108"/>
    <mergeCell ref="A109:D109"/>
    <mergeCell ref="A110:D110"/>
    <mergeCell ref="A111:D111"/>
    <mergeCell ref="C116:E116"/>
    <mergeCell ref="F116:G116"/>
    <mergeCell ref="A112:A113"/>
    <mergeCell ref="B112:B113"/>
    <mergeCell ref="C112:E112"/>
    <mergeCell ref="F112:G112"/>
    <mergeCell ref="B114:B115"/>
    <mergeCell ref="C114:E114"/>
    <mergeCell ref="F114:G114"/>
    <mergeCell ref="A114:A115"/>
    <mergeCell ref="A116:A117"/>
    <mergeCell ref="B116:B117"/>
    <mergeCell ref="A118:C118"/>
    <mergeCell ref="A119:C119"/>
    <mergeCell ref="A120:D120"/>
    <mergeCell ref="A121:D121"/>
    <mergeCell ref="A122:D122"/>
    <mergeCell ref="A123:D123"/>
    <mergeCell ref="A124:F124"/>
    <mergeCell ref="A125:A126"/>
    <mergeCell ref="B125:B126"/>
    <mergeCell ref="C125:E125"/>
    <mergeCell ref="F125:G125"/>
    <mergeCell ref="A127:G127"/>
    <mergeCell ref="B129:G129"/>
    <mergeCell ref="A130:G130"/>
    <mergeCell ref="A131:A132"/>
    <mergeCell ref="B131:B132"/>
    <mergeCell ref="C131:E131"/>
    <mergeCell ref="F131:G131"/>
    <mergeCell ref="A133:A134"/>
    <mergeCell ref="B133:B134"/>
    <mergeCell ref="C133:E133"/>
    <mergeCell ref="F133:G133"/>
    <mergeCell ref="A135:A136"/>
    <mergeCell ref="C135:E135"/>
    <mergeCell ref="F135:G135"/>
    <mergeCell ref="B135:B136"/>
    <mergeCell ref="A137:C137"/>
    <mergeCell ref="A138:C138"/>
    <mergeCell ref="A139:D139"/>
    <mergeCell ref="A140:D140"/>
    <mergeCell ref="A141:D141"/>
    <mergeCell ref="A142:D142"/>
    <mergeCell ref="C147:E147"/>
    <mergeCell ref="F147:G147"/>
    <mergeCell ref="A143:A144"/>
    <mergeCell ref="B143:B144"/>
    <mergeCell ref="C143:E143"/>
    <mergeCell ref="F143:G143"/>
    <mergeCell ref="B145:B146"/>
    <mergeCell ref="C145:E145"/>
    <mergeCell ref="F145:G145"/>
    <mergeCell ref="A145:A146"/>
    <mergeCell ref="A147:A148"/>
    <mergeCell ref="B147:B148"/>
    <mergeCell ref="A149:C149"/>
    <mergeCell ref="A150:C150"/>
    <mergeCell ref="A151:D151"/>
    <mergeCell ref="A152:D152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B160:G160"/>
    <mergeCell ref="A161:G161"/>
    <mergeCell ref="A162:A163"/>
    <mergeCell ref="B162:B163"/>
    <mergeCell ref="C162:E162"/>
    <mergeCell ref="F162:G162"/>
    <mergeCell ref="A164:A165"/>
    <mergeCell ref="B164:B165"/>
    <mergeCell ref="C164:E164"/>
    <mergeCell ref="F164:G164"/>
    <mergeCell ref="A166:A167"/>
    <mergeCell ref="C166:E166"/>
    <mergeCell ref="F166:G166"/>
    <mergeCell ref="B166:B167"/>
    <mergeCell ref="A168:C168"/>
    <mergeCell ref="A169:C169"/>
    <mergeCell ref="A170:D170"/>
    <mergeCell ref="A171:D171"/>
    <mergeCell ref="A172:D172"/>
    <mergeCell ref="A173:D173"/>
    <mergeCell ref="C178:E178"/>
    <mergeCell ref="F178:G178"/>
    <mergeCell ref="A174:A175"/>
    <mergeCell ref="B174:B175"/>
    <mergeCell ref="C174:E174"/>
    <mergeCell ref="F174:G174"/>
    <mergeCell ref="B176:B177"/>
    <mergeCell ref="C176:E176"/>
    <mergeCell ref="F176:G176"/>
    <mergeCell ref="A215:D215"/>
    <mergeCell ref="A216:D216"/>
    <mergeCell ref="A217:F217"/>
    <mergeCell ref="A207:A208"/>
    <mergeCell ref="A209:A210"/>
    <mergeCell ref="B209:B210"/>
    <mergeCell ref="A211:C211"/>
    <mergeCell ref="A212:C212"/>
    <mergeCell ref="A213:D213"/>
    <mergeCell ref="A214:D214"/>
    <mergeCell ref="A176:A177"/>
    <mergeCell ref="A178:A179"/>
    <mergeCell ref="B178:B179"/>
    <mergeCell ref="A180:C180"/>
    <mergeCell ref="A181:C181"/>
    <mergeCell ref="A182:D182"/>
    <mergeCell ref="A183:D183"/>
    <mergeCell ref="A184:D184"/>
    <mergeCell ref="A185:D185"/>
    <mergeCell ref="A186:F186"/>
    <mergeCell ref="A187:A188"/>
    <mergeCell ref="B187:B188"/>
    <mergeCell ref="C187:E187"/>
    <mergeCell ref="F187:G187"/>
    <mergeCell ref="A189:G189"/>
    <mergeCell ref="B191:G191"/>
    <mergeCell ref="A192:G192"/>
    <mergeCell ref="A193:A194"/>
    <mergeCell ref="B193:B194"/>
    <mergeCell ref="C193:E193"/>
    <mergeCell ref="F193:G193"/>
    <mergeCell ref="A195:A196"/>
    <mergeCell ref="B195:B196"/>
    <mergeCell ref="C195:E195"/>
    <mergeCell ref="F195:G195"/>
    <mergeCell ref="A197:A198"/>
    <mergeCell ref="C197:E197"/>
    <mergeCell ref="F197:G197"/>
    <mergeCell ref="B197:B198"/>
    <mergeCell ref="A199:C199"/>
    <mergeCell ref="A200:C200"/>
    <mergeCell ref="A201:D201"/>
    <mergeCell ref="A202:D202"/>
    <mergeCell ref="A203:D203"/>
    <mergeCell ref="A204:D204"/>
    <mergeCell ref="C209:E209"/>
    <mergeCell ref="F209:G209"/>
    <mergeCell ref="A205:A206"/>
    <mergeCell ref="B205:B206"/>
    <mergeCell ref="C205:E205"/>
    <mergeCell ref="F205:G205"/>
    <mergeCell ref="B207:B208"/>
    <mergeCell ref="C207:E207"/>
    <mergeCell ref="F207:G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