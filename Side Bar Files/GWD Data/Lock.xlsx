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<sst xmlns="http://schemas.openxmlformats.org/spreadsheetml/2006/main" count="35" uniqueCount="23">
  <si>
    <t>Locking Arrangements - Supplying and Fixing lock and locking arrangements with suitable chain hooks,and padlock of 65mm size. (60.4)</t>
  </si>
  <si>
    <t>Header Unit</t>
  </si>
  <si>
    <t>each</t>
  </si>
  <si>
    <t>Header Quantity</t>
  </si>
  <si>
    <t>Header Details</t>
  </si>
  <si>
    <t>Material</t>
  </si>
  <si>
    <t>MR302</t>
  </si>
  <si>
    <t>Hooks for locking arrangements</t>
  </si>
  <si>
    <t>MR303</t>
  </si>
  <si>
    <t>Chain for locking arrangemet</t>
  </si>
  <si>
    <t>metre</t>
  </si>
  <si>
    <t>MR304</t>
  </si>
  <si>
    <t>Padlock 65mm</t>
  </si>
  <si>
    <t>TOTAL (Material)</t>
  </si>
  <si>
    <t>no</t>
  </si>
  <si>
    <t>UNIT TOTAL</t>
  </si>
  <si>
    <t>Water Charge@ 1.00 %</t>
  </si>
  <si>
    <t>TOTAL</t>
  </si>
  <si>
    <t>Contractors Profit &amp; Overhead@ 15.00 %</t>
  </si>
  <si>
    <t>Labour</t>
  </si>
  <si>
    <t>Carpenter 2nd class</t>
  </si>
  <si>
    <t>Day</t>
  </si>
  <si>
    <t>Say ₹ 641.15 + 207.32775 x Cost Index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</si>
</sst>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mbria"/>
      <family val="2"/>
    </font>
    <font>
      <b/>
      <sz val="12"/>
      <color rgb="FF212529"/>
      <name val="Cambria"/>
      <family val="2"/>
    </font>
    <font>
      <sz val="12"/>
      <color rgb="FF212529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DEE2E6"/>
      </bottom>
    </border>
    <border>
      <left/>
      <right/>
      <top style="thin">
        <color rgb="FF000000"/>
      </top>
      <bottom style="thin">
        <color rgb="FFDEE2E6"/>
      </bottom>
    </border>
    <border>
      <left/>
      <right style="thin">
        <color rgb="FFDEE2E6"/>
      </right>
      <top style="thin">
        <color rgb="FF000000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1">
    <xf numFmtId="0" fontId="0" fillId="0" borderId="0" xfId="0"/>
    <xf numFmtId="0" fontId="3" fillId="2" borderId="1" xfId="0" applyFont="1" applyBorder="1" applyAlignment="1">
      <alignment vertical="top" wrapText="1"/>
    </xf>
    <xf numFmtId="0" fontId="1" fillId="0" borderId="2" xfId="0" applyFont="1" applyBorder="1">
      <alignment/>
    </xf>
    <xf numFmtId="0" fontId="1" fillId="0" borderId="3" xfId="0" applyFont="1" applyBorder="1">
      <alignment/>
    </xf>
    <xf numFmtId="0" fontId="4" fillId="2" borderId="4" xfId="0" applyFont="1" applyBorder="1" applyAlignment="1">
      <alignment vertical="top"/>
    </xf>
    <xf numFmtId="0" fontId="4" fillId="2" borderId="4" xfId="0" applyFont="1" applyBorder="1" applyAlignment="1">
      <alignment horizontal="left" vertical="top"/>
    </xf>
    <xf numFmtId="0" fontId="4" fillId="2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5" xfId="0" applyFont="1" applyBorder="1" applyAlignment="1">
      <alignment vertical="top"/>
    </xf>
    <xf numFmtId="0" fontId="1" fillId="0" borderId="6" xfId="0" applyFont="1" applyBorder="1">
      <alignment/>
    </xf>
    <xf numFmtId="0" fontId="3" fillId="2" borderId="1" xfId="0" applyFont="1" applyBorder="1" applyAlignment="1">
      <alignment horizontal="center" vertical="center" wrapText="1"/>
    </xf>
    <xf numFmtId="0" fontId="4" fillId="2" borderId="4" xfId="0" applyFont="1" applyBorder="1" applyAlignment="1">
      <alignment horizontal="right" vertical="center" wrapText="1"/>
    </xf>
    <xf numFmtId="0" fontId="4" fillId="2" borderId="4" xfId="0" applyFont="1" applyBorder="1" applyAlignment="1">
      <alignment horizontal="left" vertical="center" wrapText="1"/>
    </xf>
    <xf numFmtId="0" fontId="4" fillId="2" borderId="1" xfId="0" applyFont="1" applyBorder="1" applyAlignment="1">
      <alignment horizontal="center" vertical="center" wrapText="1"/>
    </xf>
    <xf numFmtId="0" fontId="3" fillId="2" borderId="4" xfId="0" applyFont="1" applyBorder="1" applyAlignment="1">
      <alignment horizontal="right" vertical="center" wrapText="1"/>
    </xf>
    <xf numFmtId="0" fontId="3" fillId="2" borderId="1" xfId="0" applyFont="1" applyBorder="1" applyAlignment="1">
      <alignment vertical="top"/>
    </xf>
    <xf numFmtId="0" fontId="4" fillId="2" borderId="1" xfId="0" applyFont="1" applyBorder="1" applyAlignment="1">
      <alignment vertical="top"/>
    </xf>
    <xf numFmtId="0" fontId="3" fillId="2" borderId="4" xfId="0" applyFont="1" applyBorder="1" applyAlignment="1">
      <alignment vertical="top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>
      <alignment/>
    </xf>
    <xf numFmtId="0" fontId="1" fillId="0" borderId="9" xfId="0" applyFont="1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F3189D0-FEA6-439F-9B3D-08640984BAA6}">
  <dimension ref="A1:F26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/>
      <c r="B2" s="4" t="s">
        <v>1</v>
      </c>
      <c r="C2" s="4" t="s">
        <v>2</v>
      </c>
      <c r="D2" s="4" t="s">
        <v>3</v>
      </c>
      <c r="E2" s="4">
        <v>1</v>
      </c>
      <c r="F2" s="5"/>
    </row>
    <row r="3" spans="1:6" ht="12.75">
      <c r="A3" s="4" t="s">
        <v>4</v>
      </c>
      <c r="B3" s="6"/>
      <c r="C3" s="2"/>
      <c r="D3" s="2"/>
      <c r="E3" s="2"/>
      <c r="F3" s="3"/>
    </row>
    <row r="4" spans="1:6" ht="12.75">
      <c r="A4" s="7" t="s">
        <v>5</v>
      </c>
      <c r="B4" s="2"/>
      <c r="C4" s="2"/>
      <c r="D4" s="2"/>
      <c r="E4" s="2"/>
      <c r="F4" s="3"/>
    </row>
    <row r="5" spans="1:6" ht="12.75">
      <c r="A5" s="8"/>
      <c r="B5" s="8" t="s">
        <v>6</v>
      </c>
      <c r="C5" s="6" t="s">
        <v>7</v>
      </c>
      <c r="D5" s="2"/>
      <c r="E5" s="3"/>
      <c r="F5" s="5"/>
    </row>
    <row r="6" spans="1:6" ht="12.75">
      <c r="A6" s="9"/>
      <c r="B6" s="9"/>
      <c r="C6" s="4" t="s">
        <v>2</v>
      </c>
      <c r="D6" s="4">
        <v>1</v>
      </c>
      <c r="E6" s="4">
        <v>70</v>
      </c>
      <c r="F6" s="4">
        <f>D6*E6</f>
        <v>70</v>
      </c>
    </row>
    <row r="7" spans="1:6" ht="12.75">
      <c r="A7" s="8"/>
      <c r="B7" s="8" t="s">
        <v>8</v>
      </c>
      <c r="C7" s="6" t="s">
        <v>9</v>
      </c>
      <c r="D7" s="2"/>
      <c r="E7" s="3"/>
      <c r="F7" s="5"/>
    </row>
    <row r="8" spans="1:6" ht="12.75">
      <c r="A8" s="9"/>
      <c r="B8" s="9"/>
      <c r="C8" s="4" t="s">
        <v>10</v>
      </c>
      <c r="D8" s="4">
        <v>3.50</v>
      </c>
      <c r="E8" s="4">
        <v>72</v>
      </c>
      <c r="F8" s="4">
        <f>D8*E8</f>
        <v>252</v>
      </c>
    </row>
    <row r="9" spans="1:6" ht="12.75">
      <c r="A9" s="8"/>
      <c r="B9" s="8" t="s">
        <v>11</v>
      </c>
      <c r="C9" s="6" t="s">
        <v>12</v>
      </c>
      <c r="D9" s="2"/>
      <c r="E9" s="3"/>
      <c r="F9" s="5"/>
    </row>
    <row r="10" spans="1:6" ht="12.75">
      <c r="A10" s="9"/>
      <c r="B10" s="9"/>
      <c r="C10" s="4" t="s">
        <v>2</v>
      </c>
      <c r="D10" s="4">
        <v>1</v>
      </c>
      <c r="E10" s="4">
        <v>230</v>
      </c>
      <c r="F10" s="4">
        <f>D10*E10</f>
        <v>230</v>
      </c>
    </row>
    <row r="11" spans="1:6" ht="12.75">
      <c r="A11" s="10" t="s">
        <v>13</v>
      </c>
      <c r="B11" s="2"/>
      <c r="C11" s="3"/>
      <c r="D11" s="11">
        <v>1</v>
      </c>
      <c r="E11" s="12" t="s">
        <v>14</v>
      </c>
      <c r="F11" s="11">
        <f>F10+F8+F6</f>
        <v>552</v>
      </c>
    </row>
    <row r="12" spans="1:6" ht="12.75">
      <c r="A12" s="10" t="s">
        <v>15</v>
      </c>
      <c r="B12" s="2"/>
      <c r="C12" s="3"/>
      <c r="D12" s="11">
        <v>1</v>
      </c>
      <c r="E12" s="12" t="s">
        <v>14</v>
      </c>
      <c r="F12" s="11">
        <f>F11</f>
        <v>552</v>
      </c>
    </row>
    <row r="13" spans="1:6" ht="12.75">
      <c r="A13" s="13" t="s">
        <v>16</v>
      </c>
      <c r="B13" s="2"/>
      <c r="C13" s="2"/>
      <c r="D13" s="3"/>
      <c r="E13" s="11"/>
      <c r="F13" s="11">
        <f>F12*1%</f>
        <v>5.52</v>
      </c>
    </row>
    <row r="14" spans="1:6" ht="12.75">
      <c r="A14" s="13" t="s">
        <v>17</v>
      </c>
      <c r="B14" s="2"/>
      <c r="C14" s="2"/>
      <c r="D14" s="3"/>
      <c r="E14" s="12"/>
      <c r="F14" s="11">
        <f>F12+F13</f>
        <v>557.52</v>
      </c>
    </row>
    <row r="15" spans="1:6" ht="12.75">
      <c r="A15" s="13" t="s">
        <v>18</v>
      </c>
      <c r="B15" s="2"/>
      <c r="C15" s="2"/>
      <c r="D15" s="3"/>
      <c r="E15" s="11"/>
      <c r="F15" s="11">
        <f>F14*15%</f>
        <v>83.628</v>
      </c>
    </row>
    <row r="16" spans="1:6" ht="12.75">
      <c r="A16" s="13" t="s">
        <v>17</v>
      </c>
      <c r="B16" s="2"/>
      <c r="C16" s="2"/>
      <c r="D16" s="3"/>
      <c r="E16" s="12"/>
      <c r="F16" s="14">
        <f>ROUND(F14+F15,2)</f>
        <v>641.15</v>
      </c>
    </row>
    <row r="17" spans="1:6" ht="12.75">
      <c r="A17" s="7" t="s">
        <v>19</v>
      </c>
      <c r="B17" s="2"/>
      <c r="C17" s="2"/>
      <c r="D17" s="2"/>
      <c r="E17" s="2"/>
      <c r="F17" s="3"/>
    </row>
    <row r="18" spans="1:6" ht="12.75">
      <c r="A18" s="8">
        <v>112</v>
      </c>
      <c r="B18" s="8"/>
      <c r="C18" s="6" t="s">
        <v>20</v>
      </c>
      <c r="D18" s="2"/>
      <c r="E18" s="3"/>
      <c r="F18" s="5"/>
    </row>
    <row r="19" spans="1:6" ht="12.75">
      <c r="A19" s="9"/>
      <c r="B19" s="9"/>
      <c r="C19" s="4" t="s">
        <v>21</v>
      </c>
      <c r="D19" s="4">
        <v>0.25</v>
      </c>
      <c r="E19" s="4">
        <v>714</v>
      </c>
      <c r="F19" s="4">
        <f>D19*E19</f>
        <v>178.50</v>
      </c>
    </row>
    <row r="20" spans="1:6" ht="12.75">
      <c r="A20" s="15" t="s">
        <v>17</v>
      </c>
      <c r="B20" s="2"/>
      <c r="C20" s="3"/>
      <c r="D20" s="4">
        <v>1</v>
      </c>
      <c r="E20" s="5" t="s">
        <v>2</v>
      </c>
      <c r="F20" s="4">
        <f>F19</f>
        <v>178.50</v>
      </c>
    </row>
    <row r="21" spans="1:6" ht="12.75">
      <c r="A21" s="15" t="s">
        <v>15</v>
      </c>
      <c r="B21" s="2"/>
      <c r="C21" s="3"/>
      <c r="D21" s="4">
        <v>1</v>
      </c>
      <c r="E21" s="5" t="s">
        <v>2</v>
      </c>
      <c r="F21" s="4">
        <f>F20/1</f>
        <v>178.50</v>
      </c>
    </row>
    <row r="22" spans="1:6" ht="12.75">
      <c r="A22" s="16" t="s">
        <v>16</v>
      </c>
      <c r="B22" s="2"/>
      <c r="C22" s="2"/>
      <c r="D22" s="3"/>
      <c r="E22" s="4">
        <f>F21</f>
        <v>178.50</v>
      </c>
      <c r="F22" s="4">
        <f>E22*1%</f>
        <v>1.785</v>
      </c>
    </row>
    <row r="23" spans="1:6" ht="12.75">
      <c r="A23" s="16" t="s">
        <v>17</v>
      </c>
      <c r="B23" s="2"/>
      <c r="C23" s="2"/>
      <c r="D23" s="3"/>
      <c r="E23" s="5"/>
      <c r="F23" s="4">
        <f>SUM(F21:F22)</f>
        <v>180.285</v>
      </c>
    </row>
    <row r="24" spans="1:6" ht="12.75">
      <c r="A24" s="16" t="s">
        <v>18</v>
      </c>
      <c r="B24" s="2"/>
      <c r="C24" s="2"/>
      <c r="D24" s="3"/>
      <c r="E24" s="4">
        <f>F23</f>
        <v>180.285</v>
      </c>
      <c r="F24" s="4">
        <f>E24*15%</f>
        <v>27.042750000000002</v>
      </c>
    </row>
    <row r="25" spans="1:6" ht="12.75">
      <c r="A25" s="16" t="s">
        <v>17</v>
      </c>
      <c r="B25" s="2"/>
      <c r="C25" s="2"/>
      <c r="D25" s="3"/>
      <c r="E25" s="5"/>
      <c r="F25" s="17">
        <f>SUM(F23:F24)</f>
        <v>207.32775000000001</v>
      </c>
    </row>
    <row r="26" spans="1:6" ht="12.75">
      <c r="A26" s="18" t="s">
        <v>22</v>
      </c>
      <c r="B26" s="19"/>
      <c r="C26" s="19"/>
      <c r="D26" s="19"/>
      <c r="E26" s="19"/>
      <c r="F26" s="20"/>
    </row>
  </sheetData>
  <mergeCells count="29">
    <mergeCell ref="B7:B8"/>
    <mergeCell ref="C7:E7"/>
    <mergeCell ref="C9:E9"/>
    <mergeCell ref="A1:F1"/>
    <mergeCell ref="B3:F3"/>
    <mergeCell ref="A4:F4"/>
    <mergeCell ref="A5:A6"/>
    <mergeCell ref="B5:B6"/>
    <mergeCell ref="C5:E5"/>
    <mergeCell ref="A7:A8"/>
    <mergeCell ref="A9:A10"/>
    <mergeCell ref="B9:B10"/>
    <mergeCell ref="A11:C11"/>
    <mergeCell ref="A12:C12"/>
    <mergeCell ref="A13:D13"/>
    <mergeCell ref="A14:D14"/>
    <mergeCell ref="A15:D15"/>
    <mergeCell ref="A22:D22"/>
    <mergeCell ref="A23:D23"/>
    <mergeCell ref="A24:D24"/>
    <mergeCell ref="A25:D25"/>
    <mergeCell ref="A26:F26"/>
    <mergeCell ref="A16:D16"/>
    <mergeCell ref="A17:F17"/>
    <mergeCell ref="A18:A19"/>
    <mergeCell ref="B18:B19"/>
    <mergeCell ref="C18:E18"/>
    <mergeCell ref="A20:C20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