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<sst xmlns="http://schemas.openxmlformats.org/spreadsheetml/2006/main" count="163" uniqueCount="41">
  <si>
    <t>Gutter &amp; Clamp</t>
  </si>
  <si>
    <t>Providing and fixing PVC full pipe as gutter pipes includes laying jointing of pipes complete as per direction of Engineer in Charge for 140 mm dia 6 KGF/cm2</t>
  </si>
  <si>
    <t>Code</t>
  </si>
  <si>
    <t>Description</t>
  </si>
  <si>
    <t>Unit</t>
  </si>
  <si>
    <t>Quantity</t>
  </si>
  <si>
    <t>Rate</t>
  </si>
  <si>
    <t>Amount</t>
  </si>
  <si>
    <t>Details of cost for 10 metre</t>
  </si>
  <si>
    <t>MATERIALS:</t>
  </si>
  <si>
    <t>MR 10215</t>
  </si>
  <si>
    <t>PVC Pipe, 6kg/cm2, 140mm Dia</t>
  </si>
  <si>
    <t>metre</t>
  </si>
  <si>
    <t>Add 5% for fittings and wastage etc. on (A)</t>
  </si>
  <si>
    <t>Total</t>
  </si>
  <si>
    <t>Add Water Charges @ 1%</t>
  </si>
  <si>
    <t>TOTAL</t>
  </si>
  <si>
    <t>Add CPOH @ 15%</t>
  </si>
  <si>
    <t>Cost of 10.0 metre</t>
  </si>
  <si>
    <t>Cost per metre</t>
  </si>
  <si>
    <t>Fitter(grade1)</t>
  </si>
  <si>
    <t>Day</t>
  </si>
  <si>
    <t>Assistant Fitter or 2nd class fitter</t>
  </si>
  <si>
    <t>Beldar</t>
  </si>
  <si>
    <t>TOTAL  </t>
  </si>
  <si>
    <t xml:space="preserve">Providing and fixing PVC gutter pipes includes laying jointing of pipes, complete as per direction of Engineer in Charge.for 160 mm dia 6 KGF/cm2 for 10m </t>
  </si>
  <si>
    <t>MR10216</t>
  </si>
  <si>
    <t>PVC Pipe, 6kg/cm2, 160mm Dia</t>
  </si>
  <si>
    <t xml:space="preserve">Providing and fixing 140mm square PVC  gutter pipes includes laying jointing of pipes   including clamp, complete as per direction of Engineer in Charge. for 10m </t>
  </si>
  <si>
    <t xml:space="preserve">PVC pipe 140 mm square </t>
  </si>
  <si>
    <t xml:space="preserve">Providing and fixing 160mm square PVC  gutter pipes includes laying jointing of pipes   including clamp, complete as per direction of Engineer in Charge. for 10m </t>
  </si>
  <si>
    <t xml:space="preserve">PVC pipe 160 mm square </t>
  </si>
  <si>
    <t>Add 15% for fittings and wastage etc. on (A)</t>
  </si>
  <si>
    <t xml:space="preserve">Providing and fixing MS Clamp for gutter pipe as per direction of Engineer in Charge. </t>
  </si>
  <si>
    <t>Details of cost for 10 Nos</t>
  </si>
  <si>
    <t>MR118</t>
  </si>
  <si>
    <t>Clamp using Galvanized MS flat clamp</t>
  </si>
  <si>
    <t>Nos</t>
  </si>
  <si>
    <t>Cost of 10 Nos</t>
  </si>
  <si>
    <t>Cost per each</t>
  </si>
  <si>
    <t>Blacksmith</t>
  </si>
</sst>
</file>

<file path=xl/styles.xml><?xml version="1.0" encoding="utf-8"?>
<styleSheet xmlns="http://schemas.openxmlformats.org/spreadsheetml/2006/main">
  <numFmts count="1">
    <numFmt numFmtId="177" formatCode="0.000"/>
  </numFmts>
  <fonts count="4">
    <font>
      <sz val="10"/>
      <color theme="1"/>
      <name val="Arial"/>
      <family val="2"/>
    </font>
    <font>
      <b/>
      <sz val="12"/>
      <color theme="1"/>
      <name val="Cambria"/>
      <family val="2"/>
    </font>
    <font>
      <sz val="12"/>
      <color theme="1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2CC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</border>
    <border>
      <left style="thin">
        <color rgb="FF3D3D3D"/>
      </left>
      <right/>
      <top style="thin">
        <color rgb="FF3D3D3D"/>
      </top>
      <bottom style="thin">
        <color rgb="FF3D3D3D"/>
      </bottom>
    </border>
    <border>
      <left/>
      <right/>
      <top style="thin">
        <color rgb="FF3D3D3D"/>
      </top>
      <bottom style="thin">
        <color rgb="FF3D3D3D"/>
      </bottom>
    </border>
    <border>
      <left/>
      <right style="thin">
        <color rgb="FF3D3D3D"/>
      </right>
      <top style="thin">
        <color rgb="FF3D3D3D"/>
      </top>
      <bottom style="thin">
        <color rgb="FF3D3D3D"/>
      </bottom>
    </border>
    <border>
      <left style="thin">
        <color rgb="FF3D3D3D"/>
      </left>
      <right style="thin">
        <color rgb="FF3D3D3D"/>
      </right>
      <top style="thin">
        <color rgb="FF3D3D3D"/>
      </top>
      <bottom/>
    </border>
    <border>
      <left style="thin">
        <color rgb="FF3D3D3D"/>
      </left>
      <right style="thin">
        <color rgb="FF3D3D3D"/>
      </right>
      <top/>
      <bottom style="thin">
        <color rgb="FF3D3D3D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>
      <alignment/>
    </xf>
    <xf numFmtId="0" fontId="3" fillId="0" borderId="3" xfId="0" applyFont="1" applyBorder="1">
      <alignment/>
    </xf>
    <xf numFmtId="0" fontId="1" fillId="3" borderId="4" xfId="0" applyFont="1" applyBorder="1" applyAlignment="1">
      <alignment horizontal="center" vertical="center" wrapText="1"/>
    </xf>
    <xf numFmtId="0" fontId="2" fillId="3" borderId="5" xfId="0" applyFont="1" applyBorder="1" applyAlignment="1">
      <alignment vertical="center" wrapText="1"/>
    </xf>
    <xf numFmtId="0" fontId="3" fillId="0" borderId="6" xfId="0" applyFont="1" applyBorder="1">
      <alignment/>
    </xf>
    <xf numFmtId="0" fontId="3" fillId="0" borderId="7" xfId="0" applyFont="1" applyBorder="1">
      <alignment/>
    </xf>
    <xf numFmtId="0" fontId="2" fillId="3" borderId="8" xfId="0" applyFont="1" applyBorder="1" applyAlignment="1">
      <alignment vertical="center" wrapText="1"/>
    </xf>
    <xf numFmtId="0" fontId="2" fillId="3" borderId="4" xfId="0" applyFont="1" applyBorder="1" applyAlignment="1">
      <alignment vertical="center" wrapText="1"/>
    </xf>
    <xf numFmtId="0" fontId="3" fillId="0" borderId="9" xfId="0" applyFont="1" applyBorder="1">
      <alignment/>
    </xf>
    <xf numFmtId="0" fontId="2" fillId="3" borderId="10" xfId="0" applyFont="1" applyBorder="1" applyAlignment="1">
      <alignment horizontal="center" vertical="center" wrapText="1"/>
    </xf>
    <xf numFmtId="0" fontId="2" fillId="3" borderId="8" xfId="0" applyFont="1" applyBorder="1" applyAlignment="1">
      <alignment horizontal="center" vertical="center" wrapText="1"/>
    </xf>
    <xf numFmtId="0" fontId="2" fillId="3" borderId="8" xfId="0" applyFont="1" applyBorder="1" applyAlignment="1">
      <alignment horizontal="right" vertical="center" wrapText="1"/>
    </xf>
    <xf numFmtId="0" fontId="3" fillId="0" borderId="11" xfId="0" applyFont="1" applyBorder="1">
      <alignment/>
    </xf>
    <xf numFmtId="0" fontId="2" fillId="3" borderId="4" xfId="0" applyFont="1" applyBorder="1" applyAlignment="1">
      <alignment horizontal="center" vertical="center" wrapText="1"/>
    </xf>
    <xf numFmtId="0" fontId="2" fillId="3" borderId="5" xfId="0" applyFont="1" applyBorder="1" applyAlignment="1">
      <alignment horizontal="right" vertical="center" wrapText="1"/>
    </xf>
    <xf numFmtId="177" fontId="2" fillId="3" borderId="4" xfId="0" applyNumberFormat="1" applyFont="1" applyBorder="1" applyAlignment="1">
      <alignment horizontal="right" vertical="center" wrapText="1"/>
    </xf>
    <xf numFmtId="2" fontId="2" fillId="3" borderId="4" xfId="0" applyNumberFormat="1" applyFont="1" applyBorder="1" applyAlignment="1">
      <alignment horizontal="right" vertical="center" wrapText="1"/>
    </xf>
    <xf numFmtId="0" fontId="2" fillId="3" borderId="4" xfId="0" applyFont="1" applyBorder="1" applyAlignment="1">
      <alignment horizontal="right" vertical="center" wrapText="1"/>
    </xf>
    <xf numFmtId="0" fontId="2" fillId="3" borderId="4" xfId="0" applyFont="1" applyBorder="1" applyAlignment="1">
      <alignment vertical="center"/>
    </xf>
    <xf numFmtId="0" fontId="1" fillId="3" borderId="5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4" borderId="5" xfId="0" applyFont="1" applyBorder="1" applyAlignment="1">
      <alignment vertical="center" wrapText="1"/>
    </xf>
    <xf numFmtId="0" fontId="2" fillId="4" borderId="8" xfId="0" applyFont="1" applyBorder="1" applyAlignment="1">
      <alignment vertical="center" wrapText="1"/>
    </xf>
    <xf numFmtId="0" fontId="2" fillId="4" borderId="4" xfId="0" applyFont="1" applyBorder="1" applyAlignment="1">
      <alignment vertical="center" wrapText="1"/>
    </xf>
    <xf numFmtId="0" fontId="2" fillId="4" borderId="10" xfId="0" applyFont="1" applyBorder="1" applyAlignment="1">
      <alignment horizontal="center" vertical="center" wrapText="1"/>
    </xf>
    <xf numFmtId="0" fontId="2" fillId="4" borderId="8" xfId="0" applyFont="1" applyBorder="1" applyAlignment="1">
      <alignment horizontal="center" vertical="center" wrapText="1"/>
    </xf>
    <xf numFmtId="0" fontId="2" fillId="4" borderId="8" xfId="0" applyFont="1" applyBorder="1" applyAlignment="1">
      <alignment horizontal="right" vertical="center" wrapText="1"/>
    </xf>
    <xf numFmtId="0" fontId="2" fillId="4" borderId="4" xfId="0" applyFont="1" applyBorder="1" applyAlignment="1">
      <alignment horizontal="center" vertical="center" wrapText="1"/>
    </xf>
    <xf numFmtId="0" fontId="2" fillId="4" borderId="5" xfId="0" applyFont="1" applyBorder="1" applyAlignment="1">
      <alignment horizontal="right" vertical="center" wrapText="1"/>
    </xf>
    <xf numFmtId="177" fontId="2" fillId="4" borderId="4" xfId="0" applyNumberFormat="1" applyFont="1" applyBorder="1" applyAlignment="1">
      <alignment horizontal="right" vertical="center" wrapText="1"/>
    </xf>
    <xf numFmtId="2" fontId="2" fillId="4" borderId="4" xfId="0" applyNumberFormat="1" applyFont="1" applyBorder="1" applyAlignment="1">
      <alignment horizontal="right" vertical="center" wrapText="1"/>
    </xf>
    <xf numFmtId="0" fontId="2" fillId="4" borderId="4" xfId="0" applyFont="1" applyBorder="1" applyAlignment="1">
      <alignment horizontal="right" vertical="center" wrapText="1"/>
    </xf>
    <xf numFmtId="0" fontId="2" fillId="4" borderId="4" xfId="0" applyFont="1" applyBorder="1" applyAlignment="1">
      <alignment vertical="center"/>
    </xf>
    <xf numFmtId="0" fontId="1" fillId="4" borderId="5" xfId="0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8FCB52E-CF50-4A9A-8C6A-2192203EB9A7}">
  <dimension ref="A1:F120"/>
  <sheetViews>
    <sheetView tabSelected="1" workbookViewId="0" topLeftCell="A1"/>
  </sheetViews>
  <sheetFormatPr defaultRowHeight="12.75"/>
  <sheetData>
    <row r="1" spans="1:6" ht="12.75">
      <c r="A1" s="1" t="s">
        <v>0</v>
      </c>
      <c r="B1" s="2"/>
      <c r="C1" s="2"/>
      <c r="D1" s="2"/>
      <c r="E1" s="2"/>
      <c r="F1" s="3"/>
    </row>
    <row r="2" spans="1:6" ht="12.75">
      <c r="A2" s="4">
        <v>0</v>
      </c>
      <c r="B2" s="5" t="s">
        <v>1</v>
      </c>
      <c r="C2" s="6"/>
      <c r="D2" s="6"/>
      <c r="E2" s="6"/>
      <c r="F2" s="7"/>
    </row>
    <row r="3" spans="1:6" ht="12.7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ht="12.75">
      <c r="A4" s="8"/>
      <c r="B4" s="9" t="s">
        <v>8</v>
      </c>
      <c r="C4" s="8"/>
      <c r="D4" s="8"/>
      <c r="E4" s="8"/>
      <c r="F4" s="8"/>
    </row>
    <row r="5" spans="1:6" ht="12.75">
      <c r="A5" s="10"/>
      <c r="B5" s="9" t="s">
        <v>9</v>
      </c>
      <c r="C5" s="10"/>
      <c r="D5" s="10"/>
      <c r="E5" s="10"/>
      <c r="F5" s="10"/>
    </row>
    <row r="6" spans="1:6" ht="12.75">
      <c r="A6" s="11" t="s">
        <v>10</v>
      </c>
      <c r="B6" s="9" t="s">
        <v>11</v>
      </c>
      <c r="C6" s="12" t="s">
        <v>12</v>
      </c>
      <c r="D6" s="12">
        <v>10.50</v>
      </c>
      <c r="E6" s="12">
        <v>475</v>
      </c>
      <c r="F6" s="13">
        <f>D6*E6</f>
        <v>4987.50</v>
      </c>
    </row>
    <row r="7" spans="1:6" ht="12.75">
      <c r="A7" s="14"/>
      <c r="B7" s="9" t="s">
        <v>13</v>
      </c>
      <c r="C7" s="10"/>
      <c r="D7" s="10"/>
      <c r="E7" s="10"/>
      <c r="F7" s="10"/>
    </row>
    <row r="8" spans="1:6" ht="12.75">
      <c r="A8" s="15"/>
      <c r="B8" s="16" t="s">
        <v>14</v>
      </c>
      <c r="C8" s="6"/>
      <c r="D8" s="6"/>
      <c r="E8" s="7"/>
      <c r="F8" s="17">
        <f>SUM(F6:F7)</f>
        <v>4987.50</v>
      </c>
    </row>
    <row r="9" spans="1:6" ht="12.75">
      <c r="A9" s="15"/>
      <c r="B9" s="16" t="s">
        <v>15</v>
      </c>
      <c r="C9" s="6"/>
      <c r="D9" s="6"/>
      <c r="E9" s="7"/>
      <c r="F9" s="17">
        <f>F8*0.01</f>
        <v>49.875</v>
      </c>
    </row>
    <row r="10" spans="1:6" ht="12.75">
      <c r="A10" s="15"/>
      <c r="B10" s="16" t="s">
        <v>16</v>
      </c>
      <c r="C10" s="6"/>
      <c r="D10" s="6"/>
      <c r="E10" s="7"/>
      <c r="F10" s="17">
        <f>F8+F9</f>
        <v>5037.375</v>
      </c>
    </row>
    <row r="11" spans="1:6" ht="12.75">
      <c r="A11" s="15"/>
      <c r="B11" s="16" t="s">
        <v>17</v>
      </c>
      <c r="C11" s="6"/>
      <c r="D11" s="6"/>
      <c r="E11" s="7"/>
      <c r="F11" s="17">
        <f>F10*0.15</f>
        <v>755.60625000000005</v>
      </c>
    </row>
    <row r="12" spans="1:6" ht="12.75">
      <c r="A12" s="15"/>
      <c r="B12" s="16" t="s">
        <v>16</v>
      </c>
      <c r="C12" s="6"/>
      <c r="D12" s="6"/>
      <c r="E12" s="7"/>
      <c r="F12" s="17">
        <f>F10+F11</f>
        <v>5792.9812499999998</v>
      </c>
    </row>
    <row r="13" spans="1:6" ht="12.75">
      <c r="A13" s="15"/>
      <c r="B13" s="16" t="s">
        <v>18</v>
      </c>
      <c r="C13" s="6"/>
      <c r="D13" s="6"/>
      <c r="E13" s="7"/>
      <c r="F13" s="17">
        <f>F12</f>
        <v>5792.9812499999998</v>
      </c>
    </row>
    <row r="14" spans="1:6" ht="12.75">
      <c r="A14" s="15"/>
      <c r="B14" s="16" t="s">
        <v>19</v>
      </c>
      <c r="C14" s="6"/>
      <c r="D14" s="6"/>
      <c r="E14" s="7"/>
      <c r="F14" s="18">
        <f>ROUND((F13/10),2)</f>
        <v>579.30</v>
      </c>
    </row>
    <row r="15" spans="1:6" ht="12.75">
      <c r="A15" s="15">
        <v>116</v>
      </c>
      <c r="B15" s="9" t="s">
        <v>20</v>
      </c>
      <c r="C15" s="15" t="s">
        <v>21</v>
      </c>
      <c r="D15" s="15">
        <v>0.33</v>
      </c>
      <c r="E15" s="15">
        <v>784</v>
      </c>
      <c r="F15" s="19">
        <f>D15*E15</f>
        <v>258.72</v>
      </c>
    </row>
    <row r="16" spans="1:6" ht="12.75">
      <c r="A16" s="15">
        <v>117</v>
      </c>
      <c r="B16" s="9" t="s">
        <v>22</v>
      </c>
      <c r="C16" s="15" t="s">
        <v>21</v>
      </c>
      <c r="D16" s="15">
        <v>0.40</v>
      </c>
      <c r="E16" s="15">
        <v>714</v>
      </c>
      <c r="F16" s="19">
        <f>D16*E16</f>
        <v>285.60</v>
      </c>
    </row>
    <row r="17" spans="1:6" ht="12.75">
      <c r="A17" s="15">
        <v>114</v>
      </c>
      <c r="B17" s="9" t="s">
        <v>23</v>
      </c>
      <c r="C17" s="15" t="s">
        <v>21</v>
      </c>
      <c r="D17" s="15">
        <v>0.40</v>
      </c>
      <c r="E17" s="15">
        <v>645</v>
      </c>
      <c r="F17" s="19">
        <f>D17*E17</f>
        <v>258</v>
      </c>
    </row>
    <row r="18" spans="1:6" ht="12.75">
      <c r="A18" s="20"/>
      <c r="B18" s="16" t="s">
        <v>24</v>
      </c>
      <c r="C18" s="6"/>
      <c r="D18" s="6"/>
      <c r="E18" s="7"/>
      <c r="F18" s="17">
        <f>SUM(F15:F17)</f>
        <v>802.32</v>
      </c>
    </row>
    <row r="19" spans="1:6" ht="12.75">
      <c r="A19" s="20"/>
      <c r="B19" s="16" t="s">
        <v>15</v>
      </c>
      <c r="C19" s="6"/>
      <c r="D19" s="6"/>
      <c r="E19" s="7"/>
      <c r="F19" s="17">
        <f>F18*0.01</f>
        <v>8.0231999999999992</v>
      </c>
    </row>
    <row r="20" spans="1:6" ht="12.75">
      <c r="A20" s="20"/>
      <c r="B20" s="16" t="s">
        <v>16</v>
      </c>
      <c r="C20" s="6"/>
      <c r="D20" s="6"/>
      <c r="E20" s="7"/>
      <c r="F20" s="17">
        <f>SUM(F18:F19)</f>
        <v>810.34320000000002</v>
      </c>
    </row>
    <row r="21" spans="1:6" ht="12.75">
      <c r="A21" s="20"/>
      <c r="B21" s="16" t="s">
        <v>17</v>
      </c>
      <c r="C21" s="6"/>
      <c r="D21" s="6"/>
      <c r="E21" s="7"/>
      <c r="F21" s="17">
        <f>F20*0.15</f>
        <v>121.55148</v>
      </c>
    </row>
    <row r="22" spans="1:6" ht="12.75">
      <c r="A22" s="20"/>
      <c r="B22" s="16" t="s">
        <v>16</v>
      </c>
      <c r="C22" s="6"/>
      <c r="D22" s="6"/>
      <c r="E22" s="7"/>
      <c r="F22" s="17">
        <f>SUM(F20:F21)</f>
        <v>931.89467999999999</v>
      </c>
    </row>
    <row r="23" spans="1:6" ht="12.75">
      <c r="A23" s="20"/>
      <c r="B23" s="16" t="s">
        <v>18</v>
      </c>
      <c r="C23" s="6"/>
      <c r="D23" s="6"/>
      <c r="E23" s="7"/>
      <c r="F23" s="17">
        <f>F22</f>
        <v>931.89467999999999</v>
      </c>
    </row>
    <row r="24" spans="1:6" ht="12.75">
      <c r="A24" s="20"/>
      <c r="B24" s="16" t="s">
        <v>19</v>
      </c>
      <c r="C24" s="6"/>
      <c r="D24" s="6"/>
      <c r="E24" s="7"/>
      <c r="F24" s="18">
        <f>ROUND((F23/10),2)</f>
        <v>93.19</v>
      </c>
    </row>
    <row r="25" spans="1:6" ht="12.75">
      <c r="A25" s="21" t="str">
        <f>CONCATENATE("Say ₹ ",F14," + ",F24," x Cost Index")</f>
        <v>Say ₹ 579.3 + 93.19 x Cost Index</v>
      </c>
      <c r="B25" s="6"/>
      <c r="C25" s="6"/>
      <c r="D25" s="6"/>
      <c r="E25" s="6"/>
      <c r="F25" s="7"/>
    </row>
    <row r="26" spans="1:6" ht="12.75">
      <c r="A26" s="22">
        <v>0</v>
      </c>
      <c r="B26" s="23" t="s">
        <v>25</v>
      </c>
      <c r="C26" s="6"/>
      <c r="D26" s="6"/>
      <c r="E26" s="6"/>
      <c r="F26" s="7"/>
    </row>
    <row r="27" spans="1:6" ht="12.75">
      <c r="A27" s="22" t="s">
        <v>2</v>
      </c>
      <c r="B27" s="22" t="s">
        <v>3</v>
      </c>
      <c r="C27" s="22" t="s">
        <v>4</v>
      </c>
      <c r="D27" s="22" t="s">
        <v>5</v>
      </c>
      <c r="E27" s="22" t="s">
        <v>6</v>
      </c>
      <c r="F27" s="22" t="s">
        <v>7</v>
      </c>
    </row>
    <row r="28" spans="1:6" ht="12.75">
      <c r="A28" s="24"/>
      <c r="B28" s="25" t="s">
        <v>8</v>
      </c>
      <c r="C28" s="24"/>
      <c r="D28" s="24"/>
      <c r="E28" s="24"/>
      <c r="F28" s="24"/>
    </row>
    <row r="29" spans="1:6" ht="12.75">
      <c r="A29" s="10"/>
      <c r="B29" s="25" t="s">
        <v>9</v>
      </c>
      <c r="C29" s="10"/>
      <c r="D29" s="10"/>
      <c r="E29" s="10"/>
      <c r="F29" s="10"/>
    </row>
    <row r="30" spans="1:6" ht="12.75">
      <c r="A30" s="26" t="s">
        <v>26</v>
      </c>
      <c r="B30" s="25" t="s">
        <v>27</v>
      </c>
      <c r="C30" s="27" t="s">
        <v>12</v>
      </c>
      <c r="D30" s="27">
        <v>10.50</v>
      </c>
      <c r="E30" s="27">
        <v>613</v>
      </c>
      <c r="F30" s="28">
        <f>D30*E30</f>
        <v>6436.50</v>
      </c>
    </row>
    <row r="31" spans="1:6" ht="12.75">
      <c r="A31" s="14"/>
      <c r="B31" s="25" t="s">
        <v>13</v>
      </c>
      <c r="C31" s="10"/>
      <c r="D31" s="10"/>
      <c r="E31" s="10"/>
      <c r="F31" s="10"/>
    </row>
    <row r="32" spans="1:6" ht="12.75">
      <c r="A32" s="29"/>
      <c r="B32" s="30" t="s">
        <v>14</v>
      </c>
      <c r="C32" s="6"/>
      <c r="D32" s="6"/>
      <c r="E32" s="7"/>
      <c r="F32" s="31">
        <f>SUM(F30:F31)</f>
        <v>6436.50</v>
      </c>
    </row>
    <row r="33" spans="1:6" ht="12.75">
      <c r="A33" s="29"/>
      <c r="B33" s="30" t="s">
        <v>15</v>
      </c>
      <c r="C33" s="6"/>
      <c r="D33" s="6"/>
      <c r="E33" s="7"/>
      <c r="F33" s="31">
        <f>F32*0.01</f>
        <v>64.365</v>
      </c>
    </row>
    <row r="34" spans="1:6" ht="12.75">
      <c r="A34" s="29"/>
      <c r="B34" s="30" t="s">
        <v>16</v>
      </c>
      <c r="C34" s="6"/>
      <c r="D34" s="6"/>
      <c r="E34" s="7"/>
      <c r="F34" s="31">
        <f>F32+F33</f>
        <v>6500.8649999999998</v>
      </c>
    </row>
    <row r="35" spans="1:6" ht="12.75">
      <c r="A35" s="29"/>
      <c r="B35" s="30" t="s">
        <v>17</v>
      </c>
      <c r="C35" s="6"/>
      <c r="D35" s="6"/>
      <c r="E35" s="7"/>
      <c r="F35" s="31">
        <f>F34*0.15</f>
        <v>975.12974999999994</v>
      </c>
    </row>
    <row r="36" spans="1:6" ht="12.75">
      <c r="A36" s="29"/>
      <c r="B36" s="30" t="s">
        <v>16</v>
      </c>
      <c r="C36" s="6"/>
      <c r="D36" s="6"/>
      <c r="E36" s="7"/>
      <c r="F36" s="31">
        <f>F34+F35</f>
        <v>7475.9947499999998</v>
      </c>
    </row>
    <row r="37" spans="1:6" ht="12.75">
      <c r="A37" s="29"/>
      <c r="B37" s="30" t="s">
        <v>18</v>
      </c>
      <c r="C37" s="6"/>
      <c r="D37" s="6"/>
      <c r="E37" s="7"/>
      <c r="F37" s="31">
        <f>F36</f>
        <v>7475.9947499999998</v>
      </c>
    </row>
    <row r="38" spans="1:6" ht="12.75">
      <c r="A38" s="29"/>
      <c r="B38" s="30" t="s">
        <v>19</v>
      </c>
      <c r="C38" s="6"/>
      <c r="D38" s="6"/>
      <c r="E38" s="7"/>
      <c r="F38" s="32">
        <f>ROUND((F37/10),2)</f>
        <v>747.60</v>
      </c>
    </row>
    <row r="39" spans="1:6" ht="12.75">
      <c r="A39" s="29">
        <v>116</v>
      </c>
      <c r="B39" s="25" t="s">
        <v>20</v>
      </c>
      <c r="C39" s="29" t="s">
        <v>21</v>
      </c>
      <c r="D39" s="29">
        <v>0.33</v>
      </c>
      <c r="E39" s="29">
        <v>784</v>
      </c>
      <c r="F39" s="33">
        <f>D39*E39</f>
        <v>258.72</v>
      </c>
    </row>
    <row r="40" spans="1:6" ht="12.75">
      <c r="A40" s="29">
        <v>117</v>
      </c>
      <c r="B40" s="25" t="s">
        <v>22</v>
      </c>
      <c r="C40" s="29" t="s">
        <v>21</v>
      </c>
      <c r="D40" s="29">
        <v>0.40</v>
      </c>
      <c r="E40" s="29">
        <v>714</v>
      </c>
      <c r="F40" s="33">
        <f>D40*E40</f>
        <v>285.60</v>
      </c>
    </row>
    <row r="41" spans="1:6" ht="12.75">
      <c r="A41" s="29">
        <v>114</v>
      </c>
      <c r="B41" s="25" t="s">
        <v>23</v>
      </c>
      <c r="C41" s="29" t="s">
        <v>21</v>
      </c>
      <c r="D41" s="29">
        <v>0.40</v>
      </c>
      <c r="E41" s="29">
        <v>645</v>
      </c>
      <c r="F41" s="33">
        <f>D41*E41</f>
        <v>258</v>
      </c>
    </row>
    <row r="42" spans="1:6" ht="12.75">
      <c r="A42" s="34"/>
      <c r="B42" s="30" t="s">
        <v>24</v>
      </c>
      <c r="C42" s="6"/>
      <c r="D42" s="6"/>
      <c r="E42" s="7"/>
      <c r="F42" s="31">
        <f>SUM(F39:F41)</f>
        <v>802.32</v>
      </c>
    </row>
    <row r="43" spans="1:6" ht="12.75">
      <c r="A43" s="34"/>
      <c r="B43" s="30" t="s">
        <v>15</v>
      </c>
      <c r="C43" s="6"/>
      <c r="D43" s="6"/>
      <c r="E43" s="7"/>
      <c r="F43" s="31">
        <f>F42*0.01</f>
        <v>8.0231999999999992</v>
      </c>
    </row>
    <row r="44" spans="1:6" ht="12.75">
      <c r="A44" s="34"/>
      <c r="B44" s="30" t="s">
        <v>16</v>
      </c>
      <c r="C44" s="6"/>
      <c r="D44" s="6"/>
      <c r="E44" s="7"/>
      <c r="F44" s="31">
        <f>SUM(F42:F43)</f>
        <v>810.34320000000002</v>
      </c>
    </row>
    <row r="45" spans="1:6" ht="12.75">
      <c r="A45" s="34"/>
      <c r="B45" s="30" t="s">
        <v>17</v>
      </c>
      <c r="C45" s="6"/>
      <c r="D45" s="6"/>
      <c r="E45" s="7"/>
      <c r="F45" s="31">
        <f>F44*0.15</f>
        <v>121.55148</v>
      </c>
    </row>
    <row r="46" spans="1:6" ht="12.75">
      <c r="A46" s="34"/>
      <c r="B46" s="30" t="s">
        <v>16</v>
      </c>
      <c r="C46" s="6"/>
      <c r="D46" s="6"/>
      <c r="E46" s="7"/>
      <c r="F46" s="31">
        <f>SUM(F44:F45)</f>
        <v>931.89467999999999</v>
      </c>
    </row>
    <row r="47" spans="1:6" ht="12.75">
      <c r="A47" s="34"/>
      <c r="B47" s="30" t="s">
        <v>18</v>
      </c>
      <c r="C47" s="6"/>
      <c r="D47" s="6"/>
      <c r="E47" s="7"/>
      <c r="F47" s="31">
        <f>F46</f>
        <v>931.89467999999999</v>
      </c>
    </row>
    <row r="48" spans="1:6" ht="12.75">
      <c r="A48" s="34"/>
      <c r="B48" s="30" t="s">
        <v>19</v>
      </c>
      <c r="C48" s="6"/>
      <c r="D48" s="6"/>
      <c r="E48" s="7"/>
      <c r="F48" s="32">
        <f>ROUND((F47/10),2)</f>
        <v>93.19</v>
      </c>
    </row>
    <row r="49" spans="1:6" ht="12.75">
      <c r="A49" s="35" t="str">
        <f>CONCATENATE("Say ₹ ",F38," + ",F48," x Cost Index")</f>
        <v>Say ₹ 747.6 + 93.19 x Cost Index</v>
      </c>
      <c r="B49" s="6"/>
      <c r="C49" s="6"/>
      <c r="D49" s="6"/>
      <c r="E49" s="6"/>
      <c r="F49" s="7"/>
    </row>
    <row r="50" spans="1:6" ht="12.75">
      <c r="A50" s="4">
        <v>0</v>
      </c>
      <c r="B50" s="5" t="s">
        <v>28</v>
      </c>
      <c r="C50" s="6"/>
      <c r="D50" s="6"/>
      <c r="E50" s="6"/>
      <c r="F50" s="7"/>
    </row>
    <row r="51" spans="1:6" ht="12.75">
      <c r="A51" s="4" t="s">
        <v>2</v>
      </c>
      <c r="B51" s="4" t="s">
        <v>3</v>
      </c>
      <c r="C51" s="4" t="s">
        <v>4</v>
      </c>
      <c r="D51" s="4" t="s">
        <v>5</v>
      </c>
      <c r="E51" s="4" t="s">
        <v>6</v>
      </c>
      <c r="F51" s="4" t="s">
        <v>7</v>
      </c>
    </row>
    <row r="52" spans="1:6" ht="12.75">
      <c r="A52" s="8"/>
      <c r="B52" s="9" t="s">
        <v>8</v>
      </c>
      <c r="C52" s="8"/>
      <c r="D52" s="8"/>
      <c r="E52" s="8"/>
      <c r="F52" s="8"/>
    </row>
    <row r="53" spans="1:6" ht="12.75">
      <c r="A53" s="10"/>
      <c r="B53" s="9" t="s">
        <v>9</v>
      </c>
      <c r="C53" s="10"/>
      <c r="D53" s="10"/>
      <c r="E53" s="10"/>
      <c r="F53" s="10"/>
    </row>
    <row r="54" spans="1:6" ht="12.75">
      <c r="A54" s="12">
        <v>0</v>
      </c>
      <c r="B54" s="9" t="s">
        <v>29</v>
      </c>
      <c r="C54" s="12" t="s">
        <v>12</v>
      </c>
      <c r="D54" s="12">
        <v>10.50</v>
      </c>
      <c r="E54" s="12">
        <v>340</v>
      </c>
      <c r="F54" s="13">
        <f>D54*E54</f>
        <v>3570</v>
      </c>
    </row>
    <row r="55" spans="1:6" ht="12.75">
      <c r="A55" s="10"/>
      <c r="B55" s="9" t="s">
        <v>13</v>
      </c>
      <c r="C55" s="10"/>
      <c r="D55" s="10"/>
      <c r="E55" s="10"/>
      <c r="F55" s="10"/>
    </row>
    <row r="56" spans="1:6" ht="12.75">
      <c r="A56" s="15"/>
      <c r="B56" s="16" t="s">
        <v>14</v>
      </c>
      <c r="C56" s="6"/>
      <c r="D56" s="6"/>
      <c r="E56" s="7"/>
      <c r="F56" s="17">
        <f>SUM(F54:F55)</f>
        <v>3570</v>
      </c>
    </row>
    <row r="57" spans="1:6" ht="12.75">
      <c r="A57" s="15"/>
      <c r="B57" s="16" t="s">
        <v>15</v>
      </c>
      <c r="C57" s="6"/>
      <c r="D57" s="6"/>
      <c r="E57" s="7"/>
      <c r="F57" s="17">
        <f>F56*0.01</f>
        <v>35.70</v>
      </c>
    </row>
    <row r="58" spans="1:6" ht="12.75">
      <c r="A58" s="15"/>
      <c r="B58" s="16" t="s">
        <v>16</v>
      </c>
      <c r="C58" s="6"/>
      <c r="D58" s="6"/>
      <c r="E58" s="7"/>
      <c r="F58" s="17">
        <f>F56+F57</f>
        <v>3605.70</v>
      </c>
    </row>
    <row r="59" spans="1:6" ht="12.75">
      <c r="A59" s="15"/>
      <c r="B59" s="16" t="s">
        <v>17</v>
      </c>
      <c r="C59" s="6"/>
      <c r="D59" s="6"/>
      <c r="E59" s="7"/>
      <c r="F59" s="17">
        <f>F58*0.15</f>
        <v>540.855</v>
      </c>
    </row>
    <row r="60" spans="1:6" ht="12.75">
      <c r="A60" s="15"/>
      <c r="B60" s="16" t="s">
        <v>16</v>
      </c>
      <c r="C60" s="6"/>
      <c r="D60" s="6"/>
      <c r="E60" s="7"/>
      <c r="F60" s="17">
        <f>F58+F59</f>
        <v>4146.5550000000003</v>
      </c>
    </row>
    <row r="61" spans="1:6" ht="12.75">
      <c r="A61" s="15"/>
      <c r="B61" s="16" t="s">
        <v>18</v>
      </c>
      <c r="C61" s="6"/>
      <c r="D61" s="6"/>
      <c r="E61" s="7"/>
      <c r="F61" s="17">
        <f>F60</f>
        <v>4146.5550000000003</v>
      </c>
    </row>
    <row r="62" spans="1:6" ht="12.75">
      <c r="A62" s="15"/>
      <c r="B62" s="16" t="s">
        <v>19</v>
      </c>
      <c r="C62" s="6"/>
      <c r="D62" s="6"/>
      <c r="E62" s="7"/>
      <c r="F62" s="18">
        <f>ROUND((F61/10),2)</f>
        <v>414.66</v>
      </c>
    </row>
    <row r="63" spans="1:6" ht="12.75">
      <c r="A63" s="15">
        <v>116</v>
      </c>
      <c r="B63" s="9" t="s">
        <v>20</v>
      </c>
      <c r="C63" s="15" t="s">
        <v>21</v>
      </c>
      <c r="D63" s="15">
        <v>0.33</v>
      </c>
      <c r="E63" s="15">
        <v>784</v>
      </c>
      <c r="F63" s="19">
        <f>D63*E63</f>
        <v>258.72</v>
      </c>
    </row>
    <row r="64" spans="1:6" ht="12.75">
      <c r="A64" s="15">
        <v>117</v>
      </c>
      <c r="B64" s="9" t="s">
        <v>22</v>
      </c>
      <c r="C64" s="15" t="s">
        <v>21</v>
      </c>
      <c r="D64" s="15">
        <v>0.40</v>
      </c>
      <c r="E64" s="15">
        <v>714</v>
      </c>
      <c r="F64" s="19">
        <f>D64*E64</f>
        <v>285.60</v>
      </c>
    </row>
    <row r="65" spans="1:6" ht="12.75">
      <c r="A65" s="15">
        <v>114</v>
      </c>
      <c r="B65" s="9" t="s">
        <v>23</v>
      </c>
      <c r="C65" s="15" t="s">
        <v>21</v>
      </c>
      <c r="D65" s="15">
        <v>0.40</v>
      </c>
      <c r="E65" s="15">
        <v>645</v>
      </c>
      <c r="F65" s="19">
        <f>D65*E65</f>
        <v>258</v>
      </c>
    </row>
    <row r="66" spans="1:6" ht="12.75">
      <c r="A66" s="20"/>
      <c r="B66" s="16" t="s">
        <v>24</v>
      </c>
      <c r="C66" s="6"/>
      <c r="D66" s="6"/>
      <c r="E66" s="7"/>
      <c r="F66" s="17">
        <f>SUM(F63:F65)</f>
        <v>802.32</v>
      </c>
    </row>
    <row r="67" spans="1:6" ht="12.75">
      <c r="A67" s="20"/>
      <c r="B67" s="16" t="s">
        <v>15</v>
      </c>
      <c r="C67" s="6"/>
      <c r="D67" s="6"/>
      <c r="E67" s="7"/>
      <c r="F67" s="17">
        <f>F66*0.01</f>
        <v>8.0231999999999992</v>
      </c>
    </row>
    <row r="68" spans="1:6" ht="12.75">
      <c r="A68" s="20"/>
      <c r="B68" s="16" t="s">
        <v>16</v>
      </c>
      <c r="C68" s="6"/>
      <c r="D68" s="6"/>
      <c r="E68" s="7"/>
      <c r="F68" s="17">
        <f>SUM(F66:F67)</f>
        <v>810.34320000000002</v>
      </c>
    </row>
    <row r="69" spans="1:6" ht="12.75">
      <c r="A69" s="20"/>
      <c r="B69" s="16" t="s">
        <v>17</v>
      </c>
      <c r="C69" s="6"/>
      <c r="D69" s="6"/>
      <c r="E69" s="7"/>
      <c r="F69" s="17">
        <f>F68*0.15</f>
        <v>121.55148</v>
      </c>
    </row>
    <row r="70" spans="1:6" ht="12.75">
      <c r="A70" s="20"/>
      <c r="B70" s="16" t="s">
        <v>16</v>
      </c>
      <c r="C70" s="6"/>
      <c r="D70" s="6"/>
      <c r="E70" s="7"/>
      <c r="F70" s="17">
        <f>SUM(F68:F69)</f>
        <v>931.89467999999999</v>
      </c>
    </row>
    <row r="71" spans="1:6" ht="12.75">
      <c r="A71" s="20"/>
      <c r="B71" s="16" t="s">
        <v>18</v>
      </c>
      <c r="C71" s="6"/>
      <c r="D71" s="6"/>
      <c r="E71" s="7"/>
      <c r="F71" s="17">
        <f>F70</f>
        <v>931.89467999999999</v>
      </c>
    </row>
    <row r="72" spans="1:6" ht="12.75">
      <c r="A72" s="20"/>
      <c r="B72" s="16" t="s">
        <v>19</v>
      </c>
      <c r="C72" s="6"/>
      <c r="D72" s="6"/>
      <c r="E72" s="7"/>
      <c r="F72" s="18">
        <f>ROUND((F71/10),2)</f>
        <v>93.19</v>
      </c>
    </row>
    <row r="73" spans="1:6" ht="12.75">
      <c r="A73" s="21" t="str">
        <f>CONCATENATE("Say ₹ ",F62," + ",F72," x Cost Index")</f>
        <v>Say ₹ 414.66 + 93.19 x Cost Index</v>
      </c>
      <c r="B73" s="6"/>
      <c r="C73" s="6"/>
      <c r="D73" s="6"/>
      <c r="E73" s="6"/>
      <c r="F73" s="7"/>
    </row>
    <row r="74" spans="1:6" ht="12.75">
      <c r="A74" s="22">
        <v>0</v>
      </c>
      <c r="B74" s="23" t="s">
        <v>30</v>
      </c>
      <c r="C74" s="6"/>
      <c r="D74" s="6"/>
      <c r="E74" s="6"/>
      <c r="F74" s="7"/>
    </row>
    <row r="75" spans="1:6" ht="12.75">
      <c r="A75" s="22" t="s">
        <v>2</v>
      </c>
      <c r="B75" s="22" t="s">
        <v>3</v>
      </c>
      <c r="C75" s="22" t="s">
        <v>4</v>
      </c>
      <c r="D75" s="22" t="s">
        <v>5</v>
      </c>
      <c r="E75" s="22" t="s">
        <v>6</v>
      </c>
      <c r="F75" s="22" t="s">
        <v>7</v>
      </c>
    </row>
    <row r="76" spans="1:6" ht="12.75">
      <c r="A76" s="24"/>
      <c r="B76" s="25" t="s">
        <v>8</v>
      </c>
      <c r="C76" s="24"/>
      <c r="D76" s="24"/>
      <c r="E76" s="24"/>
      <c r="F76" s="24"/>
    </row>
    <row r="77" spans="1:6" ht="12.75">
      <c r="A77" s="10"/>
      <c r="B77" s="25" t="s">
        <v>9</v>
      </c>
      <c r="C77" s="10"/>
      <c r="D77" s="10"/>
      <c r="E77" s="10"/>
      <c r="F77" s="10"/>
    </row>
    <row r="78" spans="1:6" ht="12.75">
      <c r="A78" s="27">
        <v>0</v>
      </c>
      <c r="B78" s="25" t="s">
        <v>31</v>
      </c>
      <c r="C78" s="27" t="s">
        <v>12</v>
      </c>
      <c r="D78" s="27">
        <v>11.50</v>
      </c>
      <c r="E78" s="27">
        <v>350</v>
      </c>
      <c r="F78" s="28">
        <f>D78*E78</f>
        <v>4025</v>
      </c>
    </row>
    <row r="79" spans="1:6" ht="12.75">
      <c r="A79" s="10"/>
      <c r="B79" s="25" t="s">
        <v>32</v>
      </c>
      <c r="C79" s="10"/>
      <c r="D79" s="10"/>
      <c r="E79" s="10"/>
      <c r="F79" s="10"/>
    </row>
    <row r="80" spans="1:6" ht="12.75">
      <c r="A80" s="29"/>
      <c r="B80" s="30" t="s">
        <v>14</v>
      </c>
      <c r="C80" s="6"/>
      <c r="D80" s="6"/>
      <c r="E80" s="7"/>
      <c r="F80" s="31">
        <f>SUM(F78:F79)</f>
        <v>4025</v>
      </c>
    </row>
    <row r="81" spans="1:6" ht="12.75">
      <c r="A81" s="29"/>
      <c r="B81" s="30" t="s">
        <v>15</v>
      </c>
      <c r="C81" s="6"/>
      <c r="D81" s="6"/>
      <c r="E81" s="7"/>
      <c r="F81" s="31">
        <f>F80*0.01</f>
        <v>40.25</v>
      </c>
    </row>
    <row r="82" spans="1:6" ht="12.75">
      <c r="A82" s="29"/>
      <c r="B82" s="30" t="s">
        <v>16</v>
      </c>
      <c r="C82" s="6"/>
      <c r="D82" s="6"/>
      <c r="E82" s="7"/>
      <c r="F82" s="31">
        <f>F80+F81</f>
        <v>4065.25</v>
      </c>
    </row>
    <row r="83" spans="1:6" ht="12.75">
      <c r="A83" s="29"/>
      <c r="B83" s="30" t="s">
        <v>17</v>
      </c>
      <c r="C83" s="6"/>
      <c r="D83" s="6"/>
      <c r="E83" s="7"/>
      <c r="F83" s="31">
        <f>F82*0.15</f>
        <v>609.7875</v>
      </c>
    </row>
    <row r="84" spans="1:6" ht="12.75">
      <c r="A84" s="29"/>
      <c r="B84" s="30" t="s">
        <v>16</v>
      </c>
      <c r="C84" s="6"/>
      <c r="D84" s="6"/>
      <c r="E84" s="7"/>
      <c r="F84" s="31">
        <f>F82+F83</f>
        <v>4675.0375000000004</v>
      </c>
    </row>
    <row r="85" spans="1:6" ht="12.75">
      <c r="A85" s="29"/>
      <c r="B85" s="30" t="s">
        <v>18</v>
      </c>
      <c r="C85" s="6"/>
      <c r="D85" s="6"/>
      <c r="E85" s="7"/>
      <c r="F85" s="31">
        <f>F84</f>
        <v>4675.0375000000004</v>
      </c>
    </row>
    <row r="86" spans="1:6" ht="12.75">
      <c r="A86" s="29"/>
      <c r="B86" s="30" t="s">
        <v>19</v>
      </c>
      <c r="C86" s="6"/>
      <c r="D86" s="6"/>
      <c r="E86" s="7"/>
      <c r="F86" s="32">
        <f>ROUND((F85/10),2)</f>
        <v>467.50</v>
      </c>
    </row>
    <row r="87" spans="1:6" ht="12.75">
      <c r="A87" s="29">
        <v>116</v>
      </c>
      <c r="B87" s="25" t="s">
        <v>20</v>
      </c>
      <c r="C87" s="29" t="s">
        <v>21</v>
      </c>
      <c r="D87" s="29">
        <v>0.33</v>
      </c>
      <c r="E87" s="29">
        <v>784</v>
      </c>
      <c r="F87" s="33">
        <f>D87*E87</f>
        <v>258.72</v>
      </c>
    </row>
    <row r="88" spans="1:6" ht="12.75">
      <c r="A88" s="29">
        <v>117</v>
      </c>
      <c r="B88" s="25" t="s">
        <v>22</v>
      </c>
      <c r="C88" s="29" t="s">
        <v>21</v>
      </c>
      <c r="D88" s="29">
        <v>0.40</v>
      </c>
      <c r="E88" s="29">
        <v>714</v>
      </c>
      <c r="F88" s="33">
        <f>D88*E88</f>
        <v>285.60</v>
      </c>
    </row>
    <row r="89" spans="1:6" ht="12.75">
      <c r="A89" s="29">
        <v>114</v>
      </c>
      <c r="B89" s="25" t="s">
        <v>23</v>
      </c>
      <c r="C89" s="29" t="s">
        <v>21</v>
      </c>
      <c r="D89" s="29">
        <v>0.40</v>
      </c>
      <c r="E89" s="29">
        <v>645</v>
      </c>
      <c r="F89" s="33">
        <f>D89*E89</f>
        <v>258</v>
      </c>
    </row>
    <row r="90" spans="1:6" ht="12.75">
      <c r="A90" s="34"/>
      <c r="B90" s="30" t="s">
        <v>24</v>
      </c>
      <c r="C90" s="6"/>
      <c r="D90" s="6"/>
      <c r="E90" s="7"/>
      <c r="F90" s="31">
        <f>SUM(F87:F89)</f>
        <v>802.32</v>
      </c>
    </row>
    <row r="91" spans="1:6" ht="12.75">
      <c r="A91" s="34"/>
      <c r="B91" s="30" t="s">
        <v>15</v>
      </c>
      <c r="C91" s="6"/>
      <c r="D91" s="6"/>
      <c r="E91" s="7"/>
      <c r="F91" s="31">
        <f>F90*0.01</f>
        <v>8.0231999999999992</v>
      </c>
    </row>
    <row r="92" spans="1:6" ht="12.75">
      <c r="A92" s="34"/>
      <c r="B92" s="30" t="s">
        <v>16</v>
      </c>
      <c r="C92" s="6"/>
      <c r="D92" s="6"/>
      <c r="E92" s="7"/>
      <c r="F92" s="31">
        <f>SUM(F90:F91)</f>
        <v>810.34320000000002</v>
      </c>
    </row>
    <row r="93" spans="1:6" ht="12.75">
      <c r="A93" s="34"/>
      <c r="B93" s="30" t="s">
        <v>17</v>
      </c>
      <c r="C93" s="6"/>
      <c r="D93" s="6"/>
      <c r="E93" s="7"/>
      <c r="F93" s="31">
        <f>F92*0.15</f>
        <v>121.55148</v>
      </c>
    </row>
    <row r="94" spans="1:6" ht="12.75">
      <c r="A94" s="34"/>
      <c r="B94" s="30" t="s">
        <v>16</v>
      </c>
      <c r="C94" s="6"/>
      <c r="D94" s="6"/>
      <c r="E94" s="7"/>
      <c r="F94" s="31">
        <f>SUM(F92:F93)</f>
        <v>931.89467999999999</v>
      </c>
    </row>
    <row r="95" spans="1:6" ht="12.75">
      <c r="A95" s="34"/>
      <c r="B95" s="30" t="s">
        <v>18</v>
      </c>
      <c r="C95" s="6"/>
      <c r="D95" s="6"/>
      <c r="E95" s="7"/>
      <c r="F95" s="31">
        <f>F94</f>
        <v>931.89467999999999</v>
      </c>
    </row>
    <row r="96" spans="1:6" ht="12.75">
      <c r="A96" s="34"/>
      <c r="B96" s="30" t="s">
        <v>19</v>
      </c>
      <c r="C96" s="6"/>
      <c r="D96" s="6"/>
      <c r="E96" s="7"/>
      <c r="F96" s="32">
        <f>ROUND((F95/10),2)</f>
        <v>93.19</v>
      </c>
    </row>
    <row r="97" spans="1:6" ht="12.75">
      <c r="A97" s="35" t="str">
        <f>CONCATENATE("Say ₹ ",F86," + ",F96," x Cost Index")</f>
        <v>Say ₹ 467.5 + 93.19 x Cost Index</v>
      </c>
      <c r="B97" s="6"/>
      <c r="C97" s="6"/>
      <c r="D97" s="6"/>
      <c r="E97" s="6"/>
      <c r="F97" s="7"/>
    </row>
    <row r="98" spans="1:6" ht="12.75">
      <c r="A98" s="4">
        <v>0</v>
      </c>
      <c r="B98" s="5" t="s">
        <v>33</v>
      </c>
      <c r="C98" s="6"/>
      <c r="D98" s="6"/>
      <c r="E98" s="6"/>
      <c r="F98" s="7"/>
    </row>
    <row r="99" spans="1:6" ht="12.75">
      <c r="A99" s="4" t="s">
        <v>2</v>
      </c>
      <c r="B99" s="4" t="s">
        <v>3</v>
      </c>
      <c r="C99" s="4" t="s">
        <v>4</v>
      </c>
      <c r="D99" s="4" t="s">
        <v>5</v>
      </c>
      <c r="E99" s="4" t="s">
        <v>6</v>
      </c>
      <c r="F99" s="4" t="s">
        <v>7</v>
      </c>
    </row>
    <row r="100" spans="1:6" ht="12.75">
      <c r="A100" s="8"/>
      <c r="B100" s="9" t="s">
        <v>34</v>
      </c>
      <c r="C100" s="8"/>
      <c r="D100" s="8"/>
      <c r="E100" s="8"/>
      <c r="F100" s="8"/>
    </row>
    <row r="101" spans="1:6" ht="12.75">
      <c r="A101" s="10"/>
      <c r="B101" s="9" t="s">
        <v>9</v>
      </c>
      <c r="C101" s="10"/>
      <c r="D101" s="10"/>
      <c r="E101" s="10"/>
      <c r="F101" s="10"/>
    </row>
    <row r="102" spans="1:6" ht="12.75">
      <c r="A102" s="15" t="s">
        <v>35</v>
      </c>
      <c r="B102" s="9" t="s">
        <v>36</v>
      </c>
      <c r="C102" s="15" t="s">
        <v>37</v>
      </c>
      <c r="D102" s="15">
        <v>10</v>
      </c>
      <c r="E102" s="15">
        <v>35</v>
      </c>
      <c r="F102" s="19">
        <f>D102*E102</f>
        <v>350</v>
      </c>
    </row>
    <row r="103" spans="1:6" ht="12.75">
      <c r="A103" s="15"/>
      <c r="B103" s="16" t="s">
        <v>14</v>
      </c>
      <c r="C103" s="6"/>
      <c r="D103" s="6"/>
      <c r="E103" s="7"/>
      <c r="F103" s="17">
        <f>SUM(F102)</f>
        <v>350</v>
      </c>
    </row>
    <row r="104" spans="1:6" ht="12.75">
      <c r="A104" s="15"/>
      <c r="B104" s="16" t="s">
        <v>15</v>
      </c>
      <c r="C104" s="6"/>
      <c r="D104" s="6"/>
      <c r="E104" s="7"/>
      <c r="F104" s="17">
        <f>F103*0.01</f>
        <v>3.50</v>
      </c>
    </row>
    <row r="105" spans="1:6" ht="12.75">
      <c r="A105" s="15"/>
      <c r="B105" s="16" t="s">
        <v>16</v>
      </c>
      <c r="C105" s="6"/>
      <c r="D105" s="6"/>
      <c r="E105" s="7"/>
      <c r="F105" s="17">
        <f>F103+F104</f>
        <v>353.50</v>
      </c>
    </row>
    <row r="106" spans="1:6" ht="12.75">
      <c r="A106" s="15"/>
      <c r="B106" s="16" t="s">
        <v>17</v>
      </c>
      <c r="C106" s="6"/>
      <c r="D106" s="6"/>
      <c r="E106" s="7"/>
      <c r="F106" s="17">
        <f>F105*0.15</f>
        <v>53.025</v>
      </c>
    </row>
    <row r="107" spans="1:6" ht="12.75">
      <c r="A107" s="15"/>
      <c r="B107" s="16" t="s">
        <v>16</v>
      </c>
      <c r="C107" s="6"/>
      <c r="D107" s="6"/>
      <c r="E107" s="7"/>
      <c r="F107" s="17">
        <f>F105+F106</f>
        <v>406.525</v>
      </c>
    </row>
    <row r="108" spans="1:6" ht="12.75">
      <c r="A108" s="15"/>
      <c r="B108" s="16" t="s">
        <v>38</v>
      </c>
      <c r="C108" s="6"/>
      <c r="D108" s="6"/>
      <c r="E108" s="7"/>
      <c r="F108" s="17">
        <f>F107</f>
        <v>406.525</v>
      </c>
    </row>
    <row r="109" spans="1:6" ht="12.75">
      <c r="A109" s="15"/>
      <c r="B109" s="16" t="s">
        <v>39</v>
      </c>
      <c r="C109" s="6"/>
      <c r="D109" s="6"/>
      <c r="E109" s="7"/>
      <c r="F109" s="18">
        <f>ROUND((F108/10),2)</f>
        <v>40.65</v>
      </c>
    </row>
    <row r="110" spans="1:6" ht="12.75">
      <c r="A110" s="15">
        <v>116</v>
      </c>
      <c r="B110" s="9" t="s">
        <v>20</v>
      </c>
      <c r="C110" s="15" t="s">
        <v>21</v>
      </c>
      <c r="D110" s="15">
        <v>0.15</v>
      </c>
      <c r="E110" s="15">
        <v>784</v>
      </c>
      <c r="F110" s="19">
        <f>D110*E110</f>
        <v>117.60</v>
      </c>
    </row>
    <row r="111" spans="1:6" ht="12.75">
      <c r="A111" s="15">
        <v>103</v>
      </c>
      <c r="B111" s="9" t="s">
        <v>40</v>
      </c>
      <c r="C111" s="15" t="s">
        <v>21</v>
      </c>
      <c r="D111" s="15">
        <v>0.10</v>
      </c>
      <c r="E111" s="15">
        <v>714</v>
      </c>
      <c r="F111" s="19">
        <f>D111*E111</f>
        <v>71.40</v>
      </c>
    </row>
    <row r="112" spans="1:6" ht="12.75">
      <c r="A112" s="15">
        <v>114</v>
      </c>
      <c r="B112" s="9" t="s">
        <v>23</v>
      </c>
      <c r="C112" s="15" t="s">
        <v>21</v>
      </c>
      <c r="D112" s="15">
        <v>0.10</v>
      </c>
      <c r="E112" s="15">
        <v>645</v>
      </c>
      <c r="F112" s="19">
        <f>D112*E112</f>
        <v>64.50</v>
      </c>
    </row>
    <row r="113" spans="1:6" ht="12.75">
      <c r="A113" s="20"/>
      <c r="B113" s="16" t="s">
        <v>24</v>
      </c>
      <c r="C113" s="6"/>
      <c r="D113" s="6"/>
      <c r="E113" s="7"/>
      <c r="F113" s="17">
        <f>SUM(F110:F112)</f>
        <v>253.50</v>
      </c>
    </row>
    <row r="114" spans="1:6" ht="12.75">
      <c r="A114" s="20"/>
      <c r="B114" s="16" t="s">
        <v>15</v>
      </c>
      <c r="C114" s="6"/>
      <c r="D114" s="6"/>
      <c r="E114" s="7"/>
      <c r="F114" s="17">
        <f>F113*0.01</f>
        <v>2.535</v>
      </c>
    </row>
    <row r="115" spans="1:6" ht="12.75">
      <c r="A115" s="20"/>
      <c r="B115" s="16" t="s">
        <v>16</v>
      </c>
      <c r="C115" s="6"/>
      <c r="D115" s="6"/>
      <c r="E115" s="7"/>
      <c r="F115" s="17">
        <f>SUM(F113:F114)</f>
        <v>256.035</v>
      </c>
    </row>
    <row r="116" spans="1:6" ht="12.75">
      <c r="A116" s="20"/>
      <c r="B116" s="16" t="s">
        <v>17</v>
      </c>
      <c r="C116" s="6"/>
      <c r="D116" s="6"/>
      <c r="E116" s="7"/>
      <c r="F116" s="17">
        <f>F115*0.15</f>
        <v>38.405250000000002</v>
      </c>
    </row>
    <row r="117" spans="1:6" ht="12.75">
      <c r="A117" s="20"/>
      <c r="B117" s="16" t="s">
        <v>16</v>
      </c>
      <c r="C117" s="6"/>
      <c r="D117" s="6"/>
      <c r="E117" s="7"/>
      <c r="F117" s="17">
        <f>SUM(F115:F116)</f>
        <v>294.44024999999999</v>
      </c>
    </row>
    <row r="118" spans="1:6" ht="12.75">
      <c r="A118" s="20"/>
      <c r="B118" s="16" t="s">
        <v>38</v>
      </c>
      <c r="C118" s="6"/>
      <c r="D118" s="6"/>
      <c r="E118" s="7"/>
      <c r="F118" s="17">
        <f>F117</f>
        <v>294.44024999999999</v>
      </c>
    </row>
    <row r="119" spans="1:6" ht="12.75">
      <c r="A119" s="20"/>
      <c r="B119" s="16" t="s">
        <v>39</v>
      </c>
      <c r="C119" s="6"/>
      <c r="D119" s="6"/>
      <c r="E119" s="7"/>
      <c r="F119" s="18">
        <f>ROUND((F118/10),2)</f>
        <v>29.44</v>
      </c>
    </row>
    <row r="120" spans="1:6" ht="12.75">
      <c r="A120" s="21" t="str">
        <f>CONCATENATE("Say ₹ ",F109," + ",F119," x Cost Index")</f>
        <v>Say ₹ 40.65 + 29.44 x Cost Index</v>
      </c>
      <c r="B120" s="6"/>
      <c r="C120" s="6"/>
      <c r="D120" s="6"/>
      <c r="E120" s="6"/>
      <c r="F120" s="7"/>
    </row>
  </sheetData>
  <mergeCells count="126">
    <mergeCell ref="C4:C5"/>
    <mergeCell ref="C6:C7"/>
    <mergeCell ref="D6:D7"/>
    <mergeCell ref="E6:E7"/>
    <mergeCell ref="A1:F1"/>
    <mergeCell ref="B2:F2"/>
    <mergeCell ref="A4:A5"/>
    <mergeCell ref="D4:D5"/>
    <mergeCell ref="E4:E5"/>
    <mergeCell ref="F4:F5"/>
    <mergeCell ref="A6:A7"/>
    <mergeCell ref="F6:F7"/>
    <mergeCell ref="B8:E8"/>
    <mergeCell ref="B9:E9"/>
    <mergeCell ref="B10:E10"/>
    <mergeCell ref="B11:E11"/>
    <mergeCell ref="B12:E12"/>
    <mergeCell ref="B13:E13"/>
    <mergeCell ref="B14:E14"/>
    <mergeCell ref="B18:E18"/>
    <mergeCell ref="B19:E19"/>
    <mergeCell ref="B20:E20"/>
    <mergeCell ref="B21:E21"/>
    <mergeCell ref="B22:E22"/>
    <mergeCell ref="B23:E23"/>
    <mergeCell ref="B24:E24"/>
    <mergeCell ref="A25:F25"/>
    <mergeCell ref="B26:F26"/>
    <mergeCell ref="C28:C29"/>
    <mergeCell ref="D28:D29"/>
    <mergeCell ref="E28:E29"/>
    <mergeCell ref="F28:F29"/>
    <mergeCell ref="A28:A29"/>
    <mergeCell ref="A30:A31"/>
    <mergeCell ref="C30:C31"/>
    <mergeCell ref="D30:D31"/>
    <mergeCell ref="E30:E31"/>
    <mergeCell ref="F30:F31"/>
    <mergeCell ref="B32:E32"/>
    <mergeCell ref="B33:E33"/>
    <mergeCell ref="B34:E34"/>
    <mergeCell ref="B35:E35"/>
    <mergeCell ref="B36:E36"/>
    <mergeCell ref="B37:E37"/>
    <mergeCell ref="B38:E38"/>
    <mergeCell ref="B42:E42"/>
    <mergeCell ref="B43:E43"/>
    <mergeCell ref="B44:E44"/>
    <mergeCell ref="B45:E45"/>
    <mergeCell ref="B46:E46"/>
    <mergeCell ref="B47:E47"/>
    <mergeCell ref="B48:E48"/>
    <mergeCell ref="A49:F49"/>
    <mergeCell ref="C54:C55"/>
    <mergeCell ref="D54:D55"/>
    <mergeCell ref="E54:E55"/>
    <mergeCell ref="F54:F55"/>
    <mergeCell ref="B50:F50"/>
    <mergeCell ref="A52:A53"/>
    <mergeCell ref="C52:C53"/>
    <mergeCell ref="D52:D53"/>
    <mergeCell ref="E52:E53"/>
    <mergeCell ref="F52:F53"/>
    <mergeCell ref="A54:A55"/>
    <mergeCell ref="B56:E56"/>
    <mergeCell ref="B57:E57"/>
    <mergeCell ref="B58:E58"/>
    <mergeCell ref="B59:E59"/>
    <mergeCell ref="B60:E60"/>
    <mergeCell ref="B61:E61"/>
    <mergeCell ref="B62:E62"/>
    <mergeCell ref="B66:E66"/>
    <mergeCell ref="B67:E67"/>
    <mergeCell ref="B68:E68"/>
    <mergeCell ref="B69:E69"/>
    <mergeCell ref="B70:E70"/>
    <mergeCell ref="B71:E71"/>
    <mergeCell ref="B72:E72"/>
    <mergeCell ref="E100:E101"/>
    <mergeCell ref="B103:E103"/>
    <mergeCell ref="B104:E104"/>
    <mergeCell ref="B105:E105"/>
    <mergeCell ref="B106:E106"/>
    <mergeCell ref="B107:E107"/>
    <mergeCell ref="B108:E108"/>
    <mergeCell ref="B109:E109"/>
    <mergeCell ref="B113:E113"/>
    <mergeCell ref="B114:E114"/>
    <mergeCell ref="B115:E115"/>
    <mergeCell ref="B116:E116"/>
    <mergeCell ref="B117:E117"/>
    <mergeCell ref="B118:E118"/>
    <mergeCell ref="C76:C77"/>
    <mergeCell ref="C78:C79"/>
    <mergeCell ref="D78:D79"/>
    <mergeCell ref="E78:E79"/>
    <mergeCell ref="A73:F73"/>
    <mergeCell ref="B74:F74"/>
    <mergeCell ref="A76:A77"/>
    <mergeCell ref="D76:D77"/>
    <mergeCell ref="E76:E77"/>
    <mergeCell ref="F76:F77"/>
    <mergeCell ref="A78:A79"/>
    <mergeCell ref="F78:F79"/>
    <mergeCell ref="B80:E80"/>
    <mergeCell ref="B81:E81"/>
    <mergeCell ref="B82:E82"/>
    <mergeCell ref="B83:E83"/>
    <mergeCell ref="B84:E84"/>
    <mergeCell ref="B85:E85"/>
    <mergeCell ref="B86:E86"/>
    <mergeCell ref="B90:E90"/>
    <mergeCell ref="B91:E91"/>
    <mergeCell ref="B92:E92"/>
    <mergeCell ref="B93:E93"/>
    <mergeCell ref="B94:E94"/>
    <mergeCell ref="B95:E95"/>
    <mergeCell ref="B96:E96"/>
    <mergeCell ref="A97:F97"/>
    <mergeCell ref="B98:F98"/>
    <mergeCell ref="A100:A101"/>
    <mergeCell ref="C100:C101"/>
    <mergeCell ref="D100:D101"/>
    <mergeCell ref="F100:F101"/>
    <mergeCell ref="B119:E119"/>
    <mergeCell ref="A120:F1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