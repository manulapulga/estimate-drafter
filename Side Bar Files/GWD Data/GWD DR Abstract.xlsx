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definedName name="CostIndex">'[1]ZCost Index'!$B$2:$B$16</definedName>
    <definedName name="District">'[1]ZCost Index'!$A$2:$A$16</definedName>
  </definedNames>
  <calcPr fullCalcOnLoad="1"/>
</workbook>
</file>

<file path=xl/calcChain.xml><?xml version="1.0" encoding="utf-8"?>
<calcChain xmlns="http://schemas.openxmlformats.org/spreadsheetml/2006/main">
  <c r="L2" i="1" l="1" a="1"/>
</calcChain>
</file>

<file path=xl/sharedStrings.xml><?xml version="1.0" encoding="utf-8"?>
<sst xmlns="http://schemas.openxmlformats.org/spreadsheetml/2006/main" count="2195" uniqueCount="547">
  <si>
    <t>GWD Revised Derived Rates 2025 Based on DSR 21/PRICE</t>
  </si>
  <si>
    <t>Select Distrct</t>
  </si>
  <si>
    <t>Index</t>
  </si>
  <si>
    <t>ADMIN</t>
  </si>
  <si>
    <t>Sl No</t>
  </si>
  <si>
    <t>Code</t>
  </si>
  <si>
    <t>Item Name</t>
  </si>
  <si>
    <t>Item Name With Code</t>
  </si>
  <si>
    <t>Unit</t>
  </si>
  <si>
    <t>Main Category</t>
  </si>
  <si>
    <t>Sub Category 1</t>
  </si>
  <si>
    <t>Sub Category 2</t>
  </si>
  <si>
    <t>C1</t>
  </si>
  <si>
    <t>C2</t>
  </si>
  <si>
    <t>Indexed</t>
  </si>
  <si>
    <t>Total</t>
  </si>
  <si>
    <t>GWDDR001</t>
  </si>
  <si>
    <t>each</t>
  </si>
  <si>
    <t>GWD DR</t>
  </si>
  <si>
    <t>MWSS</t>
  </si>
  <si>
    <t>MWSS Accessories</t>
  </si>
  <si>
    <t>GWDDR002</t>
  </si>
  <si>
    <t>Iron Structure</t>
  </si>
  <si>
    <t>GWDDR003</t>
  </si>
  <si>
    <t>GWDDR004</t>
  </si>
  <si>
    <t>GWDDR005</t>
  </si>
  <si>
    <t>GWDDR006</t>
  </si>
  <si>
    <t>GWDDR007</t>
  </si>
  <si>
    <t>metre</t>
  </si>
  <si>
    <t>Borewell</t>
  </si>
  <si>
    <t>PVC Casing Pipe (BW/FPW)</t>
  </si>
  <si>
    <t>GWDDR008</t>
  </si>
  <si>
    <t>GWDDR009</t>
  </si>
  <si>
    <t>GWDDR010</t>
  </si>
  <si>
    <t>GWDDR011</t>
  </si>
  <si>
    <t>GWDDR012</t>
  </si>
  <si>
    <t>GWDDR013</t>
  </si>
  <si>
    <t>GWDDR014</t>
  </si>
  <si>
    <t>GWDDR015</t>
  </si>
  <si>
    <t>GWDDR016</t>
  </si>
  <si>
    <t>GWDDR017</t>
  </si>
  <si>
    <t>GWDDR018</t>
  </si>
  <si>
    <t>Tubewell</t>
  </si>
  <si>
    <t>UPVC Casing Pipe (TW)</t>
  </si>
  <si>
    <t>GWDDR019</t>
  </si>
  <si>
    <t>GWDDR020</t>
  </si>
  <si>
    <t>Tubewell Fittings</t>
  </si>
  <si>
    <t>GWDDR021</t>
  </si>
  <si>
    <t>GWDDR022</t>
  </si>
  <si>
    <t>GWDDR023</t>
  </si>
  <si>
    <t>GWDDR024</t>
  </si>
  <si>
    <t>GWDDR025</t>
  </si>
  <si>
    <t>GWDDR026</t>
  </si>
  <si>
    <t>GWDDR027</t>
  </si>
  <si>
    <t>GWDDR028</t>
  </si>
  <si>
    <t>GWDDR029</t>
  </si>
  <si>
    <t>GWDDR030</t>
  </si>
  <si>
    <t>GI Pipes Without Trenching</t>
  </si>
  <si>
    <t>GWDDR031</t>
  </si>
  <si>
    <t>GWDDR032</t>
  </si>
  <si>
    <t>GWDDR033</t>
  </si>
  <si>
    <t>GWDDR034</t>
  </si>
  <si>
    <t>GWDDR035</t>
  </si>
  <si>
    <t>GWDDR036</t>
  </si>
  <si>
    <t>PVC Pipes Without Trenching</t>
  </si>
  <si>
    <t>GWDDR037</t>
  </si>
  <si>
    <t>GWDDR038</t>
  </si>
  <si>
    <t>GWDDR039</t>
  </si>
  <si>
    <t>GWDDR040</t>
  </si>
  <si>
    <t>GWDDR041</t>
  </si>
  <si>
    <t>GWDDR042</t>
  </si>
  <si>
    <t>GWDDR043</t>
  </si>
  <si>
    <t>GWDDR044</t>
  </si>
  <si>
    <t>GWDDR045</t>
  </si>
  <si>
    <t>GWDDR046</t>
  </si>
  <si>
    <t>GWDDR047</t>
  </si>
  <si>
    <t>GWDDR048</t>
  </si>
  <si>
    <t>PVC Pipes With Trenching</t>
  </si>
  <si>
    <t>GWDDR049</t>
  </si>
  <si>
    <t>Pump Erection</t>
  </si>
  <si>
    <t>GWDDR050</t>
  </si>
  <si>
    <t>GWDDR051</t>
  </si>
  <si>
    <t>GWDDR052</t>
  </si>
  <si>
    <t>Hand Pump</t>
  </si>
  <si>
    <t>HP Erection</t>
  </si>
  <si>
    <t>GWDDR053</t>
  </si>
  <si>
    <t>GWDDR054</t>
  </si>
  <si>
    <t>HP Pullout</t>
  </si>
  <si>
    <t>GWDDR055</t>
  </si>
  <si>
    <t>GWDDR056</t>
  </si>
  <si>
    <t>ARS</t>
  </si>
  <si>
    <t>ARS Pipes</t>
  </si>
  <si>
    <t>GWDDR057</t>
  </si>
  <si>
    <t>GWDDR058</t>
  </si>
  <si>
    <t>GWDDR059</t>
  </si>
  <si>
    <t>GWDDR060</t>
  </si>
  <si>
    <t>ARS Fittings</t>
  </si>
  <si>
    <t>GWDDR061</t>
  </si>
  <si>
    <t>Hydrants</t>
  </si>
  <si>
    <t>GWDDR062</t>
  </si>
  <si>
    <t>GWDDR063</t>
  </si>
  <si>
    <t>Hand Pump Repair</t>
  </si>
  <si>
    <t>GWDDR064</t>
  </si>
  <si>
    <t>WTP</t>
  </si>
  <si>
    <t>WTP FRP Vessel</t>
  </si>
  <si>
    <t>GWDDR065</t>
  </si>
  <si>
    <t>GWDDR066</t>
  </si>
  <si>
    <t>GWDDR067</t>
  </si>
  <si>
    <t>GWDDR068</t>
  </si>
  <si>
    <t>GWDDR069</t>
  </si>
  <si>
    <t>GWDDR070</t>
  </si>
  <si>
    <t>GWDDR071</t>
  </si>
  <si>
    <t>WTP Multi Port Valve</t>
  </si>
  <si>
    <t>GWDDR072</t>
  </si>
  <si>
    <t>GWDDR073</t>
  </si>
  <si>
    <t>GWDDR074</t>
  </si>
  <si>
    <t>WTP Distributer</t>
  </si>
  <si>
    <t>GWDDR075</t>
  </si>
  <si>
    <t>GWDDR076</t>
  </si>
  <si>
    <t>GWDDR077</t>
  </si>
  <si>
    <t>WTP Dosing Pump</t>
  </si>
  <si>
    <t>GWDDR078</t>
  </si>
  <si>
    <t>GWDDR079</t>
  </si>
  <si>
    <t>WTP Feed Pump</t>
  </si>
  <si>
    <t>GWDDR080</t>
  </si>
  <si>
    <t>GWDDR081</t>
  </si>
  <si>
    <t>GWDDR082</t>
  </si>
  <si>
    <t>WTP Sludge Pump</t>
  </si>
  <si>
    <t>GWDDR083</t>
  </si>
  <si>
    <t>WTP UV Plant</t>
  </si>
  <si>
    <t>GWDDR084</t>
  </si>
  <si>
    <t>GWDDR085</t>
  </si>
  <si>
    <t>GWDDR086</t>
  </si>
  <si>
    <t>WTP Plant Controller</t>
  </si>
  <si>
    <t>GWDDR087</t>
  </si>
  <si>
    <t>WTP Pressure Gauge</t>
  </si>
  <si>
    <t>GWDDR088</t>
  </si>
  <si>
    <t>100 kg</t>
  </si>
  <si>
    <t>WTP Filter Media</t>
  </si>
  <si>
    <t>GWDDR089</t>
  </si>
  <si>
    <t>GWDDR090</t>
  </si>
  <si>
    <t>GWDDR091</t>
  </si>
  <si>
    <t>25 kg</t>
  </si>
  <si>
    <t>WTP Dosing Chemicals</t>
  </si>
  <si>
    <t>GWDDR092</t>
  </si>
  <si>
    <t>GWDDR093</t>
  </si>
  <si>
    <t>WTP Plant Installation</t>
  </si>
  <si>
    <t>GWDDR094</t>
  </si>
  <si>
    <t>each visit</t>
  </si>
  <si>
    <t>WTP Plant Visit</t>
  </si>
  <si>
    <t>GWDDR095</t>
  </si>
  <si>
    <t>kg</t>
  </si>
  <si>
    <t>GI Works</t>
  </si>
  <si>
    <t>GWDDR096</t>
  </si>
  <si>
    <t>Investigation &amp; Logging</t>
  </si>
  <si>
    <t>GWDDR097</t>
  </si>
  <si>
    <t>GWDDR098</t>
  </si>
  <si>
    <t>GWDDR099</t>
  </si>
  <si>
    <t>GWDDR100</t>
  </si>
  <si>
    <t>Borewell Drilling</t>
  </si>
  <si>
    <t>GWDDR101</t>
  </si>
  <si>
    <t>GWDDR102</t>
  </si>
  <si>
    <t>Tubewell Drilling</t>
  </si>
  <si>
    <t>GWDDR103</t>
  </si>
  <si>
    <t>GWDDR104</t>
  </si>
  <si>
    <t>Filterpoint Well</t>
  </si>
  <si>
    <t>Filterpoint Well Drilling</t>
  </si>
  <si>
    <t>GWDDR105</t>
  </si>
  <si>
    <t>Flushing/Developing</t>
  </si>
  <si>
    <t>GWDDR106</t>
  </si>
  <si>
    <t>GWDDR107</t>
  </si>
  <si>
    <t>GWDDR108</t>
  </si>
  <si>
    <t>Water Quality Analysis</t>
  </si>
  <si>
    <t>GWDDR109</t>
  </si>
  <si>
    <t>GWDDR110</t>
  </si>
  <si>
    <t>Pump Pullout</t>
  </si>
  <si>
    <t>GWDDR111</t>
  </si>
  <si>
    <t>GWDDR112</t>
  </si>
  <si>
    <t>GWDDR114</t>
  </si>
  <si>
    <t>GWDDR115</t>
  </si>
  <si>
    <t>3 Core Cable</t>
  </si>
  <si>
    <t>GWDDR116</t>
  </si>
  <si>
    <t>GWDDR117</t>
  </si>
  <si>
    <t>GWDDR118</t>
  </si>
  <si>
    <t>GWDDR119</t>
  </si>
  <si>
    <t>GWDDR120</t>
  </si>
  <si>
    <t>GWDDR121</t>
  </si>
  <si>
    <t>GWDDR122</t>
  </si>
  <si>
    <t>GWDDR123</t>
  </si>
  <si>
    <t>UG Cable</t>
  </si>
  <si>
    <t>GWDDR124</t>
  </si>
  <si>
    <t>GWDDR125</t>
  </si>
  <si>
    <t>GWDDR126</t>
  </si>
  <si>
    <t>GWDDR127</t>
  </si>
  <si>
    <t>GWDDR128</t>
  </si>
  <si>
    <t>GWDDR129</t>
  </si>
  <si>
    <t>GWDDR130</t>
  </si>
  <si>
    <t>GWDDR131</t>
  </si>
  <si>
    <t>Motor Starter</t>
  </si>
  <si>
    <t>GWDDR132</t>
  </si>
  <si>
    <t>GWDDR133</t>
  </si>
  <si>
    <t>GWDDR134</t>
  </si>
  <si>
    <t>GWDDR135</t>
  </si>
  <si>
    <t>GWDDR136</t>
  </si>
  <si>
    <t>GWDDR137</t>
  </si>
  <si>
    <t>GWDDR138</t>
  </si>
  <si>
    <t>GWDDR139</t>
  </si>
  <si>
    <t>GWDDR140</t>
  </si>
  <si>
    <t>GWDDR141</t>
  </si>
  <si>
    <t>GWDDR142</t>
  </si>
  <si>
    <t>GWDDR143</t>
  </si>
  <si>
    <t>GWDDR144</t>
  </si>
  <si>
    <t>GWDDR145</t>
  </si>
  <si>
    <t>Water Meter</t>
  </si>
  <si>
    <t>GWDDR146</t>
  </si>
  <si>
    <t>GWDDR147</t>
  </si>
  <si>
    <t>PVC Pipes Exposed on Wall</t>
  </si>
  <si>
    <t>GWDDR148</t>
  </si>
  <si>
    <t>GWDDR149</t>
  </si>
  <si>
    <t>GWDDR150</t>
  </si>
  <si>
    <t>GWDDR151</t>
  </si>
  <si>
    <t>GWDDR152</t>
  </si>
  <si>
    <t>GWDDR153</t>
  </si>
  <si>
    <t>GWDDR154</t>
  </si>
  <si>
    <t>GWDDR155</t>
  </si>
  <si>
    <t>GWDDR156</t>
  </si>
  <si>
    <t>GWDDR157</t>
  </si>
  <si>
    <t>GWDDR158</t>
  </si>
  <si>
    <t>GWDDR159</t>
  </si>
  <si>
    <t>GWDDR160</t>
  </si>
  <si>
    <t>GWDDR161</t>
  </si>
  <si>
    <t>GWDDR162</t>
  </si>
  <si>
    <t>GWDDR163</t>
  </si>
  <si>
    <t>GWDDR164</t>
  </si>
  <si>
    <t>GWDDR165</t>
  </si>
  <si>
    <t>GWDDR166</t>
  </si>
  <si>
    <t>GWDDR167</t>
  </si>
  <si>
    <t>GWDDR168</t>
  </si>
  <si>
    <t>GWDDR169</t>
  </si>
  <si>
    <t>GWDDR170</t>
  </si>
  <si>
    <t>GWDDR171</t>
  </si>
  <si>
    <t>GWDDR172</t>
  </si>
  <si>
    <t>GWDDR173</t>
  </si>
  <si>
    <t>GWDDR174</t>
  </si>
  <si>
    <t>GWDDR175</t>
  </si>
  <si>
    <t>GWDDR176</t>
  </si>
  <si>
    <t>GI Pipes Exposed on Wall</t>
  </si>
  <si>
    <t>GWDDR177</t>
  </si>
  <si>
    <t>GWDDR178</t>
  </si>
  <si>
    <t>GWDDR179</t>
  </si>
  <si>
    <t>GWDDR180</t>
  </si>
  <si>
    <t>GWDDR181</t>
  </si>
  <si>
    <t>GWDDR182</t>
  </si>
  <si>
    <t>GWDDR183</t>
  </si>
  <si>
    <t>GWDDR184</t>
  </si>
  <si>
    <t>GWDDR185</t>
  </si>
  <si>
    <t>GWDDR186</t>
  </si>
  <si>
    <t>GWDDR187</t>
  </si>
  <si>
    <t>GWDDR188</t>
  </si>
  <si>
    <t>GWDDR189</t>
  </si>
  <si>
    <t>GWDDR190</t>
  </si>
  <si>
    <t>GWDDR191</t>
  </si>
  <si>
    <t>GWDDR192</t>
  </si>
  <si>
    <t>GWDDR193</t>
  </si>
  <si>
    <t>GWDDR194</t>
  </si>
  <si>
    <t>GWDDR195</t>
  </si>
  <si>
    <t>GWDDR196</t>
  </si>
  <si>
    <t>GWDDR197</t>
  </si>
  <si>
    <t>GWDDR198</t>
  </si>
  <si>
    <t>GWDDR199</t>
  </si>
  <si>
    <t>GWDDR200</t>
  </si>
  <si>
    <t>GWDDR201</t>
  </si>
  <si>
    <t>litre</t>
  </si>
  <si>
    <t>GWDDR202</t>
  </si>
  <si>
    <t>PVC Fittings</t>
  </si>
  <si>
    <t>PVC Bend</t>
  </si>
  <si>
    <t>GWDDR203</t>
  </si>
  <si>
    <t>PVC Coupling</t>
  </si>
  <si>
    <t>GWDDR204</t>
  </si>
  <si>
    <t>GWDDR205</t>
  </si>
  <si>
    <t>GWDDR206</t>
  </si>
  <si>
    <t>GWDDR207</t>
  </si>
  <si>
    <t>GWDDR208</t>
  </si>
  <si>
    <t>GWDDR209</t>
  </si>
  <si>
    <t>GWDDR210</t>
  </si>
  <si>
    <t>GWDDR211</t>
  </si>
  <si>
    <t>GWDDR212</t>
  </si>
  <si>
    <t>GWDDR213</t>
  </si>
  <si>
    <t>GWDDR214</t>
  </si>
  <si>
    <t>GWDDR215</t>
  </si>
  <si>
    <t>GWDDR216</t>
  </si>
  <si>
    <t>PVC Tee</t>
  </si>
  <si>
    <t>GWDDR217</t>
  </si>
  <si>
    <t>GWDDR218</t>
  </si>
  <si>
    <t>GWDDR219</t>
  </si>
  <si>
    <t>GWDDR220</t>
  </si>
  <si>
    <t>GWDDR221</t>
  </si>
  <si>
    <t>GWDDR222</t>
  </si>
  <si>
    <t>GWDDR223</t>
  </si>
  <si>
    <t>PVC Elbow</t>
  </si>
  <si>
    <t>GWDDR224</t>
  </si>
  <si>
    <t>GWDDR225</t>
  </si>
  <si>
    <t>GWDDR226</t>
  </si>
  <si>
    <t>GWDDR227</t>
  </si>
  <si>
    <t>GWDDR228</t>
  </si>
  <si>
    <t>GWDDR229</t>
  </si>
  <si>
    <t>GWDDR230</t>
  </si>
  <si>
    <t>GWDDR231</t>
  </si>
  <si>
    <t>GWDDR232</t>
  </si>
  <si>
    <t>PVC End Cap</t>
  </si>
  <si>
    <t>GWDDR233</t>
  </si>
  <si>
    <t>GWDDR234</t>
  </si>
  <si>
    <t>GWDDR235</t>
  </si>
  <si>
    <t>PVC Reducer</t>
  </si>
  <si>
    <t>GWDDR236</t>
  </si>
  <si>
    <t>GWDDR237</t>
  </si>
  <si>
    <t>GWDDR238</t>
  </si>
  <si>
    <t>sqm</t>
  </si>
  <si>
    <t>ARS Civil</t>
  </si>
  <si>
    <t>GWDDR239</t>
  </si>
  <si>
    <t>GWDDR240</t>
  </si>
  <si>
    <t>cum</t>
  </si>
  <si>
    <t>Tubewell Consumables</t>
  </si>
  <si>
    <t>GWDDR241</t>
  </si>
  <si>
    <t>GI Pipe With Trenching</t>
  </si>
  <si>
    <t>GWDDR242</t>
  </si>
  <si>
    <t>GWDDR243</t>
  </si>
  <si>
    <t>GWDDR244</t>
  </si>
  <si>
    <t>GWDDR245</t>
  </si>
  <si>
    <t>GWDDR246</t>
  </si>
  <si>
    <t>GWDDR247</t>
  </si>
  <si>
    <t>GWDDR248</t>
  </si>
  <si>
    <t>GWDDR249</t>
  </si>
  <si>
    <t>GM Gate Valve</t>
  </si>
  <si>
    <t>GWDDR250</t>
  </si>
  <si>
    <t>GWDDR251</t>
  </si>
  <si>
    <t>GWDDR252</t>
  </si>
  <si>
    <t>GWDDR253</t>
  </si>
  <si>
    <t>GWDDR254</t>
  </si>
  <si>
    <t>GWDDR255</t>
  </si>
  <si>
    <t>GWDDR256</t>
  </si>
  <si>
    <t>GM Non Return Valve</t>
  </si>
  <si>
    <t>GWDDR257</t>
  </si>
  <si>
    <t>GWDDR258</t>
  </si>
  <si>
    <t>GWDDR259</t>
  </si>
  <si>
    <t>GWDDR260</t>
  </si>
  <si>
    <t>GWDDR261</t>
  </si>
  <si>
    <t>GWDDR262</t>
  </si>
  <si>
    <t>GWDDR263</t>
  </si>
  <si>
    <t>GWDDR264</t>
  </si>
  <si>
    <t>GWDDR265</t>
  </si>
  <si>
    <t>GWDDR266</t>
  </si>
  <si>
    <t>GWDDR267</t>
  </si>
  <si>
    <t>GWDDR268</t>
  </si>
  <si>
    <t>GI Union</t>
  </si>
  <si>
    <t>GWDDR269</t>
  </si>
  <si>
    <t>GWDDR270</t>
  </si>
  <si>
    <t>GWDDR271</t>
  </si>
  <si>
    <t>GWDDR272</t>
  </si>
  <si>
    <t>GWDDR273</t>
  </si>
  <si>
    <t>GWDDR274</t>
  </si>
  <si>
    <t>GWDDR275</t>
  </si>
  <si>
    <t>GWDDR276</t>
  </si>
  <si>
    <t>GWDDR277</t>
  </si>
  <si>
    <t>GWDDR278</t>
  </si>
  <si>
    <t>GWDDR279</t>
  </si>
  <si>
    <t>GWDDR280</t>
  </si>
  <si>
    <t>GWDDR281</t>
  </si>
  <si>
    <t>GWDDR282</t>
  </si>
  <si>
    <t>GWDDR283</t>
  </si>
  <si>
    <t>GWDDR284</t>
  </si>
  <si>
    <t>HDPE</t>
  </si>
  <si>
    <t>GWDDR285</t>
  </si>
  <si>
    <t>GWDDR286</t>
  </si>
  <si>
    <t>GWDDR287</t>
  </si>
  <si>
    <t>GWDDR288</t>
  </si>
  <si>
    <t>GWDDR289</t>
  </si>
  <si>
    <t>GWDDR290</t>
  </si>
  <si>
    <t>GWDDR291</t>
  </si>
  <si>
    <t>GWDDR292</t>
  </si>
  <si>
    <t>GWDDR293</t>
  </si>
  <si>
    <t>GWDDR294</t>
  </si>
  <si>
    <t>GWDDR295</t>
  </si>
  <si>
    <t>GWDDR296</t>
  </si>
  <si>
    <t>GWDDR297</t>
  </si>
  <si>
    <t>GWDDR298</t>
  </si>
  <si>
    <t>GWDDR299</t>
  </si>
  <si>
    <t>GWDDR300</t>
  </si>
  <si>
    <t>GWDDR301</t>
  </si>
  <si>
    <t>GWDDR302</t>
  </si>
  <si>
    <t>GWDDR303</t>
  </si>
  <si>
    <t>GWDDR304</t>
  </si>
  <si>
    <t>GWDDR305</t>
  </si>
  <si>
    <t>GWDDR306</t>
  </si>
  <si>
    <t>GWDDR307</t>
  </si>
  <si>
    <t>GWDDR308</t>
  </si>
  <si>
    <t>GWDDR309</t>
  </si>
  <si>
    <t>GWDDR310</t>
  </si>
  <si>
    <t>GWDDR311</t>
  </si>
  <si>
    <t>GWDDR312</t>
  </si>
  <si>
    <t>GWDDR313</t>
  </si>
  <si>
    <t>GWDDR314</t>
  </si>
  <si>
    <t>GWDDR315</t>
  </si>
  <si>
    <t>GWDDR316</t>
  </si>
  <si>
    <t>GWDDR317</t>
  </si>
  <si>
    <t>GWDDR318</t>
  </si>
  <si>
    <t>GWDDR319</t>
  </si>
  <si>
    <t>GWDDR320</t>
  </si>
  <si>
    <t>GWDDR321</t>
  </si>
  <si>
    <t>GWDDR322</t>
  </si>
  <si>
    <t>GWDDR323</t>
  </si>
  <si>
    <t>GWDDR324</t>
  </si>
  <si>
    <t>GWDDR325</t>
  </si>
  <si>
    <t>GWDDR326</t>
  </si>
  <si>
    <t>GWDDR327</t>
  </si>
  <si>
    <t>GWDDR328</t>
  </si>
  <si>
    <t>GWDDR329</t>
  </si>
  <si>
    <t>GWDDR330</t>
  </si>
  <si>
    <t>GWDDR331</t>
  </si>
  <si>
    <t>GWDDR332</t>
  </si>
  <si>
    <t>GWDDR333</t>
  </si>
  <si>
    <t>GWDDR334</t>
  </si>
  <si>
    <t>GWDDR335</t>
  </si>
  <si>
    <t>GWDDR336</t>
  </si>
  <si>
    <t>GWDDR337</t>
  </si>
  <si>
    <t>GWDDR338</t>
  </si>
  <si>
    <t>GWDDR339</t>
  </si>
  <si>
    <t>GWDDR340</t>
  </si>
  <si>
    <t>GWDDR341</t>
  </si>
  <si>
    <t>GWDDR342</t>
  </si>
  <si>
    <t>GWDDR343</t>
  </si>
  <si>
    <t>GWDDR344</t>
  </si>
  <si>
    <t>GWDDR345</t>
  </si>
  <si>
    <t>GWDDR346</t>
  </si>
  <si>
    <t>GWDDR347</t>
  </si>
  <si>
    <t>GWDDR348</t>
  </si>
  <si>
    <t>GWDDR349</t>
  </si>
  <si>
    <t>GWDDR350</t>
  </si>
  <si>
    <t>GWDDR351</t>
  </si>
  <si>
    <t>GWDDR352</t>
  </si>
  <si>
    <t>GWDDR353</t>
  </si>
  <si>
    <t>GWDDR354</t>
  </si>
  <si>
    <t>GWDDR355</t>
  </si>
  <si>
    <t>GWDDR356</t>
  </si>
  <si>
    <t>GWDDR357</t>
  </si>
  <si>
    <t>GWDDR358</t>
  </si>
  <si>
    <t>GWDDR359</t>
  </si>
  <si>
    <t>GWDDR360</t>
  </si>
  <si>
    <t>GWDDR361</t>
  </si>
  <si>
    <t>GWDDR362</t>
  </si>
  <si>
    <t>GWDDR363</t>
  </si>
  <si>
    <t>Panel Board</t>
  </si>
  <si>
    <t>GWDDR364</t>
  </si>
  <si>
    <t>GWDDR365</t>
  </si>
  <si>
    <t>each sample</t>
  </si>
  <si>
    <t>GWDDR366</t>
  </si>
  <si>
    <t>GWDDR367</t>
  </si>
  <si>
    <t xml:space="preserve"> Borewell</t>
  </si>
  <si>
    <t>GWDDR368</t>
  </si>
  <si>
    <t>GWDDR369</t>
  </si>
  <si>
    <t>GWDDR370</t>
  </si>
  <si>
    <t>ARS Filter Media</t>
  </si>
  <si>
    <t>GWDDR371</t>
  </si>
  <si>
    <t>GWDDR372</t>
  </si>
  <si>
    <t>GWDDR373</t>
  </si>
  <si>
    <t>GWDDR374</t>
  </si>
  <si>
    <t>GWDDR375</t>
  </si>
  <si>
    <t>GWDDR376</t>
  </si>
  <si>
    <t>5 hrs</t>
  </si>
  <si>
    <t>Pumping Test</t>
  </si>
  <si>
    <t>GWDDR377</t>
  </si>
  <si>
    <t>GWDDR378</t>
  </si>
  <si>
    <t>GWDDR379</t>
  </si>
  <si>
    <t>PVC Pipes Concealed Work</t>
  </si>
  <si>
    <t>GWDDR380</t>
  </si>
  <si>
    <t>GWDDR381</t>
  </si>
  <si>
    <t>GWDDR382</t>
  </si>
  <si>
    <t>GWDDR383</t>
  </si>
  <si>
    <t>GWDDR384</t>
  </si>
  <si>
    <t>GWDDR385</t>
  </si>
  <si>
    <t>GWDDR386</t>
  </si>
  <si>
    <t>GWDDR387</t>
  </si>
  <si>
    <t>GWDDR388</t>
  </si>
  <si>
    <t>GWDDR389</t>
  </si>
  <si>
    <t>GWDDR390</t>
  </si>
  <si>
    <t>GWDDR391</t>
  </si>
  <si>
    <t>GWDDR392</t>
  </si>
  <si>
    <t>GWDDR393</t>
  </si>
  <si>
    <t>GWDDR394</t>
  </si>
  <si>
    <t>Electrical Components</t>
  </si>
  <si>
    <t>GWDDR395</t>
  </si>
  <si>
    <t>GWDDR396</t>
  </si>
  <si>
    <t>GWDDR397</t>
  </si>
  <si>
    <t>GWDDR398</t>
  </si>
  <si>
    <t>GWDDR399</t>
  </si>
  <si>
    <t>GWDDR400</t>
  </si>
  <si>
    <t>GWDDR401</t>
  </si>
  <si>
    <t>GWDDR402</t>
  </si>
  <si>
    <t>GWDDR403</t>
  </si>
  <si>
    <t>GWDDR404</t>
  </si>
  <si>
    <t>GWDDR405</t>
  </si>
  <si>
    <t>GWDDR406</t>
  </si>
  <si>
    <t>GWDDR407</t>
  </si>
  <si>
    <t>GWDDR408</t>
  </si>
  <si>
    <t>GWDDR409</t>
  </si>
  <si>
    <t>GWDDR410</t>
  </si>
  <si>
    <t>GWDDR411</t>
  </si>
  <si>
    <t>GWDDR412</t>
  </si>
  <si>
    <t>GWDDR413</t>
  </si>
  <si>
    <t>GWDDR414</t>
  </si>
  <si>
    <t>GWDDR415</t>
  </si>
  <si>
    <t>GWDDR416</t>
  </si>
  <si>
    <t>GWDDR417</t>
  </si>
  <si>
    <t>GWDDR418</t>
  </si>
  <si>
    <t>GWDDR419</t>
  </si>
  <si>
    <t>GWDDR420</t>
  </si>
  <si>
    <t>GWDDR421</t>
  </si>
  <si>
    <t>GWDDR422</t>
  </si>
  <si>
    <t>GWDDR423</t>
  </si>
  <si>
    <t>GWDDR424</t>
  </si>
  <si>
    <t>GWDDR425</t>
  </si>
  <si>
    <t>GWDDR426</t>
  </si>
  <si>
    <t>GWDDR427</t>
  </si>
  <si>
    <t>GWDDR428</t>
  </si>
  <si>
    <t>GWDDR429</t>
  </si>
  <si>
    <t>GWDDR430</t>
  </si>
  <si>
    <t>GWDDR431</t>
  </si>
  <si>
    <t>GWDDR432</t>
  </si>
  <si>
    <t>GWDDR433</t>
  </si>
  <si>
    <t>GWDDR434</t>
  </si>
  <si>
    <t>GWDDR435</t>
  </si>
  <si>
    <t>GWDDR436</t>
  </si>
  <si>
    <t>GWDDR437</t>
  </si>
  <si>
    <t>GWDDR438</t>
  </si>
  <si>
    <t>GWDDR439</t>
  </si>
  <si>
    <t>GWDDR440</t>
  </si>
  <si>
    <t>GWDDR441</t>
  </si>
  <si>
    <t>GWDDR442</t>
  </si>
  <si>
    <t>GWDDR443</t>
  </si>
  <si>
    <t>GWDDR444</t>
  </si>
  <si>
    <t>GWDDR445</t>
  </si>
  <si>
    <t>GWDDR446</t>
  </si>
  <si>
    <t>GWDDR447</t>
  </si>
  <si>
    <t>Others</t>
  </si>
  <si>
    <t>GWDDR448</t>
  </si>
  <si>
    <t>GWDDR449</t>
  </si>
  <si>
    <t>GWDDR450</t>
  </si>
</sst>
</file>

<file path=xl/styles.xml><?xml version="1.0" encoding="utf-8"?>
<styleSheet xmlns="http://schemas.openxmlformats.org/spreadsheetml/2006/main">
  <numFmts count="1">
    <numFmt numFmtId="177" formatCode="#,##0.0000"/>
  </numFmts>
  <fonts count="5">
    <font>
      <sz val="10"/>
      <color theme="1"/>
      <name val="Arial"/>
      <family val="2"/>
    </font>
    <font>
      <sz val="12"/>
      <color theme="1"/>
      <name val="Cambria"/>
      <family val="2"/>
    </font>
    <font>
      <b/>
      <sz val="12"/>
      <color theme="1"/>
      <name val="Cambria"/>
      <family val="2"/>
    </font>
    <font>
      <sz val="11"/>
      <color rgb="FF000000"/>
      <name val="Calibri"/>
      <family val="2"/>
      <scheme val="minor"/>
    </font>
    <font>
      <b/>
      <sz val="12"/>
      <color rgb="FFFFFFFF"/>
      <name val="Cambria"/>
      <family val="2"/>
    </font>
  </fonts>
  <fills count="5">
    <fill>
      <patternFill patternType="none"/>
    </fill>
    <fill>
      <patternFill patternType="gray125"/>
    </fill>
    <fill>
      <patternFill patternType="solid">
        <fgColor rgb="FF3C78D8"/>
        <bgColor indexed="64"/>
      </patternFill>
    </fill>
    <fill>
      <patternFill patternType="solid">
        <fgColor rgb="FFEAD1DC"/>
        <bgColor indexed="64"/>
      </patternFill>
    </fill>
    <fill>
      <patternFill patternType="solid">
        <fgColor rgb="FFE0F7FA"/>
        <bgColor indexed="64"/>
      </patternFill>
    </fill>
  </fills>
  <borders count="10">
    <border>
      <left/>
      <right/>
      <top/>
      <bottom/>
      <diagonal/>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4" fillId="2" borderId="1" xfId="0" applyFont="1" applyFill="1" applyBorder="1" applyAlignment="1">
      <alignment horizontal="center" vertical="center" wrapText="1"/>
    </xf>
    <xf numFmtId="0" fontId="3" fillId="0" borderId="2" xfId="0" applyFont="1" applyBorder="1">
      <alignment/>
    </xf>
    <xf numFmtId="0" fontId="3" fillId="0" borderId="3" xfId="0" applyFont="1" applyBorder="1">
      <alignment/>
    </xf>
    <xf numFmtId="4" fontId="2" fillId="3" borderId="4" xfId="0" applyNumberFormat="1" applyFont="1" applyFill="1" applyBorder="1" applyAlignment="1">
      <alignment horizontal="center" vertical="center" wrapText="1"/>
    </xf>
    <xf numFmtId="0" fontId="3" fillId="0" borderId="5" xfId="0" applyFont="1" applyBorder="1">
      <alignment/>
    </xf>
    <xf numFmtId="4" fontId="2" fillId="3" borderId="6" xfId="0" applyNumberFormat="1" applyFont="1" applyBorder="1" applyAlignment="1">
      <alignment horizontal="center" vertical="center" wrapText="1"/>
    </xf>
    <xf numFmtId="0" fontId="3" fillId="0" borderId="7" xfId="0" applyFont="1" applyBorder="1">
      <alignment/>
    </xf>
    <xf numFmtId="0" fontId="3" fillId="0" borderId="8" xfId="0" applyFont="1" applyBorder="1">
      <alignment/>
    </xf>
    <xf numFmtId="0" fontId="3" fillId="0" borderId="9" xfId="0" applyFont="1" applyBorder="1">
      <alignment/>
    </xf>
    <xf numFmtId="4" fontId="1" fillId="3" borderId="4" xfId="0" applyNumberFormat="1" applyFont="1" applyBorder="1" applyAlignment="1">
      <alignment horizontal="center" vertical="center" wrapText="1"/>
    </xf>
    <xf numFmtId="177" fontId="1" fillId="3"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4" fontId="2"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4" fontId="1" fillId="0" borderId="6" xfId="0" applyNumberFormat="1" applyFont="1" applyBorder="1" applyAlignment="1">
      <alignment horizontal="center" vertical="center" wrapText="1"/>
    </xf>
    <xf numFmtId="4" fontId="1" fillId="4" borderId="6" xfId="0" applyNumberFormat="1" applyFont="1" applyFill="1" applyBorder="1" applyAlignment="1">
      <alignment horizontal="center" vertical="center" wrapText="1"/>
    </xf>
    <xf numFmtId="49" fontId="1" fillId="0" borderId="6" xfId="0" applyNumberFormat="1" applyFont="1" applyBorder="1" applyAlignment="1">
      <alignment horizontal="left" vertical="center" wrapText="1"/>
    </xf>
    <xf numFmtId="0" fontId="1" fillId="4" borderId="6" xfId="0" applyFont="1" applyBorder="1" applyAlignment="1">
      <alignment horizontal="center" vertical="center" wrapText="1"/>
    </xf>
    <xf numFmtId="49" fontId="1" fillId="0" borderId="6" xfId="0" applyNumberFormat="1" applyFont="1" applyBorder="1" applyAlignment="1">
      <alignment horizontal="center" vertical="center" wrapText="1"/>
    </xf>
    <xf numFmtId="2" fontId="1" fillId="0" borderId="6" xfId="0" applyNumberFormat="1" applyFont="1" applyBorder="1" applyAlignment="1">
      <alignment horizontal="center" vertical="center" wrapText="1"/>
    </xf>
    <xf numFmtId="2" fontId="1" fillId="0" borderId="6" xfId="0" applyNumberFormat="1" applyFont="1" applyBorder="1" applyAlignment="1">
      <alignment horizontal="left" vertical="center" wrapText="1"/>
    </xf>
    <xf numFmtId="4" fontId="1" fillId="4" borderId="6" xfId="0" applyNumberFormat="1"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GWD DR Abstract-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externalLink" Target="externalLinks/externalLink1.xml" /><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6" Type="http://schemas.openxmlformats.org/officeDocument/2006/relationships/calcChain" Target="calcChain.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ARS Filter Media"/>
      <sheetName val="BW Casing Pipes"/>
      <sheetName val="Electrical Essentials"/>
      <sheetName val="GI on Wall PRICE"/>
      <sheetName val="GI wo Trench"/>
      <sheetName val="GI With Trench PRICE"/>
      <sheetName val="GI Works"/>
      <sheetName val="Gravel for TWC"/>
      <sheetName val="Gutter&amp;Clamp"/>
      <sheetName val="HDPE Pipe PRICE"/>
      <sheetName val="HP Erection and Pullout"/>
      <sheetName val="HP Repair Labour"/>
      <sheetName val="HP Repair Spares"/>
      <sheetName val="Hydrants"/>
      <sheetName val="Iron Structure"/>
      <sheetName val="Lock"/>
      <sheetName val="Metallic PH"/>
      <sheetName val="Motor Starter GWD"/>
      <sheetName val="Motor Starter Monoblock"/>
      <sheetName val="Motor Starter PRICE"/>
      <sheetName val="Other Fittings PRICE"/>
      <sheetName val="Panel Board"/>
      <sheetName val="Pump Cover"/>
      <sheetName val="Pump Erection "/>
      <sheetName val="Pump Pullout"/>
      <sheetName val="PVC Fittings"/>
      <sheetName val="PVC Fittings PRICE"/>
      <sheetName val="PVC on Wall (Concealed) PRICE"/>
      <sheetName val="PVC on Wall PRICE"/>
      <sheetName val="PVC wo Trench"/>
      <sheetName val="PVC With Trench"/>
      <sheetName val="PVC With Trench PRICE"/>
      <sheetName val="Scaffolding"/>
      <sheetName val="Services"/>
      <sheetName val="TW Casing Pipes"/>
      <sheetName val="UG Cable PRICE"/>
      <sheetName val="Water Meter"/>
      <sheetName val="Water Tank"/>
      <sheetName val="Well Protection"/>
      <sheetName val="WTP"/>
      <sheetName val="ZCost 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ables/table1.xml><?xml version="1.0" encoding="utf-8"?>
<table xmlns="http://schemas.openxmlformats.org/spreadsheetml/2006/main" id="1" name="Table_1" displayName="Table_1" ref="A3:L452">
  <tableColumns count="12">
    <tableColumn id="1" name="Sl No"/>
    <tableColumn id="2" name="Code"/>
    <tableColumn id="3" name="Item Name"/>
    <tableColumn id="4" name="Item Name With Code"/>
    <tableColumn id="5" name="Unit"/>
    <tableColumn id="6" name="Main Category"/>
    <tableColumn id="7" name="Sub Category 1"/>
    <tableColumn id="8" name="Sub Category 2"/>
    <tableColumn id="9" name="C1"/>
    <tableColumn id="10" name="C2"/>
    <tableColumn id="11" name="Indexed"/>
    <tableColumn id="12" name="Total"/>
  </tableColumns>
  <tableStyleInfo name="GWD DR Abstrac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1CAA74-8070-44C3-A75D-1E8301FCB9A7}">
  <dimension ref="A1:L452"/>
  <sheetViews>
    <sheetView tabSelected="1" workbookViewId="0" topLeftCell="A1"/>
  </sheetViews>
  <sheetFormatPr defaultRowHeight="12.75"/>
  <sheetData>
    <row r="1" spans="1:12" ht="12.75">
      <c r="A1" s="1" t="s">
        <v>0</v>
      </c>
      <c r="B1" s="2"/>
      <c r="C1" s="2"/>
      <c r="D1" s="2"/>
      <c r="E1" s="2"/>
      <c r="F1" s="2"/>
      <c r="G1" s="2"/>
      <c r="H1" s="2"/>
      <c r="I1" s="3"/>
      <c r="J1" s="4" t="s">
        <v>1</v>
      </c>
      <c r="K1" s="5"/>
      <c r="L1" s="6" t="s">
        <v>2</v>
      </c>
    </row>
    <row r="2" spans="1:12" ht="12.75">
      <c r="A2" s="7"/>
      <c r="B2" s="8"/>
      <c r="C2" s="8"/>
      <c r="D2" s="8"/>
      <c r="E2" s="8"/>
      <c r="F2" s="8"/>
      <c r="G2" s="8"/>
      <c r="H2" s="8"/>
      <c r="I2" s="9"/>
      <c r="J2" s="10" t="s">
        <v>3</v>
      </c>
      <c r="K2" s="5"/>
      <c r="L2" s="11">
        <f t="array" ref="L2">((IFERROR(INDEX(CostIndex,MATCH(J2,District,0),),)))</f>
        <v>1</v>
      </c>
    </row>
    <row r="3" spans="1:12" ht="12.75">
      <c r="A3" s="12" t="s">
        <v>4</v>
      </c>
      <c r="B3" s="12" t="s">
        <v>5</v>
      </c>
      <c r="C3" s="12" t="s">
        <v>6</v>
      </c>
      <c r="D3" s="12" t="s">
        <v>7</v>
      </c>
      <c r="E3" s="12" t="s">
        <v>8</v>
      </c>
      <c r="F3" s="13" t="s">
        <v>9</v>
      </c>
      <c r="G3" s="13" t="s">
        <v>10</v>
      </c>
      <c r="H3" s="13" t="s">
        <v>11</v>
      </c>
      <c r="I3" s="13" t="s">
        <v>12</v>
      </c>
      <c r="J3" s="13" t="s">
        <v>13</v>
      </c>
      <c r="K3" s="13" t="s">
        <v>14</v>
      </c>
      <c r="L3" s="13" t="s">
        <v>15</v>
      </c>
    </row>
    <row r="4" spans="1:12" ht="12.75">
      <c r="A4" s="14">
        <v>1</v>
      </c>
      <c r="B4" s="15" t="s">
        <v>16</v>
      </c>
      <c r="C4" s="15" t="str">
        <f>'[1]Well Protection'!A1</f>
        <v>Well Protection Cover</v>
      </c>
      <c r="D4" s="15" t="str">
        <f>CONCATENATE(C4," (Code: ",B4,")")</f>
        <v>Well Protection Cover (Code: GWDDR001)</v>
      </c>
      <c r="E4" s="14" t="s">
        <v>17</v>
      </c>
      <c r="F4" s="16" t="s">
        <v>18</v>
      </c>
      <c r="G4" s="16" t="s">
        <v>19</v>
      </c>
      <c r="H4" s="16" t="s">
        <v>20</v>
      </c>
      <c r="I4" s="16">
        <v>0</v>
      </c>
      <c r="J4" s="16">
        <f>'[1]Well Protection'!J30</f>
        <v>3800.0025540000001</v>
      </c>
      <c r="K4" s="16">
        <f>J4*($L$2-1)</f>
        <v>0</v>
      </c>
      <c r="L4" s="16">
        <f>SUM(I4:K4)</f>
        <v>3800.0025540000001</v>
      </c>
    </row>
    <row r="5" spans="1:12" ht="12.75">
      <c r="A5" s="14">
        <v>2</v>
      </c>
      <c r="B5" s="15" t="s">
        <v>21</v>
      </c>
      <c r="C5" s="15" t="str">
        <f>'[1]Iron Structure'!A1</f>
        <v>Angle Iron Structure To Support 5000 Litres Capacity Water Tank At 4 m Height</v>
      </c>
      <c r="D5" s="15" t="str">
        <f>CONCATENATE(C5," (Code: ",B5,")")</f>
        <v>Angle Iron Structure To Support 5000 Litres Capacity Water Tank At 4 m Height (Code: GWDDR002)</v>
      </c>
      <c r="E5" s="14" t="s">
        <v>17</v>
      </c>
      <c r="F5" s="16" t="s">
        <v>18</v>
      </c>
      <c r="G5" s="16" t="s">
        <v>19</v>
      </c>
      <c r="H5" s="16" t="s">
        <v>22</v>
      </c>
      <c r="I5" s="16">
        <v>0</v>
      </c>
      <c r="J5" s="16">
        <f>'[1]Iron Structure'!J42</f>
        <v>71000.003330000007</v>
      </c>
      <c r="K5" s="16">
        <f>J5*($L$2-1)</f>
        <v>0</v>
      </c>
      <c r="L5" s="16">
        <f>SUM(I5:K5)</f>
        <v>71000.003330000007</v>
      </c>
    </row>
    <row r="6" spans="1:12" ht="12.75">
      <c r="A6" s="14">
        <v>3</v>
      </c>
      <c r="B6" s="15" t="s">
        <v>23</v>
      </c>
      <c r="C6" s="15" t="str">
        <f>'[1]Iron Structure'!A44</f>
        <v>Angle Iron Structure To Support 3000 Litres Capacity Water Tank At 4 m Height</v>
      </c>
      <c r="D6" s="15" t="str">
        <f>CONCATENATE(C6," (Code: ",B6,")")</f>
        <v>Angle Iron Structure To Support 3000 Litres Capacity Water Tank At 4 m Height (Code: GWDDR003)</v>
      </c>
      <c r="E6" s="14" t="s">
        <v>17</v>
      </c>
      <c r="F6" s="16" t="s">
        <v>18</v>
      </c>
      <c r="G6" s="16" t="s">
        <v>19</v>
      </c>
      <c r="H6" s="16" t="s">
        <v>22</v>
      </c>
      <c r="I6" s="16">
        <v>0</v>
      </c>
      <c r="J6" s="16">
        <f>'[1]Iron Structure'!J85</f>
        <v>61999.998850000004</v>
      </c>
      <c r="K6" s="16">
        <f>J6*($L$2-1)</f>
        <v>0</v>
      </c>
      <c r="L6" s="16">
        <f>SUM(I6:K6)</f>
        <v>61999.998850000004</v>
      </c>
    </row>
    <row r="7" spans="1:12" ht="12.75">
      <c r="A7" s="14">
        <v>4</v>
      </c>
      <c r="B7" s="15" t="s">
        <v>24</v>
      </c>
      <c r="C7" s="15" t="str">
        <f>'[1]Iron Structure'!A87</f>
        <v>Angle Iron Structure To Support 5000 Litres Capacity Water Tank At 6 m Height</v>
      </c>
      <c r="D7" s="15" t="str">
        <f>CONCATENATE(C7," (Code: ",B7,")")</f>
        <v>Angle Iron Structure To Support 5000 Litres Capacity Water Tank At 6 m Height (Code: GWDDR004)</v>
      </c>
      <c r="E7" s="14" t="s">
        <v>17</v>
      </c>
      <c r="F7" s="16" t="s">
        <v>18</v>
      </c>
      <c r="G7" s="16" t="s">
        <v>19</v>
      </c>
      <c r="H7" s="16" t="s">
        <v>22</v>
      </c>
      <c r="I7" s="16">
        <v>0</v>
      </c>
      <c r="J7" s="16">
        <f>'[1]Iron Structure'!J130</f>
        <v>93999.997090000004</v>
      </c>
      <c r="K7" s="16">
        <f>J7*($L$2-1)</f>
        <v>0</v>
      </c>
      <c r="L7" s="16">
        <f>SUM(I7:K7)</f>
        <v>93999.997090000004</v>
      </c>
    </row>
    <row r="8" spans="1:12" ht="12.75">
      <c r="A8" s="14">
        <v>5</v>
      </c>
      <c r="B8" s="15" t="s">
        <v>25</v>
      </c>
      <c r="C8" s="15" t="str">
        <f>'[1]Iron Structure'!A132</f>
        <v>Angle Iron Structure To Support 3000 Litres Capacity Water Tank At 6 m Height</v>
      </c>
      <c r="D8" s="15" t="str">
        <f>CONCATENATE(C8," (Code: ",B8,")")</f>
        <v>Angle Iron Structure To Support 3000 Litres Capacity Water Tank At 6 m Height (Code: GWDDR005)</v>
      </c>
      <c r="E8" s="14" t="s">
        <v>17</v>
      </c>
      <c r="F8" s="16" t="s">
        <v>18</v>
      </c>
      <c r="G8" s="16" t="s">
        <v>19</v>
      </c>
      <c r="H8" s="16" t="s">
        <v>22</v>
      </c>
      <c r="I8" s="16">
        <v>0</v>
      </c>
      <c r="J8" s="16">
        <f>'[1]Iron Structure'!J175</f>
        <v>83000.001810000002</v>
      </c>
      <c r="K8" s="16">
        <f>J8*($L$2-1)</f>
        <v>0</v>
      </c>
      <c r="L8" s="16">
        <f>SUM(I8:K8)</f>
        <v>83000.001810000002</v>
      </c>
    </row>
    <row r="9" spans="1:12" ht="12.75">
      <c r="A9" s="14">
        <v>6</v>
      </c>
      <c r="B9" s="15" t="s">
        <v>26</v>
      </c>
      <c r="C9" s="15" t="str">
        <f>'[1]Metallic PH'!A1</f>
        <v>Metallic Pump House of size 1.2 x 0.9 x 2 m</v>
      </c>
      <c r="D9" s="15" t="str">
        <f>CONCATENATE(C9," (Code: ",B9,")")</f>
        <v>Metallic Pump House of size 1.2 x 0.9 x 2 m (Code: GWDDR006)</v>
      </c>
      <c r="E9" s="14" t="s">
        <v>17</v>
      </c>
      <c r="F9" s="16" t="s">
        <v>18</v>
      </c>
      <c r="G9" s="16" t="s">
        <v>19</v>
      </c>
      <c r="H9" s="16" t="s">
        <v>20</v>
      </c>
      <c r="I9" s="16">
        <v>0</v>
      </c>
      <c r="J9" s="16">
        <f>'[1]Metallic PH'!J62</f>
        <v>25999.99568</v>
      </c>
      <c r="K9" s="16">
        <f>J9*($L$2-1)</f>
        <v>0</v>
      </c>
      <c r="L9" s="16">
        <f>SUM(I9:K9)</f>
        <v>25999.99568</v>
      </c>
    </row>
    <row r="10" spans="1:12" ht="12.75">
      <c r="A10" s="14">
        <v>7</v>
      </c>
      <c r="B10" s="15" t="s">
        <v>27</v>
      </c>
      <c r="C10" s="15" t="str">
        <f>'[1]BW Casing Pipes'!B2</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v>
      </c>
      <c r="D10" s="15" t="str">
        <f>CONCATENATE(C10," (Code: ",B10,")")</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v>
      </c>
      <c r="E10" s="14" t="s">
        <v>28</v>
      </c>
      <c r="F10" s="16" t="s">
        <v>18</v>
      </c>
      <c r="G10" s="16" t="s">
        <v>29</v>
      </c>
      <c r="H10" s="16" t="s">
        <v>30</v>
      </c>
      <c r="I10" s="16">
        <f>'[1]BW Casing Pipes'!F13</f>
        <v>551.70</v>
      </c>
      <c r="J10" s="16">
        <f>'[1]BW Casing Pipes'!F26</f>
        <v>11.20</v>
      </c>
      <c r="K10" s="16">
        <f>J10*($L$2-1)</f>
        <v>0</v>
      </c>
      <c r="L10" s="16">
        <f>SUM(I10:K10)</f>
        <v>562.90</v>
      </c>
    </row>
    <row r="11" spans="1:12" ht="12.75">
      <c r="A11" s="14">
        <v>8</v>
      </c>
      <c r="B11" s="15" t="s">
        <v>31</v>
      </c>
      <c r="C11" s="15" t="str">
        <f>'[1]BW Casing Pipes'!B28</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v>
      </c>
      <c r="D11" s="15" t="str">
        <f>CONCATENATE(C11," (Code: ",B11,")")</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v>
      </c>
      <c r="E11" s="14" t="s">
        <v>28</v>
      </c>
      <c r="F11" s="16" t="s">
        <v>18</v>
      </c>
      <c r="G11" s="16" t="s">
        <v>29</v>
      </c>
      <c r="H11" s="16" t="s">
        <v>30</v>
      </c>
      <c r="I11" s="16">
        <f>'[1]BW Casing Pipes'!F39</f>
        <v>716.65</v>
      </c>
      <c r="J11" s="16">
        <f>'[1]BW Casing Pipes'!F52</f>
        <v>11.20</v>
      </c>
      <c r="K11" s="16">
        <f>J11*($L$2-1)</f>
        <v>0</v>
      </c>
      <c r="L11" s="16">
        <f>SUM(I11:K11)</f>
        <v>727.85</v>
      </c>
    </row>
    <row r="12" spans="1:12" ht="12.75">
      <c r="A12" s="14">
        <v>9</v>
      </c>
      <c r="B12" s="15" t="s">
        <v>32</v>
      </c>
      <c r="C12" s="15" t="str">
        <f>'[1]BW Casing Pipes'!B54</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v>
      </c>
      <c r="D12" s="15" t="str">
        <f>CONCATENATE(C12," (Code: ",B12,")")</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v>
      </c>
      <c r="E12" s="14" t="s">
        <v>28</v>
      </c>
      <c r="F12" s="16" t="s">
        <v>18</v>
      </c>
      <c r="G12" s="16" t="s">
        <v>29</v>
      </c>
      <c r="H12" s="16" t="s">
        <v>30</v>
      </c>
      <c r="I12" s="16">
        <f>'[1]BW Casing Pipes'!F65</f>
        <v>712</v>
      </c>
      <c r="J12" s="16">
        <f>'[1]BW Casing Pipes'!F78</f>
        <v>11.20</v>
      </c>
      <c r="K12" s="16">
        <f>J12*($L$2-1)</f>
        <v>0</v>
      </c>
      <c r="L12" s="16">
        <f>SUM(I12:K12)</f>
        <v>723.20</v>
      </c>
    </row>
    <row r="13" spans="1:12" ht="12.75">
      <c r="A13" s="14">
        <v>10</v>
      </c>
      <c r="B13" s="15" t="s">
        <v>33</v>
      </c>
      <c r="C13" s="15" t="str">
        <f>'[1]BW Casing Pipes'!B80</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v>
      </c>
      <c r="D13" s="15" t="str">
        <f>CONCATENATE(C13," (Code: ",B13,")")</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v>
      </c>
      <c r="E13" s="14" t="s">
        <v>28</v>
      </c>
      <c r="F13" s="16" t="s">
        <v>18</v>
      </c>
      <c r="G13" s="16" t="s">
        <v>29</v>
      </c>
      <c r="H13" s="16" t="s">
        <v>30</v>
      </c>
      <c r="I13" s="16">
        <f>'[1]BW Casing Pipes'!F91</f>
        <v>838.60</v>
      </c>
      <c r="J13" s="16">
        <f>'[1]BW Casing Pipes'!F104</f>
        <v>11.20</v>
      </c>
      <c r="K13" s="16">
        <f>J13*($L$2-1)</f>
        <v>0</v>
      </c>
      <c r="L13" s="16">
        <f>SUM(I13:K13)</f>
        <v>849.80</v>
      </c>
    </row>
    <row r="14" spans="1:12" ht="12.75">
      <c r="A14" s="14">
        <v>11</v>
      </c>
      <c r="B14" s="15" t="s">
        <v>34</v>
      </c>
      <c r="C14" s="15" t="str">
        <f>'[1]BW Casing Pipes'!B106</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v>
      </c>
      <c r="D14" s="15" t="str">
        <f>CONCATENATE(C14," (Code: ",B14,")")</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v>
      </c>
      <c r="E14" s="14" t="s">
        <v>28</v>
      </c>
      <c r="F14" s="16" t="s">
        <v>18</v>
      </c>
      <c r="G14" s="16" t="s">
        <v>29</v>
      </c>
      <c r="H14" s="16" t="s">
        <v>30</v>
      </c>
      <c r="I14" s="16">
        <f>'[1]BW Casing Pipes'!F117</f>
        <v>1147.55</v>
      </c>
      <c r="J14" s="16">
        <f>'[1]BW Casing Pipes'!F130</f>
        <v>11.20</v>
      </c>
      <c r="K14" s="16">
        <f>J14*($L$2-1)</f>
        <v>0</v>
      </c>
      <c r="L14" s="16">
        <f>SUM(I14:K14)</f>
        <v>1158.75</v>
      </c>
    </row>
    <row r="15" spans="1:12" ht="12.75">
      <c r="A15" s="14">
        <v>12</v>
      </c>
      <c r="B15" s="15" t="s">
        <v>35</v>
      </c>
      <c r="C15" s="15" t="str">
        <f>'[1]BW Casing Pipes'!B132</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v>
      </c>
      <c r="D15" s="15" t="str">
        <f>CONCATENATE(C15," (Code: ",B15,")")</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v>
      </c>
      <c r="E15" s="14" t="s">
        <v>28</v>
      </c>
      <c r="F15" s="16" t="s">
        <v>18</v>
      </c>
      <c r="G15" s="16" t="s">
        <v>29</v>
      </c>
      <c r="H15" s="16" t="s">
        <v>30</v>
      </c>
      <c r="I15" s="16">
        <f>'[1]BW Casing Pipes'!F143</f>
        <v>1440.25</v>
      </c>
      <c r="J15" s="16">
        <f>'[1]BW Casing Pipes'!F156</f>
        <v>11.20</v>
      </c>
      <c r="K15" s="16">
        <f>J15*($L$2-1)</f>
        <v>0</v>
      </c>
      <c r="L15" s="16">
        <f>SUM(I15:K15)</f>
        <v>1451.45</v>
      </c>
    </row>
    <row r="16" spans="1:12" ht="12.75">
      <c r="A16" s="14">
        <v>13</v>
      </c>
      <c r="B16" s="15" t="s">
        <v>36</v>
      </c>
      <c r="C16" s="15" t="str">
        <f>'[1]BW Casing Pipes'!B158</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v>
      </c>
      <c r="D16" s="15" t="str">
        <f>CONCATENATE(C16," (Code: ",B16,")")</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v>
      </c>
      <c r="E16" s="14" t="s">
        <v>28</v>
      </c>
      <c r="F16" s="16" t="s">
        <v>18</v>
      </c>
      <c r="G16" s="16" t="s">
        <v>29</v>
      </c>
      <c r="H16" s="16" t="s">
        <v>30</v>
      </c>
      <c r="I16" s="16">
        <f>'[1]BW Casing Pipes'!F169</f>
        <v>1775.95</v>
      </c>
      <c r="J16" s="16">
        <f>'[1]BW Casing Pipes'!F182</f>
        <v>11.20</v>
      </c>
      <c r="K16" s="16">
        <f>J16*($L$2-1)</f>
        <v>0</v>
      </c>
      <c r="L16" s="16">
        <f>SUM(I16:K16)</f>
        <v>1787.15</v>
      </c>
    </row>
    <row r="17" spans="1:12" ht="12.75">
      <c r="A17" s="14">
        <v>14</v>
      </c>
      <c r="B17" s="15" t="s">
        <v>37</v>
      </c>
      <c r="C17" s="15" t="str">
        <f>'[1]BW Casing Pipes'!B184</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v>
      </c>
      <c r="D17" s="15" t="str">
        <f>CONCATENATE(C17," (Code: ",B17,")")</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v>
      </c>
      <c r="E17" s="14" t="s">
        <v>28</v>
      </c>
      <c r="F17" s="16" t="s">
        <v>18</v>
      </c>
      <c r="G17" s="16" t="s">
        <v>29</v>
      </c>
      <c r="H17" s="16" t="s">
        <v>30</v>
      </c>
      <c r="I17" s="16">
        <f>'[1]BW Casing Pipes'!F195</f>
        <v>331.05</v>
      </c>
      <c r="J17" s="16">
        <f>'[1]BW Casing Pipes'!F208</f>
        <v>11.20</v>
      </c>
      <c r="K17" s="16">
        <f>J17*($L$2-1)</f>
        <v>0</v>
      </c>
      <c r="L17" s="16">
        <f>SUM(I17:K17)</f>
        <v>342.25</v>
      </c>
    </row>
    <row r="18" spans="1:12" ht="12.75">
      <c r="A18" s="14">
        <v>15</v>
      </c>
      <c r="B18" s="15" t="s">
        <v>38</v>
      </c>
      <c r="C18" s="15" t="str">
        <f>'[1]BW Casing Pipes'!B210</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v>
      </c>
      <c r="D18" s="15" t="str">
        <f>CONCATENATE(C18," (Code: ",B18,")")</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v>
      </c>
      <c r="E18" s="14" t="s">
        <v>28</v>
      </c>
      <c r="F18" s="16" t="s">
        <v>18</v>
      </c>
      <c r="G18" s="16" t="s">
        <v>29</v>
      </c>
      <c r="H18" s="16" t="s">
        <v>30</v>
      </c>
      <c r="I18" s="16">
        <f>'[1]BW Casing Pipes'!F221</f>
        <v>221.85</v>
      </c>
      <c r="J18" s="16">
        <f>'[1]BW Casing Pipes'!F234</f>
        <v>11.20</v>
      </c>
      <c r="K18" s="16">
        <f>J18*($L$2-1)</f>
        <v>0</v>
      </c>
      <c r="L18" s="16">
        <f>SUM(I18:K18)</f>
        <v>233.05</v>
      </c>
    </row>
    <row r="19" spans="1:12" ht="12.75">
      <c r="A19" s="14">
        <v>16</v>
      </c>
      <c r="B19" s="15" t="s">
        <v>39</v>
      </c>
      <c r="C19" s="15" t="str">
        <f>'[1]BW Casing Pipes'!B236</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v>
      </c>
      <c r="D19" s="15" t="str">
        <f>CONCATENATE(C19," (Code: ",B19,")")</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v>
      </c>
      <c r="E19" s="14" t="s">
        <v>28</v>
      </c>
      <c r="F19" s="16" t="s">
        <v>18</v>
      </c>
      <c r="G19" s="16" t="s">
        <v>29</v>
      </c>
      <c r="H19" s="16" t="s">
        <v>30</v>
      </c>
      <c r="I19" s="16">
        <f>'[1]BW Casing Pipes'!F247</f>
        <v>864.15</v>
      </c>
      <c r="J19" s="16">
        <f>'[1]BW Casing Pipes'!F260</f>
        <v>11.20</v>
      </c>
      <c r="K19" s="16">
        <f>J19*($L$2-1)</f>
        <v>0</v>
      </c>
      <c r="L19" s="16">
        <f>SUM(I19:K19)</f>
        <v>875.35</v>
      </c>
    </row>
    <row r="20" spans="1:12" ht="12.75">
      <c r="A20" s="14">
        <v>17</v>
      </c>
      <c r="B20" s="15" t="s">
        <v>40</v>
      </c>
      <c r="C20" s="15" t="str">
        <f>'[1]BW Casing Pipes'!B262</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v>
      </c>
      <c r="D20" s="15" t="str">
        <f>CONCATENATE(C20," (Code: ",B20,")")</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v>
      </c>
      <c r="E20" s="14" t="s">
        <v>28</v>
      </c>
      <c r="F20" s="16" t="s">
        <v>18</v>
      </c>
      <c r="G20" s="16" t="s">
        <v>29</v>
      </c>
      <c r="H20" s="16" t="s">
        <v>30</v>
      </c>
      <c r="I20" s="16">
        <f>'[1]BW Casing Pipes'!F273</f>
        <v>1456.50</v>
      </c>
      <c r="J20" s="16">
        <f>'[1]BW Casing Pipes'!F286</f>
        <v>11.20</v>
      </c>
      <c r="K20" s="16">
        <f>J20*($L$2-1)</f>
        <v>0</v>
      </c>
      <c r="L20" s="16">
        <f>SUM(I20:K20)</f>
        <v>1467.70</v>
      </c>
    </row>
    <row r="21" spans="1:12" ht="12.75">
      <c r="A21" s="14">
        <v>18</v>
      </c>
      <c r="B21" s="15" t="s">
        <v>41</v>
      </c>
      <c r="C21" s="15" t="str">
        <f>'[1]TW Casing Pipes'!B2</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v>
      </c>
      <c r="D21" s="15" t="str">
        <f>CONCATENATE(C21," (Code: ",B21,")")</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v>
      </c>
      <c r="E21" s="14" t="s">
        <v>28</v>
      </c>
      <c r="F21" s="16" t="s">
        <v>18</v>
      </c>
      <c r="G21" s="16" t="s">
        <v>42</v>
      </c>
      <c r="H21" s="16" t="s">
        <v>43</v>
      </c>
      <c r="I21" s="16">
        <v>0</v>
      </c>
      <c r="J21" s="16">
        <f>'[1]TW Casing Pipes'!C2</f>
        <v>826.44</v>
      </c>
      <c r="K21" s="16">
        <f>J21*($L$2-1)</f>
        <v>0</v>
      </c>
      <c r="L21" s="16">
        <f>SUM(I21:K21)</f>
        <v>826.44</v>
      </c>
    </row>
    <row r="22" spans="1:12" ht="12.75">
      <c r="A22" s="14">
        <v>19</v>
      </c>
      <c r="B22" s="15" t="s">
        <v>44</v>
      </c>
      <c r="C22" s="15" t="str">
        <f>'[1]TW Casing Pipes'!B3</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v>
      </c>
      <c r="D22" s="15" t="str">
        <f>CONCATENATE(C22," (Code: ",B22,")")</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v>
      </c>
      <c r="E22" s="14" t="s">
        <v>28</v>
      </c>
      <c r="F22" s="16" t="s">
        <v>18</v>
      </c>
      <c r="G22" s="16" t="s">
        <v>42</v>
      </c>
      <c r="H22" s="16" t="s">
        <v>43</v>
      </c>
      <c r="I22" s="16">
        <v>0</v>
      </c>
      <c r="J22" s="16">
        <f>'[1]TW Casing Pipes'!C3</f>
        <v>954.28</v>
      </c>
      <c r="K22" s="16">
        <f>J22*($L$2-1)</f>
        <v>0</v>
      </c>
      <c r="L22" s="16">
        <f>SUM(I22:K22)</f>
        <v>954.28</v>
      </c>
    </row>
    <row r="23" spans="1:12" ht="12.75">
      <c r="A23" s="14">
        <v>20</v>
      </c>
      <c r="B23" s="15" t="s">
        <v>45</v>
      </c>
      <c r="C23" s="15" t="str">
        <f>'[1]TW Casing Pipes'!B4</f>
        <v>M.S. cap 200 mm dia (7748 - Water Charge and CPOH Added)</v>
      </c>
      <c r="D23" s="15" t="str">
        <f>CONCATENATE(C23," (Code: ",B23,")")</f>
        <v>M.S. cap 200 mm dia (7748 - Water Charge and CPOH Added) (Code: GWDDR020)</v>
      </c>
      <c r="E23" s="14" t="s">
        <v>17</v>
      </c>
      <c r="F23" s="16" t="s">
        <v>18</v>
      </c>
      <c r="G23" s="16" t="s">
        <v>42</v>
      </c>
      <c r="H23" s="16" t="s">
        <v>46</v>
      </c>
      <c r="I23" s="16">
        <v>0</v>
      </c>
      <c r="J23" s="16">
        <f>'[1]TW Casing Pipes'!C4</f>
        <v>232.30</v>
      </c>
      <c r="K23" s="16">
        <f>J23*($L$2-1)</f>
        <v>0</v>
      </c>
      <c r="L23" s="16">
        <f>SUM(I23:K23)</f>
        <v>232.30</v>
      </c>
    </row>
    <row r="24" spans="1:12" ht="12.75">
      <c r="A24" s="14">
        <v>21</v>
      </c>
      <c r="B24" s="15" t="s">
        <v>47</v>
      </c>
      <c r="C24" s="15" t="str">
        <f>'[1]TW Casing Pipes'!B5</f>
        <v>Providing and fixing Bail plug / Bottom plug of required dia to the bottom of pipe assembly of tubewell as per IS : 2800 (part I). 200 mm dia (23.15.3)</v>
      </c>
      <c r="D24" s="15" t="str">
        <f>CONCATENATE(C24," (Code: ",B24,")")</f>
        <v>Providing and fixing Bail plug / Bottom plug of required dia to the bottom of pipe assembly of tubewell as per IS : 2800 (part I). 200 mm dia (23.15.3) (Code: GWDDR021)</v>
      </c>
      <c r="E24" s="14" t="s">
        <v>17</v>
      </c>
      <c r="F24" s="16" t="s">
        <v>18</v>
      </c>
      <c r="G24" s="16" t="s">
        <v>42</v>
      </c>
      <c r="H24" s="16" t="s">
        <v>46</v>
      </c>
      <c r="I24" s="16">
        <v>0</v>
      </c>
      <c r="J24" s="16">
        <f>'[1]TW Casing Pipes'!C5</f>
        <v>267.85</v>
      </c>
      <c r="K24" s="16">
        <f>J24*($L$2-1)</f>
        <v>0</v>
      </c>
      <c r="L24" s="16">
        <f>SUM(I24:K24)</f>
        <v>267.85</v>
      </c>
    </row>
    <row r="25" spans="1:12" ht="12.75">
      <c r="A25" s="14">
        <v>22</v>
      </c>
      <c r="B25" s="15" t="s">
        <v>48</v>
      </c>
      <c r="C25" s="15" t="str">
        <f>'[1]TW Casing Pipes'!B6</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v>
      </c>
      <c r="D25" s="15" t="str">
        <f>CONCATENATE(C25," (Code: ",B25,")")</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v>
      </c>
      <c r="E25" s="14" t="s">
        <v>28</v>
      </c>
      <c r="F25" s="16" t="s">
        <v>18</v>
      </c>
      <c r="G25" s="16" t="s">
        <v>42</v>
      </c>
      <c r="H25" s="16" t="s">
        <v>43</v>
      </c>
      <c r="I25" s="16">
        <v>0</v>
      </c>
      <c r="J25" s="16">
        <f>'[1]TW Casing Pipes'!C6</f>
        <v>580.35</v>
      </c>
      <c r="K25" s="16">
        <f>J25*($L$2-1)</f>
        <v>0</v>
      </c>
      <c r="L25" s="16">
        <f>SUM(I25:K25)</f>
        <v>580.35</v>
      </c>
    </row>
    <row r="26" spans="1:12" ht="12.75">
      <c r="A26" s="14">
        <v>23</v>
      </c>
      <c r="B26" s="15" t="s">
        <v>49</v>
      </c>
      <c r="C26" s="15" t="str">
        <f>'[1]TW Casing Pipes'!B7</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v>
      </c>
      <c r="D26" s="15" t="str">
        <f>CONCATENATE(C26," (Code: ",B26,")")</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v>
      </c>
      <c r="E26" s="14" t="s">
        <v>28</v>
      </c>
      <c r="F26" s="16" t="s">
        <v>18</v>
      </c>
      <c r="G26" s="16" t="s">
        <v>42</v>
      </c>
      <c r="H26" s="16" t="s">
        <v>43</v>
      </c>
      <c r="I26" s="16">
        <v>0</v>
      </c>
      <c r="J26" s="16">
        <f>'[1]TW Casing Pipes'!C7</f>
        <v>591.96</v>
      </c>
      <c r="K26" s="16">
        <f>J26*($L$2-1)</f>
        <v>0</v>
      </c>
      <c r="L26" s="16">
        <f>SUM(I26:K26)</f>
        <v>591.96</v>
      </c>
    </row>
    <row r="27" spans="1:12" ht="12.75">
      <c r="A27" s="14">
        <v>24</v>
      </c>
      <c r="B27" s="15" t="s">
        <v>50</v>
      </c>
      <c r="C27" s="15" t="str">
        <f>'[1]TW Casing Pipes'!B8</f>
        <v>M.S. cap 150 mm dia (7747 - Water Charge and CPOH Added)</v>
      </c>
      <c r="D27" s="15" t="str">
        <f>CONCATENATE(C27," (Code: ",B27,")")</f>
        <v>M.S. cap 150 mm dia (7747 - Water Charge and CPOH Added) (Code: GWDDR024)</v>
      </c>
      <c r="E27" s="14" t="s">
        <v>17</v>
      </c>
      <c r="F27" s="16" t="s">
        <v>18</v>
      </c>
      <c r="G27" s="16" t="s">
        <v>42</v>
      </c>
      <c r="H27" s="16" t="s">
        <v>46</v>
      </c>
      <c r="I27" s="16">
        <v>0</v>
      </c>
      <c r="J27" s="16">
        <f>'[1]TW Casing Pipes'!C8</f>
        <v>174.225</v>
      </c>
      <c r="K27" s="16">
        <f>J27*($L$2-1)</f>
        <v>0</v>
      </c>
      <c r="L27" s="16">
        <f>SUM(I27:K27)</f>
        <v>174.225</v>
      </c>
    </row>
    <row r="28" spans="1:12" ht="12.75">
      <c r="A28" s="14">
        <v>25</v>
      </c>
      <c r="B28" s="15" t="s">
        <v>51</v>
      </c>
      <c r="C28" s="15" t="str">
        <f>'[1]TW Casing Pipes'!B9</f>
        <v>Providing and fixing Bail plug / Bottom plug of required dia to the bottom of pipe assembly of tubewell as per IS : 2800 (part I). 150 mm dia (23.15.2)</v>
      </c>
      <c r="D28" s="15" t="str">
        <f>CONCATENATE(C28," (Code: ",B28,")")</f>
        <v>Providing and fixing Bail plug / Bottom plug of required dia to the bottom of pipe assembly of tubewell as per IS : 2800 (part I). 150 mm dia (23.15.2) (Code: GWDDR025)</v>
      </c>
      <c r="E28" s="14" t="s">
        <v>17</v>
      </c>
      <c r="F28" s="16" t="s">
        <v>18</v>
      </c>
      <c r="G28" s="16" t="s">
        <v>42</v>
      </c>
      <c r="H28" s="16" t="s">
        <v>46</v>
      </c>
      <c r="I28" s="16">
        <v>0</v>
      </c>
      <c r="J28" s="16">
        <f>'[1]TW Casing Pipes'!C9</f>
        <v>244.62</v>
      </c>
      <c r="K28" s="16">
        <f>J28*($L$2-1)</f>
        <v>0</v>
      </c>
      <c r="L28" s="16">
        <f>SUM(I28:K28)</f>
        <v>244.62</v>
      </c>
    </row>
    <row r="29" spans="1:12" ht="12.75">
      <c r="A29" s="14">
        <v>26</v>
      </c>
      <c r="B29" s="15" t="s">
        <v>52</v>
      </c>
      <c r="C29" s="15" t="str">
        <f>'[1]TW Casing Pipes'!B10</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v>
      </c>
      <c r="D29" s="15" t="str">
        <f>CONCATENATE(C29," (Code: ",B29,")")</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v>
      </c>
      <c r="E29" s="14" t="s">
        <v>28</v>
      </c>
      <c r="F29" s="16" t="s">
        <v>18</v>
      </c>
      <c r="G29" s="16" t="s">
        <v>42</v>
      </c>
      <c r="H29" s="16" t="s">
        <v>43</v>
      </c>
      <c r="I29" s="16">
        <v>0</v>
      </c>
      <c r="J29" s="16">
        <f>'[1]TW Casing Pipes'!C10</f>
        <v>480.23</v>
      </c>
      <c r="K29" s="16">
        <f>J29*($L$2-1)</f>
        <v>0</v>
      </c>
      <c r="L29" s="16">
        <f>SUM(I29:K29)</f>
        <v>480.23</v>
      </c>
    </row>
    <row r="30" spans="1:12" ht="12.75">
      <c r="A30" s="14">
        <v>27</v>
      </c>
      <c r="B30" s="15" t="s">
        <v>53</v>
      </c>
      <c r="C30" s="15" t="str">
        <f>'[1]TW Casing Pipes'!B11</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v>
      </c>
      <c r="D30" s="15" t="str">
        <f>CONCATENATE(C30," (Code: ",B30,")")</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v>
      </c>
      <c r="E30" s="14" t="s">
        <v>28</v>
      </c>
      <c r="F30" s="16" t="s">
        <v>18</v>
      </c>
      <c r="G30" s="16" t="s">
        <v>42</v>
      </c>
      <c r="H30" s="16" t="s">
        <v>43</v>
      </c>
      <c r="I30" s="16">
        <v>0</v>
      </c>
      <c r="J30" s="16">
        <f>'[1]TW Casing Pipes'!C11</f>
        <v>503.46</v>
      </c>
      <c r="K30" s="16">
        <f>J30*($L$2-1)</f>
        <v>0</v>
      </c>
      <c r="L30" s="16">
        <f>SUM(I30:K30)</f>
        <v>503.46</v>
      </c>
    </row>
    <row r="31" spans="1:12" ht="12.75">
      <c r="A31" s="14">
        <v>28</v>
      </c>
      <c r="B31" s="15" t="s">
        <v>54</v>
      </c>
      <c r="C31" s="15" t="str">
        <f>'[1]TW Casing Pipes'!B12</f>
        <v>M.S. cap 100 mm dia (7760 - Water Charge and CPOH Added)</v>
      </c>
      <c r="D31" s="15" t="str">
        <f>CONCATENATE(C31," (Code: ",B31,")")</f>
        <v>M.S. cap 100 mm dia (7760 - Water Charge and CPOH Added) (Code: GWDDR028)</v>
      </c>
      <c r="E31" s="14" t="s">
        <v>17</v>
      </c>
      <c r="F31" s="16" t="s">
        <v>18</v>
      </c>
      <c r="G31" s="16" t="s">
        <v>42</v>
      </c>
      <c r="H31" s="16" t="s">
        <v>46</v>
      </c>
      <c r="I31" s="16">
        <v>0</v>
      </c>
      <c r="J31" s="16">
        <f>'[1]TW Casing Pipes'!C12</f>
        <v>156.8025</v>
      </c>
      <c r="K31" s="16">
        <f>J31*($L$2-1)</f>
        <v>0</v>
      </c>
      <c r="L31" s="16">
        <f>SUM(I31:K31)</f>
        <v>156.8025</v>
      </c>
    </row>
    <row r="32" spans="1:12" ht="12.75">
      <c r="A32" s="14">
        <v>29</v>
      </c>
      <c r="B32" s="15" t="s">
        <v>55</v>
      </c>
      <c r="C32" s="15" t="str">
        <f>'[1]TW Casing Pipes'!B13</f>
        <v>Providing and fixing Bail plug / Bottom plug of required dia to the bottom of pipe assembly of tubewell as per IS : 2800 (part I). 100 mm dia (23.15.1)</v>
      </c>
      <c r="D32" s="15" t="str">
        <f>CONCATENATE(C32," (Code: ",B32,")")</f>
        <v>Providing and fixing Bail plug / Bottom plug of required dia to the bottom of pipe assembly of tubewell as per IS : 2800 (part I). 100 mm dia (23.15.1) (Code: GWDDR029)</v>
      </c>
      <c r="E32" s="14" t="s">
        <v>17</v>
      </c>
      <c r="F32" s="16" t="s">
        <v>18</v>
      </c>
      <c r="G32" s="16" t="s">
        <v>42</v>
      </c>
      <c r="H32" s="16" t="s">
        <v>46</v>
      </c>
      <c r="I32" s="16">
        <v>0</v>
      </c>
      <c r="J32" s="16">
        <f>'[1]TW Casing Pipes'!C13</f>
        <v>198.15</v>
      </c>
      <c r="K32" s="16">
        <f>J32*($L$2-1)</f>
        <v>0</v>
      </c>
      <c r="L32" s="16">
        <f>SUM(I32:K32)</f>
        <v>198.15</v>
      </c>
    </row>
    <row r="33" spans="1:12" ht="12.75">
      <c r="A33" s="14">
        <v>30</v>
      </c>
      <c r="B33" s="15" t="s">
        <v>56</v>
      </c>
      <c r="C33" s="15" t="str">
        <f>'[1]GI wo Trench'!B2</f>
        <v>Providing and fixing G.I. pipes complete with G.I fittings: 25 mm dia nominal bore</v>
      </c>
      <c r="D33" s="15" t="str">
        <f>CONCATENATE(C33," (Code: ",B33,")")</f>
        <v>Providing and fixing G.I. pipes complete with G.I fittings: 25 mm dia nominal bore (Code: GWDDR030)</v>
      </c>
      <c r="E33" s="14" t="s">
        <v>28</v>
      </c>
      <c r="F33" s="16" t="s">
        <v>18</v>
      </c>
      <c r="G33" s="16" t="s">
        <v>19</v>
      </c>
      <c r="H33" s="16" t="s">
        <v>57</v>
      </c>
      <c r="I33" s="16">
        <v>0</v>
      </c>
      <c r="J33" s="16">
        <f>'[1]GI wo Trench'!F21</f>
        <v>263.95</v>
      </c>
      <c r="K33" s="16">
        <f>J33*($L$2-1)</f>
        <v>0</v>
      </c>
      <c r="L33" s="16">
        <f>SUM(I33:K33)</f>
        <v>263.95</v>
      </c>
    </row>
    <row r="34" spans="1:12" ht="12.75">
      <c r="A34" s="14">
        <v>31</v>
      </c>
      <c r="B34" s="15" t="s">
        <v>58</v>
      </c>
      <c r="C34" s="15" t="str">
        <f>'[1]GI wo Trench'!B22</f>
        <v>Providing and fixing G.I. pipes complete with G.I fittings: 32 mm dia nominal bore</v>
      </c>
      <c r="D34" s="15" t="str">
        <f>CONCATENATE(C34," (Code: ",B34,")")</f>
        <v>Providing and fixing G.I. pipes complete with G.I fittings: 32 mm dia nominal bore (Code: GWDDR031)</v>
      </c>
      <c r="E34" s="14" t="s">
        <v>28</v>
      </c>
      <c r="F34" s="16" t="s">
        <v>18</v>
      </c>
      <c r="G34" s="16" t="s">
        <v>19</v>
      </c>
      <c r="H34" s="16" t="s">
        <v>57</v>
      </c>
      <c r="I34" s="16">
        <v>0</v>
      </c>
      <c r="J34" s="16">
        <f>'[1]GI wo Trench'!F41</f>
        <v>298.45</v>
      </c>
      <c r="K34" s="16">
        <f>J34*($L$2-1)</f>
        <v>0</v>
      </c>
      <c r="L34" s="16">
        <f>SUM(I34:K34)</f>
        <v>298.45</v>
      </c>
    </row>
    <row r="35" spans="1:12" ht="12.75">
      <c r="A35" s="14">
        <v>32</v>
      </c>
      <c r="B35" s="15" t="s">
        <v>59</v>
      </c>
      <c r="C35" s="15" t="str">
        <f>'[1]GI wo Trench'!B42</f>
        <v>Providing and fixing G.I. pipes complete with G.I fittings: 40 mm dia nominal bore</v>
      </c>
      <c r="D35" s="15" t="str">
        <f>CONCATENATE(C35," (Code: ",B35,")")</f>
        <v>Providing and fixing G.I. pipes complete with G.I fittings: 40 mm dia nominal bore (Code: GWDDR032)</v>
      </c>
      <c r="E35" s="14" t="s">
        <v>28</v>
      </c>
      <c r="F35" s="16" t="s">
        <v>18</v>
      </c>
      <c r="G35" s="16" t="s">
        <v>19</v>
      </c>
      <c r="H35" s="16" t="s">
        <v>57</v>
      </c>
      <c r="I35" s="16">
        <v>0</v>
      </c>
      <c r="J35" s="16">
        <f>'[1]GI wo Trench'!F61</f>
        <v>385.85</v>
      </c>
      <c r="K35" s="16">
        <f>J35*($L$2-1)</f>
        <v>0</v>
      </c>
      <c r="L35" s="16">
        <f>SUM(I35:K35)</f>
        <v>385.85</v>
      </c>
    </row>
    <row r="36" spans="1:12" ht="12.75">
      <c r="A36" s="14">
        <v>33</v>
      </c>
      <c r="B36" s="15" t="s">
        <v>60</v>
      </c>
      <c r="C36" s="15" t="str">
        <f>'[1]GI wo Trench'!B62</f>
        <v>Providing and fixing G.I. pipes complete with G.I fittings: 50 mm dia nominal bore</v>
      </c>
      <c r="D36" s="15" t="str">
        <f>CONCATENATE(C36," (Code: ",B36,")")</f>
        <v>Providing and fixing G.I. pipes complete with G.I fittings: 50 mm dia nominal bore (Code: GWDDR033)</v>
      </c>
      <c r="E36" s="14" t="s">
        <v>28</v>
      </c>
      <c r="F36" s="16" t="s">
        <v>18</v>
      </c>
      <c r="G36" s="16" t="s">
        <v>19</v>
      </c>
      <c r="H36" s="16" t="s">
        <v>57</v>
      </c>
      <c r="I36" s="16">
        <v>0</v>
      </c>
      <c r="J36" s="16">
        <f>'[1]GI wo Trench'!F81</f>
        <v>469</v>
      </c>
      <c r="K36" s="16">
        <f>J36*($L$2-1)</f>
        <v>0</v>
      </c>
      <c r="L36" s="16">
        <f>SUM(I36:K36)</f>
        <v>469</v>
      </c>
    </row>
    <row r="37" spans="1:12" ht="12.75">
      <c r="A37" s="14">
        <v>34</v>
      </c>
      <c r="B37" s="15" t="s">
        <v>61</v>
      </c>
      <c r="C37" s="15" t="str">
        <f>'[1]GI wo Trench'!B82</f>
        <v>Providing and fixing G.I. pipes complete with G.I fittings: 65 mm dia nominal bore</v>
      </c>
      <c r="D37" s="15" t="str">
        <f>CONCATENATE(C37," (Code: ",B37,")")</f>
        <v>Providing and fixing G.I. pipes complete with G.I fittings: 65 mm dia nominal bore (Code: GWDDR034)</v>
      </c>
      <c r="E37" s="14" t="s">
        <v>28</v>
      </c>
      <c r="F37" s="16" t="s">
        <v>18</v>
      </c>
      <c r="G37" s="16" t="s">
        <v>19</v>
      </c>
      <c r="H37" s="16" t="s">
        <v>57</v>
      </c>
      <c r="I37" s="16">
        <v>0</v>
      </c>
      <c r="J37" s="16">
        <f>'[1]GI wo Trench'!F101</f>
        <v>568.35</v>
      </c>
      <c r="K37" s="16">
        <f>J37*($L$2-1)</f>
        <v>0</v>
      </c>
      <c r="L37" s="16">
        <f>SUM(I37:K37)</f>
        <v>568.35</v>
      </c>
    </row>
    <row r="38" spans="1:12" ht="12.75">
      <c r="A38" s="14">
        <v>35</v>
      </c>
      <c r="B38" s="15" t="s">
        <v>62</v>
      </c>
      <c r="C38" s="15" t="str">
        <f>'[1]GI wo Trench'!B102</f>
        <v>Providing and fixing G.I. pipes complete with G.I fittings: 80 mm dia nominal bore</v>
      </c>
      <c r="D38" s="15" t="str">
        <f>CONCATENATE(C38," (Code: ",B38,")")</f>
        <v>Providing and fixing G.I. pipes complete with G.I fittings: 80 mm dia nominal bore (Code: GWDDR035)</v>
      </c>
      <c r="E38" s="14" t="s">
        <v>28</v>
      </c>
      <c r="F38" s="16" t="s">
        <v>18</v>
      </c>
      <c r="G38" s="16" t="s">
        <v>19</v>
      </c>
      <c r="H38" s="16" t="s">
        <v>57</v>
      </c>
      <c r="I38" s="16">
        <v>0</v>
      </c>
      <c r="J38" s="16">
        <f>'[1]GI wo Trench'!F121</f>
        <v>699</v>
      </c>
      <c r="K38" s="16">
        <f>J38*($L$2-1)</f>
        <v>0</v>
      </c>
      <c r="L38" s="16">
        <f>SUM(I38:K38)</f>
        <v>699</v>
      </c>
    </row>
    <row r="39" spans="1:12" ht="12.75">
      <c r="A39" s="14">
        <v>36</v>
      </c>
      <c r="B39" s="15" t="s">
        <v>63</v>
      </c>
      <c r="C39" s="15" t="str">
        <f>'[1]PVC wo Trench'!B24</f>
        <v>Providing and fixing PVC pipes includes jointing of pipes with one step PVC solvent cement &amp; testing of joints complete as per direction of Engineer in Charge. 25 mm dia 10KGF/cm2</v>
      </c>
      <c r="D39" s="15" t="str">
        <f>CONCATENATE(C39," (Code: ",B39,")")</f>
        <v>Providing and fixing PVC pipes includes jointing of pipes with one step PVC solvent cement &amp; testing of joints complete as per direction of Engineer in Charge. 25 mm dia 10KGF/cm2 (Code: GWDDR036)</v>
      </c>
      <c r="E39" s="14" t="s">
        <v>28</v>
      </c>
      <c r="F39" s="16" t="s">
        <v>18</v>
      </c>
      <c r="G39" s="16" t="s">
        <v>19</v>
      </c>
      <c r="H39" s="16" t="s">
        <v>64</v>
      </c>
      <c r="I39" s="16">
        <f>'[1]PVC wo Trench'!F35</f>
        <v>64.11</v>
      </c>
      <c r="J39" s="16">
        <f>'[1]PVC wo Trench'!F44</f>
        <v>29.66</v>
      </c>
      <c r="K39" s="16">
        <f>J39*($L$2-1)</f>
        <v>0</v>
      </c>
      <c r="L39" s="16">
        <f>SUM(I39:K39)</f>
        <v>93.77</v>
      </c>
    </row>
    <row r="40" spans="1:12" ht="12.75">
      <c r="A40" s="14">
        <v>37</v>
      </c>
      <c r="B40" s="15" t="s">
        <v>65</v>
      </c>
      <c r="C40" s="15" t="str">
        <f>'[1]PVC wo Trench'!B46</f>
        <v>Providing and fixing PVC pipes includes jointing of pipes with one step PVC solvent cement &amp; testing of joints complete as per direction of Engineer in Charge. 32 mm dia 10KGF/cm2</v>
      </c>
      <c r="D40" s="15" t="str">
        <f>CONCATENATE(C40," (Code: ",B40,")")</f>
        <v>Providing and fixing PVC pipes includes jointing of pipes with one step PVC solvent cement &amp; testing of joints complete as per direction of Engineer in Charge. 32 mm dia 10KGF/cm2 (Code: GWDDR037)</v>
      </c>
      <c r="E40" s="14" t="s">
        <v>28</v>
      </c>
      <c r="F40" s="16" t="s">
        <v>18</v>
      </c>
      <c r="G40" s="16" t="s">
        <v>19</v>
      </c>
      <c r="H40" s="16" t="s">
        <v>64</v>
      </c>
      <c r="I40" s="16">
        <f>'[1]PVC wo Trench'!F57</f>
        <v>86.82</v>
      </c>
      <c r="J40" s="16">
        <f>'[1]PVC wo Trench'!F66</f>
        <v>29.66</v>
      </c>
      <c r="K40" s="16">
        <f>J40*($L$2-1)</f>
        <v>0</v>
      </c>
      <c r="L40" s="16">
        <f>SUM(I40:K40)</f>
        <v>116.48</v>
      </c>
    </row>
    <row r="41" spans="1:12" ht="12.75">
      <c r="A41" s="14">
        <v>38</v>
      </c>
      <c r="B41" s="15" t="s">
        <v>66</v>
      </c>
      <c r="C41" s="15" t="str">
        <f>'[1]PVC wo Trench'!B68</f>
        <v>Providing and fixing PVC pipes includes jointing of pipes with one step PVC solvent cement &amp; testing of joints complete as per direction of Engineer in Charge. 32 mm dia 6 KGF/cm2</v>
      </c>
      <c r="D41" s="15" t="str">
        <f>CONCATENATE(C41," (Code: ",B41,")")</f>
        <v>Providing and fixing PVC pipes includes jointing of pipes with one step PVC solvent cement &amp; testing of joints complete as per direction of Engineer in Charge. 32 mm dia 6 KGF/cm2 (Code: GWDDR038)</v>
      </c>
      <c r="E41" s="14" t="s">
        <v>28</v>
      </c>
      <c r="F41" s="16" t="s">
        <v>18</v>
      </c>
      <c r="G41" s="16" t="s">
        <v>19</v>
      </c>
      <c r="H41" s="16" t="s">
        <v>64</v>
      </c>
      <c r="I41" s="16">
        <f>'[1]PVC wo Trench'!F79</f>
        <v>69.46</v>
      </c>
      <c r="J41" s="16">
        <f>'[1]PVC wo Trench'!F88</f>
        <v>29.66</v>
      </c>
      <c r="K41" s="16">
        <f>J41*($L$2-1)</f>
        <v>0</v>
      </c>
      <c r="L41" s="16">
        <f>SUM(I41:K41)</f>
        <v>99.12</v>
      </c>
    </row>
    <row r="42" spans="1:12" ht="12.75">
      <c r="A42" s="14">
        <v>39</v>
      </c>
      <c r="B42" s="15" t="s">
        <v>67</v>
      </c>
      <c r="C42" s="15" t="str">
        <f>'[1]PVC wo Trench'!B90</f>
        <v>Providing and fixing PVC pipes includes jointing of pipes with one step PVC solvent cement &amp; testing of joints complete as per direction of Engineer in Charge. 40 mm dia 6 KGF/cm2</v>
      </c>
      <c r="D42" s="15" t="str">
        <f>CONCATENATE(C42," (Code: ",B42,")")</f>
        <v>Providing and fixing PVC pipes includes jointing of pipes with one step PVC solvent cement &amp; testing of joints complete as per direction of Engineer in Charge. 40 mm dia 6 KGF/cm2 (Code: GWDDR039)</v>
      </c>
      <c r="E42" s="14" t="s">
        <v>28</v>
      </c>
      <c r="F42" s="16" t="s">
        <v>18</v>
      </c>
      <c r="G42" s="16" t="s">
        <v>19</v>
      </c>
      <c r="H42" s="16" t="s">
        <v>64</v>
      </c>
      <c r="I42" s="16">
        <f>'[1]PVC wo Trench'!F101</f>
        <v>70.79</v>
      </c>
      <c r="J42" s="16">
        <f>'[1]PVC wo Trench'!F110</f>
        <v>29.66</v>
      </c>
      <c r="K42" s="16">
        <f>J42*($L$2-1)</f>
        <v>0</v>
      </c>
      <c r="L42" s="16">
        <f>SUM(I42:K42)</f>
        <v>100.45</v>
      </c>
    </row>
    <row r="43" spans="1:12" ht="12.75">
      <c r="A43" s="14">
        <v>40</v>
      </c>
      <c r="B43" s="15" t="s">
        <v>68</v>
      </c>
      <c r="C43" s="15" t="str">
        <f>'[1]PVC wo Trench'!B112</f>
        <v>Providing and fixing PVC pipes includes jointing of pipes with one step PVC solvent cement &amp; testing of joints complete as per direction of Engineer in Charge. 40 mm dia 10 KGF/cm2</v>
      </c>
      <c r="D43" s="15" t="str">
        <f>CONCATENATE(C43," (Code: ",B43,")")</f>
        <v>Providing and fixing PVC pipes includes jointing of pipes with one step PVC solvent cement &amp; testing of joints complete as per direction of Engineer in Charge. 40 mm dia 10 KGF/cm2 (Code: GWDDR040)</v>
      </c>
      <c r="E43" s="14" t="s">
        <v>28</v>
      </c>
      <c r="F43" s="16" t="s">
        <v>18</v>
      </c>
      <c r="G43" s="16" t="s">
        <v>19</v>
      </c>
      <c r="H43" s="16" t="s">
        <v>64</v>
      </c>
      <c r="I43" s="16">
        <f>'[1]PVC wo Trench'!F123</f>
        <v>112.20</v>
      </c>
      <c r="J43" s="16">
        <f>'[1]PVC wo Trench'!F132</f>
        <v>29.66</v>
      </c>
      <c r="K43" s="16">
        <f>J43*($L$2-1)</f>
        <v>0</v>
      </c>
      <c r="L43" s="16">
        <f>SUM(I43:K43)</f>
        <v>141.86</v>
      </c>
    </row>
    <row r="44" spans="1:12" ht="12.75">
      <c r="A44" s="14">
        <v>41</v>
      </c>
      <c r="B44" s="15" t="s">
        <v>69</v>
      </c>
      <c r="C44" s="15" t="str">
        <f>'[1]PVC wo Trench'!B134</f>
        <v>Providing and fixing PVC pipes includes jointing of pipes with one step PVC solvent cement &amp; testing of joints complete as per direction of Engineer in Charge. 50 mm dia 6 KGF/cm2</v>
      </c>
      <c r="D44" s="15" t="str">
        <f>CONCATENATE(C44," (Code: ",B44,")")</f>
        <v>Providing and fixing PVC pipes includes jointing of pipes with one step PVC solvent cement &amp; testing of joints complete as per direction of Engineer in Charge. 50 mm dia 6 KGF/cm2 (Code: GWDDR041)</v>
      </c>
      <c r="E44" s="14" t="s">
        <v>28</v>
      </c>
      <c r="F44" s="16" t="s">
        <v>18</v>
      </c>
      <c r="G44" s="16" t="s">
        <v>19</v>
      </c>
      <c r="H44" s="16" t="s">
        <v>64</v>
      </c>
      <c r="I44" s="16">
        <f>'[1]PVC wo Trench'!F145</f>
        <v>80.14</v>
      </c>
      <c r="J44" s="16">
        <f>'[1]PVC wo Trench'!F154</f>
        <v>29.66</v>
      </c>
      <c r="K44" s="16">
        <f>J44*($L$2-1)</f>
        <v>0</v>
      </c>
      <c r="L44" s="16">
        <f>SUM(I44:K44)</f>
        <v>109.80</v>
      </c>
    </row>
    <row r="45" spans="1:12" ht="12.75">
      <c r="A45" s="14">
        <v>42</v>
      </c>
      <c r="B45" s="15" t="s">
        <v>70</v>
      </c>
      <c r="C45" s="15" t="str">
        <f>'[1]PVC wo Trench'!B156</f>
        <v>Providing and fixing PVC pipes includes jointing of pipes with one step PVC solvent cement &amp; testing of joints complete as per direction of Engineer in Charge. 50 mm dia 10 KGF/cm2</v>
      </c>
      <c r="D45" s="15" t="str">
        <f>CONCATENATE(C45," (Code: ",B45,")")</f>
        <v>Providing and fixing PVC pipes includes jointing of pipes with one step PVC solvent cement &amp; testing of joints complete as per direction of Engineer in Charge. 50 mm dia 10 KGF/cm2 (Code: GWDDR042)</v>
      </c>
      <c r="E45" s="14" t="s">
        <v>28</v>
      </c>
      <c r="F45" s="16" t="s">
        <v>18</v>
      </c>
      <c r="G45" s="16" t="s">
        <v>19</v>
      </c>
      <c r="H45" s="16" t="s">
        <v>64</v>
      </c>
      <c r="I45" s="16">
        <f>'[1]PVC wo Trench'!F167</f>
        <v>120.22</v>
      </c>
      <c r="J45" s="16">
        <f>'[1]PVC wo Trench'!F176</f>
        <v>29.66</v>
      </c>
      <c r="K45" s="16">
        <f>J45*($L$2-1)</f>
        <v>0</v>
      </c>
      <c r="L45" s="16">
        <f>SUM(I45:K45)</f>
        <v>149.88</v>
      </c>
    </row>
    <row r="46" spans="1:12" ht="12.75">
      <c r="A46" s="14">
        <v>43</v>
      </c>
      <c r="B46" s="15" t="s">
        <v>71</v>
      </c>
      <c r="C46" s="15" t="str">
        <f>'[1]PVC wo Trench'!B178</f>
        <v>Providing and fixing PVC pipes includes jointing of pipes with one step PVC solvent cement &amp; testing of joints complete as per direction of Engineer in Charge.63 mm dia 6 KGF/cm2</v>
      </c>
      <c r="D46" s="15" t="str">
        <f>CONCATENATE(C46," (Code: ",B46,")")</f>
        <v>Providing and fixing PVC pipes includes jointing of pipes with one step PVC solvent cement &amp; testing of joints complete as per direction of Engineer in Charge.63 mm dia 6 KGF/cm2 (Code: GWDDR043)</v>
      </c>
      <c r="E46" s="14" t="s">
        <v>28</v>
      </c>
      <c r="F46" s="16" t="s">
        <v>18</v>
      </c>
      <c r="G46" s="16" t="s">
        <v>19</v>
      </c>
      <c r="H46" s="16" t="s">
        <v>64</v>
      </c>
      <c r="I46" s="16">
        <f>'[1]PVC wo Trench'!F189</f>
        <v>157.62</v>
      </c>
      <c r="J46" s="16">
        <f>'[1]PVC wo Trench'!F198</f>
        <v>29.66</v>
      </c>
      <c r="K46" s="16">
        <f>J46*($L$2-1)</f>
        <v>0</v>
      </c>
      <c r="L46" s="16">
        <f>SUM(I46:K46)</f>
        <v>187.28</v>
      </c>
    </row>
    <row r="47" spans="1:12" ht="12.75">
      <c r="A47" s="14">
        <v>44</v>
      </c>
      <c r="B47" s="15" t="s">
        <v>72</v>
      </c>
      <c r="C47" s="15" t="str">
        <f>'[1]PVC wo Trench'!B200</f>
        <v>Providing and fixing PVC pipes includes jointing of pipes with one step PVC solvent cement &amp; testing of joints complete as per direction of Engineer in Charge.75 mm dia 6 KGF/cm2</v>
      </c>
      <c r="D47" s="15" t="str">
        <f>CONCATENATE(C47," (Code: ",B47,")")</f>
        <v>Providing and fixing PVC pipes includes jointing of pipes with one step PVC solvent cement &amp; testing of joints complete as per direction of Engineer in Charge.75 mm dia 6 KGF/cm2 (Code: GWDDR044)</v>
      </c>
      <c r="E47" s="14" t="s">
        <v>28</v>
      </c>
      <c r="F47" s="16" t="s">
        <v>18</v>
      </c>
      <c r="G47" s="16" t="s">
        <v>19</v>
      </c>
      <c r="H47" s="16" t="s">
        <v>64</v>
      </c>
      <c r="I47" s="16">
        <f>'[1]PVC wo Trench'!F211</f>
        <v>172.31</v>
      </c>
      <c r="J47" s="16">
        <f>'[1]PVC wo Trench'!F220</f>
        <v>29.66</v>
      </c>
      <c r="K47" s="16">
        <f>J47*($L$2-1)</f>
        <v>0</v>
      </c>
      <c r="L47" s="16">
        <f>SUM(I47:K47)</f>
        <v>201.97</v>
      </c>
    </row>
    <row r="48" spans="1:12" ht="12.75">
      <c r="A48" s="14">
        <v>45</v>
      </c>
      <c r="B48" s="15" t="s">
        <v>73</v>
      </c>
      <c r="C48" s="15" t="str">
        <f>'[1]PVC wo Trench'!B222</f>
        <v>Providing and fixing PVC pipes includes jointing of pipes with one step PVC solvent cement &amp; testing of joints complete as per direction of Engineer in Charge.110 mm dia 6 KGF/cm2</v>
      </c>
      <c r="D48" s="15" t="str">
        <f>CONCATENATE(C48," (Code: ",B48,")")</f>
        <v>Providing and fixing PVC pipes includes jointing of pipes with one step PVC solvent cement &amp; testing of joints complete as per direction of Engineer in Charge.110 mm dia 6 KGF/cm2 (Code: GWDDR045)</v>
      </c>
      <c r="E48" s="14" t="s">
        <v>28</v>
      </c>
      <c r="F48" s="16" t="s">
        <v>18</v>
      </c>
      <c r="G48" s="16" t="s">
        <v>19</v>
      </c>
      <c r="H48" s="16" t="s">
        <v>64</v>
      </c>
      <c r="I48" s="16">
        <f>'[1]PVC wo Trench'!F233</f>
        <v>281.84</v>
      </c>
      <c r="J48" s="16">
        <f>'[1]PVC wo Trench'!F242</f>
        <v>29.66</v>
      </c>
      <c r="K48" s="16">
        <f>J48*($L$2-1)</f>
        <v>0</v>
      </c>
      <c r="L48" s="16">
        <f>SUM(I48:K48)</f>
        <v>311.50</v>
      </c>
    </row>
    <row r="49" spans="1:12" ht="12.75">
      <c r="A49" s="14">
        <v>46</v>
      </c>
      <c r="B49" s="15" t="s">
        <v>74</v>
      </c>
      <c r="C49" s="15" t="str">
        <f>'[1]PVC wo Trench'!B244</f>
        <v>Providing and fixing PVC pipes includes jointing of pipes with one step PVC solvent cement &amp; testing of joints complete as per direction of Engineer in Charge.150 mm dia 6 KGF/cm2</v>
      </c>
      <c r="D49" s="15" t="str">
        <f>CONCATENATE(C49," (Code: ",B49,")")</f>
        <v>Providing and fixing PVC pipes includes jointing of pipes with one step PVC solvent cement &amp; testing of joints complete as per direction of Engineer in Charge.150 mm dia 6 KGF/cm2 (Code: GWDDR046)</v>
      </c>
      <c r="E49" s="14" t="s">
        <v>28</v>
      </c>
      <c r="F49" s="16" t="s">
        <v>18</v>
      </c>
      <c r="G49" s="16" t="s">
        <v>19</v>
      </c>
      <c r="H49" s="16" t="s">
        <v>64</v>
      </c>
      <c r="I49" s="16">
        <f>'[1]PVC wo Trench'!F255</f>
        <v>694.58</v>
      </c>
      <c r="J49" s="16">
        <f>'[1]PVC wo Trench'!F264</f>
        <v>29.66</v>
      </c>
      <c r="K49" s="16">
        <f>J49*($L$2-1)</f>
        <v>0</v>
      </c>
      <c r="L49" s="16">
        <f>SUM(I49:K49)</f>
        <v>724.24</v>
      </c>
    </row>
    <row r="50" spans="1:12" ht="12.75">
      <c r="A50" s="14">
        <v>47</v>
      </c>
      <c r="B50" s="15" t="s">
        <v>75</v>
      </c>
      <c r="C50" s="15" t="str">
        <f>'[1]PVC wo Trench'!B266</f>
        <v>Providing and fixing PVC  pipes includes jointing of pipes   including clamp ,scaffolding   complete as per direction of Engineer in Charge.for 140 mm dia 6 KGF/cm2 for 10m</v>
      </c>
      <c r="D50" s="15" t="str">
        <f>CONCATENATE(C50," (Code: ",B50,")")</f>
        <v>Providing and fixing PVC  pipes includes jointing of pipes   including clamp ,scaffolding   complete as per direction of Engineer in Charge.for 140 mm dia 6 KGF/cm2 for 10m  (Code: GWDDR047)</v>
      </c>
      <c r="E50" s="14" t="s">
        <v>28</v>
      </c>
      <c r="F50" s="16" t="s">
        <v>18</v>
      </c>
      <c r="G50" s="16" t="s">
        <v>19</v>
      </c>
      <c r="H50" s="16" t="s">
        <v>64</v>
      </c>
      <c r="I50" s="16">
        <f>'[1]PVC wo Trench'!F277</f>
        <v>634.47</v>
      </c>
      <c r="J50" s="16">
        <f>'[1]PVC wo Trench'!F286</f>
        <v>29.66</v>
      </c>
      <c r="K50" s="16">
        <f>J50*($L$2-1)</f>
        <v>0</v>
      </c>
      <c r="L50" s="16">
        <f>SUM(I50:K50)</f>
        <v>664.13</v>
      </c>
    </row>
    <row r="51" spans="1:12" ht="12.75">
      <c r="A51" s="14">
        <v>48</v>
      </c>
      <c r="B51" s="15" t="s">
        <v>76</v>
      </c>
      <c r="C51" s="15" t="str">
        <f>'[1]PVC With Trench'!B2</f>
        <v>Providing and fixing PVC pipes includes jointing of pipes with one step PVC solvent cement, trenching, refilling &amp; testing of joints complete as per direction of Engineer in Charge. 140 mm dia 6 KGF/cm2</v>
      </c>
      <c r="D51" s="15" t="str">
        <f>CONCATENATE(C51," (Code: ",B51,")")</f>
        <v>Providing and fixing PVC pipes includes jointing of pipes with one step PVC solvent cement, trenching, refilling &amp; testing of joints complete as per direction of Engineer in Charge. 140 mm dia 6 KGF/cm2 (Code: GWDDR048)</v>
      </c>
      <c r="E51" s="14" t="s">
        <v>28</v>
      </c>
      <c r="F51" s="16" t="s">
        <v>18</v>
      </c>
      <c r="G51" s="16" t="s">
        <v>19</v>
      </c>
      <c r="H51" s="16" t="s">
        <v>77</v>
      </c>
      <c r="I51" s="16">
        <f>'[1]PVC With Trench'!F13</f>
        <v>634.47</v>
      </c>
      <c r="J51" s="16">
        <f>'[1]PVC With Trench'!F25</f>
        <v>128.55</v>
      </c>
      <c r="K51" s="16">
        <f>J51*($L$2-1)</f>
        <v>0</v>
      </c>
      <c r="L51" s="16">
        <f>SUM(I51:K51)</f>
        <v>763.02</v>
      </c>
    </row>
    <row r="52" spans="1:12" ht="12.75">
      <c r="A52" s="14">
        <v>49</v>
      </c>
      <c r="B52" s="15" t="s">
        <v>78</v>
      </c>
      <c r="C52" s="15" t="str">
        <f>'[1]Pump Erection '!B2</f>
        <v>Borewell submersible pump erection charges upto 3 HP</v>
      </c>
      <c r="D52" s="15" t="str">
        <f>CONCATENATE(C52," (Code: ",B52,")")</f>
        <v>Borewell submersible pump erection charges upto 3 HP (Code: GWDDR049)</v>
      </c>
      <c r="E52" s="14" t="s">
        <v>17</v>
      </c>
      <c r="F52" s="16" t="s">
        <v>18</v>
      </c>
      <c r="G52" s="16" t="s">
        <v>19</v>
      </c>
      <c r="H52" s="16" t="s">
        <v>79</v>
      </c>
      <c r="I52" s="16">
        <f>'[1]Pump Erection '!F9</f>
        <v>1086.0025</v>
      </c>
      <c r="J52" s="16">
        <f>'[1]Pump Erection '!F17</f>
        <v>5972.433</v>
      </c>
      <c r="K52" s="16">
        <f>J52*($L$2-1)</f>
        <v>0</v>
      </c>
      <c r="L52" s="16">
        <f>SUM(I52:K52)</f>
        <v>7058.4354999999996</v>
      </c>
    </row>
    <row r="53" spans="1:12" ht="12.75">
      <c r="A53" s="14">
        <v>50</v>
      </c>
      <c r="B53" s="15" t="s">
        <v>80</v>
      </c>
      <c r="C53" s="15" t="str">
        <f>'[1]Pump Erection '!B19</f>
        <v>Borewell submersible pump erection charges above 3 h.P. To 7.5 H.P.</v>
      </c>
      <c r="D53" s="15" t="str">
        <f>CONCATENATE(C53," (Code: ",B53,")")</f>
        <v>Borewell submersible pump erection charges above 3 h.P. To 7.5 H.P. (Code: GWDDR050)</v>
      </c>
      <c r="E53" s="14" t="s">
        <v>17</v>
      </c>
      <c r="F53" s="16" t="s">
        <v>18</v>
      </c>
      <c r="G53" s="16" t="s">
        <v>19</v>
      </c>
      <c r="H53" s="16" t="s">
        <v>79</v>
      </c>
      <c r="I53" s="16">
        <f>'[1]Pump Erection '!F26</f>
        <v>1086.0025</v>
      </c>
      <c r="J53" s="16">
        <f>'[1]Pump Erection '!F34</f>
        <v>7592.7254999999996</v>
      </c>
      <c r="K53" s="16">
        <f>J53*($L$2-1)</f>
        <v>0</v>
      </c>
      <c r="L53" s="16">
        <f>SUM(I53:K53)</f>
        <v>8678.7279999999992</v>
      </c>
    </row>
    <row r="54" spans="1:12" ht="12.75">
      <c r="A54" s="14">
        <v>51</v>
      </c>
      <c r="B54" s="15" t="s">
        <v>81</v>
      </c>
      <c r="C54" s="15" t="str">
        <f>'[1]Pump Erection '!B36</f>
        <v>Borewell submersible pump erection charges above 7.5 H.P.</v>
      </c>
      <c r="D54" s="15" t="str">
        <f>CONCATENATE(C54," (Code: ",B54,")")</f>
        <v>Borewell submersible pump erection charges above 7.5 H.P. (Code: GWDDR051)</v>
      </c>
      <c r="E54" s="14" t="s">
        <v>17</v>
      </c>
      <c r="F54" s="16" t="s">
        <v>18</v>
      </c>
      <c r="G54" s="16" t="s">
        <v>19</v>
      </c>
      <c r="H54" s="16" t="s">
        <v>79</v>
      </c>
      <c r="I54" s="16">
        <f>'[1]Pump Erection '!F43</f>
        <v>1086.0025</v>
      </c>
      <c r="J54" s="16">
        <f>'[1]Pump Erection '!F51</f>
        <v>9213.018</v>
      </c>
      <c r="K54" s="16">
        <f>J54*($L$2-1)</f>
        <v>0</v>
      </c>
      <c r="L54" s="16">
        <f>SUM(I54:K54)</f>
        <v>10299.020500000001</v>
      </c>
    </row>
    <row r="55" spans="1:12" ht="12.75">
      <c r="A55" s="14">
        <v>52</v>
      </c>
      <c r="B55" s="15" t="s">
        <v>82</v>
      </c>
      <c r="C55" s="15" t="str">
        <f>'[1]HP Erection and Pullout'!B2</f>
        <v>Hand pump erection (deep well)</v>
      </c>
      <c r="D55" s="15" t="str">
        <f>CONCATENATE(C55," (Code: ",B55,")")</f>
        <v>Hand pump erection (deep well) (Code: GWDDR052)</v>
      </c>
      <c r="E55" s="14" t="s">
        <v>17</v>
      </c>
      <c r="F55" s="16" t="s">
        <v>18</v>
      </c>
      <c r="G55" s="16" t="s">
        <v>83</v>
      </c>
      <c r="H55" s="16" t="s">
        <v>84</v>
      </c>
      <c r="I55" s="16">
        <v>0</v>
      </c>
      <c r="J55" s="16">
        <f>'[1]HP Erection and Pullout'!F11</f>
        <v>4310</v>
      </c>
      <c r="K55" s="16">
        <f>J55*($L$2-1)</f>
        <v>0</v>
      </c>
      <c r="L55" s="16">
        <f>SUM(I55:K55)</f>
        <v>4310</v>
      </c>
    </row>
    <row r="56" spans="1:12" ht="12.75">
      <c r="A56" s="14">
        <v>53</v>
      </c>
      <c r="B56" s="15" t="s">
        <v>85</v>
      </c>
      <c r="C56" s="15" t="str">
        <f>'[1]HP Erection and Pullout'!B13</f>
        <v>Hand pump erection (extra deep well)</v>
      </c>
      <c r="D56" s="15" t="str">
        <f>CONCATENATE(C56," (Code: ",B56,")")</f>
        <v>Hand pump erection (extra deep well) (Code: GWDDR053)</v>
      </c>
      <c r="E56" s="14" t="s">
        <v>17</v>
      </c>
      <c r="F56" s="16" t="s">
        <v>18</v>
      </c>
      <c r="G56" s="16" t="s">
        <v>83</v>
      </c>
      <c r="H56" s="16" t="s">
        <v>84</v>
      </c>
      <c r="I56" s="16">
        <v>0</v>
      </c>
      <c r="J56" s="16">
        <f>'[1]HP Erection and Pullout'!F22</f>
        <v>5569</v>
      </c>
      <c r="K56" s="16">
        <f>J56*($L$2-1)</f>
        <v>0</v>
      </c>
      <c r="L56" s="16">
        <f>SUM(I56:K56)</f>
        <v>5569</v>
      </c>
    </row>
    <row r="57" spans="1:12" ht="12.75">
      <c r="A57" s="14">
        <v>54</v>
      </c>
      <c r="B57" s="15" t="s">
        <v>86</v>
      </c>
      <c r="C57" s="15" t="str">
        <f>'[1]HP Erection and Pullout'!B24</f>
        <v>Hand pump pullout (deep well)</v>
      </c>
      <c r="D57" s="15" t="str">
        <f>CONCATENATE(C57," (Code: ",B57,")")</f>
        <v>Hand pump pullout (deep well) (Code: GWDDR054)</v>
      </c>
      <c r="E57" s="14" t="s">
        <v>17</v>
      </c>
      <c r="F57" s="16" t="s">
        <v>18</v>
      </c>
      <c r="G57" s="16" t="s">
        <v>83</v>
      </c>
      <c r="H57" s="17" t="s">
        <v>87</v>
      </c>
      <c r="I57" s="16">
        <v>0</v>
      </c>
      <c r="J57" s="16">
        <f>'[1]HP Erection and Pullout'!F33</f>
        <v>2155</v>
      </c>
      <c r="K57" s="16">
        <f>J57*($L$2-1)</f>
        <v>0</v>
      </c>
      <c r="L57" s="16">
        <f>SUM(I57:K57)</f>
        <v>2155</v>
      </c>
    </row>
    <row r="58" spans="1:12" ht="12.75">
      <c r="A58" s="14">
        <v>55</v>
      </c>
      <c r="B58" s="15" t="s">
        <v>88</v>
      </c>
      <c r="C58" s="15" t="str">
        <f>'[1]Pump Erection '!B53</f>
        <v>Compressor pump fitting charge</v>
      </c>
      <c r="D58" s="15" t="str">
        <f>CONCATENATE(C58," (Code: ",B58,")")</f>
        <v>Compressor pump fitting charge (Code: GWDDR055)</v>
      </c>
      <c r="E58" s="14" t="s">
        <v>17</v>
      </c>
      <c r="F58" s="16" t="s">
        <v>18</v>
      </c>
      <c r="G58" s="16" t="s">
        <v>19</v>
      </c>
      <c r="H58" s="16" t="s">
        <v>79</v>
      </c>
      <c r="I58" s="16">
        <v>0</v>
      </c>
      <c r="J58" s="16">
        <f>'[1]Pump Erection '!F62</f>
        <v>3615.7494999999999</v>
      </c>
      <c r="K58" s="16">
        <f>J58*($L$2-1)</f>
        <v>0</v>
      </c>
      <c r="L58" s="16">
        <f>SUM(I58:K58)</f>
        <v>3615.7494999999999</v>
      </c>
    </row>
    <row r="59" spans="1:12" ht="12.75">
      <c r="A59" s="14">
        <v>56</v>
      </c>
      <c r="B59" s="15" t="s">
        <v>89</v>
      </c>
      <c r="C59" s="15" t="str">
        <f>'[1]Gutter&amp;Clamp'!B2</f>
        <v>Providing and fixing PVC full pipe as gutter pipes includes laying jointing of pipes complete as per direction of Engineer in Charge for 140 mm dia 6 KGF/cm2</v>
      </c>
      <c r="D59" s="15" t="str">
        <f>CONCATENATE(C59," (Code: ",B59,")")</f>
        <v>Providing and fixing PVC full pipe as gutter pipes includes laying jointing of pipes complete as per direction of Engineer in Charge for 140 mm dia 6 KGF/cm2 (Code: GWDDR056)</v>
      </c>
      <c r="E59" s="14" t="s">
        <v>28</v>
      </c>
      <c r="F59" s="16" t="s">
        <v>18</v>
      </c>
      <c r="G59" s="16" t="s">
        <v>90</v>
      </c>
      <c r="H59" s="16" t="s">
        <v>91</v>
      </c>
      <c r="I59" s="16">
        <f>'[1]Gutter&amp;Clamp'!F14</f>
        <v>579.30</v>
      </c>
      <c r="J59" s="16">
        <f>'[1]Gutter&amp;Clamp'!F24</f>
        <v>93.19</v>
      </c>
      <c r="K59" s="16">
        <f>J59*($L$2-1)</f>
        <v>0</v>
      </c>
      <c r="L59" s="16">
        <f>SUM(I59:K59)</f>
        <v>672.49</v>
      </c>
    </row>
    <row r="60" spans="1:12" ht="12.75">
      <c r="A60" s="14">
        <v>57</v>
      </c>
      <c r="B60" s="15" t="s">
        <v>92</v>
      </c>
      <c r="C60" s="15" t="str">
        <f>'[1]Gutter&amp;Clamp'!B26</f>
        <v>Providing and fixing PVC gutter pipes includes laying jointing of pipes, complete as per direction of Engineer in Charge.for 160 mm dia 6 KGF/cm2 for 10m</v>
      </c>
      <c r="D60" s="15" t="str">
        <f>CONCATENATE(C60," (Code: ",B60,")")</f>
        <v>Providing and fixing PVC gutter pipes includes laying jointing of pipes, complete as per direction of Engineer in Charge.for 160 mm dia 6 KGF/cm2 for 10m  (Code: GWDDR057)</v>
      </c>
      <c r="E60" s="14" t="s">
        <v>28</v>
      </c>
      <c r="F60" s="16" t="s">
        <v>18</v>
      </c>
      <c r="G60" s="16" t="s">
        <v>90</v>
      </c>
      <c r="H60" s="16" t="s">
        <v>91</v>
      </c>
      <c r="I60" s="16">
        <f>'[1]Gutter&amp;Clamp'!F38</f>
        <v>747.60</v>
      </c>
      <c r="J60" s="16">
        <f>'[1]Gutter&amp;Clamp'!F48</f>
        <v>93.19</v>
      </c>
      <c r="K60" s="16">
        <f>J60*($L$2-1)</f>
        <v>0</v>
      </c>
      <c r="L60" s="16">
        <f>SUM(I60:K60)</f>
        <v>840.79</v>
      </c>
    </row>
    <row r="61" spans="1:12" ht="12.75">
      <c r="A61" s="14">
        <v>58</v>
      </c>
      <c r="B61" s="15" t="s">
        <v>93</v>
      </c>
      <c r="C61" s="15" t="str">
        <f>'[1]Gutter&amp;Clamp'!B50</f>
        <v>Providing and fixing 140mm square PVC  gutter pipes includes laying jointing of pipes   including clamp, complete as per direction of Engineer in Charge. for 10m</v>
      </c>
      <c r="D61" s="15" t="str">
        <f>CONCATENATE(C61," (Code: ",B61,")")</f>
        <v>Providing and fixing 140mm square PVC  gutter pipes includes laying jointing of pipes   including clamp, complete as per direction of Engineer in Charge. for 10m  (Code: GWDDR058)</v>
      </c>
      <c r="E61" s="14" t="s">
        <v>28</v>
      </c>
      <c r="F61" s="16" t="s">
        <v>18</v>
      </c>
      <c r="G61" s="16" t="s">
        <v>90</v>
      </c>
      <c r="H61" s="16" t="s">
        <v>91</v>
      </c>
      <c r="I61" s="16">
        <f>'[1]Gutter&amp;Clamp'!F62</f>
        <v>414.66</v>
      </c>
      <c r="J61" s="16">
        <f>'[1]Gutter&amp;Clamp'!F72</f>
        <v>93.19</v>
      </c>
      <c r="K61" s="16">
        <f>J61*($L$2-1)</f>
        <v>0</v>
      </c>
      <c r="L61" s="16">
        <f>SUM(I61:K61)</f>
        <v>507.85</v>
      </c>
    </row>
    <row r="62" spans="1:12" ht="12.75">
      <c r="A62" s="14">
        <v>59</v>
      </c>
      <c r="B62" s="15" t="s">
        <v>94</v>
      </c>
      <c r="C62" s="15" t="str">
        <f>'[1]Gutter&amp;Clamp'!B74</f>
        <v>Providing and fixing 160mm square PVC  gutter pipes includes laying jointing of pipes   including clamp, complete as per direction of Engineer in Charge. for 10m</v>
      </c>
      <c r="D62" s="15" t="str">
        <f>CONCATENATE(C62," (Code: ",B62,")")</f>
        <v>Providing and fixing 160mm square PVC  gutter pipes includes laying jointing of pipes   including clamp, complete as per direction of Engineer in Charge. for 10m  (Code: GWDDR059)</v>
      </c>
      <c r="E62" s="14" t="s">
        <v>28</v>
      </c>
      <c r="F62" s="16" t="s">
        <v>18</v>
      </c>
      <c r="G62" s="16" t="s">
        <v>90</v>
      </c>
      <c r="H62" s="16" t="s">
        <v>91</v>
      </c>
      <c r="I62" s="16">
        <f>'[1]Gutter&amp;Clamp'!F86</f>
        <v>467.50</v>
      </c>
      <c r="J62" s="16">
        <f>'[1]Gutter&amp;Clamp'!F96</f>
        <v>93.19</v>
      </c>
      <c r="K62" s="16">
        <f>J62*($L$2-1)</f>
        <v>0</v>
      </c>
      <c r="L62" s="16">
        <f>SUM(I62:K62)</f>
        <v>560.69</v>
      </c>
    </row>
    <row r="63" spans="1:12" ht="12.75">
      <c r="A63" s="14">
        <v>60</v>
      </c>
      <c r="B63" s="15" t="s">
        <v>95</v>
      </c>
      <c r="C63" s="15" t="str">
        <f>'[1]Gutter&amp;Clamp'!B98</f>
        <v>Providing and fixing MS Clamp for gutter pipe as per direction of Engineer in Charge.</v>
      </c>
      <c r="D63" s="15" t="str">
        <f>CONCATENATE(C63," (Code: ",B63,")")</f>
        <v>Providing and fixing MS Clamp for gutter pipe as per direction of Engineer in Charge.  (Code: GWDDR060)</v>
      </c>
      <c r="E63" s="14" t="s">
        <v>17</v>
      </c>
      <c r="F63" s="16" t="s">
        <v>18</v>
      </c>
      <c r="G63" s="16" t="s">
        <v>90</v>
      </c>
      <c r="H63" s="16" t="s">
        <v>96</v>
      </c>
      <c r="I63" s="16">
        <f>'[1]Gutter&amp;Clamp'!F109</f>
        <v>40.65</v>
      </c>
      <c r="J63" s="16">
        <f>'[1]Gutter&amp;Clamp'!F119</f>
        <v>29.44</v>
      </c>
      <c r="K63" s="16">
        <f>J63*($L$2-1)</f>
        <v>0</v>
      </c>
      <c r="L63" s="16">
        <f>SUM(I63:K63)</f>
        <v>70.09</v>
      </c>
    </row>
    <row r="64" spans="1:12" ht="12.75">
      <c r="A64" s="14">
        <v>61</v>
      </c>
      <c r="B64" s="15" t="s">
        <v>97</v>
      </c>
      <c r="C64" s="15" t="str">
        <f>[1]Hydrants!A1</f>
        <v>Hydrants with tap  (for common use of size 0.8 x 0.5 m platform)</v>
      </c>
      <c r="D64" s="15" t="str">
        <f>CONCATENATE(C64," (Code: ",B64,")")</f>
        <v>Hydrants with tap  (for common use of size 0.8 x 0.5 m platform) (Code: GWDDR061)</v>
      </c>
      <c r="E64" s="14" t="s">
        <v>17</v>
      </c>
      <c r="F64" s="16" t="s">
        <v>18</v>
      </c>
      <c r="G64" s="16" t="s">
        <v>19</v>
      </c>
      <c r="H64" s="16" t="s">
        <v>98</v>
      </c>
      <c r="I64" s="16">
        <f>[1]Hydrants!G13</f>
        <v>671.93</v>
      </c>
      <c r="J64" s="16">
        <f>[1]Hydrants!G25</f>
        <v>1562.02</v>
      </c>
      <c r="K64" s="16">
        <f>J64*($L$2-1)</f>
        <v>0</v>
      </c>
      <c r="L64" s="16">
        <f>SUM(I64:K64)</f>
        <v>2233.95</v>
      </c>
    </row>
    <row r="65" spans="1:12" ht="12.75">
      <c r="A65" s="14">
        <v>62</v>
      </c>
      <c r="B65" s="15" t="s">
        <v>99</v>
      </c>
      <c r="C65" s="15" t="str">
        <f>[1]Hydrants!A27</f>
        <v>Hydrants with tap  ( for individual families of size 0.6 X 0.3 M platform)</v>
      </c>
      <c r="D65" s="15" t="str">
        <f>CONCATENATE(C65," (Code: ",B65,")")</f>
        <v>Hydrants with tap  ( for individual families of size 0.6 X 0.3 M platform) (Code: GWDDR062)</v>
      </c>
      <c r="E65" s="14" t="s">
        <v>17</v>
      </c>
      <c r="F65" s="16" t="s">
        <v>18</v>
      </c>
      <c r="G65" s="16" t="s">
        <v>19</v>
      </c>
      <c r="H65" s="16" t="s">
        <v>98</v>
      </c>
      <c r="I65" s="16">
        <f>[1]Hydrants!G39</f>
        <v>671.93</v>
      </c>
      <c r="J65" s="16">
        <f>[1]Hydrants!G51</f>
        <v>1030.38</v>
      </c>
      <c r="K65" s="16">
        <f>J65*($L$2-1)</f>
        <v>0</v>
      </c>
      <c r="L65" s="16">
        <f>SUM(I65:K65)</f>
        <v>1702.31</v>
      </c>
    </row>
    <row r="66" spans="1:12" ht="12.75">
      <c r="A66" s="14">
        <v>63</v>
      </c>
      <c r="B66" s="15" t="s">
        <v>100</v>
      </c>
      <c r="C66" s="18" t="str">
        <f>'[1]HP Repair Labour'!A1</f>
        <v>India Mark II Hand Pump Pullout, Repairing and Re-Erection Labour Charges</v>
      </c>
      <c r="D66" s="15" t="str">
        <f>CONCATENATE(C66," (Code: ",B66,")")</f>
        <v>India Mark II Hand Pump Pullout, Repairing and Re-Erection Labour Charges (Code: GWDDR063)</v>
      </c>
      <c r="E66" s="19" t="s">
        <v>17</v>
      </c>
      <c r="F66" s="16" t="s">
        <v>18</v>
      </c>
      <c r="G66" s="17" t="s">
        <v>83</v>
      </c>
      <c r="H66" s="17" t="s">
        <v>101</v>
      </c>
      <c r="I66" s="16">
        <f>'[1]HP Repair Labour'!H14</f>
        <v>0</v>
      </c>
      <c r="J66" s="16">
        <f>'[1]HP Repair Labour'!I14</f>
        <v>6485.82</v>
      </c>
      <c r="K66" s="16">
        <f>J66*($L$2-1)</f>
        <v>0</v>
      </c>
      <c r="L66" s="16">
        <f>SUM(I66:K66)</f>
        <v>6485.82</v>
      </c>
    </row>
    <row r="67" spans="1:12" ht="12.75">
      <c r="A67" s="14">
        <v>64</v>
      </c>
      <c r="B67" s="15" t="s">
        <v>102</v>
      </c>
      <c r="C67" s="15" t="str">
        <f>[1]WTP!B3</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v>
      </c>
      <c r="D67" s="15" t="str">
        <f>CONCATENATE(C67," (Code: ",B67,")")</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v>
      </c>
      <c r="E67" s="14" t="s">
        <v>17</v>
      </c>
      <c r="F67" s="16" t="s">
        <v>18</v>
      </c>
      <c r="G67" s="16" t="s">
        <v>103</v>
      </c>
      <c r="H67" s="16" t="s">
        <v>104</v>
      </c>
      <c r="I67" s="16">
        <f>[1]WTP!H16</f>
        <v>19164.75</v>
      </c>
      <c r="J67" s="16">
        <f>[1]WTP!I16</f>
        <v>497.93504999999999</v>
      </c>
      <c r="K67" s="16">
        <f>J67*($L$2-1)</f>
        <v>0</v>
      </c>
      <c r="L67" s="16">
        <f>SUM(I67:K67)</f>
        <v>19662.68505</v>
      </c>
    </row>
    <row r="68" spans="1:12" ht="12.75">
      <c r="A68" s="14">
        <v>65</v>
      </c>
      <c r="B68" s="15" t="s">
        <v>105</v>
      </c>
      <c r="C68" s="15" t="str">
        <f>[1]WTP!B17</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v>
      </c>
      <c r="D68" s="15" t="str">
        <f>CONCATENATE(C68," (Code: ",B68,")")</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v>
      </c>
      <c r="E68" s="14" t="s">
        <v>17</v>
      </c>
      <c r="F68" s="16" t="s">
        <v>18</v>
      </c>
      <c r="G68" s="16" t="s">
        <v>103</v>
      </c>
      <c r="H68" s="16" t="s">
        <v>104</v>
      </c>
      <c r="I68" s="16">
        <f>[1]WTP!H30</f>
        <v>30779.75</v>
      </c>
      <c r="J68" s="16">
        <f>[1]WTP!I30</f>
        <v>497.93504999999999</v>
      </c>
      <c r="K68" s="16">
        <f>J68*($L$2-1)</f>
        <v>0</v>
      </c>
      <c r="L68" s="16">
        <f>SUM(I68:K68)</f>
        <v>31277.68505</v>
      </c>
    </row>
    <row r="69" spans="1:12" ht="12.75">
      <c r="A69" s="14">
        <v>66</v>
      </c>
      <c r="B69" s="15" t="s">
        <v>106</v>
      </c>
      <c r="C69" s="15" t="str">
        <f>[1]WTP!B31</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v>
      </c>
      <c r="D69" s="15" t="str">
        <f>CONCATENATE(C69," (Code: ",B69,")")</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v>
      </c>
      <c r="E69" s="14" t="s">
        <v>17</v>
      </c>
      <c r="F69" s="16" t="s">
        <v>18</v>
      </c>
      <c r="G69" s="16" t="s">
        <v>103</v>
      </c>
      <c r="H69" s="16" t="s">
        <v>104</v>
      </c>
      <c r="I69" s="16">
        <f>[1]WTP!H44</f>
        <v>41814</v>
      </c>
      <c r="J69" s="16">
        <f>[1]WTP!I44</f>
        <v>497.93504999999999</v>
      </c>
      <c r="K69" s="16">
        <f>J69*($L$2-1)</f>
        <v>0</v>
      </c>
      <c r="L69" s="16">
        <f>SUM(I69:K69)</f>
        <v>42311.93505</v>
      </c>
    </row>
    <row r="70" spans="1:12" ht="12.75">
      <c r="A70" s="14">
        <v>67</v>
      </c>
      <c r="B70" s="15" t="s">
        <v>107</v>
      </c>
      <c r="C70" s="15" t="str">
        <f>[1]WTP!B45</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v>
      </c>
      <c r="D70" s="15" t="str">
        <f>CONCATENATE(C70," (Code: ",B70,")")</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v>
      </c>
      <c r="E70" s="14" t="s">
        <v>17</v>
      </c>
      <c r="F70" s="16" t="s">
        <v>18</v>
      </c>
      <c r="G70" s="16" t="s">
        <v>103</v>
      </c>
      <c r="H70" s="16" t="s">
        <v>104</v>
      </c>
      <c r="I70" s="16">
        <f>[1]WTP!H58</f>
        <v>47040.75</v>
      </c>
      <c r="J70" s="16">
        <f>[1]WTP!I58</f>
        <v>497.93504999999999</v>
      </c>
      <c r="K70" s="16">
        <f>J70*($L$2-1)</f>
        <v>0</v>
      </c>
      <c r="L70" s="16">
        <f>SUM(I70:K70)</f>
        <v>47538.68505</v>
      </c>
    </row>
    <row r="71" spans="1:12" ht="12.75">
      <c r="A71" s="14">
        <v>68</v>
      </c>
      <c r="B71" s="15" t="s">
        <v>108</v>
      </c>
      <c r="C71" s="15" t="str">
        <f>[1]WTP!B59</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v>
      </c>
      <c r="D71" s="15" t="str">
        <f>CONCATENATE(C71," (Code: ",B71,")")</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v>
      </c>
      <c r="E71" s="14" t="s">
        <v>17</v>
      </c>
      <c r="F71" s="16" t="s">
        <v>18</v>
      </c>
      <c r="G71" s="16" t="s">
        <v>103</v>
      </c>
      <c r="H71" s="16" t="s">
        <v>104</v>
      </c>
      <c r="I71" s="16">
        <f>[1]WTP!H72</f>
        <v>56913.50</v>
      </c>
      <c r="J71" s="16">
        <f>[1]WTP!I72</f>
        <v>572.85180000000003</v>
      </c>
      <c r="K71" s="16">
        <f>J71*($L$2-1)</f>
        <v>0</v>
      </c>
      <c r="L71" s="16">
        <f>SUM(I71:K71)</f>
        <v>57486.351799999997</v>
      </c>
    </row>
    <row r="72" spans="1:12" ht="12.75">
      <c r="A72" s="14">
        <v>69</v>
      </c>
      <c r="B72" s="15" t="s">
        <v>109</v>
      </c>
      <c r="C72" s="15" t="str">
        <f>[1]WTP!B73</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v>
      </c>
      <c r="D72" s="15" t="str">
        <f>CONCATENATE(C72," (Code: ",B72,")")</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v>
      </c>
      <c r="E72" s="14" t="s">
        <v>17</v>
      </c>
      <c r="F72" s="16" t="s">
        <v>18</v>
      </c>
      <c r="G72" s="16" t="s">
        <v>103</v>
      </c>
      <c r="H72" s="16" t="s">
        <v>104</v>
      </c>
      <c r="I72" s="16">
        <f>[1]WTP!H86</f>
        <v>72013</v>
      </c>
      <c r="J72" s="16">
        <f>[1]WTP!I86</f>
        <v>754.975</v>
      </c>
      <c r="K72" s="16">
        <f>J72*($L$2-1)</f>
        <v>0</v>
      </c>
      <c r="L72" s="16">
        <f>SUM(I72:K72)</f>
        <v>72767.975000000006</v>
      </c>
    </row>
    <row r="73" spans="1:12" ht="12.75">
      <c r="A73" s="14">
        <v>70</v>
      </c>
      <c r="B73" s="15" t="s">
        <v>110</v>
      </c>
      <c r="C73" s="15" t="str">
        <f>[1]WTP!B87</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v>
      </c>
      <c r="D73" s="15" t="str">
        <f>CONCATENATE(C73," (Code: ",B73,")")</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v>
      </c>
      <c r="E73" s="14" t="s">
        <v>17</v>
      </c>
      <c r="F73" s="16" t="s">
        <v>18</v>
      </c>
      <c r="G73" s="16" t="s">
        <v>103</v>
      </c>
      <c r="H73" s="16" t="s">
        <v>104</v>
      </c>
      <c r="I73" s="16">
        <f>[1]WTP!H100</f>
        <v>96404.50</v>
      </c>
      <c r="J73" s="16">
        <f>[1]WTP!I100</f>
        <v>754.975</v>
      </c>
      <c r="K73" s="16">
        <f>J73*($L$2-1)</f>
        <v>0</v>
      </c>
      <c r="L73" s="16">
        <f>SUM(I73:K73)</f>
        <v>97159.475000000006</v>
      </c>
    </row>
    <row r="74" spans="1:12" ht="12.75">
      <c r="A74" s="14">
        <v>71</v>
      </c>
      <c r="B74" s="15" t="s">
        <v>111</v>
      </c>
      <c r="C74" s="15" t="str">
        <f>[1]WTP!B102</f>
        <v>Supplying, assembling, manually operated multi port valve 40 NB Material -PVC, Max pressure - 4kg/cm2,   including hire &amp; labour charges, fittings &amp; accessories etc. all complete, as per direction of Engineer-in-charge</v>
      </c>
      <c r="D74" s="15" t="str">
        <f>CONCATENATE(C74," (Code: ",B74,")")</f>
        <v>Supplying, assembling, manually operated multi port valve 40 NB Material -PVC, Max pressure - 4kg/cm2,   including hire &amp; labour charges, fittings &amp; accessories etc. all complete, as per direction of Engineer-in-charge (Code: GWDDR071)</v>
      </c>
      <c r="E74" s="14" t="s">
        <v>17</v>
      </c>
      <c r="F74" s="16" t="s">
        <v>18</v>
      </c>
      <c r="G74" s="16" t="s">
        <v>103</v>
      </c>
      <c r="H74" s="16" t="s">
        <v>112</v>
      </c>
      <c r="I74" s="16">
        <f>[1]WTP!H114</f>
        <v>8916.8354999999992</v>
      </c>
      <c r="J74" s="16">
        <f>[1]WTP!I114</f>
        <v>38.166890000000002</v>
      </c>
      <c r="K74" s="16">
        <f>J74*($L$2-1)</f>
        <v>0</v>
      </c>
      <c r="L74" s="16">
        <f>SUM(I74:K74)</f>
        <v>8955.0023899999997</v>
      </c>
    </row>
    <row r="75" spans="1:12" ht="12.75">
      <c r="A75" s="14">
        <v>72</v>
      </c>
      <c r="B75" s="15" t="s">
        <v>113</v>
      </c>
      <c r="C75" s="15" t="str">
        <f>[1]WTP!B115</f>
        <v>Supplying, assembling, manually operated multi port valve flower type 50NB Material -PVC, Max pressure - 4kg/cm2,   including hire &amp; labour charges, fittings &amp; accessories etc. all complete, as per direction of Engineer-in-charge</v>
      </c>
      <c r="D75" s="15" t="str">
        <f>CONCATENATE(C75," (Code: ",B75,")")</f>
        <v>Supplying, assembling, manually operated multi port valve flower type 50NB Material -PVC, Max pressure - 4kg/cm2,   including hire &amp; labour charges, fittings &amp; accessories etc. all complete, as per direction of Engineer-in-charge (Code: GWDDR072)</v>
      </c>
      <c r="E75" s="14" t="s">
        <v>17</v>
      </c>
      <c r="F75" s="16" t="s">
        <v>18</v>
      </c>
      <c r="G75" s="16" t="s">
        <v>103</v>
      </c>
      <c r="H75" s="16" t="s">
        <v>112</v>
      </c>
      <c r="I75" s="16">
        <f>[1]WTP!H127</f>
        <v>11173.63</v>
      </c>
      <c r="J75" s="16">
        <f>[1]WTP!I127</f>
        <v>38.166890000000002</v>
      </c>
      <c r="K75" s="16">
        <f>J75*($L$2-1)</f>
        <v>0</v>
      </c>
      <c r="L75" s="16">
        <f>SUM(I75:K75)</f>
        <v>11211.79689</v>
      </c>
    </row>
    <row r="76" spans="1:12" ht="12.75">
      <c r="A76" s="14">
        <v>73</v>
      </c>
      <c r="B76" s="15" t="s">
        <v>114</v>
      </c>
      <c r="C76" s="15" t="str">
        <f>[1]WTP!B128</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v>
      </c>
      <c r="D76" s="15" t="str">
        <f>CONCATENATE(C76," (Code: ",B76,")")</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v>
      </c>
      <c r="E76" s="14" t="s">
        <v>17</v>
      </c>
      <c r="F76" s="16" t="s">
        <v>18</v>
      </c>
      <c r="G76" s="16" t="s">
        <v>103</v>
      </c>
      <c r="H76" s="16" t="s">
        <v>112</v>
      </c>
      <c r="I76" s="16">
        <f>[1]WTP!H140</f>
        <v>13342.1505</v>
      </c>
      <c r="J76" s="16">
        <f>[1]WTP!I140</f>
        <v>38.166890000000002</v>
      </c>
      <c r="K76" s="16">
        <f>J76*($L$2-1)</f>
        <v>0</v>
      </c>
      <c r="L76" s="16">
        <f>SUM(I76:K76)</f>
        <v>13380.31739</v>
      </c>
    </row>
    <row r="77" spans="1:12" ht="12.75">
      <c r="A77" s="14">
        <v>74</v>
      </c>
      <c r="B77" s="15" t="s">
        <v>115</v>
      </c>
      <c r="C77" s="15" t="str">
        <f>[1]WTP!B142</f>
        <v>Supplying, assembling, distributer 40 NB including hire &amp; labour charges, fittings &amp; accessories etc. all complete, as per direction of Engineer-in-charge</v>
      </c>
      <c r="D77" s="15" t="str">
        <f>CONCATENATE(C77," (Code: ",B77,")")</f>
        <v>Supplying, assembling, distributer 40 NB including hire &amp; labour charges, fittings &amp; accessories etc. all complete, as per direction of Engineer-in-charge (Code: GWDDR074)</v>
      </c>
      <c r="E77" s="14" t="s">
        <v>17</v>
      </c>
      <c r="F77" s="16" t="s">
        <v>18</v>
      </c>
      <c r="G77" s="16" t="s">
        <v>103</v>
      </c>
      <c r="H77" s="16" t="s">
        <v>116</v>
      </c>
      <c r="I77" s="16">
        <f>[1]WTP!H154</f>
        <v>5261.5950000000003</v>
      </c>
      <c r="J77" s="16">
        <f>[1]WTP!I154</f>
        <v>38.166890000000002</v>
      </c>
      <c r="K77" s="16">
        <f>J77*($L$2-1)</f>
        <v>0</v>
      </c>
      <c r="L77" s="16">
        <f>SUM(I77:K77)</f>
        <v>5299.7618899999998</v>
      </c>
    </row>
    <row r="78" spans="1:12" ht="12.75">
      <c r="A78" s="14">
        <v>75</v>
      </c>
      <c r="B78" s="15" t="s">
        <v>117</v>
      </c>
      <c r="C78" s="15" t="str">
        <f>[1]WTP!B155</f>
        <v>Supplying, assembling, distributer 50 NB including hire &amp; labour charges, fittings &amp; accessories etc. all complete, as per direction of Engineer-in-charge</v>
      </c>
      <c r="D78" s="15" t="str">
        <f>CONCATENATE(C78," (Code: ",B78,")")</f>
        <v>Supplying, assembling, distributer 50 NB including hire &amp; labour charges, fittings &amp; accessories etc. all complete, as per direction of Engineer-in-charge (Code: GWDDR075)</v>
      </c>
      <c r="E78" s="14" t="s">
        <v>17</v>
      </c>
      <c r="F78" s="16" t="s">
        <v>18</v>
      </c>
      <c r="G78" s="16" t="s">
        <v>103</v>
      </c>
      <c r="H78" s="16" t="s">
        <v>116</v>
      </c>
      <c r="I78" s="16">
        <f>[1]WTP!H167</f>
        <v>7840.125</v>
      </c>
      <c r="J78" s="16">
        <f>[1]WTP!I167</f>
        <v>38.166890000000002</v>
      </c>
      <c r="K78" s="16">
        <f>J78*($L$2-1)</f>
        <v>0</v>
      </c>
      <c r="L78" s="16">
        <f>SUM(I78:K78)</f>
        <v>7878.2918900000004</v>
      </c>
    </row>
    <row r="79" spans="1:12" ht="12.75">
      <c r="A79" s="14">
        <v>76</v>
      </c>
      <c r="B79" s="15" t="s">
        <v>118</v>
      </c>
      <c r="C79" s="15" t="str">
        <f>[1]WTP!B168</f>
        <v>Supplying, assembling, distributer 65 NB including hire &amp; labour charges, fittings &amp; accessories etc. all complete, as per direction of Engineer-in-charge</v>
      </c>
      <c r="D79" s="15" t="str">
        <f>CONCATENATE(C79," (Code: ",B79,")")</f>
        <v>Supplying, assembling, distributer 65 NB including hire &amp; labour charges, fittings &amp; accessories etc. all complete, as per direction of Engineer-in-charge (Code: GWDDR076)</v>
      </c>
      <c r="E79" s="14" t="s">
        <v>17</v>
      </c>
      <c r="F79" s="16" t="s">
        <v>18</v>
      </c>
      <c r="G79" s="16" t="s">
        <v>103</v>
      </c>
      <c r="H79" s="16" t="s">
        <v>116</v>
      </c>
      <c r="I79" s="16">
        <f>[1]WTP!H180</f>
        <v>11923.959000000001</v>
      </c>
      <c r="J79" s="16">
        <f>[1]WTP!I180</f>
        <v>38.166890000000002</v>
      </c>
      <c r="K79" s="16">
        <f>J79*($L$2-1)</f>
        <v>0</v>
      </c>
      <c r="L79" s="16">
        <f>SUM(I79:K79)</f>
        <v>11962.125889999999</v>
      </c>
    </row>
    <row r="80" spans="1:12" ht="12.75">
      <c r="A80" s="14">
        <v>77</v>
      </c>
      <c r="B80" s="15" t="s">
        <v>119</v>
      </c>
      <c r="C80" s="15" t="str">
        <f>[1]WTP!B182</f>
        <v>Supplying, assembling, and fixing Electrically operated Diaphragm type dosing pump 10 lph including hire &amp; labour charges, fittings &amp; accessories etc. all complete, as per direction of Engineer-in-charge</v>
      </c>
      <c r="D80" s="15" t="str">
        <f>CONCATENATE(C80," (Code: ",B80,")")</f>
        <v>Supplying, assembling, and fixing Electrically operated Diaphragm type dosing pump 10 lph including hire &amp; labour charges, fittings &amp; accessories etc. all complete, as per direction of Engineer-in-charge (Code: GWDDR077)</v>
      </c>
      <c r="E80" s="14" t="s">
        <v>17</v>
      </c>
      <c r="F80" s="16" t="s">
        <v>18</v>
      </c>
      <c r="G80" s="16" t="s">
        <v>103</v>
      </c>
      <c r="H80" s="16" t="s">
        <v>120</v>
      </c>
      <c r="I80" s="16">
        <f>[1]WTP!H195</f>
        <v>18191.413</v>
      </c>
      <c r="J80" s="16">
        <f>[1]WTP!I195</f>
        <v>331.95670000000001</v>
      </c>
      <c r="K80" s="16">
        <f>J80*($L$2-1)</f>
        <v>0</v>
      </c>
      <c r="L80" s="16">
        <f>SUM(I80:K80)</f>
        <v>18523.369699999999</v>
      </c>
    </row>
    <row r="81" spans="1:12" ht="12.75">
      <c r="A81" s="14">
        <v>78</v>
      </c>
      <c r="B81" s="15" t="s">
        <v>121</v>
      </c>
      <c r="C81" s="15" t="str">
        <f>[1]WTP!B196</f>
        <v>Supplying, assembling, and fixing Electrically operated Diaphragm type dosing pump 40 lph including hire &amp; labour charges, fittings &amp; accessories etc. all complete, as per direction of Engineer-in-charge</v>
      </c>
      <c r="D81" s="15" t="str">
        <f>CONCATENATE(C81," (Code: ",B81,")")</f>
        <v>Supplying, assembling, and fixing Electrically operated Diaphragm type dosing pump 40 lph including hire &amp; labour charges, fittings &amp; accessories etc. all complete, as per direction of Engineer-in-charge (Code: GWDDR078)</v>
      </c>
      <c r="E81" s="14" t="s">
        <v>17</v>
      </c>
      <c r="F81" s="16" t="s">
        <v>18</v>
      </c>
      <c r="G81" s="16" t="s">
        <v>103</v>
      </c>
      <c r="H81" s="16" t="s">
        <v>120</v>
      </c>
      <c r="I81" s="16">
        <f>[1]WTP!H209</f>
        <v>49363.75</v>
      </c>
      <c r="J81" s="16">
        <f>[1]WTP!I209</f>
        <v>331.95670000000001</v>
      </c>
      <c r="K81" s="16">
        <f>J81*($L$2-1)</f>
        <v>0</v>
      </c>
      <c r="L81" s="16">
        <f>SUM(I81:K81)</f>
        <v>49695.706700000002</v>
      </c>
    </row>
    <row r="82" spans="1:12" ht="12.75">
      <c r="A82" s="14">
        <v>79</v>
      </c>
      <c r="B82" s="15" t="s">
        <v>122</v>
      </c>
      <c r="C82" s="15" t="str">
        <f>[1]WTP!B211</f>
        <v>Supplying, assembling, and fixing single Phase Pure Copper , Self priming  monoblock feed  pump 1Hp including hire &amp; labour charges, fittings &amp; accessories etc. all complete, as per direction of Engineer-in-charge</v>
      </c>
      <c r="D82" s="15" t="str">
        <f>CONCATENATE(C82," (Code: ",B82,")")</f>
        <v>Supplying, assembling, and fixing single Phase Pure Copper , Self priming  monoblock feed  pump 1Hp including hire &amp; labour charges, fittings &amp; accessories etc. all complete, as per direction of Engineer-in-charge (Code: GWDDR079)</v>
      </c>
      <c r="E82" s="14" t="s">
        <v>17</v>
      </c>
      <c r="F82" s="16" t="s">
        <v>18</v>
      </c>
      <c r="G82" s="16" t="s">
        <v>103</v>
      </c>
      <c r="H82" s="16" t="s">
        <v>123</v>
      </c>
      <c r="I82" s="16">
        <f>[1]WTP!H224</f>
        <v>14749.888499999999</v>
      </c>
      <c r="J82" s="16">
        <f>[1]WTP!I224</f>
        <v>331.95670000000001</v>
      </c>
      <c r="K82" s="16">
        <f>J82*($L$2-1)</f>
        <v>0</v>
      </c>
      <c r="L82" s="16">
        <f>SUM(I82:K82)</f>
        <v>15081.8452</v>
      </c>
    </row>
    <row r="83" spans="1:12" ht="12.75">
      <c r="A83" s="14">
        <v>80</v>
      </c>
      <c r="B83" s="15" t="s">
        <v>124</v>
      </c>
      <c r="C83" s="15" t="str">
        <f>[1]WTP!B225</f>
        <v>Supplying, assembling, and fixing single Phase Pure Copper , Self priming  monoblock feed  pump 1.5Hp including hire &amp; labour charges, fittings &amp; accessories etc. all complete, as per direction of Engineer-in-charge</v>
      </c>
      <c r="D83" s="15" t="str">
        <f>CONCATENATE(C83," (Code: ",B83,")")</f>
        <v>Supplying, assembling, and fixing single Phase Pure Copper , Self priming  monoblock feed  pump 1.5Hp including hire &amp; labour charges, fittings &amp; accessories etc. all complete, as per direction of Engineer-in-charge (Code: GWDDR080)</v>
      </c>
      <c r="E83" s="14" t="s">
        <v>17</v>
      </c>
      <c r="F83" s="16" t="s">
        <v>18</v>
      </c>
      <c r="G83" s="16" t="s">
        <v>103</v>
      </c>
      <c r="H83" s="16" t="s">
        <v>123</v>
      </c>
      <c r="I83" s="16">
        <f>[1]WTP!H238</f>
        <v>17631.57</v>
      </c>
      <c r="J83" s="16">
        <f>[1]WTP!I238</f>
        <v>331.95670000000001</v>
      </c>
      <c r="K83" s="16">
        <f>J83*($L$2-1)</f>
        <v>0</v>
      </c>
      <c r="L83" s="16">
        <f>SUM(I83:K83)</f>
        <v>17963.526699999999</v>
      </c>
    </row>
    <row r="84" spans="1:12" ht="12.75">
      <c r="A84" s="14">
        <v>81</v>
      </c>
      <c r="B84" s="15" t="s">
        <v>125</v>
      </c>
      <c r="C84" s="15" t="str">
        <f>[1]WTP!B239</f>
        <v>Supplying, assembling, and fixing single Phase Pure Copper , Self priming monoblock feed  pump 2Hp including hire &amp; labour charges, fittings &amp; accessories etc. all complete, as per direction of Engineer-in-charge</v>
      </c>
      <c r="D84" s="15" t="str">
        <f>CONCATENATE(C84," (Code: ",B84,")")</f>
        <v>Supplying, assembling, and fixing single Phase Pure Copper , Self priming monoblock feed  pump 2Hp including hire &amp; labour charges, fittings &amp; accessories etc. all complete, as per direction of Engineer-in-charge (Code: GWDDR081)</v>
      </c>
      <c r="E84" s="14" t="s">
        <v>17</v>
      </c>
      <c r="F84" s="16" t="s">
        <v>18</v>
      </c>
      <c r="G84" s="16" t="s">
        <v>103</v>
      </c>
      <c r="H84" s="16" t="s">
        <v>123</v>
      </c>
      <c r="I84" s="16">
        <f>[1]WTP!H252</f>
        <v>25866.605</v>
      </c>
      <c r="J84" s="16">
        <f>[1]WTP!I252</f>
        <v>331.95670000000001</v>
      </c>
      <c r="K84" s="16">
        <f>J84*($L$2-1)</f>
        <v>0</v>
      </c>
      <c r="L84" s="16">
        <f>SUM(I84:K84)</f>
        <v>26198.561699999998</v>
      </c>
    </row>
    <row r="85" spans="1:12" ht="12.75">
      <c r="A85" s="14">
        <v>82</v>
      </c>
      <c r="B85" s="15" t="s">
        <v>126</v>
      </c>
      <c r="C85" s="15" t="str">
        <f>[1]WTP!B254</f>
        <v>Supplying, assembling, and fixing sludge pump 1Hp, 220v, Max head 20m , 750W, Max flw 15000 lph  including hire &amp; labour charges, fittings &amp; accessories etc. all complete, as per direction of Engineer-in-charge</v>
      </c>
      <c r="D85" s="15" t="str">
        <f>CONCATENATE(C85," (Code: ",B85,")")</f>
        <v>Supplying, assembling, and fixing sludge pump 1Hp, 220v, Max head 20m , 750W, Max flw 15000 lph  including hire &amp; labour charges, fittings &amp; accessories etc. all complete, as per direction of Engineer-in-charge (Code: GWDDR082)</v>
      </c>
      <c r="E85" s="14" t="s">
        <v>17</v>
      </c>
      <c r="F85" s="16" t="s">
        <v>18</v>
      </c>
      <c r="G85" s="16" t="s">
        <v>103</v>
      </c>
      <c r="H85" s="16" t="s">
        <v>127</v>
      </c>
      <c r="I85" s="16">
        <f>[1]WTP!H267</f>
        <v>18911.543000000001</v>
      </c>
      <c r="J85" s="16">
        <f>[1]WTP!I267</f>
        <v>331.95670000000001</v>
      </c>
      <c r="K85" s="16">
        <f>J85*($L$2-1)</f>
        <v>0</v>
      </c>
      <c r="L85" s="16">
        <f>SUM(I85:K85)</f>
        <v>19243.4997</v>
      </c>
    </row>
    <row r="86" spans="1:12" ht="12.75">
      <c r="A86" s="14">
        <v>83</v>
      </c>
      <c r="B86" s="15" t="s">
        <v>128</v>
      </c>
      <c r="C86" s="15" t="str">
        <f>[1]WTP!B269</f>
        <v>Supplying, assembling, and fixing 5000 lph Stainless Steel  UV Plant including hire &amp; labour charges, fittings &amp; accessories etc. all complete, as per direction of Engineer-in-charge</v>
      </c>
      <c r="D86" s="15" t="str">
        <f>CONCATENATE(C86," (Code: ",B86,")")</f>
        <v>Supplying, assembling, and fixing 5000 lph Stainless Steel  UV Plant including hire &amp; labour charges, fittings &amp; accessories etc. all complete, as per direction of Engineer-in-charge (Code: GWDDR083)</v>
      </c>
      <c r="E86" s="14" t="s">
        <v>17</v>
      </c>
      <c r="F86" s="16" t="s">
        <v>18</v>
      </c>
      <c r="G86" s="16" t="s">
        <v>103</v>
      </c>
      <c r="H86" s="16" t="s">
        <v>129</v>
      </c>
      <c r="I86" s="16">
        <f>[1]WTP!H282</f>
        <v>47066.303</v>
      </c>
      <c r="J86" s="16">
        <f>[1]WTP!I282</f>
        <v>331.95670000000001</v>
      </c>
      <c r="K86" s="16">
        <f>J86*($L$2-1)</f>
        <v>0</v>
      </c>
      <c r="L86" s="16">
        <f>SUM(I86:K86)</f>
        <v>47398.259700000002</v>
      </c>
    </row>
    <row r="87" spans="1:12" ht="12.75">
      <c r="A87" s="14">
        <v>84</v>
      </c>
      <c r="B87" s="15" t="s">
        <v>130</v>
      </c>
      <c r="C87" s="15" t="str">
        <f>[1]WTP!B283</f>
        <v>Supplying, assembling, and fixing 10000 lph UV Plant including hire &amp; labour charges, fittings &amp; accessories etc. all complete, as per direction of Engineer-in-charge</v>
      </c>
      <c r="D87" s="15" t="str">
        <f>CONCATENATE(C87," (Code: ",B87,")")</f>
        <v>Supplying, assembling, and fixing 10000 lph UV Plant including hire &amp; labour charges, fittings &amp; accessories etc. all complete, as per direction of Engineer-in-charge (Code: GWDDR084)</v>
      </c>
      <c r="E87" s="14" t="s">
        <v>17</v>
      </c>
      <c r="F87" s="16" t="s">
        <v>18</v>
      </c>
      <c r="G87" s="16" t="s">
        <v>103</v>
      </c>
      <c r="H87" s="16" t="s">
        <v>129</v>
      </c>
      <c r="I87" s="16">
        <f>[1]WTP!H296</f>
        <v>72593.75</v>
      </c>
      <c r="J87" s="16">
        <f>[1]WTP!I296</f>
        <v>331.95670000000001</v>
      </c>
      <c r="K87" s="16">
        <f>J87*($L$2-1)</f>
        <v>0</v>
      </c>
      <c r="L87" s="16">
        <f>SUM(I87:K87)</f>
        <v>72925.706699999995</v>
      </c>
    </row>
    <row r="88" spans="1:12" ht="12.75">
      <c r="A88" s="14">
        <v>85</v>
      </c>
      <c r="B88" s="15" t="s">
        <v>131</v>
      </c>
      <c r="C88" s="15" t="str">
        <f>[1]WTP!B297</f>
        <v>Supplying, assembling, and fixing 15000 lph UV Plant including hire &amp; labour charges, fittings &amp; accessories etc. all complete, as per direction of Engineer-in-charge</v>
      </c>
      <c r="D88" s="15" t="str">
        <f>CONCATENATE(C88," (Code: ",B88,")")</f>
        <v>Supplying, assembling, and fixing 15000 lph UV Plant including hire &amp; labour charges, fittings &amp; accessories etc. all complete, as per direction of Engineer-in-charge (Code: GWDDR085)</v>
      </c>
      <c r="E88" s="14" t="s">
        <v>17</v>
      </c>
      <c r="F88" s="16" t="s">
        <v>18</v>
      </c>
      <c r="G88" s="16" t="s">
        <v>103</v>
      </c>
      <c r="H88" s="16" t="s">
        <v>129</v>
      </c>
      <c r="I88" s="16">
        <f>[1]WTP!H310</f>
        <v>82775.459000000003</v>
      </c>
      <c r="J88" s="16">
        <f>[1]WTP!I310</f>
        <v>331.95670000000001</v>
      </c>
      <c r="K88" s="16">
        <f>J88*($L$2-1)</f>
        <v>0</v>
      </c>
      <c r="L88" s="16">
        <f>SUM(I88:K88)</f>
        <v>83107.415699999998</v>
      </c>
    </row>
    <row r="89" spans="1:12" ht="12.75">
      <c r="A89" s="14">
        <v>86</v>
      </c>
      <c r="B89" s="15" t="s">
        <v>132</v>
      </c>
      <c r="C89" s="15" t="str">
        <f>[1]WTP!B312</f>
        <v>Supplying, assembling, and fixing automatic treatment plant controller including automation of plant,  hire &amp; labour charges, fittings &amp; accessories etc. all complete, as per direction of Engineer-in-charge</v>
      </c>
      <c r="D89" s="15" t="str">
        <f>CONCATENATE(C89," (Code: ",B89,")")</f>
        <v>Supplying, assembling, and fixing automatic treatment plant controller including automation of plant,  hire &amp; labour charges, fittings &amp; accessories etc. all complete, as per direction of Engineer-in-charge (Code: GWDDR086)</v>
      </c>
      <c r="E89" s="14" t="s">
        <v>17</v>
      </c>
      <c r="F89" s="16" t="s">
        <v>18</v>
      </c>
      <c r="G89" s="16" t="s">
        <v>103</v>
      </c>
      <c r="H89" s="16" t="s">
        <v>133</v>
      </c>
      <c r="I89" s="16">
        <f>[1]WTP!H325</f>
        <v>37748.75</v>
      </c>
      <c r="J89" s="16">
        <f>[1]WTP!I325</f>
        <v>331.95670000000001</v>
      </c>
      <c r="K89" s="16">
        <f>J89*($L$2-1)</f>
        <v>0</v>
      </c>
      <c r="L89" s="16">
        <f>SUM(I89:K89)</f>
        <v>38080.706700000002</v>
      </c>
    </row>
    <row r="90" spans="1:12" ht="12.75">
      <c r="A90" s="14">
        <v>87</v>
      </c>
      <c r="B90" s="15" t="s">
        <v>134</v>
      </c>
      <c r="C90" s="15" t="str">
        <f>[1]WTP!B327</f>
        <v>Supplying, assembling, and fixing 63mm pressure gauge including hire &amp; labour charges, fittings &amp; accessories etc. all complete, as per direction of Engineer-in-charge</v>
      </c>
      <c r="D90" s="15" t="str">
        <f>CONCATENATE(C90," (Code: ",B90,")")</f>
        <v>Supplying, assembling, and fixing 63mm pressure gauge including hire &amp; labour charges, fittings &amp; accessories etc. all complete, as per direction of Engineer-in-charge (Code: GWDDR087)</v>
      </c>
      <c r="E90" s="14" t="s">
        <v>17</v>
      </c>
      <c r="F90" s="16" t="s">
        <v>18</v>
      </c>
      <c r="G90" s="16" t="s">
        <v>103</v>
      </c>
      <c r="H90" s="16" t="s">
        <v>135</v>
      </c>
      <c r="I90" s="16">
        <f>[1]WTP!H339</f>
        <v>3252.20</v>
      </c>
      <c r="J90" s="16">
        <f>[1]WTP!I339</f>
        <v>38.166890000000002</v>
      </c>
      <c r="K90" s="16">
        <f>J90*($L$2-1)</f>
        <v>0</v>
      </c>
      <c r="L90" s="16">
        <f>SUM(I90:K90)</f>
        <v>3290.3668899999998</v>
      </c>
    </row>
    <row r="91" spans="1:12" ht="12.75">
      <c r="A91" s="14">
        <v>88</v>
      </c>
      <c r="B91" s="15" t="s">
        <v>136</v>
      </c>
      <c r="C91" s="15" t="str">
        <f>[1]WTP!B341</f>
        <v>Supplying and filling, Silex, Fine sand and Pressure sand including hire &amp; labour charges, carriage etc complete, as per direction of Engineer-in-charge</v>
      </c>
      <c r="D91" s="15" t="str">
        <f>CONCATENATE(C91," (Code: ",B91,")")</f>
        <v>Supplying and filling, Silex, Fine sand and Pressure sand including hire &amp; labour charges, carriage etc complete, as per direction of Engineer-in-charge (Code: GWDDR088)</v>
      </c>
      <c r="E91" s="14" t="s">
        <v>137</v>
      </c>
      <c r="F91" s="16" t="s">
        <v>18</v>
      </c>
      <c r="G91" s="16" t="s">
        <v>103</v>
      </c>
      <c r="H91" s="16" t="s">
        <v>138</v>
      </c>
      <c r="I91" s="16">
        <f>[1]WTP!H353</f>
        <v>2323</v>
      </c>
      <c r="J91" s="16">
        <f>[1]WTP!I353</f>
        <v>449.50049999999999</v>
      </c>
      <c r="K91" s="16">
        <f>J91*($L$2-1)</f>
        <v>0</v>
      </c>
      <c r="L91" s="16">
        <f>SUM(I91:K91)</f>
        <v>2772.5005000000001</v>
      </c>
    </row>
    <row r="92" spans="1:12" ht="12.75">
      <c r="A92" s="14">
        <v>89</v>
      </c>
      <c r="B92" s="15" t="s">
        <v>139</v>
      </c>
      <c r="C92" s="15" t="str">
        <f>[1]WTP!B354</f>
        <v>Supplying and filling, Katalox iron remover including hire &amp; labour charges, carriage etc. all complete, as per direction of Engineer-in-charge</v>
      </c>
      <c r="D92" s="15" t="str">
        <f>CONCATENATE(C92," (Code: ",B92,")")</f>
        <v>Supplying and filling, Katalox iron remover including hire &amp; labour charges, carriage etc. all complete, as per direction of Engineer-in-charge (Code: GWDDR089)</v>
      </c>
      <c r="E92" s="14" t="s">
        <v>137</v>
      </c>
      <c r="F92" s="16" t="s">
        <v>18</v>
      </c>
      <c r="G92" s="16" t="s">
        <v>103</v>
      </c>
      <c r="H92" s="16" t="s">
        <v>138</v>
      </c>
      <c r="I92" s="16">
        <f>[1]WTP!H366</f>
        <v>40652.50</v>
      </c>
      <c r="J92" s="16">
        <f>[1]WTP!I366</f>
        <v>449.50049999999999</v>
      </c>
      <c r="K92" s="16">
        <f>J92*($L$2-1)</f>
        <v>0</v>
      </c>
      <c r="L92" s="16">
        <f>SUM(I92:K92)</f>
        <v>41102.000500000002</v>
      </c>
    </row>
    <row r="93" spans="1:12" ht="12.75">
      <c r="A93" s="14">
        <v>90</v>
      </c>
      <c r="B93" s="15" t="s">
        <v>140</v>
      </c>
      <c r="C93" s="15" t="str">
        <f>[1]WTP!B367</f>
        <v>Supplying and filling, Activated carbon IV 1050 including hire &amp; labour charges, carriage etc. all complete, as per direction of Engineer-in-charge</v>
      </c>
      <c r="D93" s="15" t="str">
        <f>CONCATENATE(C93," (Code: ",B93,")")</f>
        <v>Supplying and filling, Activated carbon IV 1050 including hire &amp; labour charges, carriage etc. all complete, as per direction of Engineer-in-charge (Code: GWDDR090)</v>
      </c>
      <c r="E93" s="14" t="s">
        <v>137</v>
      </c>
      <c r="F93" s="16" t="s">
        <v>18</v>
      </c>
      <c r="G93" s="16" t="s">
        <v>103</v>
      </c>
      <c r="H93" s="16" t="s">
        <v>138</v>
      </c>
      <c r="I93" s="16">
        <f>[1]WTP!H379</f>
        <v>36006.50</v>
      </c>
      <c r="J93" s="16">
        <f>[1]WTP!I379</f>
        <v>449.50049999999999</v>
      </c>
      <c r="K93" s="16">
        <f>J93*($L$2-1)</f>
        <v>0</v>
      </c>
      <c r="L93" s="16">
        <f>SUM(I93:K93)</f>
        <v>36456.000500000002</v>
      </c>
    </row>
    <row r="94" spans="1:12" ht="12.75">
      <c r="A94" s="14">
        <v>91</v>
      </c>
      <c r="B94" s="15" t="s">
        <v>141</v>
      </c>
      <c r="C94" s="15" t="str">
        <f>[1]WTP!B381</f>
        <v>Supplying and filling, liquid chlorine including hire &amp; labour charges, carriage etc. all complete, as per direction of Engineer-in-charge</v>
      </c>
      <c r="D94" s="15" t="str">
        <f>CONCATENATE(C94," (Code: ",B94,")")</f>
        <v>Supplying and filling, liquid chlorine including hire &amp; labour charges, carriage etc. all complete, as per direction of Engineer-in-charge (Code: GWDDR091)</v>
      </c>
      <c r="E94" s="14" t="s">
        <v>142</v>
      </c>
      <c r="F94" s="16" t="s">
        <v>18</v>
      </c>
      <c r="G94" s="16" t="s">
        <v>103</v>
      </c>
      <c r="H94" s="16" t="s">
        <v>143</v>
      </c>
      <c r="I94" s="16">
        <f>[1]WTP!H393</f>
        <v>1236.4167500000001</v>
      </c>
      <c r="J94" s="16">
        <f>[1]WTP!I393</f>
        <v>74.916749999999993</v>
      </c>
      <c r="K94" s="16">
        <f>J94*($L$2-1)</f>
        <v>0</v>
      </c>
      <c r="L94" s="16">
        <f>SUM(I94:K94)</f>
        <v>1311.3335</v>
      </c>
    </row>
    <row r="95" spans="1:12" ht="12.75">
      <c r="A95" s="14">
        <v>92</v>
      </c>
      <c r="B95" s="15" t="s">
        <v>144</v>
      </c>
      <c r="C95" s="15" t="str">
        <f>[1]WTP!B394</f>
        <v>Supplying and filling, liquid alum including hire &amp; labour charges, fittings &amp; accessories etc. all complete, as per direction of Engineer-in-charge</v>
      </c>
      <c r="D95" s="15" t="str">
        <f>CONCATENATE(C95," (Code: ",B95,")")</f>
        <v>Supplying and filling, liquid alum including hire &amp; labour charges, fittings &amp; accessories etc. all complete, as per direction of Engineer-in-charge (Code: GWDDR092)</v>
      </c>
      <c r="E95" s="14" t="s">
        <v>142</v>
      </c>
      <c r="F95" s="16" t="s">
        <v>18</v>
      </c>
      <c r="G95" s="16" t="s">
        <v>103</v>
      </c>
      <c r="H95" s="16" t="s">
        <v>143</v>
      </c>
      <c r="I95" s="16">
        <f>[1]WTP!H406</f>
        <v>968.40062499999999</v>
      </c>
      <c r="J95" s="16">
        <f>[1]WTP!I406</f>
        <v>74.916749999999993</v>
      </c>
      <c r="K95" s="16">
        <f>J95*($L$2-1)</f>
        <v>0</v>
      </c>
      <c r="L95" s="16">
        <f>SUM(I95:K95)</f>
        <v>1043.3173750000001</v>
      </c>
    </row>
    <row r="96" spans="1:12" ht="12.75">
      <c r="A96" s="14">
        <v>93</v>
      </c>
      <c r="B96" s="15" t="s">
        <v>145</v>
      </c>
      <c r="C96" s="15" t="str">
        <f>[1]WTP!B408</f>
        <v>Plant installation charges including labour and materials for supports, stand, PVC connection pipes, PVC valves, air valves etc complete. all complete</v>
      </c>
      <c r="D96" s="15" t="str">
        <f>CONCATENATE(C96," (Code: ",B96,")")</f>
        <v>Plant installation charges including labour and materials for supports, stand, PVC connection pipes, PVC valves, air valves etc complete. all complete (Code: GWDDR093)</v>
      </c>
      <c r="E96" s="14" t="s">
        <v>17</v>
      </c>
      <c r="F96" s="16" t="s">
        <v>18</v>
      </c>
      <c r="G96" s="16" t="s">
        <v>103</v>
      </c>
      <c r="H96" s="16" t="s">
        <v>146</v>
      </c>
      <c r="I96" s="16">
        <f>[1]WTP!H452</f>
        <v>18989.76</v>
      </c>
      <c r="J96" s="16">
        <f>[1]WTP!I452</f>
        <v>7033.08</v>
      </c>
      <c r="K96" s="16">
        <f>J96*($L$2-1)</f>
        <v>0</v>
      </c>
      <c r="L96" s="16">
        <f>SUM(I96:K96)</f>
        <v>26022.84</v>
      </c>
    </row>
    <row r="97" spans="1:12" ht="12.75">
      <c r="A97" s="14">
        <v>94</v>
      </c>
      <c r="B97" s="15" t="s">
        <v>147</v>
      </c>
      <c r="C97" s="15" t="str">
        <f>[1]WTP!B454</f>
        <v>Plant inspection, maintenance, cleaning, back wash, sludge removal, sample collection and correction of Dosing etc complete, and water quality checking (except filling chemicals)</v>
      </c>
      <c r="D97" s="15" t="str">
        <f>CONCATENATE(C97," (Code: ",B97,")")</f>
        <v>Plant inspection, maintenance, cleaning, back wash, sludge removal, sample collection and correction of Dosing etc complete, and water quality checking (except filling chemicals) (Code: GWDDR094)</v>
      </c>
      <c r="E97" s="14" t="s">
        <v>148</v>
      </c>
      <c r="F97" s="16" t="s">
        <v>18</v>
      </c>
      <c r="G97" s="16" t="s">
        <v>103</v>
      </c>
      <c r="H97" s="16" t="s">
        <v>149</v>
      </c>
      <c r="I97" s="16">
        <f>[1]WTP!H465</f>
        <v>5500</v>
      </c>
      <c r="J97" s="16">
        <f>[1]WTP!I465</f>
        <v>869.96349999999995</v>
      </c>
      <c r="K97" s="16">
        <f>J97*($L$2-1)</f>
        <v>0</v>
      </c>
      <c r="L97" s="16">
        <f>SUM(I97:K97)</f>
        <v>6369.9634999999998</v>
      </c>
    </row>
    <row r="98" spans="1:12" ht="12.75">
      <c r="A98" s="14">
        <v>95</v>
      </c>
      <c r="B98" s="15" t="s">
        <v>150</v>
      </c>
      <c r="C98" s="15" t="str">
        <f>'[1]GI Works'!A3</f>
        <v>GI work in single section, fixed with or without connecting plate, including cutting, hoisting, fixing in position and applying a priming coat of approved steel primer all complete.</v>
      </c>
      <c r="D98" s="15" t="str">
        <f>CONCATENATE(C98," (Code: ",B98,")")</f>
        <v>GI work in single section, fixed with or without connecting plate, including cutting, hoisting, fixing in position and applying a priming coat of approved steel primer all complete. (Code: GWDDR095)</v>
      </c>
      <c r="E98" s="14" t="s">
        <v>151</v>
      </c>
      <c r="F98" s="16" t="s">
        <v>18</v>
      </c>
      <c r="G98" s="16" t="s">
        <v>19</v>
      </c>
      <c r="H98" s="16" t="s">
        <v>152</v>
      </c>
      <c r="I98" s="16">
        <v>0</v>
      </c>
      <c r="J98" s="16">
        <f>'[1]GI Works'!F29</f>
        <v>151.03995699999999</v>
      </c>
      <c r="K98" s="16">
        <f>J98*($L$2-1)</f>
        <v>0</v>
      </c>
      <c r="L98" s="16">
        <f>SUM(I98:K98)</f>
        <v>151.03995699999999</v>
      </c>
    </row>
    <row r="99" spans="1:12" ht="12.75">
      <c r="A99" s="14">
        <v>96</v>
      </c>
      <c r="B99" s="15" t="s">
        <v>153</v>
      </c>
      <c r="C99" s="18" t="str">
        <f>[1]Services!B2</f>
        <v>Hydrogeological Investigation (Domestic)</v>
      </c>
      <c r="D99" s="15" t="str">
        <f>CONCATENATE(C99," (Code: ",B99,")")</f>
        <v>Hydrogeological Investigation (Domestic) (Code: GWDDR096)</v>
      </c>
      <c r="E99" s="20" t="str">
        <f>[1]Services!C2</f>
        <v>each visit</v>
      </c>
      <c r="F99" s="16" t="s">
        <v>18</v>
      </c>
      <c r="G99" s="16" t="s">
        <v>154</v>
      </c>
      <c r="H99" s="16" t="s">
        <v>154</v>
      </c>
      <c r="I99" s="14">
        <f>[1]Services!D2</f>
        <v>585</v>
      </c>
      <c r="J99" s="16">
        <v>0</v>
      </c>
      <c r="K99" s="16">
        <f>J99*($L$2-1)</f>
        <v>0</v>
      </c>
      <c r="L99" s="16">
        <f>SUM(I99:K99)</f>
        <v>585</v>
      </c>
    </row>
    <row r="100" spans="1:12" ht="12.75">
      <c r="A100" s="14">
        <v>97</v>
      </c>
      <c r="B100" s="15" t="s">
        <v>155</v>
      </c>
      <c r="C100" s="18" t="str">
        <f>[1]Services!B3</f>
        <v>Hydrogeological Investigation (Institution)</v>
      </c>
      <c r="D100" s="15" t="str">
        <f>CONCATENATE(C100," (Code: ",B100,")")</f>
        <v>Hydrogeological Investigation (Institution) (Code: GWDDR097)</v>
      </c>
      <c r="E100" s="20" t="str">
        <f>[1]Services!C3</f>
        <v>each visit</v>
      </c>
      <c r="F100" s="16" t="s">
        <v>18</v>
      </c>
      <c r="G100" s="16" t="s">
        <v>154</v>
      </c>
      <c r="H100" s="16" t="s">
        <v>154</v>
      </c>
      <c r="I100" s="14">
        <f>[1]Services!D3</f>
        <v>1935</v>
      </c>
      <c r="J100" s="16">
        <v>0</v>
      </c>
      <c r="K100" s="16">
        <f>J100*($L$2-1)</f>
        <v>0</v>
      </c>
      <c r="L100" s="16">
        <f>SUM(I100:K100)</f>
        <v>1935</v>
      </c>
    </row>
    <row r="101" spans="1:12" ht="12.75">
      <c r="A101" s="14">
        <v>98</v>
      </c>
      <c r="B101" s="15" t="s">
        <v>156</v>
      </c>
      <c r="C101" s="18" t="str">
        <f>[1]Services!B4</f>
        <v>Hydrogeological Investigation (Industrial)</v>
      </c>
      <c r="D101" s="15" t="str">
        <f>CONCATENATE(C101," (Code: ",B101,")")</f>
        <v>Hydrogeological Investigation (Industrial) (Code: GWDDR098)</v>
      </c>
      <c r="E101" s="20" t="str">
        <f>[1]Services!C4</f>
        <v>each visit</v>
      </c>
      <c r="F101" s="16" t="s">
        <v>18</v>
      </c>
      <c r="G101" s="16" t="s">
        <v>154</v>
      </c>
      <c r="H101" s="16" t="s">
        <v>154</v>
      </c>
      <c r="I101" s="14">
        <f>[1]Services!D4</f>
        <v>3860</v>
      </c>
      <c r="J101" s="16">
        <v>0</v>
      </c>
      <c r="K101" s="16">
        <f>J101*($L$2-1)</f>
        <v>0</v>
      </c>
      <c r="L101" s="16">
        <f>SUM(I101:K101)</f>
        <v>3860</v>
      </c>
    </row>
    <row r="102" spans="1:12" ht="12.75">
      <c r="A102" s="14">
        <v>99</v>
      </c>
      <c r="B102" s="15" t="s">
        <v>157</v>
      </c>
      <c r="C102" s="15" t="str">
        <f>[1]Services!B5</f>
        <v>Well Logging</v>
      </c>
      <c r="D102" s="15" t="str">
        <f>CONCATENATE(C102," (Code: ",B102,")")</f>
        <v>Well Logging (Code: GWDDR099)</v>
      </c>
      <c r="E102" s="14" t="str">
        <f>[1]Services!C5</f>
        <v>5 hours</v>
      </c>
      <c r="F102" s="16" t="s">
        <v>18</v>
      </c>
      <c r="G102" s="16" t="s">
        <v>154</v>
      </c>
      <c r="H102" s="16" t="s">
        <v>154</v>
      </c>
      <c r="I102" s="14">
        <f>[1]Services!D5</f>
        <v>14475</v>
      </c>
      <c r="J102" s="16">
        <v>0</v>
      </c>
      <c r="K102" s="16">
        <f>J102*($L$2-1)</f>
        <v>0</v>
      </c>
      <c r="L102" s="16">
        <f>SUM(I102:K102)</f>
        <v>14475</v>
      </c>
    </row>
    <row r="103" spans="1:12" ht="12.75">
      <c r="A103" s="14">
        <v>100</v>
      </c>
      <c r="B103" s="15" t="s">
        <v>158</v>
      </c>
      <c r="C103" s="15" t="str">
        <f>[1]Services!B6</f>
        <v>110mm (4.5") Borewell Drilling</v>
      </c>
      <c r="D103" s="15" t="str">
        <f>CONCATENATE(C103," (Code: ",B103,")")</f>
        <v>110mm (4.5") Borewell Drilling (Code: GWDDR100)</v>
      </c>
      <c r="E103" s="14" t="str">
        <f>[1]Services!C6</f>
        <v>meter</v>
      </c>
      <c r="F103" s="16" t="s">
        <v>18</v>
      </c>
      <c r="G103" s="16" t="s">
        <v>29</v>
      </c>
      <c r="H103" s="16" t="s">
        <v>159</v>
      </c>
      <c r="I103" s="14">
        <f>[1]Services!D6</f>
        <v>390</v>
      </c>
      <c r="J103" s="16">
        <v>0</v>
      </c>
      <c r="K103" s="16">
        <f>J103*($L$2-1)</f>
        <v>0</v>
      </c>
      <c r="L103" s="16">
        <f>SUM(I103:K103)</f>
        <v>390</v>
      </c>
    </row>
    <row r="104" spans="1:12" ht="12.75">
      <c r="A104" s="14">
        <v>101</v>
      </c>
      <c r="B104" s="15" t="s">
        <v>160</v>
      </c>
      <c r="C104" s="15" t="str">
        <f>[1]Services!B7</f>
        <v>150mm (6") Borewell Drilling</v>
      </c>
      <c r="D104" s="15" t="str">
        <f>CONCATENATE(C104," (Code: ",B104,")")</f>
        <v>150mm (6") Borewell Drilling (Code: GWDDR101)</v>
      </c>
      <c r="E104" s="14" t="str">
        <f>[1]Services!C7</f>
        <v>meter</v>
      </c>
      <c r="F104" s="16" t="s">
        <v>18</v>
      </c>
      <c r="G104" s="16" t="s">
        <v>29</v>
      </c>
      <c r="H104" s="16" t="s">
        <v>159</v>
      </c>
      <c r="I104" s="14">
        <f>[1]Services!D7</f>
        <v>665</v>
      </c>
      <c r="J104" s="16">
        <v>0</v>
      </c>
      <c r="K104" s="16">
        <f>J104*($L$2-1)</f>
        <v>0</v>
      </c>
      <c r="L104" s="16">
        <f>SUM(I104:K104)</f>
        <v>665</v>
      </c>
    </row>
    <row r="105" spans="1:12" ht="12.75">
      <c r="A105" s="14">
        <v>102</v>
      </c>
      <c r="B105" s="15" t="s">
        <v>161</v>
      </c>
      <c r="C105" s="15" t="str">
        <f>[1]Services!B8</f>
        <v>150mm (6") Tubewell Drilling</v>
      </c>
      <c r="D105" s="15" t="str">
        <f>CONCATENATE(C105," (Code: ",B105,")")</f>
        <v>150mm (6") Tubewell Drilling (Code: GWDDR102)</v>
      </c>
      <c r="E105" s="14" t="str">
        <f>[1]Services!C8</f>
        <v>meter</v>
      </c>
      <c r="F105" s="16" t="s">
        <v>18</v>
      </c>
      <c r="G105" s="16" t="s">
        <v>42</v>
      </c>
      <c r="H105" s="16" t="s">
        <v>162</v>
      </c>
      <c r="I105" s="14">
        <f>[1]Services!D8</f>
        <v>2315</v>
      </c>
      <c r="J105" s="16">
        <v>0</v>
      </c>
      <c r="K105" s="16">
        <f>J105*($L$2-1)</f>
        <v>0</v>
      </c>
      <c r="L105" s="16">
        <f>SUM(I105:K105)</f>
        <v>2315</v>
      </c>
    </row>
    <row r="106" spans="1:12" ht="12.75">
      <c r="A106" s="14">
        <v>103</v>
      </c>
      <c r="B106" s="15" t="s">
        <v>163</v>
      </c>
      <c r="C106" s="15" t="str">
        <f>[1]Services!B9</f>
        <v>Tubewell Drilling 200mm (8")</v>
      </c>
      <c r="D106" s="15" t="str">
        <f>CONCATENATE(C106," (Code: ",B106,")")</f>
        <v>Tubewell Drilling 200mm (8") (Code: GWDDR103)</v>
      </c>
      <c r="E106" s="14" t="str">
        <f>[1]Services!C9</f>
        <v>meter</v>
      </c>
      <c r="F106" s="16" t="s">
        <v>18</v>
      </c>
      <c r="G106" s="16" t="s">
        <v>42</v>
      </c>
      <c r="H106" s="16" t="s">
        <v>162</v>
      </c>
      <c r="I106" s="14">
        <f>[1]Services!D9</f>
        <v>2980</v>
      </c>
      <c r="J106" s="16">
        <v>0</v>
      </c>
      <c r="K106" s="16">
        <f>J106*($L$2-1)</f>
        <v>0</v>
      </c>
      <c r="L106" s="16">
        <f>SUM(I106:K106)</f>
        <v>2980</v>
      </c>
    </row>
    <row r="107" spans="1:12" ht="12.75">
      <c r="A107" s="14">
        <v>104</v>
      </c>
      <c r="B107" s="15" t="s">
        <v>164</v>
      </c>
      <c r="C107" s="15" t="str">
        <f>[1]Services!B10</f>
        <v>110mm (4.5") Filterpoint Well Drilling</v>
      </c>
      <c r="D107" s="15" t="str">
        <f>CONCATENATE(C107," (Code: ",B107,")")</f>
        <v>110mm (4.5") Filterpoint Well Drilling (Code: GWDDR104)</v>
      </c>
      <c r="E107" s="14" t="str">
        <f>[1]Services!C10</f>
        <v>meter</v>
      </c>
      <c r="F107" s="16" t="s">
        <v>18</v>
      </c>
      <c r="G107" s="16" t="s">
        <v>165</v>
      </c>
      <c r="H107" s="16" t="s">
        <v>166</v>
      </c>
      <c r="I107" s="14">
        <f>[1]Services!D10</f>
        <v>255</v>
      </c>
      <c r="J107" s="16">
        <v>0</v>
      </c>
      <c r="K107" s="16">
        <f>J107*($L$2-1)</f>
        <v>0</v>
      </c>
      <c r="L107" s="16">
        <f>SUM(I107:K107)</f>
        <v>255</v>
      </c>
    </row>
    <row r="108" spans="1:12" ht="12.75">
      <c r="A108" s="14">
        <v>105</v>
      </c>
      <c r="B108" s="15" t="s">
        <v>167</v>
      </c>
      <c r="C108" s="15" t="str">
        <f>[1]Services!B11</f>
        <v>Flushing (Developing) Borewell</v>
      </c>
      <c r="D108" s="15" t="str">
        <f>CONCATENATE(C108," (Code: ",B108,")")</f>
        <v>Flushing (Developing) Borewell (Code: GWDDR105)</v>
      </c>
      <c r="E108" s="14" t="str">
        <f>[1]Services!C11</f>
        <v>each</v>
      </c>
      <c r="F108" s="16" t="s">
        <v>18</v>
      </c>
      <c r="G108" s="16" t="s">
        <v>168</v>
      </c>
      <c r="H108" s="16" t="s">
        <v>168</v>
      </c>
      <c r="I108" s="14">
        <f>[1]Services!D11</f>
        <v>5790</v>
      </c>
      <c r="J108" s="16">
        <v>0</v>
      </c>
      <c r="K108" s="16">
        <f>J108*($L$2-1)</f>
        <v>0</v>
      </c>
      <c r="L108" s="16">
        <f>SUM(I108:K108)</f>
        <v>5790</v>
      </c>
    </row>
    <row r="109" spans="1:12" ht="12.75">
      <c r="A109" s="14">
        <v>106</v>
      </c>
      <c r="B109" s="15" t="s">
        <v>169</v>
      </c>
      <c r="C109" s="15" t="str">
        <f>[1]Services!B12</f>
        <v>Flushing (Developing) Tubewell</v>
      </c>
      <c r="D109" s="15" t="str">
        <f>CONCATENATE(C109," (Code: ",B109,")")</f>
        <v>Flushing (Developing) Tubewell (Code: GWDDR106)</v>
      </c>
      <c r="E109" s="14" t="str">
        <f>[1]Services!C12</f>
        <v>each</v>
      </c>
      <c r="F109" s="16" t="s">
        <v>18</v>
      </c>
      <c r="G109" s="16" t="s">
        <v>168</v>
      </c>
      <c r="H109" s="16" t="s">
        <v>168</v>
      </c>
      <c r="I109" s="14">
        <f>[1]Services!D12</f>
        <v>15435</v>
      </c>
      <c r="J109" s="16">
        <v>0</v>
      </c>
      <c r="K109" s="16">
        <f>J109*($L$2-1)</f>
        <v>0</v>
      </c>
      <c r="L109" s="16">
        <f>SUM(I109:K109)</f>
        <v>15435</v>
      </c>
    </row>
    <row r="110" spans="1:12" ht="12.75">
      <c r="A110" s="14">
        <v>107</v>
      </c>
      <c r="B110" s="15" t="s">
        <v>170</v>
      </c>
      <c r="C110" s="15" t="str">
        <f>[1]Services!B13</f>
        <v>Flushing (Developing) Filterpoint well</v>
      </c>
      <c r="D110" s="15" t="str">
        <f>CONCATENATE(C110," (Code: ",B110,")")</f>
        <v>Flushing (Developing) Filterpoint well (Code: GWDDR107)</v>
      </c>
      <c r="E110" s="14" t="str">
        <f>[1]Services!C13</f>
        <v>each</v>
      </c>
      <c r="F110" s="16" t="s">
        <v>18</v>
      </c>
      <c r="G110" s="16" t="s">
        <v>168</v>
      </c>
      <c r="H110" s="16" t="s">
        <v>168</v>
      </c>
      <c r="I110" s="14">
        <f>[1]Services!D13</f>
        <v>2870</v>
      </c>
      <c r="J110" s="16">
        <v>0</v>
      </c>
      <c r="K110" s="16">
        <f>J110*($L$2-1)</f>
        <v>0</v>
      </c>
      <c r="L110" s="16">
        <f>SUM(I110:K110)</f>
        <v>2870</v>
      </c>
    </row>
    <row r="111" spans="1:12" ht="12.75">
      <c r="A111" s="14">
        <v>108</v>
      </c>
      <c r="B111" s="15" t="s">
        <v>171</v>
      </c>
      <c r="C111" s="15" t="str">
        <f>[1]Services!B14</f>
        <v>Water Quality Testing (Domestic)</v>
      </c>
      <c r="D111" s="15" t="str">
        <f>CONCATENATE(C111," (Code: ",B111,")")</f>
        <v>Water Quality Testing (Domestic) (Code: GWDDR108)</v>
      </c>
      <c r="E111" s="14" t="str">
        <f>[1]Services!C14</f>
        <v>each sample</v>
      </c>
      <c r="F111" s="16" t="s">
        <v>18</v>
      </c>
      <c r="G111" s="16" t="s">
        <v>172</v>
      </c>
      <c r="H111" s="16" t="s">
        <v>172</v>
      </c>
      <c r="I111" s="14">
        <f>[1]Services!D14</f>
        <v>445</v>
      </c>
      <c r="J111" s="16">
        <v>0</v>
      </c>
      <c r="K111" s="16">
        <f>J111*($L$2-1)</f>
        <v>0</v>
      </c>
      <c r="L111" s="16">
        <f>SUM(I111:K111)</f>
        <v>445</v>
      </c>
    </row>
    <row r="112" spans="1:12" ht="12.75">
      <c r="A112" s="14">
        <v>109</v>
      </c>
      <c r="B112" s="15" t="s">
        <v>173</v>
      </c>
      <c r="C112" s="15" t="str">
        <f>[1]Services!B15</f>
        <v>Water Quality Testing (Industrial)</v>
      </c>
      <c r="D112" s="15" t="str">
        <f>CONCATENATE(C112," (Code: ",B112,")")</f>
        <v>Water Quality Testing (Industrial) (Code: GWDDR109)</v>
      </c>
      <c r="E112" s="14" t="str">
        <f>[1]Services!C15</f>
        <v>each sample</v>
      </c>
      <c r="F112" s="16" t="s">
        <v>18</v>
      </c>
      <c r="G112" s="16" t="s">
        <v>172</v>
      </c>
      <c r="H112" s="16" t="s">
        <v>172</v>
      </c>
      <c r="I112" s="14">
        <f>[1]Services!D15</f>
        <v>1105</v>
      </c>
      <c r="J112" s="16">
        <v>0</v>
      </c>
      <c r="K112" s="16">
        <f>J112*($L$2-1)</f>
        <v>0</v>
      </c>
      <c r="L112" s="16">
        <f>SUM(I112:K112)</f>
        <v>1105</v>
      </c>
    </row>
    <row r="113" spans="1:12" ht="12.75">
      <c r="A113" s="14">
        <v>110</v>
      </c>
      <c r="B113" s="15" t="s">
        <v>174</v>
      </c>
      <c r="C113" s="15" t="str">
        <f>'[1]Pump Pullout'!B2</f>
        <v>Borewell submersible pump pullout charges upto 3 HP</v>
      </c>
      <c r="D113" s="15" t="str">
        <f>CONCATENATE(C113," (Code: ",B113,")")</f>
        <v>Borewell submersible pump pullout charges upto 3 HP (Code: GWDDR110)</v>
      </c>
      <c r="E113" s="14" t="s">
        <v>17</v>
      </c>
      <c r="F113" s="16" t="s">
        <v>18</v>
      </c>
      <c r="G113" s="16" t="s">
        <v>19</v>
      </c>
      <c r="H113" s="16" t="s">
        <v>175</v>
      </c>
      <c r="I113" s="21">
        <f>'[1]Pump Pullout'!F9</f>
        <v>0</v>
      </c>
      <c r="J113" s="16">
        <f>'[1]Pump Pullout'!F17</f>
        <v>3402</v>
      </c>
      <c r="K113" s="16">
        <f>J113*($L$2-1)</f>
        <v>0</v>
      </c>
      <c r="L113" s="16">
        <f>SUM(I113:K113)</f>
        <v>3402</v>
      </c>
    </row>
    <row r="114" spans="1:12" ht="12.75">
      <c r="A114" s="14">
        <v>111</v>
      </c>
      <c r="B114" s="15" t="s">
        <v>176</v>
      </c>
      <c r="C114" s="15" t="str">
        <f>'[1]Pump Pullout'!B19</f>
        <v>Borewell submersible pump pullout charges above 3 H.P. To 7.5 H.P.</v>
      </c>
      <c r="D114" s="15" t="str">
        <f>CONCATENATE(C114," (Code: ",B114,")")</f>
        <v>Borewell submersible pump pullout charges above 3 H.P. To 7.5 H.P. (Code: GWDDR111)</v>
      </c>
      <c r="E114" s="14" t="s">
        <v>17</v>
      </c>
      <c r="F114" s="16" t="s">
        <v>18</v>
      </c>
      <c r="G114" s="16" t="s">
        <v>19</v>
      </c>
      <c r="H114" s="16" t="s">
        <v>175</v>
      </c>
      <c r="I114" s="21">
        <f>'[1]Pump Pullout'!F26</f>
        <v>0</v>
      </c>
      <c r="J114" s="16">
        <f>'[1]Pump Pullout'!F34</f>
        <v>4273</v>
      </c>
      <c r="K114" s="16">
        <f>J114*($L$2-1)</f>
        <v>0</v>
      </c>
      <c r="L114" s="16">
        <f>SUM(I114:K114)</f>
        <v>4273</v>
      </c>
    </row>
    <row r="115" spans="1:12" ht="12.75">
      <c r="A115" s="14">
        <v>112</v>
      </c>
      <c r="B115" s="15" t="s">
        <v>177</v>
      </c>
      <c r="C115" s="15" t="str">
        <f>'[1]Pump Pullout'!B36</f>
        <v>Borewell submersible pump pullout charges above 7.5 H.P.</v>
      </c>
      <c r="D115" s="15" t="str">
        <f>CONCATENATE(C115," (Code: ",B115,")")</f>
        <v>Borewell submersible pump pullout charges above 7.5 H.P. (Code: GWDDR112)</v>
      </c>
      <c r="E115" s="14" t="s">
        <v>17</v>
      </c>
      <c r="F115" s="16" t="s">
        <v>18</v>
      </c>
      <c r="G115" s="16" t="s">
        <v>19</v>
      </c>
      <c r="H115" s="16" t="s">
        <v>175</v>
      </c>
      <c r="I115" s="21">
        <f>'[1]Pump Pullout'!F43</f>
        <v>0</v>
      </c>
      <c r="J115" s="16">
        <f>'[1]Pump Pullout'!F51</f>
        <v>5144</v>
      </c>
      <c r="K115" s="16">
        <f>J115*($L$2-1)</f>
        <v>0</v>
      </c>
      <c r="L115" s="16">
        <f>SUM(I115:K115)</f>
        <v>5144</v>
      </c>
    </row>
    <row r="116" spans="1:12" ht="12.75">
      <c r="A116" s="14">
        <v>114</v>
      </c>
      <c r="B116" s="15" t="s">
        <v>178</v>
      </c>
      <c r="C116" s="15" t="str">
        <f>'[1]Pump Pullout'!B53</f>
        <v>Compressor pump detaching charge</v>
      </c>
      <c r="D116" s="15" t="str">
        <f>CONCATENATE(C116," (Code: ",B116,")")</f>
        <v>Compressor pump detaching charge (Code: GWDDR114)</v>
      </c>
      <c r="E116" s="14" t="s">
        <v>17</v>
      </c>
      <c r="F116" s="16" t="s">
        <v>18</v>
      </c>
      <c r="G116" s="16" t="s">
        <v>19</v>
      </c>
      <c r="H116" s="16" t="s">
        <v>175</v>
      </c>
      <c r="I116" s="14">
        <v>0</v>
      </c>
      <c r="J116" s="16">
        <f>'[1]Pump Pullout'!F62</f>
        <v>1875</v>
      </c>
      <c r="K116" s="16">
        <f>J116*($L$2-1)</f>
        <v>0</v>
      </c>
      <c r="L116" s="16">
        <f>SUM(I116:K116)</f>
        <v>1875</v>
      </c>
    </row>
    <row r="117" spans="1:12" ht="12.75">
      <c r="A117" s="14">
        <v>115</v>
      </c>
      <c r="B117" s="15" t="s">
        <v>179</v>
      </c>
      <c r="C117" s="15" t="str">
        <f>'[1]3 Core Cable PRICE'!A3</f>
        <v>Supply and drawing FRLS PVC insulated &amp; sheathed 650/1100 V grade 3 core copper conductor flat cable for submersible pump motor conforming to IS 694 part I 1990 as required including giving necessary connections of the following sizes. 1.50 sq mm (90.6.6.1)</v>
      </c>
      <c r="D117" s="15" t="str">
        <f>CONCATENATE(C117," (Code: ",B117,")")</f>
        <v>Supply and drawing FRLS PVC insulated &amp; sheathed 650/1100 V grade 3 core copper conductor flat cable for submersible pump motor conforming to IS 694 part I 1990 as required including giving necessary connections of the following sizes. 1.50 sq mm (90.6.6.1) (Code: GWDDR115)</v>
      </c>
      <c r="E117" s="14" t="s">
        <v>28</v>
      </c>
      <c r="F117" s="16" t="s">
        <v>18</v>
      </c>
      <c r="G117" s="16" t="s">
        <v>19</v>
      </c>
      <c r="H117" s="16" t="s">
        <v>180</v>
      </c>
      <c r="I117" s="21">
        <f>'[1]3 Core Cable PRICE'!H29</f>
        <v>57.64255722</v>
      </c>
      <c r="J117" s="21">
        <f>'[1]3 Core Cable PRICE'!I29</f>
        <v>9.4543800000000005</v>
      </c>
      <c r="K117" s="16">
        <f>J117*($L$2-1)</f>
        <v>0</v>
      </c>
      <c r="L117" s="16">
        <f>SUM(I117:K117)</f>
        <v>67.096937220000001</v>
      </c>
    </row>
    <row r="118" spans="1:12" ht="12.75">
      <c r="A118" s="14">
        <v>116</v>
      </c>
      <c r="B118" s="15" t="s">
        <v>181</v>
      </c>
      <c r="C118" s="15" t="str">
        <f>'[1]3 Core Cable PRICE'!A32</f>
        <v>Supply and drawing FRLS PVC insulated &amp; sheathed 650/1100 V grade 3 core copper conductor flat cable for submersible pump motor conforming to IS 694 part I 1990 as required including giving necessary connections of the following sizes. 2.50 sq mm (90.6.6.2)</v>
      </c>
      <c r="D118" s="15" t="str">
        <f>CONCATENATE(C118," (Code: ",B118,")")</f>
        <v>Supply and drawing FRLS PVC insulated &amp; sheathed 650/1100 V grade 3 core copper conductor flat cable for submersible pump motor conforming to IS 694 part I 1990 as required including giving necessary connections of the following sizes. 2.50 sq mm (90.6.6.2) (Code: GWDDR116)</v>
      </c>
      <c r="E118" s="14" t="s">
        <v>28</v>
      </c>
      <c r="F118" s="16" t="s">
        <v>18</v>
      </c>
      <c r="G118" s="16" t="s">
        <v>19</v>
      </c>
      <c r="H118" s="16" t="s">
        <v>180</v>
      </c>
      <c r="I118" s="21">
        <f>'[1]3 Core Cable PRICE'!H58</f>
        <v>86.104510739999995</v>
      </c>
      <c r="J118" s="21">
        <f>'[1]3 Core Cable PRICE'!I58</f>
        <v>9.4543800000000005</v>
      </c>
      <c r="K118" s="16">
        <f>J118*($L$2-1)</f>
        <v>0</v>
      </c>
      <c r="L118" s="16">
        <f>SUM(I118:K118)</f>
        <v>95.558890739999995</v>
      </c>
    </row>
    <row r="119" spans="1:12" ht="12.75">
      <c r="A119" s="14">
        <v>117</v>
      </c>
      <c r="B119" s="15" t="s">
        <v>182</v>
      </c>
      <c r="C119" s="15" t="str">
        <f>'[1]3 Core Cable PRICE'!A61</f>
        <v>Supply and drawing FRLS PVC insulated &amp; sheathed 650/1100 V grade 3 core copper conductor flat cable for submersible pump motor conforming to IS 694 part I 1990 as required including giving necessary connections of the following sizes. 4 sq mm (90.6.6.3)</v>
      </c>
      <c r="D119" s="15" t="str">
        <f>CONCATENATE(C119," (Code: ",B119,")")</f>
        <v>Supply and drawing FRLS PVC insulated &amp; sheathed 650/1100 V grade 3 core copper conductor flat cable for submersible pump motor conforming to IS 694 part I 1990 as required including giving necessary connections of the following sizes. 4 sq mm (90.6.6.3) (Code: GWDDR117)</v>
      </c>
      <c r="E119" s="14" t="s">
        <v>28</v>
      </c>
      <c r="F119" s="16" t="s">
        <v>18</v>
      </c>
      <c r="G119" s="16" t="s">
        <v>19</v>
      </c>
      <c r="H119" s="16" t="s">
        <v>180</v>
      </c>
      <c r="I119" s="21">
        <f>'[1]3 Core Cable PRICE'!H87</f>
        <v>123.00055709999999</v>
      </c>
      <c r="J119" s="21">
        <f>'[1]3 Core Cable PRICE'!I87</f>
        <v>9.4543800000000005</v>
      </c>
      <c r="K119" s="16">
        <f>J119*($L$2-1)</f>
        <v>0</v>
      </c>
      <c r="L119" s="16">
        <f>SUM(I119:K119)</f>
        <v>132.4549371</v>
      </c>
    </row>
    <row r="120" spans="1:12" ht="12.75">
      <c r="A120" s="14">
        <v>118</v>
      </c>
      <c r="B120" s="15" t="s">
        <v>183</v>
      </c>
      <c r="C120" s="15" t="str">
        <f>'[1]3 Core Cable PRICE'!A90</f>
        <v>Supply and drawing FRLS PVC insulated &amp; sheathed 650/1100 V grade 3 core copper conductor flat cable for submersible pump motor conforming to IS 694 part I 1990 as required including giving necessary connections of the following sizes. 6 sq mm (90.6.6.4)</v>
      </c>
      <c r="D120" s="15" t="str">
        <f>CONCATENATE(C120," (Code: ",B120,")")</f>
        <v>Supply and drawing FRLS PVC insulated &amp; sheathed 650/1100 V grade 3 core copper conductor flat cable for submersible pump motor conforming to IS 694 part I 1990 as required including giving necessary connections of the following sizes. 6 sq mm (90.6.6.4) (Code: GWDDR118)</v>
      </c>
      <c r="E120" s="14" t="s">
        <v>28</v>
      </c>
      <c r="F120" s="16" t="s">
        <v>18</v>
      </c>
      <c r="G120" s="16" t="s">
        <v>19</v>
      </c>
      <c r="H120" s="16" t="s">
        <v>180</v>
      </c>
      <c r="I120" s="21">
        <f>'[1]3 Core Cable PRICE'!H116</f>
        <v>177.82216080000001</v>
      </c>
      <c r="J120" s="21">
        <f>'[1]3 Core Cable PRICE'!I116</f>
        <v>9.4543800000000005</v>
      </c>
      <c r="K120" s="16">
        <f>J120*($L$2-1)</f>
        <v>0</v>
      </c>
      <c r="L120" s="16">
        <f>SUM(I120:K120)</f>
        <v>187.27654079999999</v>
      </c>
    </row>
    <row r="121" spans="1:12" ht="12.75">
      <c r="A121" s="14">
        <v>119</v>
      </c>
      <c r="B121" s="15" t="s">
        <v>184</v>
      </c>
      <c r="C121" s="15" t="str">
        <f>'[1]3 Core Cable PRICE'!A119</f>
        <v>Supply and drawing FRLS PVC insulated &amp; sheathed 650/1100 V grade 3 core copper conductor flat cable for submersible pump motor conforming to IS 694 part I 1990 as required including giving necessary connections of the following sizes. 10 sq mm (90.6.6.5)</v>
      </c>
      <c r="D121" s="15" t="str">
        <f>CONCATENATE(C121," (Code: ",B121,")")</f>
        <v>Supply and drawing FRLS PVC insulated &amp; sheathed 650/1100 V grade 3 core copper conductor flat cable for submersible pump motor conforming to IS 694 part I 1990 as required including giving necessary connections of the following sizes. 10 sq mm (90.6.6.5) (Code: GWDDR119)</v>
      </c>
      <c r="E121" s="14" t="s">
        <v>28</v>
      </c>
      <c r="F121" s="16" t="s">
        <v>18</v>
      </c>
      <c r="G121" s="16" t="s">
        <v>19</v>
      </c>
      <c r="H121" s="16" t="s">
        <v>180</v>
      </c>
      <c r="I121" s="21">
        <f>'[1]3 Core Cable PRICE'!H145</f>
        <v>290.62504300000001</v>
      </c>
      <c r="J121" s="21">
        <f>'[1]3 Core Cable PRICE'!I145</f>
        <v>9.4543800000000005</v>
      </c>
      <c r="K121" s="16">
        <f>J121*($L$2-1)</f>
        <v>0</v>
      </c>
      <c r="L121" s="16">
        <f>SUM(I121:K121)</f>
        <v>300.07942300000002</v>
      </c>
    </row>
    <row r="122" spans="1:12" ht="12.75">
      <c r="A122" s="14">
        <v>120</v>
      </c>
      <c r="B122" s="15" t="s">
        <v>185</v>
      </c>
      <c r="C122" s="15" t="str">
        <f>'[1]3 Core Cable PRICE'!A148</f>
        <v>Supply and drawing FRLS PVC insulated &amp; sheathed 650/1100 V grade 3 core copper conductor flat cable for submersible pump motor conforming to IS 694 part I 1990 as required including giving necessary connections of the following sizes. 16 sq mm (90.6.6.6)</v>
      </c>
      <c r="D122" s="15" t="str">
        <f>CONCATENATE(C122," (Code: ",B122,")")</f>
        <v>Supply and drawing FRLS PVC insulated &amp; sheathed 650/1100 V grade 3 core copper conductor flat cable for submersible pump motor conforming to IS 694 part I 1990 as required including giving necessary connections of the following sizes. 16 sq mm (90.6.6.6) (Code: GWDDR120)</v>
      </c>
      <c r="E122" s="14" t="s">
        <v>28</v>
      </c>
      <c r="F122" s="16" t="s">
        <v>18</v>
      </c>
      <c r="G122" s="16" t="s">
        <v>19</v>
      </c>
      <c r="H122" s="16" t="s">
        <v>180</v>
      </c>
      <c r="I122" s="21">
        <f>'[1]3 Core Cable PRICE'!H174</f>
        <v>465.9731357</v>
      </c>
      <c r="J122" s="21">
        <f>'[1]3 Core Cable PRICE'!I174</f>
        <v>14.181570000000001</v>
      </c>
      <c r="K122" s="16">
        <f>J122*($L$2-1)</f>
        <v>0</v>
      </c>
      <c r="L122" s="16">
        <f>SUM(I122:K122)</f>
        <v>480.15470570000002</v>
      </c>
    </row>
    <row r="123" spans="1:12" ht="12.75">
      <c r="A123" s="14">
        <v>121</v>
      </c>
      <c r="B123" s="15" t="s">
        <v>186</v>
      </c>
      <c r="C123" s="15" t="str">
        <f>'[1]3 Core Cable PRICE'!A177</f>
        <v>Supply and drawing FRLS PVC insulated &amp; sheathed 650/1100 V grade 3 core copper conductor flat cable for submersible pump motor conforming to IS 694 part I 1990 as required including giving necessary connections of the following sizes. 25 sq mm (90.6.6.7)</v>
      </c>
      <c r="D123" s="15" t="str">
        <f>CONCATENATE(C123," (Code: ",B123,")")</f>
        <v>Supply and drawing FRLS PVC insulated &amp; sheathed 650/1100 V grade 3 core copper conductor flat cable for submersible pump motor conforming to IS 694 part I 1990 as required including giving necessary connections of the following sizes. 25 sq mm (90.6.6.7) (Code: GWDDR121)</v>
      </c>
      <c r="E123" s="14" t="s">
        <v>28</v>
      </c>
      <c r="F123" s="16" t="s">
        <v>18</v>
      </c>
      <c r="G123" s="16" t="s">
        <v>19</v>
      </c>
      <c r="H123" s="16" t="s">
        <v>180</v>
      </c>
      <c r="I123" s="21">
        <f>'[1]3 Core Cable PRICE'!H203</f>
        <v>792.77557490000004</v>
      </c>
      <c r="J123" s="21">
        <f>'[1]3 Core Cable PRICE'!I203</f>
        <v>14.181570000000001</v>
      </c>
      <c r="K123" s="16">
        <f>J123*($L$2-1)</f>
        <v>0</v>
      </c>
      <c r="L123" s="16">
        <f>SUM(I123:K123)</f>
        <v>806.9571449</v>
      </c>
    </row>
    <row r="124" spans="1:12" ht="12.75">
      <c r="A124" s="14">
        <v>122</v>
      </c>
      <c r="B124" s="15" t="s">
        <v>187</v>
      </c>
      <c r="C124" s="15" t="str">
        <f>'[1]3 Core Cable PRICE'!A206</f>
        <v>Supply and drawing FRLS PVC insulated &amp; sheathed 650/1100 V grade 3 core copper conductor flat cable for submersible pump motor conforming to IS 694 part I 1990 as required including giving necessary connections of the following sizes. 35 sq mm (90.6.6.8)</v>
      </c>
      <c r="D124" s="15" t="str">
        <f>CONCATENATE(C124," (Code: ",B124,")")</f>
        <v>Supply and drawing FRLS PVC insulated &amp; sheathed 650/1100 V grade 3 core copper conductor flat cable for submersible pump motor conforming to IS 694 part I 1990 as required including giving necessary connections of the following sizes. 35 sq mm (90.6.6.8) (Code: GWDDR122)</v>
      </c>
      <c r="E124" s="14" t="s">
        <v>28</v>
      </c>
      <c r="F124" s="16" t="s">
        <v>18</v>
      </c>
      <c r="G124" s="16" t="s">
        <v>19</v>
      </c>
      <c r="H124" s="16" t="s">
        <v>180</v>
      </c>
      <c r="I124" s="21">
        <f>'[1]3 Core Cable PRICE'!H232</f>
        <v>1143.1373140000001</v>
      </c>
      <c r="J124" s="21">
        <f>'[1]3 Core Cable PRICE'!I232</f>
        <v>18.908760000000001</v>
      </c>
      <c r="K124" s="16">
        <f>J124*($L$2-1)</f>
        <v>0</v>
      </c>
      <c r="L124" s="16">
        <f>SUM(I124:K124)</f>
        <v>1162.0460740000001</v>
      </c>
    </row>
    <row r="125" spans="1:12" ht="12.75">
      <c r="A125" s="14">
        <v>123</v>
      </c>
      <c r="B125" s="15" t="s">
        <v>188</v>
      </c>
      <c r="C125" s="15" t="str">
        <f>'[1]UG Cable PRICE'!A3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v>
      </c>
      <c r="D125" s="15" t="str">
        <f>CONCATENATE(C125," (Code: ",B125,")")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v>
      </c>
      <c r="E125" s="14" t="s">
        <v>28</v>
      </c>
      <c r="F125" s="16" t="s">
        <v>18</v>
      </c>
      <c r="G125" s="16" t="s">
        <v>19</v>
      </c>
      <c r="H125" s="16" t="s">
        <v>189</v>
      </c>
      <c r="I125" s="21">
        <f>'[1]UG Cable PRICE'!I31</f>
        <v>255.89903179999999</v>
      </c>
      <c r="J125" s="21">
        <f>'[1]UG Cable PRICE'!J31</f>
        <v>169.3771313</v>
      </c>
      <c r="K125" s="16">
        <f>J125*($L$2-1)</f>
        <v>0</v>
      </c>
      <c r="L125" s="16">
        <f>SUM(I125:K125)</f>
        <v>425.27616310000002</v>
      </c>
    </row>
    <row r="126" spans="1:12" ht="12.75">
      <c r="A126" s="14">
        <v>124</v>
      </c>
      <c r="B126" s="15" t="s">
        <v>190</v>
      </c>
      <c r="C126" s="15" t="str">
        <f>'[1]UG Cable PRICE'!A34</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v>
      </c>
      <c r="D126" s="15" t="str">
        <f>CONCATENATE(C126," (Code: ",B126,")")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v>
      </c>
      <c r="E126" s="14" t="s">
        <v>28</v>
      </c>
      <c r="F126" s="16" t="s">
        <v>18</v>
      </c>
      <c r="G126" s="16" t="s">
        <v>19</v>
      </c>
      <c r="H126" s="16" t="s">
        <v>189</v>
      </c>
      <c r="I126" s="21">
        <f>'[1]UG Cable PRICE'!I62</f>
        <v>306.0074659</v>
      </c>
      <c r="J126" s="21">
        <f>'[1]UG Cable PRICE'!J62</f>
        <v>169.3771313</v>
      </c>
      <c r="K126" s="16">
        <f>J126*($L$2-1)</f>
        <v>0</v>
      </c>
      <c r="L126" s="16">
        <f>SUM(I126:K126)</f>
        <v>475.38459719999997</v>
      </c>
    </row>
    <row r="127" spans="1:12" ht="12.75">
      <c r="A127" s="14">
        <v>125</v>
      </c>
      <c r="B127" s="15" t="s">
        <v>191</v>
      </c>
      <c r="C127" s="15" t="str">
        <f>'[1]UG Cable PRICE'!A65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v>
      </c>
      <c r="D127" s="15" t="str">
        <f>CONCATENATE(C127," (Code: ",B127,")")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v>
      </c>
      <c r="E127" s="14" t="s">
        <v>28</v>
      </c>
      <c r="F127" s="16" t="s">
        <v>18</v>
      </c>
      <c r="G127" s="16" t="s">
        <v>19</v>
      </c>
      <c r="H127" s="16" t="s">
        <v>189</v>
      </c>
      <c r="I127" s="21">
        <f>'[1]UG Cable PRICE'!I93</f>
        <v>407.2713392</v>
      </c>
      <c r="J127" s="21">
        <f>'[1]UG Cable PRICE'!J93</f>
        <v>169.3771313</v>
      </c>
      <c r="K127" s="16">
        <f>J127*($L$2-1)</f>
        <v>0</v>
      </c>
      <c r="L127" s="16">
        <f>SUM(I127:K127)</f>
        <v>576.64847050000003</v>
      </c>
    </row>
    <row r="128" spans="1:12" ht="12.75">
      <c r="A128" s="14">
        <v>126</v>
      </c>
      <c r="B128" s="15" t="s">
        <v>192</v>
      </c>
      <c r="C128" s="15" t="str">
        <f>'[1]UG Cable PRICE'!A96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v>
      </c>
      <c r="D128" s="15" t="str">
        <f>CONCATENATE(C128," (Code: ",B128,")")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v>
      </c>
      <c r="E128" s="14" t="s">
        <v>28</v>
      </c>
      <c r="F128" s="16" t="s">
        <v>18</v>
      </c>
      <c r="G128" s="16" t="s">
        <v>19</v>
      </c>
      <c r="H128" s="16" t="s">
        <v>189</v>
      </c>
      <c r="I128" s="21">
        <f>'[1]UG Cable PRICE'!I124</f>
        <v>532.5301068</v>
      </c>
      <c r="J128" s="21">
        <f>'[1]UG Cable PRICE'!J124</f>
        <v>169.3771313</v>
      </c>
      <c r="K128" s="16">
        <f>J128*($L$2-1)</f>
        <v>0</v>
      </c>
      <c r="L128" s="16">
        <f>SUM(I128:K128)</f>
        <v>701.90723809999997</v>
      </c>
    </row>
    <row r="129" spans="1:12" ht="12.75">
      <c r="A129" s="14">
        <v>127</v>
      </c>
      <c r="B129" s="15" t="s">
        <v>193</v>
      </c>
      <c r="C129" s="15" t="str">
        <f>'[1]UG Cable PRICE'!A127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v>
      </c>
      <c r="D129" s="15" t="str">
        <f>CONCATENATE(C129," (Code: ",B129,")")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v>
      </c>
      <c r="E129" s="14" t="s">
        <v>28</v>
      </c>
      <c r="F129" s="16" t="s">
        <v>18</v>
      </c>
      <c r="G129" s="16" t="s">
        <v>19</v>
      </c>
      <c r="H129" s="16" t="s">
        <v>189</v>
      </c>
      <c r="I129" s="21">
        <f>'[1]UG Cable PRICE'!I155</f>
        <v>298.70306529999999</v>
      </c>
      <c r="J129" s="21">
        <f>'[1]UG Cable PRICE'!J155</f>
        <v>169.3771313</v>
      </c>
      <c r="K129" s="16">
        <f>J129*($L$2-1)</f>
        <v>0</v>
      </c>
      <c r="L129" s="16">
        <f>SUM(I129:K129)</f>
        <v>468.08019660000002</v>
      </c>
    </row>
    <row r="130" spans="1:12" ht="12.75">
      <c r="A130" s="14">
        <v>128</v>
      </c>
      <c r="B130" s="15" t="s">
        <v>194</v>
      </c>
      <c r="C130" s="15" t="str">
        <f>'[1]UG Cable PRICE'!A158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v>
      </c>
      <c r="D130" s="15" t="str">
        <f>CONCATENATE(C130," (Code: ",B130,")")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v>
      </c>
      <c r="E130" s="14" t="s">
        <v>28</v>
      </c>
      <c r="F130" s="16" t="s">
        <v>18</v>
      </c>
      <c r="G130" s="16" t="s">
        <v>19</v>
      </c>
      <c r="H130" s="16" t="s">
        <v>189</v>
      </c>
      <c r="I130" s="21">
        <f>'[1]UG Cable PRICE'!I186</f>
        <v>370.7247011</v>
      </c>
      <c r="J130" s="21">
        <f>'[1]UG Cable PRICE'!J186</f>
        <v>169.3771313</v>
      </c>
      <c r="K130" s="16">
        <f>J130*($L$2-1)</f>
        <v>0</v>
      </c>
      <c r="L130" s="16">
        <f>SUM(I130:K130)</f>
        <v>540.10183240000003</v>
      </c>
    </row>
    <row r="131" spans="1:12" ht="12.75">
      <c r="A131" s="14">
        <v>129</v>
      </c>
      <c r="B131" s="15" t="s">
        <v>195</v>
      </c>
      <c r="C131" s="15" t="str">
        <f>'[1]UG Cable PRICE'!A189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v>
      </c>
      <c r="D131" s="15" t="str">
        <f>CONCATENATE(C131," (Code: ",B131,")")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v>
      </c>
      <c r="E131" s="14" t="s">
        <v>28</v>
      </c>
      <c r="F131" s="16" t="s">
        <v>18</v>
      </c>
      <c r="G131" s="16" t="s">
        <v>19</v>
      </c>
      <c r="H131" s="16" t="s">
        <v>189</v>
      </c>
      <c r="I131" s="21">
        <f>'[1]UG Cable PRICE'!I217</f>
        <v>515.82729540000003</v>
      </c>
      <c r="J131" s="21">
        <f>'[1]UG Cable PRICE'!J217</f>
        <v>169.3771313</v>
      </c>
      <c r="K131" s="16">
        <f>J131*($L$2-1)</f>
        <v>0</v>
      </c>
      <c r="L131" s="16">
        <f>SUM(I131:K131)</f>
        <v>685.2044267</v>
      </c>
    </row>
    <row r="132" spans="1:12" ht="12.75">
      <c r="A132" s="14">
        <v>130</v>
      </c>
      <c r="B132" s="15" t="s">
        <v>196</v>
      </c>
      <c r="C132" s="15" t="str">
        <f>'[1]UG Cable PRICE'!A220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v>
      </c>
      <c r="D132" s="15" t="str">
        <f>CONCATENATE(C132," (Code: ",B132,")")</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v>
      </c>
      <c r="E132" s="14" t="s">
        <v>28</v>
      </c>
      <c r="F132" s="16" t="s">
        <v>18</v>
      </c>
      <c r="G132" s="16" t="s">
        <v>19</v>
      </c>
      <c r="H132" s="16" t="s">
        <v>189</v>
      </c>
      <c r="I132" s="21">
        <f>'[1]UG Cable PRICE'!I248</f>
        <v>684.93710169999997</v>
      </c>
      <c r="J132" s="21">
        <f>'[1]UG Cable PRICE'!J248</f>
        <v>169.3771313</v>
      </c>
      <c r="K132" s="16">
        <f>J132*($L$2-1)</f>
        <v>0</v>
      </c>
      <c r="L132" s="16">
        <f>SUM(I132:K132)</f>
        <v>854.31423299999994</v>
      </c>
    </row>
    <row r="133" spans="1:12" ht="12.75">
      <c r="A133" s="14">
        <v>131</v>
      </c>
      <c r="B133" s="15" t="s">
        <v>197</v>
      </c>
      <c r="C133" s="15" t="str">
        <f>'[1]Motor Starter PRICE'!A3</f>
        <v>S &amp; F Motor starters of the following ratings Submersible pump controllers with ammeter,DPMCB for single phase 0.5HP submersible motor pumps (DOL) (90.14.28.10)</v>
      </c>
      <c r="D133" s="15" t="str">
        <f>CONCATENATE(C133," (Code: ",B133,")")</f>
        <v>S &amp; F Motor starters of the following ratings Submersible pump controllers with ammeter,DPMCB for single phase 0.5HP submersible motor pumps (DOL) (90.14.28.10) (Code: GWDDR131)</v>
      </c>
      <c r="E133" s="14" t="s">
        <v>17</v>
      </c>
      <c r="F133" s="16" t="s">
        <v>18</v>
      </c>
      <c r="G133" s="16" t="s">
        <v>19</v>
      </c>
      <c r="H133" s="16" t="s">
        <v>198</v>
      </c>
      <c r="I133" s="21">
        <f>'[1]Motor Starter PRICE'!H31</f>
        <v>1788.4355190000001</v>
      </c>
      <c r="J133" s="21">
        <f>'[1]Motor Starter PRICE'!I31</f>
        <v>16.887819</v>
      </c>
      <c r="K133" s="16">
        <f>J133*($L$2-1)</f>
        <v>0</v>
      </c>
      <c r="L133" s="16">
        <f>SUM(I133:K133)</f>
        <v>1805.3233379999999</v>
      </c>
    </row>
    <row r="134" spans="1:12" ht="12.75">
      <c r="A134" s="14">
        <v>132</v>
      </c>
      <c r="B134" s="15" t="s">
        <v>199</v>
      </c>
      <c r="C134" s="15" t="str">
        <f>'[1]Motor Starter PRICE'!A34</f>
        <v>S &amp; F Motor starters of the following ratings Submersible pump controllers with ammeter,DPMCB for single phase 1 HP submersible motor pumps (DOL) (90.14.28.11)</v>
      </c>
      <c r="D134" s="15" t="str">
        <f>CONCATENATE(C134," (Code: ",B134,")")</f>
        <v>S &amp; F Motor starters of the following ratings Submersible pump controllers with ammeter,DPMCB for single phase 1 HP submersible motor pumps (DOL) (90.14.28.11) (Code: GWDDR132)</v>
      </c>
      <c r="E134" s="14" t="s">
        <v>17</v>
      </c>
      <c r="F134" s="16" t="s">
        <v>18</v>
      </c>
      <c r="G134" s="16" t="s">
        <v>19</v>
      </c>
      <c r="H134" s="16" t="s">
        <v>198</v>
      </c>
      <c r="I134" s="21">
        <f>'[1]Motor Starter PRICE'!H62</f>
        <v>1837.906011</v>
      </c>
      <c r="J134" s="21">
        <f>'[1]Motor Starter PRICE'!I62</f>
        <v>16.887819</v>
      </c>
      <c r="K134" s="16">
        <f>J134*($L$2-1)</f>
        <v>0</v>
      </c>
      <c r="L134" s="16">
        <f>SUM(I134:K134)</f>
        <v>1854.7938300000001</v>
      </c>
    </row>
    <row r="135" spans="1:12" ht="12.75">
      <c r="A135" s="14">
        <v>133</v>
      </c>
      <c r="B135" s="15" t="s">
        <v>200</v>
      </c>
      <c r="C135" s="15" t="str">
        <f>'[1]Motor Starter PRICE'!A65</f>
        <v>S &amp; F Motor starters of the following ratings Submersible pump controllers with ammeter,DPMCB for single phase 1.5 HP submersible motor pumps (DOL) (90.14.28.12)</v>
      </c>
      <c r="D135" s="15" t="str">
        <f>CONCATENATE(C135," (Code: ",B135,")")</f>
        <v>S &amp; F Motor starters of the following ratings Submersible pump controllers with ammeter,DPMCB for single phase 1.5 HP submersible motor pumps (DOL) (90.14.28.12) (Code: GWDDR133)</v>
      </c>
      <c r="E135" s="14" t="s">
        <v>17</v>
      </c>
      <c r="F135" s="16" t="s">
        <v>18</v>
      </c>
      <c r="G135" s="16" t="s">
        <v>19</v>
      </c>
      <c r="H135" s="16" t="s">
        <v>198</v>
      </c>
      <c r="I135" s="21">
        <f>'[1]Motor Starter PRICE'!H93</f>
        <v>1887.36483</v>
      </c>
      <c r="J135" s="21">
        <f>'[1]Motor Starter PRICE'!I93</f>
        <v>16.887819</v>
      </c>
      <c r="K135" s="16">
        <f>J135*($L$2-1)</f>
        <v>0</v>
      </c>
      <c r="L135" s="16">
        <f>SUM(I135:K135)</f>
        <v>1904.252649</v>
      </c>
    </row>
    <row r="136" spans="1:12" ht="12.75">
      <c r="A136" s="14">
        <v>134</v>
      </c>
      <c r="B136" s="15" t="s">
        <v>201</v>
      </c>
      <c r="C136" s="15" t="str">
        <f>'[1]Motor Starter PRICE'!A96</f>
        <v>S &amp; F Motor starters of the following ratings Submersible pump controllers with ammeter,DPMCB for single phase 2 HP submersible motor pumps (DOL) (90.14.28.13)</v>
      </c>
      <c r="D136" s="15" t="str">
        <f>CONCATENATE(C136," (Code: ",B136,")")</f>
        <v>S &amp; F Motor starters of the following ratings Submersible pump controllers with ammeter,DPMCB for single phase 2 HP submersible motor pumps (DOL) (90.14.28.13) (Code: GWDDR134)</v>
      </c>
      <c r="E136" s="14" t="s">
        <v>17</v>
      </c>
      <c r="F136" s="16" t="s">
        <v>18</v>
      </c>
      <c r="G136" s="16" t="s">
        <v>19</v>
      </c>
      <c r="H136" s="16" t="s">
        <v>198</v>
      </c>
      <c r="I136" s="21">
        <f>'[1]Motor Starter PRICE'!H124</f>
        <v>1936.8236489999999</v>
      </c>
      <c r="J136" s="21">
        <f>'[1]Motor Starter PRICE'!I124</f>
        <v>16.887819</v>
      </c>
      <c r="K136" s="16">
        <f>J136*($L$2-1)</f>
        <v>0</v>
      </c>
      <c r="L136" s="16">
        <f>SUM(I136:K136)</f>
        <v>1953.711468</v>
      </c>
    </row>
    <row r="137" spans="1:12" ht="12.75">
      <c r="A137" s="14">
        <v>135</v>
      </c>
      <c r="B137" s="15" t="s">
        <v>202</v>
      </c>
      <c r="C137" s="15" t="str">
        <f>'[1]Motor Starter PRICE'!A127</f>
        <v>S &amp; F Motor starters of the following ratings Submersible pump controllers with ammeter,TPMCB for three phase 5 to 7.5HP submersible motor pumps (DOL) (90.14.28.14)</v>
      </c>
      <c r="D137" s="15" t="str">
        <f>CONCATENATE(C137," (Code: ",B137,")")</f>
        <v>S &amp; F Motor starters of the following ratings Submersible pump controllers with ammeter,TPMCB for three phase 5 to 7.5HP submersible motor pumps (DOL) (90.14.28.14) (Code: GWDDR135)</v>
      </c>
      <c r="E137" s="14" t="s">
        <v>17</v>
      </c>
      <c r="F137" s="16" t="s">
        <v>18</v>
      </c>
      <c r="G137" s="16" t="s">
        <v>19</v>
      </c>
      <c r="H137" s="16" t="s">
        <v>198</v>
      </c>
      <c r="I137" s="21">
        <f>'[1]Motor Starter PRICE'!H155</f>
        <v>4038.9693600000001</v>
      </c>
      <c r="J137" s="21">
        <f>'[1]Motor Starter PRICE'!I155</f>
        <v>16.887819</v>
      </c>
      <c r="K137" s="16">
        <f>J137*($L$2-1)</f>
        <v>0</v>
      </c>
      <c r="L137" s="16">
        <f>SUM(I137:K137)</f>
        <v>4055.8571790000001</v>
      </c>
    </row>
    <row r="138" spans="1:12" ht="12.75">
      <c r="A138" s="14">
        <v>136</v>
      </c>
      <c r="B138" s="15" t="s">
        <v>203</v>
      </c>
      <c r="C138" s="15" t="str">
        <f>'[1]Motor Starter PRICE'!A158</f>
        <v>S &amp; F Motor starters of the following ratings Submersible pump controllers with ammeter,TPMCB for three phase 10 to 12.5HP submersible motor pumps (DOL) (90.14.28.15)</v>
      </c>
      <c r="D138" s="15" t="str">
        <f>CONCATENATE(C138," (Code: ",B138,")")</f>
        <v>S &amp; F Motor starters of the following ratings Submersible pump controllers with ammeter,TPMCB for three phase 10 to 12.5HP submersible motor pumps (DOL) (90.14.28.15) (Code: GWDDR136)</v>
      </c>
      <c r="E138" s="14" t="s">
        <v>17</v>
      </c>
      <c r="F138" s="16" t="s">
        <v>18</v>
      </c>
      <c r="G138" s="16" t="s">
        <v>19</v>
      </c>
      <c r="H138" s="16" t="s">
        <v>198</v>
      </c>
      <c r="I138" s="21">
        <f>'[1]Motor Starter PRICE'!H186</f>
        <v>4909.9025709999996</v>
      </c>
      <c r="J138" s="21">
        <f>'[1]Motor Starter PRICE'!I186</f>
        <v>135.65268900000001</v>
      </c>
      <c r="K138" s="16">
        <f>J138*($L$2-1)</f>
        <v>0</v>
      </c>
      <c r="L138" s="16">
        <f>SUM(I138:K138)</f>
        <v>5045.5552600000001</v>
      </c>
    </row>
    <row r="139" spans="1:12" ht="12.75">
      <c r="A139" s="14">
        <v>137</v>
      </c>
      <c r="B139" s="15" t="s">
        <v>204</v>
      </c>
      <c r="C139" s="15" t="str">
        <f>'[1]Motor Starter PRICE'!A189</f>
        <v>S &amp; F Motor starters of the following ratings Fully automatic star delta pump starter for three phase 25-30HP Submersible motor (90.14.28.16)</v>
      </c>
      <c r="D139" s="15" t="str">
        <f>CONCATENATE(C139," (Code: ",B139,")")</f>
        <v>S &amp; F Motor starters of the following ratings Fully automatic star delta pump starter for three phase 25-30HP Submersible motor (90.14.28.16) (Code: GWDDR137)</v>
      </c>
      <c r="E139" s="14" t="s">
        <v>17</v>
      </c>
      <c r="F139" s="16" t="s">
        <v>18</v>
      </c>
      <c r="G139" s="16" t="s">
        <v>19</v>
      </c>
      <c r="H139" s="16" t="s">
        <v>198</v>
      </c>
      <c r="I139" s="21">
        <f>'[1]Motor Starter PRICE'!H217</f>
        <v>18792.809359999999</v>
      </c>
      <c r="J139" s="21">
        <f>'[1]Motor Starter PRICE'!I217</f>
        <v>220.48473899999999</v>
      </c>
      <c r="K139" s="16">
        <f>J139*($L$2-1)</f>
        <v>0</v>
      </c>
      <c r="L139" s="16">
        <f>SUM(I139:K139)</f>
        <v>19013.294099999999</v>
      </c>
    </row>
    <row r="140" spans="1:12" ht="12.75">
      <c r="A140" s="14">
        <v>138</v>
      </c>
      <c r="B140" s="15" t="s">
        <v>205</v>
      </c>
      <c r="C140" s="15" t="str">
        <f>'[1]Motor Starter PRICE'!A220</f>
        <v>S &amp; F Motor starters of the following ratings Fully automatic star delta pump starter for three phase 15HP Submersible motor (90.14.28.17)</v>
      </c>
      <c r="D140" s="15" t="str">
        <f>CONCATENATE(C140," (Code: ",B140,")")</f>
        <v>S &amp; F Motor starters of the following ratings Fully automatic star delta pump starter for three phase 15HP Submersible motor (90.14.28.17) (Code: GWDDR138)</v>
      </c>
      <c r="E140" s="14" t="s">
        <v>17</v>
      </c>
      <c r="F140" s="16" t="s">
        <v>18</v>
      </c>
      <c r="G140" s="16" t="s">
        <v>19</v>
      </c>
      <c r="H140" s="16" t="s">
        <v>198</v>
      </c>
      <c r="I140" s="21">
        <f>'[1]Motor Starter PRICE'!H248</f>
        <v>8059.5219589999997</v>
      </c>
      <c r="J140" s="21">
        <f>'[1]Motor Starter PRICE'!I248</f>
        <v>220.48473899999999</v>
      </c>
      <c r="K140" s="16">
        <f>J140*($L$2-1)</f>
        <v>0</v>
      </c>
      <c r="L140" s="16">
        <f>SUM(I140:K140)</f>
        <v>8280.0066979999992</v>
      </c>
    </row>
    <row r="141" spans="1:12" ht="12.75">
      <c r="A141" s="14">
        <v>139</v>
      </c>
      <c r="B141" s="15" t="s">
        <v>206</v>
      </c>
      <c r="C141" s="15" t="str">
        <f>'[1]Motor Starter PRICE'!A251</f>
        <v>S &amp; F Motor starters of the following ratings Fully automatic star delta pump starter for three phase 20HP Submersible motor (90.14.28.18)</v>
      </c>
      <c r="D141" s="15" t="str">
        <f>CONCATENATE(C141," (Code: ",B141,")")</f>
        <v>S &amp; F Motor starters of the following ratings Fully automatic star delta pump starter for three phase 20HP Submersible motor (90.14.28.18) (Code: GWDDR139)</v>
      </c>
      <c r="E141" s="14" t="s">
        <v>17</v>
      </c>
      <c r="F141" s="16" t="s">
        <v>18</v>
      </c>
      <c r="G141" s="16" t="s">
        <v>19</v>
      </c>
      <c r="H141" s="16" t="s">
        <v>198</v>
      </c>
      <c r="I141" s="21">
        <f>'[1]Motor Starter PRICE'!H279</f>
        <v>9395.0034510000005</v>
      </c>
      <c r="J141" s="21">
        <f>'[1]Motor Starter PRICE'!I279</f>
        <v>220.48473899999999</v>
      </c>
      <c r="K141" s="16">
        <f>J141*($L$2-1)</f>
        <v>0</v>
      </c>
      <c r="L141" s="16">
        <f>SUM(I141:K141)</f>
        <v>9615.48819</v>
      </c>
    </row>
    <row r="142" spans="1:12" ht="12.75">
      <c r="A142" s="14">
        <v>140</v>
      </c>
      <c r="B142" s="15" t="s">
        <v>207</v>
      </c>
      <c r="C142" s="15" t="str">
        <f>'[1]Motor Starter GWD'!A3</f>
        <v>S &amp; F Motor starters of the following ratings Submersible pump controllers with ammeter,DPMCB for single phase 2.5HP submersible motor pumps (DOL)</v>
      </c>
      <c r="D142" s="15" t="str">
        <f>CONCATENATE(C142," (Code: ",B142,")")</f>
        <v>S &amp; F Motor starters of the following ratings Submersible pump controllers with ammeter,DPMCB for single phase 2.5HP submersible motor pumps (DOL) (Code: GWDDR140)</v>
      </c>
      <c r="E142" s="14" t="s">
        <v>17</v>
      </c>
      <c r="F142" s="16" t="s">
        <v>18</v>
      </c>
      <c r="G142" s="16" t="s">
        <v>19</v>
      </c>
      <c r="H142" s="16" t="s">
        <v>198</v>
      </c>
      <c r="I142" s="21">
        <f>'[1]Motor Starter GWD'!H31</f>
        <v>2167.3201880000001</v>
      </c>
      <c r="J142" s="21">
        <f>'[1]Motor Starter GWD'!I31</f>
        <v>16.887819</v>
      </c>
      <c r="K142" s="16">
        <f>J142*($L$2-1)</f>
        <v>0</v>
      </c>
      <c r="L142" s="16">
        <f>SUM(I142:K142)</f>
        <v>2184.2080070000002</v>
      </c>
    </row>
    <row r="143" spans="1:12" ht="12.75">
      <c r="A143" s="14">
        <v>141</v>
      </c>
      <c r="B143" s="15" t="s">
        <v>208</v>
      </c>
      <c r="C143" s="15" t="str">
        <f>'[1]Motor Starter GWD'!A34</f>
        <v>S &amp; F Motor starters of the following ratings Submersible pump controllers with ammeter,DPMCB for single phase 3HP submersible motor pumps (DOL)</v>
      </c>
      <c r="D143" s="15" t="str">
        <f>CONCATENATE(C143," (Code: ",B143,")")</f>
        <v>S &amp; F Motor starters of the following ratings Submersible pump controllers with ammeter,DPMCB for single phase 3HP submersible motor pumps (DOL) (Code: GWDDR141)</v>
      </c>
      <c r="E143" s="14" t="s">
        <v>17</v>
      </c>
      <c r="F143" s="16" t="s">
        <v>18</v>
      </c>
      <c r="G143" s="16" t="s">
        <v>19</v>
      </c>
      <c r="H143" s="16" t="s">
        <v>198</v>
      </c>
      <c r="I143" s="21">
        <f>'[1]Motor Starter GWD'!H62</f>
        <v>2459.1470629999999</v>
      </c>
      <c r="J143" s="21">
        <f>'[1]Motor Starter GWD'!I62</f>
        <v>16.887819</v>
      </c>
      <c r="K143" s="16">
        <f>J143*($L$2-1)</f>
        <v>0</v>
      </c>
      <c r="L143" s="16">
        <f>SUM(I143:K143)</f>
        <v>2476.0348819999999</v>
      </c>
    </row>
    <row r="144" spans="1:12" ht="12.75">
      <c r="A144" s="14">
        <v>142</v>
      </c>
      <c r="B144" s="15" t="s">
        <v>209</v>
      </c>
      <c r="C144" s="15" t="str">
        <f>'[1]Motor Starter GWD'!A65</f>
        <v>S &amp; F Motor starters of the following ratings Submersible pump controllers with ammeter,DPMCB for single phase 3.5HP submersible motor pumps (DOL)</v>
      </c>
      <c r="D144" s="15" t="str">
        <f>CONCATENATE(C144," (Code: ",B144,")")</f>
        <v>S &amp; F Motor starters of the following ratings Submersible pump controllers with ammeter,DPMCB for single phase 3.5HP submersible motor pumps (DOL) (Code: GWDDR142)</v>
      </c>
      <c r="E144" s="14" t="s">
        <v>17</v>
      </c>
      <c r="F144" s="16" t="s">
        <v>18</v>
      </c>
      <c r="G144" s="16" t="s">
        <v>19</v>
      </c>
      <c r="H144" s="16" t="s">
        <v>198</v>
      </c>
      <c r="I144" s="21">
        <f>'[1]Motor Starter GWD'!H93</f>
        <v>2809.3393129999999</v>
      </c>
      <c r="J144" s="21">
        <f>'[1]Motor Starter GWD'!I93</f>
        <v>16.887819</v>
      </c>
      <c r="K144" s="16">
        <f>J144*($L$2-1)</f>
        <v>0</v>
      </c>
      <c r="L144" s="16">
        <f>SUM(I144:K144)</f>
        <v>2826.227132</v>
      </c>
    </row>
    <row r="145" spans="1:12" ht="12.75">
      <c r="A145" s="14">
        <v>143</v>
      </c>
      <c r="B145" s="15" t="s">
        <v>210</v>
      </c>
      <c r="C145" s="15" t="str">
        <f>'[1]Motor Starter GWD'!A96</f>
        <v>S &amp; F Motor starters of the following ratings Submersible pump controllers with ammeter,TPMCB for three phase 2 to 4.5 HP submersible motor pumps (DOL)</v>
      </c>
      <c r="D145" s="15" t="str">
        <f>CONCATENATE(C145," (Code: ",B145,")")</f>
        <v>S &amp; F Motor starters of the following ratings Submersible pump controllers with ammeter,TPMCB for three phase 2 to 4.5 HP submersible motor pumps (DOL) (Code: GWDDR143)</v>
      </c>
      <c r="E145" s="14" t="s">
        <v>17</v>
      </c>
      <c r="F145" s="16" t="s">
        <v>18</v>
      </c>
      <c r="G145" s="16" t="s">
        <v>19</v>
      </c>
      <c r="H145" s="16" t="s">
        <v>198</v>
      </c>
      <c r="I145" s="21">
        <f>'[1]Motor Starter GWD'!H124</f>
        <v>3620.0226980000002</v>
      </c>
      <c r="J145" s="21">
        <f>'[1]Motor Starter GWD'!I124</f>
        <v>16.887819</v>
      </c>
      <c r="K145" s="16">
        <f>J145*($L$2-1)</f>
        <v>0</v>
      </c>
      <c r="L145" s="16">
        <f>SUM(I145:K145)</f>
        <v>3636.9105169999998</v>
      </c>
    </row>
    <row r="146" spans="1:12" ht="12.75">
      <c r="A146" s="14">
        <v>144</v>
      </c>
      <c r="B146" s="15" t="s">
        <v>211</v>
      </c>
      <c r="C146" s="15" t="str">
        <f>'[1]Motor Starter GWD'!A127</f>
        <v>S &amp; F Motor starters of the following ratings Submersible pump controllers with ammeter, TPMCB for three phase 8 to 9.5 HP submersible motor pumps (DOL)</v>
      </c>
      <c r="D146" s="15" t="str">
        <f>CONCATENATE(C146," (Code: ",B146,")")</f>
        <v>S &amp; F Motor starters of the following ratings Submersible pump controllers with ammeter, TPMCB for three phase 8 to 9.5 HP submersible motor pumps (DOL) (Code: GWDDR144)</v>
      </c>
      <c r="E146" s="14" t="s">
        <v>17</v>
      </c>
      <c r="F146" s="16" t="s">
        <v>18</v>
      </c>
      <c r="G146" s="16" t="s">
        <v>19</v>
      </c>
      <c r="H146" s="16" t="s">
        <v>198</v>
      </c>
      <c r="I146" s="21">
        <f>'[1]Motor Starter GWD'!H155</f>
        <v>4419.8384509999996</v>
      </c>
      <c r="J146" s="21">
        <f>'[1]Motor Starter GWD'!I155</f>
        <v>16.887819</v>
      </c>
      <c r="K146" s="16">
        <f>J146*($L$2-1)</f>
        <v>0</v>
      </c>
      <c r="L146" s="16">
        <f>SUM(I146:K146)</f>
        <v>4436.7262700000001</v>
      </c>
    </row>
    <row r="147" spans="1:12" ht="12.75">
      <c r="A147" s="14">
        <v>145</v>
      </c>
      <c r="B147" s="15" t="s">
        <v>212</v>
      </c>
      <c r="C147" s="15" t="str">
        <f>'[1]Water Meter'!A3</f>
        <v>Providing and fixing Water meter for Rigid PVC pipes, including jointing with PVC solvent cement-15 mm water meter</v>
      </c>
      <c r="D147" s="15" t="str">
        <f>CONCATENATE(C147," (Code: ",B147,")")</f>
        <v>Providing and fixing Water meter for Rigid PVC pipes, including jointing with PVC solvent cement-15 mm water meter (Code: GWDDR145)</v>
      </c>
      <c r="E147" s="14" t="s">
        <v>17</v>
      </c>
      <c r="F147" s="16" t="s">
        <v>18</v>
      </c>
      <c r="G147" s="16" t="s">
        <v>19</v>
      </c>
      <c r="H147" s="16" t="s">
        <v>213</v>
      </c>
      <c r="I147" s="21">
        <f>'[1]Water Meter'!H26</f>
        <v>1016.3125</v>
      </c>
      <c r="J147" s="21">
        <f>'[1]Water Meter'!I26</f>
        <v>47.6716768</v>
      </c>
      <c r="K147" s="16">
        <f>J147*($L$2-1)</f>
        <v>0</v>
      </c>
      <c r="L147" s="16">
        <f>SUM(I147:K147)</f>
        <v>1063.984177</v>
      </c>
    </row>
    <row r="148" spans="1:12" ht="12.75">
      <c r="A148" s="14">
        <v>146</v>
      </c>
      <c r="B148" s="15" t="s">
        <v>214</v>
      </c>
      <c r="C148" s="15" t="str">
        <f>'[1]Water Meter'!A29</f>
        <v>Providing and fixing Water meter for Rigid PVC pipes, including jointing with PVC solvent cement-20 mm water meter</v>
      </c>
      <c r="D148" s="15" t="str">
        <f>CONCATENATE(C148," (Code: ",B148,")")</f>
        <v>Providing and fixing Water meter for Rigid PVC pipes, including jointing with PVC solvent cement-20 mm water meter (Code: GWDDR146)</v>
      </c>
      <c r="E148" s="14" t="s">
        <v>17</v>
      </c>
      <c r="F148" s="16" t="s">
        <v>18</v>
      </c>
      <c r="G148" s="16" t="s">
        <v>19</v>
      </c>
      <c r="H148" s="16" t="s">
        <v>213</v>
      </c>
      <c r="I148" s="21">
        <f>'[1]Water Meter'!H52</f>
        <v>1426.3219999999999</v>
      </c>
      <c r="J148" s="21">
        <f>'[1]Water Meter'!I52</f>
        <v>47.6716768</v>
      </c>
      <c r="K148" s="16">
        <f>J148*($L$2-1)</f>
        <v>0</v>
      </c>
      <c r="L148" s="16">
        <f>SUM(I148:K148)</f>
        <v>1473.9936769999999</v>
      </c>
    </row>
    <row r="149" spans="1:12" ht="12.75">
      <c r="A149" s="14">
        <v>147</v>
      </c>
      <c r="B149" s="15" t="s">
        <v>215</v>
      </c>
      <c r="C149" s="15" t="str">
        <f>'[1]PVC on Wall PRICE'!A3</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v>
      </c>
      <c r="D149" s="15" t="str">
        <f>CONCATENATE(C149," (Code: ",B149,")")</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v>
      </c>
      <c r="E149" s="14" t="s">
        <v>28</v>
      </c>
      <c r="F149" s="16" t="s">
        <v>18</v>
      </c>
      <c r="G149" s="16" t="s">
        <v>19</v>
      </c>
      <c r="H149" s="16" t="s">
        <v>216</v>
      </c>
      <c r="I149" s="21">
        <f>'[1]PVC on Wall PRICE'!H31</f>
        <v>50.757550000000002</v>
      </c>
      <c r="J149" s="21">
        <f>'[1]PVC on Wall PRICE'!I31</f>
        <v>148.1711147</v>
      </c>
      <c r="K149" s="16">
        <f>J149*($L$2-1)</f>
        <v>0</v>
      </c>
      <c r="L149" s="16">
        <f>SUM(I149:K149)</f>
        <v>198.92866470000001</v>
      </c>
    </row>
    <row r="150" spans="1:12" ht="12.75">
      <c r="A150" s="14">
        <v>148</v>
      </c>
      <c r="B150" s="15" t="s">
        <v>217</v>
      </c>
      <c r="C150" s="15" t="str">
        <f>'[1]PVC on Wall PRICE'!A34</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v>
      </c>
      <c r="D150" s="15" t="str">
        <f>CONCATENATE(C150," (Code: ",B150,")")</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v>
      </c>
      <c r="E150" s="14" t="s">
        <v>28</v>
      </c>
      <c r="F150" s="16" t="s">
        <v>18</v>
      </c>
      <c r="G150" s="16" t="s">
        <v>19</v>
      </c>
      <c r="H150" s="16" t="s">
        <v>216</v>
      </c>
      <c r="I150" s="21">
        <f>'[1]PVC on Wall PRICE'!H62</f>
        <v>36.064574999999998</v>
      </c>
      <c r="J150" s="21">
        <f>'[1]PVC on Wall PRICE'!I62</f>
        <v>148.1711147</v>
      </c>
      <c r="K150" s="16">
        <f>J150*($L$2-1)</f>
        <v>0</v>
      </c>
      <c r="L150" s="16">
        <f>SUM(I150:K150)</f>
        <v>184.23568969999999</v>
      </c>
    </row>
    <row r="151" spans="1:12" ht="12.75">
      <c r="A151" s="14">
        <v>149</v>
      </c>
      <c r="B151" s="15" t="s">
        <v>218</v>
      </c>
      <c r="C151" s="15" t="str">
        <f>'[1]PVC on Wall PRICE'!A65</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v>
      </c>
      <c r="D151" s="15" t="str">
        <f>CONCATENATE(C151," (Code: ",B151,")")</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v>
      </c>
      <c r="E151" s="14" t="s">
        <v>28</v>
      </c>
      <c r="F151" s="16" t="s">
        <v>18</v>
      </c>
      <c r="G151" s="16" t="s">
        <v>19</v>
      </c>
      <c r="H151" s="16" t="s">
        <v>216</v>
      </c>
      <c r="I151" s="21">
        <f>'[1]PVC on Wall PRICE'!H93</f>
        <v>54.0968625</v>
      </c>
      <c r="J151" s="21">
        <f>'[1]PVC on Wall PRICE'!I93</f>
        <v>161.44009070000001</v>
      </c>
      <c r="K151" s="16">
        <f>J151*($L$2-1)</f>
        <v>0</v>
      </c>
      <c r="L151" s="16">
        <f>SUM(I151:K151)</f>
        <v>215.5369532</v>
      </c>
    </row>
    <row r="152" spans="1:12" ht="12.75">
      <c r="A152" s="14">
        <v>150</v>
      </c>
      <c r="B152" s="15" t="s">
        <v>219</v>
      </c>
      <c r="C152" s="15" t="str">
        <f>'[1]PVC on Wall PRICE'!A96</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v>
      </c>
      <c r="D152" s="15" t="str">
        <f>CONCATENATE(C152," (Code: ",B152,")")</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v>
      </c>
      <c r="E152" s="14" t="s">
        <v>28</v>
      </c>
      <c r="F152" s="16" t="s">
        <v>18</v>
      </c>
      <c r="G152" s="16" t="s">
        <v>19</v>
      </c>
      <c r="H152" s="16" t="s">
        <v>216</v>
      </c>
      <c r="I152" s="21">
        <f>'[1]PVC on Wall PRICE'!H124</f>
        <v>40.071750000000002</v>
      </c>
      <c r="J152" s="21">
        <f>'[1]PVC on Wall PRICE'!I124</f>
        <v>161.44009070000001</v>
      </c>
      <c r="K152" s="16">
        <f>J152*($L$2-1)</f>
        <v>0</v>
      </c>
      <c r="L152" s="16">
        <f>SUM(I152:K152)</f>
        <v>201.51184069999999</v>
      </c>
    </row>
    <row r="153" spans="1:12" ht="12.75">
      <c r="A153" s="14">
        <v>151</v>
      </c>
      <c r="B153" s="15" t="s">
        <v>220</v>
      </c>
      <c r="C153" s="15" t="str">
        <f>'[1]PVC on Wall PRICE'!A127</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v>
      </c>
      <c r="D153" s="15" t="str">
        <f>CONCATENATE(C153," (Code: ",B153,")")</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v>
      </c>
      <c r="E153" s="14" t="s">
        <v>28</v>
      </c>
      <c r="F153" s="16" t="s">
        <v>18</v>
      </c>
      <c r="G153" s="16" t="s">
        <v>19</v>
      </c>
      <c r="H153" s="16" t="s">
        <v>216</v>
      </c>
      <c r="I153" s="21">
        <f>'[1]PVC on Wall PRICE'!H155</f>
        <v>81.479225</v>
      </c>
      <c r="J153" s="21">
        <f>'[1]PVC on Wall PRICE'!I155</f>
        <v>161.44009070000001</v>
      </c>
      <c r="K153" s="16">
        <f>J153*($L$2-1)</f>
        <v>0</v>
      </c>
      <c r="L153" s="16">
        <f>SUM(I153:K153)</f>
        <v>242.9193157</v>
      </c>
    </row>
    <row r="154" spans="1:12" ht="12.75">
      <c r="A154" s="14">
        <v>152</v>
      </c>
      <c r="B154" s="15" t="s">
        <v>221</v>
      </c>
      <c r="C154" s="15" t="str">
        <f>'[1]PVC on Wall PRICE'!A158</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v>
      </c>
      <c r="D154" s="15" t="str">
        <f>CONCATENATE(C154," (Code: ",B154,")")</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v>
      </c>
      <c r="E154" s="14" t="s">
        <v>28</v>
      </c>
      <c r="F154" s="16" t="s">
        <v>18</v>
      </c>
      <c r="G154" s="16" t="s">
        <v>19</v>
      </c>
      <c r="H154" s="16" t="s">
        <v>216</v>
      </c>
      <c r="I154" s="21">
        <f>'[1]PVC on Wall PRICE'!H186</f>
        <v>64.114800000000002</v>
      </c>
      <c r="J154" s="21">
        <f>'[1]PVC on Wall PRICE'!I186</f>
        <v>161.44009070000001</v>
      </c>
      <c r="K154" s="16">
        <f>J154*($L$2-1)</f>
        <v>0</v>
      </c>
      <c r="L154" s="16">
        <f>SUM(I154:K154)</f>
        <v>225.55489069999999</v>
      </c>
    </row>
    <row r="155" spans="1:12" ht="12.75">
      <c r="A155" s="14">
        <v>153</v>
      </c>
      <c r="B155" s="15" t="s">
        <v>222</v>
      </c>
      <c r="C155" s="15" t="str">
        <f>'[1]PVC on Wall PRICE'!A189</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v>
      </c>
      <c r="D155" s="15" t="str">
        <f>CONCATENATE(C155," (Code: ",B155,")")</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v>
      </c>
      <c r="E155" s="14" t="s">
        <v>28</v>
      </c>
      <c r="F155" s="16" t="s">
        <v>18</v>
      </c>
      <c r="G155" s="16" t="s">
        <v>19</v>
      </c>
      <c r="H155" s="16" t="s">
        <v>216</v>
      </c>
      <c r="I155" s="21">
        <f>'[1]PVC on Wall PRICE'!H217</f>
        <v>86.822125</v>
      </c>
      <c r="J155" s="21">
        <f>'[1]PVC on Wall PRICE'!I217</f>
        <v>185.76557109999999</v>
      </c>
      <c r="K155" s="16">
        <f>J155*($L$2-1)</f>
        <v>0</v>
      </c>
      <c r="L155" s="16">
        <f>SUM(I155:K155)</f>
        <v>272.58769610000002</v>
      </c>
    </row>
    <row r="156" spans="1:12" ht="12.75">
      <c r="A156" s="14">
        <v>154</v>
      </c>
      <c r="B156" s="15" t="s">
        <v>223</v>
      </c>
      <c r="C156" s="15" t="str">
        <f>'[1]PVC on Wall PRICE'!A220</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v>
      </c>
      <c r="D156" s="15" t="str">
        <f>CONCATENATE(C156," (Code: ",B156,")")</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v>
      </c>
      <c r="E156" s="14" t="s">
        <v>28</v>
      </c>
      <c r="F156" s="16" t="s">
        <v>18</v>
      </c>
      <c r="G156" s="16" t="s">
        <v>19</v>
      </c>
      <c r="H156" s="16" t="s">
        <v>216</v>
      </c>
      <c r="I156" s="21">
        <f>'[1]PVC on Wall PRICE'!H248</f>
        <v>112.2009</v>
      </c>
      <c r="J156" s="21">
        <f>'[1]PVC on Wall PRICE'!I248</f>
        <v>238.14346</v>
      </c>
      <c r="K156" s="16">
        <f>J156*($L$2-1)</f>
        <v>0</v>
      </c>
      <c r="L156" s="16">
        <f>SUM(I156:K156)</f>
        <v>350.34435999999999</v>
      </c>
    </row>
    <row r="157" spans="1:12" ht="12.75">
      <c r="A157" s="14">
        <v>155</v>
      </c>
      <c r="B157" s="15" t="s">
        <v>224</v>
      </c>
      <c r="C157" s="15" t="str">
        <f>'[1]PVC on Wall PRICE'!A251</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v>
      </c>
      <c r="D157" s="15" t="str">
        <f>CONCATENATE(C157," (Code: ",B157,")")</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v>
      </c>
      <c r="E157" s="14" t="s">
        <v>28</v>
      </c>
      <c r="F157" s="16" t="s">
        <v>18</v>
      </c>
      <c r="G157" s="16" t="s">
        <v>19</v>
      </c>
      <c r="H157" s="16" t="s">
        <v>216</v>
      </c>
      <c r="I157" s="21">
        <f>'[1]PVC on Wall PRICE'!H279</f>
        <v>70.793424999999999</v>
      </c>
      <c r="J157" s="21">
        <f>'[1]PVC on Wall PRICE'!I279</f>
        <v>238.14346</v>
      </c>
      <c r="K157" s="16">
        <f>J157*($L$2-1)</f>
        <v>0</v>
      </c>
      <c r="L157" s="16">
        <f>SUM(I157:K157)</f>
        <v>308.93688500000002</v>
      </c>
    </row>
    <row r="158" spans="1:12" ht="12.75">
      <c r="A158" s="14">
        <v>156</v>
      </c>
      <c r="B158" s="15" t="s">
        <v>225</v>
      </c>
      <c r="C158" s="15" t="str">
        <f>'[1]PVC on Wall PRICE'!A282</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v>
      </c>
      <c r="D158" s="15" t="str">
        <f>CONCATENATE(C158," (Code: ",B158,")")</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 (Code: GWDDR156)</v>
      </c>
      <c r="E158" s="14" t="s">
        <v>28</v>
      </c>
      <c r="F158" s="16" t="s">
        <v>18</v>
      </c>
      <c r="G158" s="16" t="s">
        <v>19</v>
      </c>
      <c r="H158" s="16" t="s">
        <v>216</v>
      </c>
      <c r="I158" s="21">
        <f>'[1]PVC on Wall PRICE'!H310</f>
        <v>120.21525</v>
      </c>
      <c r="J158" s="21">
        <f>'[1]PVC on Wall PRICE'!I310</f>
        <v>238.14346</v>
      </c>
      <c r="K158" s="16">
        <f>J158*($L$2-1)</f>
        <v>0</v>
      </c>
      <c r="L158" s="16">
        <f>SUM(I158:K158)</f>
        <v>358.35870999999997</v>
      </c>
    </row>
    <row r="159" spans="1:12" ht="12.75">
      <c r="A159" s="14">
        <v>157</v>
      </c>
      <c r="B159" s="15" t="s">
        <v>226</v>
      </c>
      <c r="C159" s="15" t="str">
        <f>'[1]PVC on Wall PRICE'!A313</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v>
      </c>
      <c r="D159" s="15" t="str">
        <f>CONCATENATE(C159," (Code: ",B159,")")</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v>
      </c>
      <c r="E159" s="14" t="s">
        <v>28</v>
      </c>
      <c r="F159" s="16" t="s">
        <v>18</v>
      </c>
      <c r="G159" s="16" t="s">
        <v>19</v>
      </c>
      <c r="H159" s="16" t="s">
        <v>216</v>
      </c>
      <c r="I159" s="21">
        <f>'[1]PVC on Wall PRICE'!H341</f>
        <v>80.143500000000003</v>
      </c>
      <c r="J159" s="21">
        <f>'[1]PVC on Wall PRICE'!I341</f>
        <v>238.14346</v>
      </c>
      <c r="K159" s="16">
        <f>J159*($L$2-1)</f>
        <v>0</v>
      </c>
      <c r="L159" s="16">
        <f>SUM(I159:K159)</f>
        <v>318.28696000000002</v>
      </c>
    </row>
    <row r="160" spans="1:12" ht="12.75">
      <c r="A160" s="14">
        <v>158</v>
      </c>
      <c r="B160" s="15" t="s">
        <v>227</v>
      </c>
      <c r="C160" s="15" t="str">
        <f>'[1]PVC on Wall PRICE'!A344</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v>
      </c>
      <c r="D160" s="15" t="str">
        <f>CONCATENATE(C160," (Code: ",B160,")")</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v>
      </c>
      <c r="E160" s="14" t="s">
        <v>28</v>
      </c>
      <c r="F160" s="16" t="s">
        <v>18</v>
      </c>
      <c r="G160" s="16" t="s">
        <v>19</v>
      </c>
      <c r="H160" s="16" t="s">
        <v>216</v>
      </c>
      <c r="I160" s="21">
        <f>'[1]PVC on Wall PRICE'!H374</f>
        <v>50.757550000000002</v>
      </c>
      <c r="J160" s="21">
        <f>'[1]PVC on Wall PRICE'!I374</f>
        <v>155.79956799999999</v>
      </c>
      <c r="K160" s="16">
        <f>J160*($L$2-1)</f>
        <v>0</v>
      </c>
      <c r="L160" s="16">
        <f>SUM(I160:K160)</f>
        <v>206.557118</v>
      </c>
    </row>
    <row r="161" spans="1:12" ht="12.75">
      <c r="A161" s="14">
        <v>159</v>
      </c>
      <c r="B161" s="15" t="s">
        <v>228</v>
      </c>
      <c r="C161" s="15" t="str">
        <f>'[1]PVC on Wall PRICE'!A377</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v>
      </c>
      <c r="D161" s="15" t="str">
        <f>CONCATENATE(C161," (Code: ",B161,")")</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v>
      </c>
      <c r="E161" s="14" t="s">
        <v>28</v>
      </c>
      <c r="F161" s="16" t="s">
        <v>18</v>
      </c>
      <c r="G161" s="16" t="s">
        <v>19</v>
      </c>
      <c r="H161" s="16" t="s">
        <v>216</v>
      </c>
      <c r="I161" s="21">
        <f>'[1]PVC on Wall PRICE'!H407</f>
        <v>36.064574999999998</v>
      </c>
      <c r="J161" s="21">
        <f>'[1]PVC on Wall PRICE'!I407</f>
        <v>155.79956799999999</v>
      </c>
      <c r="K161" s="16">
        <f>J161*($L$2-1)</f>
        <v>0</v>
      </c>
      <c r="L161" s="16">
        <f>SUM(I161:K161)</f>
        <v>191.86414300000001</v>
      </c>
    </row>
    <row r="162" spans="1:12" ht="12.75">
      <c r="A162" s="14">
        <v>160</v>
      </c>
      <c r="B162" s="15" t="s">
        <v>229</v>
      </c>
      <c r="C162" s="15" t="str">
        <f>'[1]PVC on Wall PRICE'!A410</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v>
      </c>
      <c r="D162" s="15" t="str">
        <f>CONCATENATE(C162," (Code: ",B162,")")</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v>
      </c>
      <c r="E162" s="14" t="s">
        <v>28</v>
      </c>
      <c r="F162" s="16" t="s">
        <v>18</v>
      </c>
      <c r="G162" s="16" t="s">
        <v>19</v>
      </c>
      <c r="H162" s="16" t="s">
        <v>216</v>
      </c>
      <c r="I162" s="21">
        <f>'[1]PVC on Wall PRICE'!H440</f>
        <v>54.0968625</v>
      </c>
      <c r="J162" s="21">
        <f>'[1]PVC on Wall PRICE'!I440</f>
        <v>169.068544</v>
      </c>
      <c r="K162" s="16">
        <f>J162*($L$2-1)</f>
        <v>0</v>
      </c>
      <c r="L162" s="16">
        <f>SUM(I162:K162)</f>
        <v>223.16540649999999</v>
      </c>
    </row>
    <row r="163" spans="1:12" ht="12.75">
      <c r="A163" s="14">
        <v>161</v>
      </c>
      <c r="B163" s="15" t="s">
        <v>230</v>
      </c>
      <c r="C163" s="15" t="str">
        <f>'[1]PVC on Wall PRICE'!A443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v>
      </c>
      <c r="D163" s="15" t="str">
        <f>CONCATENATE(C163," (Code: ",B163,")")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v>
      </c>
      <c r="E163" s="14" t="s">
        <v>28</v>
      </c>
      <c r="F163" s="16" t="s">
        <v>18</v>
      </c>
      <c r="G163" s="16" t="s">
        <v>19</v>
      </c>
      <c r="H163" s="16" t="s">
        <v>216</v>
      </c>
      <c r="I163" s="21">
        <f>'[1]PVC on Wall PRICE'!H473</f>
        <v>40.071750000000002</v>
      </c>
      <c r="J163" s="21">
        <f>'[1]PVC on Wall PRICE'!I473</f>
        <v>169.068544</v>
      </c>
      <c r="K163" s="16">
        <f>J163*($L$2-1)</f>
        <v>0</v>
      </c>
      <c r="L163" s="16">
        <f>SUM(I163:K163)</f>
        <v>209.14029400000001</v>
      </c>
    </row>
    <row r="164" spans="1:12" ht="12.75">
      <c r="A164" s="14">
        <v>162</v>
      </c>
      <c r="B164" s="15" t="s">
        <v>231</v>
      </c>
      <c r="C164" s="15" t="str">
        <f>'[1]PVC on Wall PRICE'!A476</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v>
      </c>
      <c r="D164" s="15" t="str">
        <f>CONCATENATE(C164," (Code: ",B164,")")</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v>
      </c>
      <c r="E164" s="14" t="s">
        <v>28</v>
      </c>
      <c r="F164" s="16" t="s">
        <v>18</v>
      </c>
      <c r="G164" s="16" t="s">
        <v>19</v>
      </c>
      <c r="H164" s="16" t="s">
        <v>216</v>
      </c>
      <c r="I164" s="21">
        <f>'[1]PVC on Wall PRICE'!H506</f>
        <v>81.479225</v>
      </c>
      <c r="J164" s="21">
        <f>'[1]PVC on Wall PRICE'!I506</f>
        <v>169.068544</v>
      </c>
      <c r="K164" s="16">
        <f>J164*($L$2-1)</f>
        <v>0</v>
      </c>
      <c r="L164" s="16">
        <f>SUM(I164:K164)</f>
        <v>250.54776899999999</v>
      </c>
    </row>
    <row r="165" spans="1:12" ht="12.75">
      <c r="A165" s="14">
        <v>163</v>
      </c>
      <c r="B165" s="15" t="s">
        <v>232</v>
      </c>
      <c r="C165" s="15" t="str">
        <f>'[1]PVC on Wall PRICE'!A509</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v>
      </c>
      <c r="D165" s="15" t="str">
        <f>CONCATENATE(C165," (Code: ",B165,")")</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v>
      </c>
      <c r="E165" s="14" t="s">
        <v>28</v>
      </c>
      <c r="F165" s="16" t="s">
        <v>18</v>
      </c>
      <c r="G165" s="16" t="s">
        <v>19</v>
      </c>
      <c r="H165" s="16" t="s">
        <v>216</v>
      </c>
      <c r="I165" s="21">
        <f>'[1]PVC on Wall PRICE'!H539</f>
        <v>64.114800000000002</v>
      </c>
      <c r="J165" s="21">
        <f>'[1]PVC on Wall PRICE'!I539</f>
        <v>169.068544</v>
      </c>
      <c r="K165" s="16">
        <f>J165*($L$2-1)</f>
        <v>0</v>
      </c>
      <c r="L165" s="16">
        <f>SUM(I165:K165)</f>
        <v>233.18334400000001</v>
      </c>
    </row>
    <row r="166" spans="1:12" ht="12.75">
      <c r="A166" s="14">
        <v>164</v>
      </c>
      <c r="B166" s="15" t="s">
        <v>233</v>
      </c>
      <c r="C166" s="15" t="str">
        <f>'[1]PVC on Wall PRICE'!A542</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v>
      </c>
      <c r="D166" s="15" t="str">
        <f>CONCATENATE(C166," (Code: ",B166,")")</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v>
      </c>
      <c r="E166" s="14" t="s">
        <v>28</v>
      </c>
      <c r="F166" s="16" t="s">
        <v>18</v>
      </c>
      <c r="G166" s="16" t="s">
        <v>19</v>
      </c>
      <c r="H166" s="16" t="s">
        <v>216</v>
      </c>
      <c r="I166" s="21">
        <f>'[1]PVC on Wall PRICE'!H572</f>
        <v>86.822125</v>
      </c>
      <c r="J166" s="21">
        <f>'[1]PVC on Wall PRICE'!I572</f>
        <v>193.39402430000001</v>
      </c>
      <c r="K166" s="16">
        <f>J166*($L$2-1)</f>
        <v>0</v>
      </c>
      <c r="L166" s="16">
        <f>SUM(I166:K166)</f>
        <v>280.21614929999998</v>
      </c>
    </row>
    <row r="167" spans="1:12" ht="12.75">
      <c r="A167" s="14">
        <v>165</v>
      </c>
      <c r="B167" s="15" t="s">
        <v>234</v>
      </c>
      <c r="C167" s="15" t="str">
        <f>'[1]PVC on Wall PRICE'!A575</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v>
      </c>
      <c r="D167" s="15" t="str">
        <f>CONCATENATE(C167," (Code: ",B167,")")</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v>
      </c>
      <c r="E167" s="14" t="s">
        <v>28</v>
      </c>
      <c r="F167" s="16" t="s">
        <v>18</v>
      </c>
      <c r="G167" s="16" t="s">
        <v>19</v>
      </c>
      <c r="H167" s="16" t="s">
        <v>216</v>
      </c>
      <c r="I167" s="21">
        <f>'[1]PVC on Wall PRICE'!H605</f>
        <v>69.457700000000003</v>
      </c>
      <c r="J167" s="21">
        <f>'[1]PVC on Wall PRICE'!I605</f>
        <v>193.39402430000001</v>
      </c>
      <c r="K167" s="16">
        <f>J167*($L$2-1)</f>
        <v>0</v>
      </c>
      <c r="L167" s="16">
        <f>SUM(I167:K167)</f>
        <v>262.8517243</v>
      </c>
    </row>
    <row r="168" spans="1:12" ht="12.75">
      <c r="A168" s="14">
        <v>166</v>
      </c>
      <c r="B168" s="15" t="s">
        <v>235</v>
      </c>
      <c r="C168" s="15" t="str">
        <f>'[1]PVC on Wall PRICE'!A608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v>
      </c>
      <c r="D168" s="15" t="str">
        <f>CONCATENATE(C168," (Code: ",B168,")")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v>
      </c>
      <c r="E168" s="14" t="s">
        <v>28</v>
      </c>
      <c r="F168" s="16" t="s">
        <v>18</v>
      </c>
      <c r="G168" s="16" t="s">
        <v>19</v>
      </c>
      <c r="H168" s="16" t="s">
        <v>216</v>
      </c>
      <c r="I168" s="21">
        <f>'[1]PVC on Wall PRICE'!H638</f>
        <v>112.2009</v>
      </c>
      <c r="J168" s="21">
        <f>'[1]PVC on Wall PRICE'!I638</f>
        <v>245.77191329999999</v>
      </c>
      <c r="K168" s="16">
        <f>J168*($L$2-1)</f>
        <v>0</v>
      </c>
      <c r="L168" s="16">
        <f>SUM(I168:K168)</f>
        <v>357.97281329999998</v>
      </c>
    </row>
    <row r="169" spans="1:12" ht="12.75">
      <c r="A169" s="14">
        <v>167</v>
      </c>
      <c r="B169" s="15" t="s">
        <v>236</v>
      </c>
      <c r="C169" s="15" t="str">
        <f>'[1]PVC on Wall PRICE'!A641</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v>
      </c>
      <c r="D169" s="15" t="str">
        <f>CONCATENATE(C169," (Code: ",B169,")")</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v>
      </c>
      <c r="E169" s="14" t="s">
        <v>28</v>
      </c>
      <c r="F169" s="16" t="s">
        <v>18</v>
      </c>
      <c r="G169" s="16" t="s">
        <v>19</v>
      </c>
      <c r="H169" s="16" t="s">
        <v>216</v>
      </c>
      <c r="I169" s="21">
        <f>'[1]PVC on Wall PRICE'!H671</f>
        <v>70.793424999999999</v>
      </c>
      <c r="J169" s="21">
        <f>'[1]PVC on Wall PRICE'!I671</f>
        <v>245.77191329999999</v>
      </c>
      <c r="K169" s="16">
        <f>J169*($L$2-1)</f>
        <v>0</v>
      </c>
      <c r="L169" s="16">
        <f>SUM(I169:K169)</f>
        <v>316.56533830000001</v>
      </c>
    </row>
    <row r="170" spans="1:12" ht="12.75">
      <c r="A170" s="14">
        <v>168</v>
      </c>
      <c r="B170" s="15" t="s">
        <v>237</v>
      </c>
      <c r="C170" s="15" t="str">
        <f>'[1]PVC on Wall PRICE'!A674</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v>
      </c>
      <c r="D170" s="15" t="str">
        <f>CONCATENATE(C170," (Code: ",B170,")")</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v>
      </c>
      <c r="E170" s="14" t="s">
        <v>28</v>
      </c>
      <c r="F170" s="16" t="s">
        <v>18</v>
      </c>
      <c r="G170" s="16" t="s">
        <v>19</v>
      </c>
      <c r="H170" s="16" t="s">
        <v>216</v>
      </c>
      <c r="I170" s="21">
        <f>'[1]PVC on Wall PRICE'!H704</f>
        <v>120.21525</v>
      </c>
      <c r="J170" s="21">
        <f>'[1]PVC on Wall PRICE'!I704</f>
        <v>245.77191329999999</v>
      </c>
      <c r="K170" s="16">
        <f>J170*($L$2-1)</f>
        <v>0</v>
      </c>
      <c r="L170" s="16">
        <f>SUM(I170:K170)</f>
        <v>365.98716330000002</v>
      </c>
    </row>
    <row r="171" spans="1:12" ht="12.75">
      <c r="A171" s="14">
        <v>169</v>
      </c>
      <c r="B171" s="15" t="s">
        <v>238</v>
      </c>
      <c r="C171" s="15" t="str">
        <f>'[1]PVC on Wall PRICE'!A707</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v>
      </c>
      <c r="D171" s="15" t="str">
        <f>CONCATENATE(C171," (Code: ",B171,")")</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v>
      </c>
      <c r="E171" s="14" t="s">
        <v>28</v>
      </c>
      <c r="F171" s="16" t="s">
        <v>18</v>
      </c>
      <c r="G171" s="16" t="s">
        <v>19</v>
      </c>
      <c r="H171" s="16" t="s">
        <v>216</v>
      </c>
      <c r="I171" s="21">
        <f>'[1]PVC on Wall PRICE'!H737</f>
        <v>80.143500000000003</v>
      </c>
      <c r="J171" s="21">
        <f>'[1]PVC on Wall PRICE'!I737</f>
        <v>245.77191329999999</v>
      </c>
      <c r="K171" s="16">
        <f>J171*($L$2-1)</f>
        <v>0</v>
      </c>
      <c r="L171" s="16">
        <f>SUM(I171:K171)</f>
        <v>325.91541330000001</v>
      </c>
    </row>
    <row r="172" spans="1:12" ht="12.75">
      <c r="A172" s="14">
        <v>170</v>
      </c>
      <c r="B172" s="15" t="s">
        <v>239</v>
      </c>
      <c r="C172" s="15" t="str">
        <f>'[1]PVC on Wall PRICE'!A740</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v>
      </c>
      <c r="D172" s="15" t="str">
        <f>CONCATENATE(C172," (Code: ",B172,")")</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v>
      </c>
      <c r="E172" s="14" t="s">
        <v>28</v>
      </c>
      <c r="F172" s="16" t="s">
        <v>18</v>
      </c>
      <c r="G172" s="16" t="s">
        <v>19</v>
      </c>
      <c r="H172" s="16" t="s">
        <v>216</v>
      </c>
      <c r="I172" s="21">
        <f>'[1]PVC on Wall PRICE'!H772</f>
        <v>143.90985000000001</v>
      </c>
      <c r="J172" s="21">
        <f>'[1]PVC on Wall PRICE'!I772</f>
        <v>102.0741996</v>
      </c>
      <c r="K172" s="16">
        <f>J172*($L$2-1)</f>
        <v>0</v>
      </c>
      <c r="L172" s="16">
        <f>SUM(I172:K172)</f>
        <v>245.98404959999999</v>
      </c>
    </row>
    <row r="173" spans="1:12" ht="12.75">
      <c r="A173" s="14">
        <v>171</v>
      </c>
      <c r="B173" s="15" t="s">
        <v>240</v>
      </c>
      <c r="C173" s="15" t="str">
        <f>'[1]PVC on Wall PRICE'!A775</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v>
      </c>
      <c r="D173" s="15" t="str">
        <f>CONCATENATE(C173," (Code: ",B173,")")</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v>
      </c>
      <c r="E173" s="14" t="s">
        <v>28</v>
      </c>
      <c r="F173" s="16" t="s">
        <v>18</v>
      </c>
      <c r="G173" s="16" t="s">
        <v>19</v>
      </c>
      <c r="H173" s="16" t="s">
        <v>216</v>
      </c>
      <c r="I173" s="21">
        <f>'[1]PVC on Wall PRICE'!H807</f>
        <v>101.22472500000001</v>
      </c>
      <c r="J173" s="21">
        <f>'[1]PVC on Wall PRICE'!I807</f>
        <v>102.0741996</v>
      </c>
      <c r="K173" s="16">
        <f>J173*($L$2-1)</f>
        <v>0</v>
      </c>
      <c r="L173" s="16">
        <f>SUM(I173:K173)</f>
        <v>203.29892459999999</v>
      </c>
    </row>
    <row r="174" spans="1:12" ht="12.75">
      <c r="A174" s="14">
        <v>172</v>
      </c>
      <c r="B174" s="15" t="s">
        <v>241</v>
      </c>
      <c r="C174" s="15" t="str">
        <f>'[1]PVC on Wall PRICE'!A810</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v>
      </c>
      <c r="D174" s="15" t="str">
        <f>CONCATENATE(C174," (Code: ",B174,")")</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v>
      </c>
      <c r="E174" s="14" t="s">
        <v>28</v>
      </c>
      <c r="F174" s="16" t="s">
        <v>18</v>
      </c>
      <c r="G174" s="16" t="s">
        <v>19</v>
      </c>
      <c r="H174" s="16" t="s">
        <v>216</v>
      </c>
      <c r="I174" s="21">
        <f>'[1]PVC on Wall PRICE'!H842</f>
        <v>157.325175</v>
      </c>
      <c r="J174" s="21">
        <f>'[1]PVC on Wall PRICE'!I842</f>
        <v>102.0741996</v>
      </c>
      <c r="K174" s="16">
        <f>J174*($L$2-1)</f>
        <v>0</v>
      </c>
      <c r="L174" s="16">
        <f>SUM(I174:K174)</f>
        <v>259.39937459999999</v>
      </c>
    </row>
    <row r="175" spans="1:12" ht="12.75">
      <c r="A175" s="14">
        <v>173</v>
      </c>
      <c r="B175" s="15" t="s">
        <v>242</v>
      </c>
      <c r="C175" s="15" t="str">
        <f>'[1]PVC on Wall PRICE'!A845</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v>
      </c>
      <c r="D175" s="15" t="str">
        <f>CONCATENATE(C175," (Code: ",B175,")")</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 (Code: GWDDR173)</v>
      </c>
      <c r="E175" s="14" t="s">
        <v>28</v>
      </c>
      <c r="F175" s="16" t="s">
        <v>18</v>
      </c>
      <c r="G175" s="16" t="s">
        <v>19</v>
      </c>
      <c r="H175" s="16" t="s">
        <v>216</v>
      </c>
      <c r="I175" s="21">
        <f>'[1]PVC on Wall PRICE'!H877</f>
        <v>115.85962499999999</v>
      </c>
      <c r="J175" s="21">
        <f>'[1]PVC on Wall PRICE'!I877</f>
        <v>102.0741996</v>
      </c>
      <c r="K175" s="16">
        <f>J175*($L$2-1)</f>
        <v>0</v>
      </c>
      <c r="L175" s="16">
        <f>SUM(I175:K175)</f>
        <v>217.93382460000001</v>
      </c>
    </row>
    <row r="176" spans="1:12" ht="12.75">
      <c r="A176" s="14">
        <v>174</v>
      </c>
      <c r="B176" s="15" t="s">
        <v>243</v>
      </c>
      <c r="C176" s="15" t="str">
        <f>'[1]PVC on Wall PRICE'!A880</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v>
      </c>
      <c r="D176" s="15" t="str">
        <f>CONCATENATE(C176," (Code: ",B176,")")</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v>
      </c>
      <c r="E176" s="14" t="s">
        <v>28</v>
      </c>
      <c r="F176" s="16" t="s">
        <v>18</v>
      </c>
      <c r="G176" s="16" t="s">
        <v>19</v>
      </c>
      <c r="H176" s="16" t="s">
        <v>216</v>
      </c>
      <c r="I176" s="21">
        <f>'[1]PVC on Wall PRICE'!H912</f>
        <v>257.33032500000002</v>
      </c>
      <c r="J176" s="21">
        <f>'[1]PVC on Wall PRICE'!I912</f>
        <v>102.0741996</v>
      </c>
      <c r="K176" s="16">
        <f>J176*($L$2-1)</f>
        <v>0</v>
      </c>
      <c r="L176" s="16">
        <f>SUM(I176:K176)</f>
        <v>359.4045246</v>
      </c>
    </row>
    <row r="177" spans="1:12" ht="12.75">
      <c r="A177" s="14">
        <v>175</v>
      </c>
      <c r="B177" s="15" t="s">
        <v>244</v>
      </c>
      <c r="C177" s="15" t="str">
        <f>'[1]PVC on Wall PRICE'!A915</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v>
      </c>
      <c r="D177" s="15" t="str">
        <f>CONCATENATE(C177," (Code: ",B177,")")</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v>
      </c>
      <c r="E177" s="14" t="s">
        <v>28</v>
      </c>
      <c r="F177" s="16" t="s">
        <v>18</v>
      </c>
      <c r="G177" s="16" t="s">
        <v>19</v>
      </c>
      <c r="H177" s="16" t="s">
        <v>216</v>
      </c>
      <c r="I177" s="21">
        <f>'[1]PVC on Wall PRICE'!H947</f>
        <v>207.32775000000001</v>
      </c>
      <c r="J177" s="21">
        <f>'[1]PVC on Wall PRICE'!I947</f>
        <v>102.0741996</v>
      </c>
      <c r="K177" s="16">
        <f>J177*($L$2-1)</f>
        <v>0</v>
      </c>
      <c r="L177" s="16">
        <f>SUM(I177:K177)</f>
        <v>309.40194960000002</v>
      </c>
    </row>
    <row r="178" spans="1:12" ht="12.75">
      <c r="A178" s="14">
        <v>176</v>
      </c>
      <c r="B178" s="15" t="s">
        <v>245</v>
      </c>
      <c r="C178" s="15" t="str">
        <f>'[1]GI on Wall PRICE'!B2</f>
        <v>Providing and fixing G.I. pipes complete with G.I. fittings and clamps, including cutting and making good the walls etc. Internal work- Exposed on wall 15 mm dia nominal bore (18.10.1)</v>
      </c>
      <c r="D178" s="15" t="str">
        <f>CONCATENATE(C178," (Code: ",B178,")")</f>
        <v>Providing and fixing G.I. pipes complete with G.I. fittings and clamps, including cutting and making good the walls etc. Internal work- Exposed on wall 15 mm dia nominal bore (18.10.1) (Code: GWDDR176)</v>
      </c>
      <c r="E178" s="14" t="s">
        <v>28</v>
      </c>
      <c r="F178" s="16" t="s">
        <v>18</v>
      </c>
      <c r="G178" s="16" t="s">
        <v>19</v>
      </c>
      <c r="H178" s="16" t="s">
        <v>246</v>
      </c>
      <c r="I178" s="14">
        <v>0</v>
      </c>
      <c r="J178" s="14">
        <f>'[1]GI on Wall PRICE'!C2</f>
        <v>264.02</v>
      </c>
      <c r="K178" s="16">
        <f>J178*($L$2-1)</f>
        <v>0</v>
      </c>
      <c r="L178" s="16">
        <f>SUM(I178:K178)</f>
        <v>264.02</v>
      </c>
    </row>
    <row r="179" spans="1:12" ht="12.75">
      <c r="A179" s="14">
        <v>177</v>
      </c>
      <c r="B179" s="15" t="s">
        <v>247</v>
      </c>
      <c r="C179" s="15" t="str">
        <f>'[1]GI on Wall PRICE'!B3</f>
        <v>Providing and fixing G.I. pipes complete with G.I. fittings and clamps, including cutting and making good the walls etc. Internal work- Exposed on wall 20 mm dia nominal bore (18.10.2)</v>
      </c>
      <c r="D179" s="15" t="str">
        <f>CONCATENATE(C179," (Code: ",B179,")")</f>
        <v>Providing and fixing G.I. pipes complete with G.I. fittings and clamps, including cutting and making good the walls etc. Internal work- Exposed on wall 20 mm dia nominal bore (18.10.2) (Code: GWDDR177)</v>
      </c>
      <c r="E179" s="14" t="s">
        <v>28</v>
      </c>
      <c r="F179" s="16" t="s">
        <v>18</v>
      </c>
      <c r="G179" s="16" t="s">
        <v>19</v>
      </c>
      <c r="H179" s="16" t="s">
        <v>246</v>
      </c>
      <c r="I179" s="14">
        <v>0</v>
      </c>
      <c r="J179" s="14">
        <f>'[1]GI on Wall PRICE'!C3</f>
        <v>324.12</v>
      </c>
      <c r="K179" s="16">
        <f>J179*($L$2-1)</f>
        <v>0</v>
      </c>
      <c r="L179" s="16">
        <f>SUM(I179:K179)</f>
        <v>324.12</v>
      </c>
    </row>
    <row r="180" spans="1:12" ht="12.75">
      <c r="A180" s="14">
        <v>178</v>
      </c>
      <c r="B180" s="15" t="s">
        <v>248</v>
      </c>
      <c r="C180" s="15" t="str">
        <f>'[1]GI on Wall PRICE'!B4</f>
        <v>Providing and fixing G.I. pipes complete with G.I. fittings and clamps, including cutting and making good the walls etc. Internal work- Exposed on wall 25 mm dia nominal bore (18.10.3)</v>
      </c>
      <c r="D180" s="15" t="str">
        <f>CONCATENATE(C180," (Code: ",B180,")")</f>
        <v>Providing and fixing G.I. pipes complete with G.I. fittings and clamps, including cutting and making good the walls etc. Internal work- Exposed on wall 25 mm dia nominal bore (18.10.3) (Code: GWDDR178)</v>
      </c>
      <c r="E180" s="14" t="s">
        <v>28</v>
      </c>
      <c r="F180" s="16" t="s">
        <v>18</v>
      </c>
      <c r="G180" s="16" t="s">
        <v>19</v>
      </c>
      <c r="H180" s="16" t="s">
        <v>246</v>
      </c>
      <c r="I180" s="14">
        <v>0</v>
      </c>
      <c r="J180" s="14">
        <f>'[1]GI on Wall PRICE'!C4</f>
        <v>426.41</v>
      </c>
      <c r="K180" s="16">
        <f>J180*($L$2-1)</f>
        <v>0</v>
      </c>
      <c r="L180" s="16">
        <f>SUM(I180:K180)</f>
        <v>426.41</v>
      </c>
    </row>
    <row r="181" spans="1:12" ht="12.75">
      <c r="A181" s="14">
        <v>179</v>
      </c>
      <c r="B181" s="15" t="s">
        <v>249</v>
      </c>
      <c r="C181" s="15" t="str">
        <f>'[1]GI on Wall PRICE'!B5</f>
        <v>Providing and fixing G.I. pipes complete with G.I. fittings and clamps, including cutting and making good the walls etc. Internal work- Exposed on wall 32 mm dia nominal bore (18.10.4)</v>
      </c>
      <c r="D181" s="15" t="str">
        <f>CONCATENATE(C181," (Code: ",B181,")")</f>
        <v>Providing and fixing G.I. pipes complete with G.I. fittings and clamps, including cutting and making good the walls etc. Internal work- Exposed on wall 32 mm dia nominal bore (18.10.4) (Code: GWDDR179)</v>
      </c>
      <c r="E181" s="14" t="s">
        <v>28</v>
      </c>
      <c r="F181" s="16" t="s">
        <v>18</v>
      </c>
      <c r="G181" s="16" t="s">
        <v>19</v>
      </c>
      <c r="H181" s="16" t="s">
        <v>246</v>
      </c>
      <c r="I181" s="14">
        <v>0</v>
      </c>
      <c r="J181" s="14">
        <f>'[1]GI on Wall PRICE'!C5</f>
        <v>489.26</v>
      </c>
      <c r="K181" s="16">
        <f>J181*($L$2-1)</f>
        <v>0</v>
      </c>
      <c r="L181" s="16">
        <f>SUM(I181:K181)</f>
        <v>489.26</v>
      </c>
    </row>
    <row r="182" spans="1:12" ht="12.75">
      <c r="A182" s="14">
        <v>180</v>
      </c>
      <c r="B182" s="15" t="s">
        <v>250</v>
      </c>
      <c r="C182" s="15" t="str">
        <f>'[1]GI on Wall PRICE'!B6</f>
        <v>Providing and fixing G.I. pipes complete with G.I. fittings and clamps, including cutting and making good the walls etc. Internal work- Exposed on wall 40 mm dia nominal bore (18.10.5)</v>
      </c>
      <c r="D182" s="15" t="str">
        <f>CONCATENATE(C182," (Code: ",B182,")")</f>
        <v>Providing and fixing G.I. pipes complete with G.I. fittings and clamps, including cutting and making good the walls etc. Internal work- Exposed on wall 40 mm dia nominal bore (18.10.5) (Code: GWDDR180)</v>
      </c>
      <c r="E182" s="14" t="s">
        <v>28</v>
      </c>
      <c r="F182" s="16" t="s">
        <v>18</v>
      </c>
      <c r="G182" s="16" t="s">
        <v>19</v>
      </c>
      <c r="H182" s="16" t="s">
        <v>246</v>
      </c>
      <c r="I182" s="14">
        <v>0</v>
      </c>
      <c r="J182" s="14">
        <f>'[1]GI on Wall PRICE'!C6</f>
        <v>629.54</v>
      </c>
      <c r="K182" s="16">
        <f>J182*($L$2-1)</f>
        <v>0</v>
      </c>
      <c r="L182" s="16">
        <f>SUM(I182:K182)</f>
        <v>629.54</v>
      </c>
    </row>
    <row r="183" spans="1:12" ht="12.75">
      <c r="A183" s="14">
        <v>181</v>
      </c>
      <c r="B183" s="15" t="s">
        <v>251</v>
      </c>
      <c r="C183" s="15" t="str">
        <f>'[1]GI on Wall PRICE'!B7</f>
        <v>Providing and fixing G.I. pipes complete with G.I. fittings and clamps, including cutting and making good the walls etc. Internal work- Exposed on wall 50 mm dia nominal bore (18.10.6)</v>
      </c>
      <c r="D183" s="15" t="str">
        <f>CONCATENATE(C183," (Code: ",B183,")")</f>
        <v>Providing and fixing G.I. pipes complete with G.I. fittings and clamps, including cutting and making good the walls etc. Internal work- Exposed on wall 50 mm dia nominal bore (18.10.6) (Code: GWDDR181)</v>
      </c>
      <c r="E183" s="14" t="s">
        <v>28</v>
      </c>
      <c r="F183" s="16" t="s">
        <v>18</v>
      </c>
      <c r="G183" s="16" t="s">
        <v>19</v>
      </c>
      <c r="H183" s="16" t="s">
        <v>246</v>
      </c>
      <c r="I183" s="14">
        <v>0</v>
      </c>
      <c r="J183" s="14">
        <f>'[1]GI on Wall PRICE'!C7</f>
        <v>775.43</v>
      </c>
      <c r="K183" s="16">
        <f>J183*($L$2-1)</f>
        <v>0</v>
      </c>
      <c r="L183" s="16">
        <f>SUM(I183:K183)</f>
        <v>775.43</v>
      </c>
    </row>
    <row r="184" spans="1:12" ht="12.75">
      <c r="A184" s="14">
        <v>182</v>
      </c>
      <c r="B184" s="15" t="s">
        <v>252</v>
      </c>
      <c r="C184" s="15" t="str">
        <f>'[1]PVC With Trench PRICE'!A3</f>
        <v>Providing and fixing PVC pipes including jointing of pipes with one step PVC solvent cement, trenching, refilling &amp; testing of joints complete as per direction of Engineer in Charge 15 mm dia 12kgf/cm2 (50.18.9.1.1)</v>
      </c>
      <c r="D184" s="15" t="str">
        <f>CONCATENATE(C184," (Code: ",B184,")")</f>
        <v>Providing and fixing PVC pipes including jointing of pipes with one step PVC solvent cement, trenching, refilling &amp; testing of joints complete as per direction of Engineer in Charge 15 mm dia 12kgf/cm2 (50.18.9.1.1) (Code: GWDDR182)</v>
      </c>
      <c r="E184" s="14" t="s">
        <v>28</v>
      </c>
      <c r="F184" s="16" t="s">
        <v>18</v>
      </c>
      <c r="G184" s="16" t="s">
        <v>19</v>
      </c>
      <c r="H184" s="16" t="s">
        <v>77</v>
      </c>
      <c r="I184" s="22">
        <f>'[1]PVC With Trench PRICE'!H30</f>
        <v>50.757550000000002</v>
      </c>
      <c r="J184" s="22">
        <f>'[1]PVC With Trench PRICE'!I30</f>
        <v>118.16171799999999</v>
      </c>
      <c r="K184" s="16">
        <f>J184*($L$2-1)</f>
        <v>0</v>
      </c>
      <c r="L184" s="16">
        <f>SUM(I184:K184)</f>
        <v>168.91926799999999</v>
      </c>
    </row>
    <row r="185" spans="1:12" ht="12.75">
      <c r="A185" s="14">
        <v>183</v>
      </c>
      <c r="B185" s="15" t="s">
        <v>253</v>
      </c>
      <c r="C185" s="15" t="str">
        <f>'[1]PVC With Trench PRICE'!A33</f>
        <v>Providing and fixing PVC pipes including jointing of pipes with one step PVC solvent cement, trenching, refilling &amp; testing of joints complete as per direction of Engineer in Charge. 15 mm dia 10Kgf/cm2 (50.18.9.1.2)</v>
      </c>
      <c r="D185" s="15" t="str">
        <f>CONCATENATE(C185," (Code: ",B185,")")</f>
        <v>Providing and fixing PVC pipes including jointing of pipes with one step PVC solvent cement, trenching, refilling &amp; testing of joints complete as per direction of Engineer in Charge. 15 mm dia 10Kgf/cm2 (50.18.9.1.2) (Code: GWDDR183)</v>
      </c>
      <c r="E185" s="14" t="s">
        <v>28</v>
      </c>
      <c r="F185" s="16" t="s">
        <v>18</v>
      </c>
      <c r="G185" s="16" t="s">
        <v>19</v>
      </c>
      <c r="H185" s="16" t="s">
        <v>77</v>
      </c>
      <c r="I185" s="21">
        <f>'[1]PVC With Trench PRICE'!H60</f>
        <v>36.064574999999998</v>
      </c>
      <c r="J185" s="21">
        <f>'[1]PVC With Trench PRICE'!I60</f>
        <v>118.16171799999999</v>
      </c>
      <c r="K185" s="16">
        <f>J185*($L$2-1)</f>
        <v>0</v>
      </c>
      <c r="L185" s="16">
        <f>SUM(I185:K185)</f>
        <v>154.226293</v>
      </c>
    </row>
    <row r="186" spans="1:12" ht="12.75">
      <c r="A186" s="14">
        <v>184</v>
      </c>
      <c r="B186" s="15" t="s">
        <v>254</v>
      </c>
      <c r="C186" s="15" t="str">
        <f>'[1]PVC With Trench PRICE'!A63</f>
        <v>Providing and fixing PVC pipes including jointing of pipes with one step PVC solvent cement, trenching, refilling &amp; testing of joints as per direction of Engineer in Charge.20 mm dia 12 Kgf/cm2 (50.18.9.2.1)</v>
      </c>
      <c r="D186" s="15" t="str">
        <f>CONCATENATE(C186," (Code: ",B186,")")</f>
        <v>Providing and fixing PVC pipes including jointing of pipes with one step PVC solvent cement, trenching, refilling &amp; testing of joints as per direction of Engineer in Charge.20 mm dia 12 Kgf/cm2 (50.18.9.2.1) (Code: GWDDR184)</v>
      </c>
      <c r="E186" s="14" t="s">
        <v>28</v>
      </c>
      <c r="F186" s="16" t="s">
        <v>18</v>
      </c>
      <c r="G186" s="16" t="s">
        <v>19</v>
      </c>
      <c r="H186" s="16" t="s">
        <v>77</v>
      </c>
      <c r="I186" s="21">
        <f>'[1]PVC With Trench PRICE'!H90</f>
        <v>54.0968625</v>
      </c>
      <c r="J186" s="21">
        <f>'[1]PVC With Trench PRICE'!I90</f>
        <v>118.16171799999999</v>
      </c>
      <c r="K186" s="16">
        <f>J186*($L$2-1)</f>
        <v>0</v>
      </c>
      <c r="L186" s="16">
        <f>SUM(I186:K186)</f>
        <v>172.25858049999999</v>
      </c>
    </row>
    <row r="187" spans="1:12" ht="12.75">
      <c r="A187" s="14">
        <v>185</v>
      </c>
      <c r="B187" s="15" t="s">
        <v>255</v>
      </c>
      <c r="C187" s="15" t="str">
        <f>'[1]PVC With Trench PRICE'!A93</f>
        <v>Providing and fixing PVC pipes including of pipes with one step PVC solvent cement, trenching, refilling &amp; testing of joints complete as per direction of Engineer in Charge. 20 mm dia 10 Kgf/cm2 (50.18.9.2.2)</v>
      </c>
      <c r="D187" s="15" t="str">
        <f>CONCATENATE(C187," (Code: ",B187,")")</f>
        <v>Providing and fixing PVC pipes including of pipes with one step PVC solvent cement, trenching, refilling &amp; testing of joints complete as per direction of Engineer in Charge. 20 mm dia 10 Kgf/cm2 (50.18.9.2.2) (Code: GWDDR185)</v>
      </c>
      <c r="E187" s="14" t="s">
        <v>28</v>
      </c>
      <c r="F187" s="16" t="s">
        <v>18</v>
      </c>
      <c r="G187" s="16" t="s">
        <v>19</v>
      </c>
      <c r="H187" s="16" t="s">
        <v>77</v>
      </c>
      <c r="I187" s="21">
        <f>'[1]PVC With Trench PRICE'!H120</f>
        <v>40.071750000000002</v>
      </c>
      <c r="J187" s="21">
        <f>'[1]PVC With Trench PRICE'!I120</f>
        <v>118.16171799999999</v>
      </c>
      <c r="K187" s="16">
        <f>J187*($L$2-1)</f>
        <v>0</v>
      </c>
      <c r="L187" s="16">
        <f>SUM(I187:K187)</f>
        <v>158.23346799999999</v>
      </c>
    </row>
    <row r="188" spans="1:12" ht="12.75">
      <c r="A188" s="14">
        <v>186</v>
      </c>
      <c r="B188" s="15" t="s">
        <v>256</v>
      </c>
      <c r="C188" s="15" t="str">
        <f>'[1]PVC With Trench PRICE'!A123</f>
        <v>Providing and fixing PVC pipes including jointing of pipes with one step PVC solvent cement, trenching, refilling &amp; testing of joints complete as per direction of Engineer in Charge 25 mm dia 12kgf/cm2 (50.18.9.3.1)</v>
      </c>
      <c r="D188" s="15" t="str">
        <f>CONCATENATE(C188," (Code: ",B188,")")</f>
        <v>Providing and fixing PVC pipes including jointing of pipes with one step PVC solvent cement, trenching, refilling &amp; testing of joints complete as per direction of Engineer in Charge 25 mm dia 12kgf/cm2 (50.18.9.3.1) (Code: GWDDR186)</v>
      </c>
      <c r="E188" s="14" t="s">
        <v>28</v>
      </c>
      <c r="F188" s="16" t="s">
        <v>18</v>
      </c>
      <c r="G188" s="16" t="s">
        <v>19</v>
      </c>
      <c r="H188" s="16" t="s">
        <v>77</v>
      </c>
      <c r="I188" s="21">
        <f>'[1]PVC With Trench PRICE'!H150</f>
        <v>81.479225</v>
      </c>
      <c r="J188" s="21">
        <f>'[1]PVC With Trench PRICE'!I150</f>
        <v>128.54668950000001</v>
      </c>
      <c r="K188" s="16">
        <f>J188*($L$2-1)</f>
        <v>0</v>
      </c>
      <c r="L188" s="16">
        <f>SUM(I188:K188)</f>
        <v>210.0259145</v>
      </c>
    </row>
    <row r="189" spans="1:12" ht="12.75">
      <c r="A189" s="14">
        <v>187</v>
      </c>
      <c r="B189" s="15" t="s">
        <v>257</v>
      </c>
      <c r="C189" s="15" t="str">
        <f>'[1]PVC With Trench PRICE'!A153</f>
        <v>Providing and fixing PVC pipes includes jointing of pipes with one step PVC solvent cement, trenching, refilling &amp; testing of joints complete as per direction of Engineer in Charge. 25 mm dia 10KGF/cm2 (50.18.9.3.2)</v>
      </c>
      <c r="D189" s="15" t="str">
        <f>CONCATENATE(C189," (Code: ",B189,")")</f>
        <v>Providing and fixing PVC pipes includes jointing of pipes with one step PVC solvent cement, trenching, refilling &amp; testing of joints complete as per direction of Engineer in Charge. 25 mm dia 10KGF/cm2 (50.18.9.3.2) (Code: GWDDR187)</v>
      </c>
      <c r="E189" s="14" t="s">
        <v>28</v>
      </c>
      <c r="F189" s="16" t="s">
        <v>18</v>
      </c>
      <c r="G189" s="16" t="s">
        <v>19</v>
      </c>
      <c r="H189" s="16" t="s">
        <v>77</v>
      </c>
      <c r="I189" s="21">
        <f>'[1]PVC With Trench PRICE'!H180</f>
        <v>64.114800000000002</v>
      </c>
      <c r="J189" s="21">
        <f>'[1]PVC With Trench PRICE'!I180</f>
        <v>128.54668950000001</v>
      </c>
      <c r="K189" s="16">
        <f>J189*($L$2-1)</f>
        <v>0</v>
      </c>
      <c r="L189" s="16">
        <f>SUM(I189:K189)</f>
        <v>192.66148949999999</v>
      </c>
    </row>
    <row r="190" spans="1:12" ht="12.75">
      <c r="A190" s="14">
        <v>188</v>
      </c>
      <c r="B190" s="15" t="s">
        <v>258</v>
      </c>
      <c r="C190" s="15" t="str">
        <f>'[1]PVC With Trench PRICE'!A183</f>
        <v>Providing and fixing PVC pipes including jointing of pipes with one step PVC solvent cement, trenching, refilling &amp; testing of joints complete as per direction of Engineer in Charge.32 mm dia 10.Kgf/cm2 (50.18.9.4.1)</v>
      </c>
      <c r="D190" s="15" t="str">
        <f>CONCATENATE(C190," (Code: ",B190,")")</f>
        <v>Providing and fixing PVC pipes including jointing of pipes with one step PVC solvent cement, trenching, refilling &amp; testing of joints complete as per direction of Engineer in Charge.32 mm dia 10.Kgf/cm2 (50.18.9.4.1) (Code: GWDDR188)</v>
      </c>
      <c r="E190" s="14" t="s">
        <v>28</v>
      </c>
      <c r="F190" s="16" t="s">
        <v>18</v>
      </c>
      <c r="G190" s="16" t="s">
        <v>19</v>
      </c>
      <c r="H190" s="16" t="s">
        <v>77</v>
      </c>
      <c r="I190" s="21">
        <f>'[1]PVC With Trench PRICE'!H210</f>
        <v>86.822125</v>
      </c>
      <c r="J190" s="21">
        <f>'[1]PVC With Trench PRICE'!I210</f>
        <v>128.54668950000001</v>
      </c>
      <c r="K190" s="16">
        <f>J190*($L$2-1)</f>
        <v>0</v>
      </c>
      <c r="L190" s="16">
        <f>SUM(I190:K190)</f>
        <v>215.36881450000001</v>
      </c>
    </row>
    <row r="191" spans="1:12" ht="12.75">
      <c r="A191" s="14">
        <v>189</v>
      </c>
      <c r="B191" s="15" t="s">
        <v>259</v>
      </c>
      <c r="C191" s="15" t="str">
        <f>'[1]PVC With Trench PRICE'!A213</f>
        <v>Providing and fixing PVC pipes including joints of pipes with one step PVC solvent cement, trenching, refilling &amp; testing of joints complete as per direction of Engineer in Charge. 32 mm dia 6 Kgf/cm2 (50.18.9.4.2)</v>
      </c>
      <c r="D191" s="15" t="str">
        <f>CONCATENATE(C191," (Code: ",B191,")")</f>
        <v>Providing and fixing PVC pipes including joints of pipes with one step PVC solvent cement, trenching, refilling &amp; testing of joints complete as per direction of Engineer in Charge. 32 mm dia 6 Kgf/cm2 (50.18.9.4.2) (Code: GWDDR189)</v>
      </c>
      <c r="E191" s="14" t="s">
        <v>28</v>
      </c>
      <c r="F191" s="16" t="s">
        <v>18</v>
      </c>
      <c r="G191" s="16" t="s">
        <v>19</v>
      </c>
      <c r="H191" s="16" t="s">
        <v>77</v>
      </c>
      <c r="I191" s="21">
        <f>'[1]PVC With Trench PRICE'!H240</f>
        <v>69.457700000000003</v>
      </c>
      <c r="J191" s="21">
        <f>'[1]PVC With Trench PRICE'!I240</f>
        <v>128.54668950000001</v>
      </c>
      <c r="K191" s="16">
        <f>J191*($L$2-1)</f>
        <v>0</v>
      </c>
      <c r="L191" s="16">
        <f>SUM(I191:K191)</f>
        <v>198.0043895</v>
      </c>
    </row>
    <row r="192" spans="1:12" ht="12.75">
      <c r="A192" s="14">
        <v>190</v>
      </c>
      <c r="B192" s="15" t="s">
        <v>260</v>
      </c>
      <c r="C192" s="15" t="str">
        <f>'[1]PVC With Trench PRICE'!A243</f>
        <v>Providing and fixing PVC pipes including jointing of pipes with one step PVC solvent cement, trenching refilling &amp; testing of joints complete as per direction of Engineer in Charge 40 mm dia 10Kgf/cm2 (50.18.9.5.1)</v>
      </c>
      <c r="D192" s="15" t="str">
        <f>CONCATENATE(C192," (Code: ",B192,")")</f>
        <v>Providing and fixing PVC pipes including jointing of pipes with one step PVC solvent cement, trenching refilling &amp; testing of joints complete as per direction of Engineer in Charge 40 mm dia 10Kgf/cm2 (50.18.9.5.1) (Code: GWDDR190)</v>
      </c>
      <c r="E192" s="14" t="s">
        <v>28</v>
      </c>
      <c r="F192" s="16" t="s">
        <v>18</v>
      </c>
      <c r="G192" s="16" t="s">
        <v>19</v>
      </c>
      <c r="H192" s="16" t="s">
        <v>77</v>
      </c>
      <c r="I192" s="21">
        <f>'[1]PVC With Trench PRICE'!H270</f>
        <v>112.2009</v>
      </c>
      <c r="J192" s="21">
        <f>'[1]PVC With Trench PRICE'!I270</f>
        <v>138.18249349999999</v>
      </c>
      <c r="K192" s="16">
        <f>J192*($L$2-1)</f>
        <v>0</v>
      </c>
      <c r="L192" s="16">
        <f>SUM(I192:K192)</f>
        <v>250.38339350000001</v>
      </c>
    </row>
    <row r="193" spans="1:12" ht="12.75">
      <c r="A193" s="14">
        <v>191</v>
      </c>
      <c r="B193" s="15" t="s">
        <v>261</v>
      </c>
      <c r="C193" s="15" t="str">
        <f>'[1]PVC With Trench PRICE'!A273</f>
        <v>Providing and fixing PVC pipes including jointing of pipes with one step PVC solvent cement, trenching, refilling &amp; testing of joints compete as per direction of Engineer in Charge. 40 mm dia 6 Kgf/cm2 (50.18.9.5.2)</v>
      </c>
      <c r="D193" s="15" t="str">
        <f>CONCATENATE(C193," (Code: ",B193,")")</f>
        <v>Providing and fixing PVC pipes including jointing of pipes with one step PVC solvent cement, trenching, refilling &amp; testing of joints compete as per direction of Engineer in Charge. 40 mm dia 6 Kgf/cm2 (50.18.9.5.2) (Code: GWDDR191)</v>
      </c>
      <c r="E193" s="14" t="s">
        <v>28</v>
      </c>
      <c r="F193" s="16" t="s">
        <v>18</v>
      </c>
      <c r="G193" s="16" t="s">
        <v>19</v>
      </c>
      <c r="H193" s="16" t="s">
        <v>77</v>
      </c>
      <c r="I193" s="21">
        <f>'[1]PVC With Trench PRICE'!H300</f>
        <v>70.793424999999999</v>
      </c>
      <c r="J193" s="21">
        <f>'[1]PVC With Trench PRICE'!I300</f>
        <v>138.18249349999999</v>
      </c>
      <c r="K193" s="16">
        <f>J193*($L$2-1)</f>
        <v>0</v>
      </c>
      <c r="L193" s="16">
        <f>SUM(I193:K193)</f>
        <v>208.97591850000001</v>
      </c>
    </row>
    <row r="194" spans="1:12" ht="12.75">
      <c r="A194" s="14">
        <v>192</v>
      </c>
      <c r="B194" s="15" t="s">
        <v>262</v>
      </c>
      <c r="C194" s="15" t="str">
        <f>'[1]PVC With Trench PRICE'!A303</f>
        <v>Providing and fixing PVC pipes including jointing of pipes with one step PVC solvent cement, trenching, refilling &amp; testing of joints complete as per direction of Engineer in Charge. 50 mm dia 10Kgf/cm2 (50.18.9.6.1)</v>
      </c>
      <c r="D194" s="15" t="str">
        <f>CONCATENATE(C194," (Code: ",B194,")")</f>
        <v>Providing and fixing PVC pipes including jointing of pipes with one step PVC solvent cement, trenching, refilling &amp; testing of joints complete as per direction of Engineer in Charge. 50 mm dia 10Kgf/cm2 (50.18.9.6.1) (Code: GWDDR192)</v>
      </c>
      <c r="E194" s="14" t="s">
        <v>28</v>
      </c>
      <c r="F194" s="16" t="s">
        <v>18</v>
      </c>
      <c r="G194" s="16" t="s">
        <v>19</v>
      </c>
      <c r="H194" s="16" t="s">
        <v>77</v>
      </c>
      <c r="I194" s="21">
        <f>'[1]PVC With Trench PRICE'!H330</f>
        <v>120.21525</v>
      </c>
      <c r="J194" s="21">
        <f>'[1]PVC With Trench PRICE'!I330</f>
        <v>138.18249349999999</v>
      </c>
      <c r="K194" s="16">
        <f>J194*($L$2-1)</f>
        <v>0</v>
      </c>
      <c r="L194" s="16">
        <f>SUM(I194:K194)</f>
        <v>258.39774349999999</v>
      </c>
    </row>
    <row r="195" spans="1:12" ht="12.75">
      <c r="A195" s="14">
        <v>193</v>
      </c>
      <c r="B195" s="15" t="s">
        <v>263</v>
      </c>
      <c r="C195" s="15" t="str">
        <f>'[1]PVC With Trench PRICE'!A333</f>
        <v>Providing and fixing PVC pipes including jointing of pipes with one step PVC solvent cement, trenching, refilling &amp; testing of joints complete as per direction of Engineer in Charge. 50 mm dia 6 Kgf/cm2 (50.18.9.6.2)</v>
      </c>
      <c r="D195" s="15" t="str">
        <f>CONCATENATE(C195," (Code: ",B195,")")</f>
        <v>Providing and fixing PVC pipes including jointing of pipes with one step PVC solvent cement, trenching, refilling &amp; testing of joints complete as per direction of Engineer in Charge. 50 mm dia 6 Kgf/cm2 (50.18.9.6.2) (Code: GWDDR193)</v>
      </c>
      <c r="E195" s="14" t="s">
        <v>28</v>
      </c>
      <c r="F195" s="16" t="s">
        <v>18</v>
      </c>
      <c r="G195" s="16" t="s">
        <v>19</v>
      </c>
      <c r="H195" s="16" t="s">
        <v>77</v>
      </c>
      <c r="I195" s="21">
        <f>'[1]PVC With Trench PRICE'!H360</f>
        <v>80.143500000000003</v>
      </c>
      <c r="J195" s="21">
        <f>'[1]PVC With Trench PRICE'!I360</f>
        <v>138.18249349999999</v>
      </c>
      <c r="K195" s="16">
        <f>J195*($L$2-1)</f>
        <v>0</v>
      </c>
      <c r="L195" s="16">
        <f>SUM(I195:K195)</f>
        <v>218.32599350000001</v>
      </c>
    </row>
    <row r="196" spans="1:12" ht="12.75">
      <c r="A196" s="14">
        <v>194</v>
      </c>
      <c r="B196" s="15" t="s">
        <v>264</v>
      </c>
      <c r="C196" s="15" t="str">
        <f>'[1]PVC With Trench PRICE'!A363</f>
        <v>Providing and fixing PVC pipes including of pipes with one step PVC solvent cement, trenching refilling &amp; testing of joints complete as per direction of Engineer in Charge. 63 mm dia 6Kgf/cm2 (50.18.9.7.1)</v>
      </c>
      <c r="D196" s="15" t="str">
        <f>CONCATENATE(C196," (Code: ",B196,")")</f>
        <v>Providing and fixing PVC pipes including of pipes with one step PVC solvent cement, trenching refilling &amp; testing of joints complete as per direction of Engineer in Charge. 63 mm dia 6Kgf/cm2 (50.18.9.7.1) (Code: GWDDR194)</v>
      </c>
      <c r="E196" s="14" t="s">
        <v>28</v>
      </c>
      <c r="F196" s="16" t="s">
        <v>18</v>
      </c>
      <c r="G196" s="16" t="s">
        <v>19</v>
      </c>
      <c r="H196" s="16" t="s">
        <v>77</v>
      </c>
      <c r="I196" s="21">
        <f>'[1]PVC With Trench PRICE'!H390</f>
        <v>143.90985000000001</v>
      </c>
      <c r="J196" s="21">
        <f>'[1]PVC With Trench PRICE'!I390</f>
        <v>171.10056499999999</v>
      </c>
      <c r="K196" s="16">
        <f>J196*($L$2-1)</f>
        <v>0</v>
      </c>
      <c r="L196" s="16">
        <f>SUM(I196:K196)</f>
        <v>315.01041500000002</v>
      </c>
    </row>
    <row r="197" spans="1:12" ht="12.75">
      <c r="A197" s="14">
        <v>195</v>
      </c>
      <c r="B197" s="15" t="s">
        <v>265</v>
      </c>
      <c r="C197" s="15" t="str">
        <f>'[1]PVC With Trench PRICE'!A393</f>
        <v>Providing and fixing PVC pipes including jointing of pipes with one step PVC solvent cement, trenching, refilling &amp; testing of joints complete as per direction of Engineer in Charge.63 mm dia 4 Kgf/cm2 (50.18.9.7.2)</v>
      </c>
      <c r="D197" s="15" t="str">
        <f>CONCATENATE(C197," (Code: ",B197,")")</f>
        <v>Providing and fixing PVC pipes including jointing of pipes with one step PVC solvent cement, trenching, refilling &amp; testing of joints complete as per direction of Engineer in Charge.63 mm dia 4 Kgf/cm2 (50.18.9.7.2) (Code: GWDDR195)</v>
      </c>
      <c r="E197" s="14" t="s">
        <v>28</v>
      </c>
      <c r="F197" s="16" t="s">
        <v>18</v>
      </c>
      <c r="G197" s="16" t="s">
        <v>19</v>
      </c>
      <c r="H197" s="16" t="s">
        <v>77</v>
      </c>
      <c r="I197" s="21">
        <f>'[1]PVC With Trench PRICE'!H420</f>
        <v>101.22472500000001</v>
      </c>
      <c r="J197" s="21">
        <f>'[1]PVC With Trench PRICE'!I420</f>
        <v>171.10056499999999</v>
      </c>
      <c r="K197" s="16">
        <f>J197*($L$2-1)</f>
        <v>0</v>
      </c>
      <c r="L197" s="16">
        <f>SUM(I197:K197)</f>
        <v>272.32529</v>
      </c>
    </row>
    <row r="198" spans="1:12" ht="12.75">
      <c r="A198" s="14">
        <v>196</v>
      </c>
      <c r="B198" s="15" t="s">
        <v>266</v>
      </c>
      <c r="C198" s="15" t="str">
        <f>'[1]PVC With Trench PRICE'!A423</f>
        <v>Providing and fixing PVC pipes including jointing of pipes with one step PVC solvent cement, trenching, refilling &amp; testing of joints complete as per direction of Engineer in Charge. 75 mm dia 6 Kgf/ cm2 50.18.9.8.1)</v>
      </c>
      <c r="D198" s="15" t="str">
        <f>CONCATENATE(C198," (Code: ",B198,")")</f>
        <v>Providing and fixing PVC pipes including jointing of pipes with one step PVC solvent cement, trenching, refilling &amp; testing of joints complete as per direction of Engineer in Charge. 75 mm dia 6 Kgf/ cm2 50.18.9.8.1) (Code: GWDDR196)</v>
      </c>
      <c r="E198" s="14" t="s">
        <v>28</v>
      </c>
      <c r="F198" s="16" t="s">
        <v>18</v>
      </c>
      <c r="G198" s="16" t="s">
        <v>19</v>
      </c>
      <c r="H198" s="16" t="s">
        <v>77</v>
      </c>
      <c r="I198" s="21">
        <f>'[1]PVC With Trench PRICE'!H450</f>
        <v>157.325175</v>
      </c>
      <c r="J198" s="21">
        <f>'[1]PVC With Trench PRICE'!I450</f>
        <v>171.10056499999999</v>
      </c>
      <c r="K198" s="16">
        <f>J198*($L$2-1)</f>
        <v>0</v>
      </c>
      <c r="L198" s="16">
        <f>SUM(I198:K198)</f>
        <v>328.42574000000002</v>
      </c>
    </row>
    <row r="199" spans="1:12" ht="12.75">
      <c r="A199" s="14">
        <v>197</v>
      </c>
      <c r="B199" s="15" t="s">
        <v>267</v>
      </c>
      <c r="C199" s="15" t="str">
        <f>'[1]PVC With Trench PRICE'!A453</f>
        <v>Providing and fixing PVC pipes including of pipes with one step PVC solvent cement, trenching and refilling &amp; testing of joints complete as per direction of Engineer in Charge. 75 mm dia 4 Kgf/cm2 50.18.9.8.2)</v>
      </c>
      <c r="D199" s="15" t="str">
        <f>CONCATENATE(C199," (Code: ",B199,")")</f>
        <v>Providing and fixing PVC pipes including of pipes with one step PVC solvent cement, trenching and refilling &amp; testing of joints complete as per direction of Engineer in Charge. 75 mm dia 4 Kgf/cm2 50.18.9.8.2) (Code: GWDDR197)</v>
      </c>
      <c r="E199" s="14" t="s">
        <v>28</v>
      </c>
      <c r="F199" s="16" t="s">
        <v>18</v>
      </c>
      <c r="G199" s="16" t="s">
        <v>19</v>
      </c>
      <c r="H199" s="16" t="s">
        <v>77</v>
      </c>
      <c r="I199" s="21">
        <f>'[1]PVC With Trench PRICE'!H480</f>
        <v>115.85962499999999</v>
      </c>
      <c r="J199" s="21">
        <f>'[1]PVC With Trench PRICE'!I480</f>
        <v>171.10056499999999</v>
      </c>
      <c r="K199" s="16">
        <f>J199*($L$2-1)</f>
        <v>0</v>
      </c>
      <c r="L199" s="16">
        <f>SUM(I199:K199)</f>
        <v>286.96019000000001</v>
      </c>
    </row>
    <row r="200" spans="1:12" ht="12.75">
      <c r="A200" s="14">
        <v>198</v>
      </c>
      <c r="B200" s="15" t="s">
        <v>268</v>
      </c>
      <c r="C200" s="15" t="str">
        <f>'[1]PVC With Trench PRICE'!A483</f>
        <v>Providing and fixing PVC pipes including jointing of pipes with one step PVC solvent cement, trenching, refilling &amp; testing of Joints complete as per direction of engineer in charge.110 mm dia 6Kgf/cm2 (50.18.9.9.1)</v>
      </c>
      <c r="D200" s="15" t="str">
        <f>CONCATENATE(C200," (Code: ",B200,")")</f>
        <v>Providing and fixing PVC pipes including jointing of pipes with one step PVC solvent cement, trenching, refilling &amp; testing of Joints complete as per direction of engineer in charge.110 mm dia 6Kgf/cm2 (50.18.9.9.1) (Code: GWDDR198)</v>
      </c>
      <c r="E200" s="14" t="s">
        <v>28</v>
      </c>
      <c r="F200" s="16" t="s">
        <v>18</v>
      </c>
      <c r="G200" s="16" t="s">
        <v>19</v>
      </c>
      <c r="H200" s="16" t="s">
        <v>77</v>
      </c>
      <c r="I200" s="21">
        <f>'[1]PVC With Trench PRICE'!H510</f>
        <v>257.33032500000002</v>
      </c>
      <c r="J200" s="21">
        <f>'[1]PVC With Trench PRICE'!I510</f>
        <v>226.22883949999999</v>
      </c>
      <c r="K200" s="16">
        <f>J200*($L$2-1)</f>
        <v>0</v>
      </c>
      <c r="L200" s="16">
        <f>SUM(I200:K200)</f>
        <v>483.55916450000001</v>
      </c>
    </row>
    <row r="201" spans="1:12" ht="12.75">
      <c r="A201" s="14">
        <v>199</v>
      </c>
      <c r="B201" s="15" t="s">
        <v>269</v>
      </c>
      <c r="C201" s="15" t="str">
        <f>'[1]PVC With Trench PRICE'!A513</f>
        <v>Providing and fixing PVC pipes includes joints of pipes with one step PVC solvent cement, trenching, refilling &amp; testing of joints complete as per direction of Engineer in CHarge. 110 mm dia 4 Kg/cm2 (50.18.9.9.2)</v>
      </c>
      <c r="D201" s="15" t="str">
        <f>CONCATENATE(C201," (Code: ",B201,")")</f>
        <v>Providing and fixing PVC pipes includes joints of pipes with one step PVC solvent cement, trenching, refilling &amp; testing of joints complete as per direction of Engineer in CHarge. 110 mm dia 4 Kg/cm2 (50.18.9.9.2) (Code: GWDDR199)</v>
      </c>
      <c r="E201" s="14" t="s">
        <v>28</v>
      </c>
      <c r="F201" s="16" t="s">
        <v>18</v>
      </c>
      <c r="G201" s="16" t="s">
        <v>19</v>
      </c>
      <c r="H201" s="16" t="s">
        <v>77</v>
      </c>
      <c r="I201" s="21">
        <f>'[1]PVC With Trench PRICE'!H540</f>
        <v>207.32775000000001</v>
      </c>
      <c r="J201" s="21">
        <f>'[1]PVC With Trench PRICE'!I540</f>
        <v>226.22883949999999</v>
      </c>
      <c r="K201" s="16">
        <f>J201*($L$2-1)</f>
        <v>0</v>
      </c>
      <c r="L201" s="16">
        <f>SUM(I201:K201)</f>
        <v>433.55658949999997</v>
      </c>
    </row>
    <row r="202" spans="1:12" ht="12.75">
      <c r="A202" s="14">
        <v>200</v>
      </c>
      <c r="B202" s="15" t="s">
        <v>270</v>
      </c>
      <c r="C202" s="15" t="str">
        <f>'[1]PVC With Trench PRICE'!A543</f>
        <v>Providing and fixing PVC pipes including jointing of pipes with one step pvc solvent cement, trenching , refilling &amp; testing of joints complete as per direction of Engineer in Charge. 150 mm dia 6 Kgf/cm2 (50.18.9.10.1)</v>
      </c>
      <c r="D202" s="15" t="str">
        <f>CONCATENATE(C202," (Code: ",B202,")")</f>
        <v>Providing and fixing PVC pipes including jointing of pipes with one step pvc solvent cement, trenching , refilling &amp; testing of joints complete as per direction of Engineer in Charge. 150 mm dia 6 Kgf/cm2 (50.18.9.10.1) (Code: GWDDR200)</v>
      </c>
      <c r="E202" s="14" t="s">
        <v>28</v>
      </c>
      <c r="F202" s="16" t="s">
        <v>18</v>
      </c>
      <c r="G202" s="16" t="s">
        <v>19</v>
      </c>
      <c r="H202" s="16" t="s">
        <v>77</v>
      </c>
      <c r="I202" s="21">
        <f>'[1]PVC With Trench PRICE'!H570</f>
        <v>634.17899999999997</v>
      </c>
      <c r="J202" s="21">
        <f>'[1]PVC With Trench PRICE'!I570</f>
        <v>226.22883949999999</v>
      </c>
      <c r="K202" s="16">
        <f>J202*($L$2-1)</f>
        <v>0</v>
      </c>
      <c r="L202" s="16">
        <f>SUM(I202:K202)</f>
        <v>860.40783950000002</v>
      </c>
    </row>
    <row r="203" spans="1:12" ht="12.75">
      <c r="A203" s="14">
        <v>201</v>
      </c>
      <c r="B203" s="15" t="s">
        <v>271</v>
      </c>
      <c r="C203" s="15" t="str">
        <f>'[1]Water Tank'!B2</f>
        <v>Providing and placing on terrace (at all floor levels) polyethylene water storage tank ISI : 12701 marked, with cover and suitable locking arrangement and making necessary holes for inlet, outlet and overflow pipes but without fittings and the base support for tank as per (18.48)</v>
      </c>
      <c r="D203" s="15" t="str">
        <f>CONCATENATE(C203," (Code: ",B203,")")</f>
        <v>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v>
      </c>
      <c r="E203" s="14" t="s">
        <v>272</v>
      </c>
      <c r="F203" s="16" t="s">
        <v>18</v>
      </c>
      <c r="G203" s="16" t="s">
        <v>19</v>
      </c>
      <c r="H203" s="16" t="s">
        <v>20</v>
      </c>
      <c r="I203" s="14">
        <v>0</v>
      </c>
      <c r="J203" s="16">
        <f>'[1]Water Tank'!C2</f>
        <v>8.41</v>
      </c>
      <c r="K203" s="16">
        <f>J203*($L$2-1)</f>
        <v>0</v>
      </c>
      <c r="L203" s="16">
        <f>SUM(I203:K203)</f>
        <v>8.41</v>
      </c>
    </row>
    <row r="204" spans="1:12" ht="12.75">
      <c r="A204" s="14">
        <v>202</v>
      </c>
      <c r="B204" s="15" t="s">
        <v>273</v>
      </c>
      <c r="C204" s="15" t="str">
        <f>'[1]PVC Fittings'!A3</f>
        <v>Providing and fixing PVC moulded fittings/ accessories for Rigid PVC pipes, including jointing with PVC solvent cement - 150 mm dia Bend</v>
      </c>
      <c r="D204" s="15" t="str">
        <f>CONCATENATE(C204," (Code: ",B204,")")</f>
        <v>Providing and fixing PVC moulded fittings/ accessories for Rigid PVC pipes, including jointing with PVC solvent cement - 150 mm dia Bend (Code: GWDDR202)</v>
      </c>
      <c r="E204" s="14" t="s">
        <v>17</v>
      </c>
      <c r="F204" s="16" t="s">
        <v>18</v>
      </c>
      <c r="G204" s="16" t="s">
        <v>274</v>
      </c>
      <c r="H204" s="16" t="s">
        <v>275</v>
      </c>
      <c r="I204" s="21">
        <f>'[1]PVC Fittings'!H26</f>
        <v>638.825</v>
      </c>
      <c r="J204" s="21">
        <f>'[1]PVC Fittings'!I26</f>
        <v>29.7701742</v>
      </c>
      <c r="K204" s="16">
        <f>J204*($L$2-1)</f>
        <v>0</v>
      </c>
      <c r="L204" s="16">
        <f>SUM(I204:K204)</f>
        <v>668.59517419999997</v>
      </c>
    </row>
    <row r="205" spans="1:12" ht="12.75">
      <c r="A205" s="14">
        <v>203</v>
      </c>
      <c r="B205" s="15" t="s">
        <v>276</v>
      </c>
      <c r="C205" s="15" t="str">
        <f>'[1]PVC Fittings'!A29</f>
        <v>Providing and fixing PVC moulded fittings/accessories for Rigid PVC pipes,including jointing with PVC solvent cement - 90 mm dia Socket/ coupling</v>
      </c>
      <c r="D205" s="15" t="str">
        <f>CONCATENATE(C205," (Code: ",B205,")")</f>
        <v>Providing and fixing PVC moulded fittings/accessories for Rigid PVC pipes,including jointing with PVC solvent cement - 90 mm dia Socket/ coupling (Code: GWDDR203)</v>
      </c>
      <c r="E205" s="14" t="s">
        <v>17</v>
      </c>
      <c r="F205" s="16" t="s">
        <v>18</v>
      </c>
      <c r="G205" s="16" t="s">
        <v>274</v>
      </c>
      <c r="H205" s="16" t="s">
        <v>277</v>
      </c>
      <c r="I205" s="21">
        <f>'[1]PVC Fittings'!H52</f>
        <v>60.398000000000003</v>
      </c>
      <c r="J205" s="21">
        <f>'[1]PVC Fittings'!I52</f>
        <v>33.291377599999997</v>
      </c>
      <c r="K205" s="16">
        <f>J205*($L$2-1)</f>
        <v>0</v>
      </c>
      <c r="L205" s="16">
        <f>SUM(I205:K205)</f>
        <v>93.6893776</v>
      </c>
    </row>
    <row r="206" spans="1:12" ht="12.75">
      <c r="A206" s="14">
        <v>204</v>
      </c>
      <c r="B206" s="15" t="s">
        <v>278</v>
      </c>
      <c r="C206" s="15" t="str">
        <f>'[1]PVC Fittings'!A55</f>
        <v>Providing and fixing PVC moulded fittings/accessories for Rigid PVC pipes,including jointing with PVC solvent cement - 140 mm dia Socket/ coupling</v>
      </c>
      <c r="D206" s="15" t="str">
        <f>CONCATENATE(C206," (Code: ",B206,")")</f>
        <v>Providing and fixing PVC moulded fittings/accessories for Rigid PVC pipes,including jointing with PVC solvent cement - 140 mm dia Socket/ coupling (Code: GWDDR204)</v>
      </c>
      <c r="E206" s="14" t="s">
        <v>17</v>
      </c>
      <c r="F206" s="16" t="s">
        <v>18</v>
      </c>
      <c r="G206" s="16" t="s">
        <v>274</v>
      </c>
      <c r="H206" s="16" t="s">
        <v>277</v>
      </c>
      <c r="I206" s="21">
        <f>'[1]PVC Fittings'!H78</f>
        <v>185.84</v>
      </c>
      <c r="J206" s="21">
        <f>'[1]PVC Fittings'!I78</f>
        <v>33.291377599999997</v>
      </c>
      <c r="K206" s="16">
        <f>J206*($L$2-1)</f>
        <v>0</v>
      </c>
      <c r="L206" s="16">
        <f>SUM(I206:K206)</f>
        <v>219.13137760000001</v>
      </c>
    </row>
    <row r="207" spans="1:12" ht="12.75">
      <c r="A207" s="14">
        <v>205</v>
      </c>
      <c r="B207" s="15" t="s">
        <v>279</v>
      </c>
      <c r="C207" s="15" t="str">
        <f>'[1]PVC Fittings'!A81</f>
        <v>Providing and fixing PVC moulded fittings/accessories for Rigid PVC pipes,including jointing with PVC solvent cement - 160 mm dia Socket/ coupling</v>
      </c>
      <c r="D207" s="15" t="str">
        <f>CONCATENATE(C207," (Code: ",B207,")")</f>
        <v>Providing and fixing PVC moulded fittings/accessories for Rigid PVC pipes,including jointing with PVC solvent cement - 160 mm dia Socket/ coupling (Code: GWDDR205)</v>
      </c>
      <c r="E207" s="14" t="s">
        <v>17</v>
      </c>
      <c r="F207" s="16" t="s">
        <v>18</v>
      </c>
      <c r="G207" s="16" t="s">
        <v>274</v>
      </c>
      <c r="H207" s="16" t="s">
        <v>277</v>
      </c>
      <c r="I207" s="21">
        <f>'[1]PVC Fittings'!H104</f>
        <v>214.8775</v>
      </c>
      <c r="J207" s="21">
        <f>'[1]PVC Fittings'!I104</f>
        <v>33.291377599999997</v>
      </c>
      <c r="K207" s="16">
        <f>J207*($L$2-1)</f>
        <v>0</v>
      </c>
      <c r="L207" s="16">
        <f>SUM(I207:K207)</f>
        <v>248.1688776</v>
      </c>
    </row>
    <row r="208" spans="1:12" ht="12.75">
      <c r="A208" s="14">
        <v>206</v>
      </c>
      <c r="B208" s="15" t="s">
        <v>280</v>
      </c>
      <c r="C208" s="15" t="str">
        <f>'[1]PVC Fittings'!A107</f>
        <v>Providing and fixing PVC moulded fittings/accessories for Rigid PVC pipes,including jointing with PVC solvent cement - 180 mm dia Socket/ coupling</v>
      </c>
      <c r="D208" s="15" t="str">
        <f>CONCATENATE(C208," (Code: ",B208,")")</f>
        <v>Providing and fixing PVC moulded fittings/accessories for Rigid PVC pipes,including jointing with PVC solvent cement - 180 mm dia Socket/ coupling (Code: GWDDR206)</v>
      </c>
      <c r="E208" s="14" t="s">
        <v>17</v>
      </c>
      <c r="F208" s="16" t="s">
        <v>18</v>
      </c>
      <c r="G208" s="16" t="s">
        <v>274</v>
      </c>
      <c r="H208" s="16" t="s">
        <v>277</v>
      </c>
      <c r="I208" s="21">
        <f>'[1]PVC Fittings'!H130</f>
        <v>245.07650000000001</v>
      </c>
      <c r="J208" s="21">
        <f>'[1]PVC Fittings'!I130</f>
        <v>33.291377599999997</v>
      </c>
      <c r="K208" s="16">
        <f>J208*($L$2-1)</f>
        <v>0</v>
      </c>
      <c r="L208" s="16">
        <f>SUM(I208:K208)</f>
        <v>278.36787759999999</v>
      </c>
    </row>
    <row r="209" spans="1:12" ht="12.75">
      <c r="A209" s="14">
        <v>207</v>
      </c>
      <c r="B209" s="15" t="s">
        <v>281</v>
      </c>
      <c r="C209" s="15" t="str">
        <f>'[1]PVC Fittings'!A133</f>
        <v>Providing and fixing PVC moulded fittings/accessories for Rigid PVC pipes,including jointing with PVC solvent cement - 200 mm dia Socket/ coupling</v>
      </c>
      <c r="D209" s="15" t="str">
        <f>CONCATENATE(C209," (Code: ",B209,")")</f>
        <v>Providing and fixing PVC moulded fittings/accessories for Rigid PVC pipes,including jointing with PVC solvent cement - 200 mm dia Socket/ coupling (Code: GWDDR207)</v>
      </c>
      <c r="E209" s="14" t="s">
        <v>17</v>
      </c>
      <c r="F209" s="16" t="s">
        <v>18</v>
      </c>
      <c r="G209" s="16" t="s">
        <v>274</v>
      </c>
      <c r="H209" s="16" t="s">
        <v>277</v>
      </c>
      <c r="I209" s="21">
        <f>'[1]PVC Fittings'!H156</f>
        <v>394.91</v>
      </c>
      <c r="J209" s="21">
        <f>'[1]PVC Fittings'!I156</f>
        <v>33.291377599999997</v>
      </c>
      <c r="K209" s="16">
        <f>J209*($L$2-1)</f>
        <v>0</v>
      </c>
      <c r="L209" s="16">
        <f>SUM(I209:K209)</f>
        <v>428.2013776</v>
      </c>
    </row>
    <row r="210" spans="1:12" ht="12.75">
      <c r="A210" s="14">
        <v>208</v>
      </c>
      <c r="B210" s="15" t="s">
        <v>282</v>
      </c>
      <c r="C210" s="15" t="str">
        <f>'[1]PVC Fittings'!A159</f>
        <v>Providing and fixing PVC moulded fittings/accessories for Rigid PVC pipes,including jointing with PVC solvent cement - 250 mm dia Socket/ coupling</v>
      </c>
      <c r="D210" s="15" t="str">
        <f>CONCATENATE(C210," (Code: ",B210,")")</f>
        <v>Providing and fixing PVC moulded fittings/accessories for Rigid PVC pipes,including jointing with PVC solvent cement - 250 mm dia Socket/ coupling (Code: GWDDR208)</v>
      </c>
      <c r="E210" s="14" t="s">
        <v>17</v>
      </c>
      <c r="F210" s="16" t="s">
        <v>18</v>
      </c>
      <c r="G210" s="16" t="s">
        <v>274</v>
      </c>
      <c r="H210" s="16" t="s">
        <v>277</v>
      </c>
      <c r="I210" s="21">
        <f>'[1]PVC Fittings'!H182</f>
        <v>1037.2194999999999</v>
      </c>
      <c r="J210" s="21">
        <f>'[1]PVC Fittings'!I182</f>
        <v>33.291377599999997</v>
      </c>
      <c r="K210" s="16">
        <f>J210*($L$2-1)</f>
        <v>0</v>
      </c>
      <c r="L210" s="16">
        <f>SUM(I210:K210)</f>
        <v>1070.510878</v>
      </c>
    </row>
    <row r="211" spans="1:12" ht="12.75">
      <c r="A211" s="14">
        <v>209</v>
      </c>
      <c r="B211" s="15" t="s">
        <v>283</v>
      </c>
      <c r="C211" s="15" t="str">
        <f>'[1]PVC Fittings'!A185</f>
        <v>Providing and fixing PVC moulded fittings/accessories for Rigid PVC pipes,including jointing with PVC solvent cement - 280 mm dia Socket/ coupling</v>
      </c>
      <c r="D211" s="15" t="str">
        <f>CONCATENATE(C211," (Code: ",B211,")")</f>
        <v>Providing and fixing PVC moulded fittings/accessories for Rigid PVC pipes,including jointing with PVC solvent cement - 280 mm dia Socket/ coupling (Code: GWDDR209)</v>
      </c>
      <c r="E211" s="14" t="s">
        <v>17</v>
      </c>
      <c r="F211" s="16" t="s">
        <v>18</v>
      </c>
      <c r="G211" s="16" t="s">
        <v>274</v>
      </c>
      <c r="H211" s="16" t="s">
        <v>277</v>
      </c>
      <c r="I211" s="21">
        <f>'[1]PVC Fittings'!H208</f>
        <v>1161.50</v>
      </c>
      <c r="J211" s="21">
        <f>'[1]PVC Fittings'!I208</f>
        <v>33.291377599999997</v>
      </c>
      <c r="K211" s="16">
        <f>J211*($L$2-1)</f>
        <v>0</v>
      </c>
      <c r="L211" s="16">
        <f>SUM(I211:K211)</f>
        <v>1194.7913779999999</v>
      </c>
    </row>
    <row r="212" spans="1:12" ht="12.75">
      <c r="A212" s="14">
        <v>210</v>
      </c>
      <c r="B212" s="15" t="s">
        <v>284</v>
      </c>
      <c r="C212" s="15" t="str">
        <f>'[1]PVC Fittings PRICE'!A3</f>
        <v>Providing and fixing PVC moulded fitting / accessories for Rigid PVC pipes, including jointing with PVC solvent cement-63 mm dia Socket /coupling (50.18.9.20.9)</v>
      </c>
      <c r="D212" s="15" t="str">
        <f>CONCATENATE(C212," (Code: ",B212,")")</f>
        <v>Providing and fixing PVC moulded fitting / accessories for Rigid PVC pipes, including jointing with PVC solvent cement-63 mm dia Socket /coupling (50.18.9.20.9) (Code: GWDDR210)</v>
      </c>
      <c r="E212" s="14" t="s">
        <v>17</v>
      </c>
      <c r="F212" s="16" t="s">
        <v>18</v>
      </c>
      <c r="G212" s="16" t="s">
        <v>274</v>
      </c>
      <c r="H212" s="16" t="s">
        <v>277</v>
      </c>
      <c r="I212" s="21">
        <f>'[1]PVC Fittings PRICE'!H26</f>
        <v>28.45675</v>
      </c>
      <c r="J212" s="21">
        <f>'[1]PVC Fittings PRICE'!I26</f>
        <v>29.7701742</v>
      </c>
      <c r="K212" s="16">
        <f>J212*($L$2-1)</f>
        <v>0</v>
      </c>
      <c r="L212" s="16">
        <f>SUM(I212:K212)</f>
        <v>58.226924199999999</v>
      </c>
    </row>
    <row r="213" spans="1:12" ht="12.75">
      <c r="A213" s="14">
        <v>211</v>
      </c>
      <c r="B213" s="15" t="s">
        <v>285</v>
      </c>
      <c r="C213" s="15" t="str">
        <f>'[1]PVC Fittings PRICE'!A29</f>
        <v>Providing and fixing PVC moulded fittings/ accessories for Rigid PVC pipes, including jointing with PVC solvent cement - 75 mm dia Socket /coupling (50.18.9.21.9)</v>
      </c>
      <c r="D213" s="15" t="str">
        <f>CONCATENATE(C213," (Code: ",B213,")")</f>
        <v>Providing and fixing PVC moulded fittings/ accessories for Rigid PVC pipes, including jointing with PVC solvent cement - 75 mm dia Socket /coupling (50.18.9.21.9) (Code: GWDDR211)</v>
      </c>
      <c r="E213" s="14" t="s">
        <v>17</v>
      </c>
      <c r="F213" s="16" t="s">
        <v>18</v>
      </c>
      <c r="G213" s="16" t="s">
        <v>274</v>
      </c>
      <c r="H213" s="16" t="s">
        <v>277</v>
      </c>
      <c r="I213" s="21">
        <f>'[1]PVC Fittings PRICE'!H52</f>
        <v>34.845</v>
      </c>
      <c r="J213" s="21">
        <f>'[1]PVC Fittings PRICE'!I52</f>
        <v>29.7701742</v>
      </c>
      <c r="K213" s="16">
        <f>J213*($L$2-1)</f>
        <v>0</v>
      </c>
      <c r="L213" s="16">
        <f>SUM(I213:K213)</f>
        <v>64.615174199999998</v>
      </c>
    </row>
    <row r="214" spans="1:12" ht="12.75">
      <c r="A214" s="14">
        <v>212</v>
      </c>
      <c r="B214" s="15" t="s">
        <v>286</v>
      </c>
      <c r="C214" s="15" t="str">
        <f>'[1]PVC Fittings PRICE'!A55</f>
        <v>Providing and fixing PVC moulded fittings/accessories for Rigid PVC pipes,including jointing with PVC solvent cement - 110 mm dia Socket/ coupling (50.18.9.22.11)</v>
      </c>
      <c r="D214" s="15" t="str">
        <f>CONCATENATE(C214," (Code: ",B214,")")</f>
        <v>Providing and fixing PVC moulded fittings/accessories for Rigid PVC pipes,including jointing with PVC solvent cement - 110 mm dia Socket/ coupling (50.18.9.22.11) (Code: GWDDR212)</v>
      </c>
      <c r="E214" s="14" t="s">
        <v>17</v>
      </c>
      <c r="F214" s="16" t="s">
        <v>18</v>
      </c>
      <c r="G214" s="16" t="s">
        <v>274</v>
      </c>
      <c r="H214" s="16" t="s">
        <v>277</v>
      </c>
      <c r="I214" s="21">
        <f>'[1]PVC Fittings PRICE'!H78</f>
        <v>68.528499999999994</v>
      </c>
      <c r="J214" s="21">
        <f>'[1]PVC Fittings PRICE'!I78</f>
        <v>33.291377599999997</v>
      </c>
      <c r="K214" s="16">
        <f>J214*($L$2-1)</f>
        <v>0</v>
      </c>
      <c r="L214" s="16">
        <f>SUM(I214:K214)</f>
        <v>101.8198776</v>
      </c>
    </row>
    <row r="215" spans="1:12" ht="12.75">
      <c r="A215" s="14">
        <v>213</v>
      </c>
      <c r="B215" s="15" t="s">
        <v>287</v>
      </c>
      <c r="C215" s="15" t="str">
        <f>'[1]PVC Fittings PRICE'!A81</f>
        <v>Providing and fixing PVC moulded fittings/ accessories for Rigid PVC pipes, including jointing with PVC solvent cement - 63 mm dia Bend (50.18.9.20.4)</v>
      </c>
      <c r="D215" s="15" t="str">
        <f>CONCATENATE(C215," (Code: ",B215,")")</f>
        <v>Providing and fixing PVC moulded fittings/ accessories for Rigid PVC pipes, including jointing with PVC solvent cement - 63 mm dia Bend (50.18.9.20.4) (Code: GWDDR213)</v>
      </c>
      <c r="E215" s="14" t="s">
        <v>17</v>
      </c>
      <c r="F215" s="16" t="s">
        <v>18</v>
      </c>
      <c r="G215" s="16" t="s">
        <v>274</v>
      </c>
      <c r="H215" s="16" t="s">
        <v>275</v>
      </c>
      <c r="I215" s="21">
        <f>'[1]PVC Fittings PRICE'!H104</f>
        <v>41.233249999999998</v>
      </c>
      <c r="J215" s="21">
        <f>'[1]PVC Fittings PRICE'!I104</f>
        <v>29.7701742</v>
      </c>
      <c r="K215" s="16">
        <f>J215*($L$2-1)</f>
        <v>0</v>
      </c>
      <c r="L215" s="16">
        <f>SUM(I215:K215)</f>
        <v>71.003424199999998</v>
      </c>
    </row>
    <row r="216" spans="1:12" ht="12.75">
      <c r="A216" s="14">
        <v>214</v>
      </c>
      <c r="B216" s="15" t="s">
        <v>288</v>
      </c>
      <c r="C216" s="15" t="str">
        <f>'[1]PVC Fittings PRICE'!A107</f>
        <v>Providing and fixing PVC moulded fittings/ accessories for Rigid PVC pipes, including jointing with PVC solvent cement - 75 mm dia Bend (50.18.9.21.4)</v>
      </c>
      <c r="D216" s="15" t="str">
        <f>CONCATENATE(C216," (Code: ",B216,")")</f>
        <v>Providing and fixing PVC moulded fittings/ accessories for Rigid PVC pipes, including jointing with PVC solvent cement - 75 mm dia Bend (50.18.9.21.4) (Code: GWDDR214)</v>
      </c>
      <c r="E216" s="14" t="s">
        <v>17</v>
      </c>
      <c r="F216" s="16" t="s">
        <v>18</v>
      </c>
      <c r="G216" s="16" t="s">
        <v>274</v>
      </c>
      <c r="H216" s="16" t="s">
        <v>275</v>
      </c>
      <c r="I216" s="21">
        <f>'[1]PVC Fittings PRICE'!H130</f>
        <v>50.52525</v>
      </c>
      <c r="J216" s="21">
        <f>'[1]PVC Fittings PRICE'!I130</f>
        <v>29.7701742</v>
      </c>
      <c r="K216" s="16">
        <f>J216*($L$2-1)</f>
        <v>0</v>
      </c>
      <c r="L216" s="16">
        <f>SUM(I216:K216)</f>
        <v>80.295424199999999</v>
      </c>
    </row>
    <row r="217" spans="1:12" ht="12.75">
      <c r="A217" s="14">
        <v>215</v>
      </c>
      <c r="B217" s="15" t="s">
        <v>289</v>
      </c>
      <c r="C217" s="15" t="str">
        <f>'[1]PVC Fittings PRICE'!A133</f>
        <v>Providing and fixing PVC moulded fittings/ accessories for Rigid PVC pipes, including jointing with PVC solvent cement- 110 mm dia Bend (50.18.9.22.4)</v>
      </c>
      <c r="D217" s="15" t="str">
        <f>CONCATENATE(C217," (Code: ",B217,")")</f>
        <v>Providing and fixing PVC moulded fittings/ accessories for Rigid PVC pipes, including jointing with PVC solvent cement- 110 mm dia Bend (50.18.9.22.4) (Code: GWDDR215)</v>
      </c>
      <c r="E217" s="14" t="s">
        <v>17</v>
      </c>
      <c r="F217" s="16" t="s">
        <v>18</v>
      </c>
      <c r="G217" s="16" t="s">
        <v>274</v>
      </c>
      <c r="H217" s="16" t="s">
        <v>275</v>
      </c>
      <c r="I217" s="21">
        <f>'[1]PVC Fittings PRICE'!H156</f>
        <v>118.473</v>
      </c>
      <c r="J217" s="21">
        <f>'[1]PVC Fittings PRICE'!I156</f>
        <v>33.291377599999997</v>
      </c>
      <c r="K217" s="16">
        <f>J217*($L$2-1)</f>
        <v>0</v>
      </c>
      <c r="L217" s="16">
        <f>SUM(I217:K217)</f>
        <v>151.76437759999999</v>
      </c>
    </row>
    <row r="218" spans="1:12" ht="12.75">
      <c r="A218" s="14">
        <v>216</v>
      </c>
      <c r="B218" s="15" t="s">
        <v>290</v>
      </c>
      <c r="C218" s="15" t="str">
        <f>'[1]PVC Fittings PRICE'!A159</f>
        <v>Providing and fixing PVC moulded fittings/ accessories for Rigid PVC pipes, including jointing with PVC solvent cement -63x63x63 mm dia Tee (50.18.9.20.5)</v>
      </c>
      <c r="D218" s="15" t="str">
        <f>CONCATENATE(C218," (Code: ",B218,")")</f>
        <v>Providing and fixing PVC moulded fittings/ accessories for Rigid PVC pipes, including jointing with PVC solvent cement -63x63x63 mm dia Tee (50.18.9.20.5) (Code: GWDDR216)</v>
      </c>
      <c r="E218" s="14" t="s">
        <v>17</v>
      </c>
      <c r="F218" s="16" t="s">
        <v>18</v>
      </c>
      <c r="G218" s="16" t="s">
        <v>274</v>
      </c>
      <c r="H218" s="16" t="s">
        <v>291</v>
      </c>
      <c r="I218" s="21">
        <f>'[1]PVC Fittings PRICE'!H182</f>
        <v>45.879249999999999</v>
      </c>
      <c r="J218" s="21">
        <f>'[1]PVC Fittings PRICE'!I182</f>
        <v>31.4445926</v>
      </c>
      <c r="K218" s="16">
        <f>J218*($L$2-1)</f>
        <v>0</v>
      </c>
      <c r="L218" s="16">
        <f>SUM(I218:K218)</f>
        <v>77.323842600000006</v>
      </c>
    </row>
    <row r="219" spans="1:12" ht="12.75">
      <c r="A219" s="14">
        <v>217</v>
      </c>
      <c r="B219" s="15" t="s">
        <v>292</v>
      </c>
      <c r="C219" s="15" t="str">
        <f>'[1]PVC Fittings PRICE'!A185</f>
        <v>Providing and fixing PVC moulded fittings/ accessories for Rigid PVC pipes, including jointing with PVC solvent cement -75x75x75 mm dia Tee (50.18.9.21.5)</v>
      </c>
      <c r="D219" s="15" t="str">
        <f>CONCATENATE(C219," (Code: ",B219,")")</f>
        <v>Providing and fixing PVC moulded fittings/ accessories for Rigid PVC pipes, including jointing with PVC solvent cement -75x75x75 mm dia Tee (50.18.9.21.5) (Code: GWDDR217)</v>
      </c>
      <c r="E219" s="14" t="s">
        <v>17</v>
      </c>
      <c r="F219" s="16" t="s">
        <v>18</v>
      </c>
      <c r="G219" s="16" t="s">
        <v>274</v>
      </c>
      <c r="H219" s="16" t="s">
        <v>291</v>
      </c>
      <c r="I219" s="21">
        <f>'[1]PVC Fittings PRICE'!H208</f>
        <v>55.17125</v>
      </c>
      <c r="J219" s="21">
        <f>'[1]PVC Fittings PRICE'!I208</f>
        <v>31.4445926</v>
      </c>
      <c r="K219" s="16">
        <f>J219*($L$2-1)</f>
        <v>0</v>
      </c>
      <c r="L219" s="16">
        <f>SUM(I219:K219)</f>
        <v>86.615842599999993</v>
      </c>
    </row>
    <row r="220" spans="1:12" ht="12.75">
      <c r="A220" s="14">
        <v>218</v>
      </c>
      <c r="B220" s="15" t="s">
        <v>293</v>
      </c>
      <c r="C220" s="15" t="str">
        <f>'[1]PVC Fittings PRICE'!A211</f>
        <v>Providing and fixing PVC moulded fittings/ accessories for Rigid PVC pipes including jointing with PVC solvent cement 110x110x110 mm dia Tee (50.18.9.22.5)</v>
      </c>
      <c r="D220" s="15" t="str">
        <f>CONCATENATE(C220," (Code: ",B220,")")</f>
        <v>Providing and fixing PVC moulded fittings/ accessories for Rigid PVC pipes including jointing with PVC solvent cement 110x110x110 mm dia Tee (50.18.9.22.5) (Code: GWDDR218)</v>
      </c>
      <c r="E220" s="14" t="s">
        <v>17</v>
      </c>
      <c r="F220" s="16" t="s">
        <v>18</v>
      </c>
      <c r="G220" s="16" t="s">
        <v>274</v>
      </c>
      <c r="H220" s="16" t="s">
        <v>291</v>
      </c>
      <c r="I220" s="21">
        <f>'[1]PVC Fittings PRICE'!H234</f>
        <v>130.08799999999999</v>
      </c>
      <c r="J220" s="21">
        <f>'[1]PVC Fittings PRICE'!I234</f>
        <v>34.965795999999997</v>
      </c>
      <c r="K220" s="16">
        <f>J220*($L$2-1)</f>
        <v>0</v>
      </c>
      <c r="L220" s="16">
        <f>SUM(I220:K220)</f>
        <v>165.05379600000001</v>
      </c>
    </row>
    <row r="221" spans="1:12" ht="12.75">
      <c r="A221" s="14">
        <v>219</v>
      </c>
      <c r="B221" s="15" t="s">
        <v>294</v>
      </c>
      <c r="C221" s="15" t="str">
        <f>'[1]PVC Fittings PRICE'!A237</f>
        <v>Providing and fixing PVC moulded fittings/ accessories for Rigid PVC pipes, including jointing with PVC solvent cement -63x63x63 mm dia Door Tee (50.18.9.20.6)</v>
      </c>
      <c r="D221" s="15" t="str">
        <f>CONCATENATE(C221," (Code: ",B221,")")</f>
        <v>Providing and fixing PVC moulded fittings/ accessories for Rigid PVC pipes, including jointing with PVC solvent cement -63x63x63 mm dia Door Tee (50.18.9.20.6) (Code: GWDDR219)</v>
      </c>
      <c r="E221" s="14" t="s">
        <v>17</v>
      </c>
      <c r="F221" s="16" t="s">
        <v>18</v>
      </c>
      <c r="G221" s="16" t="s">
        <v>274</v>
      </c>
      <c r="H221" s="16" t="s">
        <v>291</v>
      </c>
      <c r="I221" s="21">
        <f>'[1]PVC Fittings PRICE'!H260</f>
        <v>54.009749999999997</v>
      </c>
      <c r="J221" s="21">
        <f>'[1]PVC Fittings PRICE'!I260</f>
        <v>31.4445926</v>
      </c>
      <c r="K221" s="16">
        <f>J221*($L$2-1)</f>
        <v>0</v>
      </c>
      <c r="L221" s="16">
        <f>SUM(I221:K221)</f>
        <v>85.454342600000004</v>
      </c>
    </row>
    <row r="222" spans="1:12" ht="12.75">
      <c r="A222" s="14">
        <v>220</v>
      </c>
      <c r="B222" s="15" t="s">
        <v>295</v>
      </c>
      <c r="C222" s="15" t="str">
        <f>'[1]PVC Fittings PRICE'!A263</f>
        <v>Providing and fixing PVC moulded fittings/ accessories for Rigid PVC pipes, including jointing with PVC solvent cement -75x75x75 mm dia Door Tee (50.18.9.21.6)</v>
      </c>
      <c r="D222" s="15" t="str">
        <f>CONCATENATE(C222," (Code: ",B222,")")</f>
        <v>Providing and fixing PVC moulded fittings/ accessories for Rigid PVC pipes, including jointing with PVC solvent cement -75x75x75 mm dia Door Tee (50.18.9.21.6) (Code: GWDDR220)</v>
      </c>
      <c r="E222" s="14" t="s">
        <v>17</v>
      </c>
      <c r="F222" s="16" t="s">
        <v>18</v>
      </c>
      <c r="G222" s="16" t="s">
        <v>274</v>
      </c>
      <c r="H222" s="16" t="s">
        <v>291</v>
      </c>
      <c r="I222" s="21">
        <f>'[1]PVC Fittings PRICE'!H286</f>
        <v>66.78625</v>
      </c>
      <c r="J222" s="21">
        <f>'[1]PVC Fittings PRICE'!I286</f>
        <v>31.4445926</v>
      </c>
      <c r="K222" s="16">
        <f>J222*($L$2-1)</f>
        <v>0</v>
      </c>
      <c r="L222" s="16">
        <f>SUM(I222:K222)</f>
        <v>98.230842600000003</v>
      </c>
    </row>
    <row r="223" spans="1:12" ht="12.75">
      <c r="A223" s="14">
        <v>221</v>
      </c>
      <c r="B223" s="15" t="s">
        <v>296</v>
      </c>
      <c r="C223" s="15" t="str">
        <f>'[1]PVC Fittings PRICE'!A289</f>
        <v>Providing and fixing PVC moulded fittings/ accessories for Rigid PVC pipes including jointing with PVC solvent cement 110x110x110 mm dia Door Tee (50.18.9.22.6)</v>
      </c>
      <c r="D223" s="15" t="str">
        <f>CONCATENATE(C223," (Code: ",B223,")")</f>
        <v>Providing and fixing PVC moulded fittings/ accessories for Rigid PVC pipes including jointing with PVC solvent cement 110x110x110 mm dia Door Tee (50.18.9.22.6) (Code: GWDDR221)</v>
      </c>
      <c r="E223" s="14" t="s">
        <v>17</v>
      </c>
      <c r="F223" s="16" t="s">
        <v>18</v>
      </c>
      <c r="G223" s="16" t="s">
        <v>274</v>
      </c>
      <c r="H223" s="16" t="s">
        <v>291</v>
      </c>
      <c r="I223" s="21">
        <f>'[1]PVC Fittings PRICE'!H312</f>
        <v>142.86449999999999</v>
      </c>
      <c r="J223" s="21">
        <f>'[1]PVC Fittings PRICE'!I312</f>
        <v>34.965795999999997</v>
      </c>
      <c r="K223" s="16">
        <f>J223*($L$2-1)</f>
        <v>0</v>
      </c>
      <c r="L223" s="16">
        <f>SUM(I223:K223)</f>
        <v>177.830296</v>
      </c>
    </row>
    <row r="224" spans="1:12" ht="12.75">
      <c r="A224" s="14">
        <v>222</v>
      </c>
      <c r="B224" s="15" t="s">
        <v>297</v>
      </c>
      <c r="C224" s="15" t="str">
        <f>'[1]PVC Fittings PRICE'!A315</f>
        <v>Providing and fixing PVC moulded fittings/ accessories for Rigid PVC pipes including jointing with PVC solvent cement 110x110x75 mm dia Door Tee (50.18.9.22.7)</v>
      </c>
      <c r="D224" s="15" t="str">
        <f>CONCATENATE(C224," (Code: ",B224,")")</f>
        <v>Providing and fixing PVC moulded fittings/ accessories for Rigid PVC pipes including jointing with PVC solvent cement 110x110x75 mm dia Door Tee (50.18.9.22.7) (Code: GWDDR222)</v>
      </c>
      <c r="E224" s="14" t="s">
        <v>17</v>
      </c>
      <c r="F224" s="16" t="s">
        <v>18</v>
      </c>
      <c r="G224" s="16" t="s">
        <v>274</v>
      </c>
      <c r="H224" s="16" t="s">
        <v>291</v>
      </c>
      <c r="I224" s="21">
        <f>'[1]PVC Fittings PRICE'!H338</f>
        <v>135.8955</v>
      </c>
      <c r="J224" s="21">
        <f>'[1]PVC Fittings PRICE'!I338</f>
        <v>34.965795999999997</v>
      </c>
      <c r="K224" s="16">
        <f>J224*($L$2-1)</f>
        <v>0</v>
      </c>
      <c r="L224" s="16">
        <f>SUM(I224:K224)</f>
        <v>170.86129600000001</v>
      </c>
    </row>
    <row r="225" spans="1:12" ht="12.75">
      <c r="A225" s="14">
        <v>223</v>
      </c>
      <c r="B225" s="15" t="s">
        <v>298</v>
      </c>
      <c r="C225" s="15" t="str">
        <f>'[1]PVC Fittings PRICE'!A341</f>
        <v>Providing and fixing PVC moulded fittings/accessories for Rigid PVC pipes, including jointing with PVC solvent cement -63 mm dia Elbow (50.18.9.20.1)</v>
      </c>
      <c r="D225" s="15" t="str">
        <f>CONCATENATE(C225," (Code: ",B225,")")</f>
        <v>Providing and fixing PVC moulded fittings/accessories for Rigid PVC pipes, including jointing with PVC solvent cement -63 mm dia Elbow (50.18.9.20.1) (Code: GWDDR223)</v>
      </c>
      <c r="E225" s="14" t="s">
        <v>17</v>
      </c>
      <c r="F225" s="16" t="s">
        <v>18</v>
      </c>
      <c r="G225" s="16" t="s">
        <v>274</v>
      </c>
      <c r="H225" s="16" t="s">
        <v>299</v>
      </c>
      <c r="I225" s="21">
        <f>'[1]PVC Fittings PRICE'!H364</f>
        <v>34.845</v>
      </c>
      <c r="J225" s="21">
        <f>'[1]PVC Fittings PRICE'!I364</f>
        <v>29.7701742</v>
      </c>
      <c r="K225" s="16">
        <f>J225*($L$2-1)</f>
        <v>0</v>
      </c>
      <c r="L225" s="16">
        <f>SUM(I225:K225)</f>
        <v>64.615174199999998</v>
      </c>
    </row>
    <row r="226" spans="1:12" ht="12.75">
      <c r="A226" s="14">
        <v>224</v>
      </c>
      <c r="B226" s="15" t="s">
        <v>300</v>
      </c>
      <c r="C226" s="15" t="str">
        <f>'[1]PVC Fittings PRICE'!A367</f>
        <v>Providing and fixing PVC moulded fittings/accessories for Rigid PVC pipes, including jointing with PVC solvent cement -63 mm dia 45 degree Elbow (50.18.9.20.2)</v>
      </c>
      <c r="D226" s="15" t="str">
        <f>CONCATENATE(C226," (Code: ",B226,")")</f>
        <v>Providing and fixing PVC moulded fittings/accessories for Rigid PVC pipes, including jointing with PVC solvent cement -63 mm dia 45 degree Elbow (50.18.9.20.2) (Code: GWDDR224)</v>
      </c>
      <c r="E226" s="14" t="s">
        <v>17</v>
      </c>
      <c r="F226" s="16" t="s">
        <v>18</v>
      </c>
      <c r="G226" s="16" t="s">
        <v>274</v>
      </c>
      <c r="H226" s="16" t="s">
        <v>299</v>
      </c>
      <c r="I226" s="21">
        <f>'[1]PVC Fittings PRICE'!H390</f>
        <v>26.13375</v>
      </c>
      <c r="J226" s="21">
        <f>'[1]PVC Fittings PRICE'!I390</f>
        <v>29.7701742</v>
      </c>
      <c r="K226" s="16">
        <f>J226*($L$2-1)</f>
        <v>0</v>
      </c>
      <c r="L226" s="16">
        <f>SUM(I226:K226)</f>
        <v>55.903924199999999</v>
      </c>
    </row>
    <row r="227" spans="1:12" ht="12.75">
      <c r="A227" s="14">
        <v>225</v>
      </c>
      <c r="B227" s="15" t="s">
        <v>301</v>
      </c>
      <c r="C227" s="15" t="str">
        <f>'[1]PVC Fittings PRICE'!A393</f>
        <v>Providing and fixing PVC moulded fittings/accessories for Rigid PVC pipes, including jointing with PVC solvent cement -63 mm dia Door Elbow (50.18.9.20.3)</v>
      </c>
      <c r="D227" s="15" t="str">
        <f>CONCATENATE(C227," (Code: ",B227,")")</f>
        <v>Providing and fixing PVC moulded fittings/accessories for Rigid PVC pipes, including jointing with PVC solvent cement -63 mm dia Door Elbow (50.18.9.20.3) (Code: GWDDR225)</v>
      </c>
      <c r="E227" s="14" t="s">
        <v>17</v>
      </c>
      <c r="F227" s="16" t="s">
        <v>18</v>
      </c>
      <c r="G227" s="16" t="s">
        <v>274</v>
      </c>
      <c r="H227" s="16" t="s">
        <v>299</v>
      </c>
      <c r="I227" s="21">
        <f>'[1]PVC Fittings PRICE'!H416</f>
        <v>42.394750000000002</v>
      </c>
      <c r="J227" s="21">
        <f>'[1]PVC Fittings PRICE'!I416</f>
        <v>29.7701742</v>
      </c>
      <c r="K227" s="16">
        <f>J227*($L$2-1)</f>
        <v>0</v>
      </c>
      <c r="L227" s="16">
        <f>SUM(I227:K227)</f>
        <v>72.164924200000002</v>
      </c>
    </row>
    <row r="228" spans="1:12" ht="12.75">
      <c r="A228" s="14">
        <v>226</v>
      </c>
      <c r="B228" s="15" t="s">
        <v>302</v>
      </c>
      <c r="C228" s="15" t="str">
        <f>'[1]PVC Fittings PRICE'!A419</f>
        <v>Providing and fixing PVC moulded fittings/accessories for Rigid PVC pipes, including jointing with PVC solvent cement -75 mm dia Elbow (50.18.9.21.1)</v>
      </c>
      <c r="D228" s="15" t="str">
        <f>CONCATENATE(C228," (Code: ",B228,")")</f>
        <v>Providing and fixing PVC moulded fittings/accessories for Rigid PVC pipes, including jointing with PVC solvent cement -75 mm dia Elbow (50.18.9.21.1) (Code: GWDDR226)</v>
      </c>
      <c r="E228" s="14" t="s">
        <v>17</v>
      </c>
      <c r="F228" s="16" t="s">
        <v>18</v>
      </c>
      <c r="G228" s="16" t="s">
        <v>274</v>
      </c>
      <c r="H228" s="16" t="s">
        <v>299</v>
      </c>
      <c r="I228" s="21">
        <f>'[1]PVC Fittings PRICE'!H442</f>
        <v>56.913499999999999</v>
      </c>
      <c r="J228" s="21">
        <f>'[1]PVC Fittings PRICE'!I442</f>
        <v>29.7701742</v>
      </c>
      <c r="K228" s="16">
        <f>J228*($L$2-1)</f>
        <v>0</v>
      </c>
      <c r="L228" s="16">
        <f>SUM(I228:K228)</f>
        <v>86.683674199999999</v>
      </c>
    </row>
    <row r="229" spans="1:12" ht="12.75">
      <c r="A229" s="14">
        <v>227</v>
      </c>
      <c r="B229" s="15" t="s">
        <v>303</v>
      </c>
      <c r="C229" s="15" t="str">
        <f>'[1]PVC Fittings PRICE'!A445</f>
        <v>Providing and fixing PVC moulded fittings/accessories for Rigid PVC pipes, including jointing with PVC solvent cement -75 mm dia 45 degree Elbow (50.18.9.21.2)</v>
      </c>
      <c r="D229" s="15" t="str">
        <f>CONCATENATE(C229," (Code: ",B229,")")</f>
        <v>Providing and fixing PVC moulded fittings/accessories for Rigid PVC pipes, including jointing with PVC solvent cement -75 mm dia 45 degree Elbow (50.18.9.21.2) (Code: GWDDR227)</v>
      </c>
      <c r="E229" s="14" t="s">
        <v>17</v>
      </c>
      <c r="F229" s="16" t="s">
        <v>18</v>
      </c>
      <c r="G229" s="16" t="s">
        <v>274</v>
      </c>
      <c r="H229" s="16" t="s">
        <v>299</v>
      </c>
      <c r="I229" s="21">
        <f>'[1]PVC Fittings PRICE'!H468</f>
        <v>32.521999999999998</v>
      </c>
      <c r="J229" s="21">
        <f>'[1]PVC Fittings PRICE'!I468</f>
        <v>29.7701742</v>
      </c>
      <c r="K229" s="16">
        <f>J229*($L$2-1)</f>
        <v>0</v>
      </c>
      <c r="L229" s="16">
        <f>SUM(I229:K229)</f>
        <v>62.292174199999998</v>
      </c>
    </row>
    <row r="230" spans="1:12" ht="12.75">
      <c r="A230" s="14">
        <v>228</v>
      </c>
      <c r="B230" s="15" t="s">
        <v>304</v>
      </c>
      <c r="C230" s="15" t="str">
        <f>'[1]PVC Fittings PRICE'!A471</f>
        <v>Providing and fixing PVC moulded fittings/accessories for Rigid PVC pipes, including jointing with PVC solvent cement -75 mm dia Door Elbow (50.18.9.21.3)</v>
      </c>
      <c r="D230" s="15" t="str">
        <f>CONCATENATE(C230," (Code: ",B230,")")</f>
        <v>Providing and fixing PVC moulded fittings/accessories for Rigid PVC pipes, including jointing with PVC solvent cement -75 mm dia Door Elbow (50.18.9.21.3) (Code: GWDDR228)</v>
      </c>
      <c r="E230" s="14" t="s">
        <v>17</v>
      </c>
      <c r="F230" s="16" t="s">
        <v>18</v>
      </c>
      <c r="G230" s="16" t="s">
        <v>274</v>
      </c>
      <c r="H230" s="16" t="s">
        <v>299</v>
      </c>
      <c r="I230" s="21">
        <f>'[1]PVC Fittings PRICE'!H494</f>
        <v>56.913499999999999</v>
      </c>
      <c r="J230" s="21">
        <f>'[1]PVC Fittings PRICE'!I494</f>
        <v>29.7701742</v>
      </c>
      <c r="K230" s="16">
        <f>J230*($L$2-1)</f>
        <v>0</v>
      </c>
      <c r="L230" s="16">
        <f>SUM(I230:K230)</f>
        <v>86.683674199999999</v>
      </c>
    </row>
    <row r="231" spans="1:12" ht="12.75">
      <c r="A231" s="14">
        <v>229</v>
      </c>
      <c r="B231" s="15" t="s">
        <v>305</v>
      </c>
      <c r="C231" s="15" t="str">
        <f>'[1]PVC Fittings PRICE'!A497</f>
        <v>Providing and fixing PVC moulded fittings / accessories for Rigid PVC pipes, including jointing with PVC solvent cement - 110 mm dia Elbow (50.18.9.22.1)</v>
      </c>
      <c r="D231" s="15" t="str">
        <f>CONCATENATE(C231," (Code: ",B231,")")</f>
        <v>Providing and fixing PVC moulded fittings / accessories for Rigid PVC pipes, including jointing with PVC solvent cement - 110 mm dia Elbow (50.18.9.22.1) (Code: GWDDR229)</v>
      </c>
      <c r="E231" s="14" t="s">
        <v>17</v>
      </c>
      <c r="F231" s="16" t="s">
        <v>18</v>
      </c>
      <c r="G231" s="16" t="s">
        <v>274</v>
      </c>
      <c r="H231" s="16" t="s">
        <v>299</v>
      </c>
      <c r="I231" s="21">
        <f>'[1]PVC Fittings PRICE'!H520</f>
        <v>65.043999999999997</v>
      </c>
      <c r="J231" s="21">
        <f>'[1]PVC Fittings PRICE'!I520</f>
        <v>33.291377599999997</v>
      </c>
      <c r="K231" s="16">
        <f>J231*($L$2-1)</f>
        <v>0</v>
      </c>
      <c r="L231" s="16">
        <f>SUM(I231:K231)</f>
        <v>98.335377600000001</v>
      </c>
    </row>
    <row r="232" spans="1:12" ht="12.75">
      <c r="A232" s="14">
        <v>230</v>
      </c>
      <c r="B232" s="15" t="s">
        <v>306</v>
      </c>
      <c r="C232" s="15" t="str">
        <f>'[1]PVC Fittings PRICE'!A523</f>
        <v>Providing and fixing PVC moulded fittings / accessories for Rigid PVC pipes, including jointing with PVC solvent cement - 110 mm dia 45 degree Elbow (50.18.9.22.2)</v>
      </c>
      <c r="D232" s="15" t="str">
        <f>CONCATENATE(C232," (Code: ",B232,")")</f>
        <v>Providing and fixing PVC moulded fittings / accessories for Rigid PVC pipes, including jointing with PVC solvent cement - 110 mm dia 45 degree Elbow (50.18.9.22.2) (Code: GWDDR230)</v>
      </c>
      <c r="E232" s="14" t="s">
        <v>17</v>
      </c>
      <c r="F232" s="16" t="s">
        <v>18</v>
      </c>
      <c r="G232" s="16" t="s">
        <v>274</v>
      </c>
      <c r="H232" s="16" t="s">
        <v>299</v>
      </c>
      <c r="I232" s="21">
        <f>'[1]PVC Fittings PRICE'!H546</f>
        <v>62.720999999999997</v>
      </c>
      <c r="J232" s="21">
        <f>'[1]PVC Fittings PRICE'!I546</f>
        <v>33.291377599999997</v>
      </c>
      <c r="K232" s="16">
        <f>J232*($L$2-1)</f>
        <v>0</v>
      </c>
      <c r="L232" s="16">
        <f>SUM(I232:K232)</f>
        <v>96.012377599999994</v>
      </c>
    </row>
    <row r="233" spans="1:12" ht="12.75">
      <c r="A233" s="14">
        <v>231</v>
      </c>
      <c r="B233" s="15" t="s">
        <v>307</v>
      </c>
      <c r="C233" s="15" t="str">
        <f>'[1]PVC Fittings PRICE'!A549</f>
        <v>Providing and fixing PVC moulded fittings / accessories for Rigid PVC pipes, including jointing with PVC solvent cement - 110 mm Door Elbow (50.18.9.22.3)</v>
      </c>
      <c r="D233" s="15" t="str">
        <f>CONCATENATE(C233," (Code: ",B233,")")</f>
        <v>Providing and fixing PVC moulded fittings / accessories for Rigid PVC pipes, including jointing with PVC solvent cement - 110 mm Door Elbow (50.18.9.22.3) (Code: GWDDR231)</v>
      </c>
      <c r="E233" s="14" t="s">
        <v>17</v>
      </c>
      <c r="F233" s="16" t="s">
        <v>18</v>
      </c>
      <c r="G233" s="16" t="s">
        <v>274</v>
      </c>
      <c r="H233" s="16" t="s">
        <v>299</v>
      </c>
      <c r="I233" s="21">
        <f>'[1]PVC Fittings PRICE'!H572</f>
        <v>89.435500000000005</v>
      </c>
      <c r="J233" s="21">
        <f>'[1]PVC Fittings PRICE'!I572</f>
        <v>33.291377599999997</v>
      </c>
      <c r="K233" s="16">
        <f>J233*($L$2-1)</f>
        <v>0</v>
      </c>
      <c r="L233" s="16">
        <f>SUM(I233:K233)</f>
        <v>122.72687759999999</v>
      </c>
    </row>
    <row r="234" spans="1:12" ht="12.75">
      <c r="A234" s="14">
        <v>232</v>
      </c>
      <c r="B234" s="15" t="s">
        <v>308</v>
      </c>
      <c r="C234" s="15" t="str">
        <f>'[1]PVC Fittings PRICE'!A575</f>
        <v>Providing and fixing PVC moulded fittings/ accessories for Rigid PVC pipes, including jointing with PVC solvent cement - 63 mm dia End cap (50.18.9.20.8)</v>
      </c>
      <c r="D234" s="15" t="str">
        <f>CONCATENATE(C234," (Code: ",B234,")")</f>
        <v>Providing and fixing PVC moulded fittings/ accessories for Rigid PVC pipes, including jointing with PVC solvent cement - 63 mm dia End cap (50.18.9.20.8) (Code: GWDDR232)</v>
      </c>
      <c r="E234" s="14" t="s">
        <v>17</v>
      </c>
      <c r="F234" s="16" t="s">
        <v>18</v>
      </c>
      <c r="G234" s="16" t="s">
        <v>274</v>
      </c>
      <c r="H234" s="16" t="s">
        <v>309</v>
      </c>
      <c r="I234" s="21">
        <f>'[1]PVC Fittings PRICE'!H598</f>
        <v>22.0685</v>
      </c>
      <c r="J234" s="21">
        <f>'[1]PVC Fittings PRICE'!I598</f>
        <v>29.7701742</v>
      </c>
      <c r="K234" s="16">
        <f>J234*($L$2-1)</f>
        <v>0</v>
      </c>
      <c r="L234" s="16">
        <f>SUM(I234:K234)</f>
        <v>51.8386742</v>
      </c>
    </row>
    <row r="235" spans="1:12" ht="12.75">
      <c r="A235" s="14">
        <v>233</v>
      </c>
      <c r="B235" s="15" t="s">
        <v>310</v>
      </c>
      <c r="C235" s="15" t="str">
        <f>'[1]PVC Fittings PRICE'!A601</f>
        <v>Providing and fixing PVC moulded fittings/ accessories for Rigid PVC pipes, including jointing with PVC solvent cement -75 mm dia End cap (50.18.9.21.8)</v>
      </c>
      <c r="D235" s="15" t="str">
        <f>CONCATENATE(C235," (Code: ",B235,")")</f>
        <v>Providing and fixing PVC moulded fittings/ accessories for Rigid PVC pipes, including jointing with PVC solvent cement -75 mm dia End cap (50.18.9.21.8) (Code: GWDDR233)</v>
      </c>
      <c r="E235" s="14" t="s">
        <v>17</v>
      </c>
      <c r="F235" s="16" t="s">
        <v>18</v>
      </c>
      <c r="G235" s="16" t="s">
        <v>274</v>
      </c>
      <c r="H235" s="16" t="s">
        <v>309</v>
      </c>
      <c r="I235" s="21">
        <f>'[1]PVC Fittings PRICE'!H624</f>
        <v>26.714500000000001</v>
      </c>
      <c r="J235" s="21">
        <f>'[1]PVC Fittings PRICE'!I624</f>
        <v>29.772961800000001</v>
      </c>
      <c r="K235" s="16">
        <f>J235*($L$2-1)</f>
        <v>0</v>
      </c>
      <c r="L235" s="16">
        <f>SUM(I235:K235)</f>
        <v>56.487461799999998</v>
      </c>
    </row>
    <row r="236" spans="1:12" ht="12.75">
      <c r="A236" s="14">
        <v>234</v>
      </c>
      <c r="B236" s="15" t="s">
        <v>311</v>
      </c>
      <c r="C236" s="15" t="str">
        <f>'[1]PVC Fittings PRICE'!A627</f>
        <v>Providing and fixing PVC moulded fittings/accessories for Rigid PVC pipes, including jointing with PVC solvent cement -110 mm dia End Cap (50.18.9.22.10)</v>
      </c>
      <c r="D236" s="15" t="str">
        <f>CONCATENATE(C236," (Code: ",B236,")")</f>
        <v>Providing and fixing PVC moulded fittings/accessories for Rigid PVC pipes, including jointing with PVC solvent cement -110 mm dia End Cap (50.18.9.22.10) (Code: GWDDR234)</v>
      </c>
      <c r="E236" s="14" t="s">
        <v>17</v>
      </c>
      <c r="F236" s="16" t="s">
        <v>18</v>
      </c>
      <c r="G236" s="16" t="s">
        <v>274</v>
      </c>
      <c r="H236" s="16" t="s">
        <v>309</v>
      </c>
      <c r="I236" s="21">
        <f>'[1]PVC Fittings PRICE'!H650</f>
        <v>32.521999999999998</v>
      </c>
      <c r="J236" s="21">
        <f>'[1]PVC Fittings PRICE'!I650</f>
        <v>33.291377599999997</v>
      </c>
      <c r="K236" s="16">
        <f>J236*($L$2-1)</f>
        <v>0</v>
      </c>
      <c r="L236" s="16">
        <f>SUM(I236:K236)</f>
        <v>65.813377599999995</v>
      </c>
    </row>
    <row r="237" spans="1:12" ht="12.75">
      <c r="A237" s="14">
        <v>235</v>
      </c>
      <c r="B237" s="15" t="s">
        <v>312</v>
      </c>
      <c r="C237" s="15" t="str">
        <f>'[1]PVC Fittings PRICE'!A653</f>
        <v>Providing and fixing PVC moulded fittings/ accessories for Rigid PVC pipes, including jointing with PVC solvent cement - 63x50 mm dia Reducer (50.18.9.20.10)</v>
      </c>
      <c r="D237" s="15" t="str">
        <f>CONCATENATE(C237," (Code: ",B237,")")</f>
        <v>Providing and fixing PVC moulded fittings/ accessories for Rigid PVC pipes, including jointing with PVC solvent cement - 63x50 mm dia Reducer (50.18.9.20.10) (Code: GWDDR235)</v>
      </c>
      <c r="E237" s="14" t="s">
        <v>17</v>
      </c>
      <c r="F237" s="16" t="s">
        <v>18</v>
      </c>
      <c r="G237" s="16" t="s">
        <v>274</v>
      </c>
      <c r="H237" s="16" t="s">
        <v>313</v>
      </c>
      <c r="I237" s="21">
        <f>'[1]PVC Fittings PRICE'!H676</f>
        <v>25.553000000000001</v>
      </c>
      <c r="J237" s="21">
        <f>'[1]PVC Fittings PRICE'!I676</f>
        <v>29.7701742</v>
      </c>
      <c r="K237" s="16">
        <f>J237*($L$2-1)</f>
        <v>0</v>
      </c>
      <c r="L237" s="16">
        <f>SUM(I237:K237)</f>
        <v>55.323174199999997</v>
      </c>
    </row>
    <row r="238" spans="1:12" ht="12.75">
      <c r="A238" s="14">
        <v>236</v>
      </c>
      <c r="B238" s="15" t="s">
        <v>314</v>
      </c>
      <c r="C238" s="15" t="str">
        <f>'[1]PVC Fittings PRICE'!A679</f>
        <v>Providing and fixing PVC moulded fittings/ accessories for Rigid PVC pipes, including jointing with PVC solvent cement - 75x63 mm dia Reducer (50.18.9.21.10)</v>
      </c>
      <c r="D238" s="15" t="str">
        <f>CONCATENATE(C238," (Code: ",B238,")")</f>
        <v>Providing and fixing PVC moulded fittings/ accessories for Rigid PVC pipes, including jointing with PVC solvent cement - 75x63 mm dia Reducer (50.18.9.21.10) (Code: GWDDR236)</v>
      </c>
      <c r="E238" s="14" t="s">
        <v>17</v>
      </c>
      <c r="F238" s="16" t="s">
        <v>18</v>
      </c>
      <c r="G238" s="16" t="s">
        <v>274</v>
      </c>
      <c r="H238" s="16" t="s">
        <v>313</v>
      </c>
      <c r="I238" s="21">
        <f>'[1]PVC Fittings PRICE'!H702</f>
        <v>32.521999999999998</v>
      </c>
      <c r="J238" s="21">
        <f>'[1]PVC Fittings PRICE'!I702</f>
        <v>29.7701742</v>
      </c>
      <c r="K238" s="16">
        <f>J238*($L$2-1)</f>
        <v>0</v>
      </c>
      <c r="L238" s="16">
        <f>SUM(I238:K238)</f>
        <v>62.292174199999998</v>
      </c>
    </row>
    <row r="239" spans="1:12" ht="12.75">
      <c r="A239" s="14">
        <v>237</v>
      </c>
      <c r="B239" s="15" t="s">
        <v>315</v>
      </c>
      <c r="C239" s="15" t="str">
        <f>'[1]PVC Fittings PRICE'!A705</f>
        <v>Providing and fixing PVC moulded fittings/ accessories for Rigid PVC pipes, including jointing with PVC solvent cement - 110x75 mm dia Reducer (50.18.9.22.12)</v>
      </c>
      <c r="D239" s="15" t="str">
        <f>CONCATENATE(C239," (Code: ",B239,")")</f>
        <v>Providing and fixing PVC moulded fittings/ accessories for Rigid PVC pipes, including jointing with PVC solvent cement - 110x75 mm dia Reducer (50.18.9.22.12) (Code: GWDDR237)</v>
      </c>
      <c r="E239" s="14" t="s">
        <v>17</v>
      </c>
      <c r="F239" s="16" t="s">
        <v>18</v>
      </c>
      <c r="G239" s="16" t="s">
        <v>274</v>
      </c>
      <c r="H239" s="16" t="s">
        <v>313</v>
      </c>
      <c r="I239" s="21">
        <f>'[1]PVC Fittings PRICE'!H728</f>
        <v>65.043999999999997</v>
      </c>
      <c r="J239" s="21">
        <f>'[1]PVC Fittings PRICE'!I728</f>
        <v>33.291377599999997</v>
      </c>
      <c r="K239" s="16">
        <f>J239*($L$2-1)</f>
        <v>0</v>
      </c>
      <c r="L239" s="16">
        <f>SUM(I239:K239)</f>
        <v>98.335377600000001</v>
      </c>
    </row>
    <row r="240" spans="1:12" ht="12.75">
      <c r="A240" s="14">
        <v>238</v>
      </c>
      <c r="B240" s="15" t="s">
        <v>316</v>
      </c>
      <c r="C240" s="15" t="str">
        <f>[1]Scaffolding!B2</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v>
      </c>
      <c r="D240" s="15" t="str">
        <f>CONCATENATE(C240," (Code: ",B240,")")</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v>
      </c>
      <c r="E240" s="14" t="s">
        <v>317</v>
      </c>
      <c r="F240" s="16" t="s">
        <v>18</v>
      </c>
      <c r="G240" s="16" t="s">
        <v>90</v>
      </c>
      <c r="H240" s="16" t="s">
        <v>318</v>
      </c>
      <c r="I240" s="14">
        <v>0</v>
      </c>
      <c r="J240" s="16">
        <f>[1]Scaffolding!C2</f>
        <v>247.41</v>
      </c>
      <c r="K240" s="16">
        <f>J240*($L$2-1)</f>
        <v>0</v>
      </c>
      <c r="L240" s="16">
        <f>SUM(I240:K240)</f>
        <v>247.41</v>
      </c>
    </row>
    <row r="241" spans="1:12" ht="12.75">
      <c r="A241" s="14">
        <v>239</v>
      </c>
      <c r="B241" s="15" t="s">
        <v>319</v>
      </c>
      <c r="C241" s="15" t="str">
        <f>'[1]GI Works'!A3</f>
        <v>GI work in single section, fixed with or without connecting plate, including cutting, hoisting, fixing in position and applying a priming coat of approved steel primer all complete.</v>
      </c>
      <c r="D241" s="15" t="str">
        <f>CONCATENATE(C241," (Code: ",B241,")")</f>
        <v>GI work in single section, fixed with or without connecting plate, including cutting, hoisting, fixing in position and applying a priming coat of approved steel primer all complete. (Code: GWDDR239)</v>
      </c>
      <c r="E241" s="14" t="s">
        <v>151</v>
      </c>
      <c r="F241" s="16" t="s">
        <v>18</v>
      </c>
      <c r="G241" s="16" t="s">
        <v>19</v>
      </c>
      <c r="H241" s="16" t="s">
        <v>20</v>
      </c>
      <c r="I241" s="14">
        <v>0</v>
      </c>
      <c r="J241" s="16">
        <f>'[1]GI Works'!F30</f>
        <v>151.04</v>
      </c>
      <c r="K241" s="16">
        <f>J241*($L$2-1)</f>
        <v>0</v>
      </c>
      <c r="L241" s="16">
        <f>SUM(I241:K241)</f>
        <v>151.04</v>
      </c>
    </row>
    <row r="242" spans="1:12" ht="12.75">
      <c r="A242" s="14">
        <v>240</v>
      </c>
      <c r="B242" s="15" t="s">
        <v>320</v>
      </c>
      <c r="C242" s="15" t="str">
        <f>'[1]Gravel for TWC'!A3</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v>
      </c>
      <c r="D242" s="15" t="str">
        <f>CONCATENATE(C242," (Code: ",B242,")")</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v>
      </c>
      <c r="E242" s="14" t="s">
        <v>321</v>
      </c>
      <c r="F242" s="16" t="s">
        <v>18</v>
      </c>
      <c r="G242" s="16" t="s">
        <v>42</v>
      </c>
      <c r="H242" s="16" t="s">
        <v>322</v>
      </c>
      <c r="I242" s="21">
        <f>'[1]Gravel for TWC'!H32</f>
        <v>7611.5301849999996</v>
      </c>
      <c r="J242" s="21">
        <f>'[1]Gravel for TWC'!I32</f>
        <v>826.674395</v>
      </c>
      <c r="K242" s="16">
        <f>J242*($L$2-1)</f>
        <v>0</v>
      </c>
      <c r="L242" s="16">
        <f>SUM(I242:K242)</f>
        <v>8438.2045799999996</v>
      </c>
    </row>
    <row r="243" spans="1:12" ht="12.75">
      <c r="A243" s="14">
        <v>241</v>
      </c>
      <c r="B243" s="15" t="s">
        <v>323</v>
      </c>
      <c r="C243" s="15" t="str">
        <f>'[1]GI With Trench PRICE'!B2</f>
        <v>Providing and fixing G.I. pipes complete with G.I fittings including trenching and refilling etc. External work 15 mm dia nominal bore (18.12.1)</v>
      </c>
      <c r="D243" s="15" t="str">
        <f>CONCATENATE(C243," (Code: ",B243,")")</f>
        <v>Providing and fixing G.I. pipes complete with G.I fittings including trenching and refilling etc. External work 15 mm dia nominal bore (18.12.1) (Code: GWDDR241)</v>
      </c>
      <c r="E243" s="14" t="s">
        <v>28</v>
      </c>
      <c r="F243" s="16" t="s">
        <v>18</v>
      </c>
      <c r="G243" s="16" t="s">
        <v>19</v>
      </c>
      <c r="H243" s="16" t="s">
        <v>324</v>
      </c>
      <c r="I243" s="14">
        <v>0</v>
      </c>
      <c r="J243" s="14">
        <f>'[1]GI With Trench PRICE'!C2</f>
        <v>232.24</v>
      </c>
      <c r="K243" s="16">
        <f>J243*($L$2-1)</f>
        <v>0</v>
      </c>
      <c r="L243" s="16">
        <f>SUM(I243:K243)</f>
        <v>232.24</v>
      </c>
    </row>
    <row r="244" spans="1:12" ht="12.75">
      <c r="A244" s="14">
        <v>242</v>
      </c>
      <c r="B244" s="15" t="s">
        <v>325</v>
      </c>
      <c r="C244" s="15" t="str">
        <f>'[1]GI With Trench PRICE'!B3</f>
        <v>Providing and fixing G.I. pipes complete with G.I fittings including trenching and refilling etc. External work 20 mm dia nominal bore (18.12.2)</v>
      </c>
      <c r="D244" s="15" t="str">
        <f>CONCATENATE(C244," (Code: ",B244,")")</f>
        <v>Providing and fixing G.I. pipes complete with G.I fittings including trenching and refilling etc. External work 20 mm dia nominal bore (18.12.2) (Code: GWDDR242)</v>
      </c>
      <c r="E244" s="14" t="s">
        <v>28</v>
      </c>
      <c r="F244" s="16" t="s">
        <v>18</v>
      </c>
      <c r="G244" s="16" t="s">
        <v>19</v>
      </c>
      <c r="H244" s="16" t="s">
        <v>324</v>
      </c>
      <c r="I244" s="14">
        <v>0</v>
      </c>
      <c r="J244" s="14">
        <f>'[1]GI With Trench PRICE'!C3</f>
        <v>273.77</v>
      </c>
      <c r="K244" s="16">
        <f>J244*($L$2-1)</f>
        <v>0</v>
      </c>
      <c r="L244" s="16">
        <f>SUM(I244:K244)</f>
        <v>273.77</v>
      </c>
    </row>
    <row r="245" spans="1:12" ht="12.75">
      <c r="A245" s="14">
        <v>243</v>
      </c>
      <c r="B245" s="15" t="s">
        <v>326</v>
      </c>
      <c r="C245" s="15" t="str">
        <f>'[1]GI With Trench PRICE'!B4</f>
        <v>Providing and fixing G.I. pipes complete with G.I fittings including trenching and refilling etc. External work 25 mm dia nominal bore (18.12.3)</v>
      </c>
      <c r="D245" s="15" t="str">
        <f>CONCATENATE(C245," (Code: ",B245,")")</f>
        <v>Providing and fixing G.I. pipes complete with G.I fittings including trenching and refilling etc. External work 25 mm dia nominal bore (18.12.3) (Code: GWDDR243)</v>
      </c>
      <c r="E245" s="14" t="s">
        <v>28</v>
      </c>
      <c r="F245" s="16" t="s">
        <v>18</v>
      </c>
      <c r="G245" s="16" t="s">
        <v>19</v>
      </c>
      <c r="H245" s="16" t="s">
        <v>324</v>
      </c>
      <c r="I245" s="14">
        <v>0</v>
      </c>
      <c r="J245" s="14">
        <f>'[1]GI With Trench PRICE'!C4</f>
        <v>362.84</v>
      </c>
      <c r="K245" s="16">
        <f>J245*($L$2-1)</f>
        <v>0</v>
      </c>
      <c r="L245" s="16">
        <f>SUM(I245:K245)</f>
        <v>362.84</v>
      </c>
    </row>
    <row r="246" spans="1:12" ht="12.75">
      <c r="A246" s="14">
        <v>244</v>
      </c>
      <c r="B246" s="15" t="s">
        <v>327</v>
      </c>
      <c r="C246" s="15" t="str">
        <f>'[1]GI With Trench PRICE'!B5</f>
        <v>Providing and fixing G.I. pipes complete with G.I fittings including trenching and refilling etc. External work 32 mm dia nominal bore (18.12.4)</v>
      </c>
      <c r="D246" s="15" t="str">
        <f>CONCATENATE(C246," (Code: ",B246,")")</f>
        <v>Providing and fixing G.I. pipes complete with G.I fittings including trenching and refilling etc. External work 32 mm dia nominal bore (18.12.4) (Code: GWDDR244)</v>
      </c>
      <c r="E246" s="14" t="s">
        <v>28</v>
      </c>
      <c r="F246" s="16" t="s">
        <v>18</v>
      </c>
      <c r="G246" s="16" t="s">
        <v>19</v>
      </c>
      <c r="H246" s="16" t="s">
        <v>324</v>
      </c>
      <c r="I246" s="14">
        <v>0</v>
      </c>
      <c r="J246" s="14">
        <f>'[1]GI With Trench PRICE'!C5</f>
        <v>397.33</v>
      </c>
      <c r="K246" s="16">
        <f>J246*($L$2-1)</f>
        <v>0</v>
      </c>
      <c r="L246" s="16">
        <f>SUM(I246:K246)</f>
        <v>397.33</v>
      </c>
    </row>
    <row r="247" spans="1:12" ht="12.75">
      <c r="A247" s="14">
        <v>245</v>
      </c>
      <c r="B247" s="15" t="s">
        <v>328</v>
      </c>
      <c r="C247" s="15" t="str">
        <f>'[1]GI With Trench PRICE'!B6</f>
        <v>Providing and fixing G.I. pipes complete with G.I fittings including trenching and refilling etc. External work 40 mm dia nominal bore (18.12.5)</v>
      </c>
      <c r="D247" s="15" t="str">
        <f>CONCATENATE(C247," (Code: ",B247,")")</f>
        <v>Providing and fixing G.I. pipes complete with G.I fittings including trenching and refilling etc. External work 40 mm dia nominal bore (18.12.5) (Code: GWDDR245)</v>
      </c>
      <c r="E247" s="14" t="s">
        <v>28</v>
      </c>
      <c r="F247" s="16" t="s">
        <v>18</v>
      </c>
      <c r="G247" s="16" t="s">
        <v>19</v>
      </c>
      <c r="H247" s="16" t="s">
        <v>324</v>
      </c>
      <c r="I247" s="14">
        <v>0</v>
      </c>
      <c r="J247" s="14">
        <f>'[1]GI With Trench PRICE'!C6</f>
        <v>484.72</v>
      </c>
      <c r="K247" s="16">
        <f>J247*($L$2-1)</f>
        <v>0</v>
      </c>
      <c r="L247" s="16">
        <f>SUM(I247:K247)</f>
        <v>484.72</v>
      </c>
    </row>
    <row r="248" spans="1:12" ht="12.75">
      <c r="A248" s="14">
        <v>246</v>
      </c>
      <c r="B248" s="15" t="s">
        <v>329</v>
      </c>
      <c r="C248" s="15" t="str">
        <f>'[1]GI With Trench PRICE'!B7</f>
        <v>Providing and fixing G.I. pipes complete with G.I fittings including trenching and refilling etc. External work 50 mm dia nominal bore (18.12.6)</v>
      </c>
      <c r="D248" s="15" t="str">
        <f>CONCATENATE(C248," (Code: ",B248,")")</f>
        <v>Providing and fixing G.I. pipes complete with G.I fittings including trenching and refilling etc. External work 50 mm dia nominal bore (18.12.6) (Code: GWDDR246)</v>
      </c>
      <c r="E248" s="14" t="s">
        <v>28</v>
      </c>
      <c r="F248" s="16" t="s">
        <v>18</v>
      </c>
      <c r="G248" s="16" t="s">
        <v>19</v>
      </c>
      <c r="H248" s="16" t="s">
        <v>324</v>
      </c>
      <c r="I248" s="14">
        <v>0</v>
      </c>
      <c r="J248" s="14">
        <f>'[1]GI With Trench PRICE'!C7</f>
        <v>567.92</v>
      </c>
      <c r="K248" s="16">
        <f>J248*($L$2-1)</f>
        <v>0</v>
      </c>
      <c r="L248" s="16">
        <f>SUM(I248:K248)</f>
        <v>567.92</v>
      </c>
    </row>
    <row r="249" spans="1:12" ht="12.75">
      <c r="A249" s="14">
        <v>247</v>
      </c>
      <c r="B249" s="15" t="s">
        <v>330</v>
      </c>
      <c r="C249" s="15" t="str">
        <f>'[1]GI With Trench PRICE'!B8</f>
        <v>Providing and fixing G.I. pipes complete with G.I fittings including trenching and refilling etc. External work 65 mm dia nominal bore (18.12.7)</v>
      </c>
      <c r="D249" s="15" t="str">
        <f>CONCATENATE(C249," (Code: ",B249,")")</f>
        <v>Providing and fixing G.I. pipes complete with G.I fittings including trenching and refilling etc. External work 65 mm dia nominal bore (18.12.7) (Code: GWDDR247)</v>
      </c>
      <c r="E249" s="14" t="s">
        <v>28</v>
      </c>
      <c r="F249" s="16" t="s">
        <v>18</v>
      </c>
      <c r="G249" s="16" t="s">
        <v>19</v>
      </c>
      <c r="H249" s="16" t="s">
        <v>324</v>
      </c>
      <c r="I249" s="14">
        <v>0</v>
      </c>
      <c r="J249" s="14">
        <f>'[1]GI With Trench PRICE'!C8</f>
        <v>667.24</v>
      </c>
      <c r="K249" s="16">
        <f>J249*($L$2-1)</f>
        <v>0</v>
      </c>
      <c r="L249" s="16">
        <f>SUM(I249:K249)</f>
        <v>667.24</v>
      </c>
    </row>
    <row r="250" spans="1:12" ht="12.75">
      <c r="A250" s="14">
        <v>248</v>
      </c>
      <c r="B250" s="15" t="s">
        <v>331</v>
      </c>
      <c r="C250" s="15" t="str">
        <f>'[1]GI With Trench PRICE'!B9</f>
        <v>Providing and fixing G.I. pipes complete with G.I fittings including trenching and refilling etc. External work 80 mm dia nominal bore (18.12.8)</v>
      </c>
      <c r="D250" s="15" t="str">
        <f>CONCATENATE(C250," (Code: ",B250,")")</f>
        <v>Providing and fixing G.I. pipes complete with G.I fittings including trenching and refilling etc. External work 80 mm dia nominal bore (18.12.8) (Code: GWDDR248)</v>
      </c>
      <c r="E250" s="14" t="s">
        <v>28</v>
      </c>
      <c r="F250" s="16" t="s">
        <v>18</v>
      </c>
      <c r="G250" s="16" t="s">
        <v>19</v>
      </c>
      <c r="H250" s="16" t="s">
        <v>324</v>
      </c>
      <c r="I250" s="14">
        <v>0</v>
      </c>
      <c r="J250" s="14">
        <f>'[1]GI With Trench PRICE'!C9</f>
        <v>797.90</v>
      </c>
      <c r="K250" s="16">
        <f>J250*($L$2-1)</f>
        <v>0</v>
      </c>
      <c r="L250" s="16">
        <f>SUM(I250:K250)</f>
        <v>797.90</v>
      </c>
    </row>
    <row r="251" spans="1:12" ht="12.75">
      <c r="A251" s="14">
        <v>249</v>
      </c>
      <c r="B251" s="15" t="s">
        <v>332</v>
      </c>
      <c r="C251" s="15" t="str">
        <f>'[1]Other Fittings PRICE'!B2</f>
        <v>Providing and fixing gun metal gate valve with C.I. wheel of approved quality (screwed end) : 25 mm nominal bore (18.17.1)</v>
      </c>
      <c r="D251" s="15" t="str">
        <f>CONCATENATE(C251," (Code: ",B251,")")</f>
        <v>Providing and fixing gun metal gate valve with C.I. wheel of approved quality (screwed end) : 25 mm nominal bore (18.17.1) (Code: GWDDR249)</v>
      </c>
      <c r="E251" s="14" t="s">
        <v>17</v>
      </c>
      <c r="F251" s="16" t="s">
        <v>18</v>
      </c>
      <c r="G251" s="16" t="s">
        <v>19</v>
      </c>
      <c r="H251" s="16" t="s">
        <v>333</v>
      </c>
      <c r="I251" s="14">
        <v>0</v>
      </c>
      <c r="J251" s="14">
        <f>'[1]Other Fittings PRICE'!C2</f>
        <v>462.13</v>
      </c>
      <c r="K251" s="16">
        <f>J251*($L$2-1)</f>
        <v>0</v>
      </c>
      <c r="L251" s="16">
        <f>SUM(I251:K251)</f>
        <v>462.13</v>
      </c>
    </row>
    <row r="252" spans="1:12" ht="12.75">
      <c r="A252" s="14">
        <v>250</v>
      </c>
      <c r="B252" s="15" t="s">
        <v>334</v>
      </c>
      <c r="C252" s="15" t="str">
        <f>'[1]Other Fittings PRICE'!B3</f>
        <v>Providing and fixing gun metal gate valve with C.I. wheel of approved quality (screwed end) : 32 mm nominal bore (18.17.2)</v>
      </c>
      <c r="D252" s="15" t="str">
        <f>CONCATENATE(C252," (Code: ",B252,")")</f>
        <v>Providing and fixing gun metal gate valve with C.I. wheel of approved quality (screwed end) : 32 mm nominal bore (18.17.2) (Code: GWDDR250)</v>
      </c>
      <c r="E252" s="14" t="s">
        <v>17</v>
      </c>
      <c r="F252" s="16" t="s">
        <v>18</v>
      </c>
      <c r="G252" s="16" t="s">
        <v>19</v>
      </c>
      <c r="H252" s="16" t="s">
        <v>333</v>
      </c>
      <c r="I252" s="14">
        <v>0</v>
      </c>
      <c r="J252" s="14">
        <f>'[1]Other Fittings PRICE'!C3</f>
        <v>512.12</v>
      </c>
      <c r="K252" s="16">
        <f>J252*($L$2-1)</f>
        <v>0</v>
      </c>
      <c r="L252" s="16">
        <f>SUM(I252:K252)</f>
        <v>512.12</v>
      </c>
    </row>
    <row r="253" spans="1:12" ht="12.75">
      <c r="A253" s="14">
        <v>251</v>
      </c>
      <c r="B253" s="15" t="s">
        <v>335</v>
      </c>
      <c r="C253" s="15" t="str">
        <f>'[1]Other Fittings PRICE'!B4</f>
        <v>Providing and fixing gun metal gate valve with C.I. wheel of approved quality (screwed end) : 40 mm nominal bore (18.17.3)</v>
      </c>
      <c r="D253" s="15" t="str">
        <f>CONCATENATE(C253," (Code: ",B253,")")</f>
        <v>Providing and fixing gun metal gate valve with C.I. wheel of approved quality (screwed end) : 40 mm nominal bore (18.17.3) (Code: GWDDR251)</v>
      </c>
      <c r="E253" s="14" t="s">
        <v>17</v>
      </c>
      <c r="F253" s="16" t="s">
        <v>18</v>
      </c>
      <c r="G253" s="16" t="s">
        <v>19</v>
      </c>
      <c r="H253" s="16" t="s">
        <v>333</v>
      </c>
      <c r="I253" s="14">
        <v>0</v>
      </c>
      <c r="J253" s="14">
        <f>'[1]Other Fittings PRICE'!C4</f>
        <v>614.04</v>
      </c>
      <c r="K253" s="16">
        <f>J253*($L$2-1)</f>
        <v>0</v>
      </c>
      <c r="L253" s="16">
        <f>SUM(I253:K253)</f>
        <v>614.04</v>
      </c>
    </row>
    <row r="254" spans="1:12" ht="12.75">
      <c r="A254" s="14">
        <v>252</v>
      </c>
      <c r="B254" s="15" t="s">
        <v>336</v>
      </c>
      <c r="C254" s="15" t="str">
        <f>'[1]Other Fittings PRICE'!B5</f>
        <v>Providing and fixing gun metal gate valve with C.I. wheel of approved quality (screwed end) : 50 mm nominal bore (18.17.4)</v>
      </c>
      <c r="D254" s="15" t="str">
        <f>CONCATENATE(C254," (Code: ",B254,")")</f>
        <v>Providing and fixing gun metal gate valve with C.I. wheel of approved quality (screwed end) : 50 mm nominal bore (18.17.4) (Code: GWDDR252)</v>
      </c>
      <c r="E254" s="14" t="s">
        <v>17</v>
      </c>
      <c r="F254" s="16" t="s">
        <v>18</v>
      </c>
      <c r="G254" s="16" t="s">
        <v>19</v>
      </c>
      <c r="H254" s="16" t="s">
        <v>333</v>
      </c>
      <c r="I254" s="14">
        <v>0</v>
      </c>
      <c r="J254" s="14">
        <f>'[1]Other Fittings PRICE'!C5</f>
        <v>762.43</v>
      </c>
      <c r="K254" s="16">
        <f>J254*($L$2-1)</f>
        <v>0</v>
      </c>
      <c r="L254" s="16">
        <f>SUM(I254:K254)</f>
        <v>762.43</v>
      </c>
    </row>
    <row r="255" spans="1:12" ht="12.75">
      <c r="A255" s="14">
        <v>253</v>
      </c>
      <c r="B255" s="15" t="s">
        <v>337</v>
      </c>
      <c r="C255" s="15" t="str">
        <f>'[1]Other Fittings PRICE'!B6</f>
        <v>Providing and fixing gun metal gate valve with C.I. wheel of approved quality (screwed end) : 65 mm nominal bore (18.17.5)</v>
      </c>
      <c r="D255" s="15" t="str">
        <f>CONCATENATE(C255," (Code: ",B255,")")</f>
        <v>Providing and fixing gun metal gate valve with C.I. wheel of approved quality (screwed end) : 65 mm nominal bore (18.17.5) (Code: GWDDR253)</v>
      </c>
      <c r="E255" s="14" t="s">
        <v>17</v>
      </c>
      <c r="F255" s="16" t="s">
        <v>18</v>
      </c>
      <c r="G255" s="16" t="s">
        <v>19</v>
      </c>
      <c r="H255" s="16" t="s">
        <v>333</v>
      </c>
      <c r="I255" s="14">
        <v>0</v>
      </c>
      <c r="J255" s="16">
        <f>'[1]Other Fittings PRICE'!C6</f>
        <v>1294.11</v>
      </c>
      <c r="K255" s="16">
        <f>J255*($L$2-1)</f>
        <v>0</v>
      </c>
      <c r="L255" s="16">
        <f>SUM(I255:K255)</f>
        <v>1294.11</v>
      </c>
    </row>
    <row r="256" spans="1:12" ht="12.75">
      <c r="A256" s="14">
        <v>254</v>
      </c>
      <c r="B256" s="15" t="s">
        <v>338</v>
      </c>
      <c r="C256" s="15" t="str">
        <f>'[1]Other Fittings PRICE'!B7</f>
        <v>Providing and fixing gun metal gate valve with C.I. wheel of approved quality (screwed end) : 80 mm nominal bore (18.17.6)</v>
      </c>
      <c r="D256" s="15" t="str">
        <f>CONCATENATE(C256," (Code: ",B256,")")</f>
        <v>Providing and fixing gun metal gate valve with C.I. wheel of approved quality (screwed end) : 80 mm nominal bore (18.17.6) (Code: GWDDR254)</v>
      </c>
      <c r="E256" s="14" t="s">
        <v>17</v>
      </c>
      <c r="F256" s="16" t="s">
        <v>18</v>
      </c>
      <c r="G256" s="16" t="s">
        <v>19</v>
      </c>
      <c r="H256" s="16" t="s">
        <v>333</v>
      </c>
      <c r="I256" s="14">
        <v>0</v>
      </c>
      <c r="J256" s="16">
        <f>'[1]Other Fittings PRICE'!C7</f>
        <v>1933.85</v>
      </c>
      <c r="K256" s="16">
        <f>J256*($L$2-1)</f>
        <v>0</v>
      </c>
      <c r="L256" s="16">
        <f>SUM(I256:K256)</f>
        <v>1933.85</v>
      </c>
    </row>
    <row r="257" spans="1:12" ht="12.75">
      <c r="A257" s="14">
        <v>255</v>
      </c>
      <c r="B257" s="15" t="s">
        <v>339</v>
      </c>
      <c r="C257" s="15" t="str">
        <f>'[1]Other Fittings PRICE'!B8</f>
        <v>Providing and fixing gun metal gate valve with C.I. wheel of approved quality (screwed end) : 20 mm nominal bore (18.17.1A)</v>
      </c>
      <c r="D257" s="15" t="str">
        <f>CONCATENATE(C257," (Code: ",B257,")")</f>
        <v>Providing and fixing gun metal gate valve with C.I. wheel of approved quality (screwed end) : 20 mm nominal bore (18.17.1A) (Code: GWDDR255)</v>
      </c>
      <c r="E257" s="14" t="s">
        <v>17</v>
      </c>
      <c r="F257" s="16" t="s">
        <v>18</v>
      </c>
      <c r="G257" s="16" t="s">
        <v>19</v>
      </c>
      <c r="H257" s="16" t="s">
        <v>333</v>
      </c>
      <c r="I257" s="14">
        <v>0</v>
      </c>
      <c r="J257" s="14">
        <f>'[1]Other Fittings PRICE'!C8</f>
        <v>400.86</v>
      </c>
      <c r="K257" s="16">
        <f>J257*($L$2-1)</f>
        <v>0</v>
      </c>
      <c r="L257" s="16">
        <f>SUM(I257:K257)</f>
        <v>400.86</v>
      </c>
    </row>
    <row r="258" spans="1:12" ht="12.75">
      <c r="A258" s="14">
        <v>256</v>
      </c>
      <c r="B258" s="15" t="s">
        <v>340</v>
      </c>
      <c r="C258" s="15" t="str">
        <f>'[1]Other Fittings PRICE'!B9</f>
        <v>Providing and fixing gun metal non-return valve of approved quality (screwed end): 25 mm nominal bore Horizontal (18.19.1.1)</v>
      </c>
      <c r="D258" s="15" t="str">
        <f>CONCATENATE(C258," (Code: ",B258,")")</f>
        <v>Providing and fixing gun metal non-return valve of approved quality (screwed end): 25 mm nominal bore Horizontal (18.19.1.1) (Code: GWDDR256)</v>
      </c>
      <c r="E258" s="14" t="s">
        <v>17</v>
      </c>
      <c r="F258" s="16" t="s">
        <v>18</v>
      </c>
      <c r="G258" s="16" t="s">
        <v>19</v>
      </c>
      <c r="H258" s="16" t="s">
        <v>341</v>
      </c>
      <c r="I258" s="14">
        <v>0</v>
      </c>
      <c r="J258" s="14">
        <f>'[1]Other Fittings PRICE'!C9</f>
        <v>439.81</v>
      </c>
      <c r="K258" s="16">
        <f>J258*($L$2-1)</f>
        <v>0</v>
      </c>
      <c r="L258" s="16">
        <f>SUM(I258:K258)</f>
        <v>439.81</v>
      </c>
    </row>
    <row r="259" spans="1:12" ht="12.75">
      <c r="A259" s="14">
        <v>257</v>
      </c>
      <c r="B259" s="15" t="s">
        <v>342</v>
      </c>
      <c r="C259" s="15" t="str">
        <f>'[1]Other Fittings PRICE'!B10</f>
        <v>Providing and fixing gun metal non-return valve of approved quality (screwed end): 25 mm nominal bore Vertical (18.19.1.2)</v>
      </c>
      <c r="D259" s="15" t="str">
        <f>CONCATENATE(C259," (Code: ",B259,")")</f>
        <v>Providing and fixing gun metal non-return valve of approved quality (screwed end): 25 mm nominal bore Vertical (18.19.1.2) (Code: GWDDR257)</v>
      </c>
      <c r="E259" s="14" t="s">
        <v>17</v>
      </c>
      <c r="F259" s="16" t="s">
        <v>18</v>
      </c>
      <c r="G259" s="16" t="s">
        <v>19</v>
      </c>
      <c r="H259" s="16" t="s">
        <v>341</v>
      </c>
      <c r="I259" s="14">
        <v>0</v>
      </c>
      <c r="J259" s="14">
        <f>'[1]Other Fittings PRICE'!C10</f>
        <v>497.89</v>
      </c>
      <c r="K259" s="16">
        <f>J259*($L$2-1)</f>
        <v>0</v>
      </c>
      <c r="L259" s="16">
        <f>SUM(I259:K259)</f>
        <v>497.89</v>
      </c>
    </row>
    <row r="260" spans="1:12" ht="12.75">
      <c r="A260" s="14">
        <v>258</v>
      </c>
      <c r="B260" s="15" t="s">
        <v>343</v>
      </c>
      <c r="C260" s="15" t="str">
        <f>'[1]Other Fittings PRICE'!B11</f>
        <v>Providing and fixing gun metal non-return valve of approved quality (screwed end): 32 mm nominal bore Horizontal (18.19.2.1)</v>
      </c>
      <c r="D260" s="15" t="str">
        <f>CONCATENATE(C260," (Code: ",B260,")")</f>
        <v>Providing and fixing gun metal non-return valve of approved quality (screwed end): 32 mm nominal bore Horizontal (18.19.2.1) (Code: GWDDR258)</v>
      </c>
      <c r="E260" s="14" t="s">
        <v>17</v>
      </c>
      <c r="F260" s="16" t="s">
        <v>18</v>
      </c>
      <c r="G260" s="16" t="s">
        <v>19</v>
      </c>
      <c r="H260" s="16" t="s">
        <v>341</v>
      </c>
      <c r="I260" s="14">
        <v>0</v>
      </c>
      <c r="J260" s="14">
        <f>'[1]Other Fittings PRICE'!C11</f>
        <v>588.21</v>
      </c>
      <c r="K260" s="16">
        <f>J260*($L$2-1)</f>
        <v>0</v>
      </c>
      <c r="L260" s="16">
        <f>SUM(I260:K260)</f>
        <v>588.21</v>
      </c>
    </row>
    <row r="261" spans="1:12" ht="12.75">
      <c r="A261" s="14">
        <v>259</v>
      </c>
      <c r="B261" s="15" t="s">
        <v>344</v>
      </c>
      <c r="C261" s="15" t="str">
        <f>'[1]Other Fittings PRICE'!B12</f>
        <v>Providing and fixing gun metal non-return valve of approved quality (screwed end): 32 mm nominal bore Vertical (18.19.2.2)</v>
      </c>
      <c r="D261" s="15" t="str">
        <f>CONCATENATE(C261," (Code: ",B261,")")</f>
        <v>Providing and fixing gun metal non-return valve of approved quality (screwed end): 32 mm nominal bore Vertical (18.19.2.2) (Code: GWDDR259)</v>
      </c>
      <c r="E261" s="14" t="s">
        <v>17</v>
      </c>
      <c r="F261" s="16" t="s">
        <v>18</v>
      </c>
      <c r="G261" s="16" t="s">
        <v>19</v>
      </c>
      <c r="H261" s="16" t="s">
        <v>341</v>
      </c>
      <c r="I261" s="14">
        <v>0</v>
      </c>
      <c r="J261" s="14">
        <f>'[1]Other Fittings PRICE'!C12</f>
        <v>675.32</v>
      </c>
      <c r="K261" s="16">
        <f>J261*($L$2-1)</f>
        <v>0</v>
      </c>
      <c r="L261" s="16">
        <f>SUM(I261:K261)</f>
        <v>675.32</v>
      </c>
    </row>
    <row r="262" spans="1:12" ht="12.75">
      <c r="A262" s="14">
        <v>260</v>
      </c>
      <c r="B262" s="15" t="s">
        <v>345</v>
      </c>
      <c r="C262" s="15" t="str">
        <f>'[1]Other Fittings PRICE'!B13</f>
        <v>Providing and fixing gun metal non-return valve of approved quality (screwed end): 40 mm nominal bore Horizontal (18.19.3.1)</v>
      </c>
      <c r="D262" s="15" t="str">
        <f>CONCATENATE(C262," (Code: ",B262,")")</f>
        <v>Providing and fixing gun metal non-return valve of approved quality (screwed end): 40 mm nominal bore Horizontal (18.19.3.1) (Code: GWDDR260)</v>
      </c>
      <c r="E262" s="14" t="s">
        <v>17</v>
      </c>
      <c r="F262" s="16" t="s">
        <v>18</v>
      </c>
      <c r="G262" s="16" t="s">
        <v>19</v>
      </c>
      <c r="H262" s="16" t="s">
        <v>341</v>
      </c>
      <c r="I262" s="14">
        <v>0</v>
      </c>
      <c r="J262" s="14">
        <f>'[1]Other Fittings PRICE'!C13</f>
        <v>707.55</v>
      </c>
      <c r="K262" s="16">
        <f>J262*($L$2-1)</f>
        <v>0</v>
      </c>
      <c r="L262" s="16">
        <f>SUM(I262:K262)</f>
        <v>707.55</v>
      </c>
    </row>
    <row r="263" spans="1:12" ht="12.75">
      <c r="A263" s="14">
        <v>261</v>
      </c>
      <c r="B263" s="15" t="s">
        <v>346</v>
      </c>
      <c r="C263" s="15" t="str">
        <f>'[1]Other Fittings PRICE'!B14</f>
        <v>Providing and fixing gun metal non-return valve of approved quality (screwed end): 40 mm nominal bore Vertical (18.19.3.2)</v>
      </c>
      <c r="D263" s="15" t="str">
        <f>CONCATENATE(C263," (Code: ",B263,")")</f>
        <v>Providing and fixing gun metal non-return valve of approved quality (screwed end): 40 mm nominal bore Vertical (18.19.3.2) (Code: GWDDR261)</v>
      </c>
      <c r="E263" s="14" t="s">
        <v>17</v>
      </c>
      <c r="F263" s="16" t="s">
        <v>18</v>
      </c>
      <c r="G263" s="16" t="s">
        <v>19</v>
      </c>
      <c r="H263" s="16" t="s">
        <v>341</v>
      </c>
      <c r="I263" s="14">
        <v>0</v>
      </c>
      <c r="J263" s="16">
        <f>'[1]Other Fittings PRICE'!C14</f>
        <v>910.81</v>
      </c>
      <c r="K263" s="16">
        <f>J263*($L$2-1)</f>
        <v>0</v>
      </c>
      <c r="L263" s="16">
        <f>SUM(I263:K263)</f>
        <v>910.81</v>
      </c>
    </row>
    <row r="264" spans="1:12" ht="12.75">
      <c r="A264" s="14">
        <v>262</v>
      </c>
      <c r="B264" s="15" t="s">
        <v>347</v>
      </c>
      <c r="C264" s="15" t="str">
        <f>'[1]Other Fittings PRICE'!B15</f>
        <v>Providing and fixing gun metal non-return valve of approved quality (screwed end): 50 mm nominal bore Horizontal (18.19.4.1)</v>
      </c>
      <c r="D264" s="15" t="str">
        <f>CONCATENATE(C264," (Code: ",B264,")")</f>
        <v>Providing and fixing gun metal non-return valve of approved quality (screwed end): 50 mm nominal bore Horizontal (18.19.4.1) (Code: GWDDR262)</v>
      </c>
      <c r="E264" s="14" t="s">
        <v>17</v>
      </c>
      <c r="F264" s="16" t="s">
        <v>18</v>
      </c>
      <c r="G264" s="16" t="s">
        <v>19</v>
      </c>
      <c r="H264" s="16" t="s">
        <v>341</v>
      </c>
      <c r="I264" s="14">
        <v>0</v>
      </c>
      <c r="J264" s="16">
        <f>'[1]Other Fittings PRICE'!C15</f>
        <v>1018.88</v>
      </c>
      <c r="K264" s="16">
        <f>J264*($L$2-1)</f>
        <v>0</v>
      </c>
      <c r="L264" s="16">
        <f>SUM(I264:K264)</f>
        <v>1018.88</v>
      </c>
    </row>
    <row r="265" spans="1:12" ht="12.75">
      <c r="A265" s="14">
        <v>263</v>
      </c>
      <c r="B265" s="15" t="s">
        <v>348</v>
      </c>
      <c r="C265" s="15" t="str">
        <f>'[1]Other Fittings PRICE'!B16</f>
        <v>Providing and fixing gun metal non-return valve of approved quality (screwed end): 50 mm nominal bore Vertical (18.19.4.2)</v>
      </c>
      <c r="D265" s="15" t="str">
        <f>CONCATENATE(C265," (Code: ",B265,")")</f>
        <v>Providing and fixing gun metal non-return valve of approved quality (screwed end): 50 mm nominal bore Vertical (18.19.4.2) (Code: GWDDR263)</v>
      </c>
      <c r="E265" s="14" t="s">
        <v>17</v>
      </c>
      <c r="F265" s="16" t="s">
        <v>18</v>
      </c>
      <c r="G265" s="16" t="s">
        <v>19</v>
      </c>
      <c r="H265" s="16" t="s">
        <v>341</v>
      </c>
      <c r="I265" s="14">
        <v>0</v>
      </c>
      <c r="J265" s="16">
        <f>'[1]Other Fittings PRICE'!C16</f>
        <v>1146.64</v>
      </c>
      <c r="K265" s="16">
        <f>J265*($L$2-1)</f>
        <v>0</v>
      </c>
      <c r="L265" s="16">
        <f>SUM(I265:K265)</f>
        <v>1146.64</v>
      </c>
    </row>
    <row r="266" spans="1:12" ht="12.75">
      <c r="A266" s="14">
        <v>264</v>
      </c>
      <c r="B266" s="15" t="s">
        <v>349</v>
      </c>
      <c r="C266" s="15" t="str">
        <f>'[1]Other Fittings PRICE'!B17</f>
        <v>Providing and fixing gun metal non-return valve of approved quality (screwed end): 65 mm nominal bore Horizontal (18.19.5.1)</v>
      </c>
      <c r="D266" s="15" t="str">
        <f>CONCATENATE(C266," (Code: ",B266,")")</f>
        <v>Providing and fixing gun metal non-return valve of approved quality (screwed end): 65 mm nominal bore Horizontal (18.19.5.1) (Code: GWDDR264)</v>
      </c>
      <c r="E266" s="14" t="s">
        <v>17</v>
      </c>
      <c r="F266" s="16" t="s">
        <v>18</v>
      </c>
      <c r="G266" s="16" t="s">
        <v>19</v>
      </c>
      <c r="H266" s="16" t="s">
        <v>341</v>
      </c>
      <c r="I266" s="14">
        <v>0</v>
      </c>
      <c r="J266" s="16">
        <f>'[1]Other Fittings PRICE'!C17</f>
        <v>1817.70</v>
      </c>
      <c r="K266" s="16">
        <f>J266*($L$2-1)</f>
        <v>0</v>
      </c>
      <c r="L266" s="16">
        <f>SUM(I266:K266)</f>
        <v>1817.70</v>
      </c>
    </row>
    <row r="267" spans="1:12" ht="12.75">
      <c r="A267" s="14">
        <v>265</v>
      </c>
      <c r="B267" s="15" t="s">
        <v>350</v>
      </c>
      <c r="C267" s="15" t="str">
        <f>'[1]Other Fittings PRICE'!B18</f>
        <v>Providing and fixing gun metal non-return valve of approved quality (screwed end): 65 mm nominal bore Vertical (18.19.5.2)</v>
      </c>
      <c r="D267" s="15" t="str">
        <f>CONCATENATE(C267," (Code: ",B267,")")</f>
        <v>Providing and fixing gun metal non-return valve of approved quality (screwed end): 65 mm nominal bore Vertical (18.19.5.2) (Code: GWDDR265)</v>
      </c>
      <c r="E267" s="14" t="s">
        <v>17</v>
      </c>
      <c r="F267" s="16" t="s">
        <v>18</v>
      </c>
      <c r="G267" s="16" t="s">
        <v>19</v>
      </c>
      <c r="H267" s="16" t="s">
        <v>341</v>
      </c>
      <c r="I267" s="14">
        <v>0</v>
      </c>
      <c r="J267" s="16">
        <f>'[1]Other Fittings PRICE'!C18</f>
        <v>1846.74</v>
      </c>
      <c r="K267" s="16">
        <f>J267*($L$2-1)</f>
        <v>0</v>
      </c>
      <c r="L267" s="16">
        <f>SUM(I267:K267)</f>
        <v>1846.74</v>
      </c>
    </row>
    <row r="268" spans="1:12" ht="12.75">
      <c r="A268" s="14">
        <v>266</v>
      </c>
      <c r="B268" s="15" t="s">
        <v>351</v>
      </c>
      <c r="C268" s="15" t="str">
        <f>'[1]Other Fittings PRICE'!B19</f>
        <v>Providing and fixing gun metal non-return valve of approved quality (screwed end): 80 mm nominal bore Horizontal (18.19.6.1)</v>
      </c>
      <c r="D268" s="15" t="str">
        <f>CONCATENATE(C268," (Code: ",B268,")")</f>
        <v>Providing and fixing gun metal non-return valve of approved quality (screwed end): 80 mm nominal bore Horizontal (18.19.6.1) (Code: GWDDR266)</v>
      </c>
      <c r="E268" s="14" t="s">
        <v>17</v>
      </c>
      <c r="F268" s="16" t="s">
        <v>18</v>
      </c>
      <c r="G268" s="16" t="s">
        <v>19</v>
      </c>
      <c r="H268" s="16" t="s">
        <v>341</v>
      </c>
      <c r="I268" s="14">
        <v>0</v>
      </c>
      <c r="J268" s="16">
        <f>'[1]Other Fittings PRICE'!C19</f>
        <v>2721.38</v>
      </c>
      <c r="K268" s="16">
        <f>J268*($L$2-1)</f>
        <v>0</v>
      </c>
      <c r="L268" s="16">
        <f>SUM(I268:K268)</f>
        <v>2721.38</v>
      </c>
    </row>
    <row r="269" spans="1:12" ht="12.75">
      <c r="A269" s="14">
        <v>267</v>
      </c>
      <c r="B269" s="15" t="s">
        <v>352</v>
      </c>
      <c r="C269" s="15" t="str">
        <f>'[1]Other Fittings PRICE'!B20</f>
        <v>Providing and fixing gun metal non-return valve of approved quality (screwed end): 80 mm nominal bore Vertical (18.19.6.2)</v>
      </c>
      <c r="D269" s="15" t="str">
        <f>CONCATENATE(C269," (Code: ",B269,")")</f>
        <v>Providing and fixing gun metal non-return valve of approved quality (screwed end): 80 mm nominal bore Vertical (18.19.6.2) (Code: GWDDR267)</v>
      </c>
      <c r="E269" s="14" t="s">
        <v>17</v>
      </c>
      <c r="F269" s="16" t="s">
        <v>18</v>
      </c>
      <c r="G269" s="16" t="s">
        <v>19</v>
      </c>
      <c r="H269" s="16" t="s">
        <v>341</v>
      </c>
      <c r="I269" s="14">
        <v>0</v>
      </c>
      <c r="J269" s="16">
        <f>'[1]Other Fittings PRICE'!C20</f>
        <v>3069.83</v>
      </c>
      <c r="K269" s="16">
        <f>J269*($L$2-1)</f>
        <v>0</v>
      </c>
      <c r="L269" s="16">
        <f>SUM(I269:K269)</f>
        <v>3069.83</v>
      </c>
    </row>
    <row r="270" spans="1:12" ht="12.75">
      <c r="A270" s="14">
        <v>268</v>
      </c>
      <c r="B270" s="15" t="s">
        <v>353</v>
      </c>
      <c r="C270" s="15" t="str">
        <f>'[1]Other Fittings PRICE'!B21</f>
        <v>Providing and fixing G.I. Union in G.I pipe including cutting and threading the pipe and making long screws etc. complete ( New work): 15 mm nominal bore (18.46.1)</v>
      </c>
      <c r="D270" s="15" t="str">
        <f>CONCATENATE(C270," (Code: ",B270,")")</f>
        <v>Providing and fixing G.I. Union in G.I pipe including cutting and threading the pipe and making long screws etc. complete ( New work): 15 mm nominal bore (18.46.1) (Code: GWDDR268)</v>
      </c>
      <c r="E270" s="14" t="s">
        <v>17</v>
      </c>
      <c r="F270" s="16" t="s">
        <v>18</v>
      </c>
      <c r="G270" s="16" t="s">
        <v>19</v>
      </c>
      <c r="H270" s="16" t="s">
        <v>354</v>
      </c>
      <c r="I270" s="14">
        <v>0</v>
      </c>
      <c r="J270" s="14">
        <f>'[1]Other Fittings PRICE'!C21</f>
        <v>227.71</v>
      </c>
      <c r="K270" s="16">
        <f>J270*($L$2-1)</f>
        <v>0</v>
      </c>
      <c r="L270" s="16">
        <f>SUM(I270:K270)</f>
        <v>227.71</v>
      </c>
    </row>
    <row r="271" spans="1:12" ht="12.75">
      <c r="A271" s="14">
        <v>269</v>
      </c>
      <c r="B271" s="15" t="s">
        <v>355</v>
      </c>
      <c r="C271" s="15" t="str">
        <f>'[1]Other Fittings PRICE'!B22</f>
        <v>Providing and fixing G.I. Union in G.I pipe including cutting and threading the pipe and making long screws etc. complete ( New work): 20 mm nominal bore (18.46.2)</v>
      </c>
      <c r="D271" s="15" t="str">
        <f>CONCATENATE(C271," (Code: ",B271,")")</f>
        <v>Providing and fixing G.I. Union in G.I pipe including cutting and threading the pipe and making long screws etc. complete ( New work): 20 mm nominal bore (18.46.2) (Code: GWDDR269)</v>
      </c>
      <c r="E271" s="14" t="s">
        <v>17</v>
      </c>
      <c r="F271" s="16" t="s">
        <v>18</v>
      </c>
      <c r="G271" s="16" t="s">
        <v>19</v>
      </c>
      <c r="H271" s="16" t="s">
        <v>354</v>
      </c>
      <c r="I271" s="14">
        <v>0</v>
      </c>
      <c r="J271" s="14">
        <f>'[1]Other Fittings PRICE'!C22</f>
        <v>250.94</v>
      </c>
      <c r="K271" s="16">
        <f>J271*($L$2-1)</f>
        <v>0</v>
      </c>
      <c r="L271" s="16">
        <f>SUM(I271:K271)</f>
        <v>250.94</v>
      </c>
    </row>
    <row r="272" spans="1:12" ht="12.75">
      <c r="A272" s="14">
        <v>270</v>
      </c>
      <c r="B272" s="15" t="s">
        <v>356</v>
      </c>
      <c r="C272" s="15" t="str">
        <f>'[1]Other Fittings PRICE'!B23</f>
        <v>Providing and fixing G.I. Union in G.I pipe including cutting and threading the pipe and making long screws etc. complete ( New work): 25 mm nominal bore (18.46.3)</v>
      </c>
      <c r="D272" s="15" t="str">
        <f>CONCATENATE(C272," (Code: ",B272,")")</f>
        <v>Providing and fixing G.I. Union in G.I pipe including cutting and threading the pipe and making long screws etc. complete ( New work): 25 mm nominal bore (18.46.3) (Code: GWDDR270)</v>
      </c>
      <c r="E272" s="14" t="s">
        <v>17</v>
      </c>
      <c r="F272" s="16" t="s">
        <v>18</v>
      </c>
      <c r="G272" s="16" t="s">
        <v>19</v>
      </c>
      <c r="H272" s="16" t="s">
        <v>354</v>
      </c>
      <c r="I272" s="14">
        <v>0</v>
      </c>
      <c r="J272" s="16">
        <f>'[1]Other Fittings PRICE'!C23</f>
        <v>320.63</v>
      </c>
      <c r="K272" s="16">
        <f>J272*($L$2-1)</f>
        <v>0</v>
      </c>
      <c r="L272" s="16">
        <f>SUM(I272:K272)</f>
        <v>320.63</v>
      </c>
    </row>
    <row r="273" spans="1:12" ht="12.75">
      <c r="A273" s="14">
        <v>271</v>
      </c>
      <c r="B273" s="15" t="s">
        <v>357</v>
      </c>
      <c r="C273" s="15" t="str">
        <f>'[1]Other Fittings PRICE'!B24</f>
        <v>Providing and fixing G.I. Union in G.I pipe including cutting and threading the pipe and making long screws etc. complete ( New work): 32 mm nominal bore (18.46.4)</v>
      </c>
      <c r="D273" s="15" t="str">
        <f>CONCATENATE(C273," (Code: ",B273,")")</f>
        <v>Providing and fixing G.I. Union in G.I pipe including cutting and threading the pipe and making long screws etc. complete ( New work): 32 mm nominal bore (18.46.4) (Code: GWDDR271)</v>
      </c>
      <c r="E273" s="14" t="s">
        <v>17</v>
      </c>
      <c r="F273" s="16" t="s">
        <v>18</v>
      </c>
      <c r="G273" s="16" t="s">
        <v>19</v>
      </c>
      <c r="H273" s="16" t="s">
        <v>354</v>
      </c>
      <c r="I273" s="14">
        <v>0</v>
      </c>
      <c r="J273" s="16">
        <f>'[1]Other Fittings PRICE'!C24</f>
        <v>355.48</v>
      </c>
      <c r="K273" s="16">
        <f>J273*($L$2-1)</f>
        <v>0</v>
      </c>
      <c r="L273" s="16">
        <f>SUM(I273:K273)</f>
        <v>355.48</v>
      </c>
    </row>
    <row r="274" spans="1:12" ht="12.75">
      <c r="A274" s="14">
        <v>272</v>
      </c>
      <c r="B274" s="15" t="s">
        <v>358</v>
      </c>
      <c r="C274" s="15" t="str">
        <f>'[1]Other Fittings PRICE'!B25</f>
        <v>Providing and fixing G.I. Union in G.I pipe including cutting and threading the pipe and making long screws etc. complete ( New work): 40 mm nominal bore (18.46.5)</v>
      </c>
      <c r="D274" s="15" t="str">
        <f>CONCATENATE(C274," (Code: ",B274,")")</f>
        <v>Providing and fixing G.I. Union in G.I pipe including cutting and threading the pipe and making long screws etc. complete ( New work): 40 mm nominal bore (18.46.5) (Code: GWDDR272)</v>
      </c>
      <c r="E274" s="14" t="s">
        <v>17</v>
      </c>
      <c r="F274" s="16" t="s">
        <v>18</v>
      </c>
      <c r="G274" s="16" t="s">
        <v>19</v>
      </c>
      <c r="H274" s="16" t="s">
        <v>354</v>
      </c>
      <c r="I274" s="14">
        <v>0</v>
      </c>
      <c r="J274" s="16">
        <f>'[1]Other Fittings PRICE'!C25</f>
        <v>454.20</v>
      </c>
      <c r="K274" s="16">
        <f>J274*($L$2-1)</f>
        <v>0</v>
      </c>
      <c r="L274" s="16">
        <f>SUM(I274:K274)</f>
        <v>454.20</v>
      </c>
    </row>
    <row r="275" spans="1:12" ht="12.75">
      <c r="A275" s="14">
        <v>273</v>
      </c>
      <c r="B275" s="15" t="s">
        <v>359</v>
      </c>
      <c r="C275" s="15" t="str">
        <f>'[1]Other Fittings PRICE'!B26</f>
        <v>Providing and fixing G.I. Union in G.I pipe including cutting and threading the pipe and making long screws etc. complete ( New work): 50 mm nominal bore (18.46.6)</v>
      </c>
      <c r="D275" s="15" t="str">
        <f>CONCATENATE(C275," (Code: ",B275,")")</f>
        <v>Providing and fixing G.I. Union in G.I pipe including cutting and threading the pipe and making long screws etc. complete ( New work): 50 mm nominal bore (18.46.6) (Code: GWDDR273)</v>
      </c>
      <c r="E275" s="14" t="s">
        <v>17</v>
      </c>
      <c r="F275" s="16" t="s">
        <v>18</v>
      </c>
      <c r="G275" s="16" t="s">
        <v>19</v>
      </c>
      <c r="H275" s="16" t="s">
        <v>354</v>
      </c>
      <c r="I275" s="14">
        <v>0</v>
      </c>
      <c r="J275" s="16">
        <f>'[1]Other Fittings PRICE'!C26</f>
        <v>613.52</v>
      </c>
      <c r="K275" s="16">
        <f>J275*($L$2-1)</f>
        <v>0</v>
      </c>
      <c r="L275" s="16">
        <f>SUM(I275:K275)</f>
        <v>613.52</v>
      </c>
    </row>
    <row r="276" spans="1:12" ht="12.75">
      <c r="A276" s="14">
        <v>274</v>
      </c>
      <c r="B276" s="15" t="s">
        <v>360</v>
      </c>
      <c r="C276" s="15" t="str">
        <f>'[1]Other Fittings PRICE'!B27</f>
        <v>Providing and fixing G.I. Union in G.I pipe including cutting and threading the pipe and making long screws etc. complete ( New work): 65 mm nominal bore (18.46.7)</v>
      </c>
      <c r="D276" s="15" t="str">
        <f>CONCATENATE(C276," (Code: ",B276,")")</f>
        <v>Providing and fixing G.I. Union in G.I pipe including cutting and threading the pipe and making long screws etc. complete ( New work): 65 mm nominal bore (18.46.7) (Code: GWDDR274)</v>
      </c>
      <c r="E276" s="14" t="s">
        <v>17</v>
      </c>
      <c r="F276" s="16" t="s">
        <v>18</v>
      </c>
      <c r="G276" s="16" t="s">
        <v>19</v>
      </c>
      <c r="H276" s="16" t="s">
        <v>354</v>
      </c>
      <c r="I276" s="14">
        <v>0</v>
      </c>
      <c r="J276" s="16">
        <f>'[1]Other Fittings PRICE'!C27</f>
        <v>863.24</v>
      </c>
      <c r="K276" s="16">
        <f>J276*($L$2-1)</f>
        <v>0</v>
      </c>
      <c r="L276" s="16">
        <f>SUM(I276:K276)</f>
        <v>863.24</v>
      </c>
    </row>
    <row r="277" spans="1:12" ht="12.75">
      <c r="A277" s="14">
        <v>275</v>
      </c>
      <c r="B277" s="15" t="s">
        <v>361</v>
      </c>
      <c r="C277" s="15" t="str">
        <f>'[1]Other Fittings PRICE'!B28</f>
        <v>Providing and fixing G.I. Union in G.I pipe including cutting and threading the pipe and making long screws etc. complete ( New work): 80 mm nominal bore (18.46.8)</v>
      </c>
      <c r="D277" s="15" t="str">
        <f>CONCATENATE(C277," (Code: ",B277,")")</f>
        <v>Providing and fixing G.I. Union in G.I pipe including cutting and threading the pipe and making long screws etc. complete ( New work): 80 mm nominal bore (18.46.8) (Code: GWDDR275)</v>
      </c>
      <c r="E277" s="14" t="s">
        <v>17</v>
      </c>
      <c r="F277" s="16" t="s">
        <v>18</v>
      </c>
      <c r="G277" s="16" t="s">
        <v>19</v>
      </c>
      <c r="H277" s="16" t="s">
        <v>354</v>
      </c>
      <c r="I277" s="14">
        <v>0</v>
      </c>
      <c r="J277" s="16">
        <f>'[1]Other Fittings PRICE'!C28</f>
        <v>921.31</v>
      </c>
      <c r="K277" s="16">
        <f>J277*($L$2-1)</f>
        <v>0</v>
      </c>
      <c r="L277" s="16">
        <f>SUM(I277:K277)</f>
        <v>921.31</v>
      </c>
    </row>
    <row r="278" spans="1:12" ht="12.75">
      <c r="A278" s="14">
        <v>276</v>
      </c>
      <c r="B278" s="15" t="s">
        <v>362</v>
      </c>
      <c r="C278" s="15" t="str">
        <f>'[1]Other Fittings PRICE'!B29</f>
        <v>Providing and fixing G.I Union in existing G.I pipe line, cutting and threading the pipe and making long screws, including excavation, refilling the earth or cutting of wall and making good the same complete wherever required: 15 mm nominal bore (18.47.1)</v>
      </c>
      <c r="D278" s="15" t="str">
        <f>CONCATENATE(C278," (Code: ",B278,")")</f>
        <v>Providing and fixing G.I Union in existing G.I pipe line, cutting and threading the pipe and making long screws, including excavation, refilling the earth or cutting of wall and making good the same complete wherever required: 15 mm nominal bore (18.47.1) (Code: GWDDR276)</v>
      </c>
      <c r="E278" s="14" t="s">
        <v>17</v>
      </c>
      <c r="F278" s="16" t="s">
        <v>18</v>
      </c>
      <c r="G278" s="16" t="s">
        <v>19</v>
      </c>
      <c r="H278" s="16" t="s">
        <v>354</v>
      </c>
      <c r="I278" s="14">
        <v>0</v>
      </c>
      <c r="J278" s="14">
        <f>'[1]Other Fittings PRICE'!C29</f>
        <v>592.86</v>
      </c>
      <c r="K278" s="16">
        <f>J278*($L$2-1)</f>
        <v>0</v>
      </c>
      <c r="L278" s="16">
        <f>SUM(I278:K278)</f>
        <v>592.86</v>
      </c>
    </row>
    <row r="279" spans="1:12" ht="12.75">
      <c r="A279" s="14">
        <v>277</v>
      </c>
      <c r="B279" s="15" t="s">
        <v>363</v>
      </c>
      <c r="C279" s="15" t="str">
        <f>'[1]Other Fittings PRICE'!B30</f>
        <v>Providing and fixing G.I Union in existing G.I pipe line, cutting and threading the pipe and making long screws, including excavation, refilling the earth or cutting of wall and making good the same complete wherever required: 20 mm nominal bore (18.47.2)</v>
      </c>
      <c r="D279" s="15" t="str">
        <f>CONCATENATE(C279," (Code: ",B279,")")</f>
        <v>Providing and fixing G.I Union in existing G.I pipe line, cutting and threading the pipe and making long screws, including excavation, refilling the earth or cutting of wall and making good the same complete wherever required: 20 mm nominal bore (18.47.2) (Code: GWDDR277)</v>
      </c>
      <c r="E279" s="14" t="s">
        <v>17</v>
      </c>
      <c r="F279" s="16" t="s">
        <v>18</v>
      </c>
      <c r="G279" s="16" t="s">
        <v>19</v>
      </c>
      <c r="H279" s="16" t="s">
        <v>354</v>
      </c>
      <c r="I279" s="14">
        <v>0</v>
      </c>
      <c r="J279" s="14">
        <f>'[1]Other Fittings PRICE'!C30</f>
        <v>616.09</v>
      </c>
      <c r="K279" s="16">
        <f>J279*($L$2-1)</f>
        <v>0</v>
      </c>
      <c r="L279" s="16">
        <f>SUM(I279:K279)</f>
        <v>616.09</v>
      </c>
    </row>
    <row r="280" spans="1:12" ht="12.75">
      <c r="A280" s="14">
        <v>278</v>
      </c>
      <c r="B280" s="15" t="s">
        <v>364</v>
      </c>
      <c r="C280" s="15" t="str">
        <f>'[1]Other Fittings PRICE'!B31</f>
        <v>Providing and fixing G.I Union in existing G.I pipe line, cutting and threading the pipe and making long screws, including excavation, refilling the earth or cutting of wall and making good the same complete wherever required: 25 mm nominal bore (18.47.3)</v>
      </c>
      <c r="D280" s="15" t="str">
        <f>CONCATENATE(C280," (Code: ",B280,")")</f>
        <v>Providing and fixing G.I Union in existing G.I pipe line, cutting and threading the pipe and making long screws, including excavation, refilling the earth or cutting of wall and making good the same complete wherever required: 25 mm nominal bore (18.47.3) (Code: GWDDR278)</v>
      </c>
      <c r="E280" s="14" t="s">
        <v>17</v>
      </c>
      <c r="F280" s="16" t="s">
        <v>18</v>
      </c>
      <c r="G280" s="16" t="s">
        <v>19</v>
      </c>
      <c r="H280" s="16" t="s">
        <v>354</v>
      </c>
      <c r="I280" s="14">
        <v>0</v>
      </c>
      <c r="J280" s="14">
        <f>'[1]Other Fittings PRICE'!C31</f>
        <v>685.78</v>
      </c>
      <c r="K280" s="16">
        <f>J280*($L$2-1)</f>
        <v>0</v>
      </c>
      <c r="L280" s="16">
        <f>SUM(I280:K280)</f>
        <v>685.78</v>
      </c>
    </row>
    <row r="281" spans="1:12" ht="12.75">
      <c r="A281" s="14">
        <v>279</v>
      </c>
      <c r="B281" s="15" t="s">
        <v>365</v>
      </c>
      <c r="C281" s="15" t="str">
        <f>'[1]Other Fittings PRICE'!B32</f>
        <v>Providing and fixing G.I Union in existing G.I pipe line, cutting and threading the pipe and making long screws, including excavation, refilling the earth or cutting of wall and making good the same complete wherever required: 32 mm nominal bore (18.47.4)</v>
      </c>
      <c r="D281" s="15" t="str">
        <f>CONCATENATE(C281," (Code: ",B281,")")</f>
        <v>Providing and fixing G.I Union in existing G.I pipe line, cutting and threading the pipe and making long screws, including excavation, refilling the earth or cutting of wall and making good the same complete wherever required: 32 mm nominal bore (18.47.4) (Code: GWDDR279)</v>
      </c>
      <c r="E281" s="14" t="s">
        <v>17</v>
      </c>
      <c r="F281" s="16" t="s">
        <v>18</v>
      </c>
      <c r="G281" s="16" t="s">
        <v>19</v>
      </c>
      <c r="H281" s="16" t="s">
        <v>354</v>
      </c>
      <c r="I281" s="14">
        <v>0</v>
      </c>
      <c r="J281" s="14">
        <f>'[1]Other Fittings PRICE'!C32</f>
        <v>720.63</v>
      </c>
      <c r="K281" s="16">
        <f>J281*($L$2-1)</f>
        <v>0</v>
      </c>
      <c r="L281" s="16">
        <f>SUM(I281:K281)</f>
        <v>720.63</v>
      </c>
    </row>
    <row r="282" spans="1:12" ht="12.75">
      <c r="A282" s="14">
        <v>280</v>
      </c>
      <c r="B282" s="15" t="s">
        <v>366</v>
      </c>
      <c r="C282" s="15" t="str">
        <f>'[1]Other Fittings PRICE'!B33</f>
        <v>Providing and fixing G.I Union in existing G.I pipe line, cutting and threading the pipe and making long screws, including excavation, refilling the earth or cutting of wall and making good the same complete wherever required: 40 mm nominal bore (18.47.5)</v>
      </c>
      <c r="D282" s="15" t="str">
        <f>CONCATENATE(C282," (Code: ",B282,")")</f>
        <v>Providing and fixing G.I Union in existing G.I pipe line, cutting and threading the pipe and making long screws, including excavation, refilling the earth or cutting of wall and making good the same complete wherever required: 40 mm nominal bore (18.47.5) (Code: GWDDR280)</v>
      </c>
      <c r="E282" s="14" t="s">
        <v>17</v>
      </c>
      <c r="F282" s="16" t="s">
        <v>18</v>
      </c>
      <c r="G282" s="16" t="s">
        <v>19</v>
      </c>
      <c r="H282" s="16" t="s">
        <v>354</v>
      </c>
      <c r="I282" s="14">
        <v>0</v>
      </c>
      <c r="J282" s="14">
        <f>'[1]Other Fittings PRICE'!C33</f>
        <v>819.36</v>
      </c>
      <c r="K282" s="16">
        <f>J282*($L$2-1)</f>
        <v>0</v>
      </c>
      <c r="L282" s="16">
        <f>SUM(I282:K282)</f>
        <v>819.36</v>
      </c>
    </row>
    <row r="283" spans="1:12" ht="12.75">
      <c r="A283" s="14">
        <v>281</v>
      </c>
      <c r="B283" s="15" t="s">
        <v>367</v>
      </c>
      <c r="C283" s="15" t="str">
        <f>'[1]Other Fittings PRICE'!B34</f>
        <v>Providing and fixing G.I Union in existing G.I pipe line, cutting and threading the pipe and making long screws, including excavation, refilling the earth or cutting of wall and making good the same complete wherever required: 50 mm nominal bore (18.47.6)</v>
      </c>
      <c r="D283" s="15" t="str">
        <f>CONCATENATE(C283," (Code: ",B283,")")</f>
        <v>Providing and fixing G.I Union in existing G.I pipe line, cutting and threading the pipe and making long screws, including excavation, refilling the earth or cutting of wall and making good the same complete wherever required: 50 mm nominal bore (18.47.6) (Code: GWDDR281)</v>
      </c>
      <c r="E283" s="14" t="s">
        <v>17</v>
      </c>
      <c r="F283" s="16" t="s">
        <v>18</v>
      </c>
      <c r="G283" s="16" t="s">
        <v>19</v>
      </c>
      <c r="H283" s="16" t="s">
        <v>354</v>
      </c>
      <c r="I283" s="14">
        <v>0</v>
      </c>
      <c r="J283" s="16">
        <f>'[1]Other Fittings PRICE'!C34</f>
        <v>1111.45</v>
      </c>
      <c r="K283" s="16">
        <f>J283*($L$2-1)</f>
        <v>0</v>
      </c>
      <c r="L283" s="16">
        <f>SUM(I283:K283)</f>
        <v>1111.45</v>
      </c>
    </row>
    <row r="284" spans="1:12" ht="12.75">
      <c r="A284" s="14">
        <v>282</v>
      </c>
      <c r="B284" s="15" t="s">
        <v>368</v>
      </c>
      <c r="C284" s="15" t="str">
        <f>'[1]Other Fittings PRICE'!B35</f>
        <v>Providing and fixing G.I Union in existing G.I pipe line, cutting and threading the pipe and making long screws, including excavation, refilling the earth or cutting of wall and making good the same complete wherever required: 65 mm nominal bore (18.47.7)</v>
      </c>
      <c r="D284" s="15" t="str">
        <f>CONCATENATE(C284," (Code: ",B284,")")</f>
        <v>Providing and fixing G.I Union in existing G.I pipe line, cutting and threading the pipe and making long screws, including excavation, refilling the earth or cutting of wall and making good the same complete wherever required: 65 mm nominal bore (18.47.7) (Code: GWDDR282)</v>
      </c>
      <c r="E284" s="14" t="s">
        <v>17</v>
      </c>
      <c r="F284" s="16" t="s">
        <v>18</v>
      </c>
      <c r="G284" s="16" t="s">
        <v>19</v>
      </c>
      <c r="H284" s="16" t="s">
        <v>354</v>
      </c>
      <c r="I284" s="14">
        <v>0</v>
      </c>
      <c r="J284" s="16">
        <f>'[1]Other Fittings PRICE'!C35</f>
        <v>1361.17</v>
      </c>
      <c r="K284" s="16">
        <f>J284*($L$2-1)</f>
        <v>0</v>
      </c>
      <c r="L284" s="16">
        <f>SUM(I284:K284)</f>
        <v>1361.17</v>
      </c>
    </row>
    <row r="285" spans="1:12" ht="12.75">
      <c r="A285" s="14">
        <v>283</v>
      </c>
      <c r="B285" s="15" t="s">
        <v>369</v>
      </c>
      <c r="C285" s="15" t="str">
        <f>'[1]Other Fittings PRICE'!B36</f>
        <v>Providing and fixing G.I Union in existing G.I pipe line, cutting and threading the pipe and making long screws, including excavation, refilling the earth or cutting of wall and making good the same complete wherever required: 80 mm nominal bore (18.47.8)</v>
      </c>
      <c r="D285" s="15" t="str">
        <f>CONCATENATE(C285," (Code: ",B285,")")</f>
        <v>Providing and fixing G.I Union in existing G.I pipe line, cutting and threading the pipe and making long screws, including excavation, refilling the earth or cutting of wall and making good the same complete wherever required: 80 mm nominal bore (18.47.8) (Code: GWDDR283)</v>
      </c>
      <c r="E285" s="14" t="s">
        <v>17</v>
      </c>
      <c r="F285" s="16" t="s">
        <v>18</v>
      </c>
      <c r="G285" s="16" t="s">
        <v>19</v>
      </c>
      <c r="H285" s="16" t="s">
        <v>354</v>
      </c>
      <c r="I285" s="14">
        <v>0</v>
      </c>
      <c r="J285" s="16">
        <f>'[1]Other Fittings PRICE'!C36</f>
        <v>1419.25</v>
      </c>
      <c r="K285" s="16">
        <f>J285*($L$2-1)</f>
        <v>0</v>
      </c>
      <c r="L285" s="16">
        <f>SUM(I285:K285)</f>
        <v>1419.25</v>
      </c>
    </row>
    <row r="286" spans="1:12" ht="12.75">
      <c r="A286" s="14">
        <v>284</v>
      </c>
      <c r="B286" s="15" t="s">
        <v>370</v>
      </c>
      <c r="C286" s="15" t="str">
        <f>'[1]HDPE Pipe PRICE'!B2</f>
        <v>Supply of HDPE Pipe PE 100 (IS 4984/1995), 8kg, 50mm Outer Dia. (100.98.131)</v>
      </c>
      <c r="D286" s="15" t="str">
        <f>CONCATENATE(C286," (Code: ",B286,")")</f>
        <v>Supply of HDPE Pipe PE 100 (IS 4984/1995), 8kg, 50mm Outer Dia. (100.98.131) (Code: GWDDR284)</v>
      </c>
      <c r="E286" s="14" t="s">
        <v>28</v>
      </c>
      <c r="F286" s="16" t="s">
        <v>18</v>
      </c>
      <c r="G286" s="16" t="s">
        <v>19</v>
      </c>
      <c r="H286" s="16" t="s">
        <v>371</v>
      </c>
      <c r="I286" s="14">
        <f>'[1]HDPE Pipe PRICE'!C2</f>
        <v>73.73</v>
      </c>
      <c r="J286" s="14">
        <v>0</v>
      </c>
      <c r="K286" s="16">
        <f>J286*($L$2-1)</f>
        <v>0</v>
      </c>
      <c r="L286" s="16">
        <f>SUM(I286:K286)</f>
        <v>73.73</v>
      </c>
    </row>
    <row r="287" spans="1:12" ht="12.75">
      <c r="A287" s="14">
        <v>285</v>
      </c>
      <c r="B287" s="15" t="s">
        <v>372</v>
      </c>
      <c r="C287" s="15" t="str">
        <f>'[1]HDPE Pipe PRICE'!B3</f>
        <v>Supply of HDPE Pipe PE 100 (IS 4984/1995), 8kg, 63mm Outer Dia. (100.98.132)</v>
      </c>
      <c r="D287" s="15" t="str">
        <f>CONCATENATE(C287," (Code: ",B287,")")</f>
        <v>Supply of HDPE Pipe PE 100 (IS 4984/1995), 8kg, 63mm Outer Dia. (100.98.132) (Code: GWDDR285)</v>
      </c>
      <c r="E287" s="14" t="s">
        <v>28</v>
      </c>
      <c r="F287" s="16" t="s">
        <v>18</v>
      </c>
      <c r="G287" s="16" t="s">
        <v>19</v>
      </c>
      <c r="H287" s="16" t="s">
        <v>371</v>
      </c>
      <c r="I287" s="14">
        <f>'[1]HDPE Pipe PRICE'!C3</f>
        <v>103.22</v>
      </c>
      <c r="J287" s="14">
        <v>0</v>
      </c>
      <c r="K287" s="16">
        <f>J287*($L$2-1)</f>
        <v>0</v>
      </c>
      <c r="L287" s="16">
        <f>SUM(I287:K287)</f>
        <v>103.22</v>
      </c>
    </row>
    <row r="288" spans="1:12" ht="12.75">
      <c r="A288" s="14">
        <v>286</v>
      </c>
      <c r="B288" s="15" t="s">
        <v>373</v>
      </c>
      <c r="C288" s="15" t="str">
        <f>'[1]HDPE Pipe PRICE'!B4</f>
        <v>Supply of HDPE Pipe PE 100 (IS 4984/1995), 8kg, 75mm Outer Dia. (100.98.133)</v>
      </c>
      <c r="D288" s="15" t="str">
        <f>CONCATENATE(C288," (Code: ",B288,")")</f>
        <v>Supply of HDPE Pipe PE 100 (IS 4984/1995), 8kg, 75mm Outer Dia. (100.98.133) (Code: GWDDR286)</v>
      </c>
      <c r="E288" s="14" t="s">
        <v>28</v>
      </c>
      <c r="F288" s="16" t="s">
        <v>18</v>
      </c>
      <c r="G288" s="16" t="s">
        <v>19</v>
      </c>
      <c r="H288" s="16" t="s">
        <v>371</v>
      </c>
      <c r="I288" s="14">
        <f>'[1]HDPE Pipe PRICE'!C4</f>
        <v>150.40</v>
      </c>
      <c r="J288" s="14">
        <v>0</v>
      </c>
      <c r="K288" s="16">
        <f>J288*($L$2-1)</f>
        <v>0</v>
      </c>
      <c r="L288" s="16">
        <f>SUM(I288:K288)</f>
        <v>150.40</v>
      </c>
    </row>
    <row r="289" spans="1:12" ht="12.75">
      <c r="A289" s="14">
        <v>287</v>
      </c>
      <c r="B289" s="15" t="s">
        <v>374</v>
      </c>
      <c r="C289" s="15" t="str">
        <f>'[1]HDPE Pipe PRICE'!B5</f>
        <v>Supply of HDPE Pipe PE 100 (IS 4984/1995), 8kg, 90mm Outer Dia. (100.98.134)</v>
      </c>
      <c r="D289" s="15" t="str">
        <f>CONCATENATE(C289," (Code: ",B289,")")</f>
        <v>Supply of HDPE Pipe PE 100 (IS 4984/1995), 8kg, 90mm Outer Dia. (100.98.134) (Code: GWDDR287)</v>
      </c>
      <c r="E289" s="14" t="s">
        <v>28</v>
      </c>
      <c r="F289" s="16" t="s">
        <v>18</v>
      </c>
      <c r="G289" s="16" t="s">
        <v>19</v>
      </c>
      <c r="H289" s="16" t="s">
        <v>371</v>
      </c>
      <c r="I289" s="14">
        <f>'[1]HDPE Pipe PRICE'!C5</f>
        <v>212.57</v>
      </c>
      <c r="J289" s="14">
        <v>0</v>
      </c>
      <c r="K289" s="16">
        <f>J289*($L$2-1)</f>
        <v>0</v>
      </c>
      <c r="L289" s="16">
        <f>SUM(I289:K289)</f>
        <v>212.57</v>
      </c>
    </row>
    <row r="290" spans="1:12" ht="12.75">
      <c r="A290" s="14">
        <v>288</v>
      </c>
      <c r="B290" s="15" t="s">
        <v>375</v>
      </c>
      <c r="C290" s="15" t="str">
        <f>'[1]HDPE Pipe PRICE'!B6</f>
        <v>Supply of HDPE Pipe PE 100 (IS 4984/1995), 8kg, 110mm Outer Dia. (100.98.135)</v>
      </c>
      <c r="D290" s="15" t="str">
        <f>CONCATENATE(C290," (Code: ",B290,")")</f>
        <v>Supply of HDPE Pipe PE 100 (IS 4984/1995), 8kg, 110mm Outer Dia. (100.98.135) (Code: GWDDR288)</v>
      </c>
      <c r="E290" s="14" t="s">
        <v>28</v>
      </c>
      <c r="F290" s="16" t="s">
        <v>18</v>
      </c>
      <c r="G290" s="16" t="s">
        <v>19</v>
      </c>
      <c r="H290" s="16" t="s">
        <v>371</v>
      </c>
      <c r="I290" s="16">
        <f>'[1]HDPE Pipe PRICE'!C6</f>
        <v>316.40</v>
      </c>
      <c r="J290" s="14">
        <v>0</v>
      </c>
      <c r="K290" s="16">
        <f>J290*($L$2-1)</f>
        <v>0</v>
      </c>
      <c r="L290" s="16">
        <f>SUM(I290:K290)</f>
        <v>316.40</v>
      </c>
    </row>
    <row r="291" spans="1:12" ht="12.75">
      <c r="A291" s="14">
        <v>289</v>
      </c>
      <c r="B291" s="15" t="s">
        <v>376</v>
      </c>
      <c r="C291" s="15" t="str">
        <f>'[1]HDPE Pipe PRICE'!B7</f>
        <v>Supply of HDPE Pipe PE 100 (IS 4984/1995), 8kg, 125mm Outer Dia. (100.98.136)</v>
      </c>
      <c r="D291" s="15" t="str">
        <f>CONCATENATE(C291," (Code: ",B291,")")</f>
        <v>Supply of HDPE Pipe PE 100 (IS 4984/1995), 8kg, 125mm Outer Dia. (100.98.136) (Code: GWDDR289)</v>
      </c>
      <c r="E291" s="14" t="s">
        <v>28</v>
      </c>
      <c r="F291" s="16" t="s">
        <v>18</v>
      </c>
      <c r="G291" s="16" t="s">
        <v>19</v>
      </c>
      <c r="H291" s="16" t="s">
        <v>371</v>
      </c>
      <c r="I291" s="16">
        <f>'[1]HDPE Pipe PRICE'!C7</f>
        <v>418.99</v>
      </c>
      <c r="J291" s="14">
        <v>0</v>
      </c>
      <c r="K291" s="16">
        <f>J291*($L$2-1)</f>
        <v>0</v>
      </c>
      <c r="L291" s="16">
        <f>SUM(I291:K291)</f>
        <v>418.99</v>
      </c>
    </row>
    <row r="292" spans="1:12" ht="12.75">
      <c r="A292" s="14">
        <v>290</v>
      </c>
      <c r="B292" s="15" t="s">
        <v>377</v>
      </c>
      <c r="C292" s="15" t="str">
        <f>'[1]HDPE Pipe PRICE'!B8</f>
        <v>Supply of HDPE Pipe PE 100 (IS 4984/1995), 8kg, 140mm Outer Dia. (100.98.137)</v>
      </c>
      <c r="D292" s="15" t="str">
        <f>CONCATENATE(C292," (Code: ",B292,")")</f>
        <v>Supply of HDPE Pipe PE 100 (IS 4984/1995), 8kg, 140mm Outer Dia. (100.98.137) (Code: GWDDR290)</v>
      </c>
      <c r="E292" s="14" t="s">
        <v>28</v>
      </c>
      <c r="F292" s="16" t="s">
        <v>18</v>
      </c>
      <c r="G292" s="16" t="s">
        <v>19</v>
      </c>
      <c r="H292" s="16" t="s">
        <v>371</v>
      </c>
      <c r="I292" s="14">
        <f>'[1]HDPE Pipe PRICE'!C8</f>
        <v>525.25</v>
      </c>
      <c r="J292" s="14">
        <v>0</v>
      </c>
      <c r="K292" s="16">
        <f>J292*($L$2-1)</f>
        <v>0</v>
      </c>
      <c r="L292" s="16">
        <f>SUM(I292:K292)</f>
        <v>525.25</v>
      </c>
    </row>
    <row r="293" spans="1:12" ht="12.75">
      <c r="A293" s="14">
        <v>291</v>
      </c>
      <c r="B293" s="15" t="s">
        <v>378</v>
      </c>
      <c r="C293" s="15" t="str">
        <f>'[1]HDPE Pipe PRICE'!B9</f>
        <v>Supply of HDPE Pipe PE 100 (IS 4984/1995), 8kg, 160mm Outer Dia. (100.98.138)</v>
      </c>
      <c r="D293" s="15" t="str">
        <f>CONCATENATE(C293," (Code: ",B293,")")</f>
        <v>Supply of HDPE Pipe PE 100 (IS 4984/1995), 8kg, 160mm Outer Dia. (100.98.138) (Code: GWDDR291)</v>
      </c>
      <c r="E293" s="14" t="s">
        <v>28</v>
      </c>
      <c r="F293" s="16" t="s">
        <v>18</v>
      </c>
      <c r="G293" s="16" t="s">
        <v>19</v>
      </c>
      <c r="H293" s="16" t="s">
        <v>371</v>
      </c>
      <c r="I293" s="14">
        <f>'[1]HDPE Pipe PRICE'!C9</f>
        <v>689.21</v>
      </c>
      <c r="J293" s="14">
        <v>0</v>
      </c>
      <c r="K293" s="16">
        <f>J293*($L$2-1)</f>
        <v>0</v>
      </c>
      <c r="L293" s="16">
        <f>SUM(I293:K293)</f>
        <v>689.21</v>
      </c>
    </row>
    <row r="294" spans="1:12" ht="12.75">
      <c r="A294" s="14">
        <v>292</v>
      </c>
      <c r="B294" s="15" t="s">
        <v>379</v>
      </c>
      <c r="C294" s="15" t="str">
        <f>'[1]HDPE Pipe PRICE'!B10</f>
        <v>Supply of HDPE Pipe PE 100 (IS 4984/1995), 8kg, 180mm Outer Dia. (100.98.139)</v>
      </c>
      <c r="D294" s="15" t="str">
        <f>CONCATENATE(C294," (Code: ",B294,")")</f>
        <v>Supply of HDPE Pipe PE 100 (IS 4984/1995), 8kg, 180mm Outer Dia. (100.98.139) (Code: GWDDR292)</v>
      </c>
      <c r="E294" s="14" t="s">
        <v>28</v>
      </c>
      <c r="F294" s="16" t="s">
        <v>18</v>
      </c>
      <c r="G294" s="16" t="s">
        <v>19</v>
      </c>
      <c r="H294" s="16" t="s">
        <v>371</v>
      </c>
      <c r="I294" s="14">
        <f>'[1]HDPE Pipe PRICE'!C10</f>
        <v>865.31</v>
      </c>
      <c r="J294" s="14">
        <v>0</v>
      </c>
      <c r="K294" s="16">
        <f>J294*($L$2-1)</f>
        <v>0</v>
      </c>
      <c r="L294" s="16">
        <f>SUM(I294:K294)</f>
        <v>865.31</v>
      </c>
    </row>
    <row r="295" spans="1:12" ht="12.75">
      <c r="A295" s="14">
        <v>293</v>
      </c>
      <c r="B295" s="15" t="s">
        <v>380</v>
      </c>
      <c r="C295" s="15" t="str">
        <f>'[1]HDPE Pipe PRICE'!B11</f>
        <v>Supply of HDPE Pipe PE 100 (IS 4984/1995), 8kg, 200mm Outer Dia. (100.98.140)</v>
      </c>
      <c r="D295" s="15" t="str">
        <f>CONCATENATE(C295," (Code: ",B295,")")</f>
        <v>Supply of HDPE Pipe PE 100 (IS 4984/1995), 8kg, 200mm Outer Dia. (100.98.140) (Code: GWDDR293)</v>
      </c>
      <c r="E295" s="14" t="s">
        <v>28</v>
      </c>
      <c r="F295" s="16" t="s">
        <v>18</v>
      </c>
      <c r="G295" s="16" t="s">
        <v>19</v>
      </c>
      <c r="H295" s="16" t="s">
        <v>371</v>
      </c>
      <c r="I295" s="14">
        <f>'[1]HDPE Pipe PRICE'!C11</f>
        <v>1068.73</v>
      </c>
      <c r="J295" s="14">
        <v>0</v>
      </c>
      <c r="K295" s="16">
        <f>J295*($L$2-1)</f>
        <v>0</v>
      </c>
      <c r="L295" s="16">
        <f>SUM(I295:K295)</f>
        <v>1068.73</v>
      </c>
    </row>
    <row r="296" spans="1:12" ht="12.75">
      <c r="A296" s="14">
        <v>294</v>
      </c>
      <c r="B296" s="15" t="s">
        <v>381</v>
      </c>
      <c r="C296" s="15" t="str">
        <f>'[1]HDPE Pipe PRICE'!B12</f>
        <v>Supply of HDPE Pipe PE 100 (IS 4984/1995), 8kg, 225mm Outer Dia. (100.98.141)</v>
      </c>
      <c r="D296" s="15" t="str">
        <f>CONCATENATE(C296," (Code: ",B296,")")</f>
        <v>Supply of HDPE Pipe PE 100 (IS 4984/1995), 8kg, 225mm Outer Dia. (100.98.141) (Code: GWDDR294)</v>
      </c>
      <c r="E296" s="14" t="s">
        <v>28</v>
      </c>
      <c r="F296" s="16" t="s">
        <v>18</v>
      </c>
      <c r="G296" s="16" t="s">
        <v>19</v>
      </c>
      <c r="H296" s="16" t="s">
        <v>371</v>
      </c>
      <c r="I296" s="14">
        <f>'[1]HDPE Pipe PRICE'!C12</f>
        <v>1349.57</v>
      </c>
      <c r="J296" s="14">
        <v>0</v>
      </c>
      <c r="K296" s="16">
        <f>J296*($L$2-1)</f>
        <v>0</v>
      </c>
      <c r="L296" s="16">
        <f>SUM(I296:K296)</f>
        <v>1349.57</v>
      </c>
    </row>
    <row r="297" spans="1:12" ht="12.75">
      <c r="A297" s="14">
        <v>295</v>
      </c>
      <c r="B297" s="15" t="s">
        <v>382</v>
      </c>
      <c r="C297" s="15" t="str">
        <f>'[1]HDPE Pipe PRICE'!B13</f>
        <v>Supply of HDPE Pipe PE 100 (IS 4984/1995), 8kg, 250mm Outer Dia. (100.98.142)</v>
      </c>
      <c r="D297" s="15" t="str">
        <f>CONCATENATE(C297," (Code: ",B297,")")</f>
        <v>Supply of HDPE Pipe PE 100 (IS 4984/1995), 8kg, 250mm Outer Dia. (100.98.142) (Code: GWDDR295)</v>
      </c>
      <c r="E297" s="14" t="s">
        <v>28</v>
      </c>
      <c r="F297" s="16" t="s">
        <v>18</v>
      </c>
      <c r="G297" s="16" t="s">
        <v>19</v>
      </c>
      <c r="H297" s="16" t="s">
        <v>371</v>
      </c>
      <c r="I297" s="14">
        <f>'[1]HDPE Pipe PRICE'!C13</f>
        <v>1660.78</v>
      </c>
      <c r="J297" s="14">
        <v>0</v>
      </c>
      <c r="K297" s="16">
        <f>J297*($L$2-1)</f>
        <v>0</v>
      </c>
      <c r="L297" s="16">
        <f>SUM(I297:K297)</f>
        <v>1660.78</v>
      </c>
    </row>
    <row r="298" spans="1:12" ht="12.75">
      <c r="A298" s="14">
        <v>296</v>
      </c>
      <c r="B298" s="15" t="s">
        <v>383</v>
      </c>
      <c r="C298" s="15" t="str">
        <f>'[1]HDPE Pipe PRICE'!B14</f>
        <v>Supply of HDPE Pipe PE 100 (IS 4984/1995), 8kg, 280mm Outer Dia. (100.98.143)</v>
      </c>
      <c r="D298" s="15" t="str">
        <f>CONCATENATE(C298," (Code: ",B298,")")</f>
        <v>Supply of HDPE Pipe PE 100 (IS 4984/1995), 8kg, 280mm Outer Dia. (100.98.143) (Code: GWDDR296)</v>
      </c>
      <c r="E298" s="14" t="s">
        <v>28</v>
      </c>
      <c r="F298" s="16" t="s">
        <v>18</v>
      </c>
      <c r="G298" s="16" t="s">
        <v>19</v>
      </c>
      <c r="H298" s="16" t="s">
        <v>371</v>
      </c>
      <c r="I298" s="16">
        <f>'[1]HDPE Pipe PRICE'!C14</f>
        <v>2087.37</v>
      </c>
      <c r="J298" s="14">
        <v>0</v>
      </c>
      <c r="K298" s="16">
        <f>J298*($L$2-1)</f>
        <v>0</v>
      </c>
      <c r="L298" s="16">
        <f>SUM(I298:K298)</f>
        <v>2087.37</v>
      </c>
    </row>
    <row r="299" spans="1:12" ht="12.75">
      <c r="A299" s="14">
        <v>297</v>
      </c>
      <c r="B299" s="15" t="s">
        <v>384</v>
      </c>
      <c r="C299" s="15" t="str">
        <f>'[1]HDPE Pipe PRICE'!B15</f>
        <v>Supply of HDPE Pipe PE 100 (IS 4984/1995), 8kg, 315mm Outer Dia. (100.98.144)</v>
      </c>
      <c r="D299" s="15" t="str">
        <f>CONCATENATE(C299," (Code: ",B299,")")</f>
        <v>Supply of HDPE Pipe PE 100 (IS 4984/1995), 8kg, 315mm Outer Dia. (100.98.144) (Code: GWDDR297)</v>
      </c>
      <c r="E299" s="14" t="s">
        <v>28</v>
      </c>
      <c r="F299" s="16" t="s">
        <v>18</v>
      </c>
      <c r="G299" s="16" t="s">
        <v>19</v>
      </c>
      <c r="H299" s="16" t="s">
        <v>371</v>
      </c>
      <c r="I299" s="16">
        <f>'[1]HDPE Pipe PRICE'!C15</f>
        <v>2644.49</v>
      </c>
      <c r="J299" s="14">
        <v>0</v>
      </c>
      <c r="K299" s="16">
        <f>J299*($L$2-1)</f>
        <v>0</v>
      </c>
      <c r="L299" s="16">
        <f>SUM(I299:K299)</f>
        <v>2644.49</v>
      </c>
    </row>
    <row r="300" spans="1:12" ht="12.75">
      <c r="A300" s="14">
        <v>298</v>
      </c>
      <c r="B300" s="15" t="s">
        <v>385</v>
      </c>
      <c r="C300" s="15" t="str">
        <f>'[1]HDPE Pipe PRICE'!B16</f>
        <v>Supply of HDPE Pipe PE 100 (IS 4984/1995), 8kg, 355mm Outer Dia. (100.98.145)</v>
      </c>
      <c r="D300" s="15" t="str">
        <f>CONCATENATE(C300," (Code: ",B300,")")</f>
        <v>Supply of HDPE Pipe PE 100 (IS 4984/1995), 8kg, 355mm Outer Dia. (100.98.145) (Code: GWDDR298)</v>
      </c>
      <c r="E300" s="14" t="s">
        <v>28</v>
      </c>
      <c r="F300" s="16" t="s">
        <v>18</v>
      </c>
      <c r="G300" s="16" t="s">
        <v>19</v>
      </c>
      <c r="H300" s="16" t="s">
        <v>371</v>
      </c>
      <c r="I300" s="16">
        <f>'[1]HDPE Pipe PRICE'!C16</f>
        <v>3475.43</v>
      </c>
      <c r="J300" s="14">
        <v>0</v>
      </c>
      <c r="K300" s="16">
        <f>J300*($L$2-1)</f>
        <v>0</v>
      </c>
      <c r="L300" s="16">
        <f>SUM(I300:K300)</f>
        <v>3475.43</v>
      </c>
    </row>
    <row r="301" spans="1:12" ht="12.75">
      <c r="A301" s="14">
        <v>299</v>
      </c>
      <c r="B301" s="15" t="s">
        <v>386</v>
      </c>
      <c r="C301" s="15" t="str">
        <f>'[1]HDPE Pipe PRICE'!B17</f>
        <v>Supply of HDPE Pipe PE 100 (IS 4984/1995), 8kg, 400mm Outer Dia. (100.98.146)</v>
      </c>
      <c r="D301" s="15" t="str">
        <f>CONCATENATE(C301," (Code: ",B301,")")</f>
        <v>Supply of HDPE Pipe PE 100 (IS 4984/1995), 8kg, 400mm Outer Dia. (100.98.146) (Code: GWDDR299)</v>
      </c>
      <c r="E301" s="14" t="s">
        <v>28</v>
      </c>
      <c r="F301" s="16" t="s">
        <v>18</v>
      </c>
      <c r="G301" s="16" t="s">
        <v>19</v>
      </c>
      <c r="H301" s="16" t="s">
        <v>371</v>
      </c>
      <c r="I301" s="16">
        <f>'[1]HDPE Pipe PRICE'!C17</f>
        <v>4422.69</v>
      </c>
      <c r="J301" s="14">
        <v>0</v>
      </c>
      <c r="K301" s="16">
        <f>J301*($L$2-1)</f>
        <v>0</v>
      </c>
      <c r="L301" s="16">
        <f>SUM(I301:K301)</f>
        <v>4422.69</v>
      </c>
    </row>
    <row r="302" spans="1:12" ht="12.75">
      <c r="A302" s="14">
        <v>300</v>
      </c>
      <c r="B302" s="15" t="s">
        <v>387</v>
      </c>
      <c r="C302" s="15" t="str">
        <f>'[1]HDPE Pipe PRICE'!B18</f>
        <v>Supply of HDPE Pipe PE 100 (IS 4984/1995), 8kg, 450mm Outer Dia. (100.98.147)</v>
      </c>
      <c r="D302" s="15" t="str">
        <f>CONCATENATE(C302," (Code: ",B302,")")</f>
        <v>Supply of HDPE Pipe PE 100 (IS 4984/1995), 8kg, 450mm Outer Dia. (100.98.147) (Code: GWDDR300)</v>
      </c>
      <c r="E302" s="14" t="s">
        <v>28</v>
      </c>
      <c r="F302" s="16" t="s">
        <v>18</v>
      </c>
      <c r="G302" s="16" t="s">
        <v>19</v>
      </c>
      <c r="H302" s="16" t="s">
        <v>371</v>
      </c>
      <c r="I302" s="16">
        <f>'[1]HDPE Pipe PRICE'!C18</f>
        <v>6779.87</v>
      </c>
      <c r="J302" s="14">
        <v>0</v>
      </c>
      <c r="K302" s="16">
        <f>J302*($L$2-1)</f>
        <v>0</v>
      </c>
      <c r="L302" s="16">
        <f>SUM(I302:K302)</f>
        <v>6779.87</v>
      </c>
    </row>
    <row r="303" spans="1:12" ht="12.75">
      <c r="A303" s="14">
        <v>301</v>
      </c>
      <c r="B303" s="15" t="s">
        <v>388</v>
      </c>
      <c r="C303" s="15" t="str">
        <f>'[1]HDPE Pipe PRICE'!B19</f>
        <v>Supply of HDPE Pipe PE 100 (IS 4984/1995), 8kg, 500mm Outer Dia. (100.98.148)</v>
      </c>
      <c r="D303" s="15" t="str">
        <f>CONCATENATE(C303," (Code: ",B303,")")</f>
        <v>Supply of HDPE Pipe PE 100 (IS 4984/1995), 8kg, 500mm Outer Dia. (100.98.148) (Code: GWDDR301)</v>
      </c>
      <c r="E303" s="14" t="s">
        <v>28</v>
      </c>
      <c r="F303" s="16" t="s">
        <v>18</v>
      </c>
      <c r="G303" s="16" t="s">
        <v>19</v>
      </c>
      <c r="H303" s="16" t="s">
        <v>371</v>
      </c>
      <c r="I303" s="16">
        <f>'[1]HDPE Pipe PRICE'!C19</f>
        <v>8636.86</v>
      </c>
      <c r="J303" s="14">
        <v>0</v>
      </c>
      <c r="K303" s="16">
        <f>J303*($L$2-1)</f>
        <v>0</v>
      </c>
      <c r="L303" s="16">
        <f>SUM(I303:K303)</f>
        <v>8636.86</v>
      </c>
    </row>
    <row r="304" spans="1:12" ht="12.75">
      <c r="A304" s="14">
        <v>302</v>
      </c>
      <c r="B304" s="15" t="s">
        <v>389</v>
      </c>
      <c r="C304" s="15" t="str">
        <f>'[1]HDPE Pipe PRICE'!B20</f>
        <v>Supply of HDPE Pipe PE 100 (IS 4984/1995), 8kg, 560mm Outer Dia. (100.98.149)</v>
      </c>
      <c r="D304" s="15" t="str">
        <f>CONCATENATE(C304," (Code: ",B304,")")</f>
        <v>Supply of HDPE Pipe PE 100 (IS 4984/1995), 8kg, 560mm Outer Dia. (100.98.149) (Code: GWDDR302)</v>
      </c>
      <c r="E304" s="14" t="s">
        <v>28</v>
      </c>
      <c r="F304" s="16" t="s">
        <v>18</v>
      </c>
      <c r="G304" s="16" t="s">
        <v>19</v>
      </c>
      <c r="H304" s="16" t="s">
        <v>371</v>
      </c>
      <c r="I304" s="16">
        <f>'[1]HDPE Pipe PRICE'!C20</f>
        <v>10812.76</v>
      </c>
      <c r="J304" s="14">
        <v>0</v>
      </c>
      <c r="K304" s="16">
        <f>J304*($L$2-1)</f>
        <v>0</v>
      </c>
      <c r="L304" s="16">
        <f>SUM(I304:K304)</f>
        <v>10812.76</v>
      </c>
    </row>
    <row r="305" spans="1:12" ht="12.75">
      <c r="A305" s="14">
        <v>303</v>
      </c>
      <c r="B305" s="15" t="s">
        <v>390</v>
      </c>
      <c r="C305" s="15" t="str">
        <f>'[1]HDPE Pipe PRICE'!B21</f>
        <v>Supply of HDPE Pipe PE 100 (IS 4984/1995), 8kg, 630mm Outer Dia. (100.98.150)</v>
      </c>
      <c r="D305" s="15" t="str">
        <f>CONCATENATE(C305," (Code: ",B305,")")</f>
        <v>Supply of HDPE Pipe PE 100 (IS 4984/1995), 8kg, 630mm Outer Dia. (100.98.150) (Code: GWDDR303)</v>
      </c>
      <c r="E305" s="14" t="s">
        <v>28</v>
      </c>
      <c r="F305" s="16" t="s">
        <v>18</v>
      </c>
      <c r="G305" s="16" t="s">
        <v>19</v>
      </c>
      <c r="H305" s="16" t="s">
        <v>371</v>
      </c>
      <c r="I305" s="14">
        <f>'[1]HDPE Pipe PRICE'!C21</f>
        <v>13672.04</v>
      </c>
      <c r="J305" s="14">
        <v>0</v>
      </c>
      <c r="K305" s="16">
        <f>J305*($L$2-1)</f>
        <v>0</v>
      </c>
      <c r="L305" s="16">
        <f>SUM(I305:K305)</f>
        <v>13672.04</v>
      </c>
    </row>
    <row r="306" spans="1:12" ht="12.75">
      <c r="A306" s="14">
        <v>304</v>
      </c>
      <c r="B306" s="15" t="s">
        <v>391</v>
      </c>
      <c r="C306" s="15" t="str">
        <f>'[1]HDPE Pipe PRICE'!B22</f>
        <v>Supply of HDPE Pipe PE 100 (IS 4984/1995), 10kg, 50mm Outer Dia. (100.98.151)</v>
      </c>
      <c r="D306" s="15" t="str">
        <f>CONCATENATE(C306," (Code: ",B306,")")</f>
        <v>Supply of HDPE Pipe PE 100 (IS 4984/1995), 10kg, 50mm Outer Dia. (100.98.151) (Code: GWDDR304)</v>
      </c>
      <c r="E306" s="14" t="s">
        <v>28</v>
      </c>
      <c r="F306" s="16" t="s">
        <v>18</v>
      </c>
      <c r="G306" s="16" t="s">
        <v>19</v>
      </c>
      <c r="H306" s="16" t="s">
        <v>371</v>
      </c>
      <c r="I306" s="14">
        <f>'[1]HDPE Pipe PRICE'!C22</f>
        <v>89.95</v>
      </c>
      <c r="J306" s="14">
        <v>0</v>
      </c>
      <c r="K306" s="16">
        <f>J306*($L$2-1)</f>
        <v>0</v>
      </c>
      <c r="L306" s="16">
        <f>SUM(I306:K306)</f>
        <v>89.95</v>
      </c>
    </row>
    <row r="307" spans="1:12" ht="12.75">
      <c r="A307" s="14">
        <v>305</v>
      </c>
      <c r="B307" s="15" t="s">
        <v>392</v>
      </c>
      <c r="C307" s="15" t="str">
        <f>'[1]HDPE Pipe PRICE'!B23</f>
        <v>Supply of HDPE Pipe PE 100 (IS 4984/1995), 10kg, 63mm Outer Dia. (100.98.152)</v>
      </c>
      <c r="D307" s="15" t="str">
        <f>CONCATENATE(C307," (Code: ",B307,")")</f>
        <v>Supply of HDPE Pipe PE 100 (IS 4984/1995), 10kg, 63mm Outer Dia. (100.98.152) (Code: GWDDR305)</v>
      </c>
      <c r="E307" s="14" t="s">
        <v>28</v>
      </c>
      <c r="F307" s="16" t="s">
        <v>18</v>
      </c>
      <c r="G307" s="16" t="s">
        <v>19</v>
      </c>
      <c r="H307" s="16" t="s">
        <v>371</v>
      </c>
      <c r="I307" s="16">
        <f>'[1]HDPE Pipe PRICE'!C23</f>
        <v>128.29</v>
      </c>
      <c r="J307" s="14">
        <v>0</v>
      </c>
      <c r="K307" s="16">
        <f>J307*($L$2-1)</f>
        <v>0</v>
      </c>
      <c r="L307" s="16">
        <f>SUM(I307:K307)</f>
        <v>128.29</v>
      </c>
    </row>
    <row r="308" spans="1:12" ht="12.75">
      <c r="A308" s="14">
        <v>306</v>
      </c>
      <c r="B308" s="15" t="s">
        <v>393</v>
      </c>
      <c r="C308" s="15" t="str">
        <f>'[1]HDPE Pipe PRICE'!B24</f>
        <v>Supply of HDPE Pipe PE 100 (IS 4984/1995), 10kg, 75mm Outer Dia. (100.98.153)</v>
      </c>
      <c r="D308" s="15" t="str">
        <f>CONCATENATE(C308," (Code: ",B308,")")</f>
        <v>Supply of HDPE Pipe PE 100 (IS 4984/1995), 10kg, 75mm Outer Dia. (100.98.153) (Code: GWDDR306)</v>
      </c>
      <c r="E308" s="14" t="s">
        <v>28</v>
      </c>
      <c r="F308" s="16" t="s">
        <v>18</v>
      </c>
      <c r="G308" s="16" t="s">
        <v>19</v>
      </c>
      <c r="H308" s="16" t="s">
        <v>371</v>
      </c>
      <c r="I308" s="16">
        <f>'[1]HDPE Pipe PRICE'!C24</f>
        <v>182.84</v>
      </c>
      <c r="J308" s="14">
        <v>0</v>
      </c>
      <c r="K308" s="16">
        <f>J308*($L$2-1)</f>
        <v>0</v>
      </c>
      <c r="L308" s="16">
        <f>SUM(I308:K308)</f>
        <v>182.84</v>
      </c>
    </row>
    <row r="309" spans="1:12" ht="12.75">
      <c r="A309" s="14">
        <v>307</v>
      </c>
      <c r="B309" s="15" t="s">
        <v>394</v>
      </c>
      <c r="C309" s="15" t="str">
        <f>'[1]HDPE Pipe PRICE'!B25</f>
        <v>Supply of HDPE Pipe PE 100 (IS 4984/1995), 10kg, 90mm Outer Dia. (100.98.154)</v>
      </c>
      <c r="D309" s="15" t="str">
        <f>CONCATENATE(C309," (Code: ",B309,")")</f>
        <v>Supply of HDPE Pipe PE 100 (IS 4984/1995), 10kg, 90mm Outer Dia. (100.98.154) (Code: GWDDR307)</v>
      </c>
      <c r="E309" s="14" t="s">
        <v>28</v>
      </c>
      <c r="F309" s="16" t="s">
        <v>18</v>
      </c>
      <c r="G309" s="16" t="s">
        <v>19</v>
      </c>
      <c r="H309" s="16" t="s">
        <v>371</v>
      </c>
      <c r="I309" s="16">
        <f>'[1]HDPE Pipe PRICE'!C25</f>
        <v>264.59</v>
      </c>
      <c r="J309" s="14">
        <v>0</v>
      </c>
      <c r="K309" s="16">
        <f>J309*($L$2-1)</f>
        <v>0</v>
      </c>
      <c r="L309" s="16">
        <f>SUM(I309:K309)</f>
        <v>264.59</v>
      </c>
    </row>
    <row r="310" spans="1:12" ht="12.75">
      <c r="A310" s="14">
        <v>308</v>
      </c>
      <c r="B310" s="15" t="s">
        <v>395</v>
      </c>
      <c r="C310" s="15" t="str">
        <f>'[1]HDPE Pipe PRICE'!B26</f>
        <v>Supply of HDPE Pipe PE 100 (IS 4984/1995), 10kg, 110mm Outer Dia. (100.98.155)</v>
      </c>
      <c r="D310" s="15" t="str">
        <f>CONCATENATE(C310," (Code: ",B310,")")</f>
        <v>Supply of HDPE Pipe PE 100 (IS 4984/1995), 10kg, 110mm Outer Dia. (100.98.155) (Code: GWDDR308)</v>
      </c>
      <c r="E310" s="14" t="s">
        <v>28</v>
      </c>
      <c r="F310" s="16" t="s">
        <v>18</v>
      </c>
      <c r="G310" s="16" t="s">
        <v>19</v>
      </c>
      <c r="H310" s="16" t="s">
        <v>371</v>
      </c>
      <c r="I310" s="16">
        <f>'[1]HDPE Pipe PRICE'!C26</f>
        <v>385.56</v>
      </c>
      <c r="J310" s="14">
        <v>0</v>
      </c>
      <c r="K310" s="16">
        <f>J310*($L$2-1)</f>
        <v>0</v>
      </c>
      <c r="L310" s="16">
        <f>SUM(I310:K310)</f>
        <v>385.56</v>
      </c>
    </row>
    <row r="311" spans="1:12" ht="12.75">
      <c r="A311" s="14">
        <v>309</v>
      </c>
      <c r="B311" s="15" t="s">
        <v>396</v>
      </c>
      <c r="C311" s="15" t="str">
        <f>'[1]HDPE Pipe PRICE'!B27</f>
        <v>Supply of HDPE Pipe PE 100 (IS 4984/1995), 10kg, 125mm Outer Dia. (100.98.156)</v>
      </c>
      <c r="D311" s="15" t="str">
        <f>CONCATENATE(C311," (Code: ",B311,")")</f>
        <v>Supply of HDPE Pipe PE 100 (IS 4984/1995), 10kg, 125mm Outer Dia. (100.98.156) (Code: GWDDR309)</v>
      </c>
      <c r="E311" s="14" t="s">
        <v>28</v>
      </c>
      <c r="F311" s="16" t="s">
        <v>18</v>
      </c>
      <c r="G311" s="16" t="s">
        <v>19</v>
      </c>
      <c r="H311" s="16" t="s">
        <v>371</v>
      </c>
      <c r="I311" s="16">
        <f>'[1]HDPE Pipe PRICE'!C27</f>
        <v>511.59</v>
      </c>
      <c r="J311" s="14">
        <v>0</v>
      </c>
      <c r="K311" s="16">
        <f>J311*($L$2-1)</f>
        <v>0</v>
      </c>
      <c r="L311" s="16">
        <f>SUM(I311:K311)</f>
        <v>511.59</v>
      </c>
    </row>
    <row r="312" spans="1:12" ht="12.75">
      <c r="A312" s="14">
        <v>310</v>
      </c>
      <c r="B312" s="15" t="s">
        <v>397</v>
      </c>
      <c r="C312" s="15" t="str">
        <f>'[1]HDPE Pipe PRICE'!B28</f>
        <v>Supply of HDPE Pipe PE 100 (IS 4984/1995), 10kg, 140mm Outer Dia. (100.98.157)</v>
      </c>
      <c r="D312" s="15" t="str">
        <f>CONCATENATE(C312," (Code: ",B312,")")</f>
        <v>Supply of HDPE Pipe PE 100 (IS 4984/1995), 10kg, 140mm Outer Dia. (100.98.157) (Code: GWDDR310)</v>
      </c>
      <c r="E312" s="14" t="s">
        <v>28</v>
      </c>
      <c r="F312" s="16" t="s">
        <v>18</v>
      </c>
      <c r="G312" s="16" t="s">
        <v>19</v>
      </c>
      <c r="H312" s="16" t="s">
        <v>371</v>
      </c>
      <c r="I312" s="16">
        <f>'[1]HDPE Pipe PRICE'!C28</f>
        <v>642.15</v>
      </c>
      <c r="J312" s="14">
        <v>0</v>
      </c>
      <c r="K312" s="16">
        <f>J312*($L$2-1)</f>
        <v>0</v>
      </c>
      <c r="L312" s="16">
        <f>SUM(I312:K312)</f>
        <v>642.15</v>
      </c>
    </row>
    <row r="313" spans="1:12" ht="12.75">
      <c r="A313" s="14">
        <v>311</v>
      </c>
      <c r="B313" s="15" t="s">
        <v>398</v>
      </c>
      <c r="C313" s="15" t="str">
        <f>'[1]HDPE Pipe PRICE'!B29</f>
        <v>Supply of HDPE Pipe PE 100 (IS 4984/1995), 10kg, 160mm Outer Dia. (100.98.158)</v>
      </c>
      <c r="D313" s="15" t="str">
        <f>CONCATENATE(C313," (Code: ",B313,")")</f>
        <v>Supply of HDPE Pipe PE 100 (IS 4984/1995), 10kg, 160mm Outer Dia. (100.98.158) (Code: GWDDR311)</v>
      </c>
      <c r="E313" s="14" t="s">
        <v>28</v>
      </c>
      <c r="F313" s="16" t="s">
        <v>18</v>
      </c>
      <c r="G313" s="16" t="s">
        <v>19</v>
      </c>
      <c r="H313" s="16" t="s">
        <v>371</v>
      </c>
      <c r="I313" s="14">
        <f>'[1]HDPE Pipe PRICE'!C29</f>
        <v>841.02</v>
      </c>
      <c r="J313" s="14">
        <v>0</v>
      </c>
      <c r="K313" s="16">
        <f>J313*($L$2-1)</f>
        <v>0</v>
      </c>
      <c r="L313" s="16">
        <f>SUM(I313:K313)</f>
        <v>841.02</v>
      </c>
    </row>
    <row r="314" spans="1:12" ht="12.75">
      <c r="A314" s="14">
        <v>312</v>
      </c>
      <c r="B314" s="15" t="s">
        <v>399</v>
      </c>
      <c r="C314" s="15" t="str">
        <f>'[1]HDPE Pipe PRICE'!B30</f>
        <v>Supply of HDPE Pipe PE 100 (IS 4984/1995), 10kg, 180mm Outer Dia. (100.98.159)</v>
      </c>
      <c r="D314" s="15" t="str">
        <f>CONCATENATE(C314," (Code: ",B314,")")</f>
        <v>Supply of HDPE Pipe PE 100 (IS 4984/1995), 10kg, 180mm Outer Dia. (100.98.159) (Code: GWDDR312)</v>
      </c>
      <c r="E314" s="14" t="s">
        <v>28</v>
      </c>
      <c r="F314" s="16" t="s">
        <v>18</v>
      </c>
      <c r="G314" s="16" t="s">
        <v>19</v>
      </c>
      <c r="H314" s="16" t="s">
        <v>371</v>
      </c>
      <c r="I314" s="14">
        <f>'[1]HDPE Pipe PRICE'!C30</f>
        <v>1064.18</v>
      </c>
      <c r="J314" s="14">
        <v>0</v>
      </c>
      <c r="K314" s="16">
        <f>J314*($L$2-1)</f>
        <v>0</v>
      </c>
      <c r="L314" s="16">
        <f>SUM(I314:K314)</f>
        <v>1064.18</v>
      </c>
    </row>
    <row r="315" spans="1:12" ht="12.75">
      <c r="A315" s="14">
        <v>313</v>
      </c>
      <c r="B315" s="15" t="s">
        <v>400</v>
      </c>
      <c r="C315" s="15" t="str">
        <f>'[1]HDPE Pipe PRICE'!B31</f>
        <v>Supply of HDPE Pipe PE 100 (IS 4984/1995), 10kg, 200mm Outer Dia. (100.98.160)</v>
      </c>
      <c r="D315" s="15" t="str">
        <f>CONCATENATE(C315," (Code: ",B315,")")</f>
        <v>Supply of HDPE Pipe PE 100 (IS 4984/1995), 10kg, 200mm Outer Dia. (100.98.160) (Code: GWDDR313)</v>
      </c>
      <c r="E315" s="14" t="s">
        <v>28</v>
      </c>
      <c r="F315" s="16" t="s">
        <v>18</v>
      </c>
      <c r="G315" s="16" t="s">
        <v>19</v>
      </c>
      <c r="H315" s="16" t="s">
        <v>371</v>
      </c>
      <c r="I315" s="14">
        <f>'[1]HDPE Pipe PRICE'!C31</f>
        <v>1308.58</v>
      </c>
      <c r="J315" s="14">
        <v>0</v>
      </c>
      <c r="K315" s="16">
        <f>J315*($L$2-1)</f>
        <v>0</v>
      </c>
      <c r="L315" s="16">
        <f>SUM(I315:K315)</f>
        <v>1308.58</v>
      </c>
    </row>
    <row r="316" spans="1:12" ht="12.75">
      <c r="A316" s="14">
        <v>314</v>
      </c>
      <c r="B316" s="15" t="s">
        <v>401</v>
      </c>
      <c r="C316" s="15" t="str">
        <f>'[1]HDPE Pipe PRICE'!B32</f>
        <v>Supply of HDPE Pipe PE 100 (IS 4984/1995), 10kg, 225mm Outer Dia. (100.98.161)</v>
      </c>
      <c r="D316" s="15" t="str">
        <f>CONCATENATE(C316," (Code: ",B316,")")</f>
        <v>Supply of HDPE Pipe PE 100 (IS 4984/1995), 10kg, 225mm Outer Dia. (100.98.161) (Code: GWDDR314)</v>
      </c>
      <c r="E316" s="14" t="s">
        <v>28</v>
      </c>
      <c r="F316" s="16" t="s">
        <v>18</v>
      </c>
      <c r="G316" s="16" t="s">
        <v>19</v>
      </c>
      <c r="H316" s="16" t="s">
        <v>371</v>
      </c>
      <c r="I316" s="14">
        <f>'[1]HDPE Pipe PRICE'!C32</f>
        <v>1659.26</v>
      </c>
      <c r="J316" s="14">
        <v>0</v>
      </c>
      <c r="K316" s="16">
        <f>J316*($L$2-1)</f>
        <v>0</v>
      </c>
      <c r="L316" s="16">
        <f>SUM(I316:K316)</f>
        <v>1659.26</v>
      </c>
    </row>
    <row r="317" spans="1:12" ht="12.75">
      <c r="A317" s="14">
        <v>315</v>
      </c>
      <c r="B317" s="15" t="s">
        <v>402</v>
      </c>
      <c r="C317" s="15" t="str">
        <f>'[1]HDPE Pipe PRICE'!B33</f>
        <v>Supply of HDPE Pipe PE 100 (IS 4984/1995), 10kg, 250mm Outer Dia. (100.98.162)</v>
      </c>
      <c r="D317" s="15" t="str">
        <f>CONCATENATE(C317," (Code: ",B317,")")</f>
        <v>Supply of HDPE Pipe PE 100 (IS 4984/1995), 10kg, 250mm Outer Dia. (100.98.162) (Code: GWDDR315)</v>
      </c>
      <c r="E317" s="14" t="s">
        <v>28</v>
      </c>
      <c r="F317" s="16" t="s">
        <v>18</v>
      </c>
      <c r="G317" s="16" t="s">
        <v>19</v>
      </c>
      <c r="H317" s="16" t="s">
        <v>371</v>
      </c>
      <c r="I317" s="14">
        <f>'[1]HDPE Pipe PRICE'!C33</f>
        <v>2038.78</v>
      </c>
      <c r="J317" s="14">
        <v>0</v>
      </c>
      <c r="K317" s="16">
        <f>J317*($L$2-1)</f>
        <v>0</v>
      </c>
      <c r="L317" s="16">
        <f>SUM(I317:K317)</f>
        <v>2038.78</v>
      </c>
    </row>
    <row r="318" spans="1:12" ht="12.75">
      <c r="A318" s="14">
        <v>316</v>
      </c>
      <c r="B318" s="15" t="s">
        <v>403</v>
      </c>
      <c r="C318" s="15" t="str">
        <f>'[1]HDPE Pipe PRICE'!B34</f>
        <v>Supply of HDPE Pipe PE 100 (IS 4984/1995), 10kg, 280mm Outer Dia. (100.98.163)</v>
      </c>
      <c r="D318" s="15" t="str">
        <f>CONCATENATE(C318," (Code: ",B318,")")</f>
        <v>Supply of HDPE Pipe PE 100 (IS 4984/1995), 10kg, 280mm Outer Dia. (100.98.163) (Code: GWDDR316)</v>
      </c>
      <c r="E318" s="14" t="s">
        <v>28</v>
      </c>
      <c r="F318" s="16" t="s">
        <v>18</v>
      </c>
      <c r="G318" s="16" t="s">
        <v>19</v>
      </c>
      <c r="H318" s="16" t="s">
        <v>371</v>
      </c>
      <c r="I318" s="16">
        <f>'[1]HDPE Pipe PRICE'!C34</f>
        <v>2561</v>
      </c>
      <c r="J318" s="14">
        <v>0</v>
      </c>
      <c r="K318" s="16">
        <f>J318*($L$2-1)</f>
        <v>0</v>
      </c>
      <c r="L318" s="16">
        <f>SUM(I318:K318)</f>
        <v>2561</v>
      </c>
    </row>
    <row r="319" spans="1:12" ht="12.75">
      <c r="A319" s="14">
        <v>317</v>
      </c>
      <c r="B319" s="15" t="s">
        <v>404</v>
      </c>
      <c r="C319" s="15" t="str">
        <f>'[1]HDPE Pipe PRICE'!B35</f>
        <v>Supply of HDPE Pipe PE 100 (IS 4984/1995), 10kg, 315mm Outer Dia. (100.98.164)</v>
      </c>
      <c r="D319" s="15" t="str">
        <f>CONCATENATE(C319," (Code: ",B319,")")</f>
        <v>Supply of HDPE Pipe PE 100 (IS 4984/1995), 10kg, 315mm Outer Dia. (100.98.164) (Code: GWDDR317)</v>
      </c>
      <c r="E319" s="14" t="s">
        <v>28</v>
      </c>
      <c r="F319" s="16" t="s">
        <v>18</v>
      </c>
      <c r="G319" s="16" t="s">
        <v>19</v>
      </c>
      <c r="H319" s="16" t="s">
        <v>371</v>
      </c>
      <c r="I319" s="16">
        <f>'[1]HDPE Pipe PRICE'!C35</f>
        <v>3239.59</v>
      </c>
      <c r="J319" s="14">
        <v>0</v>
      </c>
      <c r="K319" s="16">
        <f>J319*($L$2-1)</f>
        <v>0</v>
      </c>
      <c r="L319" s="16">
        <f>SUM(I319:K319)</f>
        <v>3239.59</v>
      </c>
    </row>
    <row r="320" spans="1:12" ht="12.75">
      <c r="A320" s="14">
        <v>318</v>
      </c>
      <c r="B320" s="15" t="s">
        <v>405</v>
      </c>
      <c r="C320" s="15" t="str">
        <f>'[1]HDPE Pipe PRICE'!B36</f>
        <v>Supply of HDPE Pipe PE 100 (IS 4984/1995), 10kg, 355mm Outer Dia. (100.98.165)</v>
      </c>
      <c r="D320" s="15" t="str">
        <f>CONCATENATE(C320," (Code: ",B320,")")</f>
        <v>Supply of HDPE Pipe PE 100 (IS 4984/1995), 10kg, 355mm Outer Dia. (100.98.165) (Code: GWDDR318)</v>
      </c>
      <c r="E320" s="14" t="s">
        <v>28</v>
      </c>
      <c r="F320" s="16" t="s">
        <v>18</v>
      </c>
      <c r="G320" s="16" t="s">
        <v>19</v>
      </c>
      <c r="H320" s="16" t="s">
        <v>371</v>
      </c>
      <c r="I320" s="16">
        <f>'[1]HDPE Pipe PRICE'!C36</f>
        <v>4265.07</v>
      </c>
      <c r="J320" s="14">
        <v>0</v>
      </c>
      <c r="K320" s="16">
        <f>J320*($L$2-1)</f>
        <v>0</v>
      </c>
      <c r="L320" s="16">
        <f>SUM(I320:K320)</f>
        <v>4265.07</v>
      </c>
    </row>
    <row r="321" spans="1:12" ht="12.75">
      <c r="A321" s="14">
        <v>319</v>
      </c>
      <c r="B321" s="15" t="s">
        <v>406</v>
      </c>
      <c r="C321" s="15" t="str">
        <f>'[1]HDPE Pipe PRICE'!B37</f>
        <v>Supply of HDPE Pipe PE 100 (IS 4984/1995), 10kg, 400mm Outer Dia. (100.98.166)</v>
      </c>
      <c r="D321" s="15" t="str">
        <f>CONCATENATE(C321," (Code: ",B321,")")</f>
        <v>Supply of HDPE Pipe PE 100 (IS 4984/1995), 10kg, 400mm Outer Dia. (100.98.166) (Code: GWDDR319)</v>
      </c>
      <c r="E321" s="14" t="s">
        <v>28</v>
      </c>
      <c r="F321" s="16" t="s">
        <v>18</v>
      </c>
      <c r="G321" s="16" t="s">
        <v>19</v>
      </c>
      <c r="H321" s="16" t="s">
        <v>371</v>
      </c>
      <c r="I321" s="16">
        <f>'[1]HDPE Pipe PRICE'!C37</f>
        <v>5434.59</v>
      </c>
      <c r="J321" s="14">
        <v>0</v>
      </c>
      <c r="K321" s="16">
        <f>J321*($L$2-1)</f>
        <v>0</v>
      </c>
      <c r="L321" s="16">
        <f>SUM(I321:K321)</f>
        <v>5434.59</v>
      </c>
    </row>
    <row r="322" spans="1:12" ht="12.75">
      <c r="A322" s="14">
        <v>320</v>
      </c>
      <c r="B322" s="15" t="s">
        <v>407</v>
      </c>
      <c r="C322" s="15" t="str">
        <f>'[1]HDPE Pipe PRICE'!B38</f>
        <v>Supply of HDPE Pipe PE 100 (IS 4984/1995), 10kg, 450mm Outer Dia. (100.98.167)</v>
      </c>
      <c r="D322" s="15" t="str">
        <f>CONCATENATE(C322," (Code: ",B322,")")</f>
        <v>Supply of HDPE Pipe PE 100 (IS 4984/1995), 10kg, 450mm Outer Dia. (100.98.167) (Code: GWDDR320)</v>
      </c>
      <c r="E322" s="14" t="s">
        <v>28</v>
      </c>
      <c r="F322" s="16" t="s">
        <v>18</v>
      </c>
      <c r="G322" s="16" t="s">
        <v>19</v>
      </c>
      <c r="H322" s="16" t="s">
        <v>371</v>
      </c>
      <c r="I322" s="16">
        <f>'[1]HDPE Pipe PRICE'!C38</f>
        <v>8265.51</v>
      </c>
      <c r="J322" s="14">
        <v>0</v>
      </c>
      <c r="K322" s="16">
        <f>J322*($L$2-1)</f>
        <v>0</v>
      </c>
      <c r="L322" s="16">
        <f>SUM(I322:K322)</f>
        <v>8265.51</v>
      </c>
    </row>
    <row r="323" spans="1:12" ht="12.75">
      <c r="A323" s="14">
        <v>321</v>
      </c>
      <c r="B323" s="15" t="s">
        <v>408</v>
      </c>
      <c r="C323" s="15" t="str">
        <f>'[1]HDPE Pipe PRICE'!B39</f>
        <v>Supply of HDPE Pipe PE 100 (IS 4984/1995), 10kg, 500mm Outer Dia. (100.98.168)</v>
      </c>
      <c r="D323" s="15" t="str">
        <f>CONCATENATE(C323," (Code: ",B323,")")</f>
        <v>Supply of HDPE Pipe PE 100 (IS 4984/1995), 10kg, 500mm Outer Dia. (100.98.168) (Code: GWDDR321)</v>
      </c>
      <c r="E323" s="14" t="s">
        <v>28</v>
      </c>
      <c r="F323" s="16" t="s">
        <v>18</v>
      </c>
      <c r="G323" s="16" t="s">
        <v>19</v>
      </c>
      <c r="H323" s="16" t="s">
        <v>371</v>
      </c>
      <c r="I323" s="16">
        <f>'[1]HDPE Pipe PRICE'!C39</f>
        <v>10521.85</v>
      </c>
      <c r="J323" s="14">
        <v>0</v>
      </c>
      <c r="K323" s="16">
        <f>J323*($L$2-1)</f>
        <v>0</v>
      </c>
      <c r="L323" s="16">
        <f>SUM(I323:K323)</f>
        <v>10521.85</v>
      </c>
    </row>
    <row r="324" spans="1:12" ht="12.75">
      <c r="A324" s="14">
        <v>322</v>
      </c>
      <c r="B324" s="15" t="s">
        <v>409</v>
      </c>
      <c r="C324" s="15" t="str">
        <f>'[1]HDPE Pipe PRICE'!B40</f>
        <v>Supply of HDPE Pipe PE 100 (IS 4984/1995), 10kg, 560mm Outer Dia. (100.98.169)</v>
      </c>
      <c r="D324" s="15" t="str">
        <f>CONCATENATE(C324," (Code: ",B324,")")</f>
        <v>Supply of HDPE Pipe PE 100 (IS 4984/1995), 10kg, 560mm Outer Dia. (100.98.169) (Code: GWDDR322)</v>
      </c>
      <c r="E324" s="14" t="s">
        <v>28</v>
      </c>
      <c r="F324" s="16" t="s">
        <v>18</v>
      </c>
      <c r="G324" s="16" t="s">
        <v>19</v>
      </c>
      <c r="H324" s="16" t="s">
        <v>371</v>
      </c>
      <c r="I324" s="16">
        <f>'[1]HDPE Pipe PRICE'!C40</f>
        <v>13186.34</v>
      </c>
      <c r="J324" s="14">
        <v>0</v>
      </c>
      <c r="K324" s="16">
        <f>J324*($L$2-1)</f>
        <v>0</v>
      </c>
      <c r="L324" s="16">
        <f>SUM(I324:K324)</f>
        <v>13186.34</v>
      </c>
    </row>
    <row r="325" spans="1:12" ht="12.75">
      <c r="A325" s="14">
        <v>323</v>
      </c>
      <c r="B325" s="15" t="s">
        <v>410</v>
      </c>
      <c r="C325" s="15" t="str">
        <f>'[1]HDPE Pipe PRICE'!B41</f>
        <v>Supply of HDPE Pipe PE 100 (IS 4984/1995), 10kg, 630mm Outer Dia. (100.98.170)</v>
      </c>
      <c r="D325" s="15" t="str">
        <f>CONCATENATE(C325," (Code: ",B325,")")</f>
        <v>Supply of HDPE Pipe PE 100 (IS 4984/1995), 10kg, 630mm Outer Dia. (100.98.170) (Code: GWDDR323)</v>
      </c>
      <c r="E325" s="14" t="s">
        <v>28</v>
      </c>
      <c r="F325" s="16" t="s">
        <v>18</v>
      </c>
      <c r="G325" s="16" t="s">
        <v>19</v>
      </c>
      <c r="H325" s="16" t="s">
        <v>371</v>
      </c>
      <c r="I325" s="16">
        <f>'[1]HDPE Pipe PRICE'!C41</f>
        <v>16700.73</v>
      </c>
      <c r="J325" s="14">
        <v>0</v>
      </c>
      <c r="K325" s="16">
        <f>J325*($L$2-1)</f>
        <v>0</v>
      </c>
      <c r="L325" s="16">
        <f>SUM(I325:K325)</f>
        <v>16700.73</v>
      </c>
    </row>
    <row r="326" spans="1:12" ht="12.75">
      <c r="A326" s="14">
        <v>324</v>
      </c>
      <c r="B326" s="15" t="s">
        <v>411</v>
      </c>
      <c r="C326" s="15" t="str">
        <f>'[1]HDPE Pipe PRICE'!B42</f>
        <v>Supply of HDPE Pipe PE 100 (IS 4984/1995), 12.5kg, 50mm Outer Dia. (100.98.171)</v>
      </c>
      <c r="D326" s="15" t="str">
        <f>CONCATENATE(C326," (Code: ",B326,")")</f>
        <v>Supply of HDPE Pipe PE 100 (IS 4984/1995), 12.5kg, 50mm Outer Dia. (100.98.171) (Code: GWDDR324)</v>
      </c>
      <c r="E326" s="14" t="s">
        <v>28</v>
      </c>
      <c r="F326" s="16" t="s">
        <v>18</v>
      </c>
      <c r="G326" s="16" t="s">
        <v>19</v>
      </c>
      <c r="H326" s="16" t="s">
        <v>371</v>
      </c>
      <c r="I326" s="16">
        <f>'[1]HDPE Pipe PRICE'!C42</f>
        <v>109.11</v>
      </c>
      <c r="J326" s="14">
        <v>0</v>
      </c>
      <c r="K326" s="16">
        <f>J326*($L$2-1)</f>
        <v>0</v>
      </c>
      <c r="L326" s="16">
        <f>SUM(I326:K326)</f>
        <v>109.11</v>
      </c>
    </row>
    <row r="327" spans="1:12" ht="12.75">
      <c r="A327" s="14">
        <v>325</v>
      </c>
      <c r="B327" s="15" t="s">
        <v>412</v>
      </c>
      <c r="C327" s="15" t="str">
        <f>'[1]HDPE Pipe PRICE'!B43</f>
        <v>Supply of HDPE Pipe PE 100 (IS 4984/1995), 12.5kg, 63mm Outer Dia. (100.98.172)</v>
      </c>
      <c r="D327" s="15" t="str">
        <f>CONCATENATE(C327," (Code: ",B327,")")</f>
        <v>Supply of HDPE Pipe PE 100 (IS 4984/1995), 12.5kg, 63mm Outer Dia. (100.98.172) (Code: GWDDR325)</v>
      </c>
      <c r="E327" s="14" t="s">
        <v>28</v>
      </c>
      <c r="F327" s="16" t="s">
        <v>18</v>
      </c>
      <c r="G327" s="16" t="s">
        <v>19</v>
      </c>
      <c r="H327" s="16" t="s">
        <v>371</v>
      </c>
      <c r="I327" s="16">
        <f>'[1]HDPE Pipe PRICE'!C43</f>
        <v>154.83</v>
      </c>
      <c r="J327" s="14">
        <v>0</v>
      </c>
      <c r="K327" s="16">
        <f>J327*($L$2-1)</f>
        <v>0</v>
      </c>
      <c r="L327" s="16">
        <f>SUM(I327:K327)</f>
        <v>154.83</v>
      </c>
    </row>
    <row r="328" spans="1:12" ht="12.75">
      <c r="A328" s="14">
        <v>326</v>
      </c>
      <c r="B328" s="15" t="s">
        <v>413</v>
      </c>
      <c r="C328" s="15" t="str">
        <f>'[1]HDPE Pipe PRICE'!B44</f>
        <v>Supply of HDPE Pipe PE 100 (IS 4984/1995), 12.5kg, 75mm Outer Dia. (100.98.173)</v>
      </c>
      <c r="D328" s="15" t="str">
        <f>CONCATENATE(C328," (Code: ",B328,")")</f>
        <v>Supply of HDPE Pipe PE 100 (IS 4984/1995), 12.5kg, 75mm Outer Dia. (100.98.173) (Code: GWDDR326)</v>
      </c>
      <c r="E328" s="14" t="s">
        <v>28</v>
      </c>
      <c r="F328" s="16" t="s">
        <v>18</v>
      </c>
      <c r="G328" s="16" t="s">
        <v>19</v>
      </c>
      <c r="H328" s="16" t="s">
        <v>371</v>
      </c>
      <c r="I328" s="16">
        <f>'[1]HDPE Pipe PRICE'!C44</f>
        <v>219.71</v>
      </c>
      <c r="J328" s="14">
        <v>0</v>
      </c>
      <c r="K328" s="16">
        <f>J328*($L$2-1)</f>
        <v>0</v>
      </c>
      <c r="L328" s="16">
        <f>SUM(I328:K328)</f>
        <v>219.71</v>
      </c>
    </row>
    <row r="329" spans="1:12" ht="12.75">
      <c r="A329" s="14">
        <v>327</v>
      </c>
      <c r="B329" s="15" t="s">
        <v>414</v>
      </c>
      <c r="C329" s="15" t="str">
        <f>'[1]HDPE Pipe PRICE'!B45</f>
        <v>Supply of HDPE Pipe PE 100 (IS 4984/1995), 12.5kg, 90mm Outer Dia. (100.98.174)</v>
      </c>
      <c r="D329" s="15" t="str">
        <f>CONCATENATE(C329," (Code: ",B329,")")</f>
        <v>Supply of HDPE Pipe PE 100 (IS 4984/1995), 12.5kg, 90mm Outer Dia. (100.98.174) (Code: GWDDR327)</v>
      </c>
      <c r="E329" s="14" t="s">
        <v>28</v>
      </c>
      <c r="F329" s="16" t="s">
        <v>18</v>
      </c>
      <c r="G329" s="16" t="s">
        <v>19</v>
      </c>
      <c r="H329" s="16" t="s">
        <v>371</v>
      </c>
      <c r="I329" s="16">
        <f>'[1]HDPE Pipe PRICE'!C45</f>
        <v>315.14</v>
      </c>
      <c r="J329" s="14">
        <v>0</v>
      </c>
      <c r="K329" s="16">
        <f>J329*($L$2-1)</f>
        <v>0</v>
      </c>
      <c r="L329" s="16">
        <f>SUM(I329:K329)</f>
        <v>315.14</v>
      </c>
    </row>
    <row r="330" spans="1:12" ht="12.75">
      <c r="A330" s="14">
        <v>328</v>
      </c>
      <c r="B330" s="15" t="s">
        <v>415</v>
      </c>
      <c r="C330" s="15" t="str">
        <f>'[1]HDPE Pipe PRICE'!B46</f>
        <v>Supply of HDPE Pipe PE 100 (IS 4984/1995), 12.5kg, 110mm Outer Dia. (100.98.175)</v>
      </c>
      <c r="D330" s="15" t="str">
        <f>CONCATENATE(C330," (Code: ",B330,")")</f>
        <v>Supply of HDPE Pipe PE 100 (IS 4984/1995), 12.5kg, 110mm Outer Dia. (100.98.175) (Code: GWDDR328)</v>
      </c>
      <c r="E330" s="14" t="s">
        <v>28</v>
      </c>
      <c r="F330" s="16" t="s">
        <v>18</v>
      </c>
      <c r="G330" s="16" t="s">
        <v>19</v>
      </c>
      <c r="H330" s="16" t="s">
        <v>371</v>
      </c>
      <c r="I330" s="16">
        <f>'[1]HDPE Pipe PRICE'!C46</f>
        <v>465.03</v>
      </c>
      <c r="J330" s="14">
        <v>0</v>
      </c>
      <c r="K330" s="16">
        <f>J330*($L$2-1)</f>
        <v>0</v>
      </c>
      <c r="L330" s="16">
        <f>SUM(I330:K330)</f>
        <v>465.03</v>
      </c>
    </row>
    <row r="331" spans="1:12" ht="12.75">
      <c r="A331" s="14">
        <v>329</v>
      </c>
      <c r="B331" s="15" t="s">
        <v>416</v>
      </c>
      <c r="C331" s="15" t="str">
        <f>'[1]HDPE Pipe PRICE'!B47</f>
        <v>Supply of HDPE Pipe PE 100 (IS 4984/1995), 12.5kg, 125mm Outer Dia. (100.98.176)</v>
      </c>
      <c r="D331" s="15" t="str">
        <f>CONCATENATE(C331," (Code: ",B331,")")</f>
        <v>Supply of HDPE Pipe PE 100 (IS 4984/1995), 12.5kg, 125mm Outer Dia. (100.98.176) (Code: GWDDR329)</v>
      </c>
      <c r="E331" s="14" t="s">
        <v>28</v>
      </c>
      <c r="F331" s="16" t="s">
        <v>18</v>
      </c>
      <c r="G331" s="16" t="s">
        <v>19</v>
      </c>
      <c r="H331" s="16" t="s">
        <v>371</v>
      </c>
      <c r="I331" s="16">
        <f>'[1]HDPE Pipe PRICE'!C47</f>
        <v>622.41</v>
      </c>
      <c r="J331" s="14">
        <v>0</v>
      </c>
      <c r="K331" s="16">
        <f>J331*($L$2-1)</f>
        <v>0</v>
      </c>
      <c r="L331" s="16">
        <f>SUM(I331:K331)</f>
        <v>622.41</v>
      </c>
    </row>
    <row r="332" spans="1:12" ht="12.75">
      <c r="A332" s="14">
        <v>330</v>
      </c>
      <c r="B332" s="15" t="s">
        <v>417</v>
      </c>
      <c r="C332" s="15" t="str">
        <f>'[1]HDPE Pipe PRICE'!B48</f>
        <v>Supply of HDPE Pipe PE 100 (IS 4984/1995), 12.5kg, 140mm Outer Dia. (100.98.177)</v>
      </c>
      <c r="D332" s="15" t="str">
        <f>CONCATENATE(C332," (Code: ",B332,")")</f>
        <v>Supply of HDPE Pipe PE 100 (IS 4984/1995), 12.5kg, 140mm Outer Dia. (100.98.177) (Code: GWDDR330)</v>
      </c>
      <c r="E332" s="14" t="s">
        <v>28</v>
      </c>
      <c r="F332" s="16" t="s">
        <v>18</v>
      </c>
      <c r="G332" s="16" t="s">
        <v>19</v>
      </c>
      <c r="H332" s="16" t="s">
        <v>371</v>
      </c>
      <c r="I332" s="16">
        <f>'[1]HDPE Pipe PRICE'!C48</f>
        <v>781.82</v>
      </c>
      <c r="J332" s="14">
        <v>0</v>
      </c>
      <c r="K332" s="16">
        <f>J332*($L$2-1)</f>
        <v>0</v>
      </c>
      <c r="L332" s="16">
        <f>SUM(I332:K332)</f>
        <v>781.82</v>
      </c>
    </row>
    <row r="333" spans="1:12" ht="12.75">
      <c r="A333" s="14">
        <v>331</v>
      </c>
      <c r="B333" s="15" t="s">
        <v>418</v>
      </c>
      <c r="C333" s="15" t="str">
        <f>'[1]HDPE Pipe PRICE'!B49</f>
        <v>Supply of HDPE Pipe PE 100 (IS 4984/1995), 12.5kg, 160mm Outer Dia. (100.98.178)</v>
      </c>
      <c r="D333" s="15" t="str">
        <f>CONCATENATE(C333," (Code: ",B333,")")</f>
        <v>Supply of HDPE Pipe PE 100 (IS 4984/1995), 12.5kg, 160mm Outer Dia. (100.98.178) (Code: GWDDR331)</v>
      </c>
      <c r="E333" s="14" t="s">
        <v>28</v>
      </c>
      <c r="F333" s="16" t="s">
        <v>18</v>
      </c>
      <c r="G333" s="16" t="s">
        <v>19</v>
      </c>
      <c r="H333" s="16" t="s">
        <v>371</v>
      </c>
      <c r="I333" s="16">
        <f>'[1]HDPE Pipe PRICE'!C49</f>
        <v>1018.64</v>
      </c>
      <c r="J333" s="14">
        <v>0</v>
      </c>
      <c r="K333" s="16">
        <f>J333*($L$2-1)</f>
        <v>0</v>
      </c>
      <c r="L333" s="16">
        <f>SUM(I333:K333)</f>
        <v>1018.64</v>
      </c>
    </row>
    <row r="334" spans="1:12" ht="12.75">
      <c r="A334" s="14">
        <v>332</v>
      </c>
      <c r="B334" s="15" t="s">
        <v>419</v>
      </c>
      <c r="C334" s="15" t="str">
        <f>'[1]HDPE Pipe PRICE'!B50</f>
        <v>Supply of HDPE Pipe PE 100 (IS 4984/1995), 12.5kg, 180mm Outer Dia. (100.98.179)</v>
      </c>
      <c r="D334" s="15" t="str">
        <f>CONCATENATE(C334," (Code: ",B334,")")</f>
        <v>Supply of HDPE Pipe PE 100 (IS 4984/1995), 12.5kg, 180mm Outer Dia. (100.98.179) (Code: GWDDR332)</v>
      </c>
      <c r="E334" s="14" t="s">
        <v>28</v>
      </c>
      <c r="F334" s="16" t="s">
        <v>18</v>
      </c>
      <c r="G334" s="16" t="s">
        <v>19</v>
      </c>
      <c r="H334" s="16" t="s">
        <v>371</v>
      </c>
      <c r="I334" s="16">
        <f>'[1]HDPE Pipe PRICE'!C50</f>
        <v>1285.82</v>
      </c>
      <c r="J334" s="14">
        <v>0</v>
      </c>
      <c r="K334" s="16">
        <f>J334*($L$2-1)</f>
        <v>0</v>
      </c>
      <c r="L334" s="16">
        <f>SUM(I334:K334)</f>
        <v>1285.82</v>
      </c>
    </row>
    <row r="335" spans="1:12" ht="12.75">
      <c r="A335" s="14">
        <v>333</v>
      </c>
      <c r="B335" s="15" t="s">
        <v>420</v>
      </c>
      <c r="C335" s="15" t="str">
        <f>'[1]HDPE Pipe PRICE'!B51</f>
        <v>Supply of HDPE Pipe PE 100 (IS 4984/1995), 12.5kg, 200mm Outer Dia. (100.98.180)</v>
      </c>
      <c r="D335" s="15" t="str">
        <f>CONCATENATE(C335," (Code: ",B335,")")</f>
        <v>Supply of HDPE Pipe PE 100 (IS 4984/1995), 12.5kg, 200mm Outer Dia. (100.98.180) (Code: GWDDR333)</v>
      </c>
      <c r="E335" s="14" t="s">
        <v>28</v>
      </c>
      <c r="F335" s="16" t="s">
        <v>18</v>
      </c>
      <c r="G335" s="16" t="s">
        <v>19</v>
      </c>
      <c r="H335" s="16" t="s">
        <v>371</v>
      </c>
      <c r="I335" s="16">
        <f>'[1]HDPE Pipe PRICE'!C51</f>
        <v>1584.88</v>
      </c>
      <c r="J335" s="14">
        <v>0</v>
      </c>
      <c r="K335" s="16">
        <f>J335*($L$2-1)</f>
        <v>0</v>
      </c>
      <c r="L335" s="16">
        <f>SUM(I335:K335)</f>
        <v>1584.88</v>
      </c>
    </row>
    <row r="336" spans="1:12" ht="12.75">
      <c r="A336" s="14">
        <v>334</v>
      </c>
      <c r="B336" s="15" t="s">
        <v>421</v>
      </c>
      <c r="C336" s="15" t="str">
        <f>'[1]HDPE Pipe PRICE'!B52</f>
        <v>Supply of HDPE Pipe PE 100 (IS 4984/1995), 12.5kg, 225mm Outer Dia. (100.98.181)</v>
      </c>
      <c r="D336" s="15" t="str">
        <f>CONCATENATE(C336," (Code: ",B336,")")</f>
        <v>Supply of HDPE Pipe PE 100 (IS 4984/1995), 12.5kg, 225mm Outer Dia. (100.98.181) (Code: GWDDR334)</v>
      </c>
      <c r="E336" s="14" t="s">
        <v>28</v>
      </c>
      <c r="F336" s="16" t="s">
        <v>18</v>
      </c>
      <c r="G336" s="16" t="s">
        <v>19</v>
      </c>
      <c r="H336" s="16" t="s">
        <v>371</v>
      </c>
      <c r="I336" s="16">
        <f>'[1]HDPE Pipe PRICE'!C52</f>
        <v>2006.90</v>
      </c>
      <c r="J336" s="14">
        <v>0</v>
      </c>
      <c r="K336" s="16">
        <f>J336*($L$2-1)</f>
        <v>0</v>
      </c>
      <c r="L336" s="16">
        <f>SUM(I336:K336)</f>
        <v>2006.90</v>
      </c>
    </row>
    <row r="337" spans="1:12" ht="12.75">
      <c r="A337" s="14">
        <v>335</v>
      </c>
      <c r="B337" s="15" t="s">
        <v>422</v>
      </c>
      <c r="C337" s="15" t="str">
        <f>'[1]HDPE Pipe PRICE'!B53</f>
        <v>Supply of HDPE Pipe PE 100 (IS 4984/1995), 12.5kg, 250mm Outer Dia. (100.98.182)</v>
      </c>
      <c r="D337" s="15" t="str">
        <f>CONCATENATE(C337," (Code: ",B337,")")</f>
        <v>Supply of HDPE Pipe PE 100 (IS 4984/1995), 12.5kg, 250mm Outer Dia. (100.98.182) (Code: GWDDR335)</v>
      </c>
      <c r="E337" s="14" t="s">
        <v>28</v>
      </c>
      <c r="F337" s="16" t="s">
        <v>18</v>
      </c>
      <c r="G337" s="16" t="s">
        <v>19</v>
      </c>
      <c r="H337" s="16" t="s">
        <v>371</v>
      </c>
      <c r="I337" s="16">
        <f>'[1]HDPE Pipe PRICE'!C53</f>
        <v>2477.50</v>
      </c>
      <c r="J337" s="14">
        <v>0</v>
      </c>
      <c r="K337" s="16">
        <f>J337*($L$2-1)</f>
        <v>0</v>
      </c>
      <c r="L337" s="16">
        <f>SUM(I337:K337)</f>
        <v>2477.50</v>
      </c>
    </row>
    <row r="338" spans="1:12" ht="12.75">
      <c r="A338" s="14">
        <v>336</v>
      </c>
      <c r="B338" s="15" t="s">
        <v>423</v>
      </c>
      <c r="C338" s="15" t="str">
        <f>'[1]HDPE Pipe PRICE'!B54</f>
        <v>Supply of HDPE Pipe PE 100 (IS 4984/1995), 12.5kg, 280mm Outer Dia. (100.98.183)</v>
      </c>
      <c r="D338" s="15" t="str">
        <f>CONCATENATE(C338," (Code: ",B338,")")</f>
        <v>Supply of HDPE Pipe PE 100 (IS 4984/1995), 12.5kg, 280mm Outer Dia. (100.98.183) (Code: GWDDR336)</v>
      </c>
      <c r="E338" s="14" t="s">
        <v>28</v>
      </c>
      <c r="F338" s="16" t="s">
        <v>18</v>
      </c>
      <c r="G338" s="16" t="s">
        <v>19</v>
      </c>
      <c r="H338" s="16" t="s">
        <v>371</v>
      </c>
      <c r="I338" s="16">
        <f>'[1]HDPE Pipe PRICE'!C54</f>
        <v>3104.48</v>
      </c>
      <c r="J338" s="14">
        <v>0</v>
      </c>
      <c r="K338" s="16">
        <f>J338*($L$2-1)</f>
        <v>0</v>
      </c>
      <c r="L338" s="16">
        <f>SUM(I338:K338)</f>
        <v>3104.48</v>
      </c>
    </row>
    <row r="339" spans="1:12" ht="12.75">
      <c r="A339" s="14">
        <v>337</v>
      </c>
      <c r="B339" s="15" t="s">
        <v>424</v>
      </c>
      <c r="C339" s="15" t="str">
        <f>'[1]HDPE Pipe PRICE'!B55</f>
        <v>Supply of HDPE Pipe PE 100 (IS 4984/1995), 12.5kg, 355mm Outer Dia. (100.98.185)</v>
      </c>
      <c r="D339" s="15" t="str">
        <f>CONCATENATE(C339," (Code: ",B339,")")</f>
        <v>Supply of HDPE Pipe PE 100 (IS 4984/1995), 12.5kg, 355mm Outer Dia. (100.98.185) (Code: GWDDR337)</v>
      </c>
      <c r="E339" s="14" t="s">
        <v>28</v>
      </c>
      <c r="F339" s="16" t="s">
        <v>18</v>
      </c>
      <c r="G339" s="16" t="s">
        <v>19</v>
      </c>
      <c r="H339" s="16" t="s">
        <v>371</v>
      </c>
      <c r="I339" s="16">
        <f>'[1]HDPE Pipe PRICE'!C55</f>
        <v>5169.79</v>
      </c>
      <c r="J339" s="14">
        <v>0</v>
      </c>
      <c r="K339" s="16">
        <f>J339*($L$2-1)</f>
        <v>0</v>
      </c>
      <c r="L339" s="16">
        <f>SUM(I339:K339)</f>
        <v>5169.79</v>
      </c>
    </row>
    <row r="340" spans="1:12" ht="12.75">
      <c r="A340" s="14">
        <v>338</v>
      </c>
      <c r="B340" s="15" t="s">
        <v>425</v>
      </c>
      <c r="C340" s="15" t="str">
        <f>'[1]HDPE Pipe PRICE'!B56</f>
        <v>Supply of HDPE Pipe PE 100 (IS 4984/1995), 12.5kg, 400mm Outer Dia. (100.98.186)</v>
      </c>
      <c r="D340" s="15" t="str">
        <f>CONCATENATE(C340," (Code: ",B340,")")</f>
        <v>Supply of HDPE Pipe PE 100 (IS 4984/1995), 12.5kg, 400mm Outer Dia. (100.98.186) (Code: GWDDR338)</v>
      </c>
      <c r="E340" s="14" t="s">
        <v>28</v>
      </c>
      <c r="F340" s="16" t="s">
        <v>18</v>
      </c>
      <c r="G340" s="16" t="s">
        <v>19</v>
      </c>
      <c r="H340" s="16" t="s">
        <v>371</v>
      </c>
      <c r="I340" s="16">
        <f>'[1]HDPE Pipe PRICE'!C56</f>
        <v>6563.11</v>
      </c>
      <c r="J340" s="14">
        <v>0</v>
      </c>
      <c r="K340" s="16">
        <f>J340*($L$2-1)</f>
        <v>0</v>
      </c>
      <c r="L340" s="16">
        <f>SUM(I340:K340)</f>
        <v>6563.11</v>
      </c>
    </row>
    <row r="341" spans="1:12" ht="12.75">
      <c r="A341" s="14">
        <v>339</v>
      </c>
      <c r="B341" s="15" t="s">
        <v>426</v>
      </c>
      <c r="C341" s="15" t="str">
        <f>'[1]HDPE Pipe PRICE'!B57</f>
        <v>Supply of HDPE Pipe PE 100 (IS 4984/1995), 12.5kg, 450mm Outer Dia. (100.98.187)</v>
      </c>
      <c r="D341" s="15" t="str">
        <f>CONCATENATE(C341," (Code: ",B341,")")</f>
        <v>Supply of HDPE Pipe PE 100 (IS 4984/1995), 12.5kg, 450mm Outer Dia. (100.98.187) (Code: GWDDR339)</v>
      </c>
      <c r="E341" s="14" t="s">
        <v>28</v>
      </c>
      <c r="F341" s="16" t="s">
        <v>18</v>
      </c>
      <c r="G341" s="16" t="s">
        <v>19</v>
      </c>
      <c r="H341" s="16" t="s">
        <v>371</v>
      </c>
      <c r="I341" s="16">
        <f>'[1]HDPE Pipe PRICE'!C57</f>
        <v>10011.42</v>
      </c>
      <c r="J341" s="14">
        <v>0</v>
      </c>
      <c r="K341" s="16">
        <f>J341*($L$2-1)</f>
        <v>0</v>
      </c>
      <c r="L341" s="16">
        <f>SUM(I341:K341)</f>
        <v>10011.42</v>
      </c>
    </row>
    <row r="342" spans="1:12" ht="12.75">
      <c r="A342" s="14">
        <v>340</v>
      </c>
      <c r="B342" s="15" t="s">
        <v>427</v>
      </c>
      <c r="C342" s="15" t="str">
        <f>'[1]HDPE Pipe PRICE'!B58</f>
        <v>Supply of of HDPE Pipe PE 100 (IS 4984/1995), 12.5kg, 500mm Outer Dia. (100.98.188)</v>
      </c>
      <c r="D342" s="15" t="str">
        <f>CONCATENATE(C342," (Code: ",B342,")")</f>
        <v>Supply of of HDPE Pipe PE 100 (IS 4984/1995), 12.5kg, 500mm Outer Dia. (100.98.188) (Code: GWDDR340)</v>
      </c>
      <c r="E342" s="14" t="s">
        <v>28</v>
      </c>
      <c r="F342" s="16" t="s">
        <v>18</v>
      </c>
      <c r="G342" s="16" t="s">
        <v>19</v>
      </c>
      <c r="H342" s="16" t="s">
        <v>371</v>
      </c>
      <c r="I342" s="16">
        <f>'[1]HDPE Pipe PRICE'!C58</f>
        <v>12751.53</v>
      </c>
      <c r="J342" s="14">
        <v>0</v>
      </c>
      <c r="K342" s="16">
        <f>J342*($L$2-1)</f>
        <v>0</v>
      </c>
      <c r="L342" s="16">
        <f>SUM(I342:K342)</f>
        <v>12751.53</v>
      </c>
    </row>
    <row r="343" spans="1:12" ht="12.75">
      <c r="A343" s="14">
        <v>341</v>
      </c>
      <c r="B343" s="15" t="s">
        <v>428</v>
      </c>
      <c r="C343" s="15" t="str">
        <f>'[1]HDPE Pipe PRICE'!B59</f>
        <v>Supply of HDPE Pipe PE 100 (IS 4984/1995), 12.5kg, 560mm Outer Dia. (100.98.189)</v>
      </c>
      <c r="D343" s="15" t="str">
        <f>CONCATENATE(C343," (Code: ",B343,")")</f>
        <v>Supply of HDPE Pipe PE 100 (IS 4984/1995), 12.5kg, 560mm Outer Dia. (100.98.189) (Code: GWDDR341)</v>
      </c>
      <c r="E343" s="14" t="s">
        <v>28</v>
      </c>
      <c r="F343" s="16" t="s">
        <v>18</v>
      </c>
      <c r="G343" s="16" t="s">
        <v>19</v>
      </c>
      <c r="H343" s="16" t="s">
        <v>371</v>
      </c>
      <c r="I343" s="16">
        <f>'[1]HDPE Pipe PRICE'!C59</f>
        <v>15970.96</v>
      </c>
      <c r="J343" s="14">
        <v>0</v>
      </c>
      <c r="K343" s="16">
        <f>J343*($L$2-1)</f>
        <v>0</v>
      </c>
      <c r="L343" s="16">
        <f>SUM(I343:K343)</f>
        <v>15970.96</v>
      </c>
    </row>
    <row r="344" spans="1:12" ht="12.75">
      <c r="A344" s="14">
        <v>342</v>
      </c>
      <c r="B344" s="15" t="s">
        <v>429</v>
      </c>
      <c r="C344" s="15" t="str">
        <f>'[1]HDPE Pipe PRICE'!B60</f>
        <v>Supply of HDPE Pipe PE 100 (IS 4984/1995), 12.5kg, 630mm Outer Dia. (100.98.190)</v>
      </c>
      <c r="D344" s="15" t="str">
        <f>CONCATENATE(C344," (Code: ",B344,")")</f>
        <v>Supply of HDPE Pipe PE 100 (IS 4984/1995), 12.5kg, 630mm Outer Dia. (100.98.190) (Code: GWDDR342)</v>
      </c>
      <c r="E344" s="14" t="s">
        <v>28</v>
      </c>
      <c r="F344" s="16" t="s">
        <v>18</v>
      </c>
      <c r="G344" s="16" t="s">
        <v>19</v>
      </c>
      <c r="H344" s="16" t="s">
        <v>371</v>
      </c>
      <c r="I344" s="16">
        <f>'[1]HDPE Pipe PRICE'!C60</f>
        <v>20217.01</v>
      </c>
      <c r="J344" s="14">
        <v>0</v>
      </c>
      <c r="K344" s="16">
        <f>J344*($L$2-1)</f>
        <v>0</v>
      </c>
      <c r="L344" s="16">
        <f>SUM(I344:K344)</f>
        <v>20217.01</v>
      </c>
    </row>
    <row r="345" spans="1:12" ht="12.75">
      <c r="A345" s="14">
        <v>343</v>
      </c>
      <c r="B345" s="15" t="s">
        <v>430</v>
      </c>
      <c r="C345" s="15" t="str">
        <f>'[1]HDPE Pipe PRICE'!B61</f>
        <v>Supply of HDPE Pipe PE 100 (IS 4984/1995), 16kg, 50mm Outer Dia. (100.98.191)</v>
      </c>
      <c r="D345" s="15" t="str">
        <f>CONCATENATE(C345," (Code: ",B345,")")</f>
        <v>Supply of HDPE Pipe PE 100 (IS 4984/1995), 16kg, 50mm Outer Dia. (100.98.191) (Code: GWDDR343)</v>
      </c>
      <c r="E345" s="14" t="s">
        <v>28</v>
      </c>
      <c r="F345" s="16" t="s">
        <v>18</v>
      </c>
      <c r="G345" s="16" t="s">
        <v>19</v>
      </c>
      <c r="H345" s="16" t="s">
        <v>371</v>
      </c>
      <c r="I345" s="16">
        <f>'[1]HDPE Pipe PRICE'!C61</f>
        <v>128.29</v>
      </c>
      <c r="J345" s="14">
        <v>0</v>
      </c>
      <c r="K345" s="16">
        <f>J345*($L$2-1)</f>
        <v>0</v>
      </c>
      <c r="L345" s="16">
        <f>SUM(I345:K345)</f>
        <v>128.29</v>
      </c>
    </row>
    <row r="346" spans="1:12" ht="12.75">
      <c r="A346" s="14">
        <v>344</v>
      </c>
      <c r="B346" s="15" t="s">
        <v>431</v>
      </c>
      <c r="C346" s="15" t="str">
        <f>'[1]HDPE Pipe PRICE'!B62</f>
        <v>Supply of HDPE Pipe PE 100 (IS 4984/1995), 16kg, 63mm Outer Dia. (100.98.192)</v>
      </c>
      <c r="D346" s="15" t="str">
        <f>CONCATENATE(C346," (Code: ",B346,")")</f>
        <v>Supply of HDPE Pipe PE 100 (IS 4984/1995), 16kg, 63mm Outer Dia. (100.98.192) (Code: GWDDR344)</v>
      </c>
      <c r="E346" s="14" t="s">
        <v>28</v>
      </c>
      <c r="F346" s="16" t="s">
        <v>18</v>
      </c>
      <c r="G346" s="16" t="s">
        <v>19</v>
      </c>
      <c r="H346" s="16" t="s">
        <v>371</v>
      </c>
      <c r="I346" s="16">
        <f>'[1]HDPE Pipe PRICE'!C62</f>
        <v>182.84</v>
      </c>
      <c r="J346" s="14">
        <v>0</v>
      </c>
      <c r="K346" s="16">
        <f>J346*($L$2-1)</f>
        <v>0</v>
      </c>
      <c r="L346" s="16">
        <f>SUM(I346:K346)</f>
        <v>182.84</v>
      </c>
    </row>
    <row r="347" spans="1:12" ht="12.75">
      <c r="A347" s="14">
        <v>345</v>
      </c>
      <c r="B347" s="15" t="s">
        <v>432</v>
      </c>
      <c r="C347" s="15" t="str">
        <f>'[1]HDPE Pipe PRICE'!B63</f>
        <v>Supply of HDPE Pipe PE 100 (IS 4984/1995), 16kg, 75mm Outer Dia. (100.98.193)</v>
      </c>
      <c r="D347" s="15" t="str">
        <f>CONCATENATE(C347," (Code: ",B347,")")</f>
        <v>Supply of HDPE Pipe PE 100 (IS 4984/1995), 16kg, 75mm Outer Dia. (100.98.193) (Code: GWDDR345)</v>
      </c>
      <c r="E347" s="14" t="s">
        <v>28</v>
      </c>
      <c r="F347" s="16" t="s">
        <v>18</v>
      </c>
      <c r="G347" s="16" t="s">
        <v>19</v>
      </c>
      <c r="H347" s="16" t="s">
        <v>371</v>
      </c>
      <c r="I347" s="16">
        <f>'[1]HDPE Pipe PRICE'!C63</f>
        <v>260.99</v>
      </c>
      <c r="J347" s="14">
        <v>0</v>
      </c>
      <c r="K347" s="16">
        <f>J347*($L$2-1)</f>
        <v>0</v>
      </c>
      <c r="L347" s="16">
        <f>SUM(I347:K347)</f>
        <v>260.99</v>
      </c>
    </row>
    <row r="348" spans="1:12" ht="12.75">
      <c r="A348" s="14">
        <v>346</v>
      </c>
      <c r="B348" s="15" t="s">
        <v>433</v>
      </c>
      <c r="C348" s="15" t="str">
        <f>'[1]HDPE Pipe PRICE'!B64</f>
        <v>Supply of HDPE Pipe PE 100 (IS 4984/1995), 16kg, 90mm Outer Dia. (100.98.194)</v>
      </c>
      <c r="D348" s="15" t="str">
        <f>CONCATENATE(C348," (Code: ",B348,")")</f>
        <v>Supply of HDPE Pipe PE 100 (IS 4984/1995), 16kg, 90mm Outer Dia. (100.98.194) (Code: GWDDR346)</v>
      </c>
      <c r="E348" s="14" t="s">
        <v>28</v>
      </c>
      <c r="F348" s="16" t="s">
        <v>18</v>
      </c>
      <c r="G348" s="16" t="s">
        <v>19</v>
      </c>
      <c r="H348" s="16" t="s">
        <v>371</v>
      </c>
      <c r="I348" s="16">
        <f>'[1]HDPE Pipe PRICE'!C64</f>
        <v>376.08</v>
      </c>
      <c r="J348" s="14">
        <v>0</v>
      </c>
      <c r="K348" s="16">
        <f>J348*($L$2-1)</f>
        <v>0</v>
      </c>
      <c r="L348" s="16">
        <f>SUM(I348:K348)</f>
        <v>376.08</v>
      </c>
    </row>
    <row r="349" spans="1:12" ht="12.75">
      <c r="A349" s="14">
        <v>347</v>
      </c>
      <c r="B349" s="15" t="s">
        <v>434</v>
      </c>
      <c r="C349" s="15" t="str">
        <f>'[1]HDPE Pipe PRICE'!B65</f>
        <v>Supply of HDPE Pipe PE 100 (IS 4984/1995), 16kg, 110mm Outer Dia. (100.98.195)</v>
      </c>
      <c r="D349" s="15" t="str">
        <f>CONCATENATE(C349," (Code: ",B349,")")</f>
        <v>Supply of HDPE Pipe PE 100 (IS 4984/1995), 16kg, 110mm Outer Dia. (100.98.195) (Code: GWDDR347)</v>
      </c>
      <c r="E349" s="14" t="s">
        <v>28</v>
      </c>
      <c r="F349" s="16" t="s">
        <v>18</v>
      </c>
      <c r="G349" s="16" t="s">
        <v>19</v>
      </c>
      <c r="H349" s="16" t="s">
        <v>371</v>
      </c>
      <c r="I349" s="16">
        <f>'[1]HDPE Pipe PRICE'!C65</f>
        <v>557.74</v>
      </c>
      <c r="J349" s="14">
        <v>0</v>
      </c>
      <c r="K349" s="16">
        <f>J349*($L$2-1)</f>
        <v>0</v>
      </c>
      <c r="L349" s="16">
        <f>SUM(I349:K349)</f>
        <v>557.74</v>
      </c>
    </row>
    <row r="350" spans="1:12" ht="12.75">
      <c r="A350" s="14">
        <v>348</v>
      </c>
      <c r="B350" s="15" t="s">
        <v>435</v>
      </c>
      <c r="C350" s="15" t="str">
        <f>'[1]HDPE Pipe PRICE'!B66</f>
        <v>Supply of HDPE Pipe PE 100 (IS 4984/1995), 16kg, 125mm Outer Dia. (100.98.196)</v>
      </c>
      <c r="D350" s="15" t="str">
        <f>CONCATENATE(C350," (Code: ",B350,")")</f>
        <v>Supply of HDPE Pipe PE 100 (IS 4984/1995), 16kg, 125mm Outer Dia. (100.98.196) (Code: GWDDR348)</v>
      </c>
      <c r="E350" s="14" t="s">
        <v>28</v>
      </c>
      <c r="F350" s="16" t="s">
        <v>18</v>
      </c>
      <c r="G350" s="16" t="s">
        <v>19</v>
      </c>
      <c r="H350" s="16" t="s">
        <v>371</v>
      </c>
      <c r="I350" s="16">
        <f>'[1]HDPE Pipe PRICE'!C66</f>
        <v>739.31</v>
      </c>
      <c r="J350" s="14">
        <v>0</v>
      </c>
      <c r="K350" s="16">
        <f>J350*($L$2-1)</f>
        <v>0</v>
      </c>
      <c r="L350" s="16">
        <f>SUM(I350:K350)</f>
        <v>739.31</v>
      </c>
    </row>
    <row r="351" spans="1:12" ht="12.75">
      <c r="A351" s="14">
        <v>349</v>
      </c>
      <c r="B351" s="15" t="s">
        <v>436</v>
      </c>
      <c r="C351" s="15" t="str">
        <f>'[1]HDPE Pipe PRICE'!B67</f>
        <v>Supply of HDPE Pipe PE 100 (IS 4984/1995), 16kg, 140mm Outer Dia. (100.98.197)</v>
      </c>
      <c r="D351" s="15" t="str">
        <f>CONCATENATE(C351," (Code: ",B351,")")</f>
        <v>Supply of HDPE Pipe PE 100 (IS 4984/1995), 16kg, 140mm Outer Dia. (100.98.197) (Code: GWDDR349)</v>
      </c>
      <c r="E351" s="14" t="s">
        <v>28</v>
      </c>
      <c r="F351" s="16" t="s">
        <v>18</v>
      </c>
      <c r="G351" s="16" t="s">
        <v>19</v>
      </c>
      <c r="H351" s="16" t="s">
        <v>371</v>
      </c>
      <c r="I351" s="16">
        <f>'[1]HDPE Pipe PRICE'!C67</f>
        <v>930.58</v>
      </c>
      <c r="J351" s="14">
        <v>0</v>
      </c>
      <c r="K351" s="16">
        <f>J351*($L$2-1)</f>
        <v>0</v>
      </c>
      <c r="L351" s="16">
        <f>SUM(I351:K351)</f>
        <v>930.58</v>
      </c>
    </row>
    <row r="352" spans="1:12" ht="12.75">
      <c r="A352" s="14">
        <v>350</v>
      </c>
      <c r="B352" s="15" t="s">
        <v>437</v>
      </c>
      <c r="C352" s="15" t="str">
        <f>'[1]HDPE Pipe PRICE'!B68</f>
        <v>Supply of HDPE Pipe PE 100 (IS 4984/1995), 16kg, 160mm Outer Dia. (100.98.198)</v>
      </c>
      <c r="D352" s="15" t="str">
        <f>CONCATENATE(C352," (Code: ",B352,")")</f>
        <v>Supply of HDPE Pipe PE 100 (IS 4984/1995), 16kg, 160mm Outer Dia. (100.98.198) (Code: GWDDR350)</v>
      </c>
      <c r="E352" s="14" t="s">
        <v>28</v>
      </c>
      <c r="F352" s="16" t="s">
        <v>18</v>
      </c>
      <c r="G352" s="16" t="s">
        <v>19</v>
      </c>
      <c r="H352" s="16" t="s">
        <v>371</v>
      </c>
      <c r="I352" s="16">
        <f>'[1]HDPE Pipe PRICE'!C68</f>
        <v>1212.94</v>
      </c>
      <c r="J352" s="14">
        <v>0</v>
      </c>
      <c r="K352" s="16">
        <f>J352*($L$2-1)</f>
        <v>0</v>
      </c>
      <c r="L352" s="16">
        <f>SUM(I352:K352)</f>
        <v>1212.94</v>
      </c>
    </row>
    <row r="353" spans="1:12" ht="12.75">
      <c r="A353" s="14">
        <v>351</v>
      </c>
      <c r="B353" s="15" t="s">
        <v>438</v>
      </c>
      <c r="C353" s="15" t="str">
        <f>'[1]HDPE Pipe PRICE'!B69</f>
        <v>Supply of HDPE Pipe PE 100 (IS 4984/1995), 16kg, 180mm Outer Dia. (100.98.199)</v>
      </c>
      <c r="D353" s="15" t="str">
        <f>CONCATENATE(C353," (Code: ",B353,")")</f>
        <v>Supply of HDPE Pipe PE 100 (IS 4984/1995), 16kg, 180mm Outer Dia. (100.98.199) (Code: GWDDR351)</v>
      </c>
      <c r="E353" s="14" t="s">
        <v>28</v>
      </c>
      <c r="F353" s="16" t="s">
        <v>18</v>
      </c>
      <c r="G353" s="16" t="s">
        <v>19</v>
      </c>
      <c r="H353" s="16" t="s">
        <v>371</v>
      </c>
      <c r="I353" s="16">
        <f>'[1]HDPE Pipe PRICE'!C69</f>
        <v>1531.74</v>
      </c>
      <c r="J353" s="14">
        <v>0</v>
      </c>
      <c r="K353" s="16">
        <f>J353*($L$2-1)</f>
        <v>0</v>
      </c>
      <c r="L353" s="16">
        <f>SUM(I353:K353)</f>
        <v>1531.74</v>
      </c>
    </row>
    <row r="354" spans="1:12" ht="12.75">
      <c r="A354" s="14">
        <v>352</v>
      </c>
      <c r="B354" s="15" t="s">
        <v>439</v>
      </c>
      <c r="C354" s="15" t="str">
        <f>'[1]HDPE Pipe PRICE'!B70</f>
        <v>Supply of HDPE Pipe PE 100 (IS 4984/1995), 16kg, 200mm Outer Dia. (100.98.200)</v>
      </c>
      <c r="D354" s="15" t="str">
        <f>CONCATENATE(C354," (Code: ",B354,")")</f>
        <v>Supply of HDPE Pipe PE 100 (IS 4984/1995), 16kg, 200mm Outer Dia. (100.98.200) (Code: GWDDR352)</v>
      </c>
      <c r="E354" s="14" t="s">
        <v>28</v>
      </c>
      <c r="F354" s="16" t="s">
        <v>18</v>
      </c>
      <c r="G354" s="16" t="s">
        <v>19</v>
      </c>
      <c r="H354" s="16" t="s">
        <v>371</v>
      </c>
      <c r="I354" s="16">
        <f>'[1]HDPE Pipe PRICE'!C70</f>
        <v>1894.57</v>
      </c>
      <c r="J354" s="14">
        <v>0</v>
      </c>
      <c r="K354" s="16">
        <f>J354*($L$2-1)</f>
        <v>0</v>
      </c>
      <c r="L354" s="16">
        <f>SUM(I354:K354)</f>
        <v>1894.57</v>
      </c>
    </row>
    <row r="355" spans="1:12" ht="12.75">
      <c r="A355" s="14">
        <v>353</v>
      </c>
      <c r="B355" s="15" t="s">
        <v>440</v>
      </c>
      <c r="C355" s="15" t="str">
        <f>'[1]HDPE Pipe PRICE'!B71</f>
        <v>Supply of HDPE Pipe PE 100 (IS 4984/1995), 16kg, 225mm Outer Dia. (100.98.201)</v>
      </c>
      <c r="D355" s="15" t="str">
        <f>CONCATENATE(C355," (Code: ",B355,")")</f>
        <v>Supply of HDPE Pipe PE 100 (IS 4984/1995), 16kg, 225mm Outer Dia. (100.98.201) (Code: GWDDR353)</v>
      </c>
      <c r="E355" s="14" t="s">
        <v>28</v>
      </c>
      <c r="F355" s="16" t="s">
        <v>18</v>
      </c>
      <c r="G355" s="16" t="s">
        <v>19</v>
      </c>
      <c r="H355" s="16" t="s">
        <v>371</v>
      </c>
      <c r="I355" s="16">
        <f>'[1]HDPE Pipe PRICE'!C71</f>
        <v>2386.42</v>
      </c>
      <c r="J355" s="14">
        <v>0</v>
      </c>
      <c r="K355" s="16">
        <f>J355*($L$2-1)</f>
        <v>0</v>
      </c>
      <c r="L355" s="16">
        <f>SUM(I355:K355)</f>
        <v>2386.42</v>
      </c>
    </row>
    <row r="356" spans="1:12" ht="12.75">
      <c r="A356" s="14">
        <v>354</v>
      </c>
      <c r="B356" s="15" t="s">
        <v>441</v>
      </c>
      <c r="C356" s="15" t="str">
        <f>'[1]HDPE Pipe PRICE'!B72</f>
        <v>Supply of HDPE Pipe PE 100 (IS 4984/1995), 16kg, 250mm Outer Dia. (100.98.202)</v>
      </c>
      <c r="D356" s="15" t="str">
        <f>CONCATENATE(C356," (Code: ",B356,")")</f>
        <v>Supply of HDPE Pipe PE 100 (IS 4984/1995), 16kg, 250mm Outer Dia. (100.98.202) (Code: GWDDR354)</v>
      </c>
      <c r="E356" s="14" t="s">
        <v>28</v>
      </c>
      <c r="F356" s="16" t="s">
        <v>18</v>
      </c>
      <c r="G356" s="16" t="s">
        <v>19</v>
      </c>
      <c r="H356" s="16" t="s">
        <v>371</v>
      </c>
      <c r="I356" s="16">
        <f>'[1]HDPE Pipe PRICE'!C72</f>
        <v>2949.63</v>
      </c>
      <c r="J356" s="14">
        <v>0</v>
      </c>
      <c r="K356" s="16">
        <f>J356*($L$2-1)</f>
        <v>0</v>
      </c>
      <c r="L356" s="16">
        <f>SUM(I356:K356)</f>
        <v>2949.63</v>
      </c>
    </row>
    <row r="357" spans="1:12" ht="12.75">
      <c r="A357" s="14">
        <v>355</v>
      </c>
      <c r="B357" s="15" t="s">
        <v>442</v>
      </c>
      <c r="C357" s="15" t="str">
        <f>'[1]HDPE Pipe PRICE'!B73</f>
        <v>Supply of HDPE Pipe PE 100 (IS 4984/1995), 16kg, 280mm Outer Dia. (100.98.203)</v>
      </c>
      <c r="D357" s="15" t="str">
        <f>CONCATENATE(C357," (Code: ",B357,")")</f>
        <v>Supply of HDPE Pipe PE 100 (IS 4984/1995), 16kg, 280mm Outer Dia. (100.98.203) (Code: GWDDR355)</v>
      </c>
      <c r="E357" s="14" t="s">
        <v>28</v>
      </c>
      <c r="F357" s="16" t="s">
        <v>18</v>
      </c>
      <c r="G357" s="16" t="s">
        <v>19</v>
      </c>
      <c r="H357" s="16" t="s">
        <v>371</v>
      </c>
      <c r="I357" s="16">
        <f>'[1]HDPE Pipe PRICE'!C73</f>
        <v>3704.12</v>
      </c>
      <c r="J357" s="14">
        <v>0</v>
      </c>
      <c r="K357" s="16">
        <f>J357*($L$2-1)</f>
        <v>0</v>
      </c>
      <c r="L357" s="16">
        <f>SUM(I357:K357)</f>
        <v>3704.12</v>
      </c>
    </row>
    <row r="358" spans="1:12" ht="12.75">
      <c r="A358" s="14">
        <v>356</v>
      </c>
      <c r="B358" s="15" t="s">
        <v>443</v>
      </c>
      <c r="C358" s="15" t="str">
        <f>'[1]HDPE Pipe PRICE'!B74</f>
        <v>Supply of HDPE Pipe PE 100 (IS 4984/1995), 16kg, 315mm Outer Dia. (100.98.204)</v>
      </c>
      <c r="D358" s="15" t="str">
        <f>CONCATENATE(C358," (Code: ",B358,")")</f>
        <v>Supply of HDPE Pipe PE 100 (IS 4984/1995), 16kg, 315mm Outer Dia. (100.98.204) (Code: GWDDR356)</v>
      </c>
      <c r="E358" s="14" t="s">
        <v>28</v>
      </c>
      <c r="F358" s="16" t="s">
        <v>18</v>
      </c>
      <c r="G358" s="16" t="s">
        <v>19</v>
      </c>
      <c r="H358" s="16" t="s">
        <v>371</v>
      </c>
      <c r="I358" s="16">
        <f>'[1]HDPE Pipe PRICE'!C74</f>
        <v>4677.21</v>
      </c>
      <c r="J358" s="14">
        <v>0</v>
      </c>
      <c r="K358" s="16">
        <f>J358*($L$2-1)</f>
        <v>0</v>
      </c>
      <c r="L358" s="16">
        <f>SUM(I358:K358)</f>
        <v>4677.21</v>
      </c>
    </row>
    <row r="359" spans="1:12" ht="12.75">
      <c r="A359" s="14">
        <v>357</v>
      </c>
      <c r="B359" s="15" t="s">
        <v>444</v>
      </c>
      <c r="C359" s="15" t="str">
        <f>'[1]HDPE Pipe PRICE'!B75</f>
        <v>Supply of HDPE Pipe PE 100 (IS 4984/1995), 16kg, 355mm Outer Dia. (100.98.205)</v>
      </c>
      <c r="D359" s="15" t="str">
        <f>CONCATENATE(C359," (Code: ",B359,")")</f>
        <v>Supply of HDPE Pipe PE 100 (IS 4984/1995), 16kg, 355mm Outer Dia. (100.98.205) (Code: GWDDR357)</v>
      </c>
      <c r="E359" s="14" t="s">
        <v>28</v>
      </c>
      <c r="F359" s="16" t="s">
        <v>18</v>
      </c>
      <c r="G359" s="16" t="s">
        <v>19</v>
      </c>
      <c r="H359" s="16" t="s">
        <v>371</v>
      </c>
      <c r="I359" s="16">
        <f>'[1]HDPE Pipe PRICE'!C75</f>
        <v>6176.95</v>
      </c>
      <c r="J359" s="14">
        <v>0</v>
      </c>
      <c r="K359" s="16">
        <f>J359*($L$2-1)</f>
        <v>0</v>
      </c>
      <c r="L359" s="16">
        <f>SUM(I359:K359)</f>
        <v>6176.95</v>
      </c>
    </row>
    <row r="360" spans="1:12" ht="12.75">
      <c r="A360" s="14">
        <v>358</v>
      </c>
      <c r="B360" s="15" t="s">
        <v>445</v>
      </c>
      <c r="C360" s="15" t="str">
        <f>'[1]HDPE Pipe PRICE'!B76</f>
        <v>Supply of HDPE Pipe PE 100 (IS 4984/1995), 16kg, 400mm Outer Dia. (100.98.206)</v>
      </c>
      <c r="D360" s="15" t="str">
        <f>CONCATENATE(C360," (Code: ",B360,")")</f>
        <v>Supply of HDPE Pipe PE 100 (IS 4984/1995), 16kg, 400mm Outer Dia. (100.98.206) (Code: GWDDR358)</v>
      </c>
      <c r="E360" s="14" t="s">
        <v>28</v>
      </c>
      <c r="F360" s="16" t="s">
        <v>18</v>
      </c>
      <c r="G360" s="16" t="s">
        <v>19</v>
      </c>
      <c r="H360" s="16" t="s">
        <v>371</v>
      </c>
      <c r="I360" s="16">
        <f>'[1]HDPE Pipe PRICE'!C76</f>
        <v>7839.80</v>
      </c>
      <c r="J360" s="14">
        <v>0</v>
      </c>
      <c r="K360" s="16">
        <f>J360*($L$2-1)</f>
        <v>0</v>
      </c>
      <c r="L360" s="16">
        <f>SUM(I360:K360)</f>
        <v>7839.80</v>
      </c>
    </row>
    <row r="361" spans="1:12" ht="12.75">
      <c r="A361" s="14">
        <v>359</v>
      </c>
      <c r="B361" s="15" t="s">
        <v>446</v>
      </c>
      <c r="C361" s="15" t="str">
        <f>'[1]HDPE Pipe PRICE'!B77</f>
        <v>Supply of HDPE Pipe PE 100 (IS 4984/1995), 16kg, 450mm Outer Dia. (100.98.207)</v>
      </c>
      <c r="D361" s="15" t="str">
        <f>CONCATENATE(C361," (Code: ",B361,")")</f>
        <v>Supply of HDPE Pipe PE 100 (IS 4984/1995), 16kg, 450mm Outer Dia. (100.98.207) (Code: GWDDR359)</v>
      </c>
      <c r="E361" s="14" t="s">
        <v>28</v>
      </c>
      <c r="F361" s="16" t="s">
        <v>18</v>
      </c>
      <c r="G361" s="16" t="s">
        <v>19</v>
      </c>
      <c r="H361" s="16" t="s">
        <v>371</v>
      </c>
      <c r="I361" s="16">
        <f>'[1]HDPE Pipe PRICE'!C77</f>
        <v>11947.80</v>
      </c>
      <c r="J361" s="14">
        <v>0</v>
      </c>
      <c r="K361" s="16">
        <f>J361*($L$2-1)</f>
        <v>0</v>
      </c>
      <c r="L361" s="16">
        <f>SUM(I361:K361)</f>
        <v>11947.80</v>
      </c>
    </row>
    <row r="362" spans="1:12" ht="12.75">
      <c r="A362" s="14">
        <v>360</v>
      </c>
      <c r="B362" s="15" t="s">
        <v>447</v>
      </c>
      <c r="C362" s="15" t="str">
        <f>'[1]HDPE Pipe PRICE'!B78</f>
        <v>Supply of HDPE Pipe PE 100 (IS 4984/1995), 16kg, 500mm Outer Dia. (100.98.208)</v>
      </c>
      <c r="D362" s="15" t="str">
        <f>CONCATENATE(C362," (Code: ",B362,")")</f>
        <v>Supply of HDPE Pipe PE 100 (IS 4984/1995), 16kg, 500mm Outer Dia. (100.98.208) (Code: GWDDR360)</v>
      </c>
      <c r="E362" s="14" t="s">
        <v>28</v>
      </c>
      <c r="F362" s="16" t="s">
        <v>18</v>
      </c>
      <c r="G362" s="16" t="s">
        <v>19</v>
      </c>
      <c r="H362" s="16" t="s">
        <v>371</v>
      </c>
      <c r="I362" s="16">
        <f>'[1]HDPE Pipe PRICE'!C78</f>
        <v>15211.15</v>
      </c>
      <c r="J362" s="14">
        <v>0</v>
      </c>
      <c r="K362" s="16">
        <f>J362*($L$2-1)</f>
        <v>0</v>
      </c>
      <c r="L362" s="16">
        <f>SUM(I362:K362)</f>
        <v>15211.15</v>
      </c>
    </row>
    <row r="363" spans="1:12" ht="12.75">
      <c r="A363" s="14">
        <v>361</v>
      </c>
      <c r="B363" s="15" t="s">
        <v>448</v>
      </c>
      <c r="C363" s="15" t="str">
        <f>'[1]PVC With Trench'!B27</f>
        <v>Providing and fixing PVC pipes includes jointing of pipes with one step PVC solvent cement, trenching, refilling &amp; testing of joints complete as per direction of Engineer in Charge. 63 mm dia 10 KGF/cm2</v>
      </c>
      <c r="D363" s="15" t="str">
        <f>CONCATENATE(C363," (Code: ",B363,")")</f>
        <v>Providing and fixing PVC pipes includes jointing of pipes with one step PVC solvent cement, trenching, refilling &amp; testing of joints complete as per direction of Engineer in Charge. 63 mm dia 10 KGF/cm2 (Code: GWDDR361)</v>
      </c>
      <c r="E363" s="14" t="s">
        <v>28</v>
      </c>
      <c r="F363" s="16" t="s">
        <v>18</v>
      </c>
      <c r="G363" s="16" t="s">
        <v>19</v>
      </c>
      <c r="H363" s="16" t="s">
        <v>77</v>
      </c>
      <c r="I363" s="21">
        <f>'[1]PVC With Trench'!F38</f>
        <v>200.36</v>
      </c>
      <c r="J363" s="21">
        <f>'[1]PVC With Trench'!F50</f>
        <v>128.55</v>
      </c>
      <c r="K363" s="16">
        <f>J363*($L$2-1)</f>
        <v>0</v>
      </c>
      <c r="L363" s="16">
        <f>SUM(I363:K363)</f>
        <v>328.91</v>
      </c>
    </row>
    <row r="364" spans="1:12" ht="12.75">
      <c r="A364" s="14">
        <v>362</v>
      </c>
      <c r="B364" s="15" t="s">
        <v>449</v>
      </c>
      <c r="C364" s="15" t="str">
        <f>'[1]PVC wo Trench'!B288</f>
        <v>Providing and fixing PVC pipes includes jointing of pipes with one step PVC solvent cement &amp; testing of joints complete as per direction of Engineer in Charge.63 mm dia 10 KGF/cm2</v>
      </c>
      <c r="D364" s="15" t="str">
        <f>CONCATENATE(C364," (Code: ",B364,")")</f>
        <v>Providing and fixing PVC pipes includes jointing of pipes with one step PVC solvent cement &amp; testing of joints complete as per direction of Engineer in Charge.63 mm dia 10 KGF/cm2 (Code: GWDDR362)</v>
      </c>
      <c r="E364" s="19" t="s">
        <v>28</v>
      </c>
      <c r="F364" s="16" t="s">
        <v>18</v>
      </c>
      <c r="G364" s="23" t="s">
        <v>19</v>
      </c>
      <c r="H364" s="23" t="s">
        <v>64</v>
      </c>
      <c r="I364" s="21">
        <f>'[1]PVC wo Trench'!F299</f>
        <v>200.36</v>
      </c>
      <c r="J364" s="21">
        <f>'[1]PVC wo Trench'!F308</f>
        <v>29.66</v>
      </c>
      <c r="K364" s="16">
        <f>J364*($L$2-1)</f>
        <v>0</v>
      </c>
      <c r="L364" s="16">
        <f>SUM(I364:K364)</f>
        <v>230.02</v>
      </c>
    </row>
    <row r="365" spans="1:12" ht="12.75">
      <c r="A365" s="14">
        <v>363</v>
      </c>
      <c r="B365" s="15" t="s">
        <v>450</v>
      </c>
      <c r="C365" s="15" t="str">
        <f>'[1]Panel Board'!B2</f>
        <v>Installation of Single Phase Panel board where new electricity connection is required (Excluding Motor Starter)</v>
      </c>
      <c r="D365" s="15" t="str">
        <f>CONCATENATE(C365," (Code: ",B365,")")</f>
        <v>Installation of Single Phase Panel board where new electricity connection is required (Excluding Motor Starter) (Code: GWDDR363)</v>
      </c>
      <c r="E365" s="19" t="s">
        <v>17</v>
      </c>
      <c r="F365" s="16" t="s">
        <v>18</v>
      </c>
      <c r="G365" s="23" t="s">
        <v>19</v>
      </c>
      <c r="H365" s="17" t="s">
        <v>451</v>
      </c>
      <c r="I365" s="21">
        <f>'[1]Panel Board'!H29</f>
        <v>8149.0839999999998</v>
      </c>
      <c r="J365" s="21">
        <f>'[1]Panel Board'!I29</f>
        <v>4245.0731999999998</v>
      </c>
      <c r="K365" s="16">
        <f>J365*($L$2-1)</f>
        <v>0</v>
      </c>
      <c r="L365" s="16">
        <f>SUM(I365:K365)</f>
        <v>12394.1572</v>
      </c>
    </row>
    <row r="366" spans="1:12" ht="12.75">
      <c r="A366" s="14">
        <v>364</v>
      </c>
      <c r="B366" s="15" t="s">
        <v>452</v>
      </c>
      <c r="C366" s="15" t="str">
        <f>'[1]Panel Board'!B30</f>
        <v>Installation of Three Phase Panel board where new electricity connection is required (Excluding Motor Starter)</v>
      </c>
      <c r="D366" s="15" t="str">
        <f>CONCATENATE(C366," (Code: ",B366,")")</f>
        <v>Installation of Three Phase Panel board where new electricity connection is required (Excluding Motor Starter) (Code: GWDDR364)</v>
      </c>
      <c r="E366" s="19" t="s">
        <v>17</v>
      </c>
      <c r="F366" s="16" t="s">
        <v>18</v>
      </c>
      <c r="G366" s="23" t="s">
        <v>19</v>
      </c>
      <c r="H366" s="17" t="s">
        <v>451</v>
      </c>
      <c r="I366" s="21">
        <f>'[1]Panel Board'!H57</f>
        <v>8392.9989999999998</v>
      </c>
      <c r="J366" s="21">
        <f>'[1]Panel Board'!I57</f>
        <v>6994.3666999999996</v>
      </c>
      <c r="K366" s="16">
        <f>J366*($L$2-1)</f>
        <v>0</v>
      </c>
      <c r="L366" s="16">
        <f>SUM(I366:K366)</f>
        <v>15387.3657</v>
      </c>
    </row>
    <row r="367" spans="1:12" ht="12.75">
      <c r="A367" s="14">
        <v>365</v>
      </c>
      <c r="B367" s="15" t="s">
        <v>453</v>
      </c>
      <c r="C367" s="15" t="str">
        <f>[1]Services!B16</f>
        <v>Water Quality Testing Including Bacteriology (Domestic)</v>
      </c>
      <c r="D367" s="15" t="str">
        <f>CONCATENATE(C367," (Code: ",B367,")")</f>
        <v>Water Quality Testing Including Bacteriology (Domestic) (Code: GWDDR365)</v>
      </c>
      <c r="E367" s="19" t="s">
        <v>454</v>
      </c>
      <c r="F367" s="16" t="s">
        <v>18</v>
      </c>
      <c r="G367" s="17" t="s">
        <v>172</v>
      </c>
      <c r="H367" s="17" t="s">
        <v>172</v>
      </c>
      <c r="I367" s="14">
        <f>[1]Services!D16</f>
        <v>670</v>
      </c>
      <c r="J367" s="14">
        <v>0</v>
      </c>
      <c r="K367" s="16">
        <f>J367*($L$2-1)</f>
        <v>0</v>
      </c>
      <c r="L367" s="16">
        <f>SUM(I367:K367)</f>
        <v>670</v>
      </c>
    </row>
    <row r="368" spans="1:12" ht="12.75">
      <c r="A368" s="14">
        <v>366</v>
      </c>
      <c r="B368" s="15" t="s">
        <v>455</v>
      </c>
      <c r="C368" s="15" t="str">
        <f>[1]Services!B17</f>
        <v>Water Quality Testing Including Bacteriology (Industrial)</v>
      </c>
      <c r="D368" s="15" t="str">
        <f>CONCATENATE(C368," (Code: ",B368,")")</f>
        <v>Water Quality Testing Including Bacteriology (Industrial) (Code: GWDDR366)</v>
      </c>
      <c r="E368" s="19" t="s">
        <v>454</v>
      </c>
      <c r="F368" s="16" t="s">
        <v>18</v>
      </c>
      <c r="G368" s="17" t="s">
        <v>172</v>
      </c>
      <c r="H368" s="17" t="s">
        <v>172</v>
      </c>
      <c r="I368" s="14">
        <f>[1]Services!D17</f>
        <v>1330</v>
      </c>
      <c r="J368" s="14">
        <v>0</v>
      </c>
      <c r="K368" s="16">
        <f>J368*($L$2-1)</f>
        <v>0</v>
      </c>
      <c r="L368" s="16">
        <f>SUM(I368:K368)</f>
        <v>1330</v>
      </c>
    </row>
    <row r="369" spans="1:12" ht="12.75">
      <c r="A369" s="14">
        <v>367</v>
      </c>
      <c r="B369" s="15" t="s">
        <v>456</v>
      </c>
      <c r="C369" s="15" t="str">
        <f>[1]Services!B18</f>
        <v>110mm (4.5") Borewell Drilling with Subsidy</v>
      </c>
      <c r="D369" s="15" t="str">
        <f>CONCATENATE(C369," (Code: ",B369,")")</f>
        <v>110mm (4.5") Borewell Drilling with Subsidy (Code: GWDDR367)</v>
      </c>
      <c r="E369" s="19" t="s">
        <v>28</v>
      </c>
      <c r="F369" s="16" t="s">
        <v>18</v>
      </c>
      <c r="G369" s="17" t="s">
        <v>457</v>
      </c>
      <c r="H369" s="17" t="s">
        <v>159</v>
      </c>
      <c r="I369" s="14">
        <f>[1]Services!D18</f>
        <v>195</v>
      </c>
      <c r="J369" s="14">
        <v>0</v>
      </c>
      <c r="K369" s="16">
        <f>J369*($L$2-1)</f>
        <v>0</v>
      </c>
      <c r="L369" s="16">
        <f>SUM(I369:K369)</f>
        <v>195</v>
      </c>
    </row>
    <row r="370" spans="1:12" ht="12.75">
      <c r="A370" s="14">
        <v>368</v>
      </c>
      <c r="B370" s="15" t="s">
        <v>458</v>
      </c>
      <c r="C370" s="15" t="str">
        <f>'[1]Motor Starter GWD'!A158</f>
        <v>S &amp; F Single phase starters suitable for Compressor pump upto 2HP</v>
      </c>
      <c r="D370" s="15" t="str">
        <f>CONCATENATE(C370," (Code: ",B370,")")</f>
        <v>S &amp; F Single phase starters suitable for Compressor pump upto 2HP (Code: GWDDR368)</v>
      </c>
      <c r="E370" s="19" t="s">
        <v>17</v>
      </c>
      <c r="F370" s="16" t="s">
        <v>18</v>
      </c>
      <c r="G370" s="17" t="s">
        <v>19</v>
      </c>
      <c r="H370" s="17" t="s">
        <v>198</v>
      </c>
      <c r="I370" s="21">
        <f>'[1]Motor Starter GWD'!H186</f>
        <v>2984.435438</v>
      </c>
      <c r="J370" s="21">
        <f>'[1]Motor Starter GWD'!I186</f>
        <v>16.887819</v>
      </c>
      <c r="K370" s="16">
        <f>J370*($L$2-1)</f>
        <v>0</v>
      </c>
      <c r="L370" s="16">
        <f>SUM(I370:K370)</f>
        <v>3001.323257</v>
      </c>
    </row>
    <row r="371" spans="1:12" ht="12.75">
      <c r="A371" s="14">
        <v>369</v>
      </c>
      <c r="B371" s="15" t="s">
        <v>459</v>
      </c>
      <c r="C371" s="15" t="str">
        <f>'[1]Motor Starter GWD'!A189</f>
        <v>S &amp; F Single phase starters suitable for 3HP Compressor pump</v>
      </c>
      <c r="D371" s="15" t="str">
        <f>CONCATENATE(C371," (Code: ",B371,")")</f>
        <v>S &amp; F Single phase starters suitable for 3HP Compressor pump (Code: GWDDR369)</v>
      </c>
      <c r="E371" s="19" t="s">
        <v>17</v>
      </c>
      <c r="F371" s="16" t="s">
        <v>18</v>
      </c>
      <c r="G371" s="17" t="s">
        <v>19</v>
      </c>
      <c r="H371" s="17" t="s">
        <v>198</v>
      </c>
      <c r="I371" s="21">
        <f>'[1]Motor Starter GWD'!H217</f>
        <v>3042.8008129999998</v>
      </c>
      <c r="J371" s="21">
        <f>'[1]Motor Starter GWD'!I217</f>
        <v>16.887819</v>
      </c>
      <c r="K371" s="16">
        <f>J371*($L$2-1)</f>
        <v>0</v>
      </c>
      <c r="L371" s="16">
        <f>SUM(I371:K371)</f>
        <v>3059.6886319999999</v>
      </c>
    </row>
    <row r="372" spans="1:12" ht="12.75">
      <c r="A372" s="14">
        <v>370</v>
      </c>
      <c r="B372" s="15" t="s">
        <v>460</v>
      </c>
      <c r="C372" s="15" t="str">
        <f>'[1]ARS Filter Media'!B2</f>
        <v>Supply and filling of 40mm metal as filter medium</v>
      </c>
      <c r="D372" s="15" t="str">
        <f>CONCATENATE(C372," (Code: ",B372,")")</f>
        <v>Supply and filling of 40mm metal as filter medium (Code: GWDDR370)</v>
      </c>
      <c r="E372" s="19" t="s">
        <v>321</v>
      </c>
      <c r="F372" s="16" t="s">
        <v>18</v>
      </c>
      <c r="G372" s="17" t="s">
        <v>90</v>
      </c>
      <c r="H372" s="17" t="s">
        <v>461</v>
      </c>
      <c r="I372" s="14">
        <v>0</v>
      </c>
      <c r="J372" s="16">
        <f>'[1]ARS Filter Media'!F16</f>
        <v>2016.60</v>
      </c>
      <c r="K372" s="16">
        <f>J372*($L$2-1)</f>
        <v>0</v>
      </c>
      <c r="L372" s="16">
        <f>SUM(I372:K372)</f>
        <v>2016.60</v>
      </c>
    </row>
    <row r="373" spans="1:12" ht="12.75">
      <c r="A373" s="14">
        <v>371</v>
      </c>
      <c r="B373" s="15" t="s">
        <v>462</v>
      </c>
      <c r="C373" s="15" t="str">
        <f>'[1]ARS Filter Media'!B18</f>
        <v>Supply and filling of 25mm metal as filter medium</v>
      </c>
      <c r="D373" s="15" t="str">
        <f>CONCATENATE(C373," (Code: ",B373,")")</f>
        <v>Supply and filling of 25mm metal as filter medium (Code: GWDDR371)</v>
      </c>
      <c r="E373" s="19" t="s">
        <v>321</v>
      </c>
      <c r="F373" s="16" t="s">
        <v>18</v>
      </c>
      <c r="G373" s="17" t="s">
        <v>90</v>
      </c>
      <c r="H373" s="17" t="s">
        <v>461</v>
      </c>
      <c r="I373" s="14">
        <v>0</v>
      </c>
      <c r="J373" s="16">
        <f>'[1]ARS Filter Media'!F32</f>
        <v>2058.10</v>
      </c>
      <c r="K373" s="16">
        <f>J373*($L$2-1)</f>
        <v>0</v>
      </c>
      <c r="L373" s="16">
        <f>SUM(I373:K373)</f>
        <v>2058.10</v>
      </c>
    </row>
    <row r="374" spans="1:12" ht="12.75">
      <c r="A374" s="14">
        <v>372</v>
      </c>
      <c r="B374" s="15" t="s">
        <v>463</v>
      </c>
      <c r="C374" s="15" t="str">
        <f>'[1]ARS Filter Media'!B34</f>
        <v>Supply and filling of 20mm/6mm metal as filter medium</v>
      </c>
      <c r="D374" s="15" t="str">
        <f>CONCATENATE(C374," (Code: ",B374,")")</f>
        <v>Supply and filling of 20mm/6mm metal as filter medium (Code: GWDDR372)</v>
      </c>
      <c r="E374" s="19" t="s">
        <v>321</v>
      </c>
      <c r="F374" s="16" t="s">
        <v>18</v>
      </c>
      <c r="G374" s="17" t="s">
        <v>90</v>
      </c>
      <c r="H374" s="17" t="s">
        <v>461</v>
      </c>
      <c r="I374" s="14">
        <v>0</v>
      </c>
      <c r="J374" s="16">
        <f>'[1]ARS Filter Media'!F48</f>
        <v>2116.15</v>
      </c>
      <c r="K374" s="16">
        <f>J374*($L$2-1)</f>
        <v>0</v>
      </c>
      <c r="L374" s="16">
        <f>SUM(I374:K374)</f>
        <v>2116.15</v>
      </c>
    </row>
    <row r="375" spans="1:12" ht="12.75">
      <c r="A375" s="14">
        <v>373</v>
      </c>
      <c r="B375" s="15" t="s">
        <v>464</v>
      </c>
      <c r="C375" s="15" t="str">
        <f>'[1]ARS Filter Media'!B50</f>
        <v>Supply and filling of Coarse Sand as filter medium</v>
      </c>
      <c r="D375" s="15" t="str">
        <f>CONCATENATE(C375," (Code: ",B375,")")</f>
        <v>Supply and filling of Coarse Sand as filter medium (Code: GWDDR373)</v>
      </c>
      <c r="E375" s="19" t="s">
        <v>321</v>
      </c>
      <c r="F375" s="16" t="s">
        <v>18</v>
      </c>
      <c r="G375" s="17" t="s">
        <v>90</v>
      </c>
      <c r="H375" s="17" t="s">
        <v>461</v>
      </c>
      <c r="I375" s="14">
        <v>0</v>
      </c>
      <c r="J375" s="16">
        <f>'[1]ARS Filter Media'!F64</f>
        <v>2382.15</v>
      </c>
      <c r="K375" s="16">
        <f>J375*($L$2-1)</f>
        <v>0</v>
      </c>
      <c r="L375" s="16">
        <f>SUM(I375:K375)</f>
        <v>2382.15</v>
      </c>
    </row>
    <row r="376" spans="1:12" ht="12.75">
      <c r="A376" s="14">
        <v>374</v>
      </c>
      <c r="B376" s="15" t="s">
        <v>465</v>
      </c>
      <c r="C376" s="15" t="str">
        <f>'[1]ARS Filter Media'!B66</f>
        <v>Supply and filling of Charcoal as filter medium</v>
      </c>
      <c r="D376" s="15" t="str">
        <f>CONCATENATE(C376," (Code: ",B376,")")</f>
        <v>Supply and filling of Charcoal as filter medium (Code: GWDDR374)</v>
      </c>
      <c r="E376" s="19" t="s">
        <v>321</v>
      </c>
      <c r="F376" s="16" t="s">
        <v>18</v>
      </c>
      <c r="G376" s="17" t="s">
        <v>90</v>
      </c>
      <c r="H376" s="17" t="s">
        <v>461</v>
      </c>
      <c r="I376" s="14">
        <v>0</v>
      </c>
      <c r="J376" s="16">
        <f>'[1]ARS Filter Media'!F82</f>
        <v>2510.45</v>
      </c>
      <c r="K376" s="16">
        <f>J376*($L$2-1)</f>
        <v>0</v>
      </c>
      <c r="L376" s="16">
        <f>SUM(I376:K376)</f>
        <v>2510.45</v>
      </c>
    </row>
    <row r="377" spans="1:12" ht="12.75">
      <c r="A377" s="14">
        <v>375</v>
      </c>
      <c r="B377" s="15" t="s">
        <v>466</v>
      </c>
      <c r="C377" s="15" t="str">
        <f>[1]Services!B19</f>
        <v>Rotary cum DTH OB Drilling</v>
      </c>
      <c r="D377" s="15" t="str">
        <f>CONCATENATE(C377," (Code: ",B377,")")</f>
        <v>Rotary cum DTH OB Drilling (Code: GWDDR375)</v>
      </c>
      <c r="E377" s="19" t="s">
        <v>28</v>
      </c>
      <c r="F377" s="16" t="s">
        <v>18</v>
      </c>
      <c r="G377" s="17" t="s">
        <v>457</v>
      </c>
      <c r="H377" s="17" t="s">
        <v>159</v>
      </c>
      <c r="I377" s="14">
        <f>[1]Services!D19</f>
        <v>1985</v>
      </c>
      <c r="J377" s="14">
        <v>0</v>
      </c>
      <c r="K377" s="16">
        <f>J377*($L$2-1)</f>
        <v>0</v>
      </c>
      <c r="L377" s="16">
        <f>SUM(I377:K377)</f>
        <v>1985</v>
      </c>
    </row>
    <row r="378" spans="1:12" ht="12.75">
      <c r="A378" s="14">
        <v>376</v>
      </c>
      <c r="B378" s="15" t="s">
        <v>467</v>
      </c>
      <c r="C378" s="15" t="str">
        <f>[1]Services!B20</f>
        <v>Pumping Test</v>
      </c>
      <c r="D378" s="15" t="str">
        <f>CONCATENATE(C378," (Code: ",B378,")")</f>
        <v>Pumping Test (Code: GWDDR376)</v>
      </c>
      <c r="E378" s="19" t="s">
        <v>468</v>
      </c>
      <c r="F378" s="16" t="s">
        <v>18</v>
      </c>
      <c r="G378" s="17" t="s">
        <v>469</v>
      </c>
      <c r="H378" s="17" t="s">
        <v>469</v>
      </c>
      <c r="I378" s="14">
        <f>[1]Services!D20</f>
        <v>7490</v>
      </c>
      <c r="J378" s="14">
        <v>0</v>
      </c>
      <c r="K378" s="16">
        <f>J378*($L$2-1)</f>
        <v>0</v>
      </c>
      <c r="L378" s="16">
        <f>SUM(I378:K378)</f>
        <v>7490</v>
      </c>
    </row>
    <row r="379" spans="1:12" ht="12.75">
      <c r="A379" s="14">
        <v>377</v>
      </c>
      <c r="B379" s="15" t="s">
        <v>470</v>
      </c>
      <c r="C379" s="15" t="str">
        <f>'[1]GI wo Trench'!B122</f>
        <v>Providing and fixing G.I. pipes complete with G.I fittings: 15 mm dia nominal bore</v>
      </c>
      <c r="D379" s="15" t="str">
        <f>CONCATENATE(C379," (Code: ",B379,")")</f>
        <v>Providing and fixing G.I. pipes complete with G.I fittings: 15 mm dia nominal bore (Code: GWDDR377)</v>
      </c>
      <c r="E379" s="19" t="s">
        <v>28</v>
      </c>
      <c r="F379" s="16" t="s">
        <v>18</v>
      </c>
      <c r="G379" s="17" t="s">
        <v>19</v>
      </c>
      <c r="H379" s="17" t="s">
        <v>57</v>
      </c>
      <c r="I379" s="14">
        <v>0</v>
      </c>
      <c r="J379" s="16">
        <f>'[1]GI wo Trench'!F141</f>
        <v>189.25</v>
      </c>
      <c r="K379" s="16">
        <f>J379*($L$2-1)</f>
        <v>0</v>
      </c>
      <c r="L379" s="16">
        <f>SUM(I379:K379)</f>
        <v>189.25</v>
      </c>
    </row>
    <row r="380" spans="1:12" ht="12.75">
      <c r="A380" s="14">
        <v>378</v>
      </c>
      <c r="B380" s="15" t="s">
        <v>471</v>
      </c>
      <c r="C380" s="15" t="str">
        <f>'[1]GI wo Trench'!B142</f>
        <v>Providing and fixing G.I. pipes complete with G.I fittings: 20 mm dia nominal bore</v>
      </c>
      <c r="D380" s="15" t="str">
        <f>CONCATENATE(C380," (Code: ",B380,")")</f>
        <v>Providing and fixing G.I. pipes complete with G.I fittings: 20 mm dia nominal bore (Code: GWDDR378)</v>
      </c>
      <c r="E380" s="19" t="s">
        <v>28</v>
      </c>
      <c r="F380" s="16" t="s">
        <v>18</v>
      </c>
      <c r="G380" s="17" t="s">
        <v>19</v>
      </c>
      <c r="H380" s="17" t="s">
        <v>57</v>
      </c>
      <c r="I380" s="14">
        <v>0</v>
      </c>
      <c r="J380" s="16">
        <f>'[1]GI wo Trench'!F161</f>
        <v>231.05</v>
      </c>
      <c r="K380" s="16">
        <f>J380*($L$2-1)</f>
        <v>0</v>
      </c>
      <c r="L380" s="16">
        <f>SUM(I380:K380)</f>
        <v>231.05</v>
      </c>
    </row>
    <row r="381" spans="1:12" ht="12.75">
      <c r="A381" s="14">
        <v>379</v>
      </c>
      <c r="B381" s="15" t="s">
        <v>472</v>
      </c>
      <c r="C381" s="15" t="str">
        <f>'[1]PVC on Wall (Concealed) PRICE'!A3</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v>
      </c>
      <c r="D381" s="15" t="str">
        <f>CONCATENATE(C381," (Code: ",B381,")")</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 (Code: GWDDR379)</v>
      </c>
      <c r="E381" s="19" t="s">
        <v>28</v>
      </c>
      <c r="F381" s="16" t="s">
        <v>18</v>
      </c>
      <c r="G381" s="17" t="s">
        <v>19</v>
      </c>
      <c r="H381" s="17" t="s">
        <v>473</v>
      </c>
      <c r="I381" s="21">
        <f>'[1]PVC on Wall (Concealed) PRICE'!H31</f>
        <v>57.378100000000003</v>
      </c>
      <c r="J381" s="21">
        <f>'[1]PVC on Wall (Concealed) PRICE'!I31</f>
        <v>283.354894</v>
      </c>
      <c r="K381" s="16">
        <f>J381*($L$2-1)</f>
        <v>0</v>
      </c>
      <c r="L381" s="16">
        <f>SUM(I381:K381)</f>
        <v>340.73299400000002</v>
      </c>
    </row>
    <row r="382" spans="1:12" ht="12.75">
      <c r="A382" s="14">
        <v>380</v>
      </c>
      <c r="B382" s="15" t="s">
        <v>474</v>
      </c>
      <c r="C382" s="15" t="str">
        <f>'[1]PVC on Wall (Concealed) PRICE'!A34</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v>
      </c>
      <c r="D382" s="15" t="str">
        <f>CONCATENATE(C382," (Code: ",B382,")")</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 (Code: GWDDR380)</v>
      </c>
      <c r="E382" s="19" t="s">
        <v>28</v>
      </c>
      <c r="F382" s="16" t="s">
        <v>18</v>
      </c>
      <c r="G382" s="17" t="s">
        <v>19</v>
      </c>
      <c r="H382" s="17" t="s">
        <v>473</v>
      </c>
      <c r="I382" s="21">
        <f>'[1]PVC on Wall (Concealed) PRICE'!H62</f>
        <v>40.768650000000001</v>
      </c>
      <c r="J382" s="21">
        <f>'[1]PVC on Wall (Concealed) PRICE'!I62</f>
        <v>283.354894</v>
      </c>
      <c r="K382" s="16">
        <f>J382*($L$2-1)</f>
        <v>0</v>
      </c>
      <c r="L382" s="16">
        <f>SUM(I382:K382)</f>
        <v>324.12354399999998</v>
      </c>
    </row>
    <row r="383" spans="1:12" ht="12.75">
      <c r="A383" s="14">
        <v>381</v>
      </c>
      <c r="B383" s="15" t="s">
        <v>475</v>
      </c>
      <c r="C383" s="15" t="str">
        <f>'[1]PVC on Wall (Concealed) PRICE'!A65</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v>
      </c>
      <c r="D383" s="15" t="str">
        <f>CONCATENATE(C383," (Code: ",B383,")")</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 (Code: GWDDR381)</v>
      </c>
      <c r="E383" s="19" t="s">
        <v>28</v>
      </c>
      <c r="F383" s="16" t="s">
        <v>18</v>
      </c>
      <c r="G383" s="17" t="s">
        <v>19</v>
      </c>
      <c r="H383" s="17" t="s">
        <v>473</v>
      </c>
      <c r="I383" s="21">
        <f>'[1]PVC on Wall (Concealed) PRICE'!H93</f>
        <v>61.152974999999998</v>
      </c>
      <c r="J383" s="21">
        <f>'[1]PVC on Wall (Concealed) PRICE'!I93</f>
        <v>283.354894</v>
      </c>
      <c r="K383" s="16">
        <f>J383*($L$2-1)</f>
        <v>0</v>
      </c>
      <c r="L383" s="16">
        <f>SUM(I383:K383)</f>
        <v>344.50786900000003</v>
      </c>
    </row>
    <row r="384" spans="1:12" ht="12.75">
      <c r="A384" s="14">
        <v>382</v>
      </c>
      <c r="B384" s="15" t="s">
        <v>476</v>
      </c>
      <c r="C384" s="15" t="str">
        <f>'[1]PVC on Wall (Concealed) PRICE'!A96</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v>
      </c>
      <c r="D384" s="15" t="str">
        <f>CONCATENATE(C384," (Code: ",B384,")")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 (Code: GWDDR382)</v>
      </c>
      <c r="E384" s="19" t="s">
        <v>28</v>
      </c>
      <c r="F384" s="16" t="s">
        <v>18</v>
      </c>
      <c r="G384" s="17" t="s">
        <v>19</v>
      </c>
      <c r="H384" s="17" t="s">
        <v>473</v>
      </c>
      <c r="I384" s="21">
        <f>'[1]PVC on Wall (Concealed) PRICE'!H124</f>
        <v>45.298499999999997</v>
      </c>
      <c r="J384" s="21">
        <f>'[1]PVC on Wall (Concealed) PRICE'!I124</f>
        <v>283.354894</v>
      </c>
      <c r="K384" s="16">
        <f>J384*($L$2-1)</f>
        <v>0</v>
      </c>
      <c r="L384" s="16">
        <f>SUM(I384:K384)</f>
        <v>328.65339399999999</v>
      </c>
    </row>
    <row r="385" spans="1:12" ht="12.75">
      <c r="A385" s="14">
        <v>383</v>
      </c>
      <c r="B385" s="15" t="s">
        <v>477</v>
      </c>
      <c r="C385" s="15" t="str">
        <f>'[1]PVC on Wall (Concealed) PRICE'!A127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v>
      </c>
      <c r="D385" s="15" t="str">
        <f>CONCATENATE(C385," (Code: ",B385,")")</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 (Code: GWDDR383)</v>
      </c>
      <c r="E385" s="19" t="s">
        <v>28</v>
      </c>
      <c r="F385" s="16" t="s">
        <v>18</v>
      </c>
      <c r="G385" s="17" t="s">
        <v>19</v>
      </c>
      <c r="H385" s="17" t="s">
        <v>473</v>
      </c>
      <c r="I385" s="21">
        <f>'[1]PVC on Wall (Concealed) PRICE'!H155</f>
        <v>92.106949999999998</v>
      </c>
      <c r="J385" s="21">
        <f>'[1]PVC on Wall (Concealed) PRICE'!I155</f>
        <v>283.354894</v>
      </c>
      <c r="K385" s="16">
        <f>J385*($L$2-1)</f>
        <v>0</v>
      </c>
      <c r="L385" s="16">
        <f>SUM(I385:K385)</f>
        <v>375.46184399999999</v>
      </c>
    </row>
    <row r="386" spans="1:12" ht="12.75">
      <c r="A386" s="14">
        <v>384</v>
      </c>
      <c r="B386" s="15" t="s">
        <v>478</v>
      </c>
      <c r="C386" s="15" t="str">
        <f>'[1]PVC on Wall (Concealed) PRICE'!A158</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v>
      </c>
      <c r="D386" s="15" t="str">
        <f>CONCATENATE(C386," (Code: ",B386,")")</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 (Code: GWDDR384)</v>
      </c>
      <c r="E386" s="19" t="s">
        <v>28</v>
      </c>
      <c r="F386" s="16" t="s">
        <v>18</v>
      </c>
      <c r="G386" s="17" t="s">
        <v>19</v>
      </c>
      <c r="H386" s="17" t="s">
        <v>473</v>
      </c>
      <c r="I386" s="21">
        <f>'[1]PVC on Wall (Concealed) PRICE'!H186</f>
        <v>72.477599999999995</v>
      </c>
      <c r="J386" s="21">
        <f>'[1]PVC on Wall (Concealed) PRICE'!I186</f>
        <v>283.354894</v>
      </c>
      <c r="K386" s="16">
        <f>J386*($L$2-1)</f>
        <v>0</v>
      </c>
      <c r="L386" s="16">
        <f>SUM(I386:K386)</f>
        <v>355.832494</v>
      </c>
    </row>
    <row r="387" spans="1:12" ht="12.75">
      <c r="A387" s="14">
        <v>385</v>
      </c>
      <c r="B387" s="15" t="s">
        <v>479</v>
      </c>
      <c r="C387" s="15" t="str">
        <f>'[1]PVC on Wall (Concealed) PRICE'!A189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v>
      </c>
      <c r="D387" s="15" t="str">
        <f>CONCATENATE(C387," (Code: ",B387,")")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 (Code: GWDDR385)</v>
      </c>
      <c r="E387" s="19" t="s">
        <v>28</v>
      </c>
      <c r="F387" s="16" t="s">
        <v>18</v>
      </c>
      <c r="G387" s="17" t="s">
        <v>19</v>
      </c>
      <c r="H387" s="17" t="s">
        <v>473</v>
      </c>
      <c r="I387" s="21">
        <f>'[1]PVC on Wall (Concealed) PRICE'!H217</f>
        <v>98.146749999999997</v>
      </c>
      <c r="J387" s="21">
        <f>'[1]PVC on Wall (Concealed) PRICE'!I217</f>
        <v>283.354894</v>
      </c>
      <c r="K387" s="16">
        <f>J387*($L$2-1)</f>
        <v>0</v>
      </c>
      <c r="L387" s="16">
        <f>SUM(I387:K387)</f>
        <v>381.501644</v>
      </c>
    </row>
    <row r="388" spans="1:12" ht="12.75">
      <c r="A388" s="14">
        <v>386</v>
      </c>
      <c r="B388" s="15" t="s">
        <v>480</v>
      </c>
      <c r="C388" s="15" t="str">
        <f>'[1]PVC on Wall (Concealed) PRICE'!A220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v>
      </c>
      <c r="D388" s="15" t="str">
        <f>CONCATENATE(C388," (Code: ",B388,")")</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 (Code: GWDDR386)</v>
      </c>
      <c r="E388" s="19" t="s">
        <v>28</v>
      </c>
      <c r="F388" s="16" t="s">
        <v>18</v>
      </c>
      <c r="G388" s="17" t="s">
        <v>19</v>
      </c>
      <c r="H388" s="17" t="s">
        <v>473</v>
      </c>
      <c r="I388" s="21">
        <f>'[1]PVC on Wall (Concealed) PRICE'!H248</f>
        <v>78.517399999999995</v>
      </c>
      <c r="J388" s="21">
        <f>'[1]PVC on Wall (Concealed) PRICE'!I248</f>
        <v>283.354894</v>
      </c>
      <c r="K388" s="16">
        <f>J388*($L$2-1)</f>
        <v>0</v>
      </c>
      <c r="L388" s="16">
        <f>SUM(I388:K388)</f>
        <v>361.87229400000001</v>
      </c>
    </row>
    <row r="389" spans="1:12" ht="12.75">
      <c r="A389" s="14">
        <v>387</v>
      </c>
      <c r="B389" s="15" t="s">
        <v>481</v>
      </c>
      <c r="C389" s="15" t="str">
        <f>'[1]PVC on Wall (Concealed) PRICE'!A251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v>
      </c>
      <c r="D389" s="15" t="str">
        <f>CONCATENATE(C389," (Code: ",B389,")")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 (Code: GWDDR387)</v>
      </c>
      <c r="E389" s="19" t="s">
        <v>28</v>
      </c>
      <c r="F389" s="16" t="s">
        <v>18</v>
      </c>
      <c r="G389" s="17" t="s">
        <v>19</v>
      </c>
      <c r="H389" s="17" t="s">
        <v>473</v>
      </c>
      <c r="I389" s="21">
        <f>'[1]PVC on Wall (Concealed) PRICE'!H279</f>
        <v>126.83580000000001</v>
      </c>
      <c r="J389" s="21">
        <f>'[1]PVC on Wall (Concealed) PRICE'!I279</f>
        <v>283.354894</v>
      </c>
      <c r="K389" s="16">
        <f>J389*($L$2-1)</f>
        <v>0</v>
      </c>
      <c r="L389" s="16">
        <f>SUM(I389:K389)</f>
        <v>410.19069400000001</v>
      </c>
    </row>
    <row r="390" spans="1:12" ht="12.75">
      <c r="A390" s="14">
        <v>388</v>
      </c>
      <c r="B390" s="15" t="s">
        <v>482</v>
      </c>
      <c r="C390" s="15" t="str">
        <f>'[1]PVC on Wall (Concealed) PRICE'!A282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v>
      </c>
      <c r="D390" s="15" t="str">
        <f>CONCATENATE(C390," (Code: ",B390,")")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 (Code: GWDDR388)</v>
      </c>
      <c r="E390" s="19" t="s">
        <v>28</v>
      </c>
      <c r="F390" s="16" t="s">
        <v>18</v>
      </c>
      <c r="G390" s="17" t="s">
        <v>19</v>
      </c>
      <c r="H390" s="17" t="s">
        <v>473</v>
      </c>
      <c r="I390" s="21">
        <f>'[1]PVC on Wall (Concealed) PRICE'!H310</f>
        <v>80.027349999999998</v>
      </c>
      <c r="J390" s="21">
        <f>'[1]PVC on Wall (Concealed) PRICE'!I310</f>
        <v>283.354894</v>
      </c>
      <c r="K390" s="16">
        <f>J390*($L$2-1)</f>
        <v>0</v>
      </c>
      <c r="L390" s="16">
        <f>SUM(I390:K390)</f>
        <v>363.38224400000001</v>
      </c>
    </row>
    <row r="391" spans="1:12" ht="12.75">
      <c r="A391" s="14">
        <v>389</v>
      </c>
      <c r="B391" s="15" t="s">
        <v>483</v>
      </c>
      <c r="C391" s="15" t="str">
        <f>'[1]PVC on Wall (Concealed) PRICE'!A313</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v>
      </c>
      <c r="D391" s="15" t="str">
        <f>CONCATENATE(C391," (Code: ",B391,")")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 (Code: GWDDR389)</v>
      </c>
      <c r="E391" s="19" t="s">
        <v>28</v>
      </c>
      <c r="F391" s="16" t="s">
        <v>18</v>
      </c>
      <c r="G391" s="17" t="s">
        <v>19</v>
      </c>
      <c r="H391" s="17" t="s">
        <v>473</v>
      </c>
      <c r="I391" s="21">
        <f>'[1]PVC on Wall (Concealed) PRICE'!H341</f>
        <v>135.8955</v>
      </c>
      <c r="J391" s="21">
        <f>'[1]PVC on Wall (Concealed) PRICE'!I341</f>
        <v>283.354894</v>
      </c>
      <c r="K391" s="16">
        <f>J391*($L$2-1)</f>
        <v>0</v>
      </c>
      <c r="L391" s="16">
        <f>SUM(I391:K391)</f>
        <v>419.25039399999997</v>
      </c>
    </row>
    <row r="392" spans="1:12" ht="12.75">
      <c r="A392" s="14">
        <v>390</v>
      </c>
      <c r="B392" s="15" t="s">
        <v>484</v>
      </c>
      <c r="C392" s="15" t="str">
        <f>'[1]PVC on Wall (Concealed) PRICE'!A344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v>
      </c>
      <c r="D392" s="15" t="str">
        <f>CONCATENATE(C392," (Code: ",B392,")")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 (Code: GWDDR390)</v>
      </c>
      <c r="E392" s="19" t="s">
        <v>28</v>
      </c>
      <c r="F392" s="16" t="s">
        <v>18</v>
      </c>
      <c r="G392" s="17" t="s">
        <v>19</v>
      </c>
      <c r="H392" s="17" t="s">
        <v>473</v>
      </c>
      <c r="I392" s="21">
        <f>'[1]PVC on Wall (Concealed) PRICE'!H372</f>
        <v>90.596999999999994</v>
      </c>
      <c r="J392" s="21">
        <f>'[1]PVC on Wall (Concealed) PRICE'!I372</f>
        <v>283.354894</v>
      </c>
      <c r="K392" s="16">
        <f>J392*($L$2-1)</f>
        <v>0</v>
      </c>
      <c r="L392" s="16">
        <f>SUM(I392:K392)</f>
        <v>373.95189399999998</v>
      </c>
    </row>
    <row r="393" spans="1:12" ht="12.75">
      <c r="A393" s="14">
        <v>391</v>
      </c>
      <c r="B393" s="15" t="s">
        <v>485</v>
      </c>
      <c r="C393" s="15" t="str">
        <f>'[1]PVC on Wall (Concealed) PRICE'!A375</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v>
      </c>
      <c r="D393" s="15" t="str">
        <f>CONCATENATE(C393," (Code: ",B393,")")</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 (Code: GWDDR391)</v>
      </c>
      <c r="E393" s="19" t="s">
        <v>28</v>
      </c>
      <c r="F393" s="16" t="s">
        <v>18</v>
      </c>
      <c r="G393" s="17" t="s">
        <v>19</v>
      </c>
      <c r="H393" s="17" t="s">
        <v>473</v>
      </c>
      <c r="I393" s="21">
        <f>'[1]PVC on Wall (Concealed) PRICE'!H403</f>
        <v>143.90985000000001</v>
      </c>
      <c r="J393" s="21">
        <f>'[1]PVC on Wall (Concealed) PRICE'!I403</f>
        <v>378.179754</v>
      </c>
      <c r="K393" s="16">
        <f>J393*($L$2-1)</f>
        <v>0</v>
      </c>
      <c r="L393" s="16">
        <f>SUM(I393:K393)</f>
        <v>522.08960400000001</v>
      </c>
    </row>
    <row r="394" spans="1:12" ht="12.75">
      <c r="A394" s="14">
        <v>392</v>
      </c>
      <c r="B394" s="15" t="s">
        <v>486</v>
      </c>
      <c r="C394" s="15" t="str">
        <f>'[1]PVC on Wall (Concealed) PRICE'!A406</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v>
      </c>
      <c r="D394" s="15" t="str">
        <f>CONCATENATE(C394," (Code: ",B394,")")</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 (Code: GWDDR392)</v>
      </c>
      <c r="E394" s="19" t="s">
        <v>28</v>
      </c>
      <c r="F394" s="16" t="s">
        <v>18</v>
      </c>
      <c r="G394" s="17" t="s">
        <v>19</v>
      </c>
      <c r="H394" s="17" t="s">
        <v>473</v>
      </c>
      <c r="I394" s="21">
        <f>'[1]PVC on Wall (Concealed) PRICE'!H434</f>
        <v>101.22472500000001</v>
      </c>
      <c r="J394" s="21">
        <f>'[1]PVC on Wall (Concealed) PRICE'!I434</f>
        <v>378.179754</v>
      </c>
      <c r="K394" s="16">
        <f>J394*($L$2-1)</f>
        <v>0</v>
      </c>
      <c r="L394" s="16">
        <f>SUM(I394:K394)</f>
        <v>479.40447899999998</v>
      </c>
    </row>
    <row r="395" spans="1:12" ht="12.75">
      <c r="A395" s="14">
        <v>393</v>
      </c>
      <c r="B395" s="15" t="s">
        <v>487</v>
      </c>
      <c r="C395" s="15" t="str">
        <f>'[1]PVC on Wall (Concealed) PRICE'!A437</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v>
      </c>
      <c r="D395" s="15" t="str">
        <f>CONCATENATE(C395," (Code: ",B395,")")</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 (Code: GWDDR393)</v>
      </c>
      <c r="E395" s="19" t="s">
        <v>28</v>
      </c>
      <c r="F395" s="16" t="s">
        <v>18</v>
      </c>
      <c r="G395" s="17" t="s">
        <v>19</v>
      </c>
      <c r="H395" s="17" t="s">
        <v>473</v>
      </c>
      <c r="I395" s="21">
        <f>'[1]PVC on Wall (Concealed) PRICE'!H465</f>
        <v>157.325175</v>
      </c>
      <c r="J395" s="21">
        <f>'[1]PVC on Wall (Concealed) PRICE'!I465</f>
        <v>378.179754</v>
      </c>
      <c r="K395" s="16">
        <f>J395*($L$2-1)</f>
        <v>0</v>
      </c>
      <c r="L395" s="16">
        <f>SUM(I395:K395)</f>
        <v>535.50492899999995</v>
      </c>
    </row>
    <row r="396" spans="1:12" ht="12.75">
      <c r="A396" s="14">
        <v>394</v>
      </c>
      <c r="B396" s="15" t="s">
        <v>488</v>
      </c>
      <c r="C396" s="15" t="str">
        <f>'[1]Electrical Essentials'!B2</f>
        <v>Supplying and fixing 5 amps to 32 amps rating, 240/415 volts, "C" curve, miniature circuit breaker suitable for inductive load of following poles in the existing MCB DB complete with connections, testing and commissioning etc. as required. Single pole (2.10.1)</v>
      </c>
      <c r="D396" s="15" t="str">
        <f>CONCATENATE(C396," (Code: ",B396,")")</f>
        <v>Supplying and fixing 5 amps to 32 amps rating, 240/415 volts, "C" curve, miniature circuit breaker suitable for inductive load of following poles in the existing MCB DB complete with connections, testing and commissioning etc. as required. Single pole (2.10.1) (Code: GWDDR394)</v>
      </c>
      <c r="E396" s="19" t="str">
        <f>'[1]Electrical Essentials'!D2</f>
        <v>each</v>
      </c>
      <c r="F396" s="16" t="s">
        <v>18</v>
      </c>
      <c r="G396" s="17" t="s">
        <v>19</v>
      </c>
      <c r="H396" s="17" t="s">
        <v>489</v>
      </c>
      <c r="I396" s="14">
        <v>0</v>
      </c>
      <c r="J396" s="14">
        <f>'[1]Electrical Essentials'!C2</f>
        <v>193.76</v>
      </c>
      <c r="K396" s="16">
        <f>J396*($L$2-1)</f>
        <v>0</v>
      </c>
      <c r="L396" s="16">
        <f>SUM(I396:K396)</f>
        <v>193.76</v>
      </c>
    </row>
    <row r="397" spans="1:12" ht="12.75">
      <c r="A397" s="14">
        <v>395</v>
      </c>
      <c r="B397" s="15" t="s">
        <v>490</v>
      </c>
      <c r="C397" s="15" t="str">
        <f>'[1]Electrical Essentials'!B3</f>
        <v>Supplying and fixing 5 amps to 32 amps rating, 240/415 volts, "C" curve, miniature circuit breaker suitable for inductive load of following poles in the existing MCB DB complete with connections, testing and commissioning etc. as required. Single pole and netural (2.10.2)</v>
      </c>
      <c r="D397" s="15" t="str">
        <f>CONCATENATE(C397," (Code: ",B397,")")</f>
        <v>Supplying and fixing 5 amps to 32 amps rating, 240/415 volts, "C" curve, miniature circuit breaker suitable for inductive load of following poles in the existing MCB DB complete with connections, testing and commissioning etc. as required. Single pole and netural (2.10.2) (Code: GWDDR395)</v>
      </c>
      <c r="E397" s="19" t="str">
        <f>'[1]Electrical Essentials'!D3</f>
        <v>each</v>
      </c>
      <c r="F397" s="16" t="s">
        <v>18</v>
      </c>
      <c r="G397" s="17" t="s">
        <v>19</v>
      </c>
      <c r="H397" s="17" t="s">
        <v>489</v>
      </c>
      <c r="I397" s="14">
        <v>0</v>
      </c>
      <c r="J397" s="14">
        <f>'[1]Electrical Essentials'!C3</f>
        <v>452.76</v>
      </c>
      <c r="K397" s="16">
        <f>J397*($L$2-1)</f>
        <v>0</v>
      </c>
      <c r="L397" s="16">
        <f>SUM(I397:K397)</f>
        <v>452.76</v>
      </c>
    </row>
    <row r="398" spans="1:12" ht="12.75">
      <c r="A398" s="14">
        <v>396</v>
      </c>
      <c r="B398" s="15" t="s">
        <v>491</v>
      </c>
      <c r="C398" s="15" t="str">
        <f>'[1]Electrical Essentials'!B4</f>
        <v>Supplying and fixing 5 amps to 32 amps rating, 240/415 volts, "C" curve, miniature circuit breaker suitable for inductive load of following poles in the existing MCB DB complete with connections, testing and commissioning etc. as required. Double pole (2.10.3)</v>
      </c>
      <c r="D398" s="15" t="str">
        <f>CONCATENATE(C398," (Code: ",B398,")")</f>
        <v>Supplying and fixing 5 amps to 32 amps rating, 240/415 volts, "C" curve, miniature circuit breaker suitable for inductive load of following poles in the existing MCB DB complete with connections, testing and commissioning etc. as required. Double pole (2.10.3) (Code: GWDDR396)</v>
      </c>
      <c r="E398" s="19" t="str">
        <f>'[1]Electrical Essentials'!D4</f>
        <v>each</v>
      </c>
      <c r="F398" s="16" t="s">
        <v>18</v>
      </c>
      <c r="G398" s="17" t="s">
        <v>19</v>
      </c>
      <c r="H398" s="17" t="s">
        <v>489</v>
      </c>
      <c r="I398" s="14">
        <v>0</v>
      </c>
      <c r="J398" s="14">
        <f>'[1]Electrical Essentials'!C4</f>
        <v>495.76</v>
      </c>
      <c r="K398" s="16">
        <f>J398*($L$2-1)</f>
        <v>0</v>
      </c>
      <c r="L398" s="16">
        <f>SUM(I398:K398)</f>
        <v>495.76</v>
      </c>
    </row>
    <row r="399" spans="1:12" ht="12.75">
      <c r="A399" s="14">
        <v>397</v>
      </c>
      <c r="B399" s="15" t="s">
        <v>492</v>
      </c>
      <c r="C399" s="15" t="str">
        <f>'[1]Electrical Essentials'!B5</f>
        <v>Supplying and fixing 5 amps to 32 amps rating, 240/415 volts, "C" curve, miniature circuit breaker suitable for inductive load of following poles in the existing MCB DB complete with connections, testing and commissioning etc. as required. Triple pole (2.10.4)</v>
      </c>
      <c r="D399" s="15" t="str">
        <f>CONCATENATE(C399," (Code: ",B399,")")</f>
        <v>Supplying and fixing 5 amps to 32 amps rating, 240/415 volts, "C" curve, miniature circuit breaker suitable for inductive load of following poles in the existing MCB DB complete with connections, testing and commissioning etc. as required. Triple pole (2.10.4) (Code: GWDDR397)</v>
      </c>
      <c r="E399" s="19" t="str">
        <f>'[1]Electrical Essentials'!D5</f>
        <v>each</v>
      </c>
      <c r="F399" s="16" t="s">
        <v>18</v>
      </c>
      <c r="G399" s="17" t="s">
        <v>19</v>
      </c>
      <c r="H399" s="17" t="s">
        <v>489</v>
      </c>
      <c r="I399" s="14">
        <v>0</v>
      </c>
      <c r="J399" s="14">
        <f>'[1]Electrical Essentials'!C5</f>
        <v>760.76</v>
      </c>
      <c r="K399" s="16">
        <f>J399*($L$2-1)</f>
        <v>0</v>
      </c>
      <c r="L399" s="16">
        <f>SUM(I399:K399)</f>
        <v>760.76</v>
      </c>
    </row>
    <row r="400" spans="1:12" ht="12.75">
      <c r="A400" s="14">
        <v>398</v>
      </c>
      <c r="B400" s="15" t="s">
        <v>493</v>
      </c>
      <c r="C400" s="15" t="str">
        <f>'[1]Electrical Essentials'!B6</f>
        <v>Supplying and fixing 5 amps to 32 amps rating, 240/415 volts, "C" curve, miniature circuit breaker suitable for inductive load of following poles in the existing MCB DB complete with connections, testing and commissioning etc. as required. Triple pole and neutral (2.10.5)</v>
      </c>
      <c r="D400" s="15" t="str">
        <f>CONCATENATE(C400," (Code: ",B400,")")</f>
        <v>Supplying and fixing 5 amps to 32 amps rating, 240/415 volts, "C" curve, miniature circuit breaker suitable for inductive load of following poles in the existing MCB DB complete with connections, testing and commissioning etc. as required. Triple pole and neutral (2.10.5) (Code: GWDDR398)</v>
      </c>
      <c r="E400" s="19" t="str">
        <f>'[1]Electrical Essentials'!D6</f>
        <v>each</v>
      </c>
      <c r="F400" s="16" t="s">
        <v>18</v>
      </c>
      <c r="G400" s="17" t="s">
        <v>19</v>
      </c>
      <c r="H400" s="17" t="s">
        <v>489</v>
      </c>
      <c r="I400" s="14">
        <v>0</v>
      </c>
      <c r="J400" s="14">
        <f>'[1]Electrical Essentials'!C6</f>
        <v>927.76</v>
      </c>
      <c r="K400" s="16">
        <f>J400*($L$2-1)</f>
        <v>0</v>
      </c>
      <c r="L400" s="16">
        <f>SUM(I400:K400)</f>
        <v>927.76</v>
      </c>
    </row>
    <row r="401" spans="1:12" ht="12.75">
      <c r="A401" s="14">
        <v>399</v>
      </c>
      <c r="B401" s="15" t="s">
        <v>494</v>
      </c>
      <c r="C401" s="15" t="str">
        <f>'[1]Electrical Essentials'!B7</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v>
      </c>
      <c r="D401" s="15" t="str">
        <f>CONCATENATE(C401," (Code: ",B401,")")</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 (Code: GWDDR399)</v>
      </c>
      <c r="E401" s="19" t="str">
        <f>'[1]Electrical Essentials'!D7</f>
        <v>each</v>
      </c>
      <c r="F401" s="16" t="s">
        <v>18</v>
      </c>
      <c r="G401" s="17" t="s">
        <v>19</v>
      </c>
      <c r="H401" s="17" t="s">
        <v>489</v>
      </c>
      <c r="I401" s="14">
        <v>0</v>
      </c>
      <c r="J401" s="14">
        <f>'[1]Electrical Essentials'!C7</f>
        <v>1668.16</v>
      </c>
      <c r="K401" s="16">
        <f>J401*($L$2-1)</f>
        <v>0</v>
      </c>
      <c r="L401" s="16">
        <f>SUM(I401:K401)</f>
        <v>1668.16</v>
      </c>
    </row>
    <row r="402" spans="1:12" ht="12.75">
      <c r="A402" s="14">
        <v>400</v>
      </c>
      <c r="B402" s="15" t="s">
        <v>495</v>
      </c>
      <c r="C402" s="15" t="str">
        <f>'[1]Electrical Essentials'!B8</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v>
      </c>
      <c r="D402" s="15" t="str">
        <f>CONCATENATE(C402," (Code: ",B402,")")</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 (Code: GWDDR400)</v>
      </c>
      <c r="E402" s="19" t="str">
        <f>'[1]Electrical Essentials'!D8</f>
        <v>each</v>
      </c>
      <c r="F402" s="16" t="s">
        <v>18</v>
      </c>
      <c r="G402" s="17" t="s">
        <v>19</v>
      </c>
      <c r="H402" s="17" t="s">
        <v>489</v>
      </c>
      <c r="I402" s="14">
        <v>0</v>
      </c>
      <c r="J402" s="14">
        <f>'[1]Electrical Essentials'!C8</f>
        <v>1945.16</v>
      </c>
      <c r="K402" s="16">
        <f>J402*($L$2-1)</f>
        <v>0</v>
      </c>
      <c r="L402" s="16">
        <f>SUM(I402:K402)</f>
        <v>1945.16</v>
      </c>
    </row>
    <row r="403" spans="1:12" ht="12.75">
      <c r="A403" s="14">
        <v>401</v>
      </c>
      <c r="B403" s="15" t="s">
        <v>496</v>
      </c>
      <c r="C403" s="15" t="str">
        <f>'[1]Electrical Essentials'!B9</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v>
      </c>
      <c r="D403" s="15" t="str">
        <f>CONCATENATE(C403," (Code: ",B403,")")</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 (Code: GWDDR401)</v>
      </c>
      <c r="E403" s="19" t="str">
        <f>'[1]Electrical Essentials'!D9</f>
        <v>each</v>
      </c>
      <c r="F403" s="16" t="s">
        <v>18</v>
      </c>
      <c r="G403" s="17" t="s">
        <v>19</v>
      </c>
      <c r="H403" s="17" t="s">
        <v>489</v>
      </c>
      <c r="I403" s="14">
        <v>0</v>
      </c>
      <c r="J403" s="14">
        <f>'[1]Electrical Essentials'!C9</f>
        <v>1750.16</v>
      </c>
      <c r="K403" s="16">
        <f>J403*($L$2-1)</f>
        <v>0</v>
      </c>
      <c r="L403" s="16">
        <f>SUM(I403:K403)</f>
        <v>1750.16</v>
      </c>
    </row>
    <row r="404" spans="1:12" ht="12.75">
      <c r="A404" s="14">
        <v>402</v>
      </c>
      <c r="B404" s="15" t="s">
        <v>497</v>
      </c>
      <c r="C404" s="15" t="str">
        <f>'[1]Electrical Essentials'!B10</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v>
      </c>
      <c r="D404" s="15" t="str">
        <f>CONCATENATE(C404," (Code: ",B404,")")</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 (Code: GWDDR402)</v>
      </c>
      <c r="E404" s="19" t="str">
        <f>'[1]Electrical Essentials'!D10</f>
        <v>each</v>
      </c>
      <c r="F404" s="16" t="s">
        <v>18</v>
      </c>
      <c r="G404" s="17" t="s">
        <v>19</v>
      </c>
      <c r="H404" s="17" t="s">
        <v>489</v>
      </c>
      <c r="I404" s="14">
        <v>0</v>
      </c>
      <c r="J404" s="14">
        <f>'[1]Electrical Essentials'!C10</f>
        <v>2374.16</v>
      </c>
      <c r="K404" s="16">
        <f>J404*($L$2-1)</f>
        <v>0</v>
      </c>
      <c r="L404" s="16">
        <f>SUM(I404:K404)</f>
        <v>2374.16</v>
      </c>
    </row>
    <row r="405" spans="1:12" ht="12.75">
      <c r="A405" s="14">
        <v>403</v>
      </c>
      <c r="B405" s="15" t="s">
        <v>498</v>
      </c>
      <c r="C405" s="15" t="str">
        <f>'[1]Electrical Essentials'!B11</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v>
      </c>
      <c r="D405" s="15" t="str">
        <f>CONCATENATE(C405," (Code: ",B405,")")</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 (Code: GWDDR403)</v>
      </c>
      <c r="E405" s="19" t="str">
        <f>'[1]Electrical Essentials'!D11</f>
        <v>each</v>
      </c>
      <c r="F405" s="16" t="s">
        <v>18</v>
      </c>
      <c r="G405" s="17" t="s">
        <v>19</v>
      </c>
      <c r="H405" s="17" t="s">
        <v>489</v>
      </c>
      <c r="I405" s="14">
        <v>0</v>
      </c>
      <c r="J405" s="14">
        <f>'[1]Electrical Essentials'!C11</f>
        <v>1531.45</v>
      </c>
      <c r="K405" s="16">
        <f>J405*($L$2-1)</f>
        <v>0</v>
      </c>
      <c r="L405" s="16">
        <f>SUM(I405:K405)</f>
        <v>1531.45</v>
      </c>
    </row>
    <row r="406" spans="1:12" ht="12.75">
      <c r="A406" s="14">
        <v>404</v>
      </c>
      <c r="B406" s="15" t="s">
        <v>499</v>
      </c>
      <c r="C406" s="15" t="str">
        <f>'[1]Electrical Essentials'!B12</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v>
      </c>
      <c r="D406" s="15" t="str">
        <f>CONCATENATE(C406," (Code: ",B406,")")</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 (Code: GWDDR404)</v>
      </c>
      <c r="E406" s="19" t="str">
        <f>'[1]Electrical Essentials'!D12</f>
        <v>each</v>
      </c>
      <c r="F406" s="16" t="s">
        <v>18</v>
      </c>
      <c r="G406" s="17" t="s">
        <v>19</v>
      </c>
      <c r="H406" s="17" t="s">
        <v>489</v>
      </c>
      <c r="I406" s="14">
        <v>0</v>
      </c>
      <c r="J406" s="14">
        <f>'[1]Electrical Essentials'!C12</f>
        <v>1995.45</v>
      </c>
      <c r="K406" s="16">
        <f>J406*($L$2-1)</f>
        <v>0</v>
      </c>
      <c r="L406" s="16">
        <f>SUM(I406:K406)</f>
        <v>1995.45</v>
      </c>
    </row>
    <row r="407" spans="1:12" ht="12.75">
      <c r="A407" s="14">
        <v>405</v>
      </c>
      <c r="B407" s="15" t="s">
        <v>500</v>
      </c>
      <c r="C407" s="15" t="str">
        <f>'[1]Electrical Essentials'!B13</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v>
      </c>
      <c r="D407" s="15" t="str">
        <f>CONCATENATE(C407," (Code: ",B407,")")</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 (Code: GWDDR405)</v>
      </c>
      <c r="E407" s="19" t="str">
        <f>'[1]Electrical Essentials'!D13</f>
        <v>each</v>
      </c>
      <c r="F407" s="16" t="s">
        <v>18</v>
      </c>
      <c r="G407" s="17" t="s">
        <v>19</v>
      </c>
      <c r="H407" s="17" t="s">
        <v>489</v>
      </c>
      <c r="I407" s="14">
        <v>0</v>
      </c>
      <c r="J407" s="14">
        <f>'[1]Electrical Essentials'!C13</f>
        <v>2055.45</v>
      </c>
      <c r="K407" s="16">
        <f>J407*($L$2-1)</f>
        <v>0</v>
      </c>
      <c r="L407" s="16">
        <f>SUM(I407:K407)</f>
        <v>2055.45</v>
      </c>
    </row>
    <row r="408" spans="1:12" ht="12.75">
      <c r="A408" s="14">
        <v>406</v>
      </c>
      <c r="B408" s="15" t="s">
        <v>501</v>
      </c>
      <c r="C408" s="15" t="str">
        <f>'[1]Electrical Essentials'!B14</f>
        <v>Supplying and fixing following rating, four pole, (three phase and neutral), 415 volts, residual current circuit breaker (RCCB), having a sensitivity current upto 300 milliamperes in the existing MCB DB complete with connections, testing and commissioning etc. as required. 25 amps (2.15.1)</v>
      </c>
      <c r="D408" s="15" t="str">
        <f>CONCATENATE(C408," (Code: ",B408,")")</f>
        <v>Supplying and fixing following rating, four pole, (three phase and neutral), 415 volts, residual current circuit breaker (RCCB), having a sensitivity current upto 300 milliamperes in the existing MCB DB complete with connections, testing and commissioning etc. as required. 25 amps (2.15.1) (Code: GWDDR406)</v>
      </c>
      <c r="E408" s="19" t="str">
        <f>'[1]Electrical Essentials'!D14</f>
        <v>each</v>
      </c>
      <c r="F408" s="16" t="s">
        <v>18</v>
      </c>
      <c r="G408" s="17" t="s">
        <v>19</v>
      </c>
      <c r="H408" s="17" t="s">
        <v>489</v>
      </c>
      <c r="I408" s="14">
        <v>0</v>
      </c>
      <c r="J408" s="14">
        <f>'[1]Electrical Essentials'!C14</f>
        <v>1953.52</v>
      </c>
      <c r="K408" s="16">
        <f>J408*($L$2-1)</f>
        <v>0</v>
      </c>
      <c r="L408" s="16">
        <f>SUM(I408:K408)</f>
        <v>1953.52</v>
      </c>
    </row>
    <row r="409" spans="1:12" ht="12.75">
      <c r="A409" s="14">
        <v>407</v>
      </c>
      <c r="B409" s="15" t="s">
        <v>502</v>
      </c>
      <c r="C409" s="15" t="str">
        <f>'[1]Electrical Essentials'!B15</f>
        <v>Supplying and fixing following rating, four pole, (three phase and neutral), 415 volts, residual current circuit breaker (RCCB), having a sensitivity current upto 300 milliamperes in the existing MCB DB complete with connections, testing and commissioning etc. as required. 40 amps (2.15.2)</v>
      </c>
      <c r="D409" s="15" t="str">
        <f>CONCATENATE(C409," (Code: ",B409,")")</f>
        <v>Supplying and fixing following rating, four pole, (three phase and neutral), 415 volts, residual current circuit breaker (RCCB), having a sensitivity current upto 300 milliamperes in the existing MCB DB complete with connections, testing and commissioning etc. as required. 40 amps (2.15.2) (Code: GWDDR407)</v>
      </c>
      <c r="E409" s="19" t="str">
        <f>'[1]Electrical Essentials'!D15</f>
        <v>each</v>
      </c>
      <c r="F409" s="16" t="s">
        <v>18</v>
      </c>
      <c r="G409" s="17" t="s">
        <v>19</v>
      </c>
      <c r="H409" s="17" t="s">
        <v>489</v>
      </c>
      <c r="I409" s="14">
        <v>0</v>
      </c>
      <c r="J409" s="14">
        <f>'[1]Electrical Essentials'!C15</f>
        <v>2407.52</v>
      </c>
      <c r="K409" s="16">
        <f>J409*($L$2-1)</f>
        <v>0</v>
      </c>
      <c r="L409" s="16">
        <f>SUM(I409:K409)</f>
        <v>2407.52</v>
      </c>
    </row>
    <row r="410" spans="1:12" ht="12.75">
      <c r="A410" s="14">
        <v>408</v>
      </c>
      <c r="B410" s="15" t="s">
        <v>503</v>
      </c>
      <c r="C410" s="15" t="str">
        <f>'[1]Electrical Essentials'!B16</f>
        <v>Supplying and fixing following rating, four pole, (three phase and neutral), 415 volts, residual current circuit breaker (RCCB), having a sensitivity current upto 300 milliamperes in the existing MCB DB complete with connections, testing and commissioning etc. as required. 63 amps (2.15.3)</v>
      </c>
      <c r="D410" s="15" t="str">
        <f>CONCATENATE(C410," (Code: ",B410,")")</f>
        <v>Supplying and fixing following rating, four pole, (three phase and neutral), 415 volts, residual current circuit breaker (RCCB), having a sensitivity current upto 300 milliamperes in the existing MCB DB complete with connections, testing and commissioning etc. as required. 63 amps (2.15.3) (Code: GWDDR408)</v>
      </c>
      <c r="E410" s="19" t="str">
        <f>'[1]Electrical Essentials'!D16</f>
        <v>each</v>
      </c>
      <c r="F410" s="16" t="s">
        <v>18</v>
      </c>
      <c r="G410" s="17" t="s">
        <v>19</v>
      </c>
      <c r="H410" s="17" t="s">
        <v>489</v>
      </c>
      <c r="I410" s="14">
        <v>0</v>
      </c>
      <c r="J410" s="14">
        <f>'[1]Electrical Essentials'!C16</f>
        <v>2169.52</v>
      </c>
      <c r="K410" s="16">
        <f>J410*($L$2-1)</f>
        <v>0</v>
      </c>
      <c r="L410" s="16">
        <f>SUM(I410:K410)</f>
        <v>2169.52</v>
      </c>
    </row>
    <row r="411" spans="1:12" ht="12.75">
      <c r="A411" s="14">
        <v>409</v>
      </c>
      <c r="B411" s="15" t="s">
        <v>504</v>
      </c>
      <c r="C411" s="15" t="str">
        <f>'[1]Electrical Essentials'!B17</f>
        <v>Supplying and drawing following sizes of FRLS PVC insulated copper conductor, single core cable in the existing surface / recessed steel/ PVC conduit as required.1 x 1.5 sq. mm(1.17.1)</v>
      </c>
      <c r="D411" s="15" t="str">
        <f>CONCATENATE(C411," (Code: ",B411,")")</f>
        <v>Supplying and drawing following sizes of FRLS PVC insulated copper conductor, single core cable in the existing surface / recessed steel/ PVC conduit as required.1 x 1.5 sq. mm(1.17.1) (Code: GWDDR409)</v>
      </c>
      <c r="E411" s="19" t="str">
        <f>'[1]Electrical Essentials'!D17</f>
        <v>metre</v>
      </c>
      <c r="F411" s="16" t="s">
        <v>18</v>
      </c>
      <c r="G411" s="17" t="s">
        <v>19</v>
      </c>
      <c r="H411" s="17" t="s">
        <v>489</v>
      </c>
      <c r="I411" s="14">
        <v>0</v>
      </c>
      <c r="J411" s="14">
        <f>'[1]Electrical Essentials'!C17</f>
        <v>33.78</v>
      </c>
      <c r="K411" s="16">
        <f>J411*($L$2-1)</f>
        <v>0</v>
      </c>
      <c r="L411" s="16">
        <f>SUM(I411:K411)</f>
        <v>33.78</v>
      </c>
    </row>
    <row r="412" spans="1:12" ht="12.75">
      <c r="A412" s="14">
        <v>410</v>
      </c>
      <c r="B412" s="15" t="s">
        <v>505</v>
      </c>
      <c r="C412" s="15" t="str">
        <f>'[1]Electrical Essentials'!B18</f>
        <v>Supplying and drawing following sizes of FRLS PVC insulated copper conductor, single core cable in the existing surface / recessed steel/ PVC conduit as required.2 x 1.5 sq. mm(1.17.2)</v>
      </c>
      <c r="D412" s="15" t="str">
        <f>CONCATENATE(C412," (Code: ",B412,")")</f>
        <v>Supplying and drawing following sizes of FRLS PVC insulated copper conductor, single core cable in the existing surface / recessed steel/ PVC conduit as required.2 x 1.5 sq. mm(1.17.2) (Code: GWDDR410)</v>
      </c>
      <c r="E412" s="19" t="str">
        <f>'[1]Electrical Essentials'!D18</f>
        <v>metre</v>
      </c>
      <c r="F412" s="16" t="s">
        <v>18</v>
      </c>
      <c r="G412" s="17" t="s">
        <v>19</v>
      </c>
      <c r="H412" s="17" t="s">
        <v>489</v>
      </c>
      <c r="I412" s="14">
        <v>0</v>
      </c>
      <c r="J412" s="14">
        <f>'[1]Electrical Essentials'!C18</f>
        <v>52.87</v>
      </c>
      <c r="K412" s="16">
        <f>J412*($L$2-1)</f>
        <v>0</v>
      </c>
      <c r="L412" s="16">
        <f>SUM(I412:K412)</f>
        <v>52.87</v>
      </c>
    </row>
    <row r="413" spans="1:12" ht="12.75">
      <c r="A413" s="14">
        <v>411</v>
      </c>
      <c r="B413" s="15" t="s">
        <v>506</v>
      </c>
      <c r="C413" s="15" t="str">
        <f>'[1]Electrical Essentials'!B19</f>
        <v>Supplying and drawing following sizes of FRLS PVC insulated copper conductor, single core cable in the existing surface / recessed steel/ PVC conduit as required.3 X 1.5 sq.mm(1.17.3)</v>
      </c>
      <c r="D413" s="15" t="str">
        <f>CONCATENATE(C413," (Code: ",B413,")")</f>
        <v>Supplying and drawing following sizes of FRLS PVC insulated copper conductor, single core cable in the existing surface / recessed steel/ PVC conduit as required.3 X 1.5 sq.mm(1.17.3) (Code: GWDDR411)</v>
      </c>
      <c r="E413" s="19" t="str">
        <f>'[1]Electrical Essentials'!D19</f>
        <v>metre</v>
      </c>
      <c r="F413" s="16" t="s">
        <v>18</v>
      </c>
      <c r="G413" s="17" t="s">
        <v>19</v>
      </c>
      <c r="H413" s="17" t="s">
        <v>489</v>
      </c>
      <c r="I413" s="14">
        <v>0</v>
      </c>
      <c r="J413" s="14">
        <f>'[1]Electrical Essentials'!C19</f>
        <v>71.96</v>
      </c>
      <c r="K413" s="16">
        <f>J413*($L$2-1)</f>
        <v>0</v>
      </c>
      <c r="L413" s="16">
        <f>SUM(I413:K413)</f>
        <v>71.96</v>
      </c>
    </row>
    <row r="414" spans="1:12" ht="12.75">
      <c r="A414" s="14">
        <v>412</v>
      </c>
      <c r="B414" s="15" t="s">
        <v>507</v>
      </c>
      <c r="C414" s="15" t="str">
        <f>'[1]Electrical Essentials'!B20</f>
        <v>Supplying and drawing following sizes of FRLS PVC insulated copper conductor, single core cable in the existing surface / recessed steel/ PVC conduit as required.4 x 1.5 sq. mm(1.17.4)</v>
      </c>
      <c r="D414" s="15" t="str">
        <f>CONCATENATE(C414," (Code: ",B414,")")</f>
        <v>Supplying and drawing following sizes of FRLS PVC insulated copper conductor, single core cable in the existing surface / recessed steel/ PVC conduit as required.4 x 1.5 sq. mm(1.17.4) (Code: GWDDR412)</v>
      </c>
      <c r="E414" s="19" t="str">
        <f>'[1]Electrical Essentials'!D20</f>
        <v>metre</v>
      </c>
      <c r="F414" s="16" t="s">
        <v>18</v>
      </c>
      <c r="G414" s="17" t="s">
        <v>19</v>
      </c>
      <c r="H414" s="17" t="s">
        <v>489</v>
      </c>
      <c r="I414" s="14">
        <v>0</v>
      </c>
      <c r="J414" s="14">
        <f>'[1]Electrical Essentials'!C20</f>
        <v>91.05</v>
      </c>
      <c r="K414" s="16">
        <f>J414*($L$2-1)</f>
        <v>0</v>
      </c>
      <c r="L414" s="16">
        <f>SUM(I414:K414)</f>
        <v>91.05</v>
      </c>
    </row>
    <row r="415" spans="1:12" ht="12.75">
      <c r="A415" s="14">
        <v>413</v>
      </c>
      <c r="B415" s="15" t="s">
        <v>508</v>
      </c>
      <c r="C415" s="15" t="str">
        <f>'[1]Electrical Essentials'!B21</f>
        <v>Supplying and drawing following sizes of FRLS PVC insulated copper conductor, single core cable in the existing surface / recessed steel/ PVC conduit as required.5 X 1.5 Sq. mm(1.17.5)</v>
      </c>
      <c r="D415" s="15" t="str">
        <f>CONCATENATE(C415," (Code: ",B415,")")</f>
        <v>Supplying and drawing following sizes of FRLS PVC insulated copper conductor, single core cable in the existing surface / recessed steel/ PVC conduit as required.5 X 1.5 Sq. mm(1.17.5) (Code: GWDDR413)</v>
      </c>
      <c r="E415" s="19" t="str">
        <f>'[1]Electrical Essentials'!D21</f>
        <v>metre</v>
      </c>
      <c r="F415" s="16" t="s">
        <v>18</v>
      </c>
      <c r="G415" s="17" t="s">
        <v>19</v>
      </c>
      <c r="H415" s="17" t="s">
        <v>489</v>
      </c>
      <c r="I415" s="14">
        <v>0</v>
      </c>
      <c r="J415" s="14">
        <f>'[1]Electrical Essentials'!C21</f>
        <v>117.48</v>
      </c>
      <c r="K415" s="16">
        <f>J415*($L$2-1)</f>
        <v>0</v>
      </c>
      <c r="L415" s="16">
        <f>SUM(I415:K415)</f>
        <v>117.48</v>
      </c>
    </row>
    <row r="416" spans="1:12" ht="12.75">
      <c r="A416" s="14">
        <v>414</v>
      </c>
      <c r="B416" s="15" t="s">
        <v>509</v>
      </c>
      <c r="C416" s="15" t="str">
        <f>'[1]Electrical Essentials'!B22</f>
        <v>Supplying and drawing following sizes of FRLS PVC insulated copper conductor, single core cable in the existing surface / recessed steel/ PVC conduit as required.6 x 1.5 sq. mm(1.17.6)</v>
      </c>
      <c r="D416" s="15" t="str">
        <f>CONCATENATE(C416," (Code: ",B416,")")</f>
        <v>Supplying and drawing following sizes of FRLS PVC insulated copper conductor, single core cable in the existing surface / recessed steel/ PVC conduit as required.6 x 1.5 sq. mm(1.17.6) (Code: GWDDR414)</v>
      </c>
      <c r="E416" s="19" t="str">
        <f>'[1]Electrical Essentials'!D22</f>
        <v>metre</v>
      </c>
      <c r="F416" s="16" t="s">
        <v>18</v>
      </c>
      <c r="G416" s="17" t="s">
        <v>19</v>
      </c>
      <c r="H416" s="17" t="s">
        <v>489</v>
      </c>
      <c r="I416" s="14">
        <v>0</v>
      </c>
      <c r="J416" s="14">
        <f>'[1]Electrical Essentials'!C22</f>
        <v>136.57</v>
      </c>
      <c r="K416" s="16">
        <f>J416*($L$2-1)</f>
        <v>0</v>
      </c>
      <c r="L416" s="16">
        <f>SUM(I416:K416)</f>
        <v>136.57</v>
      </c>
    </row>
    <row r="417" spans="1:12" ht="12.75">
      <c r="A417" s="14">
        <v>415</v>
      </c>
      <c r="B417" s="15" t="s">
        <v>510</v>
      </c>
      <c r="C417" s="15" t="str">
        <f>'[1]Electrical Essentials'!B23</f>
        <v>Supplying and drawing following sizes of FRLS PVC insulated copper conductor, single core cable in the existing surface / recessed steel/ PVC conduit as required.7 x 1.5 sq. mm(1.17.7)</v>
      </c>
      <c r="D417" s="15" t="str">
        <f>CONCATENATE(C417," (Code: ",B417,")")</f>
        <v>Supplying and drawing following sizes of FRLS PVC insulated copper conductor, single core cable in the existing surface / recessed steel/ PVC conduit as required.7 x 1.5 sq. mm(1.17.7) (Code: GWDDR415)</v>
      </c>
      <c r="E417" s="19" t="str">
        <f>'[1]Electrical Essentials'!D23</f>
        <v>metre</v>
      </c>
      <c r="F417" s="16" t="s">
        <v>18</v>
      </c>
      <c r="G417" s="17" t="s">
        <v>19</v>
      </c>
      <c r="H417" s="17" t="s">
        <v>489</v>
      </c>
      <c r="I417" s="14">
        <v>0</v>
      </c>
      <c r="J417" s="14">
        <f>'[1]Electrical Essentials'!C23</f>
        <v>163</v>
      </c>
      <c r="K417" s="16">
        <f>J417*($L$2-1)</f>
        <v>0</v>
      </c>
      <c r="L417" s="16">
        <f>SUM(I417:K417)</f>
        <v>163</v>
      </c>
    </row>
    <row r="418" spans="1:12" ht="12.75">
      <c r="A418" s="14">
        <v>416</v>
      </c>
      <c r="B418" s="15" t="s">
        <v>511</v>
      </c>
      <c r="C418" s="15" t="str">
        <f>'[1]Electrical Essentials'!B24</f>
        <v>Supplying and drawing following sizes of FRLS PVC insulated copper conductor, single core cable in the existing surface / recessed steel/ PVC conduit as required.8 x 1.5 sq. mm(1.17.8)</v>
      </c>
      <c r="D418" s="15" t="str">
        <f>CONCATENATE(C418," (Code: ",B418,")")</f>
        <v>Supplying and drawing following sizes of FRLS PVC insulated copper conductor, single core cable in the existing surface / recessed steel/ PVC conduit as required.8 x 1.5 sq. mm(1.17.8) (Code: GWDDR416)</v>
      </c>
      <c r="E418" s="19" t="str">
        <f>'[1]Electrical Essentials'!D24</f>
        <v>metre</v>
      </c>
      <c r="F418" s="16" t="s">
        <v>18</v>
      </c>
      <c r="G418" s="17" t="s">
        <v>19</v>
      </c>
      <c r="H418" s="17" t="s">
        <v>489</v>
      </c>
      <c r="I418" s="14">
        <v>0</v>
      </c>
      <c r="J418" s="14">
        <f>'[1]Electrical Essentials'!C24</f>
        <v>182.09</v>
      </c>
      <c r="K418" s="16">
        <f>J418*($L$2-1)</f>
        <v>0</v>
      </c>
      <c r="L418" s="16">
        <f>SUM(I418:K418)</f>
        <v>182.09</v>
      </c>
    </row>
    <row r="419" spans="1:12" ht="12.75">
      <c r="A419" s="14">
        <v>417</v>
      </c>
      <c r="B419" s="15" t="s">
        <v>512</v>
      </c>
      <c r="C419" s="15" t="str">
        <f>'[1]Electrical Essentials'!B25</f>
        <v>Supplying and drawing following sizes of FRLS PVC insulated copper conductor, single core cable in the existing surface / recessed steel/ PVC conduit as required.9 x 1.5 sq. mm(1.17.9)</v>
      </c>
      <c r="D419" s="15" t="str">
        <f>CONCATENATE(C419," (Code: ",B419,")")</f>
        <v>Supplying and drawing following sizes of FRLS PVC insulated copper conductor, single core cable in the existing surface / recessed steel/ PVC conduit as required.9 x 1.5 sq. mm(1.17.9) (Code: GWDDR417)</v>
      </c>
      <c r="E419" s="19" t="str">
        <f>'[1]Electrical Essentials'!D25</f>
        <v>metre</v>
      </c>
      <c r="F419" s="16" t="s">
        <v>18</v>
      </c>
      <c r="G419" s="17" t="s">
        <v>19</v>
      </c>
      <c r="H419" s="17" t="s">
        <v>489</v>
      </c>
      <c r="I419" s="14">
        <v>0</v>
      </c>
      <c r="J419" s="14">
        <f>'[1]Electrical Essentials'!C25</f>
        <v>215.87</v>
      </c>
      <c r="K419" s="16">
        <f>J419*($L$2-1)</f>
        <v>0</v>
      </c>
      <c r="L419" s="16">
        <f>SUM(I419:K419)</f>
        <v>215.87</v>
      </c>
    </row>
    <row r="420" spans="1:12" ht="12.75">
      <c r="A420" s="14">
        <v>418</v>
      </c>
      <c r="B420" s="15" t="s">
        <v>513</v>
      </c>
      <c r="C420" s="15" t="str">
        <f>'[1]Electrical Essentials'!B26</f>
        <v>Supplying and drawing following sizes of FRLS PVC insulated copper conductor, single core cable in the existing surface / recessed steel/ PVC conduit as required.10 x 1.5 sq. mm(1.17.10)</v>
      </c>
      <c r="D420" s="15" t="str">
        <f>CONCATENATE(C420," (Code: ",B420,")")</f>
        <v>Supplying and drawing following sizes of FRLS PVC insulated copper conductor, single core cable in the existing surface / recessed steel/ PVC conduit as required.10 x 1.5 sq. mm(1.17.10) (Code: GWDDR418)</v>
      </c>
      <c r="E420" s="19" t="str">
        <f>'[1]Electrical Essentials'!D26</f>
        <v>metre</v>
      </c>
      <c r="F420" s="16" t="s">
        <v>18</v>
      </c>
      <c r="G420" s="17" t="s">
        <v>19</v>
      </c>
      <c r="H420" s="17" t="s">
        <v>489</v>
      </c>
      <c r="I420" s="14">
        <v>0</v>
      </c>
      <c r="J420" s="14">
        <f>'[1]Electrical Essentials'!C26</f>
        <v>234.96</v>
      </c>
      <c r="K420" s="16">
        <f>J420*($L$2-1)</f>
        <v>0</v>
      </c>
      <c r="L420" s="16">
        <f>SUM(I420:K420)</f>
        <v>234.96</v>
      </c>
    </row>
    <row r="421" spans="1:12" ht="12.75">
      <c r="A421" s="14">
        <v>419</v>
      </c>
      <c r="B421" s="15" t="s">
        <v>514</v>
      </c>
      <c r="C421" s="15" t="str">
        <f>'[1]Electrical Essentials'!B27</f>
        <v>Supplying and drawing following sizes of FRLS PVC insulated copper conductor, single core cable in the existing surface / recessed steel/ PVC conduit as required.2 x 2.5 sq. mm(1.17.11)</v>
      </c>
      <c r="D421" s="15" t="str">
        <f>CONCATENATE(C421," (Code: ",B421,")")</f>
        <v>Supplying and drawing following sizes of FRLS PVC insulated copper conductor, single core cable in the existing surface / recessed steel/ PVC conduit as required.2 x 2.5 sq. mm(1.17.11) (Code: GWDDR419)</v>
      </c>
      <c r="E421" s="19" t="str">
        <f>'[1]Electrical Essentials'!D27</f>
        <v>metre</v>
      </c>
      <c r="F421" s="16" t="s">
        <v>18</v>
      </c>
      <c r="G421" s="17" t="s">
        <v>19</v>
      </c>
      <c r="H421" s="17" t="s">
        <v>489</v>
      </c>
      <c r="I421" s="14">
        <v>0</v>
      </c>
      <c r="J421" s="14">
        <f>'[1]Electrical Essentials'!C27</f>
        <v>74.08</v>
      </c>
      <c r="K421" s="16">
        <f>J421*($L$2-1)</f>
        <v>0</v>
      </c>
      <c r="L421" s="16">
        <f>SUM(I421:K421)</f>
        <v>74.08</v>
      </c>
    </row>
    <row r="422" spans="1:12" ht="12.75">
      <c r="A422" s="14">
        <v>420</v>
      </c>
      <c r="B422" s="15" t="s">
        <v>515</v>
      </c>
      <c r="C422" s="15" t="str">
        <f>'[1]Electrical Essentials'!B28</f>
        <v>Supplying and drawing following sizes of FRLS PVC insulated copper conductor, single core cable in the existing surface / recessed steel/ PVC conduit as required.3 x 2.5 sq. mm(1.17.12)</v>
      </c>
      <c r="D422" s="15" t="str">
        <f>CONCATENATE(C422," (Code: ",B422,")")</f>
        <v>Supplying and drawing following sizes of FRLS PVC insulated copper conductor, single core cable in the existing surface / recessed steel/ PVC conduit as required.3 x 2.5 sq. mm(1.17.12) (Code: GWDDR420)</v>
      </c>
      <c r="E422" s="19" t="str">
        <f>'[1]Electrical Essentials'!D28</f>
        <v>metre</v>
      </c>
      <c r="F422" s="16" t="s">
        <v>18</v>
      </c>
      <c r="G422" s="17" t="s">
        <v>19</v>
      </c>
      <c r="H422" s="17" t="s">
        <v>489</v>
      </c>
      <c r="I422" s="14">
        <v>0</v>
      </c>
      <c r="J422" s="14">
        <f>'[1]Electrical Essentials'!C28</f>
        <v>103.77</v>
      </c>
      <c r="K422" s="16">
        <f>J422*($L$2-1)</f>
        <v>0</v>
      </c>
      <c r="L422" s="16">
        <f>SUM(I422:K422)</f>
        <v>103.77</v>
      </c>
    </row>
    <row r="423" spans="1:12" ht="12.75">
      <c r="A423" s="14">
        <v>421</v>
      </c>
      <c r="B423" s="15" t="s">
        <v>516</v>
      </c>
      <c r="C423" s="15" t="str">
        <f>'[1]Electrical Essentials'!B29</f>
        <v>Supplying and drawing following sizes of FRLS PVC insulated copper conductor, single core cable in the existing surface / recessed steel/ PVC conduit as required.4 x 2.5 sq. mm(1.17.13)</v>
      </c>
      <c r="D423" s="15" t="str">
        <f>CONCATENATE(C423," (Code: ",B423,")")</f>
        <v>Supplying and drawing following sizes of FRLS PVC insulated copper conductor, single core cable in the existing surface / recessed steel/ PVC conduit as required.4 x 2.5 sq. mm(1.17.13) (Code: GWDDR421)</v>
      </c>
      <c r="E423" s="19" t="str">
        <f>'[1]Electrical Essentials'!D29</f>
        <v>metre</v>
      </c>
      <c r="F423" s="16" t="s">
        <v>18</v>
      </c>
      <c r="G423" s="17" t="s">
        <v>19</v>
      </c>
      <c r="H423" s="17" t="s">
        <v>489</v>
      </c>
      <c r="I423" s="14">
        <v>0</v>
      </c>
      <c r="J423" s="14">
        <f>'[1]Electrical Essentials'!C29</f>
        <v>133.47</v>
      </c>
      <c r="K423" s="16">
        <f>J423*($L$2-1)</f>
        <v>0</v>
      </c>
      <c r="L423" s="16">
        <f>SUM(I423:K423)</f>
        <v>133.47</v>
      </c>
    </row>
    <row r="424" spans="1:12" ht="12.75">
      <c r="A424" s="14">
        <v>422</v>
      </c>
      <c r="B424" s="15" t="s">
        <v>517</v>
      </c>
      <c r="C424" s="15" t="str">
        <f>'[1]Electrical Essentials'!B30</f>
        <v>Supplying and drawing following sizes of FRLS PVC insulated copper conductor, single core cable in the existing surface / recessed steel/ PVC conduit as required.5 x 2.5 sq. mm(1.17.14)</v>
      </c>
      <c r="D424" s="15" t="str">
        <f>CONCATENATE(C424," (Code: ",B424,")")</f>
        <v>Supplying and drawing following sizes of FRLS PVC insulated copper conductor, single core cable in the existing surface / recessed steel/ PVC conduit as required.5 x 2.5 sq. mm(1.17.14) (Code: GWDDR422)</v>
      </c>
      <c r="E424" s="19" t="str">
        <f>'[1]Electrical Essentials'!D30</f>
        <v>metre</v>
      </c>
      <c r="F424" s="16" t="s">
        <v>18</v>
      </c>
      <c r="G424" s="17" t="s">
        <v>19</v>
      </c>
      <c r="H424" s="17" t="s">
        <v>489</v>
      </c>
      <c r="I424" s="14">
        <v>0</v>
      </c>
      <c r="J424" s="14">
        <f>'[1]Electrical Essentials'!C30</f>
        <v>170.51</v>
      </c>
      <c r="K424" s="16">
        <f>J424*($L$2-1)</f>
        <v>0</v>
      </c>
      <c r="L424" s="16">
        <f>SUM(I424:K424)</f>
        <v>170.51</v>
      </c>
    </row>
    <row r="425" spans="1:12" ht="12.75">
      <c r="A425" s="14">
        <v>423</v>
      </c>
      <c r="B425" s="15" t="s">
        <v>518</v>
      </c>
      <c r="C425" s="15" t="str">
        <f>'[1]Electrical Essentials'!B31</f>
        <v>Supplying and drawing following sizes of FRLS PVC insulated copper conductor, single core cable in the existing surface / recessed steel/ PVC conduit as required.6 x 2.5 sq. mm(1.17.15)</v>
      </c>
      <c r="D425" s="15" t="str">
        <f>CONCATENATE(C425," (Code: ",B425,")")</f>
        <v>Supplying and drawing following sizes of FRLS PVC insulated copper conductor, single core cable in the existing surface / recessed steel/ PVC conduit as required.6 x 2.5 sq. mm(1.17.15) (Code: GWDDR423)</v>
      </c>
      <c r="E425" s="19" t="str">
        <f>'[1]Electrical Essentials'!D31</f>
        <v>metre</v>
      </c>
      <c r="F425" s="16" t="s">
        <v>18</v>
      </c>
      <c r="G425" s="17" t="s">
        <v>19</v>
      </c>
      <c r="H425" s="17" t="s">
        <v>489</v>
      </c>
      <c r="I425" s="14">
        <v>0</v>
      </c>
      <c r="J425" s="14">
        <f>'[1]Electrical Essentials'!C31</f>
        <v>200.20</v>
      </c>
      <c r="K425" s="16">
        <f>J425*($L$2-1)</f>
        <v>0</v>
      </c>
      <c r="L425" s="16">
        <f>SUM(I425:K425)</f>
        <v>200.20</v>
      </c>
    </row>
    <row r="426" spans="1:12" ht="12.75">
      <c r="A426" s="14">
        <v>424</v>
      </c>
      <c r="B426" s="15" t="s">
        <v>519</v>
      </c>
      <c r="C426" s="15" t="str">
        <f>'[1]Electrical Essentials'!B32</f>
        <v>Supplying and drawing following sizes of FRLS PVC insulated copper conductor, single core cable in the existing surface / recessed steel/ PVC conduit as required.7 x 2.5 sq. mm(1.17.16)</v>
      </c>
      <c r="D426" s="15" t="str">
        <f>CONCATENATE(C426," (Code: ",B426,")")</f>
        <v>Supplying and drawing following sizes of FRLS PVC insulated copper conductor, single core cable in the existing surface / recessed steel/ PVC conduit as required.7 x 2.5 sq. mm(1.17.16) (Code: GWDDR424)</v>
      </c>
      <c r="E426" s="19" t="str">
        <f>'[1]Electrical Essentials'!D32</f>
        <v>metre</v>
      </c>
      <c r="F426" s="16" t="s">
        <v>18</v>
      </c>
      <c r="G426" s="17" t="s">
        <v>19</v>
      </c>
      <c r="H426" s="17" t="s">
        <v>489</v>
      </c>
      <c r="I426" s="14">
        <v>0</v>
      </c>
      <c r="J426" s="14">
        <f>'[1]Electrical Essentials'!C32</f>
        <v>237.24</v>
      </c>
      <c r="K426" s="16">
        <f>J426*($L$2-1)</f>
        <v>0</v>
      </c>
      <c r="L426" s="16">
        <f>SUM(I426:K426)</f>
        <v>237.24</v>
      </c>
    </row>
    <row r="427" spans="1:12" ht="12.75">
      <c r="A427" s="14">
        <v>425</v>
      </c>
      <c r="B427" s="15" t="s">
        <v>520</v>
      </c>
      <c r="C427" s="15" t="str">
        <f>'[1]Electrical Essentials'!B33</f>
        <v>Supplying and drawing following sizes of FRLS PVC insulated copper conductor, single core cable in the existing surface / recessed steel/ PVC conduit as required.8 x 2.5 sq. mm(1.17.17)</v>
      </c>
      <c r="D427" s="15" t="str">
        <f>CONCATENATE(C427," (Code: ",B427,")")</f>
        <v>Supplying and drawing following sizes of FRLS PVC insulated copper conductor, single core cable in the existing surface / recessed steel/ PVC conduit as required.8 x 2.5 sq. mm(1.17.17) (Code: GWDDR425)</v>
      </c>
      <c r="E427" s="19" t="str">
        <f>'[1]Electrical Essentials'!D33</f>
        <v>metre</v>
      </c>
      <c r="F427" s="16" t="s">
        <v>18</v>
      </c>
      <c r="G427" s="17" t="s">
        <v>19</v>
      </c>
      <c r="H427" s="17" t="s">
        <v>489</v>
      </c>
      <c r="I427" s="14">
        <v>0</v>
      </c>
      <c r="J427" s="14">
        <f>'[1]Electrical Essentials'!C33</f>
        <v>266.93</v>
      </c>
      <c r="K427" s="16">
        <f>J427*($L$2-1)</f>
        <v>0</v>
      </c>
      <c r="L427" s="16">
        <f>SUM(I427:K427)</f>
        <v>266.93</v>
      </c>
    </row>
    <row r="428" spans="1:12" ht="12.75">
      <c r="A428" s="14">
        <v>426</v>
      </c>
      <c r="B428" s="15" t="s">
        <v>521</v>
      </c>
      <c r="C428" s="15" t="str">
        <f>'[1]Electrical Essentials'!B34</f>
        <v>Supplying and drawing following sizes of FRLS PVC insulated copper conductor, single core cable in the existing surface / recessed steel/ PVC conduit as required.9 x 2.5 sq. mm(1.17.18)</v>
      </c>
      <c r="D428" s="15" t="str">
        <f>CONCATENATE(C428," (Code: ",B428,")")</f>
        <v>Supplying and drawing following sizes of FRLS PVC insulated copper conductor, single core cable in the existing surface / recessed steel/ PVC conduit as required.9 x 2.5 sq. mm(1.17.18) (Code: GWDDR426)</v>
      </c>
      <c r="E428" s="19" t="str">
        <f>'[1]Electrical Essentials'!D34</f>
        <v>metre</v>
      </c>
      <c r="F428" s="16" t="s">
        <v>18</v>
      </c>
      <c r="G428" s="17" t="s">
        <v>19</v>
      </c>
      <c r="H428" s="17" t="s">
        <v>489</v>
      </c>
      <c r="I428" s="14">
        <v>0</v>
      </c>
      <c r="J428" s="14">
        <f>'[1]Electrical Essentials'!C34</f>
        <v>311.32</v>
      </c>
      <c r="K428" s="16">
        <f>J428*($L$2-1)</f>
        <v>0</v>
      </c>
      <c r="L428" s="16">
        <f>SUM(I428:K428)</f>
        <v>311.32</v>
      </c>
    </row>
    <row r="429" spans="1:12" ht="12.75">
      <c r="A429" s="14">
        <v>427</v>
      </c>
      <c r="B429" s="15" t="s">
        <v>522</v>
      </c>
      <c r="C429" s="15" t="str">
        <f>'[1]Electrical Essentials'!B35</f>
        <v>Supplying and drawing following sizes of FRLS PVC insulated copper conductor, single core cable in the existing surface / recessed steel/ PVC conduit as required.10 x 2.5 sq. mm(1.17.19)</v>
      </c>
      <c r="D429" s="15" t="str">
        <f>CONCATENATE(C429," (Code: ",B429,")")</f>
        <v>Supplying and drawing following sizes of FRLS PVC insulated copper conductor, single core cable in the existing surface / recessed steel/ PVC conduit as required.10 x 2.5 sq. mm(1.17.19) (Code: GWDDR427)</v>
      </c>
      <c r="E429" s="19" t="str">
        <f>'[1]Electrical Essentials'!D35</f>
        <v>metre</v>
      </c>
      <c r="F429" s="16" t="s">
        <v>18</v>
      </c>
      <c r="G429" s="17" t="s">
        <v>19</v>
      </c>
      <c r="H429" s="17" t="s">
        <v>489</v>
      </c>
      <c r="I429" s="14">
        <v>0</v>
      </c>
      <c r="J429" s="14">
        <f>'[1]Electrical Essentials'!C35</f>
        <v>341.01</v>
      </c>
      <c r="K429" s="16">
        <f>J429*($L$2-1)</f>
        <v>0</v>
      </c>
      <c r="L429" s="16">
        <f>SUM(I429:K429)</f>
        <v>341.01</v>
      </c>
    </row>
    <row r="430" spans="1:12" ht="12.75">
      <c r="A430" s="14">
        <v>428</v>
      </c>
      <c r="B430" s="15" t="s">
        <v>523</v>
      </c>
      <c r="C430" s="15" t="str">
        <f>'[1]Electrical Essentials'!B36</f>
        <v>Supplying and drawing following sizes of FRLS PVC insulated copper conductor, single core cable in the existing surface / recessed steel/ PVC conduit as required.2 x 4 sq. mm(1.17.20)</v>
      </c>
      <c r="D430" s="15" t="str">
        <f>CONCATENATE(C430," (Code: ",B430,")")</f>
        <v>Supplying and drawing following sizes of FRLS PVC insulated copper conductor, single core cable in the existing surface / recessed steel/ PVC conduit as required.2 x 4 sq. mm(1.17.20) (Code: GWDDR428)</v>
      </c>
      <c r="E430" s="19" t="str">
        <f>'[1]Electrical Essentials'!D36</f>
        <v>metre</v>
      </c>
      <c r="F430" s="16" t="s">
        <v>18</v>
      </c>
      <c r="G430" s="17" t="s">
        <v>19</v>
      </c>
      <c r="H430" s="17" t="s">
        <v>489</v>
      </c>
      <c r="I430" s="14">
        <v>0</v>
      </c>
      <c r="J430" s="14">
        <f>'[1]Electrical Essentials'!C36</f>
        <v>111.12</v>
      </c>
      <c r="K430" s="16">
        <f>J430*($L$2-1)</f>
        <v>0</v>
      </c>
      <c r="L430" s="16">
        <f>SUM(I430:K430)</f>
        <v>111.12</v>
      </c>
    </row>
    <row r="431" spans="1:12" ht="12.75">
      <c r="A431" s="14">
        <v>429</v>
      </c>
      <c r="B431" s="15" t="s">
        <v>524</v>
      </c>
      <c r="C431" s="15" t="str">
        <f>'[1]Electrical Essentials'!B37</f>
        <v>Supplying and drawing following sizes of FRLS PVC insulated copper conductor, single core cable in the existing surface / recessed steel/ PVC conduit as required.3 x 4 sq. mm(1.17.21)</v>
      </c>
      <c r="D431" s="15" t="str">
        <f>CONCATENATE(C431," (Code: ",B431,")")</f>
        <v>Supplying and drawing following sizes of FRLS PVC insulated copper conductor, single core cable in the existing surface / recessed steel/ PVC conduit as required.3 x 4 sq. mm(1.17.21) (Code: GWDDR429)</v>
      </c>
      <c r="E431" s="19" t="str">
        <f>'[1]Electrical Essentials'!D37</f>
        <v>metre</v>
      </c>
      <c r="F431" s="16" t="s">
        <v>18</v>
      </c>
      <c r="G431" s="17" t="s">
        <v>19</v>
      </c>
      <c r="H431" s="17" t="s">
        <v>489</v>
      </c>
      <c r="I431" s="14">
        <v>0</v>
      </c>
      <c r="J431" s="14">
        <f>'[1]Electrical Essentials'!C37</f>
        <v>155.66</v>
      </c>
      <c r="K431" s="16">
        <f>J431*($L$2-1)</f>
        <v>0</v>
      </c>
      <c r="L431" s="16">
        <f>SUM(I431:K431)</f>
        <v>155.66</v>
      </c>
    </row>
    <row r="432" spans="1:12" ht="12.75">
      <c r="A432" s="14">
        <v>430</v>
      </c>
      <c r="B432" s="15" t="s">
        <v>525</v>
      </c>
      <c r="C432" s="15" t="str">
        <f>'[1]Electrical Essentials'!B38</f>
        <v>Supplying and drawing following sizes of FRLS PVC insulated copper conductor, single core cable in the existing surface / recessed steel/ PVC conduit as required.4 x 4 sq. mm(1.17.22)</v>
      </c>
      <c r="D432" s="15" t="str">
        <f>CONCATENATE(C432," (Code: ",B432,")")</f>
        <v>Supplying and drawing following sizes of FRLS PVC insulated copper conductor, single core cable in the existing surface / recessed steel/ PVC conduit as required.4 x 4 sq. mm(1.17.22) (Code: GWDDR430)</v>
      </c>
      <c r="E432" s="19" t="str">
        <f>'[1]Electrical Essentials'!D38</f>
        <v>metre</v>
      </c>
      <c r="F432" s="16" t="s">
        <v>18</v>
      </c>
      <c r="G432" s="17" t="s">
        <v>19</v>
      </c>
      <c r="H432" s="17" t="s">
        <v>489</v>
      </c>
      <c r="I432" s="14">
        <v>0</v>
      </c>
      <c r="J432" s="14">
        <f>'[1]Electrical Essentials'!C38</f>
        <v>207.54</v>
      </c>
      <c r="K432" s="16">
        <f>J432*($L$2-1)</f>
        <v>0</v>
      </c>
      <c r="L432" s="16">
        <f>SUM(I432:K432)</f>
        <v>207.54</v>
      </c>
    </row>
    <row r="433" spans="1:12" ht="12.75">
      <c r="A433" s="14">
        <v>431</v>
      </c>
      <c r="B433" s="15" t="s">
        <v>526</v>
      </c>
      <c r="C433" s="15" t="str">
        <f>'[1]Electrical Essentials'!B39</f>
        <v>Supplying and drawing following sizes of FRLS PVC insulated copper conductor, single core cable in the existing surface / recessed steel/ PVC conduit as required.5 x 4 sq. mm(1.17.23)</v>
      </c>
      <c r="D433" s="15" t="str">
        <f>CONCATENATE(C433," (Code: ",B433,")")</f>
        <v>Supplying and drawing following sizes of FRLS PVC insulated copper conductor, single core cable in the existing surface / recessed steel/ PVC conduit as required.5 x 4 sq. mm(1.17.23) (Code: GWDDR431)</v>
      </c>
      <c r="E433" s="19" t="str">
        <f>'[1]Electrical Essentials'!D39</f>
        <v>metre</v>
      </c>
      <c r="F433" s="16" t="s">
        <v>18</v>
      </c>
      <c r="G433" s="17" t="s">
        <v>19</v>
      </c>
      <c r="H433" s="17" t="s">
        <v>489</v>
      </c>
      <c r="I433" s="14">
        <v>0</v>
      </c>
      <c r="J433" s="14">
        <f>'[1]Electrical Essentials'!C39</f>
        <v>255.03</v>
      </c>
      <c r="K433" s="16">
        <f>J433*($L$2-1)</f>
        <v>0</v>
      </c>
      <c r="L433" s="16">
        <f>SUM(I433:K433)</f>
        <v>255.03</v>
      </c>
    </row>
    <row r="434" spans="1:12" ht="12.75">
      <c r="A434" s="14">
        <v>432</v>
      </c>
      <c r="B434" s="15" t="s">
        <v>527</v>
      </c>
      <c r="C434" s="15" t="str">
        <f>'[1]Electrical Essentials'!B40</f>
        <v>Supplying and drawing following sizes of FRLS PVC insulated copper conductor, single core cable in the existing surface / recessed steel/ PVC conduit as required.6 x 4 sq. mm(1.17.24)</v>
      </c>
      <c r="D434" s="15" t="str">
        <f>CONCATENATE(C434," (Code: ",B434,")")</f>
        <v>Supplying and drawing following sizes of FRLS PVC insulated copper conductor, single core cable in the existing surface / recessed steel/ PVC conduit as required.6 x 4 sq. mm(1.17.24) (Code: GWDDR432)</v>
      </c>
      <c r="E434" s="19" t="str">
        <f>'[1]Electrical Essentials'!D40</f>
        <v>metre</v>
      </c>
      <c r="F434" s="16" t="s">
        <v>18</v>
      </c>
      <c r="G434" s="17" t="s">
        <v>19</v>
      </c>
      <c r="H434" s="17" t="s">
        <v>489</v>
      </c>
      <c r="I434" s="14">
        <v>0</v>
      </c>
      <c r="J434" s="14">
        <f>'[1]Electrical Essentials'!C40</f>
        <v>299.56</v>
      </c>
      <c r="K434" s="16">
        <f>J434*($L$2-1)</f>
        <v>0</v>
      </c>
      <c r="L434" s="16">
        <f>SUM(I434:K434)</f>
        <v>299.56</v>
      </c>
    </row>
    <row r="435" spans="1:12" ht="12.75">
      <c r="A435" s="14">
        <v>433</v>
      </c>
      <c r="B435" s="15" t="s">
        <v>528</v>
      </c>
      <c r="C435" s="15" t="str">
        <f>'[1]Electrical Essentials'!B41</f>
        <v>Supplying and drawing following sizes of FRLS PVC insulated copper conductor, single core cable in the existing surface / recessed steel/ PVC conduit as required.7 x 4 sq. mm(1.17.25)</v>
      </c>
      <c r="D435" s="15" t="str">
        <f>CONCATENATE(C435," (Code: ",B435,")")</f>
        <v>Supplying and drawing following sizes of FRLS PVC insulated copper conductor, single core cable in the existing surface / recessed steel/ PVC conduit as required.7 x 4 sq. mm(1.17.25) (Code: GWDDR433)</v>
      </c>
      <c r="E435" s="19" t="str">
        <f>'[1]Electrical Essentials'!D41</f>
        <v>metre</v>
      </c>
      <c r="F435" s="16" t="s">
        <v>18</v>
      </c>
      <c r="G435" s="17" t="s">
        <v>19</v>
      </c>
      <c r="H435" s="17" t="s">
        <v>489</v>
      </c>
      <c r="I435" s="14">
        <v>0</v>
      </c>
      <c r="J435" s="14">
        <f>'[1]Electrical Essentials'!C41</f>
        <v>345.58</v>
      </c>
      <c r="K435" s="16">
        <f>J435*($L$2-1)</f>
        <v>0</v>
      </c>
      <c r="L435" s="16">
        <f>SUM(I435:K435)</f>
        <v>345.58</v>
      </c>
    </row>
    <row r="436" spans="1:12" ht="12.75">
      <c r="A436" s="14">
        <v>434</v>
      </c>
      <c r="B436" s="15" t="s">
        <v>529</v>
      </c>
      <c r="C436" s="15" t="str">
        <f>'[1]Electrical Essentials'!B42</f>
        <v>Supplying and drawing following sizes of FRLS PVC insulated copper conductor, single core cable in the existing surface / recessed steel/ PVC conduit as required.8 x 4 sq. mm(1.17.26)</v>
      </c>
      <c r="D436" s="15" t="str">
        <f>CONCATENATE(C436," (Code: ",B436,")")</f>
        <v>Supplying and drawing following sizes of FRLS PVC insulated copper conductor, single core cable in the existing surface / recessed steel/ PVC conduit as required.8 x 4 sq. mm(1.17.26) (Code: GWDDR434)</v>
      </c>
      <c r="E436" s="19" t="str">
        <f>'[1]Electrical Essentials'!D42</f>
        <v>metre</v>
      </c>
      <c r="F436" s="16" t="s">
        <v>18</v>
      </c>
      <c r="G436" s="17" t="s">
        <v>19</v>
      </c>
      <c r="H436" s="17" t="s">
        <v>489</v>
      </c>
      <c r="I436" s="14">
        <v>0</v>
      </c>
      <c r="J436" s="14">
        <f>'[1]Electrical Essentials'!C42</f>
        <v>390.12</v>
      </c>
      <c r="K436" s="16">
        <f>J436*($L$2-1)</f>
        <v>0</v>
      </c>
      <c r="L436" s="16">
        <f>SUM(I436:K436)</f>
        <v>390.12</v>
      </c>
    </row>
    <row r="437" spans="1:12" ht="12.75">
      <c r="A437" s="14">
        <v>435</v>
      </c>
      <c r="B437" s="15" t="s">
        <v>530</v>
      </c>
      <c r="C437" s="15" t="str">
        <f>'[1]Electrical Essentials'!B43</f>
        <v>Supplying and drawing following sizes of FRLS PVC insulated copper conductor, single core cable in the existing surface / recessed steel/ PVC conduit as required.9 x 4 sq. mm(1.17.27)</v>
      </c>
      <c r="D437" s="15" t="str">
        <f>CONCATENATE(C437," (Code: ",B437,")")</f>
        <v>Supplying and drawing following sizes of FRLS PVC insulated copper conductor, single core cable in the existing surface / recessed steel/ PVC conduit as required.9 x 4 sq. mm(1.17.27) (Code: GWDDR435)</v>
      </c>
      <c r="E437" s="19" t="str">
        <f>'[1]Electrical Essentials'!D43</f>
        <v>metre</v>
      </c>
      <c r="F437" s="16" t="s">
        <v>18</v>
      </c>
      <c r="G437" s="17" t="s">
        <v>19</v>
      </c>
      <c r="H437" s="17" t="s">
        <v>489</v>
      </c>
      <c r="I437" s="14">
        <v>0</v>
      </c>
      <c r="J437" s="14">
        <f>'[1]Electrical Essentials'!C43</f>
        <v>437.60</v>
      </c>
      <c r="K437" s="16">
        <f>J437*($L$2-1)</f>
        <v>0</v>
      </c>
      <c r="L437" s="16">
        <f>SUM(I437:K437)</f>
        <v>437.60</v>
      </c>
    </row>
    <row r="438" spans="1:12" ht="12.75">
      <c r="A438" s="14">
        <v>436</v>
      </c>
      <c r="B438" s="15" t="s">
        <v>531</v>
      </c>
      <c r="C438" s="15" t="str">
        <f>'[1]Electrical Essentials'!B44</f>
        <v>Supplying and drawing following sizes of FRLS PVC insulated copper conductor, single core cable in the existing surface / recessed steel/ PVC conduit as required.10 x 4 sq. mm(1.17.28)</v>
      </c>
      <c r="D438" s="15" t="str">
        <f>CONCATENATE(C438," (Code: ",B438,")")</f>
        <v>Supplying and drawing following sizes of FRLS PVC insulated copper conductor, single core cable in the existing surface / recessed steel/ PVC conduit as required.10 x 4 sq. mm(1.17.28) (Code: GWDDR436)</v>
      </c>
      <c r="E438" s="19" t="str">
        <f>'[1]Electrical Essentials'!D44</f>
        <v>metre</v>
      </c>
      <c r="F438" s="16" t="s">
        <v>18</v>
      </c>
      <c r="G438" s="17" t="s">
        <v>19</v>
      </c>
      <c r="H438" s="17" t="s">
        <v>489</v>
      </c>
      <c r="I438" s="14">
        <v>0</v>
      </c>
      <c r="J438" s="14">
        <f>'[1]Electrical Essentials'!C44</f>
        <v>489.48</v>
      </c>
      <c r="K438" s="16">
        <f>J438*($L$2-1)</f>
        <v>0</v>
      </c>
      <c r="L438" s="16">
        <f>SUM(I438:K438)</f>
        <v>489.48</v>
      </c>
    </row>
    <row r="439" spans="1:12" ht="12.75">
      <c r="A439" s="14">
        <v>437</v>
      </c>
      <c r="B439" s="15" t="s">
        <v>532</v>
      </c>
      <c r="C439" s="15" t="str">
        <f>'[1]Electrical Essentials'!B45</f>
        <v>Supplying and drawing following sizes of FRLS PVC insulated copper conductor, single core cable in the existing surface / recessed steel/ PVC conduit as required.2 x 6 sq. mm(1.17.29)</v>
      </c>
      <c r="D439" s="15" t="str">
        <f>CONCATENATE(C439," (Code: ",B439,")")</f>
        <v>Supplying and drawing following sizes of FRLS PVC insulated copper conductor, single core cable in the existing surface / recessed steel/ PVC conduit as required.2 x 6 sq. mm(1.17.29) (Code: GWDDR437)</v>
      </c>
      <c r="E439" s="19" t="str">
        <f>'[1]Electrical Essentials'!D45</f>
        <v>metre</v>
      </c>
      <c r="F439" s="16" t="s">
        <v>18</v>
      </c>
      <c r="G439" s="17" t="s">
        <v>19</v>
      </c>
      <c r="H439" s="17" t="s">
        <v>489</v>
      </c>
      <c r="I439" s="14">
        <v>0</v>
      </c>
      <c r="J439" s="14">
        <f>'[1]Electrical Essentials'!C45</f>
        <v>163</v>
      </c>
      <c r="K439" s="16">
        <f>J439*($L$2-1)</f>
        <v>0</v>
      </c>
      <c r="L439" s="16">
        <f>SUM(I439:K439)</f>
        <v>163</v>
      </c>
    </row>
    <row r="440" spans="1:12" ht="12.75">
      <c r="A440" s="14">
        <v>438</v>
      </c>
      <c r="B440" s="15" t="s">
        <v>533</v>
      </c>
      <c r="C440" s="15" t="str">
        <f>'[1]Electrical Essentials'!B46</f>
        <v>Supplying and drawing following sizes of FRLS PVC insulated copper conductor, single core cable in the existing surface / recessed steel/ PVC conduit as required.3 x 6 sq. mm(1.17.30)</v>
      </c>
      <c r="D440" s="15" t="str">
        <f>CONCATENATE(C440," (Code: ",B440,")")</f>
        <v>Supplying and drawing following sizes of FRLS PVC insulated copper conductor, single core cable in the existing surface / recessed steel/ PVC conduit as required.3 x 6 sq. mm(1.17.30) (Code: GWDDR438)</v>
      </c>
      <c r="E440" s="19" t="str">
        <f>'[1]Electrical Essentials'!D46</f>
        <v>metre</v>
      </c>
      <c r="F440" s="16" t="s">
        <v>18</v>
      </c>
      <c r="G440" s="17" t="s">
        <v>19</v>
      </c>
      <c r="H440" s="17" t="s">
        <v>489</v>
      </c>
      <c r="I440" s="14">
        <v>0</v>
      </c>
      <c r="J440" s="14">
        <f>'[1]Electrical Essentials'!C46</f>
        <v>229.82</v>
      </c>
      <c r="K440" s="16">
        <f>J440*($L$2-1)</f>
        <v>0</v>
      </c>
      <c r="L440" s="16">
        <f>SUM(I440:K440)</f>
        <v>229.82</v>
      </c>
    </row>
    <row r="441" spans="1:12" ht="12.75">
      <c r="A441" s="14">
        <v>439</v>
      </c>
      <c r="B441" s="15" t="s">
        <v>534</v>
      </c>
      <c r="C441" s="15" t="str">
        <f>'[1]Electrical Essentials'!B47</f>
        <v>Supplying and drawing following sizes of FRLS PVC insulated copper conductor, single core cable in the existing surface / recessed steel/ PVC conduit as required.4 x 6 sq. mm(1.17.31)</v>
      </c>
      <c r="D441" s="15" t="str">
        <f>CONCATENATE(C441," (Code: ",B441,")")</f>
        <v>Supplying and drawing following sizes of FRLS PVC insulated copper conductor, single core cable in the existing surface / recessed steel/ PVC conduit as required.4 x 6 sq. mm(1.17.31) (Code: GWDDR439)</v>
      </c>
      <c r="E441" s="19" t="str">
        <f>'[1]Electrical Essentials'!D47</f>
        <v>metre</v>
      </c>
      <c r="F441" s="16" t="s">
        <v>18</v>
      </c>
      <c r="G441" s="17" t="s">
        <v>19</v>
      </c>
      <c r="H441" s="17" t="s">
        <v>489</v>
      </c>
      <c r="I441" s="14">
        <v>0</v>
      </c>
      <c r="J441" s="14">
        <f>'[1]Electrical Essentials'!C47</f>
        <v>303.97</v>
      </c>
      <c r="K441" s="16">
        <f>J441*($L$2-1)</f>
        <v>0</v>
      </c>
      <c r="L441" s="16">
        <f>SUM(I441:K441)</f>
        <v>303.97</v>
      </c>
    </row>
    <row r="442" spans="1:12" ht="12.75">
      <c r="A442" s="14">
        <v>440</v>
      </c>
      <c r="B442" s="15" t="s">
        <v>535</v>
      </c>
      <c r="C442" s="15" t="str">
        <f>'[1]Electrical Essentials'!B48</f>
        <v>Supplying and drawing following sizes of FRLS PVC insulated copper conductor, single core cable in the existing surface / recessed steel/ PVC conduit as required.5 x 6 sq. mm(1.17.32)</v>
      </c>
      <c r="D442" s="15" t="str">
        <f>CONCATENATE(C442," (Code: ",B442,")")</f>
        <v>Supplying and drawing following sizes of FRLS PVC insulated copper conductor, single core cable in the existing surface / recessed steel/ PVC conduit as required.5 x 6 sq. mm(1.17.32) (Code: GWDDR440)</v>
      </c>
      <c r="E442" s="19" t="str">
        <f>'[1]Electrical Essentials'!D48</f>
        <v>metre</v>
      </c>
      <c r="F442" s="16" t="s">
        <v>18</v>
      </c>
      <c r="G442" s="17" t="s">
        <v>19</v>
      </c>
      <c r="H442" s="17" t="s">
        <v>489</v>
      </c>
      <c r="I442" s="14">
        <v>0</v>
      </c>
      <c r="J442" s="14">
        <f>'[1]Electrical Essentials'!C48</f>
        <v>370.79</v>
      </c>
      <c r="K442" s="16">
        <f>J442*($L$2-1)</f>
        <v>0</v>
      </c>
      <c r="L442" s="16">
        <f>SUM(I442:K442)</f>
        <v>370.79</v>
      </c>
    </row>
    <row r="443" spans="1:12" ht="12.75">
      <c r="A443" s="14">
        <v>441</v>
      </c>
      <c r="B443" s="15" t="s">
        <v>536</v>
      </c>
      <c r="C443" s="15" t="str">
        <f>'[1]Electrical Essentials'!B49</f>
        <v>Supplying and drawing following sizes of FRLS PVC insulated copper conductor, single core cable in the existing surface / recessed steel/ PVC conduit as required.6 x 6 sq. mm(1.17.33)</v>
      </c>
      <c r="D443" s="15" t="str">
        <f>CONCATENATE(C443," (Code: ",B443,")")</f>
        <v>Supplying and drawing following sizes of FRLS PVC insulated copper conductor, single core cable in the existing surface / recessed steel/ PVC conduit as required.6 x 6 sq. mm(1.17.33) (Code: GWDDR441)</v>
      </c>
      <c r="E443" s="19" t="str">
        <f>'[1]Electrical Essentials'!D49</f>
        <v>metre</v>
      </c>
      <c r="F443" s="16" t="s">
        <v>18</v>
      </c>
      <c r="G443" s="17" t="s">
        <v>19</v>
      </c>
      <c r="H443" s="17" t="s">
        <v>489</v>
      </c>
      <c r="I443" s="14">
        <v>0</v>
      </c>
      <c r="J443" s="14">
        <f>'[1]Electrical Essentials'!C49</f>
        <v>452.28</v>
      </c>
      <c r="K443" s="16">
        <f>J443*($L$2-1)</f>
        <v>0</v>
      </c>
      <c r="L443" s="16">
        <f>SUM(I443:K443)</f>
        <v>452.28</v>
      </c>
    </row>
    <row r="444" spans="1:12" ht="12.75">
      <c r="A444" s="14">
        <v>442</v>
      </c>
      <c r="B444" s="15" t="s">
        <v>537</v>
      </c>
      <c r="C444" s="15" t="str">
        <f>'[1]Electrical Essentials'!B50</f>
        <v>Supplying and drawing following sizes of FRLS PVC insulated copper conductor, single core cable in the existing surface / recessed steel/ PVC conduit as required.7 x 6 sq. mm(1.17.34)</v>
      </c>
      <c r="D444" s="15" t="str">
        <f>CONCATENATE(C444," (Code: ",B444,")")</f>
        <v>Supplying and drawing following sizes of FRLS PVC insulated copper conductor, single core cable in the existing surface / recessed steel/ PVC conduit as required.7 x 6 sq. mm(1.17.34) (Code: GWDDR442)</v>
      </c>
      <c r="E444" s="19" t="str">
        <f>'[1]Electrical Essentials'!D50</f>
        <v>metre</v>
      </c>
      <c r="F444" s="16" t="s">
        <v>18</v>
      </c>
      <c r="G444" s="17" t="s">
        <v>19</v>
      </c>
      <c r="H444" s="17" t="s">
        <v>489</v>
      </c>
      <c r="I444" s="14">
        <v>0</v>
      </c>
      <c r="J444" s="14">
        <f>'[1]Electrical Essentials'!C50</f>
        <v>519.10</v>
      </c>
      <c r="K444" s="16">
        <f>J444*($L$2-1)</f>
        <v>0</v>
      </c>
      <c r="L444" s="16">
        <f>SUM(I444:K444)</f>
        <v>519.10</v>
      </c>
    </row>
    <row r="445" spans="1:12" ht="12.75">
      <c r="A445" s="14">
        <v>443</v>
      </c>
      <c r="B445" s="15" t="s">
        <v>538</v>
      </c>
      <c r="C445" s="15" t="str">
        <f>'[1]Electrical Essentials'!B51</f>
        <v>Supplying and drawing following sizes of FRLS PVC insulated copper conductor, single core cable in the existing surface / recessed steel/ PVC conduit as required.8 x 6 sq. mm(1.17.35)</v>
      </c>
      <c r="D445" s="15" t="str">
        <f>CONCATENATE(C445," (Code: ",B445,")")</f>
        <v>Supplying and drawing following sizes of FRLS PVC insulated copper conductor, single core cable in the existing surface / recessed steel/ PVC conduit as required.8 x 6 sq. mm(1.17.35) (Code: GWDDR443)</v>
      </c>
      <c r="E445" s="19" t="str">
        <f>'[1]Electrical Essentials'!D51</f>
        <v>metre</v>
      </c>
      <c r="F445" s="16" t="s">
        <v>18</v>
      </c>
      <c r="G445" s="17" t="s">
        <v>19</v>
      </c>
      <c r="H445" s="17" t="s">
        <v>489</v>
      </c>
      <c r="I445" s="14">
        <v>0</v>
      </c>
      <c r="J445" s="14">
        <f>'[1]Electrical Essentials'!C51</f>
        <v>593.25</v>
      </c>
      <c r="K445" s="16">
        <f>J445*($L$2-1)</f>
        <v>0</v>
      </c>
      <c r="L445" s="16">
        <f>SUM(I445:K445)</f>
        <v>593.25</v>
      </c>
    </row>
    <row r="446" spans="1:12" ht="12.75">
      <c r="A446" s="14">
        <v>444</v>
      </c>
      <c r="B446" s="15" t="s">
        <v>539</v>
      </c>
      <c r="C446" s="15" t="str">
        <f>'[1]Electrical Essentials'!B52</f>
        <v>Supplying and drawing following sizes of FRLS PVC insulated copper conductor, single core cable in the existing surface / recessed steel/ PVC conduit as required.9 x 6 sq. mm(1.17.36)</v>
      </c>
      <c r="D446" s="15" t="str">
        <f>CONCATENATE(C446," (Code: ",B446,")")</f>
        <v>Supplying and drawing following sizes of FRLS PVC insulated copper conductor, single core cable in the existing surface / recessed steel/ PVC conduit as required.9 x 6 sq. mm(1.17.36) (Code: GWDDR444)</v>
      </c>
      <c r="E446" s="19" t="str">
        <f>'[1]Electrical Essentials'!D52</f>
        <v>metre</v>
      </c>
      <c r="F446" s="16" t="s">
        <v>18</v>
      </c>
      <c r="G446" s="17" t="s">
        <v>19</v>
      </c>
      <c r="H446" s="17" t="s">
        <v>489</v>
      </c>
      <c r="I446" s="14">
        <v>0</v>
      </c>
      <c r="J446" s="14">
        <f>'[1]Electrical Essentials'!C52</f>
        <v>660.07</v>
      </c>
      <c r="K446" s="16">
        <f>J446*($L$2-1)</f>
        <v>0</v>
      </c>
      <c r="L446" s="16">
        <f>SUM(I446:K446)</f>
        <v>660.07</v>
      </c>
    </row>
    <row r="447" spans="1:12" ht="12.75">
      <c r="A447" s="14">
        <v>445</v>
      </c>
      <c r="B447" s="15" t="s">
        <v>540</v>
      </c>
      <c r="C447" s="15" t="str">
        <f>'[1]Electrical Essentials'!B53</f>
        <v>Supplying and drawing following sizes of FRLS PVC insulated copper conductor, single core cable in the existing surface / recessed steel/ PVC conduit as required.10 x 6 sq. mm(1.17.37)</v>
      </c>
      <c r="D447" s="15" t="str">
        <f>CONCATENATE(C447," (Code: ",B447,")")</f>
        <v>Supplying and drawing following sizes of FRLS PVC insulated copper conductor, single core cable in the existing surface / recessed steel/ PVC conduit as required.10 x 6 sq. mm(1.17.37) (Code: GWDDR445)</v>
      </c>
      <c r="E447" s="19" t="str">
        <f>'[1]Electrical Essentials'!D53</f>
        <v>metre</v>
      </c>
      <c r="F447" s="16" t="s">
        <v>18</v>
      </c>
      <c r="G447" s="17" t="s">
        <v>19</v>
      </c>
      <c r="H447" s="17" t="s">
        <v>489</v>
      </c>
      <c r="I447" s="14">
        <v>0</v>
      </c>
      <c r="J447" s="14">
        <f>'[1]Electrical Essentials'!C53</f>
        <v>730.69</v>
      </c>
      <c r="K447" s="16">
        <f>J447*($L$2-1)</f>
        <v>0</v>
      </c>
      <c r="L447" s="16">
        <f>SUM(I447:K447)</f>
        <v>730.69</v>
      </c>
    </row>
    <row r="448" spans="1:12" ht="12.75">
      <c r="A448" s="14">
        <v>446</v>
      </c>
      <c r="B448" s="15" t="s">
        <v>541</v>
      </c>
      <c r="C448" s="15" t="str">
        <f>'[1]PVC wo Trench'!B2</f>
        <v>Providing and fixing PVC pipes includes jointing of pipes with one step PVC solvent cement &amp; testing of joints complete as per direction of Engineer in Charge. 20 mm dia 10KGF/cm2</v>
      </c>
      <c r="D448" s="15" t="str">
        <f>CONCATENATE(C448," (Code: ",B448,")")</f>
        <v>Providing and fixing PVC pipes includes jointing of pipes with one step PVC solvent cement &amp; testing of joints complete as per direction of Engineer in Charge. 20 mm dia 10KGF/cm2 (Code: GWDDR446)</v>
      </c>
      <c r="E448" s="19" t="s">
        <v>28</v>
      </c>
      <c r="F448" s="16" t="s">
        <v>18</v>
      </c>
      <c r="G448" s="23" t="s">
        <v>19</v>
      </c>
      <c r="H448" s="23" t="s">
        <v>77</v>
      </c>
      <c r="I448" s="21">
        <f>'[1]PVC wo Trench'!F13</f>
        <v>40.07</v>
      </c>
      <c r="J448" s="21">
        <f>'[1]PVC wo Trench'!F22</f>
        <v>19.27</v>
      </c>
      <c r="K448" s="16">
        <f>J448*($L$2-1)</f>
        <v>0</v>
      </c>
      <c r="L448" s="16">
        <f>SUM(I448:K448)</f>
        <v>59.34</v>
      </c>
    </row>
    <row r="449" spans="1:12" ht="12.75">
      <c r="A449" s="14">
        <v>447</v>
      </c>
      <c r="B449" s="15" t="s">
        <v>542</v>
      </c>
      <c r="C449" s="15" t="str">
        <f>[1]Lock!A1</f>
        <v>Locking Arrangements - Supplying and Fixing lock and locking arrangements with suitable chain hooks,and padlock of 65mm size. (60.4)</v>
      </c>
      <c r="D449" s="15" t="str">
        <f>CONCATENATE(C449," (Code: ",B449,")")</f>
        <v>Locking Arrangements - Supplying and Fixing lock and locking arrangements with suitable chain hooks,and padlock of 65mm size. (60.4) (Code: GWDDR447)</v>
      </c>
      <c r="E449" s="19" t="s">
        <v>17</v>
      </c>
      <c r="F449" s="16" t="s">
        <v>18</v>
      </c>
      <c r="G449" s="17" t="s">
        <v>19</v>
      </c>
      <c r="H449" s="17" t="s">
        <v>543</v>
      </c>
      <c r="I449" s="14">
        <f>[1]Lock!G26</f>
        <v>641.15</v>
      </c>
      <c r="J449" s="14">
        <f>[1]Lock!H26</f>
        <v>207.32775000000001</v>
      </c>
      <c r="K449" s="16">
        <f>J449*($L$2-1)</f>
        <v>0</v>
      </c>
      <c r="L449" s="16">
        <f>SUM(I449:K449)</f>
        <v>848.47775000000001</v>
      </c>
    </row>
    <row r="450" spans="1:12" ht="12.75">
      <c r="A450" s="14">
        <v>448</v>
      </c>
      <c r="B450" s="15" t="s">
        <v>544</v>
      </c>
      <c r="C450" s="15" t="str">
        <f>'[1]Pump Cover'!A1</f>
        <v>Metallic Pump Cover of size 1 x 1 x 0.7 m</v>
      </c>
      <c r="D450" s="15" t="str">
        <f>CONCATENATE(C450," (Code: ",B450,")")</f>
        <v>Metallic Pump Cover of size 1 x 1 x 0.7 m (Code: GWDDR448)</v>
      </c>
      <c r="E450" s="19" t="s">
        <v>17</v>
      </c>
      <c r="F450" s="16" t="s">
        <v>18</v>
      </c>
      <c r="G450" s="17" t="s">
        <v>19</v>
      </c>
      <c r="H450" s="17" t="s">
        <v>543</v>
      </c>
      <c r="I450" s="21">
        <f>'[1]Pump Cover'!K39</f>
        <v>641.15</v>
      </c>
      <c r="J450" s="21">
        <f>'[1]Pump Cover'!L39</f>
        <v>6112.3343699999996</v>
      </c>
      <c r="K450" s="16">
        <f>J450*($L$2-1)</f>
        <v>0</v>
      </c>
      <c r="L450" s="16">
        <f>SUM(I450:K450)</f>
        <v>6753.4843700000001</v>
      </c>
    </row>
    <row r="451" spans="1:12" ht="12.75">
      <c r="A451" s="14">
        <v>449</v>
      </c>
      <c r="B451" s="15" t="s">
        <v>545</v>
      </c>
      <c r="C451" s="15" t="str">
        <f>[1]Services!B21</f>
        <v>Rotary cum DTH OB Drilling with Subsidy</v>
      </c>
      <c r="D451" s="15" t="str">
        <f>CONCATENATE(C451," (Code: ",B451,")")</f>
        <v>Rotary cum DTH OB Drilling with Subsidy (Code: GWDDR449)</v>
      </c>
      <c r="E451" s="19" t="s">
        <v>28</v>
      </c>
      <c r="F451" s="16" t="s">
        <v>18</v>
      </c>
      <c r="G451" s="17" t="s">
        <v>457</v>
      </c>
      <c r="H451" s="17" t="s">
        <v>159</v>
      </c>
      <c r="I451" s="14">
        <f>[1]Services!D21</f>
        <v>992.50</v>
      </c>
      <c r="J451" s="14">
        <v>0</v>
      </c>
      <c r="K451" s="16">
        <f>J451*($L$2-1)</f>
        <v>0</v>
      </c>
      <c r="L451" s="16">
        <f>SUM(I451:K451)</f>
        <v>992.50</v>
      </c>
    </row>
    <row r="452" spans="1:12" ht="12.75">
      <c r="A452" s="14">
        <v>450</v>
      </c>
      <c r="B452" s="15" t="s">
        <v>546</v>
      </c>
      <c r="C452" s="15" t="str">
        <f>'[1]HP Erection and Pullout'!B35</f>
        <v>Hand pump pullout (extra deep well)</v>
      </c>
      <c r="D452" s="15" t="str">
        <f>CONCATENATE(C452," (Code: ",B452,")")</f>
        <v>Hand pump pullout (extra deep well) (Code: GWDDR450)</v>
      </c>
      <c r="E452" s="19" t="s">
        <v>17</v>
      </c>
      <c r="F452" s="16" t="s">
        <v>18</v>
      </c>
      <c r="G452" s="16" t="s">
        <v>83</v>
      </c>
      <c r="H452" s="17" t="s">
        <v>87</v>
      </c>
      <c r="I452" s="14">
        <v>0</v>
      </c>
      <c r="J452" s="21">
        <f>'[1]HP Erection and Pullout'!F44</f>
        <v>2785</v>
      </c>
      <c r="K452" s="16">
        <f>J452*($L$2-1)</f>
        <v>0</v>
      </c>
      <c r="L452" s="16">
        <f>SUM(I452:K452)</f>
        <v>2785</v>
      </c>
    </row>
  </sheetData>
  <mergeCells count="3">
    <mergeCell ref="A1:I2"/>
    <mergeCell ref="J1:K1"/>
    <mergeCell ref="J2:K2"/>
  </mergeCells>
  <dataValidations count="1">
    <dataValidation type="list" allowBlank="1" showErrorMessage="1" sqref="J2">
      <formula1>District</formula1>
    </dataValidation>
  </dataValidations>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