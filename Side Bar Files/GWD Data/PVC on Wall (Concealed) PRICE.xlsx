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F8" i="1" l="1"/>
</calcChain>
</file>

<file path=xl/sharedStrings.xml><?xml version="1.0" encoding="utf-8"?>
<sst xmlns="http://schemas.openxmlformats.org/spreadsheetml/2006/main" count="978" uniqueCount="93">
  <si>
    <t>Sor/Spec Code</t>
  </si>
  <si>
    <t>MR Code</t>
  </si>
  <si>
    <t>Description</t>
  </si>
  <si>
    <t>Remarks</t>
  </si>
  <si>
    <t>Unit</t>
  </si>
  <si>
    <t>Quantity</t>
  </si>
  <si>
    <t>Rate (₹)</t>
  </si>
  <si>
    <t>Amount</t>
  </si>
  <si>
    <t>Label</t>
  </si>
  <si>
    <t>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t>
  </si>
  <si>
    <t>Header Unit</t>
  </si>
  <si>
    <t>metre</t>
  </si>
  <si>
    <t>Header Quantity</t>
  </si>
  <si>
    <t>Header Details</t>
  </si>
  <si>
    <t>Details of cost for 10 meter</t>
  </si>
  <si>
    <t>Material</t>
  </si>
  <si>
    <t>M</t>
  </si>
  <si>
    <t>MR38</t>
  </si>
  <si>
    <t>PVC pipe 15 mm outer dia. 12kgf/cm2 
(Adding 30% for fittings and wastage)</t>
  </si>
  <si>
    <t>M1</t>
  </si>
  <si>
    <t>TOTAL</t>
  </si>
  <si>
    <t>UNIT TOTAL</t>
  </si>
  <si>
    <t>Water Charge@ 1.00 %</t>
  </si>
  <si>
    <t>Contractors Profit &amp; Overhead@ 15.00 %</t>
  </si>
  <si>
    <t>Labour</t>
  </si>
  <si>
    <t>L</t>
  </si>
  <si>
    <t>Fitter(grade1)</t>
  </si>
  <si>
    <t>Day</t>
  </si>
  <si>
    <t>L1</t>
  </si>
  <si>
    <t>Assistant Fitter or 2nd class fitter</t>
  </si>
  <si>
    <t>L2</t>
  </si>
  <si>
    <t>Beldar</t>
  </si>
  <si>
    <t>L3</t>
  </si>
  <si>
    <t>Subdata</t>
  </si>
  <si>
    <t>Rate as per item Number 18.78 of SH: Water Supply
Water Supply : Making chases up to 7.5x7.5 cm in walls including making good and finishing with matching surface after housing G.Il pipe etc.
Making chases up to 7.5x7.5 cm in walls</t>
  </si>
  <si>
    <t>m</t>
  </si>
  <si>
    <t>S1</t>
  </si>
  <si>
    <t>/m</t>
  </si>
  <si>
    <t>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t>
  </si>
  <si>
    <t>Details of cost for 10 metre</t>
  </si>
  <si>
    <t>MR39</t>
  </si>
  <si>
    <t>PVC pipe 15 mm outer dia 10kgf/cm2
(Adding 30% for fittings and wastage)</t>
  </si>
  <si>
    <t>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t>
  </si>
  <si>
    <t>MR40</t>
  </si>
  <si>
    <t>PVC pipe 20 mm outer dia 12 kgf/cm2
(Adding 30% for fittings wastage)</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</si>
  <si>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t>
  </si>
  <si>
    <t>MR41</t>
  </si>
  <si>
    <t>PVC pipe 20 mm outer dia 10 kgf/cm2
(Adding 30% for fittings wastage)</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</si>
  <si>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t>
  </si>
  <si>
    <t>Details of cost for 10 m</t>
  </si>
  <si>
    <t>MR42</t>
  </si>
  <si>
    <t>PVC pipe 25 mm outer dia . 12 kgf/cm2
(Adding 30% for fittings and wastage)</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</si>
  <si>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t>
  </si>
  <si>
    <t>MR43</t>
  </si>
  <si>
    <t>PVC pipe 25 mm outer dia. 10kgf cm2
(Adding 30% for fittings and wastage)</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</si>
  <si>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t>
  </si>
  <si>
    <t>MR44</t>
  </si>
  <si>
    <t>PVC pipe 32 mm outer dia. 10Kgf/cm2
Add 30% for fittings and wastage etc</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</si>
  <si>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t>
  </si>
  <si>
    <t>PVC pipe 32 mm outer dia. 6Kgf/cm2
Add 30% for fittings and wastage etc</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</si>
  <si>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t>
  </si>
  <si>
    <t>Details of cost for 10 metre MATERIALS:</t>
  </si>
  <si>
    <t>MR46</t>
  </si>
  <si>
    <t>PVC pipe 40 mm outer dia. 10kgf/cm2
Add 30% for fitting and wastage etc on (A)</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</si>
  <si>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t>
  </si>
  <si>
    <t>MR47</t>
  </si>
  <si>
    <t>PVC pipe 40 mm outer dia. 6kgf/cm2
Add 30% for fitting and wastage etc on (A)</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</si>
  <si>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t>
  </si>
  <si>
    <t>MR48</t>
  </si>
  <si>
    <t>PVC pipe 50 mm outer dia. 10 kgf/cm2
(Adding 30% for fittings and wastage)</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</si>
  <si>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t>
  </si>
  <si>
    <t>MR49</t>
  </si>
  <si>
    <t>PVC pipe 50 mm outer dia.6kgf/cm2
(Adding 30% for fittings and wastage)</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</si>
  <si>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t>
  </si>
  <si>
    <t>MR50</t>
  </si>
  <si>
    <t>PVC pipe 63 mm outer dia 6kgf/cm2
(Adding 5% for wastage, etc)</t>
  </si>
  <si>
    <t>50.18.78</t>
  </si>
  <si>
    <t>Rate as per item Number 50.18.78 of SH: Approved Observed data
Approved Observed data : Making chases up to 12.5x12.5 cm in walls including making good and finishing with matching surface after housing pipe etc.
Making chases upto 12.5x12.5 cm in walls and making good the same</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</si>
  <si>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t>
  </si>
  <si>
    <t>MR51</t>
  </si>
  <si>
    <t>PVC pipe 63 mm outer dia 4kgf/cm2
(Adding 5% for wastage, etc)</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</si>
  <si>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t>
  </si>
  <si>
    <t>MR52</t>
  </si>
  <si>
    <t>PVC pipe 75 mm outer dia 6kgf/cm2
(Adding 5% for wastage, etc)</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</si>
  <si>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4 Kgf/cm2 (50.18.8.8.2)</t>
  </si>
  <si>
    <t>MR53</t>
  </si>
  <si>
    <t>PVC pipe 75 mm outer dia 4 kgf/cm2
(Adding 5% for wastage, etc)</t>
  </si>
  <si>
    <t>Providing and fixing PVC pipes, fittings including fixing the pipe with clamps at 1.00 m spacing. This includes jointing of pipes with one step PVC solvent cement and testing of joints complete as per direction of Engineer-in-Charge. Concealed work, including cutting chased and making good the wall etc. 110 mm pipe 6kgf/cm2 (50.18.8.9.1)</t>
  </si>
  <si>
    <t>MR54</t>
  </si>
  <si>
    <t>PVC pipe 110 mm outer dia 6kgf/cm2
(Adding 5% for wastage, etc)</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</si>
  <si>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110 mm pipe 4 kgf/cm2 (50.18.8.9.2)</t>
  </si>
  <si>
    <t>MR55</t>
  </si>
  <si>
    <t>PVC pipe 110 mm outer dia. 4kgf/cm2
(Adding 5% for wastage, etc)</t>
  </si>
</sst>
</file>

<file path=xl/styles.xml><?xml version="1.0" encoding="utf-8"?>
<styleSheet xmlns="http://schemas.openxmlformats.org/spreadsheetml/2006/main">
  <fonts count="6">
    <font>
      <sz val="10"/>
      <color theme="1"/>
      <name val="Arial"/>
      <family val="2"/>
    </font>
    <font>
      <sz val="12"/>
      <color rgb="FF212529"/>
      <name val="Cambria"/>
      <family val="2"/>
    </font>
    <font>
      <sz val="11"/>
      <color theme="1"/>
      <name val="Calibri"/>
      <family val="2"/>
    </font>
    <font>
      <b/>
      <sz val="12"/>
      <color rgb="FF212529"/>
      <name val="Cambria"/>
      <family val="2"/>
    </font>
    <font>
      <b/>
      <sz val="12"/>
      <color rgb="FFFFFFFF"/>
      <name val="Cambria"/>
      <family val="2"/>
    </font>
    <font>
      <sz val="11"/>
      <color rgb="FF000000"/>
      <name val="Calibri"/>
      <family val="2"/>
      <scheme val="minor"/>
    </font>
  </fonts>
  <fills count="5">
    <fill>
      <patternFill patternType="none"/>
    </fill>
    <fill>
      <patternFill patternType="gray125"/>
    </fill>
    <fill>
      <patternFill patternType="solid">
        <fgColor rgb="FF212529"/>
        <bgColor indexed="64"/>
      </patternFill>
    </fill>
    <fill>
      <patternFill patternType="solid">
        <fgColor rgb="FFFFFFFF"/>
        <bgColor indexed="64"/>
      </patternFill>
    </fill>
    <fill>
      <patternFill patternType="solid">
        <fgColor rgb="FFDEE2E6"/>
        <bgColor indexed="64"/>
      </patternFill>
    </fill>
  </fills>
  <borders count="7">
    <border>
      <left/>
      <right/>
      <top/>
      <bottom/>
      <diagonal/>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4" fillId="2" borderId="1" xfId="0" applyFont="1" applyBorder="1" applyAlignment="1">
      <alignment vertical="center" wrapText="1"/>
    </xf>
    <xf numFmtId="0" fontId="4" fillId="2" borderId="2" xfId="0" applyFont="1" applyBorder="1" applyAlignment="1">
      <alignment vertical="center" wrapText="1"/>
    </xf>
    <xf numFmtId="0" fontId="5" fillId="0" borderId="3" xfId="0" applyFont="1" applyBorder="1">
      <alignment/>
    </xf>
    <xf numFmtId="0" fontId="5" fillId="0" borderId="4" xfId="0" applyFont="1" applyBorder="1">
      <alignment/>
    </xf>
    <xf numFmtId="0" fontId="5" fillId="0" borderId="5" xfId="0" applyFont="1" applyBorder="1">
      <alignment/>
    </xf>
    <xf numFmtId="0" fontId="4" fillId="2" borderId="6" xfId="0" applyFont="1" applyBorder="1" applyAlignment="1">
      <alignment vertical="center" wrapText="1"/>
    </xf>
    <xf numFmtId="0" fontId="3" fillId="0" borderId="2" xfId="0" applyFont="1" applyBorder="1" applyAlignment="1">
      <alignment vertical="center" wrapText="1"/>
    </xf>
    <xf numFmtId="0" fontId="1" fillId="3" borderId="6" xfId="0" applyFont="1" applyBorder="1" applyAlignment="1">
      <alignment horizontal="center" vertical="center" wrapText="1"/>
    </xf>
    <xf numFmtId="0" fontId="1" fillId="3" borderId="6" xfId="0" applyFont="1" applyBorder="1" applyAlignment="1">
      <alignment horizontal="right" vertical="center" wrapText="1"/>
    </xf>
    <xf numFmtId="0" fontId="1" fillId="3" borderId="2" xfId="0" applyFont="1" applyBorder="1" applyAlignment="1">
      <alignment horizontal="left" vertical="center" wrapText="1"/>
    </xf>
    <xf numFmtId="0" fontId="1" fillId="4" borderId="2" xfId="0" applyFont="1" applyBorder="1" applyAlignment="1">
      <alignment horizontal="left" vertical="center" wrapText="1"/>
    </xf>
    <xf numFmtId="0" fontId="1" fillId="4" borderId="6" xfId="0" applyFont="1" applyBorder="1" applyAlignment="1">
      <alignment horizontal="center" vertical="center" wrapText="1"/>
    </xf>
    <xf numFmtId="0" fontId="1" fillId="3" borderId="1" xfId="0" applyFont="1" applyBorder="1" applyAlignment="1">
      <alignment horizontal="center" vertical="center" wrapText="1"/>
    </xf>
    <xf numFmtId="0" fontId="3" fillId="3" borderId="2" xfId="0" applyFont="1" applyBorder="1" applyAlignment="1">
      <alignment horizontal="center" vertical="center" wrapText="1"/>
    </xf>
    <xf numFmtId="0" fontId="1" fillId="3" borderId="6" xfId="0" applyFont="1" applyBorder="1" applyAlignment="1">
      <alignment horizontal="left" vertical="center" wrapText="1"/>
    </xf>
    <xf numFmtId="0" fontId="1" fillId="3" borderId="2" xfId="0" applyFont="1" applyBorder="1" applyAlignment="1">
      <alignment horizontal="center" vertical="center" wrapText="1"/>
    </xf>
    <xf numFmtId="0" fontId="3" fillId="3" borderId="6" xfId="0" applyFont="1" applyBorder="1" applyAlignment="1">
      <alignment horizontal="right" vertical="center" wrapText="1"/>
    </xf>
    <xf numFmtId="0" fontId="1" fillId="0" borderId="6" xfId="0" applyFont="1" applyBorder="1" applyAlignment="1">
      <alignment horizontal="right" vertical="center" wrapText="1"/>
    </xf>
    <xf numFmtId="0" fontId="3" fillId="4" borderId="2" xfId="0" applyFont="1" applyBorder="1" applyAlignment="1">
      <alignment horizontal="center" vertical="center" wrapText="1"/>
    </xf>
    <xf numFmtId="0" fontId="3" fillId="4" borderId="6" xfId="0" applyFont="1" applyBorder="1" applyAlignment="1">
      <alignment horizontal="left" vertical="center" wrapText="1"/>
    </xf>
    <xf numFmtId="0" fontId="2" fillId="3" borderId="1" xfId="0" applyFont="1" applyBorder="1">
      <alignment/>
    </xf>
    <xf numFmtId="0" fontId="1" fillId="3" borderId="2" xfId="0" applyFont="1" applyBorder="1" applyAlignment="1">
      <alignment wrapText="1"/>
    </xf>
    <xf numFmtId="0" fontId="2" fillId="3" borderId="2" xfId="0" applyFont="1" applyBorder="1">
      <alignment/>
    </xf>
    <xf numFmtId="0" fontId="1" fillId="3" borderId="6" xfId="0" applyFont="1" applyBorder="1" applyAlignment="1">
      <alignment horizontal="center" wrapText="1"/>
    </xf>
    <xf numFmtId="0" fontId="1" fillId="3" borderId="6" xfId="0" applyFont="1" applyBorder="1" applyAlignment="1">
      <alignment horizontal="right" wrapText="1"/>
    </xf>
    <xf numFmtId="0" fontId="1" fillId="3" borderId="1" xfId="0" applyFont="1" applyBorder="1" applyAlignment="1">
      <alignment horizontal="center" wrapText="1"/>
    </xf>
    <xf numFmtId="0" fontId="1" fillId="0" borderId="6" xfId="0" applyFont="1" applyBorder="1" applyAlignment="1">
      <alignment horizontal="center" vertical="center" wrapText="1"/>
    </xf>
    <xf numFmtId="0" fontId="1" fillId="0" borderId="2" xfId="0" applyFont="1" applyBorder="1" applyAlignment="1">
      <alignment horizontal="left" vertical="center" wrapText="1"/>
    </xf>
    <xf numFmtId="0" fontId="1" fillId="0" borderId="1" xfId="0"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worksheet" Target="worksheets/sheet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958770-2319-4609-B228-543C8AFEB9A7}">
  <dimension ref="A1:G558"/>
  <sheetViews>
    <sheetView tabSelected="1" workbookViewId="0" topLeftCell="A1"/>
  </sheetViews>
  <sheetFormatPr defaultRowHeight="12.75"/>
  <sheetData>
    <row r="1" spans="1:7" ht="12.75">
      <c r="A1" s="1" t="s">
        <v>0</v>
      </c>
      <c r="B1" s="1" t="s">
        <v>1</v>
      </c>
      <c r="C1" s="2" t="s">
        <v>2</v>
      </c>
      <c r="D1" s="3"/>
      <c r="E1" s="4"/>
      <c r="F1" s="2" t="s">
        <v>3</v>
      </c>
      <c r="G1" s="4"/>
    </row>
    <row r="2" spans="1:7" ht="12.75">
      <c r="A2" s="5"/>
      <c r="B2" s="5"/>
      <c r="C2" s="6" t="s">
        <v>4</v>
      </c>
      <c r="D2" s="6" t="s">
        <v>5</v>
      </c>
      <c r="E2" s="6" t="s">
        <v>6</v>
      </c>
      <c r="F2" s="6" t="s">
        <v>7</v>
      </c>
      <c r="G2" s="6" t="s">
        <v>8</v>
      </c>
    </row>
    <row r="3" spans="1:7" ht="12.75">
      <c r="A3" s="7" t="s">
        <v>9</v>
      </c>
      <c r="B3" s="3"/>
      <c r="C3" s="3"/>
      <c r="D3" s="3"/>
      <c r="E3" s="3"/>
      <c r="F3" s="3"/>
      <c r="G3" s="4"/>
    </row>
    <row r="4" spans="1:7" ht="12.75">
      <c r="A4" s="8"/>
      <c r="B4" s="8" t="s">
        <v>10</v>
      </c>
      <c r="C4" s="8" t="s">
        <v>11</v>
      </c>
      <c r="D4" s="8" t="s">
        <v>12</v>
      </c>
      <c r="E4" s="9">
        <v>10</v>
      </c>
      <c r="F4" s="10"/>
      <c r="G4" s="4"/>
    </row>
    <row r="5" spans="1:7" ht="12.75">
      <c r="A5" s="8" t="s">
        <v>13</v>
      </c>
      <c r="B5" s="10" t="s">
        <v>14</v>
      </c>
      <c r="C5" s="3"/>
      <c r="D5" s="3"/>
      <c r="E5" s="3"/>
      <c r="F5" s="3"/>
      <c r="G5" s="4"/>
    </row>
    <row r="6" spans="1:7" ht="12.75">
      <c r="A6" s="11" t="s">
        <v>15</v>
      </c>
      <c r="B6" s="3"/>
      <c r="C6" s="3"/>
      <c r="D6" s="3"/>
      <c r="E6" s="3"/>
      <c r="F6" s="4"/>
      <c r="G6" s="12" t="s">
        <v>16</v>
      </c>
    </row>
    <row r="7" spans="1:7" ht="12.75">
      <c r="A7" s="13"/>
      <c r="B7" s="13" t="s">
        <v>17</v>
      </c>
      <c r="C7" s="10" t="s">
        <v>18</v>
      </c>
      <c r="D7" s="3"/>
      <c r="E7" s="4"/>
      <c r="F7" s="10"/>
      <c r="G7" s="4"/>
    </row>
    <row r="8" spans="1:7" ht="12.75">
      <c r="A8" s="5"/>
      <c r="B8" s="5"/>
      <c r="C8" s="8" t="s">
        <v>11</v>
      </c>
      <c r="D8" s="9">
        <v>13</v>
      </c>
      <c r="E8" s="9">
        <v>38</v>
      </c>
      <c r="F8" s="9">
        <f>D8*E8</f>
        <v>494</v>
      </c>
      <c r="G8" s="8" t="s">
        <v>19</v>
      </c>
    </row>
    <row r="9" spans="1:7" ht="12.75">
      <c r="A9" s="14" t="s">
        <v>20</v>
      </c>
      <c r="B9" s="3"/>
      <c r="C9" s="4"/>
      <c r="D9" s="9">
        <v>10</v>
      </c>
      <c r="E9" s="15" t="s">
        <v>11</v>
      </c>
      <c r="F9" s="9">
        <f>F8</f>
        <v>494</v>
      </c>
      <c r="G9" s="8"/>
    </row>
    <row r="10" spans="1:7" ht="12.75">
      <c r="A10" s="14" t="s">
        <v>21</v>
      </c>
      <c r="B10" s="3"/>
      <c r="C10" s="4"/>
      <c r="D10" s="9">
        <v>1</v>
      </c>
      <c r="E10" s="15" t="s">
        <v>11</v>
      </c>
      <c r="F10" s="9">
        <f>F9/D9</f>
        <v>49.40</v>
      </c>
      <c r="G10" s="8"/>
    </row>
    <row r="11" spans="1:7" ht="12.75">
      <c r="A11" s="16" t="s">
        <v>22</v>
      </c>
      <c r="B11" s="3"/>
      <c r="C11" s="3"/>
      <c r="D11" s="4"/>
      <c r="E11" s="9"/>
      <c r="F11" s="9">
        <f>F10*1%</f>
        <v>0.49399999999999999</v>
      </c>
      <c r="G11" s="8"/>
    </row>
    <row r="12" spans="1:7" ht="12.75">
      <c r="A12" s="16" t="s">
        <v>20</v>
      </c>
      <c r="B12" s="3"/>
      <c r="C12" s="3"/>
      <c r="D12" s="4"/>
      <c r="E12" s="15"/>
      <c r="F12" s="9">
        <f>F10+F11</f>
        <v>49.893999999999998</v>
      </c>
      <c r="G12" s="8"/>
    </row>
    <row r="13" spans="1:7" ht="12.75">
      <c r="A13" s="16" t="s">
        <v>23</v>
      </c>
      <c r="B13" s="3"/>
      <c r="C13" s="3"/>
      <c r="D13" s="4"/>
      <c r="E13" s="9"/>
      <c r="F13" s="9">
        <f>F12*15%</f>
        <v>7.4840999999999998</v>
      </c>
      <c r="G13" s="8"/>
    </row>
    <row r="14" spans="1:7" ht="12.75">
      <c r="A14" s="16" t="s">
        <v>20</v>
      </c>
      <c r="B14" s="3"/>
      <c r="C14" s="3"/>
      <c r="D14" s="4"/>
      <c r="E14" s="15"/>
      <c r="F14" s="17">
        <f>ROUND(F12+F13,2)</f>
        <v>57.38</v>
      </c>
      <c r="G14" s="8"/>
    </row>
    <row r="15" spans="1:7" ht="12.75">
      <c r="A15" s="11" t="s">
        <v>24</v>
      </c>
      <c r="B15" s="3"/>
      <c r="C15" s="3"/>
      <c r="D15" s="3"/>
      <c r="E15" s="3"/>
      <c r="F15" s="4"/>
      <c r="G15" s="12" t="s">
        <v>25</v>
      </c>
    </row>
    <row r="16" spans="1:7" ht="12.75">
      <c r="A16" s="13">
        <v>116</v>
      </c>
      <c r="B16" s="13"/>
      <c r="C16" s="10" t="s">
        <v>26</v>
      </c>
      <c r="D16" s="3"/>
      <c r="E16" s="4"/>
      <c r="F16" s="10"/>
      <c r="G16" s="4"/>
    </row>
    <row r="17" spans="1:7" ht="12.75">
      <c r="A17" s="5"/>
      <c r="B17" s="5"/>
      <c r="C17" s="8" t="s">
        <v>27</v>
      </c>
      <c r="D17" s="9">
        <v>0.33</v>
      </c>
      <c r="E17" s="9">
        <v>784</v>
      </c>
      <c r="F17" s="9">
        <f>D17*E17</f>
        <v>258.72</v>
      </c>
      <c r="G17" s="8" t="s">
        <v>28</v>
      </c>
    </row>
    <row r="18" spans="1:7" ht="12.75">
      <c r="A18" s="13">
        <v>117</v>
      </c>
      <c r="B18" s="13"/>
      <c r="C18" s="10" t="s">
        <v>29</v>
      </c>
      <c r="D18" s="3"/>
      <c r="E18" s="4"/>
      <c r="F18" s="10"/>
      <c r="G18" s="4"/>
    </row>
    <row r="19" spans="1:7" ht="12.75">
      <c r="A19" s="5"/>
      <c r="B19" s="5"/>
      <c r="C19" s="8" t="s">
        <v>27</v>
      </c>
      <c r="D19" s="9">
        <v>0.66</v>
      </c>
      <c r="E19" s="9">
        <v>714</v>
      </c>
      <c r="F19" s="9">
        <f>D19*E19</f>
        <v>471.24</v>
      </c>
      <c r="G19" s="8" t="s">
        <v>30</v>
      </c>
    </row>
    <row r="20" spans="1:7" ht="12.75">
      <c r="A20" s="13">
        <v>114</v>
      </c>
      <c r="B20" s="13"/>
      <c r="C20" s="10" t="s">
        <v>31</v>
      </c>
      <c r="D20" s="3"/>
      <c r="E20" s="4"/>
      <c r="F20" s="10"/>
      <c r="G20" s="4"/>
    </row>
    <row r="21" spans="1:7" ht="12.75">
      <c r="A21" s="5"/>
      <c r="B21" s="5"/>
      <c r="C21" s="8" t="s">
        <v>27</v>
      </c>
      <c r="D21" s="9">
        <v>0.66</v>
      </c>
      <c r="E21" s="9">
        <v>645</v>
      </c>
      <c r="F21" s="9">
        <f>D21*E21</f>
        <v>425.70</v>
      </c>
      <c r="G21" s="8" t="s">
        <v>32</v>
      </c>
    </row>
    <row r="22" spans="1:7" ht="12.75">
      <c r="A22" s="11" t="s">
        <v>33</v>
      </c>
      <c r="B22" s="3"/>
      <c r="C22" s="3"/>
      <c r="D22" s="3"/>
      <c r="E22" s="3"/>
      <c r="F22" s="4"/>
      <c r="G22" s="12" t="s">
        <v>25</v>
      </c>
    </row>
    <row r="23" spans="1:7" ht="12.75">
      <c r="A23" s="13">
        <v>18.78</v>
      </c>
      <c r="B23" s="13"/>
      <c r="C23" s="10" t="s">
        <v>34</v>
      </c>
      <c r="D23" s="3"/>
      <c r="E23" s="4"/>
      <c r="F23" s="10"/>
      <c r="G23" s="4"/>
    </row>
    <row r="24" spans="1:7" ht="12.75">
      <c r="A24" s="5"/>
      <c r="B24" s="5"/>
      <c r="C24" s="8" t="s">
        <v>35</v>
      </c>
      <c r="D24" s="9">
        <v>10</v>
      </c>
      <c r="E24" s="9">
        <v>128.39</v>
      </c>
      <c r="F24" s="9">
        <f>D24*E24</f>
        <v>1283.90</v>
      </c>
      <c r="G24" s="8" t="s">
        <v>36</v>
      </c>
    </row>
    <row r="25" spans="1:7" ht="12.75">
      <c r="A25" s="14" t="s">
        <v>20</v>
      </c>
      <c r="B25" s="3"/>
      <c r="C25" s="4"/>
      <c r="D25" s="9">
        <v>10</v>
      </c>
      <c r="E25" s="15" t="s">
        <v>11</v>
      </c>
      <c r="F25" s="18">
        <f>F17+F19+F21+F24</f>
        <v>2439.56</v>
      </c>
      <c r="G25" s="15"/>
    </row>
    <row r="26" spans="1:7" ht="12.75">
      <c r="A26" s="14" t="s">
        <v>21</v>
      </c>
      <c r="B26" s="3"/>
      <c r="C26" s="4"/>
      <c r="D26" s="9">
        <v>1</v>
      </c>
      <c r="E26" s="15" t="s">
        <v>11</v>
      </c>
      <c r="F26" s="9">
        <f>F25/D25</f>
        <v>243.95599999999999</v>
      </c>
      <c r="G26" s="15"/>
    </row>
    <row r="27" spans="1:7" ht="12.75">
      <c r="A27" s="16" t="s">
        <v>22</v>
      </c>
      <c r="B27" s="3"/>
      <c r="C27" s="3"/>
      <c r="D27" s="4"/>
      <c r="E27" s="9"/>
      <c r="F27" s="9">
        <f>F26*1%</f>
        <v>2.4395600000000002</v>
      </c>
      <c r="G27" s="15"/>
    </row>
    <row r="28" spans="1:7" ht="12.75">
      <c r="A28" s="16" t="s">
        <v>20</v>
      </c>
      <c r="B28" s="3"/>
      <c r="C28" s="3"/>
      <c r="D28" s="4"/>
      <c r="E28" s="15"/>
      <c r="F28" s="9">
        <f>F26+F27</f>
        <v>246.39555999999999</v>
      </c>
      <c r="G28" s="15"/>
    </row>
    <row r="29" spans="1:7" ht="12.75">
      <c r="A29" s="16" t="s">
        <v>23</v>
      </c>
      <c r="B29" s="3"/>
      <c r="C29" s="3"/>
      <c r="D29" s="4"/>
      <c r="E29" s="9"/>
      <c r="F29" s="9">
        <f>F28*15%</f>
        <v>36.959333999999998</v>
      </c>
      <c r="G29" s="15"/>
    </row>
    <row r="30" spans="1:7" ht="12.75">
      <c r="A30" s="16" t="s">
        <v>20</v>
      </c>
      <c r="B30" s="3"/>
      <c r="C30" s="3"/>
      <c r="D30" s="4"/>
      <c r="E30" s="15"/>
      <c r="F30" s="17">
        <f>ROUND(F28+F29,2)</f>
        <v>283.35</v>
      </c>
      <c r="G30" s="15"/>
    </row>
    <row r="31" spans="1:7" ht="12.75">
      <c r="A31" s="19" t="str">
        <f>CONCATENATE("Say ₹ ",F14," + ",F30," x Cost Index")</f>
        <v>Say ₹ 57.38 + 283.35 x Cost Index</v>
      </c>
      <c r="B31" s="3"/>
      <c r="C31" s="3"/>
      <c r="D31" s="3"/>
      <c r="E31" s="3"/>
      <c r="F31" s="4"/>
      <c r="G31" s="20" t="s">
        <v>37</v>
      </c>
    </row>
    <row r="32" spans="1:7" ht="12.75">
      <c r="A32" s="1" t="s">
        <v>0</v>
      </c>
      <c r="B32" s="1" t="s">
        <v>1</v>
      </c>
      <c r="C32" s="2" t="s">
        <v>2</v>
      </c>
      <c r="D32" s="3"/>
      <c r="E32" s="4"/>
      <c r="F32" s="2" t="s">
        <v>3</v>
      </c>
      <c r="G32" s="4"/>
    </row>
    <row r="33" spans="1:7" ht="12.75">
      <c r="A33" s="5"/>
      <c r="B33" s="5"/>
      <c r="C33" s="6" t="s">
        <v>4</v>
      </c>
      <c r="D33" s="6" t="s">
        <v>5</v>
      </c>
      <c r="E33" s="6" t="s">
        <v>6</v>
      </c>
      <c r="F33" s="6" t="s">
        <v>7</v>
      </c>
      <c r="G33" s="6" t="s">
        <v>8</v>
      </c>
    </row>
    <row r="34" spans="1:7" ht="12.75">
      <c r="A34" s="7" t="s">
        <v>38</v>
      </c>
      <c r="B34" s="3"/>
      <c r="C34" s="3"/>
      <c r="D34" s="3"/>
      <c r="E34" s="3"/>
      <c r="F34" s="3"/>
      <c r="G34" s="4"/>
    </row>
    <row r="35" spans="1:7" ht="12.75">
      <c r="A35" s="8"/>
      <c r="B35" s="8" t="s">
        <v>10</v>
      </c>
      <c r="C35" s="8" t="s">
        <v>11</v>
      </c>
      <c r="D35" s="8" t="s">
        <v>12</v>
      </c>
      <c r="E35" s="9">
        <v>10</v>
      </c>
      <c r="F35" s="10"/>
      <c r="G35" s="4"/>
    </row>
    <row r="36" spans="1:7" ht="12.75">
      <c r="A36" s="8" t="s">
        <v>13</v>
      </c>
      <c r="B36" s="10" t="s">
        <v>39</v>
      </c>
      <c r="C36" s="3"/>
      <c r="D36" s="3"/>
      <c r="E36" s="3"/>
      <c r="F36" s="3"/>
      <c r="G36" s="4"/>
    </row>
    <row r="37" spans="1:7" ht="12.75">
      <c r="A37" s="11" t="s">
        <v>15</v>
      </c>
      <c r="B37" s="3"/>
      <c r="C37" s="3"/>
      <c r="D37" s="3"/>
      <c r="E37" s="3"/>
      <c r="F37" s="4"/>
      <c r="G37" s="12" t="s">
        <v>16</v>
      </c>
    </row>
    <row r="38" spans="1:7" ht="12.75">
      <c r="A38" s="13"/>
      <c r="B38" s="13" t="s">
        <v>40</v>
      </c>
      <c r="C38" s="10" t="s">
        <v>41</v>
      </c>
      <c r="D38" s="3"/>
      <c r="E38" s="4"/>
      <c r="F38" s="10"/>
      <c r="G38" s="4"/>
    </row>
    <row r="39" spans="1:7" ht="12.75">
      <c r="A39" s="5"/>
      <c r="B39" s="5"/>
      <c r="C39" s="8" t="s">
        <v>11</v>
      </c>
      <c r="D39" s="9">
        <v>13</v>
      </c>
      <c r="E39" s="9">
        <v>27</v>
      </c>
      <c r="F39" s="9">
        <f>E39*D39</f>
        <v>351</v>
      </c>
      <c r="G39" s="8" t="s">
        <v>19</v>
      </c>
    </row>
    <row r="40" spans="1:7" ht="12.75">
      <c r="A40" s="14" t="s">
        <v>20</v>
      </c>
      <c r="B40" s="3"/>
      <c r="C40" s="4"/>
      <c r="D40" s="9">
        <v>10</v>
      </c>
      <c r="E40" s="15" t="s">
        <v>11</v>
      </c>
      <c r="F40" s="9">
        <f>F39</f>
        <v>351</v>
      </c>
      <c r="G40" s="8"/>
    </row>
    <row r="41" spans="1:7" ht="12.75">
      <c r="A41" s="14" t="s">
        <v>21</v>
      </c>
      <c r="B41" s="3"/>
      <c r="C41" s="4"/>
      <c r="D41" s="9">
        <v>1</v>
      </c>
      <c r="E41" s="15" t="s">
        <v>11</v>
      </c>
      <c r="F41" s="9">
        <f>F40/D40</f>
        <v>35.10</v>
      </c>
      <c r="G41" s="8"/>
    </row>
    <row r="42" spans="1:7" ht="12.75">
      <c r="A42" s="16" t="s">
        <v>22</v>
      </c>
      <c r="B42" s="3"/>
      <c r="C42" s="3"/>
      <c r="D42" s="4"/>
      <c r="E42" s="9"/>
      <c r="F42" s="9">
        <f>F41*1%</f>
        <v>0.35099999999999998</v>
      </c>
      <c r="G42" s="8"/>
    </row>
    <row r="43" spans="1:7" ht="12.75">
      <c r="A43" s="16" t="s">
        <v>20</v>
      </c>
      <c r="B43" s="3"/>
      <c r="C43" s="3"/>
      <c r="D43" s="4"/>
      <c r="E43" s="15"/>
      <c r="F43" s="9">
        <f>F41+F42</f>
        <v>35.451000000000001</v>
      </c>
      <c r="G43" s="8"/>
    </row>
    <row r="44" spans="1:7" ht="12.75">
      <c r="A44" s="16" t="s">
        <v>23</v>
      </c>
      <c r="B44" s="3"/>
      <c r="C44" s="3"/>
      <c r="D44" s="4"/>
      <c r="E44" s="9"/>
      <c r="F44" s="9">
        <f>F43*15%</f>
        <v>5.3176500000000004</v>
      </c>
      <c r="G44" s="8"/>
    </row>
    <row r="45" spans="1:7" ht="12.75">
      <c r="A45" s="16" t="s">
        <v>20</v>
      </c>
      <c r="B45" s="3"/>
      <c r="C45" s="3"/>
      <c r="D45" s="4"/>
      <c r="E45" s="15"/>
      <c r="F45" s="17">
        <f>ROUND(F43+F44,2)</f>
        <v>40.77</v>
      </c>
      <c r="G45" s="8"/>
    </row>
    <row r="46" spans="1:7" ht="12.75">
      <c r="A46" s="11" t="s">
        <v>24</v>
      </c>
      <c r="B46" s="3"/>
      <c r="C46" s="3"/>
      <c r="D46" s="3"/>
      <c r="E46" s="3"/>
      <c r="F46" s="4"/>
      <c r="G46" s="12" t="s">
        <v>25</v>
      </c>
    </row>
    <row r="47" spans="1:7" ht="12.75">
      <c r="A47" s="13">
        <v>116</v>
      </c>
      <c r="B47" s="13"/>
      <c r="C47" s="10" t="s">
        <v>26</v>
      </c>
      <c r="D47" s="3"/>
      <c r="E47" s="4"/>
      <c r="F47" s="10"/>
      <c r="G47" s="4"/>
    </row>
    <row r="48" spans="1:7" ht="12.75">
      <c r="A48" s="5"/>
      <c r="B48" s="5"/>
      <c r="C48" s="8" t="s">
        <v>27</v>
      </c>
      <c r="D48" s="9">
        <v>0.33</v>
      </c>
      <c r="E48" s="9">
        <v>784</v>
      </c>
      <c r="F48" s="9">
        <f>E48*D48</f>
        <v>258.72</v>
      </c>
      <c r="G48" s="8" t="s">
        <v>28</v>
      </c>
    </row>
    <row r="49" spans="1:7" ht="12.75">
      <c r="A49" s="13">
        <v>117</v>
      </c>
      <c r="B49" s="13"/>
      <c r="C49" s="10" t="s">
        <v>29</v>
      </c>
      <c r="D49" s="3"/>
      <c r="E49" s="4"/>
      <c r="F49" s="10"/>
      <c r="G49" s="4"/>
    </row>
    <row r="50" spans="1:7" ht="12.75">
      <c r="A50" s="5"/>
      <c r="B50" s="5"/>
      <c r="C50" s="8" t="s">
        <v>27</v>
      </c>
      <c r="D50" s="9">
        <v>0.66</v>
      </c>
      <c r="E50" s="9">
        <v>714</v>
      </c>
      <c r="F50" s="9">
        <f>E50*D50</f>
        <v>471.24</v>
      </c>
      <c r="G50" s="8" t="s">
        <v>30</v>
      </c>
    </row>
    <row r="51" spans="1:7" ht="12.75">
      <c r="A51" s="13">
        <v>114</v>
      </c>
      <c r="B51" s="13"/>
      <c r="C51" s="10" t="s">
        <v>31</v>
      </c>
      <c r="D51" s="3"/>
      <c r="E51" s="4"/>
      <c r="F51" s="10"/>
      <c r="G51" s="4"/>
    </row>
    <row r="52" spans="1:7" ht="12.75">
      <c r="A52" s="5"/>
      <c r="B52" s="5"/>
      <c r="C52" s="8" t="s">
        <v>27</v>
      </c>
      <c r="D52" s="9">
        <v>0.66</v>
      </c>
      <c r="E52" s="9">
        <v>645</v>
      </c>
      <c r="F52" s="9">
        <f>E52*D52</f>
        <v>425.70</v>
      </c>
      <c r="G52" s="8" t="s">
        <v>32</v>
      </c>
    </row>
    <row r="53" spans="1:7" ht="12.75">
      <c r="A53" s="11" t="s">
        <v>33</v>
      </c>
      <c r="B53" s="3"/>
      <c r="C53" s="3"/>
      <c r="D53" s="3"/>
      <c r="E53" s="3"/>
      <c r="F53" s="4"/>
      <c r="G53" s="12" t="s">
        <v>25</v>
      </c>
    </row>
    <row r="54" spans="1:7" ht="12.75">
      <c r="A54" s="13">
        <v>18.78</v>
      </c>
      <c r="B54" s="13"/>
      <c r="C54" s="10" t="s">
        <v>34</v>
      </c>
      <c r="D54" s="3"/>
      <c r="E54" s="4"/>
      <c r="F54" s="10"/>
      <c r="G54" s="4"/>
    </row>
    <row r="55" spans="1:7" ht="12.75">
      <c r="A55" s="5"/>
      <c r="B55" s="5"/>
      <c r="C55" s="8" t="s">
        <v>35</v>
      </c>
      <c r="D55" s="9">
        <v>10</v>
      </c>
      <c r="E55" s="9">
        <v>128.39</v>
      </c>
      <c r="F55" s="9">
        <f>D55*E55</f>
        <v>1283.90</v>
      </c>
      <c r="G55" s="8" t="s">
        <v>36</v>
      </c>
    </row>
    <row r="56" spans="1:7" ht="12.75">
      <c r="A56" s="14" t="s">
        <v>20</v>
      </c>
      <c r="B56" s="3"/>
      <c r="C56" s="4"/>
      <c r="D56" s="9">
        <v>10</v>
      </c>
      <c r="E56" s="15" t="s">
        <v>11</v>
      </c>
      <c r="F56" s="18">
        <f>F48+F50+F52+F55</f>
        <v>2439.56</v>
      </c>
      <c r="G56" s="15"/>
    </row>
    <row r="57" spans="1:7" ht="12.75">
      <c r="A57" s="14" t="s">
        <v>21</v>
      </c>
      <c r="B57" s="3"/>
      <c r="C57" s="4"/>
      <c r="D57" s="9">
        <v>1</v>
      </c>
      <c r="E57" s="15" t="s">
        <v>11</v>
      </c>
      <c r="F57" s="9">
        <f>F56/D56</f>
        <v>243.95599999999999</v>
      </c>
      <c r="G57" s="15"/>
    </row>
    <row r="58" spans="1:7" ht="12.75">
      <c r="A58" s="16" t="s">
        <v>22</v>
      </c>
      <c r="B58" s="3"/>
      <c r="C58" s="3"/>
      <c r="D58" s="4"/>
      <c r="E58" s="9"/>
      <c r="F58" s="9">
        <f>F57*1%</f>
        <v>2.4395600000000002</v>
      </c>
      <c r="G58" s="15"/>
    </row>
    <row r="59" spans="1:7" ht="12.75">
      <c r="A59" s="16" t="s">
        <v>20</v>
      </c>
      <c r="B59" s="3"/>
      <c r="C59" s="3"/>
      <c r="D59" s="4"/>
      <c r="E59" s="15"/>
      <c r="F59" s="9">
        <f>F57+F58</f>
        <v>246.39555999999999</v>
      </c>
      <c r="G59" s="15"/>
    </row>
    <row r="60" spans="1:7" ht="12.75">
      <c r="A60" s="16" t="s">
        <v>23</v>
      </c>
      <c r="B60" s="3"/>
      <c r="C60" s="3"/>
      <c r="D60" s="4"/>
      <c r="E60" s="9"/>
      <c r="F60" s="9">
        <f>F59*15%</f>
        <v>36.959333999999998</v>
      </c>
      <c r="G60" s="15"/>
    </row>
    <row r="61" spans="1:7" ht="12.75">
      <c r="A61" s="16" t="s">
        <v>20</v>
      </c>
      <c r="B61" s="3"/>
      <c r="C61" s="3"/>
      <c r="D61" s="4"/>
      <c r="E61" s="15"/>
      <c r="F61" s="17">
        <f>ROUND(F59+F60,2)</f>
        <v>283.35</v>
      </c>
      <c r="G61" s="15"/>
    </row>
    <row r="62" spans="1:7" ht="12.75">
      <c r="A62" s="19" t="str">
        <f>CONCATENATE("Say ₹ ",F45," + ",F61," x Cost Index")</f>
        <v>Say ₹ 40.77 + 283.35 x Cost Index</v>
      </c>
      <c r="B62" s="3"/>
      <c r="C62" s="3"/>
      <c r="D62" s="3"/>
      <c r="E62" s="3"/>
      <c r="F62" s="4"/>
      <c r="G62" s="20" t="s">
        <v>37</v>
      </c>
    </row>
    <row r="63" spans="1:7" ht="12.75">
      <c r="A63" s="1" t="s">
        <v>0</v>
      </c>
      <c r="B63" s="1" t="s">
        <v>1</v>
      </c>
      <c r="C63" s="2" t="s">
        <v>2</v>
      </c>
      <c r="D63" s="3"/>
      <c r="E63" s="4"/>
      <c r="F63" s="2" t="s">
        <v>3</v>
      </c>
      <c r="G63" s="4"/>
    </row>
    <row r="64" spans="1:7" ht="12.75">
      <c r="A64" s="5"/>
      <c r="B64" s="5"/>
      <c r="C64" s="6" t="s">
        <v>4</v>
      </c>
      <c r="D64" s="6" t="s">
        <v>5</v>
      </c>
      <c r="E64" s="6" t="s">
        <v>6</v>
      </c>
      <c r="F64" s="6" t="s">
        <v>7</v>
      </c>
      <c r="G64" s="6" t="s">
        <v>8</v>
      </c>
    </row>
    <row r="65" spans="1:7" ht="12.75">
      <c r="A65" s="7" t="s">
        <v>42</v>
      </c>
      <c r="B65" s="3"/>
      <c r="C65" s="3"/>
      <c r="D65" s="3"/>
      <c r="E65" s="3"/>
      <c r="F65" s="3"/>
      <c r="G65" s="4"/>
    </row>
    <row r="66" spans="1:7" ht="12.75">
      <c r="A66" s="8"/>
      <c r="B66" s="8" t="s">
        <v>10</v>
      </c>
      <c r="C66" s="8" t="s">
        <v>11</v>
      </c>
      <c r="D66" s="8" t="s">
        <v>12</v>
      </c>
      <c r="E66" s="9">
        <v>10</v>
      </c>
      <c r="F66" s="10"/>
      <c r="G66" s="4"/>
    </row>
    <row r="67" spans="1:7" ht="12.75">
      <c r="A67" s="8" t="s">
        <v>13</v>
      </c>
      <c r="B67" s="10" t="s">
        <v>39</v>
      </c>
      <c r="C67" s="3"/>
      <c r="D67" s="3"/>
      <c r="E67" s="3"/>
      <c r="F67" s="3"/>
      <c r="G67" s="4"/>
    </row>
    <row r="68" spans="1:7" ht="12.75">
      <c r="A68" s="11" t="s">
        <v>15</v>
      </c>
      <c r="B68" s="3"/>
      <c r="C68" s="3"/>
      <c r="D68" s="3"/>
      <c r="E68" s="3"/>
      <c r="F68" s="4"/>
      <c r="G68" s="12" t="s">
        <v>16</v>
      </c>
    </row>
    <row r="69" spans="1:7" ht="12.75">
      <c r="A69" s="13"/>
      <c r="B69" s="13" t="s">
        <v>43</v>
      </c>
      <c r="C69" s="10" t="s">
        <v>44</v>
      </c>
      <c r="D69" s="3"/>
      <c r="E69" s="4"/>
      <c r="F69" s="10"/>
      <c r="G69" s="4"/>
    </row>
    <row r="70" spans="1:7" ht="12.75">
      <c r="A70" s="5"/>
      <c r="B70" s="5"/>
      <c r="C70" s="8" t="s">
        <v>11</v>
      </c>
      <c r="D70" s="9">
        <v>13</v>
      </c>
      <c r="E70" s="9">
        <v>40.50</v>
      </c>
      <c r="F70" s="9">
        <f>E70*D70</f>
        <v>526.50</v>
      </c>
      <c r="G70" s="8" t="s">
        <v>19</v>
      </c>
    </row>
    <row r="71" spans="1:7" ht="12.75">
      <c r="A71" s="14" t="s">
        <v>20</v>
      </c>
      <c r="B71" s="3"/>
      <c r="C71" s="4"/>
      <c r="D71" s="9">
        <v>10</v>
      </c>
      <c r="E71" s="15" t="s">
        <v>11</v>
      </c>
      <c r="F71" s="9">
        <f>F70</f>
        <v>526.50</v>
      </c>
      <c r="G71" s="8"/>
    </row>
    <row r="72" spans="1:7" ht="12.75">
      <c r="A72" s="14" t="s">
        <v>21</v>
      </c>
      <c r="B72" s="3"/>
      <c r="C72" s="4"/>
      <c r="D72" s="9">
        <v>1</v>
      </c>
      <c r="E72" s="15" t="s">
        <v>11</v>
      </c>
      <c r="F72" s="9">
        <f>F71/D71</f>
        <v>52.65</v>
      </c>
      <c r="G72" s="8"/>
    </row>
    <row r="73" spans="1:7" ht="12.75">
      <c r="A73" s="16" t="s">
        <v>22</v>
      </c>
      <c r="B73" s="3"/>
      <c r="C73" s="3"/>
      <c r="D73" s="4"/>
      <c r="E73" s="9"/>
      <c r="F73" s="9">
        <f>F72*1%</f>
        <v>0.52649999999999997</v>
      </c>
      <c r="G73" s="8"/>
    </row>
    <row r="74" spans="1:7" ht="12.75">
      <c r="A74" s="16" t="s">
        <v>20</v>
      </c>
      <c r="B74" s="3"/>
      <c r="C74" s="3"/>
      <c r="D74" s="4"/>
      <c r="E74" s="15"/>
      <c r="F74" s="9">
        <f>F72+F73</f>
        <v>53.176499999999997</v>
      </c>
      <c r="G74" s="8"/>
    </row>
    <row r="75" spans="1:7" ht="12.75">
      <c r="A75" s="16" t="s">
        <v>23</v>
      </c>
      <c r="B75" s="3"/>
      <c r="C75" s="3"/>
      <c r="D75" s="4"/>
      <c r="E75" s="9"/>
      <c r="F75" s="9">
        <f>F74*15%</f>
        <v>7.9764749999999998</v>
      </c>
      <c r="G75" s="8"/>
    </row>
    <row r="76" spans="1:7" ht="12.75">
      <c r="A76" s="16" t="s">
        <v>20</v>
      </c>
      <c r="B76" s="3"/>
      <c r="C76" s="3"/>
      <c r="D76" s="4"/>
      <c r="E76" s="15"/>
      <c r="F76" s="17">
        <f>ROUND(F74+F75,2)</f>
        <v>61.15</v>
      </c>
      <c r="G76" s="8"/>
    </row>
    <row r="77" spans="1:7" ht="12.75">
      <c r="A77" s="11" t="s">
        <v>24</v>
      </c>
      <c r="B77" s="3"/>
      <c r="C77" s="3"/>
      <c r="D77" s="3"/>
      <c r="E77" s="3"/>
      <c r="F77" s="4"/>
      <c r="G77" s="12" t="s">
        <v>25</v>
      </c>
    </row>
    <row r="78" spans="1:7" ht="12.75">
      <c r="A78" s="13">
        <v>116</v>
      </c>
      <c r="B78" s="13"/>
      <c r="C78" s="10" t="s">
        <v>26</v>
      </c>
      <c r="D78" s="3"/>
      <c r="E78" s="4"/>
      <c r="F78" s="10"/>
      <c r="G78" s="4"/>
    </row>
    <row r="79" spans="1:7" ht="12.75">
      <c r="A79" s="5"/>
      <c r="B79" s="5"/>
      <c r="C79" s="8" t="s">
        <v>27</v>
      </c>
      <c r="D79" s="9">
        <v>0.33</v>
      </c>
      <c r="E79" s="9">
        <v>784</v>
      </c>
      <c r="F79" s="9">
        <f>E79*D79</f>
        <v>258.72</v>
      </c>
      <c r="G79" s="8" t="s">
        <v>28</v>
      </c>
    </row>
    <row r="80" spans="1:7" ht="12.75">
      <c r="A80" s="13">
        <v>117</v>
      </c>
      <c r="B80" s="13"/>
      <c r="C80" s="10" t="s">
        <v>29</v>
      </c>
      <c r="D80" s="3"/>
      <c r="E80" s="4"/>
      <c r="F80" s="10"/>
      <c r="G80" s="4"/>
    </row>
    <row r="81" spans="1:7" ht="12.75">
      <c r="A81" s="5"/>
      <c r="B81" s="5"/>
      <c r="C81" s="8" t="s">
        <v>27</v>
      </c>
      <c r="D81" s="9">
        <v>0.66</v>
      </c>
      <c r="E81" s="9">
        <v>714</v>
      </c>
      <c r="F81" s="9">
        <f>E81*D81</f>
        <v>471.24</v>
      </c>
      <c r="G81" s="8" t="s">
        <v>30</v>
      </c>
    </row>
    <row r="82" spans="1:7" ht="12.75">
      <c r="A82" s="13">
        <v>114</v>
      </c>
      <c r="B82" s="13"/>
      <c r="C82" s="10" t="s">
        <v>31</v>
      </c>
      <c r="D82" s="3"/>
      <c r="E82" s="4"/>
      <c r="F82" s="10"/>
      <c r="G82" s="4"/>
    </row>
    <row r="83" spans="1:7" ht="12.75">
      <c r="A83" s="5"/>
      <c r="B83" s="5"/>
      <c r="C83" s="8" t="s">
        <v>27</v>
      </c>
      <c r="D83" s="9">
        <v>0.66</v>
      </c>
      <c r="E83" s="9">
        <v>645</v>
      </c>
      <c r="F83" s="9">
        <f>E83*D83</f>
        <v>425.70</v>
      </c>
      <c r="G83" s="8" t="s">
        <v>32</v>
      </c>
    </row>
    <row r="84" spans="1:7" ht="12.75">
      <c r="A84" s="11" t="s">
        <v>33</v>
      </c>
      <c r="B84" s="3"/>
      <c r="C84" s="3"/>
      <c r="D84" s="3"/>
      <c r="E84" s="3"/>
      <c r="F84" s="4"/>
      <c r="G84" s="12" t="s">
        <v>25</v>
      </c>
    </row>
    <row r="85" spans="1:7" ht="12.75">
      <c r="A85" s="13">
        <v>18.78</v>
      </c>
      <c r="B85" s="21"/>
      <c r="C85" s="22" t="s">
        <v>34</v>
      </c>
      <c r="D85" s="3"/>
      <c r="E85" s="4"/>
      <c r="F85" s="23"/>
      <c r="G85" s="4"/>
    </row>
    <row r="86" spans="1:7" ht="12.75">
      <c r="A86" s="5"/>
      <c r="B86" s="5"/>
      <c r="C86" s="24" t="s">
        <v>35</v>
      </c>
      <c r="D86" s="25">
        <v>10</v>
      </c>
      <c r="E86" s="25">
        <v>128.39</v>
      </c>
      <c r="F86" s="25">
        <f>D86*E86</f>
        <v>1283.90</v>
      </c>
      <c r="G86" s="24" t="s">
        <v>36</v>
      </c>
    </row>
    <row r="87" spans="1:7" ht="12.75">
      <c r="A87" s="14" t="s">
        <v>20</v>
      </c>
      <c r="B87" s="3"/>
      <c r="C87" s="4"/>
      <c r="D87" s="9">
        <v>10</v>
      </c>
      <c r="E87" s="15" t="s">
        <v>11</v>
      </c>
      <c r="F87" s="18">
        <f>F79+F81+F83+F86</f>
        <v>2439.56</v>
      </c>
      <c r="G87" s="15"/>
    </row>
    <row r="88" spans="1:7" ht="12.75">
      <c r="A88" s="14" t="s">
        <v>21</v>
      </c>
      <c r="B88" s="3"/>
      <c r="C88" s="4"/>
      <c r="D88" s="9">
        <v>1</v>
      </c>
      <c r="E88" s="15" t="s">
        <v>11</v>
      </c>
      <c r="F88" s="9">
        <f>F87/D87</f>
        <v>243.95599999999999</v>
      </c>
      <c r="G88" s="15"/>
    </row>
    <row r="89" spans="1:7" ht="12.75">
      <c r="A89" s="16" t="s">
        <v>22</v>
      </c>
      <c r="B89" s="3"/>
      <c r="C89" s="3"/>
      <c r="D89" s="4"/>
      <c r="E89" s="9"/>
      <c r="F89" s="9">
        <f>F88*1%</f>
        <v>2.4395600000000002</v>
      </c>
      <c r="G89" s="15"/>
    </row>
    <row r="90" spans="1:7" ht="12.75">
      <c r="A90" s="16" t="s">
        <v>20</v>
      </c>
      <c r="B90" s="3"/>
      <c r="C90" s="3"/>
      <c r="D90" s="4"/>
      <c r="E90" s="15"/>
      <c r="F90" s="9">
        <f>F88+F89</f>
        <v>246.39555999999999</v>
      </c>
      <c r="G90" s="15"/>
    </row>
    <row r="91" spans="1:7" ht="12.75">
      <c r="A91" s="16" t="s">
        <v>23</v>
      </c>
      <c r="B91" s="3"/>
      <c r="C91" s="3"/>
      <c r="D91" s="4"/>
      <c r="E91" s="9"/>
      <c r="F91" s="9">
        <f>F90*15%</f>
        <v>36.959333999999998</v>
      </c>
      <c r="G91" s="15"/>
    </row>
    <row r="92" spans="1:7" ht="12.75">
      <c r="A92" s="16" t="s">
        <v>20</v>
      </c>
      <c r="B92" s="3"/>
      <c r="C92" s="3"/>
      <c r="D92" s="4"/>
      <c r="E92" s="15"/>
      <c r="F92" s="17">
        <f>ROUND(F90+F91,2)</f>
        <v>283.35</v>
      </c>
      <c r="G92" s="15"/>
    </row>
    <row r="93" spans="1:7" ht="12.75">
      <c r="A93" s="19" t="str">
        <f>CONCATENATE("Say ₹ ",F76," + ",F92," x Cost Index")</f>
        <v>Say ₹ 61.15 + 283.35 x Cost Index</v>
      </c>
      <c r="B93" s="3"/>
      <c r="C93" s="3"/>
      <c r="D93" s="3"/>
      <c r="E93" s="3"/>
      <c r="F93" s="4"/>
      <c r="G93" s="20" t="s">
        <v>37</v>
      </c>
    </row>
    <row r="94" spans="1:7" ht="12.75">
      <c r="A94" s="1" t="s">
        <v>0</v>
      </c>
      <c r="B94" s="1" t="s">
        <v>1</v>
      </c>
      <c r="C94" s="2" t="s">
        <v>2</v>
      </c>
      <c r="D94" s="3"/>
      <c r="E94" s="4"/>
      <c r="F94" s="2" t="s">
        <v>3</v>
      </c>
      <c r="G94" s="4"/>
    </row>
    <row r="95" spans="1:7" ht="12.75">
      <c r="A95" s="5"/>
      <c r="B95" s="5"/>
      <c r="C95" s="6" t="s">
        <v>4</v>
      </c>
      <c r="D95" s="6" t="s">
        <v>5</v>
      </c>
      <c r="E95" s="6" t="s">
        <v>6</v>
      </c>
      <c r="F95" s="6" t="s">
        <v>7</v>
      </c>
      <c r="G95" s="6" t="s">
        <v>8</v>
      </c>
    </row>
    <row r="96" spans="1:7" ht="12.75">
      <c r="A96" s="7" t="s">
        <v>45</v>
      </c>
      <c r="B96" s="3"/>
      <c r="C96" s="3"/>
      <c r="D96" s="3"/>
      <c r="E96" s="3"/>
      <c r="F96" s="3"/>
      <c r="G96" s="4"/>
    </row>
    <row r="97" spans="1:7" ht="12.75">
      <c r="A97" s="8"/>
      <c r="B97" s="8" t="s">
        <v>10</v>
      </c>
      <c r="C97" s="8" t="s">
        <v>11</v>
      </c>
      <c r="D97" s="8" t="s">
        <v>12</v>
      </c>
      <c r="E97" s="9">
        <v>10</v>
      </c>
      <c r="F97" s="10"/>
      <c r="G97" s="4"/>
    </row>
    <row r="98" spans="1:7" ht="12.75">
      <c r="A98" s="8" t="s">
        <v>13</v>
      </c>
      <c r="B98" s="10" t="s">
        <v>39</v>
      </c>
      <c r="C98" s="3"/>
      <c r="D98" s="3"/>
      <c r="E98" s="3"/>
      <c r="F98" s="3"/>
      <c r="G98" s="4"/>
    </row>
    <row r="99" spans="1:7" ht="12.75">
      <c r="A99" s="11" t="s">
        <v>15</v>
      </c>
      <c r="B99" s="3"/>
      <c r="C99" s="3"/>
      <c r="D99" s="3"/>
      <c r="E99" s="3"/>
      <c r="F99" s="4"/>
      <c r="G99" s="12" t="s">
        <v>16</v>
      </c>
    </row>
    <row r="100" spans="1:7" ht="12.75">
      <c r="A100" s="13"/>
      <c r="B100" s="13" t="s">
        <v>46</v>
      </c>
      <c r="C100" s="10" t="s">
        <v>47</v>
      </c>
      <c r="D100" s="3"/>
      <c r="E100" s="4"/>
      <c r="F100" s="10"/>
      <c r="G100" s="4"/>
    </row>
    <row r="101" spans="1:7" ht="12.75">
      <c r="A101" s="5"/>
      <c r="B101" s="5"/>
      <c r="C101" s="8" t="s">
        <v>11</v>
      </c>
      <c r="D101" s="9">
        <v>13</v>
      </c>
      <c r="E101" s="9">
        <v>30</v>
      </c>
      <c r="F101" s="9">
        <f>E101*D101</f>
        <v>390</v>
      </c>
      <c r="G101" s="8" t="s">
        <v>19</v>
      </c>
    </row>
    <row r="102" spans="1:7" ht="12.75">
      <c r="A102" s="14" t="s">
        <v>20</v>
      </c>
      <c r="B102" s="3"/>
      <c r="C102" s="4"/>
      <c r="D102" s="9">
        <v>10</v>
      </c>
      <c r="E102" s="15" t="s">
        <v>11</v>
      </c>
      <c r="F102" s="9">
        <f>F101</f>
        <v>390</v>
      </c>
      <c r="G102" s="8"/>
    </row>
    <row r="103" spans="1:7" ht="12.75">
      <c r="A103" s="14" t="s">
        <v>21</v>
      </c>
      <c r="B103" s="3"/>
      <c r="C103" s="4"/>
      <c r="D103" s="9">
        <v>1</v>
      </c>
      <c r="E103" s="15" t="s">
        <v>11</v>
      </c>
      <c r="F103" s="9">
        <f>F102/D102</f>
        <v>39</v>
      </c>
      <c r="G103" s="8"/>
    </row>
    <row r="104" spans="1:7" ht="12.75">
      <c r="A104" s="16" t="s">
        <v>22</v>
      </c>
      <c r="B104" s="3"/>
      <c r="C104" s="3"/>
      <c r="D104" s="4"/>
      <c r="E104" s="9"/>
      <c r="F104" s="9">
        <f>F103*1%</f>
        <v>0.39</v>
      </c>
      <c r="G104" s="8"/>
    </row>
    <row r="105" spans="1:7" ht="12.75">
      <c r="A105" s="16" t="s">
        <v>20</v>
      </c>
      <c r="B105" s="3"/>
      <c r="C105" s="3"/>
      <c r="D105" s="4"/>
      <c r="E105" s="15"/>
      <c r="F105" s="9">
        <f>F103+F104</f>
        <v>39.39</v>
      </c>
      <c r="G105" s="8"/>
    </row>
    <row r="106" spans="1:7" ht="12.75">
      <c r="A106" s="16" t="s">
        <v>23</v>
      </c>
      <c r="B106" s="3"/>
      <c r="C106" s="3"/>
      <c r="D106" s="4"/>
      <c r="E106" s="9"/>
      <c r="F106" s="9">
        <f>F105*15%</f>
        <v>5.9085000000000001</v>
      </c>
      <c r="G106" s="8"/>
    </row>
    <row r="107" spans="1:7" ht="12.75">
      <c r="A107" s="16" t="s">
        <v>20</v>
      </c>
      <c r="B107" s="3"/>
      <c r="C107" s="3"/>
      <c r="D107" s="4"/>
      <c r="E107" s="15"/>
      <c r="F107" s="17">
        <f>ROUND(F105+F106,2)</f>
        <v>45.30</v>
      </c>
      <c r="G107" s="8"/>
    </row>
    <row r="108" spans="1:7" ht="12.75">
      <c r="A108" s="11" t="s">
        <v>24</v>
      </c>
      <c r="B108" s="3"/>
      <c r="C108" s="3"/>
      <c r="D108" s="3"/>
      <c r="E108" s="3"/>
      <c r="F108" s="4"/>
      <c r="G108" s="12" t="s">
        <v>25</v>
      </c>
    </row>
    <row r="109" spans="1:7" ht="12.75">
      <c r="A109" s="13">
        <v>116</v>
      </c>
      <c r="B109" s="13"/>
      <c r="C109" s="10" t="s">
        <v>26</v>
      </c>
      <c r="D109" s="3"/>
      <c r="E109" s="4"/>
      <c r="F109" s="10"/>
      <c r="G109" s="4"/>
    </row>
    <row r="110" spans="1:7" ht="12.75">
      <c r="A110" s="5"/>
      <c r="B110" s="5"/>
      <c r="C110" s="8" t="s">
        <v>27</v>
      </c>
      <c r="D110" s="9">
        <v>0.33</v>
      </c>
      <c r="E110" s="9">
        <v>784</v>
      </c>
      <c r="F110" s="9">
        <f>E110*D110</f>
        <v>258.72</v>
      </c>
      <c r="G110" s="8" t="s">
        <v>28</v>
      </c>
    </row>
    <row r="111" spans="1:7" ht="12.75">
      <c r="A111" s="13">
        <v>117</v>
      </c>
      <c r="B111" s="13"/>
      <c r="C111" s="10" t="s">
        <v>29</v>
      </c>
      <c r="D111" s="3"/>
      <c r="E111" s="4"/>
      <c r="F111" s="10"/>
      <c r="G111" s="4"/>
    </row>
    <row r="112" spans="1:7" ht="12.75">
      <c r="A112" s="5"/>
      <c r="B112" s="5"/>
      <c r="C112" s="8" t="s">
        <v>27</v>
      </c>
      <c r="D112" s="9">
        <v>0.66</v>
      </c>
      <c r="E112" s="9">
        <v>714</v>
      </c>
      <c r="F112" s="9">
        <f>E112*D112</f>
        <v>471.24</v>
      </c>
      <c r="G112" s="8" t="s">
        <v>30</v>
      </c>
    </row>
    <row r="113" spans="1:7" ht="12.75">
      <c r="A113" s="13">
        <v>114</v>
      </c>
      <c r="B113" s="13"/>
      <c r="C113" s="10" t="s">
        <v>31</v>
      </c>
      <c r="D113" s="3"/>
      <c r="E113" s="4"/>
      <c r="F113" s="10"/>
      <c r="G113" s="4"/>
    </row>
    <row r="114" spans="1:7" ht="12.75">
      <c r="A114" s="5"/>
      <c r="B114" s="5"/>
      <c r="C114" s="8" t="s">
        <v>27</v>
      </c>
      <c r="D114" s="9">
        <v>0.66</v>
      </c>
      <c r="E114" s="9">
        <v>645</v>
      </c>
      <c r="F114" s="9">
        <f>E114*D114</f>
        <v>425.70</v>
      </c>
      <c r="G114" s="8" t="s">
        <v>32</v>
      </c>
    </row>
    <row r="115" spans="1:7" ht="12.75">
      <c r="A115" s="11" t="s">
        <v>33</v>
      </c>
      <c r="B115" s="3"/>
      <c r="C115" s="3"/>
      <c r="D115" s="3"/>
      <c r="E115" s="3"/>
      <c r="F115" s="4"/>
      <c r="G115" s="12" t="s">
        <v>25</v>
      </c>
    </row>
    <row r="116" spans="1:7" ht="12.75">
      <c r="A116" s="26">
        <v>18.78</v>
      </c>
      <c r="B116" s="21"/>
      <c r="C116" s="22" t="s">
        <v>34</v>
      </c>
      <c r="D116" s="3"/>
      <c r="E116" s="4"/>
      <c r="F116" s="23"/>
      <c r="G116" s="4"/>
    </row>
    <row r="117" spans="1:7" ht="12.75">
      <c r="A117" s="5"/>
      <c r="B117" s="5"/>
      <c r="C117" s="24" t="s">
        <v>35</v>
      </c>
      <c r="D117" s="25">
        <v>10</v>
      </c>
      <c r="E117" s="25">
        <v>128.39</v>
      </c>
      <c r="F117" s="25">
        <f>D117*E117</f>
        <v>1283.90</v>
      </c>
      <c r="G117" s="24" t="s">
        <v>36</v>
      </c>
    </row>
    <row r="118" spans="1:7" ht="12.75">
      <c r="A118" s="14" t="s">
        <v>20</v>
      </c>
      <c r="B118" s="3"/>
      <c r="C118" s="4"/>
      <c r="D118" s="9">
        <v>10</v>
      </c>
      <c r="E118" s="15" t="s">
        <v>11</v>
      </c>
      <c r="F118" s="18">
        <f>F110+F112+F114+F117</f>
        <v>2439.56</v>
      </c>
      <c r="G118" s="15"/>
    </row>
    <row r="119" spans="1:7" ht="12.75">
      <c r="A119" s="14" t="s">
        <v>21</v>
      </c>
      <c r="B119" s="3"/>
      <c r="C119" s="4"/>
      <c r="D119" s="9">
        <v>1</v>
      </c>
      <c r="E119" s="15" t="s">
        <v>11</v>
      </c>
      <c r="F119" s="9">
        <f>F118/D118</f>
        <v>243.95599999999999</v>
      </c>
      <c r="G119" s="15"/>
    </row>
    <row r="120" spans="1:7" ht="12.75">
      <c r="A120" s="16" t="s">
        <v>22</v>
      </c>
      <c r="B120" s="3"/>
      <c r="C120" s="3"/>
      <c r="D120" s="4"/>
      <c r="E120" s="9"/>
      <c r="F120" s="9">
        <f>F119*1%</f>
        <v>2.4395600000000002</v>
      </c>
      <c r="G120" s="15"/>
    </row>
    <row r="121" spans="1:7" ht="12.75">
      <c r="A121" s="16" t="s">
        <v>20</v>
      </c>
      <c r="B121" s="3"/>
      <c r="C121" s="3"/>
      <c r="D121" s="4"/>
      <c r="E121" s="15"/>
      <c r="F121" s="9">
        <f>F119+F120</f>
        <v>246.39555999999999</v>
      </c>
      <c r="G121" s="15"/>
    </row>
    <row r="122" spans="1:7" ht="12.75">
      <c r="A122" s="16" t="s">
        <v>23</v>
      </c>
      <c r="B122" s="3"/>
      <c r="C122" s="3"/>
      <c r="D122" s="4"/>
      <c r="E122" s="9"/>
      <c r="F122" s="9">
        <f>F121*15%</f>
        <v>36.959333999999998</v>
      </c>
      <c r="G122" s="15"/>
    </row>
    <row r="123" spans="1:7" ht="12.75">
      <c r="A123" s="16" t="s">
        <v>20</v>
      </c>
      <c r="B123" s="3"/>
      <c r="C123" s="3"/>
      <c r="D123" s="4"/>
      <c r="E123" s="15"/>
      <c r="F123" s="17">
        <f>ROUND(F121+F122,2)</f>
        <v>283.35</v>
      </c>
      <c r="G123" s="15"/>
    </row>
    <row r="124" spans="1:7" ht="12.75">
      <c r="A124" s="19" t="str">
        <f>CONCATENATE("Say ₹ ",F107," + ",F123," x Cost Index")</f>
        <v>Say ₹ 45.3 + 283.35 x Cost Index</v>
      </c>
      <c r="B124" s="3"/>
      <c r="C124" s="3"/>
      <c r="D124" s="3"/>
      <c r="E124" s="3"/>
      <c r="F124" s="4"/>
      <c r="G124" s="20" t="s">
        <v>37</v>
      </c>
    </row>
    <row r="125" spans="1:7" ht="12.75">
      <c r="A125" s="1" t="s">
        <v>0</v>
      </c>
      <c r="B125" s="1" t="s">
        <v>1</v>
      </c>
      <c r="C125" s="2" t="s">
        <v>2</v>
      </c>
      <c r="D125" s="3"/>
      <c r="E125" s="4"/>
      <c r="F125" s="2" t="s">
        <v>3</v>
      </c>
      <c r="G125" s="4"/>
    </row>
    <row r="126" spans="1:7" ht="12.75">
      <c r="A126" s="5"/>
      <c r="B126" s="5"/>
      <c r="C126" s="6" t="s">
        <v>4</v>
      </c>
      <c r="D126" s="6" t="s">
        <v>5</v>
      </c>
      <c r="E126" s="6" t="s">
        <v>6</v>
      </c>
      <c r="F126" s="6" t="s">
        <v>7</v>
      </c>
      <c r="G126" s="6" t="s">
        <v>8</v>
      </c>
    </row>
    <row r="127" spans="1:7" ht="12.75">
      <c r="A127" s="7" t="s">
        <v>48</v>
      </c>
      <c r="B127" s="3"/>
      <c r="C127" s="3"/>
      <c r="D127" s="3"/>
      <c r="E127" s="3"/>
      <c r="F127" s="3"/>
      <c r="G127" s="4"/>
    </row>
    <row r="128" spans="1:7" ht="12.75">
      <c r="A128" s="8"/>
      <c r="B128" s="8" t="s">
        <v>10</v>
      </c>
      <c r="C128" s="8" t="s">
        <v>11</v>
      </c>
      <c r="D128" s="8" t="s">
        <v>12</v>
      </c>
      <c r="E128" s="9">
        <v>10</v>
      </c>
      <c r="F128" s="10"/>
      <c r="G128" s="4"/>
    </row>
    <row r="129" spans="1:7" ht="12.75">
      <c r="A129" s="8" t="s">
        <v>13</v>
      </c>
      <c r="B129" s="10" t="s">
        <v>49</v>
      </c>
      <c r="C129" s="3"/>
      <c r="D129" s="3"/>
      <c r="E129" s="3"/>
      <c r="F129" s="3"/>
      <c r="G129" s="4"/>
    </row>
    <row r="130" spans="1:7" ht="12.75">
      <c r="A130" s="11" t="s">
        <v>15</v>
      </c>
      <c r="B130" s="3"/>
      <c r="C130" s="3"/>
      <c r="D130" s="3"/>
      <c r="E130" s="3"/>
      <c r="F130" s="4"/>
      <c r="G130" s="12" t="s">
        <v>16</v>
      </c>
    </row>
    <row r="131" spans="1:7" ht="12.75">
      <c r="A131" s="13"/>
      <c r="B131" s="13" t="s">
        <v>50</v>
      </c>
      <c r="C131" s="10" t="s">
        <v>51</v>
      </c>
      <c r="D131" s="3"/>
      <c r="E131" s="4"/>
      <c r="F131" s="10"/>
      <c r="G131" s="4"/>
    </row>
    <row r="132" spans="1:7" ht="12.75">
      <c r="A132" s="5"/>
      <c r="B132" s="5"/>
      <c r="C132" s="8" t="s">
        <v>11</v>
      </c>
      <c r="D132" s="9">
        <v>13</v>
      </c>
      <c r="E132" s="9">
        <v>61</v>
      </c>
      <c r="F132" s="9">
        <f>E132*D132</f>
        <v>793</v>
      </c>
      <c r="G132" s="8" t="s">
        <v>19</v>
      </c>
    </row>
    <row r="133" spans="1:7" ht="12.75">
      <c r="A133" s="14" t="s">
        <v>20</v>
      </c>
      <c r="B133" s="3"/>
      <c r="C133" s="4"/>
      <c r="D133" s="9">
        <v>10</v>
      </c>
      <c r="E133" s="15" t="s">
        <v>11</v>
      </c>
      <c r="F133" s="9">
        <f>F132</f>
        <v>793</v>
      </c>
      <c r="G133" s="8"/>
    </row>
    <row r="134" spans="1:7" ht="12.75">
      <c r="A134" s="14" t="s">
        <v>21</v>
      </c>
      <c r="B134" s="3"/>
      <c r="C134" s="4"/>
      <c r="D134" s="9">
        <v>1</v>
      </c>
      <c r="E134" s="15" t="s">
        <v>11</v>
      </c>
      <c r="F134" s="9">
        <f>F133/D133</f>
        <v>79.30</v>
      </c>
      <c r="G134" s="8"/>
    </row>
    <row r="135" spans="1:7" ht="12.75">
      <c r="A135" s="16" t="s">
        <v>22</v>
      </c>
      <c r="B135" s="3"/>
      <c r="C135" s="3"/>
      <c r="D135" s="4"/>
      <c r="E135" s="9"/>
      <c r="F135" s="9">
        <f>F134*1%</f>
        <v>0.79300000000000004</v>
      </c>
      <c r="G135" s="8"/>
    </row>
    <row r="136" spans="1:7" ht="12.75">
      <c r="A136" s="16" t="s">
        <v>20</v>
      </c>
      <c r="B136" s="3"/>
      <c r="C136" s="3"/>
      <c r="D136" s="4"/>
      <c r="E136" s="15"/>
      <c r="F136" s="9">
        <f>F134+F135</f>
        <v>80.093000000000004</v>
      </c>
      <c r="G136" s="8"/>
    </row>
    <row r="137" spans="1:7" ht="12.75">
      <c r="A137" s="16" t="s">
        <v>23</v>
      </c>
      <c r="B137" s="3"/>
      <c r="C137" s="3"/>
      <c r="D137" s="4"/>
      <c r="E137" s="9"/>
      <c r="F137" s="9">
        <f>F136*15%</f>
        <v>12.013949999999999</v>
      </c>
      <c r="G137" s="8"/>
    </row>
    <row r="138" spans="1:7" ht="12.75">
      <c r="A138" s="16" t="s">
        <v>20</v>
      </c>
      <c r="B138" s="3"/>
      <c r="C138" s="3"/>
      <c r="D138" s="4"/>
      <c r="E138" s="15"/>
      <c r="F138" s="17">
        <f>ROUND(F136+F137,2)</f>
        <v>92.11</v>
      </c>
      <c r="G138" s="8"/>
    </row>
    <row r="139" spans="1:7" ht="12.75">
      <c r="A139" s="11" t="s">
        <v>24</v>
      </c>
      <c r="B139" s="3"/>
      <c r="C139" s="3"/>
      <c r="D139" s="3"/>
      <c r="E139" s="3"/>
      <c r="F139" s="4"/>
      <c r="G139" s="12" t="s">
        <v>25</v>
      </c>
    </row>
    <row r="140" spans="1:7" ht="12.75">
      <c r="A140" s="13">
        <v>116</v>
      </c>
      <c r="B140" s="13"/>
      <c r="C140" s="10" t="s">
        <v>26</v>
      </c>
      <c r="D140" s="3"/>
      <c r="E140" s="4"/>
      <c r="F140" s="10"/>
      <c r="G140" s="4"/>
    </row>
    <row r="141" spans="1:7" ht="12.75">
      <c r="A141" s="5"/>
      <c r="B141" s="5"/>
      <c r="C141" s="8" t="s">
        <v>27</v>
      </c>
      <c r="D141" s="9">
        <v>0.33</v>
      </c>
      <c r="E141" s="9">
        <v>784</v>
      </c>
      <c r="F141" s="9">
        <f>E141*D141</f>
        <v>258.72</v>
      </c>
      <c r="G141" s="8" t="s">
        <v>28</v>
      </c>
    </row>
    <row r="142" spans="1:7" ht="12.75">
      <c r="A142" s="13">
        <v>117</v>
      </c>
      <c r="B142" s="13"/>
      <c r="C142" s="10" t="s">
        <v>29</v>
      </c>
      <c r="D142" s="3"/>
      <c r="E142" s="4"/>
      <c r="F142" s="10"/>
      <c r="G142" s="4"/>
    </row>
    <row r="143" spans="1:7" ht="12.75">
      <c r="A143" s="5"/>
      <c r="B143" s="5"/>
      <c r="C143" s="8" t="s">
        <v>27</v>
      </c>
      <c r="D143" s="9">
        <v>0.66</v>
      </c>
      <c r="E143" s="9">
        <v>714</v>
      </c>
      <c r="F143" s="9">
        <f>E143*D143</f>
        <v>471.24</v>
      </c>
      <c r="G143" s="8" t="s">
        <v>30</v>
      </c>
    </row>
    <row r="144" spans="1:7" ht="12.75">
      <c r="A144" s="13">
        <v>114</v>
      </c>
      <c r="B144" s="13"/>
      <c r="C144" s="10" t="s">
        <v>31</v>
      </c>
      <c r="D144" s="3"/>
      <c r="E144" s="4"/>
      <c r="F144" s="10"/>
      <c r="G144" s="4"/>
    </row>
    <row r="145" spans="1:7" ht="12.75">
      <c r="A145" s="5"/>
      <c r="B145" s="5"/>
      <c r="C145" s="8" t="s">
        <v>27</v>
      </c>
      <c r="D145" s="9">
        <v>0.66</v>
      </c>
      <c r="E145" s="9">
        <v>645</v>
      </c>
      <c r="F145" s="9">
        <f>E145*D145</f>
        <v>425.70</v>
      </c>
      <c r="G145" s="8" t="s">
        <v>32</v>
      </c>
    </row>
    <row r="146" spans="1:7" ht="12.75">
      <c r="A146" s="11" t="s">
        <v>33</v>
      </c>
      <c r="B146" s="3"/>
      <c r="C146" s="3"/>
      <c r="D146" s="3"/>
      <c r="E146" s="3"/>
      <c r="F146" s="4"/>
      <c r="G146" s="12" t="s">
        <v>25</v>
      </c>
    </row>
    <row r="147" spans="1:7" ht="12.75">
      <c r="A147" s="26">
        <v>18.78</v>
      </c>
      <c r="B147" s="21"/>
      <c r="C147" s="22" t="s">
        <v>34</v>
      </c>
      <c r="D147" s="3"/>
      <c r="E147" s="4"/>
      <c r="F147" s="23"/>
      <c r="G147" s="4"/>
    </row>
    <row r="148" spans="1:7" ht="12.75">
      <c r="A148" s="5"/>
      <c r="B148" s="5"/>
      <c r="C148" s="24" t="s">
        <v>35</v>
      </c>
      <c r="D148" s="25">
        <v>10</v>
      </c>
      <c r="E148" s="25">
        <v>128.39</v>
      </c>
      <c r="F148" s="25">
        <f>D148*E148</f>
        <v>1283.90</v>
      </c>
      <c r="G148" s="24" t="s">
        <v>36</v>
      </c>
    </row>
    <row r="149" spans="1:7" ht="12.75">
      <c r="A149" s="14" t="s">
        <v>20</v>
      </c>
      <c r="B149" s="3"/>
      <c r="C149" s="4"/>
      <c r="D149" s="9">
        <v>10</v>
      </c>
      <c r="E149" s="15" t="s">
        <v>11</v>
      </c>
      <c r="F149" s="18">
        <f>F141+F143+F145+F148</f>
        <v>2439.56</v>
      </c>
      <c r="G149" s="15"/>
    </row>
    <row r="150" spans="1:7" ht="12.75">
      <c r="A150" s="14" t="s">
        <v>21</v>
      </c>
      <c r="B150" s="3"/>
      <c r="C150" s="4"/>
      <c r="D150" s="9">
        <v>1</v>
      </c>
      <c r="E150" s="15" t="s">
        <v>11</v>
      </c>
      <c r="F150" s="9">
        <f>F149/D149</f>
        <v>243.95599999999999</v>
      </c>
      <c r="G150" s="15"/>
    </row>
    <row r="151" spans="1:7" ht="12.75">
      <c r="A151" s="16" t="s">
        <v>22</v>
      </c>
      <c r="B151" s="3"/>
      <c r="C151" s="3"/>
      <c r="D151" s="4"/>
      <c r="E151" s="9"/>
      <c r="F151" s="9">
        <f>F150*1%</f>
        <v>2.4395600000000002</v>
      </c>
      <c r="G151" s="15"/>
    </row>
    <row r="152" spans="1:7" ht="12.75">
      <c r="A152" s="16" t="s">
        <v>20</v>
      </c>
      <c r="B152" s="3"/>
      <c r="C152" s="3"/>
      <c r="D152" s="4"/>
      <c r="E152" s="15"/>
      <c r="F152" s="9">
        <f>F150+F151</f>
        <v>246.39555999999999</v>
      </c>
      <c r="G152" s="15"/>
    </row>
    <row r="153" spans="1:7" ht="12.75">
      <c r="A153" s="16" t="s">
        <v>23</v>
      </c>
      <c r="B153" s="3"/>
      <c r="C153" s="3"/>
      <c r="D153" s="4"/>
      <c r="E153" s="9"/>
      <c r="F153" s="9">
        <f>F152*15%</f>
        <v>36.959333999999998</v>
      </c>
      <c r="G153" s="15"/>
    </row>
    <row r="154" spans="1:7" ht="12.75">
      <c r="A154" s="16" t="s">
        <v>20</v>
      </c>
      <c r="B154" s="3"/>
      <c r="C154" s="3"/>
      <c r="D154" s="4"/>
      <c r="E154" s="15"/>
      <c r="F154" s="17">
        <f>ROUND(F152+F153,2)</f>
        <v>283.35</v>
      </c>
      <c r="G154" s="15"/>
    </row>
    <row r="155" spans="1:7" ht="12.75">
      <c r="A155" s="19" t="str">
        <f>CONCATENATE("Say ₹ ",F138," + ",F154," x Cost Index")</f>
        <v>Say ₹ 92.11 + 283.35 x Cost Index</v>
      </c>
      <c r="B155" s="3"/>
      <c r="C155" s="3"/>
      <c r="D155" s="3"/>
      <c r="E155" s="3"/>
      <c r="F155" s="4"/>
      <c r="G155" s="20" t="s">
        <v>37</v>
      </c>
    </row>
    <row r="156" spans="1:7" ht="12.75">
      <c r="A156" s="1" t="s">
        <v>0</v>
      </c>
      <c r="B156" s="1" t="s">
        <v>1</v>
      </c>
      <c r="C156" s="2" t="s">
        <v>2</v>
      </c>
      <c r="D156" s="3"/>
      <c r="E156" s="4"/>
      <c r="F156" s="2" t="s">
        <v>3</v>
      </c>
      <c r="G156" s="4"/>
    </row>
    <row r="157" spans="1:7" ht="12.75">
      <c r="A157" s="5"/>
      <c r="B157" s="5"/>
      <c r="C157" s="6" t="s">
        <v>4</v>
      </c>
      <c r="D157" s="6" t="s">
        <v>5</v>
      </c>
      <c r="E157" s="6" t="s">
        <v>6</v>
      </c>
      <c r="F157" s="6" t="s">
        <v>7</v>
      </c>
      <c r="G157" s="6" t="s">
        <v>8</v>
      </c>
    </row>
    <row r="158" spans="1:7" ht="12.75">
      <c r="A158" s="7" t="s">
        <v>52</v>
      </c>
      <c r="B158" s="3"/>
      <c r="C158" s="3"/>
      <c r="D158" s="3"/>
      <c r="E158" s="3"/>
      <c r="F158" s="3"/>
      <c r="G158" s="4"/>
    </row>
    <row r="159" spans="1:7" ht="12.75">
      <c r="A159" s="8"/>
      <c r="B159" s="8" t="s">
        <v>10</v>
      </c>
      <c r="C159" s="8" t="s">
        <v>11</v>
      </c>
      <c r="D159" s="8" t="s">
        <v>12</v>
      </c>
      <c r="E159" s="9">
        <v>10</v>
      </c>
      <c r="F159" s="10"/>
      <c r="G159" s="4"/>
    </row>
    <row r="160" spans="1:7" ht="12.75">
      <c r="A160" s="8" t="s">
        <v>13</v>
      </c>
      <c r="B160" s="10" t="s">
        <v>39</v>
      </c>
      <c r="C160" s="3"/>
      <c r="D160" s="3"/>
      <c r="E160" s="3"/>
      <c r="F160" s="3"/>
      <c r="G160" s="4"/>
    </row>
    <row r="161" spans="1:7" ht="12.75">
      <c r="A161" s="11" t="s">
        <v>15</v>
      </c>
      <c r="B161" s="3"/>
      <c r="C161" s="3"/>
      <c r="D161" s="3"/>
      <c r="E161" s="3"/>
      <c r="F161" s="4"/>
      <c r="G161" s="12" t="s">
        <v>16</v>
      </c>
    </row>
    <row r="162" spans="1:7" ht="12.75">
      <c r="A162" s="13"/>
      <c r="B162" s="13" t="s">
        <v>53</v>
      </c>
      <c r="C162" s="10" t="s">
        <v>54</v>
      </c>
      <c r="D162" s="3"/>
      <c r="E162" s="4"/>
      <c r="F162" s="10"/>
      <c r="G162" s="4"/>
    </row>
    <row r="163" spans="1:7" ht="12.75">
      <c r="A163" s="5"/>
      <c r="B163" s="5"/>
      <c r="C163" s="8" t="s">
        <v>11</v>
      </c>
      <c r="D163" s="9">
        <v>13</v>
      </c>
      <c r="E163" s="9">
        <v>48</v>
      </c>
      <c r="F163" s="9">
        <f>E163*D163</f>
        <v>624</v>
      </c>
      <c r="G163" s="8" t="s">
        <v>19</v>
      </c>
    </row>
    <row r="164" spans="1:7" ht="12.75">
      <c r="A164" s="14" t="s">
        <v>20</v>
      </c>
      <c r="B164" s="3"/>
      <c r="C164" s="4"/>
      <c r="D164" s="9">
        <v>10</v>
      </c>
      <c r="E164" s="15" t="s">
        <v>11</v>
      </c>
      <c r="F164" s="9">
        <f>F163</f>
        <v>624</v>
      </c>
      <c r="G164" s="8"/>
    </row>
    <row r="165" spans="1:7" ht="12.75">
      <c r="A165" s="14" t="s">
        <v>21</v>
      </c>
      <c r="B165" s="3"/>
      <c r="C165" s="4"/>
      <c r="D165" s="9">
        <v>1</v>
      </c>
      <c r="E165" s="15" t="s">
        <v>11</v>
      </c>
      <c r="F165" s="9">
        <f>F164/D164</f>
        <v>62.40</v>
      </c>
      <c r="G165" s="8"/>
    </row>
    <row r="166" spans="1:7" ht="12.75">
      <c r="A166" s="16" t="s">
        <v>22</v>
      </c>
      <c r="B166" s="3"/>
      <c r="C166" s="3"/>
      <c r="D166" s="4"/>
      <c r="E166" s="9"/>
      <c r="F166" s="9">
        <f>F165*1%</f>
        <v>0.624</v>
      </c>
      <c r="G166" s="8"/>
    </row>
    <row r="167" spans="1:7" ht="12.75">
      <c r="A167" s="16" t="s">
        <v>20</v>
      </c>
      <c r="B167" s="3"/>
      <c r="C167" s="3"/>
      <c r="D167" s="4"/>
      <c r="E167" s="15"/>
      <c r="F167" s="9">
        <f>F165+F166</f>
        <v>63.024000000000001</v>
      </c>
      <c r="G167" s="8"/>
    </row>
    <row r="168" spans="1:7" ht="12.75">
      <c r="A168" s="16" t="s">
        <v>23</v>
      </c>
      <c r="B168" s="3"/>
      <c r="C168" s="3"/>
      <c r="D168" s="4"/>
      <c r="E168" s="9"/>
      <c r="F168" s="9">
        <f>F167*15%</f>
        <v>9.4535999999999998</v>
      </c>
      <c r="G168" s="8"/>
    </row>
    <row r="169" spans="1:7" ht="12.75">
      <c r="A169" s="16" t="s">
        <v>20</v>
      </c>
      <c r="B169" s="3"/>
      <c r="C169" s="3"/>
      <c r="D169" s="4"/>
      <c r="E169" s="15"/>
      <c r="F169" s="17">
        <f>ROUND(F167+F168,2)</f>
        <v>72.48</v>
      </c>
      <c r="G169" s="8"/>
    </row>
    <row r="170" spans="1:7" ht="12.75">
      <c r="A170" s="11" t="s">
        <v>24</v>
      </c>
      <c r="B170" s="3"/>
      <c r="C170" s="3"/>
      <c r="D170" s="3"/>
      <c r="E170" s="3"/>
      <c r="F170" s="4"/>
      <c r="G170" s="12" t="s">
        <v>25</v>
      </c>
    </row>
    <row r="171" spans="1:7" ht="12.75">
      <c r="A171" s="13">
        <v>116</v>
      </c>
      <c r="B171" s="13"/>
      <c r="C171" s="10" t="s">
        <v>26</v>
      </c>
      <c r="D171" s="3"/>
      <c r="E171" s="4"/>
      <c r="F171" s="10"/>
      <c r="G171" s="4"/>
    </row>
    <row r="172" spans="1:7" ht="12.75">
      <c r="A172" s="5"/>
      <c r="B172" s="5"/>
      <c r="C172" s="8" t="s">
        <v>27</v>
      </c>
      <c r="D172" s="9">
        <v>0.33</v>
      </c>
      <c r="E172" s="9">
        <v>784</v>
      </c>
      <c r="F172" s="9">
        <f>E172*D172</f>
        <v>258.72</v>
      </c>
      <c r="G172" s="8" t="s">
        <v>28</v>
      </c>
    </row>
    <row r="173" spans="1:7" ht="12.75">
      <c r="A173" s="13">
        <v>117</v>
      </c>
      <c r="B173" s="13"/>
      <c r="C173" s="10" t="s">
        <v>29</v>
      </c>
      <c r="D173" s="3"/>
      <c r="E173" s="4"/>
      <c r="F173" s="10"/>
      <c r="G173" s="4"/>
    </row>
    <row r="174" spans="1:7" ht="12.75">
      <c r="A174" s="5"/>
      <c r="B174" s="5"/>
      <c r="C174" s="8" t="s">
        <v>27</v>
      </c>
      <c r="D174" s="9">
        <v>0.66</v>
      </c>
      <c r="E174" s="9">
        <v>714</v>
      </c>
      <c r="F174" s="9">
        <f>E174*D174</f>
        <v>471.24</v>
      </c>
      <c r="G174" s="8" t="s">
        <v>30</v>
      </c>
    </row>
    <row r="175" spans="1:7" ht="12.75">
      <c r="A175" s="13">
        <v>114</v>
      </c>
      <c r="B175" s="13"/>
      <c r="C175" s="10" t="s">
        <v>31</v>
      </c>
      <c r="D175" s="3"/>
      <c r="E175" s="4"/>
      <c r="F175" s="10"/>
      <c r="G175" s="4"/>
    </row>
    <row r="176" spans="1:7" ht="12.75">
      <c r="A176" s="5"/>
      <c r="B176" s="5"/>
      <c r="C176" s="8" t="s">
        <v>27</v>
      </c>
      <c r="D176" s="9">
        <v>0.66</v>
      </c>
      <c r="E176" s="9">
        <v>645</v>
      </c>
      <c r="F176" s="9">
        <f>E176*D176</f>
        <v>425.70</v>
      </c>
      <c r="G176" s="8" t="s">
        <v>32</v>
      </c>
    </row>
    <row r="177" spans="1:7" ht="12.75">
      <c r="A177" s="11" t="s">
        <v>33</v>
      </c>
      <c r="B177" s="3"/>
      <c r="C177" s="3"/>
      <c r="D177" s="3"/>
      <c r="E177" s="3"/>
      <c r="F177" s="4"/>
      <c r="G177" s="12" t="s">
        <v>25</v>
      </c>
    </row>
    <row r="178" spans="1:7" ht="12.75">
      <c r="A178" s="26">
        <v>18.78</v>
      </c>
      <c r="B178" s="21"/>
      <c r="C178" s="22" t="s">
        <v>34</v>
      </c>
      <c r="D178" s="3"/>
      <c r="E178" s="4"/>
      <c r="F178" s="23"/>
      <c r="G178" s="4"/>
    </row>
    <row r="179" spans="1:7" ht="12.75">
      <c r="A179" s="5"/>
      <c r="B179" s="5"/>
      <c r="C179" s="24" t="s">
        <v>35</v>
      </c>
      <c r="D179" s="25">
        <v>10</v>
      </c>
      <c r="E179" s="25">
        <v>128.39</v>
      </c>
      <c r="F179" s="25">
        <f>D179*E179</f>
        <v>1283.90</v>
      </c>
      <c r="G179" s="24" t="s">
        <v>36</v>
      </c>
    </row>
    <row r="180" spans="1:7" ht="12.75">
      <c r="A180" s="14" t="s">
        <v>20</v>
      </c>
      <c r="B180" s="3"/>
      <c r="C180" s="4"/>
      <c r="D180" s="9">
        <v>10</v>
      </c>
      <c r="E180" s="15" t="s">
        <v>11</v>
      </c>
      <c r="F180" s="18">
        <f>F172+F174+F176+F179</f>
        <v>2439.56</v>
      </c>
      <c r="G180" s="15"/>
    </row>
    <row r="181" spans="1:7" ht="12.75">
      <c r="A181" s="14" t="s">
        <v>21</v>
      </c>
      <c r="B181" s="3"/>
      <c r="C181" s="4"/>
      <c r="D181" s="9">
        <v>1</v>
      </c>
      <c r="E181" s="15" t="s">
        <v>11</v>
      </c>
      <c r="F181" s="9">
        <f>F180/D180</f>
        <v>243.95599999999999</v>
      </c>
      <c r="G181" s="15"/>
    </row>
    <row r="182" spans="1:7" ht="12.75">
      <c r="A182" s="16" t="s">
        <v>22</v>
      </c>
      <c r="B182" s="3"/>
      <c r="C182" s="3"/>
      <c r="D182" s="4"/>
      <c r="E182" s="9"/>
      <c r="F182" s="9">
        <f>F181*1%</f>
        <v>2.4395600000000002</v>
      </c>
      <c r="G182" s="15"/>
    </row>
    <row r="183" spans="1:7" ht="12.75">
      <c r="A183" s="16" t="s">
        <v>20</v>
      </c>
      <c r="B183" s="3"/>
      <c r="C183" s="3"/>
      <c r="D183" s="4"/>
      <c r="E183" s="15"/>
      <c r="F183" s="9">
        <f>F181+F182</f>
        <v>246.39555999999999</v>
      </c>
      <c r="G183" s="15"/>
    </row>
    <row r="184" spans="1:7" ht="12.75">
      <c r="A184" s="16" t="s">
        <v>23</v>
      </c>
      <c r="B184" s="3"/>
      <c r="C184" s="3"/>
      <c r="D184" s="4"/>
      <c r="E184" s="9"/>
      <c r="F184" s="9">
        <f>F183*15%</f>
        <v>36.959333999999998</v>
      </c>
      <c r="G184" s="15"/>
    </row>
    <row r="185" spans="1:7" ht="12.75">
      <c r="A185" s="16" t="s">
        <v>20</v>
      </c>
      <c r="B185" s="3"/>
      <c r="C185" s="3"/>
      <c r="D185" s="4"/>
      <c r="E185" s="15"/>
      <c r="F185" s="17">
        <f>ROUND(F183+F184,2)</f>
        <v>283.35</v>
      </c>
      <c r="G185" s="15"/>
    </row>
    <row r="186" spans="1:7" ht="12.75">
      <c r="A186" s="19" t="str">
        <f>CONCATENATE("Say ₹ ",F169," + ",F185," x Cost Index")</f>
        <v>Say ₹ 72.48 + 283.35 x Cost Index</v>
      </c>
      <c r="B186" s="3"/>
      <c r="C186" s="3"/>
      <c r="D186" s="3"/>
      <c r="E186" s="3"/>
      <c r="F186" s="4"/>
      <c r="G186" s="20" t="s">
        <v>37</v>
      </c>
    </row>
    <row r="187" spans="1:7" ht="12.75">
      <c r="A187" s="1" t="s">
        <v>0</v>
      </c>
      <c r="B187" s="1" t="s">
        <v>1</v>
      </c>
      <c r="C187" s="2" t="s">
        <v>2</v>
      </c>
      <c r="D187" s="3"/>
      <c r="E187" s="4"/>
      <c r="F187" s="2" t="s">
        <v>3</v>
      </c>
      <c r="G187" s="4"/>
    </row>
    <row r="188" spans="1:7" ht="12.75">
      <c r="A188" s="5"/>
      <c r="B188" s="5"/>
      <c r="C188" s="6" t="s">
        <v>4</v>
      </c>
      <c r="D188" s="6" t="s">
        <v>5</v>
      </c>
      <c r="E188" s="6" t="s">
        <v>6</v>
      </c>
      <c r="F188" s="6" t="s">
        <v>7</v>
      </c>
      <c r="G188" s="6" t="s">
        <v>8</v>
      </c>
    </row>
    <row r="189" spans="1:7" ht="12.75">
      <c r="A189" s="7" t="s">
        <v>55</v>
      </c>
      <c r="B189" s="3"/>
      <c r="C189" s="3"/>
      <c r="D189" s="3"/>
      <c r="E189" s="3"/>
      <c r="F189" s="3"/>
      <c r="G189" s="4"/>
    </row>
    <row r="190" spans="1:7" ht="12.75">
      <c r="A190" s="8"/>
      <c r="B190" s="8" t="s">
        <v>10</v>
      </c>
      <c r="C190" s="8" t="s">
        <v>11</v>
      </c>
      <c r="D190" s="8" t="s">
        <v>12</v>
      </c>
      <c r="E190" s="9">
        <v>10</v>
      </c>
      <c r="F190" s="10"/>
      <c r="G190" s="4"/>
    </row>
    <row r="191" spans="1:7" ht="12.75">
      <c r="A191" s="8" t="s">
        <v>13</v>
      </c>
      <c r="B191" s="10" t="s">
        <v>39</v>
      </c>
      <c r="C191" s="3"/>
      <c r="D191" s="3"/>
      <c r="E191" s="3"/>
      <c r="F191" s="3"/>
      <c r="G191" s="4"/>
    </row>
    <row r="192" spans="1:7" ht="12.75">
      <c r="A192" s="11" t="s">
        <v>15</v>
      </c>
      <c r="B192" s="3"/>
      <c r="C192" s="3"/>
      <c r="D192" s="3"/>
      <c r="E192" s="3"/>
      <c r="F192" s="4"/>
      <c r="G192" s="12" t="s">
        <v>16</v>
      </c>
    </row>
    <row r="193" spans="1:7" ht="12.75">
      <c r="A193" s="13"/>
      <c r="B193" s="13" t="s">
        <v>56</v>
      </c>
      <c r="C193" s="10" t="s">
        <v>57</v>
      </c>
      <c r="D193" s="3"/>
      <c r="E193" s="4"/>
      <c r="F193" s="10"/>
      <c r="G193" s="4"/>
    </row>
    <row r="194" spans="1:7" ht="12.75">
      <c r="A194" s="5"/>
      <c r="B194" s="5"/>
      <c r="C194" s="8" t="s">
        <v>11</v>
      </c>
      <c r="D194" s="9">
        <v>13</v>
      </c>
      <c r="E194" s="9">
        <v>65</v>
      </c>
      <c r="F194" s="9">
        <f>E194*D194</f>
        <v>845</v>
      </c>
      <c r="G194" s="8" t="s">
        <v>19</v>
      </c>
    </row>
    <row r="195" spans="1:7" ht="12.75">
      <c r="A195" s="14" t="s">
        <v>20</v>
      </c>
      <c r="B195" s="3"/>
      <c r="C195" s="4"/>
      <c r="D195" s="9">
        <v>10</v>
      </c>
      <c r="E195" s="15" t="s">
        <v>11</v>
      </c>
      <c r="F195" s="9">
        <f>F194</f>
        <v>845</v>
      </c>
      <c r="G195" s="8"/>
    </row>
    <row r="196" spans="1:7" ht="12.75">
      <c r="A196" s="14" t="s">
        <v>21</v>
      </c>
      <c r="B196" s="3"/>
      <c r="C196" s="4"/>
      <c r="D196" s="9">
        <v>1</v>
      </c>
      <c r="E196" s="15" t="s">
        <v>11</v>
      </c>
      <c r="F196" s="9">
        <f>F195/D195</f>
        <v>84.50</v>
      </c>
      <c r="G196" s="8"/>
    </row>
    <row r="197" spans="1:7" ht="12.75">
      <c r="A197" s="16" t="s">
        <v>22</v>
      </c>
      <c r="B197" s="3"/>
      <c r="C197" s="3"/>
      <c r="D197" s="4"/>
      <c r="E197" s="9"/>
      <c r="F197" s="9">
        <f>F196*1%</f>
        <v>0.845</v>
      </c>
      <c r="G197" s="8"/>
    </row>
    <row r="198" spans="1:7" ht="12.75">
      <c r="A198" s="16" t="s">
        <v>20</v>
      </c>
      <c r="B198" s="3"/>
      <c r="C198" s="3"/>
      <c r="D198" s="4"/>
      <c r="E198" s="15"/>
      <c r="F198" s="9">
        <f>F196+F197</f>
        <v>85.345</v>
      </c>
      <c r="G198" s="8"/>
    </row>
    <row r="199" spans="1:7" ht="12.75">
      <c r="A199" s="16" t="s">
        <v>23</v>
      </c>
      <c r="B199" s="3"/>
      <c r="C199" s="3"/>
      <c r="D199" s="4"/>
      <c r="E199" s="9"/>
      <c r="F199" s="9">
        <f>F198*15%</f>
        <v>12.80175</v>
      </c>
      <c r="G199" s="8"/>
    </row>
    <row r="200" spans="1:7" ht="12.75">
      <c r="A200" s="16" t="s">
        <v>20</v>
      </c>
      <c r="B200" s="3"/>
      <c r="C200" s="3"/>
      <c r="D200" s="4"/>
      <c r="E200" s="15"/>
      <c r="F200" s="17">
        <f>ROUND(F198+F199,2)</f>
        <v>98.15</v>
      </c>
      <c r="G200" s="8"/>
    </row>
    <row r="201" spans="1:7" ht="12.75">
      <c r="A201" s="11" t="s">
        <v>24</v>
      </c>
      <c r="B201" s="3"/>
      <c r="C201" s="3"/>
      <c r="D201" s="3"/>
      <c r="E201" s="3"/>
      <c r="F201" s="4"/>
      <c r="G201" s="12" t="s">
        <v>25</v>
      </c>
    </row>
    <row r="202" spans="1:7" ht="12.75">
      <c r="A202" s="13">
        <v>116</v>
      </c>
      <c r="B202" s="13"/>
      <c r="C202" s="10" t="s">
        <v>26</v>
      </c>
      <c r="D202" s="3"/>
      <c r="E202" s="4"/>
      <c r="F202" s="10"/>
      <c r="G202" s="4"/>
    </row>
    <row r="203" spans="1:7" ht="12.75">
      <c r="A203" s="5"/>
      <c r="B203" s="5"/>
      <c r="C203" s="8" t="s">
        <v>27</v>
      </c>
      <c r="D203" s="9">
        <v>0.33</v>
      </c>
      <c r="E203" s="9">
        <v>784</v>
      </c>
      <c r="F203" s="9">
        <f>E203*D203</f>
        <v>258.72</v>
      </c>
      <c r="G203" s="8" t="s">
        <v>28</v>
      </c>
    </row>
    <row r="204" spans="1:7" ht="12.75">
      <c r="A204" s="13">
        <v>117</v>
      </c>
      <c r="B204" s="13"/>
      <c r="C204" s="10" t="s">
        <v>29</v>
      </c>
      <c r="D204" s="3"/>
      <c r="E204" s="4"/>
      <c r="F204" s="10"/>
      <c r="G204" s="4"/>
    </row>
    <row r="205" spans="1:7" ht="12.75">
      <c r="A205" s="5"/>
      <c r="B205" s="5"/>
      <c r="C205" s="8" t="s">
        <v>27</v>
      </c>
      <c r="D205" s="9">
        <v>0.66</v>
      </c>
      <c r="E205" s="9">
        <v>714</v>
      </c>
      <c r="F205" s="9">
        <f>E205*D205</f>
        <v>471.24</v>
      </c>
      <c r="G205" s="8" t="s">
        <v>30</v>
      </c>
    </row>
    <row r="206" spans="1:7" ht="12.75">
      <c r="A206" s="13">
        <v>114</v>
      </c>
      <c r="B206" s="13"/>
      <c r="C206" s="10" t="s">
        <v>31</v>
      </c>
      <c r="D206" s="3"/>
      <c r="E206" s="4"/>
      <c r="F206" s="10"/>
      <c r="G206" s="4"/>
    </row>
    <row r="207" spans="1:7" ht="12.75">
      <c r="A207" s="5"/>
      <c r="B207" s="5"/>
      <c r="C207" s="8" t="s">
        <v>27</v>
      </c>
      <c r="D207" s="9">
        <v>0.66</v>
      </c>
      <c r="E207" s="9">
        <v>645</v>
      </c>
      <c r="F207" s="9">
        <f>E207*D207</f>
        <v>425.70</v>
      </c>
      <c r="G207" s="8" t="s">
        <v>32</v>
      </c>
    </row>
    <row r="208" spans="1:7" ht="12.75">
      <c r="A208" s="11" t="s">
        <v>33</v>
      </c>
      <c r="B208" s="3"/>
      <c r="C208" s="3"/>
      <c r="D208" s="3"/>
      <c r="E208" s="3"/>
      <c r="F208" s="4"/>
      <c r="G208" s="12" t="s">
        <v>25</v>
      </c>
    </row>
    <row r="209" spans="1:7" ht="12.75">
      <c r="A209" s="26">
        <v>18.78</v>
      </c>
      <c r="B209" s="21"/>
      <c r="C209" s="22" t="s">
        <v>34</v>
      </c>
      <c r="D209" s="3"/>
      <c r="E209" s="4"/>
      <c r="F209" s="23"/>
      <c r="G209" s="4"/>
    </row>
    <row r="210" spans="1:7" ht="12.75">
      <c r="A210" s="5"/>
      <c r="B210" s="5"/>
      <c r="C210" s="24" t="s">
        <v>35</v>
      </c>
      <c r="D210" s="25">
        <v>10</v>
      </c>
      <c r="E210" s="25">
        <v>128.39</v>
      </c>
      <c r="F210" s="25">
        <f>D210*E210</f>
        <v>1283.90</v>
      </c>
      <c r="G210" s="24" t="s">
        <v>36</v>
      </c>
    </row>
    <row r="211" spans="1:7" ht="12.75">
      <c r="A211" s="14" t="s">
        <v>20</v>
      </c>
      <c r="B211" s="3"/>
      <c r="C211" s="4"/>
      <c r="D211" s="9">
        <v>10</v>
      </c>
      <c r="E211" s="15" t="s">
        <v>11</v>
      </c>
      <c r="F211" s="18">
        <f>F203+F205+F207+F210</f>
        <v>2439.56</v>
      </c>
      <c r="G211" s="15"/>
    </row>
    <row r="212" spans="1:7" ht="12.75">
      <c r="A212" s="14" t="s">
        <v>21</v>
      </c>
      <c r="B212" s="3"/>
      <c r="C212" s="4"/>
      <c r="D212" s="9">
        <v>1</v>
      </c>
      <c r="E212" s="15" t="s">
        <v>11</v>
      </c>
      <c r="F212" s="9">
        <f>F211/D211</f>
        <v>243.95599999999999</v>
      </c>
      <c r="G212" s="15"/>
    </row>
    <row r="213" spans="1:7" ht="12.75">
      <c r="A213" s="16" t="s">
        <v>22</v>
      </c>
      <c r="B213" s="3"/>
      <c r="C213" s="3"/>
      <c r="D213" s="4"/>
      <c r="E213" s="9"/>
      <c r="F213" s="9">
        <f>F212*1%</f>
        <v>2.4395600000000002</v>
      </c>
      <c r="G213" s="15"/>
    </row>
    <row r="214" spans="1:7" ht="12.75">
      <c r="A214" s="16" t="s">
        <v>20</v>
      </c>
      <c r="B214" s="3"/>
      <c r="C214" s="3"/>
      <c r="D214" s="4"/>
      <c r="E214" s="15"/>
      <c r="F214" s="9">
        <f>F212+F213</f>
        <v>246.39555999999999</v>
      </c>
      <c r="G214" s="15"/>
    </row>
    <row r="215" spans="1:7" ht="12.75">
      <c r="A215" s="16" t="s">
        <v>23</v>
      </c>
      <c r="B215" s="3"/>
      <c r="C215" s="3"/>
      <c r="D215" s="4"/>
      <c r="E215" s="9"/>
      <c r="F215" s="9">
        <f>F214*15%</f>
        <v>36.959333999999998</v>
      </c>
      <c r="G215" s="15"/>
    </row>
    <row r="216" spans="1:7" ht="12.75">
      <c r="A216" s="16" t="s">
        <v>20</v>
      </c>
      <c r="B216" s="3"/>
      <c r="C216" s="3"/>
      <c r="D216" s="4"/>
      <c r="E216" s="15"/>
      <c r="F216" s="17">
        <f>ROUND(F214+F215,2)</f>
        <v>283.35</v>
      </c>
      <c r="G216" s="15"/>
    </row>
    <row r="217" spans="1:7" ht="12.75">
      <c r="A217" s="19" t="str">
        <f>CONCATENATE("Say ₹ ",F200," + ",F216," x Cost Index")</f>
        <v>Say ₹ 98.15 + 283.35 x Cost Index</v>
      </c>
      <c r="B217" s="3"/>
      <c r="C217" s="3"/>
      <c r="D217" s="3"/>
      <c r="E217" s="3"/>
      <c r="F217" s="4"/>
      <c r="G217" s="20" t="s">
        <v>37</v>
      </c>
    </row>
    <row r="218" spans="1:7" ht="12.75">
      <c r="A218" s="1" t="s">
        <v>0</v>
      </c>
      <c r="B218" s="1" t="s">
        <v>1</v>
      </c>
      <c r="C218" s="2" t="s">
        <v>2</v>
      </c>
      <c r="D218" s="3"/>
      <c r="E218" s="4"/>
      <c r="F218" s="2" t="s">
        <v>3</v>
      </c>
      <c r="G218" s="4"/>
    </row>
    <row r="219" spans="1:7" ht="12.75">
      <c r="A219" s="5"/>
      <c r="B219" s="5"/>
      <c r="C219" s="6" t="s">
        <v>4</v>
      </c>
      <c r="D219" s="6" t="s">
        <v>5</v>
      </c>
      <c r="E219" s="6" t="s">
        <v>6</v>
      </c>
      <c r="F219" s="6" t="s">
        <v>7</v>
      </c>
      <c r="G219" s="6" t="s">
        <v>8</v>
      </c>
    </row>
    <row r="220" spans="1:7" ht="12.75">
      <c r="A220" s="7" t="s">
        <v>58</v>
      </c>
      <c r="B220" s="3"/>
      <c r="C220" s="3"/>
      <c r="D220" s="3"/>
      <c r="E220" s="3"/>
      <c r="F220" s="3"/>
      <c r="G220" s="4"/>
    </row>
    <row r="221" spans="1:7" ht="12.75">
      <c r="A221" s="8"/>
      <c r="B221" s="8" t="s">
        <v>10</v>
      </c>
      <c r="C221" s="8" t="s">
        <v>11</v>
      </c>
      <c r="D221" s="8" t="s">
        <v>12</v>
      </c>
      <c r="E221" s="9">
        <v>10</v>
      </c>
      <c r="F221" s="10"/>
      <c r="G221" s="4"/>
    </row>
    <row r="222" spans="1:7" ht="12.75">
      <c r="A222" s="8" t="s">
        <v>13</v>
      </c>
      <c r="B222" s="10" t="s">
        <v>39</v>
      </c>
      <c r="C222" s="3"/>
      <c r="D222" s="3"/>
      <c r="E222" s="3"/>
      <c r="F222" s="3"/>
      <c r="G222" s="4"/>
    </row>
    <row r="223" spans="1:7" ht="12.75">
      <c r="A223" s="11" t="s">
        <v>15</v>
      </c>
      <c r="B223" s="3"/>
      <c r="C223" s="3"/>
      <c r="D223" s="3"/>
      <c r="E223" s="3"/>
      <c r="F223" s="4"/>
      <c r="G223" s="12" t="s">
        <v>16</v>
      </c>
    </row>
    <row r="224" spans="1:7" ht="12.75">
      <c r="A224" s="13"/>
      <c r="B224" s="13" t="s">
        <v>56</v>
      </c>
      <c r="C224" s="10" t="s">
        <v>59</v>
      </c>
      <c r="D224" s="3"/>
      <c r="E224" s="4"/>
      <c r="F224" s="10"/>
      <c r="G224" s="4"/>
    </row>
    <row r="225" spans="1:7" ht="12.75">
      <c r="A225" s="5"/>
      <c r="B225" s="5"/>
      <c r="C225" s="8" t="s">
        <v>11</v>
      </c>
      <c r="D225" s="9">
        <v>13</v>
      </c>
      <c r="E225" s="9">
        <v>52</v>
      </c>
      <c r="F225" s="9">
        <f>E225*D225</f>
        <v>676</v>
      </c>
      <c r="G225" s="8" t="s">
        <v>19</v>
      </c>
    </row>
    <row r="226" spans="1:7" ht="12.75">
      <c r="A226" s="14" t="s">
        <v>20</v>
      </c>
      <c r="B226" s="3"/>
      <c r="C226" s="4"/>
      <c r="D226" s="9">
        <v>10</v>
      </c>
      <c r="E226" s="15" t="s">
        <v>11</v>
      </c>
      <c r="F226" s="9">
        <f>F225</f>
        <v>676</v>
      </c>
      <c r="G226" s="8"/>
    </row>
    <row r="227" spans="1:7" ht="12.75">
      <c r="A227" s="14" t="s">
        <v>21</v>
      </c>
      <c r="B227" s="3"/>
      <c r="C227" s="4"/>
      <c r="D227" s="9">
        <v>1</v>
      </c>
      <c r="E227" s="15" t="s">
        <v>11</v>
      </c>
      <c r="F227" s="9">
        <f>F226/D226</f>
        <v>67.60</v>
      </c>
      <c r="G227" s="8"/>
    </row>
    <row r="228" spans="1:7" ht="12.75">
      <c r="A228" s="16" t="s">
        <v>22</v>
      </c>
      <c r="B228" s="3"/>
      <c r="C228" s="3"/>
      <c r="D228" s="4"/>
      <c r="E228" s="9"/>
      <c r="F228" s="9">
        <f>F227*1%</f>
        <v>0.67600000000000005</v>
      </c>
      <c r="G228" s="8"/>
    </row>
    <row r="229" spans="1:7" ht="12.75">
      <c r="A229" s="16" t="s">
        <v>20</v>
      </c>
      <c r="B229" s="3"/>
      <c r="C229" s="3"/>
      <c r="D229" s="4"/>
      <c r="E229" s="15"/>
      <c r="F229" s="9">
        <f>F227+F228</f>
        <v>68.275999999999996</v>
      </c>
      <c r="G229" s="8"/>
    </row>
    <row r="230" spans="1:7" ht="12.75">
      <c r="A230" s="16" t="s">
        <v>23</v>
      </c>
      <c r="B230" s="3"/>
      <c r="C230" s="3"/>
      <c r="D230" s="4"/>
      <c r="E230" s="9"/>
      <c r="F230" s="9">
        <f>F229*15%</f>
        <v>10.241400000000001</v>
      </c>
      <c r="G230" s="8"/>
    </row>
    <row r="231" spans="1:7" ht="12.75">
      <c r="A231" s="16" t="s">
        <v>20</v>
      </c>
      <c r="B231" s="3"/>
      <c r="C231" s="3"/>
      <c r="D231" s="4"/>
      <c r="E231" s="15"/>
      <c r="F231" s="17">
        <f>ROUND(F229+F230,2)</f>
        <v>78.52</v>
      </c>
      <c r="G231" s="8"/>
    </row>
    <row r="232" spans="1:7" ht="12.75">
      <c r="A232" s="11" t="s">
        <v>24</v>
      </c>
      <c r="B232" s="3"/>
      <c r="C232" s="3"/>
      <c r="D232" s="3"/>
      <c r="E232" s="3"/>
      <c r="F232" s="4"/>
      <c r="G232" s="12" t="s">
        <v>25</v>
      </c>
    </row>
    <row r="233" spans="1:7" ht="12.75">
      <c r="A233" s="13">
        <v>116</v>
      </c>
      <c r="B233" s="13"/>
      <c r="C233" s="10" t="s">
        <v>26</v>
      </c>
      <c r="D233" s="3"/>
      <c r="E233" s="4"/>
      <c r="F233" s="10"/>
      <c r="G233" s="4"/>
    </row>
    <row r="234" spans="1:7" ht="12.75">
      <c r="A234" s="5"/>
      <c r="B234" s="5"/>
      <c r="C234" s="8" t="s">
        <v>27</v>
      </c>
      <c r="D234" s="9">
        <v>0.33</v>
      </c>
      <c r="E234" s="9">
        <v>784</v>
      </c>
      <c r="F234" s="9">
        <f>E234*D234</f>
        <v>258.72</v>
      </c>
      <c r="G234" s="8" t="s">
        <v>28</v>
      </c>
    </row>
    <row r="235" spans="1:7" ht="12.75">
      <c r="A235" s="13">
        <v>117</v>
      </c>
      <c r="B235" s="13"/>
      <c r="C235" s="10" t="s">
        <v>29</v>
      </c>
      <c r="D235" s="3"/>
      <c r="E235" s="4"/>
      <c r="F235" s="10"/>
      <c r="G235" s="4"/>
    </row>
    <row r="236" spans="1:7" ht="12.75">
      <c r="A236" s="5"/>
      <c r="B236" s="5"/>
      <c r="C236" s="8" t="s">
        <v>27</v>
      </c>
      <c r="D236" s="9">
        <v>0.66</v>
      </c>
      <c r="E236" s="9">
        <v>714</v>
      </c>
      <c r="F236" s="9">
        <f>E236*D236</f>
        <v>471.24</v>
      </c>
      <c r="G236" s="8" t="s">
        <v>30</v>
      </c>
    </row>
    <row r="237" spans="1:7" ht="12.75">
      <c r="A237" s="13">
        <v>114</v>
      </c>
      <c r="B237" s="13"/>
      <c r="C237" s="10" t="s">
        <v>31</v>
      </c>
      <c r="D237" s="3"/>
      <c r="E237" s="4"/>
      <c r="F237" s="10"/>
      <c r="G237" s="4"/>
    </row>
    <row r="238" spans="1:7" ht="12.75">
      <c r="A238" s="5"/>
      <c r="B238" s="5"/>
      <c r="C238" s="8" t="s">
        <v>27</v>
      </c>
      <c r="D238" s="9">
        <v>0.66</v>
      </c>
      <c r="E238" s="9">
        <v>645</v>
      </c>
      <c r="F238" s="9">
        <f>E238*D238</f>
        <v>425.70</v>
      </c>
      <c r="G238" s="8" t="s">
        <v>32</v>
      </c>
    </row>
    <row r="239" spans="1:7" ht="12.75">
      <c r="A239" s="11" t="s">
        <v>33</v>
      </c>
      <c r="B239" s="3"/>
      <c r="C239" s="3"/>
      <c r="D239" s="3"/>
      <c r="E239" s="3"/>
      <c r="F239" s="4"/>
      <c r="G239" s="12" t="s">
        <v>25</v>
      </c>
    </row>
    <row r="240" spans="1:7" ht="12.75">
      <c r="A240" s="26">
        <v>18.78</v>
      </c>
      <c r="B240" s="21"/>
      <c r="C240" s="22" t="s">
        <v>34</v>
      </c>
      <c r="D240" s="3"/>
      <c r="E240" s="4"/>
      <c r="F240" s="23"/>
      <c r="G240" s="4"/>
    </row>
    <row r="241" spans="1:7" ht="12.75">
      <c r="A241" s="5"/>
      <c r="B241" s="5"/>
      <c r="C241" s="24" t="s">
        <v>35</v>
      </c>
      <c r="D241" s="25">
        <v>10</v>
      </c>
      <c r="E241" s="25">
        <v>128.39</v>
      </c>
      <c r="F241" s="25">
        <f>D241*E241</f>
        <v>1283.90</v>
      </c>
      <c r="G241" s="24" t="s">
        <v>36</v>
      </c>
    </row>
    <row r="242" spans="1:7" ht="12.75">
      <c r="A242" s="14" t="s">
        <v>20</v>
      </c>
      <c r="B242" s="3"/>
      <c r="C242" s="4"/>
      <c r="D242" s="9">
        <v>10</v>
      </c>
      <c r="E242" s="15" t="s">
        <v>11</v>
      </c>
      <c r="F242" s="18">
        <f>F234+F236+F238+F241</f>
        <v>2439.56</v>
      </c>
      <c r="G242" s="15"/>
    </row>
    <row r="243" spans="1:7" ht="12.75">
      <c r="A243" s="14" t="s">
        <v>21</v>
      </c>
      <c r="B243" s="3"/>
      <c r="C243" s="4"/>
      <c r="D243" s="9">
        <v>1</v>
      </c>
      <c r="E243" s="15" t="s">
        <v>11</v>
      </c>
      <c r="F243" s="9">
        <f>F242/D242</f>
        <v>243.95599999999999</v>
      </c>
      <c r="G243" s="15"/>
    </row>
    <row r="244" spans="1:7" ht="12.75">
      <c r="A244" s="16" t="s">
        <v>22</v>
      </c>
      <c r="B244" s="3"/>
      <c r="C244" s="3"/>
      <c r="D244" s="4"/>
      <c r="E244" s="9"/>
      <c r="F244" s="9">
        <f>F243*1%</f>
        <v>2.4395600000000002</v>
      </c>
      <c r="G244" s="15"/>
    </row>
    <row r="245" spans="1:7" ht="12.75">
      <c r="A245" s="16" t="s">
        <v>20</v>
      </c>
      <c r="B245" s="3"/>
      <c r="C245" s="3"/>
      <c r="D245" s="4"/>
      <c r="E245" s="15"/>
      <c r="F245" s="9">
        <f>F243+F244</f>
        <v>246.39555999999999</v>
      </c>
      <c r="G245" s="15"/>
    </row>
    <row r="246" spans="1:7" ht="12.75">
      <c r="A246" s="16" t="s">
        <v>23</v>
      </c>
      <c r="B246" s="3"/>
      <c r="C246" s="3"/>
      <c r="D246" s="4"/>
      <c r="E246" s="9"/>
      <c r="F246" s="9">
        <f>F245*15%</f>
        <v>36.959333999999998</v>
      </c>
      <c r="G246" s="15"/>
    </row>
    <row r="247" spans="1:7" ht="12.75">
      <c r="A247" s="16" t="s">
        <v>20</v>
      </c>
      <c r="B247" s="3"/>
      <c r="C247" s="3"/>
      <c r="D247" s="4"/>
      <c r="E247" s="15"/>
      <c r="F247" s="17">
        <f>ROUND(F245+F246,2)</f>
        <v>283.35</v>
      </c>
      <c r="G247" s="15"/>
    </row>
    <row r="248" spans="1:7" ht="12.75">
      <c r="A248" s="19" t="str">
        <f>CONCATENATE("Say ₹ ",F231," + ",F247," x Cost Index")</f>
        <v>Say ₹ 78.52 + 283.35 x Cost Index</v>
      </c>
      <c r="B248" s="3"/>
      <c r="C248" s="3"/>
      <c r="D248" s="3"/>
      <c r="E248" s="3"/>
      <c r="F248" s="4"/>
      <c r="G248" s="20" t="s">
        <v>37</v>
      </c>
    </row>
    <row r="249" spans="1:7" ht="12.75">
      <c r="A249" s="1" t="s">
        <v>0</v>
      </c>
      <c r="B249" s="1" t="s">
        <v>1</v>
      </c>
      <c r="C249" s="2" t="s">
        <v>2</v>
      </c>
      <c r="D249" s="3"/>
      <c r="E249" s="4"/>
      <c r="F249" s="2" t="s">
        <v>3</v>
      </c>
      <c r="G249" s="4"/>
    </row>
    <row r="250" spans="1:7" ht="12.75">
      <c r="A250" s="5"/>
      <c r="B250" s="5"/>
      <c r="C250" s="6" t="s">
        <v>4</v>
      </c>
      <c r="D250" s="6" t="s">
        <v>5</v>
      </c>
      <c r="E250" s="6" t="s">
        <v>6</v>
      </c>
      <c r="F250" s="6" t="s">
        <v>7</v>
      </c>
      <c r="G250" s="6" t="s">
        <v>8</v>
      </c>
    </row>
    <row r="251" spans="1:7" ht="12.75">
      <c r="A251" s="7" t="s">
        <v>60</v>
      </c>
      <c r="B251" s="3"/>
      <c r="C251" s="3"/>
      <c r="D251" s="3"/>
      <c r="E251" s="3"/>
      <c r="F251" s="3"/>
      <c r="G251" s="4"/>
    </row>
    <row r="252" spans="1:7" ht="12.75">
      <c r="A252" s="8"/>
      <c r="B252" s="8" t="s">
        <v>10</v>
      </c>
      <c r="C252" s="8" t="s">
        <v>11</v>
      </c>
      <c r="D252" s="8" t="s">
        <v>12</v>
      </c>
      <c r="E252" s="9">
        <v>10</v>
      </c>
      <c r="F252" s="10"/>
      <c r="G252" s="4"/>
    </row>
    <row r="253" spans="1:7" ht="12.75">
      <c r="A253" s="8" t="s">
        <v>13</v>
      </c>
      <c r="B253" s="10" t="s">
        <v>61</v>
      </c>
      <c r="C253" s="3"/>
      <c r="D253" s="3"/>
      <c r="E253" s="3"/>
      <c r="F253" s="3"/>
      <c r="G253" s="4"/>
    </row>
    <row r="254" spans="1:7" ht="12.75">
      <c r="A254" s="11" t="s">
        <v>15</v>
      </c>
      <c r="B254" s="3"/>
      <c r="C254" s="3"/>
      <c r="D254" s="3"/>
      <c r="E254" s="3"/>
      <c r="F254" s="4"/>
      <c r="G254" s="12" t="s">
        <v>16</v>
      </c>
    </row>
    <row r="255" spans="1:7" ht="12.75">
      <c r="A255" s="13"/>
      <c r="B255" s="13" t="s">
        <v>62</v>
      </c>
      <c r="C255" s="10" t="s">
        <v>63</v>
      </c>
      <c r="D255" s="3"/>
      <c r="E255" s="4"/>
      <c r="F255" s="10"/>
      <c r="G255" s="4"/>
    </row>
    <row r="256" spans="1:7" ht="12.75">
      <c r="A256" s="5"/>
      <c r="B256" s="5"/>
      <c r="C256" s="8" t="s">
        <v>11</v>
      </c>
      <c r="D256" s="9">
        <v>13</v>
      </c>
      <c r="E256" s="9">
        <v>84</v>
      </c>
      <c r="F256" s="9">
        <f>E256*D256</f>
        <v>1092</v>
      </c>
      <c r="G256" s="8" t="s">
        <v>19</v>
      </c>
    </row>
    <row r="257" spans="1:7" ht="12.75">
      <c r="A257" s="14" t="s">
        <v>20</v>
      </c>
      <c r="B257" s="3"/>
      <c r="C257" s="4"/>
      <c r="D257" s="9">
        <v>10</v>
      </c>
      <c r="E257" s="15" t="s">
        <v>11</v>
      </c>
      <c r="F257" s="9">
        <f>F256</f>
        <v>1092</v>
      </c>
      <c r="G257" s="8"/>
    </row>
    <row r="258" spans="1:7" ht="12.75">
      <c r="A258" s="14" t="s">
        <v>21</v>
      </c>
      <c r="B258" s="3"/>
      <c r="C258" s="4"/>
      <c r="D258" s="9">
        <v>1</v>
      </c>
      <c r="E258" s="15" t="s">
        <v>11</v>
      </c>
      <c r="F258" s="9">
        <f>F257/D257</f>
        <v>109.20</v>
      </c>
      <c r="G258" s="8"/>
    </row>
    <row r="259" spans="1:7" ht="12.75">
      <c r="A259" s="16" t="s">
        <v>22</v>
      </c>
      <c r="B259" s="3"/>
      <c r="C259" s="3"/>
      <c r="D259" s="4"/>
      <c r="E259" s="9"/>
      <c r="F259" s="9">
        <f>F258*1%</f>
        <v>1.0920000000000001</v>
      </c>
      <c r="G259" s="8"/>
    </row>
    <row r="260" spans="1:7" ht="12.75">
      <c r="A260" s="16" t="s">
        <v>20</v>
      </c>
      <c r="B260" s="3"/>
      <c r="C260" s="3"/>
      <c r="D260" s="4"/>
      <c r="E260" s="15"/>
      <c r="F260" s="9">
        <f>F258+F259</f>
        <v>110.292</v>
      </c>
      <c r="G260" s="8"/>
    </row>
    <row r="261" spans="1:7" ht="12.75">
      <c r="A261" s="16" t="s">
        <v>23</v>
      </c>
      <c r="B261" s="3"/>
      <c r="C261" s="3"/>
      <c r="D261" s="4"/>
      <c r="E261" s="9"/>
      <c r="F261" s="9">
        <f>F260*15%</f>
        <v>16.543800000000001</v>
      </c>
      <c r="G261" s="8"/>
    </row>
    <row r="262" spans="1:7" ht="12.75">
      <c r="A262" s="16" t="s">
        <v>20</v>
      </c>
      <c r="B262" s="3"/>
      <c r="C262" s="3"/>
      <c r="D262" s="4"/>
      <c r="E262" s="15"/>
      <c r="F262" s="17">
        <f>ROUND(F260+F261,2)</f>
        <v>126.84</v>
      </c>
      <c r="G262" s="8"/>
    </row>
    <row r="263" spans="1:7" ht="12.75">
      <c r="A263" s="11" t="s">
        <v>24</v>
      </c>
      <c r="B263" s="3"/>
      <c r="C263" s="3"/>
      <c r="D263" s="3"/>
      <c r="E263" s="3"/>
      <c r="F263" s="4"/>
      <c r="G263" s="12" t="s">
        <v>25</v>
      </c>
    </row>
    <row r="264" spans="1:7" ht="12.75">
      <c r="A264" s="13">
        <v>116</v>
      </c>
      <c r="B264" s="13"/>
      <c r="C264" s="10" t="s">
        <v>26</v>
      </c>
      <c r="D264" s="3"/>
      <c r="E264" s="4"/>
      <c r="F264" s="10"/>
      <c r="G264" s="4"/>
    </row>
    <row r="265" spans="1:7" ht="12.75">
      <c r="A265" s="5"/>
      <c r="B265" s="5"/>
      <c r="C265" s="8" t="s">
        <v>27</v>
      </c>
      <c r="D265" s="9">
        <v>0.33</v>
      </c>
      <c r="E265" s="9">
        <v>784</v>
      </c>
      <c r="F265" s="9">
        <f>E265*D265</f>
        <v>258.72</v>
      </c>
      <c r="G265" s="8" t="s">
        <v>28</v>
      </c>
    </row>
    <row r="266" spans="1:7" ht="12.75">
      <c r="A266" s="13">
        <v>117</v>
      </c>
      <c r="B266" s="13"/>
      <c r="C266" s="10" t="s">
        <v>29</v>
      </c>
      <c r="D266" s="3"/>
      <c r="E266" s="4"/>
      <c r="F266" s="10"/>
      <c r="G266" s="4"/>
    </row>
    <row r="267" spans="1:7" ht="12.75">
      <c r="A267" s="5"/>
      <c r="B267" s="5"/>
      <c r="C267" s="8" t="s">
        <v>27</v>
      </c>
      <c r="D267" s="9">
        <v>0.66</v>
      </c>
      <c r="E267" s="9">
        <v>714</v>
      </c>
      <c r="F267" s="9">
        <f>E267*D267</f>
        <v>471.24</v>
      </c>
      <c r="G267" s="8" t="s">
        <v>30</v>
      </c>
    </row>
    <row r="268" spans="1:7" ht="12.75">
      <c r="A268" s="13">
        <v>114</v>
      </c>
      <c r="B268" s="13"/>
      <c r="C268" s="10" t="s">
        <v>31</v>
      </c>
      <c r="D268" s="3"/>
      <c r="E268" s="4"/>
      <c r="F268" s="10"/>
      <c r="G268" s="4"/>
    </row>
    <row r="269" spans="1:7" ht="12.75">
      <c r="A269" s="5"/>
      <c r="B269" s="5"/>
      <c r="C269" s="8" t="s">
        <v>27</v>
      </c>
      <c r="D269" s="9">
        <v>0.66</v>
      </c>
      <c r="E269" s="9">
        <v>645</v>
      </c>
      <c r="F269" s="9">
        <f>E269*D269</f>
        <v>425.70</v>
      </c>
      <c r="G269" s="8" t="s">
        <v>32</v>
      </c>
    </row>
    <row r="270" spans="1:7" ht="12.75">
      <c r="A270" s="11" t="s">
        <v>33</v>
      </c>
      <c r="B270" s="3"/>
      <c r="C270" s="3"/>
      <c r="D270" s="3"/>
      <c r="E270" s="3"/>
      <c r="F270" s="4"/>
      <c r="G270" s="12" t="s">
        <v>25</v>
      </c>
    </row>
    <row r="271" spans="1:7" ht="12.75">
      <c r="A271" s="26">
        <v>18.78</v>
      </c>
      <c r="B271" s="21"/>
      <c r="C271" s="22" t="s">
        <v>34</v>
      </c>
      <c r="D271" s="3"/>
      <c r="E271" s="4"/>
      <c r="F271" s="23"/>
      <c r="G271" s="4"/>
    </row>
    <row r="272" spans="1:7" ht="12.75">
      <c r="A272" s="5"/>
      <c r="B272" s="5"/>
      <c r="C272" s="24" t="s">
        <v>35</v>
      </c>
      <c r="D272" s="25">
        <v>10</v>
      </c>
      <c r="E272" s="25">
        <v>128.39</v>
      </c>
      <c r="F272" s="25">
        <f>D272*E272</f>
        <v>1283.90</v>
      </c>
      <c r="G272" s="24" t="s">
        <v>36</v>
      </c>
    </row>
    <row r="273" spans="1:7" ht="12.75">
      <c r="A273" s="14" t="s">
        <v>20</v>
      </c>
      <c r="B273" s="3"/>
      <c r="C273" s="4"/>
      <c r="D273" s="9">
        <v>10</v>
      </c>
      <c r="E273" s="15" t="s">
        <v>11</v>
      </c>
      <c r="F273" s="18">
        <f>F265+F267+F269+F272</f>
        <v>2439.56</v>
      </c>
      <c r="G273" s="15"/>
    </row>
    <row r="274" spans="1:7" ht="12.75">
      <c r="A274" s="14" t="s">
        <v>21</v>
      </c>
      <c r="B274" s="3"/>
      <c r="C274" s="4"/>
      <c r="D274" s="9">
        <v>1</v>
      </c>
      <c r="E274" s="15" t="s">
        <v>11</v>
      </c>
      <c r="F274" s="9">
        <f>F273/D273</f>
        <v>243.95599999999999</v>
      </c>
      <c r="G274" s="15"/>
    </row>
    <row r="275" spans="1:7" ht="12.75">
      <c r="A275" s="16" t="s">
        <v>22</v>
      </c>
      <c r="B275" s="3"/>
      <c r="C275" s="3"/>
      <c r="D275" s="4"/>
      <c r="E275" s="9"/>
      <c r="F275" s="9">
        <f>F274*1%</f>
        <v>2.4395600000000002</v>
      </c>
      <c r="G275" s="15"/>
    </row>
    <row r="276" spans="1:7" ht="12.75">
      <c r="A276" s="16" t="s">
        <v>20</v>
      </c>
      <c r="B276" s="3"/>
      <c r="C276" s="3"/>
      <c r="D276" s="4"/>
      <c r="E276" s="15"/>
      <c r="F276" s="9">
        <f>F274+F275</f>
        <v>246.39555999999999</v>
      </c>
      <c r="G276" s="15"/>
    </row>
    <row r="277" spans="1:7" ht="12.75">
      <c r="A277" s="16" t="s">
        <v>23</v>
      </c>
      <c r="B277" s="3"/>
      <c r="C277" s="3"/>
      <c r="D277" s="4"/>
      <c r="E277" s="9"/>
      <c r="F277" s="9">
        <f>F276*15%</f>
        <v>36.959333999999998</v>
      </c>
      <c r="G277" s="15"/>
    </row>
    <row r="278" spans="1:7" ht="12.75">
      <c r="A278" s="16" t="s">
        <v>20</v>
      </c>
      <c r="B278" s="3"/>
      <c r="C278" s="3"/>
      <c r="D278" s="4"/>
      <c r="E278" s="15"/>
      <c r="F278" s="17">
        <f>ROUND(F276+F277,2)</f>
        <v>283.35</v>
      </c>
      <c r="G278" s="15"/>
    </row>
    <row r="279" spans="1:7" ht="12.75">
      <c r="A279" s="19" t="str">
        <f>CONCATENATE("Say ₹ ",F262," + ",F278," x Cost Index")</f>
        <v>Say ₹ 126.84 + 283.35 x Cost Index</v>
      </c>
      <c r="B279" s="3"/>
      <c r="C279" s="3"/>
      <c r="D279" s="3"/>
      <c r="E279" s="3"/>
      <c r="F279" s="4"/>
      <c r="G279" s="20" t="s">
        <v>37</v>
      </c>
    </row>
    <row r="280" spans="1:7" ht="12.75">
      <c r="A280" s="1" t="s">
        <v>0</v>
      </c>
      <c r="B280" s="1" t="s">
        <v>1</v>
      </c>
      <c r="C280" s="2" t="s">
        <v>2</v>
      </c>
      <c r="D280" s="3"/>
      <c r="E280" s="4"/>
      <c r="F280" s="2" t="s">
        <v>3</v>
      </c>
      <c r="G280" s="4"/>
    </row>
    <row r="281" spans="1:7" ht="12.75">
      <c r="A281" s="5"/>
      <c r="B281" s="5"/>
      <c r="C281" s="6" t="s">
        <v>4</v>
      </c>
      <c r="D281" s="6" t="s">
        <v>5</v>
      </c>
      <c r="E281" s="6" t="s">
        <v>6</v>
      </c>
      <c r="F281" s="6" t="s">
        <v>7</v>
      </c>
      <c r="G281" s="6" t="s">
        <v>8</v>
      </c>
    </row>
    <row r="282" spans="1:7" ht="12.75">
      <c r="A282" s="7" t="s">
        <v>64</v>
      </c>
      <c r="B282" s="3"/>
      <c r="C282" s="3"/>
      <c r="D282" s="3"/>
      <c r="E282" s="3"/>
      <c r="F282" s="3"/>
      <c r="G282" s="4"/>
    </row>
    <row r="283" spans="1:7" ht="12.75">
      <c r="A283" s="8"/>
      <c r="B283" s="8" t="s">
        <v>10</v>
      </c>
      <c r="C283" s="8" t="s">
        <v>11</v>
      </c>
      <c r="D283" s="8" t="s">
        <v>12</v>
      </c>
      <c r="E283" s="9">
        <v>10</v>
      </c>
      <c r="F283" s="10"/>
      <c r="G283" s="4"/>
    </row>
    <row r="284" spans="1:7" ht="12.75">
      <c r="A284" s="8" t="s">
        <v>13</v>
      </c>
      <c r="B284" s="10" t="s">
        <v>39</v>
      </c>
      <c r="C284" s="3"/>
      <c r="D284" s="3"/>
      <c r="E284" s="3"/>
      <c r="F284" s="3"/>
      <c r="G284" s="4"/>
    </row>
    <row r="285" spans="1:7" ht="12.75">
      <c r="A285" s="11" t="s">
        <v>15</v>
      </c>
      <c r="B285" s="3"/>
      <c r="C285" s="3"/>
      <c r="D285" s="3"/>
      <c r="E285" s="3"/>
      <c r="F285" s="4"/>
      <c r="G285" s="12" t="s">
        <v>16</v>
      </c>
    </row>
    <row r="286" spans="1:7" ht="12.75">
      <c r="A286" s="13"/>
      <c r="B286" s="13" t="s">
        <v>65</v>
      </c>
      <c r="C286" s="10" t="s">
        <v>66</v>
      </c>
      <c r="D286" s="3"/>
      <c r="E286" s="4"/>
      <c r="F286" s="10"/>
      <c r="G286" s="4"/>
    </row>
    <row r="287" spans="1:7" ht="12.75">
      <c r="A287" s="5"/>
      <c r="B287" s="5"/>
      <c r="C287" s="8" t="s">
        <v>11</v>
      </c>
      <c r="D287" s="9">
        <v>13</v>
      </c>
      <c r="E287" s="9">
        <v>53</v>
      </c>
      <c r="F287" s="9">
        <f>E287*D287</f>
        <v>689</v>
      </c>
      <c r="G287" s="8" t="s">
        <v>19</v>
      </c>
    </row>
    <row r="288" spans="1:7" ht="12.75">
      <c r="A288" s="14" t="s">
        <v>20</v>
      </c>
      <c r="B288" s="3"/>
      <c r="C288" s="4"/>
      <c r="D288" s="9">
        <v>10</v>
      </c>
      <c r="E288" s="15" t="s">
        <v>11</v>
      </c>
      <c r="F288" s="9">
        <f>F287</f>
        <v>689</v>
      </c>
      <c r="G288" s="8"/>
    </row>
    <row r="289" spans="1:7" ht="12.75">
      <c r="A289" s="14" t="s">
        <v>21</v>
      </c>
      <c r="B289" s="3"/>
      <c r="C289" s="4"/>
      <c r="D289" s="9">
        <v>1</v>
      </c>
      <c r="E289" s="15" t="s">
        <v>11</v>
      </c>
      <c r="F289" s="9">
        <f>F288/D288</f>
        <v>68.90</v>
      </c>
      <c r="G289" s="8"/>
    </row>
    <row r="290" spans="1:7" ht="12.75">
      <c r="A290" s="16" t="s">
        <v>22</v>
      </c>
      <c r="B290" s="3"/>
      <c r="C290" s="3"/>
      <c r="D290" s="4"/>
      <c r="E290" s="9"/>
      <c r="F290" s="9">
        <f>F289*1%</f>
        <v>0.68899999999999995</v>
      </c>
      <c r="G290" s="8"/>
    </row>
    <row r="291" spans="1:7" ht="12.75">
      <c r="A291" s="16" t="s">
        <v>20</v>
      </c>
      <c r="B291" s="3"/>
      <c r="C291" s="3"/>
      <c r="D291" s="4"/>
      <c r="E291" s="15"/>
      <c r="F291" s="9">
        <f>F289+F290</f>
        <v>69.588999999999999</v>
      </c>
      <c r="G291" s="8"/>
    </row>
    <row r="292" spans="1:7" ht="12.75">
      <c r="A292" s="16" t="s">
        <v>23</v>
      </c>
      <c r="B292" s="3"/>
      <c r="C292" s="3"/>
      <c r="D292" s="4"/>
      <c r="E292" s="9"/>
      <c r="F292" s="9">
        <f>F291*15%</f>
        <v>10.43835</v>
      </c>
      <c r="G292" s="8"/>
    </row>
    <row r="293" spans="1:7" ht="12.75">
      <c r="A293" s="16" t="s">
        <v>20</v>
      </c>
      <c r="B293" s="3"/>
      <c r="C293" s="3"/>
      <c r="D293" s="4"/>
      <c r="E293" s="15"/>
      <c r="F293" s="17">
        <f>ROUND(F291+F292,2)</f>
        <v>80.03</v>
      </c>
      <c r="G293" s="8"/>
    </row>
    <row r="294" spans="1:7" ht="12.75">
      <c r="A294" s="11" t="s">
        <v>24</v>
      </c>
      <c r="B294" s="3"/>
      <c r="C294" s="3"/>
      <c r="D294" s="3"/>
      <c r="E294" s="3"/>
      <c r="F294" s="4"/>
      <c r="G294" s="12" t="s">
        <v>25</v>
      </c>
    </row>
    <row r="295" spans="1:7" ht="12.75">
      <c r="A295" s="13">
        <v>116</v>
      </c>
      <c r="B295" s="13"/>
      <c r="C295" s="10" t="s">
        <v>26</v>
      </c>
      <c r="D295" s="3"/>
      <c r="E295" s="4"/>
      <c r="F295" s="10"/>
      <c r="G295" s="4"/>
    </row>
    <row r="296" spans="1:7" ht="12.75">
      <c r="A296" s="5"/>
      <c r="B296" s="5"/>
      <c r="C296" s="8" t="s">
        <v>27</v>
      </c>
      <c r="D296" s="9">
        <v>0.33</v>
      </c>
      <c r="E296" s="9">
        <v>784</v>
      </c>
      <c r="F296" s="9">
        <f>E296*D296</f>
        <v>258.72</v>
      </c>
      <c r="G296" s="8" t="s">
        <v>28</v>
      </c>
    </row>
    <row r="297" spans="1:7" ht="12.75">
      <c r="A297" s="13">
        <v>117</v>
      </c>
      <c r="B297" s="13"/>
      <c r="C297" s="10" t="s">
        <v>29</v>
      </c>
      <c r="D297" s="3"/>
      <c r="E297" s="4"/>
      <c r="F297" s="10"/>
      <c r="G297" s="4"/>
    </row>
    <row r="298" spans="1:7" ht="12.75">
      <c r="A298" s="5"/>
      <c r="B298" s="5"/>
      <c r="C298" s="8" t="s">
        <v>27</v>
      </c>
      <c r="D298" s="9">
        <v>0.66</v>
      </c>
      <c r="E298" s="9">
        <v>714</v>
      </c>
      <c r="F298" s="9">
        <f>E298*D298</f>
        <v>471.24</v>
      </c>
      <c r="G298" s="8" t="s">
        <v>30</v>
      </c>
    </row>
    <row r="299" spans="1:7" ht="12.75">
      <c r="A299" s="13">
        <v>114</v>
      </c>
      <c r="B299" s="13"/>
      <c r="C299" s="10" t="s">
        <v>31</v>
      </c>
      <c r="D299" s="3"/>
      <c r="E299" s="4"/>
      <c r="F299" s="10"/>
      <c r="G299" s="4"/>
    </row>
    <row r="300" spans="1:7" ht="12.75">
      <c r="A300" s="5"/>
      <c r="B300" s="5"/>
      <c r="C300" s="8" t="s">
        <v>27</v>
      </c>
      <c r="D300" s="9">
        <v>0.66</v>
      </c>
      <c r="E300" s="9">
        <v>645</v>
      </c>
      <c r="F300" s="9">
        <f>E300*D300</f>
        <v>425.70</v>
      </c>
      <c r="G300" s="8" t="s">
        <v>32</v>
      </c>
    </row>
    <row r="301" spans="1:7" ht="12.75">
      <c r="A301" s="11" t="s">
        <v>33</v>
      </c>
      <c r="B301" s="3"/>
      <c r="C301" s="3"/>
      <c r="D301" s="3"/>
      <c r="E301" s="3"/>
      <c r="F301" s="4"/>
      <c r="G301" s="12" t="s">
        <v>25</v>
      </c>
    </row>
    <row r="302" spans="1:7" ht="12.75">
      <c r="A302" s="26">
        <v>18.78</v>
      </c>
      <c r="B302" s="21"/>
      <c r="C302" s="22" t="s">
        <v>34</v>
      </c>
      <c r="D302" s="3"/>
      <c r="E302" s="4"/>
      <c r="F302" s="23"/>
      <c r="G302" s="4"/>
    </row>
    <row r="303" spans="1:7" ht="12.75">
      <c r="A303" s="5"/>
      <c r="B303" s="5"/>
      <c r="C303" s="24" t="s">
        <v>35</v>
      </c>
      <c r="D303" s="25">
        <v>10</v>
      </c>
      <c r="E303" s="25">
        <v>128.39</v>
      </c>
      <c r="F303" s="25">
        <f>D303*E303</f>
        <v>1283.90</v>
      </c>
      <c r="G303" s="24" t="s">
        <v>36</v>
      </c>
    </row>
    <row r="304" spans="1:7" ht="12.75">
      <c r="A304" s="14" t="s">
        <v>20</v>
      </c>
      <c r="B304" s="3"/>
      <c r="C304" s="4"/>
      <c r="D304" s="9">
        <v>10</v>
      </c>
      <c r="E304" s="15" t="s">
        <v>11</v>
      </c>
      <c r="F304" s="18">
        <f>F296+F298+F300+F303</f>
        <v>2439.56</v>
      </c>
      <c r="G304" s="15"/>
    </row>
    <row r="305" spans="1:7" ht="12.75">
      <c r="A305" s="14" t="s">
        <v>21</v>
      </c>
      <c r="B305" s="3"/>
      <c r="C305" s="4"/>
      <c r="D305" s="9">
        <v>1</v>
      </c>
      <c r="E305" s="15" t="s">
        <v>11</v>
      </c>
      <c r="F305" s="9">
        <f>F304/D304</f>
        <v>243.95599999999999</v>
      </c>
      <c r="G305" s="15"/>
    </row>
    <row r="306" spans="1:7" ht="12.75">
      <c r="A306" s="16" t="s">
        <v>22</v>
      </c>
      <c r="B306" s="3"/>
      <c r="C306" s="3"/>
      <c r="D306" s="4"/>
      <c r="E306" s="9"/>
      <c r="F306" s="9">
        <f>F305*1%</f>
        <v>2.4395600000000002</v>
      </c>
      <c r="G306" s="15"/>
    </row>
    <row r="307" spans="1:7" ht="12.75">
      <c r="A307" s="16" t="s">
        <v>20</v>
      </c>
      <c r="B307" s="3"/>
      <c r="C307" s="3"/>
      <c r="D307" s="4"/>
      <c r="E307" s="15"/>
      <c r="F307" s="9">
        <f>F305+F306</f>
        <v>246.39555999999999</v>
      </c>
      <c r="G307" s="15"/>
    </row>
    <row r="308" spans="1:7" ht="12.75">
      <c r="A308" s="16" t="s">
        <v>23</v>
      </c>
      <c r="B308" s="3"/>
      <c r="C308" s="3"/>
      <c r="D308" s="4"/>
      <c r="E308" s="9"/>
      <c r="F308" s="9">
        <f>F307*15%</f>
        <v>36.959333999999998</v>
      </c>
      <c r="G308" s="15"/>
    </row>
    <row r="309" spans="1:7" ht="12.75">
      <c r="A309" s="16" t="s">
        <v>20</v>
      </c>
      <c r="B309" s="3"/>
      <c r="C309" s="3"/>
      <c r="D309" s="4"/>
      <c r="E309" s="15"/>
      <c r="F309" s="17">
        <f>ROUND(F307+F308,2)</f>
        <v>283.35</v>
      </c>
      <c r="G309" s="15"/>
    </row>
    <row r="310" spans="1:7" ht="12.75">
      <c r="A310" s="19" t="str">
        <f>CONCATENATE("Say ₹ ",F293," + ",F309," x Cost Index")</f>
        <v>Say ₹ 80.03 + 283.35 x Cost Index</v>
      </c>
      <c r="B310" s="3"/>
      <c r="C310" s="3"/>
      <c r="D310" s="3"/>
      <c r="E310" s="3"/>
      <c r="F310" s="4"/>
      <c r="G310" s="20" t="s">
        <v>37</v>
      </c>
    </row>
    <row r="311" spans="1:7" ht="12.75">
      <c r="A311" s="1" t="s">
        <v>0</v>
      </c>
      <c r="B311" s="1" t="s">
        <v>1</v>
      </c>
      <c r="C311" s="2" t="s">
        <v>2</v>
      </c>
      <c r="D311" s="3"/>
      <c r="E311" s="4"/>
      <c r="F311" s="2" t="s">
        <v>3</v>
      </c>
      <c r="G311" s="4"/>
    </row>
    <row r="312" spans="1:7" ht="12.75">
      <c r="A312" s="5"/>
      <c r="B312" s="5"/>
      <c r="C312" s="6" t="s">
        <v>4</v>
      </c>
      <c r="D312" s="6" t="s">
        <v>5</v>
      </c>
      <c r="E312" s="6" t="s">
        <v>6</v>
      </c>
      <c r="F312" s="6" t="s">
        <v>7</v>
      </c>
      <c r="G312" s="6" t="s">
        <v>8</v>
      </c>
    </row>
    <row r="313" spans="1:7" ht="12.75">
      <c r="A313" s="7" t="s">
        <v>67</v>
      </c>
      <c r="B313" s="3"/>
      <c r="C313" s="3"/>
      <c r="D313" s="3"/>
      <c r="E313" s="3"/>
      <c r="F313" s="3"/>
      <c r="G313" s="4"/>
    </row>
    <row r="314" spans="1:7" ht="12.75">
      <c r="A314" s="27"/>
      <c r="B314" s="27" t="s">
        <v>10</v>
      </c>
      <c r="C314" s="27" t="s">
        <v>11</v>
      </c>
      <c r="D314" s="27" t="s">
        <v>12</v>
      </c>
      <c r="E314" s="18">
        <v>10</v>
      </c>
      <c r="F314" s="28"/>
      <c r="G314" s="4"/>
    </row>
    <row r="315" spans="1:7" ht="12.75">
      <c r="A315" s="27" t="s">
        <v>13</v>
      </c>
      <c r="B315" s="28" t="s">
        <v>39</v>
      </c>
      <c r="C315" s="3"/>
      <c r="D315" s="3"/>
      <c r="E315" s="3"/>
      <c r="F315" s="3"/>
      <c r="G315" s="4"/>
    </row>
    <row r="316" spans="1:7" ht="12.75">
      <c r="A316" s="11" t="s">
        <v>15</v>
      </c>
      <c r="B316" s="3"/>
      <c r="C316" s="3"/>
      <c r="D316" s="3"/>
      <c r="E316" s="3"/>
      <c r="F316" s="4"/>
      <c r="G316" s="12" t="s">
        <v>16</v>
      </c>
    </row>
    <row r="317" spans="1:7" ht="12.75">
      <c r="A317" s="29"/>
      <c r="B317" s="29" t="s">
        <v>68</v>
      </c>
      <c r="C317" s="28" t="s">
        <v>69</v>
      </c>
      <c r="D317" s="3"/>
      <c r="E317" s="4"/>
      <c r="F317" s="28"/>
      <c r="G317" s="4"/>
    </row>
    <row r="318" spans="1:7" ht="12.75">
      <c r="A318" s="5"/>
      <c r="B318" s="5"/>
      <c r="C318" s="27" t="s">
        <v>11</v>
      </c>
      <c r="D318" s="18">
        <v>13</v>
      </c>
      <c r="E318" s="18">
        <v>90</v>
      </c>
      <c r="F318" s="9">
        <f>E318*D318</f>
        <v>1170</v>
      </c>
      <c r="G318" s="27" t="s">
        <v>19</v>
      </c>
    </row>
    <row r="319" spans="1:7" ht="12.75">
      <c r="A319" s="14" t="s">
        <v>20</v>
      </c>
      <c r="B319" s="3"/>
      <c r="C319" s="4"/>
      <c r="D319" s="9">
        <v>10</v>
      </c>
      <c r="E319" s="15" t="s">
        <v>11</v>
      </c>
      <c r="F319" s="9">
        <f>F318</f>
        <v>1170</v>
      </c>
      <c r="G319" s="27"/>
    </row>
    <row r="320" spans="1:7" ht="12.75">
      <c r="A320" s="14" t="s">
        <v>21</v>
      </c>
      <c r="B320" s="3"/>
      <c r="C320" s="4"/>
      <c r="D320" s="9">
        <v>1</v>
      </c>
      <c r="E320" s="15" t="s">
        <v>11</v>
      </c>
      <c r="F320" s="9">
        <f>F319/D319</f>
        <v>117</v>
      </c>
      <c r="G320" s="27"/>
    </row>
    <row r="321" spans="1:7" ht="12.75">
      <c r="A321" s="16" t="s">
        <v>22</v>
      </c>
      <c r="B321" s="3"/>
      <c r="C321" s="3"/>
      <c r="D321" s="4"/>
      <c r="E321" s="9"/>
      <c r="F321" s="9">
        <f>F320*1%</f>
        <v>1.17</v>
      </c>
      <c r="G321" s="27"/>
    </row>
    <row r="322" spans="1:7" ht="12.75">
      <c r="A322" s="16" t="s">
        <v>20</v>
      </c>
      <c r="B322" s="3"/>
      <c r="C322" s="3"/>
      <c r="D322" s="4"/>
      <c r="E322" s="15"/>
      <c r="F322" s="9">
        <f>F320+F321</f>
        <v>118.17</v>
      </c>
      <c r="G322" s="27"/>
    </row>
    <row r="323" spans="1:7" ht="12.75">
      <c r="A323" s="16" t="s">
        <v>23</v>
      </c>
      <c r="B323" s="3"/>
      <c r="C323" s="3"/>
      <c r="D323" s="4"/>
      <c r="E323" s="9"/>
      <c r="F323" s="9">
        <f>F322*15%</f>
        <v>17.7255</v>
      </c>
      <c r="G323" s="27"/>
    </row>
    <row r="324" spans="1:7" ht="12.75">
      <c r="A324" s="16" t="s">
        <v>20</v>
      </c>
      <c r="B324" s="3"/>
      <c r="C324" s="3"/>
      <c r="D324" s="4"/>
      <c r="E324" s="15"/>
      <c r="F324" s="17">
        <f>ROUND(F322+F323,2)</f>
        <v>135.90</v>
      </c>
      <c r="G324" s="27"/>
    </row>
    <row r="325" spans="1:7" ht="12.75">
      <c r="A325" s="11" t="s">
        <v>24</v>
      </c>
      <c r="B325" s="3"/>
      <c r="C325" s="3"/>
      <c r="D325" s="3"/>
      <c r="E325" s="3"/>
      <c r="F325" s="4"/>
      <c r="G325" s="12" t="s">
        <v>25</v>
      </c>
    </row>
    <row r="326" spans="1:7" ht="12.75">
      <c r="A326" s="29">
        <v>116</v>
      </c>
      <c r="B326" s="29"/>
      <c r="C326" s="28" t="s">
        <v>26</v>
      </c>
      <c r="D326" s="3"/>
      <c r="E326" s="4"/>
      <c r="F326" s="28"/>
      <c r="G326" s="4"/>
    </row>
    <row r="327" spans="1:7" ht="12.75">
      <c r="A327" s="5"/>
      <c r="B327" s="5"/>
      <c r="C327" s="27" t="s">
        <v>27</v>
      </c>
      <c r="D327" s="18">
        <v>0.33</v>
      </c>
      <c r="E327" s="18">
        <v>784</v>
      </c>
      <c r="F327" s="9">
        <f>E327*D327</f>
        <v>258.72</v>
      </c>
      <c r="G327" s="27" t="s">
        <v>28</v>
      </c>
    </row>
    <row r="328" spans="1:7" ht="12.75">
      <c r="A328" s="29">
        <v>117</v>
      </c>
      <c r="B328" s="29"/>
      <c r="C328" s="28" t="s">
        <v>29</v>
      </c>
      <c r="D328" s="3"/>
      <c r="E328" s="4"/>
      <c r="F328" s="28"/>
      <c r="G328" s="4"/>
    </row>
    <row r="329" spans="1:7" ht="12.75">
      <c r="A329" s="5"/>
      <c r="B329" s="5"/>
      <c r="C329" s="27" t="s">
        <v>27</v>
      </c>
      <c r="D329" s="18">
        <v>0.66</v>
      </c>
      <c r="E329" s="18">
        <v>714</v>
      </c>
      <c r="F329" s="9">
        <f>E329*D329</f>
        <v>471.24</v>
      </c>
      <c r="G329" s="27" t="s">
        <v>30</v>
      </c>
    </row>
    <row r="330" spans="1:7" ht="12.75">
      <c r="A330" s="29">
        <v>114</v>
      </c>
      <c r="B330" s="29"/>
      <c r="C330" s="28" t="s">
        <v>31</v>
      </c>
      <c r="D330" s="3"/>
      <c r="E330" s="4"/>
      <c r="F330" s="28"/>
      <c r="G330" s="4"/>
    </row>
    <row r="331" spans="1:7" ht="12.75">
      <c r="A331" s="5"/>
      <c r="B331" s="5"/>
      <c r="C331" s="27" t="s">
        <v>27</v>
      </c>
      <c r="D331" s="18">
        <v>0.66</v>
      </c>
      <c r="E331" s="18">
        <v>645</v>
      </c>
      <c r="F331" s="9">
        <f>E331*D331</f>
        <v>425.70</v>
      </c>
      <c r="G331" s="27" t="s">
        <v>32</v>
      </c>
    </row>
    <row r="332" spans="1:7" ht="12.75">
      <c r="A332" s="11" t="s">
        <v>33</v>
      </c>
      <c r="B332" s="3"/>
      <c r="C332" s="3"/>
      <c r="D332" s="3"/>
      <c r="E332" s="3"/>
      <c r="F332" s="4"/>
      <c r="G332" s="12" t="s">
        <v>25</v>
      </c>
    </row>
    <row r="333" spans="1:7" ht="12.75">
      <c r="A333" s="26">
        <v>18.78</v>
      </c>
      <c r="B333" s="21"/>
      <c r="C333" s="22" t="s">
        <v>34</v>
      </c>
      <c r="D333" s="3"/>
      <c r="E333" s="4"/>
      <c r="F333" s="23"/>
      <c r="G333" s="4"/>
    </row>
    <row r="334" spans="1:7" ht="12.75">
      <c r="A334" s="5"/>
      <c r="B334" s="5"/>
      <c r="C334" s="24" t="s">
        <v>35</v>
      </c>
      <c r="D334" s="25">
        <v>10</v>
      </c>
      <c r="E334" s="25">
        <v>128.39</v>
      </c>
      <c r="F334" s="25">
        <f>D334*E334</f>
        <v>1283.90</v>
      </c>
      <c r="G334" s="24" t="s">
        <v>36</v>
      </c>
    </row>
    <row r="335" spans="1:7" ht="12.75">
      <c r="A335" s="14" t="s">
        <v>20</v>
      </c>
      <c r="B335" s="3"/>
      <c r="C335" s="4"/>
      <c r="D335" s="9">
        <v>10</v>
      </c>
      <c r="E335" s="15" t="s">
        <v>11</v>
      </c>
      <c r="F335" s="18">
        <f>F327+F329+F331+F334</f>
        <v>2439.56</v>
      </c>
      <c r="G335" s="15"/>
    </row>
    <row r="336" spans="1:7" ht="12.75">
      <c r="A336" s="14" t="s">
        <v>21</v>
      </c>
      <c r="B336" s="3"/>
      <c r="C336" s="4"/>
      <c r="D336" s="9">
        <v>1</v>
      </c>
      <c r="E336" s="15" t="s">
        <v>11</v>
      </c>
      <c r="F336" s="9">
        <f>F335/D335</f>
        <v>243.95599999999999</v>
      </c>
      <c r="G336" s="15"/>
    </row>
    <row r="337" spans="1:7" ht="12.75">
      <c r="A337" s="16" t="s">
        <v>22</v>
      </c>
      <c r="B337" s="3"/>
      <c r="C337" s="3"/>
      <c r="D337" s="4"/>
      <c r="E337" s="9"/>
      <c r="F337" s="9">
        <f>F336*1%</f>
        <v>2.4395600000000002</v>
      </c>
      <c r="G337" s="15"/>
    </row>
    <row r="338" spans="1:7" ht="12.75">
      <c r="A338" s="16" t="s">
        <v>20</v>
      </c>
      <c r="B338" s="3"/>
      <c r="C338" s="3"/>
      <c r="D338" s="4"/>
      <c r="E338" s="15"/>
      <c r="F338" s="9">
        <f>F336+F337</f>
        <v>246.39555999999999</v>
      </c>
      <c r="G338" s="15"/>
    </row>
    <row r="339" spans="1:7" ht="12.75">
      <c r="A339" s="16" t="s">
        <v>23</v>
      </c>
      <c r="B339" s="3"/>
      <c r="C339" s="3"/>
      <c r="D339" s="4"/>
      <c r="E339" s="9"/>
      <c r="F339" s="9">
        <f>F338*15%</f>
        <v>36.959333999999998</v>
      </c>
      <c r="G339" s="15"/>
    </row>
    <row r="340" spans="1:7" ht="12.75">
      <c r="A340" s="16" t="s">
        <v>20</v>
      </c>
      <c r="B340" s="3"/>
      <c r="C340" s="3"/>
      <c r="D340" s="4"/>
      <c r="E340" s="15"/>
      <c r="F340" s="17">
        <f>ROUND(F338+F339,2)</f>
        <v>283.35</v>
      </c>
      <c r="G340" s="15"/>
    </row>
    <row r="341" spans="1:7" ht="12.75">
      <c r="A341" s="19" t="str">
        <f>CONCATENATE("Say ₹ ",F324," + ",F340," x Cost Index")</f>
        <v>Say ₹ 135.9 + 283.35 x Cost Index</v>
      </c>
      <c r="B341" s="3"/>
      <c r="C341" s="3"/>
      <c r="D341" s="3"/>
      <c r="E341" s="3"/>
      <c r="F341" s="4"/>
      <c r="G341" s="20" t="s">
        <v>37</v>
      </c>
    </row>
    <row r="342" spans="1:7" ht="12.75">
      <c r="A342" s="1" t="s">
        <v>0</v>
      </c>
      <c r="B342" s="1" t="s">
        <v>1</v>
      </c>
      <c r="C342" s="2" t="s">
        <v>2</v>
      </c>
      <c r="D342" s="3"/>
      <c r="E342" s="4"/>
      <c r="F342" s="2" t="s">
        <v>3</v>
      </c>
      <c r="G342" s="4"/>
    </row>
    <row r="343" spans="1:7" ht="12.75">
      <c r="A343" s="5"/>
      <c r="B343" s="5"/>
      <c r="C343" s="6" t="s">
        <v>4</v>
      </c>
      <c r="D343" s="6" t="s">
        <v>5</v>
      </c>
      <c r="E343" s="6" t="s">
        <v>6</v>
      </c>
      <c r="F343" s="6" t="s">
        <v>7</v>
      </c>
      <c r="G343" s="6" t="s">
        <v>8</v>
      </c>
    </row>
    <row r="344" spans="1:7" ht="12.75">
      <c r="A344" s="7" t="s">
        <v>70</v>
      </c>
      <c r="B344" s="3"/>
      <c r="C344" s="3"/>
      <c r="D344" s="3"/>
      <c r="E344" s="3"/>
      <c r="F344" s="3"/>
      <c r="G344" s="4"/>
    </row>
    <row r="345" spans="1:7" ht="12.75">
      <c r="A345" s="8"/>
      <c r="B345" s="8" t="s">
        <v>10</v>
      </c>
      <c r="C345" s="8" t="s">
        <v>11</v>
      </c>
      <c r="D345" s="8" t="s">
        <v>12</v>
      </c>
      <c r="E345" s="9">
        <v>10</v>
      </c>
      <c r="F345" s="10"/>
      <c r="G345" s="4"/>
    </row>
    <row r="346" spans="1:7" ht="12.75">
      <c r="A346" s="8" t="s">
        <v>13</v>
      </c>
      <c r="B346" s="10" t="s">
        <v>39</v>
      </c>
      <c r="C346" s="3"/>
      <c r="D346" s="3"/>
      <c r="E346" s="3"/>
      <c r="F346" s="3"/>
      <c r="G346" s="4"/>
    </row>
    <row r="347" spans="1:7" ht="12.75">
      <c r="A347" s="11" t="s">
        <v>15</v>
      </c>
      <c r="B347" s="3"/>
      <c r="C347" s="3"/>
      <c r="D347" s="3"/>
      <c r="E347" s="3"/>
      <c r="F347" s="4"/>
      <c r="G347" s="12" t="s">
        <v>16</v>
      </c>
    </row>
    <row r="348" spans="1:7" ht="12.75">
      <c r="A348" s="13"/>
      <c r="B348" s="13" t="s">
        <v>71</v>
      </c>
      <c r="C348" s="10" t="s">
        <v>72</v>
      </c>
      <c r="D348" s="3"/>
      <c r="E348" s="4"/>
      <c r="F348" s="10"/>
      <c r="G348" s="4"/>
    </row>
    <row r="349" spans="1:7" ht="12.75">
      <c r="A349" s="5"/>
      <c r="B349" s="5"/>
      <c r="C349" s="8" t="s">
        <v>11</v>
      </c>
      <c r="D349" s="9">
        <v>13</v>
      </c>
      <c r="E349" s="9">
        <v>60</v>
      </c>
      <c r="F349" s="9">
        <f>E349*D349</f>
        <v>780</v>
      </c>
      <c r="G349" s="8" t="s">
        <v>19</v>
      </c>
    </row>
    <row r="350" spans="1:7" ht="12.75">
      <c r="A350" s="14" t="s">
        <v>20</v>
      </c>
      <c r="B350" s="3"/>
      <c r="C350" s="4"/>
      <c r="D350" s="9">
        <v>10</v>
      </c>
      <c r="E350" s="15" t="s">
        <v>11</v>
      </c>
      <c r="F350" s="9">
        <f>F349</f>
        <v>780</v>
      </c>
      <c r="G350" s="8"/>
    </row>
    <row r="351" spans="1:7" ht="12.75">
      <c r="A351" s="14" t="s">
        <v>21</v>
      </c>
      <c r="B351" s="3"/>
      <c r="C351" s="4"/>
      <c r="D351" s="9">
        <v>1</v>
      </c>
      <c r="E351" s="15" t="s">
        <v>11</v>
      </c>
      <c r="F351" s="9">
        <f>F350/D350</f>
        <v>78</v>
      </c>
      <c r="G351" s="8"/>
    </row>
    <row r="352" spans="1:7" ht="12.75">
      <c r="A352" s="16" t="s">
        <v>22</v>
      </c>
      <c r="B352" s="3"/>
      <c r="C352" s="3"/>
      <c r="D352" s="4"/>
      <c r="E352" s="9"/>
      <c r="F352" s="9">
        <f>F351*1%</f>
        <v>0.78</v>
      </c>
      <c r="G352" s="8"/>
    </row>
    <row r="353" spans="1:7" ht="12.75">
      <c r="A353" s="16" t="s">
        <v>20</v>
      </c>
      <c r="B353" s="3"/>
      <c r="C353" s="3"/>
      <c r="D353" s="4"/>
      <c r="E353" s="15"/>
      <c r="F353" s="9">
        <f>F351+F352</f>
        <v>78.78</v>
      </c>
      <c r="G353" s="8"/>
    </row>
    <row r="354" spans="1:7" ht="12.75">
      <c r="A354" s="16" t="s">
        <v>23</v>
      </c>
      <c r="B354" s="3"/>
      <c r="C354" s="3"/>
      <c r="D354" s="4"/>
      <c r="E354" s="9"/>
      <c r="F354" s="9">
        <f>F353*15%</f>
        <v>11.817</v>
      </c>
      <c r="G354" s="8"/>
    </row>
    <row r="355" spans="1:7" ht="12.75">
      <c r="A355" s="16" t="s">
        <v>20</v>
      </c>
      <c r="B355" s="3"/>
      <c r="C355" s="3"/>
      <c r="D355" s="4"/>
      <c r="E355" s="15"/>
      <c r="F355" s="17">
        <f>ROUND(F353+F354,2)</f>
        <v>90.60</v>
      </c>
      <c r="G355" s="8"/>
    </row>
    <row r="356" spans="1:7" ht="12.75">
      <c r="A356" s="11" t="s">
        <v>24</v>
      </c>
      <c r="B356" s="3"/>
      <c r="C356" s="3"/>
      <c r="D356" s="3"/>
      <c r="E356" s="3"/>
      <c r="F356" s="4"/>
      <c r="G356" s="12" t="s">
        <v>25</v>
      </c>
    </row>
    <row r="357" spans="1:7" ht="12.75">
      <c r="A357" s="13">
        <v>116</v>
      </c>
      <c r="B357" s="13"/>
      <c r="C357" s="10" t="s">
        <v>26</v>
      </c>
      <c r="D357" s="3"/>
      <c r="E357" s="4"/>
      <c r="F357" s="10"/>
      <c r="G357" s="4"/>
    </row>
    <row r="358" spans="1:7" ht="12.75">
      <c r="A358" s="5"/>
      <c r="B358" s="5"/>
      <c r="C358" s="8" t="s">
        <v>27</v>
      </c>
      <c r="D358" s="9">
        <v>0.33</v>
      </c>
      <c r="E358" s="9">
        <v>784</v>
      </c>
      <c r="F358" s="9">
        <f>E358*D358</f>
        <v>258.72</v>
      </c>
      <c r="G358" s="8" t="s">
        <v>28</v>
      </c>
    </row>
    <row r="359" spans="1:7" ht="12.75">
      <c r="A359" s="13">
        <v>117</v>
      </c>
      <c r="B359" s="13"/>
      <c r="C359" s="10" t="s">
        <v>29</v>
      </c>
      <c r="D359" s="3"/>
      <c r="E359" s="4"/>
      <c r="F359" s="10"/>
      <c r="G359" s="4"/>
    </row>
    <row r="360" spans="1:7" ht="12.75">
      <c r="A360" s="5"/>
      <c r="B360" s="5"/>
      <c r="C360" s="8" t="s">
        <v>27</v>
      </c>
      <c r="D360" s="9">
        <v>0.66</v>
      </c>
      <c r="E360" s="9">
        <v>714</v>
      </c>
      <c r="F360" s="9">
        <f>E360*D360</f>
        <v>471.24</v>
      </c>
      <c r="G360" s="8" t="s">
        <v>30</v>
      </c>
    </row>
    <row r="361" spans="1:7" ht="12.75">
      <c r="A361" s="13">
        <v>114</v>
      </c>
      <c r="B361" s="13"/>
      <c r="C361" s="10" t="s">
        <v>31</v>
      </c>
      <c r="D361" s="3"/>
      <c r="E361" s="4"/>
      <c r="F361" s="10"/>
      <c r="G361" s="4"/>
    </row>
    <row r="362" spans="1:7" ht="12.75">
      <c r="A362" s="5"/>
      <c r="B362" s="5"/>
      <c r="C362" s="8" t="s">
        <v>27</v>
      </c>
      <c r="D362" s="9">
        <v>0.66</v>
      </c>
      <c r="E362" s="9">
        <v>645</v>
      </c>
      <c r="F362" s="9">
        <f>E362*D362</f>
        <v>425.70</v>
      </c>
      <c r="G362" s="8" t="s">
        <v>32</v>
      </c>
    </row>
    <row r="363" spans="1:7" ht="12.75">
      <c r="A363" s="11" t="s">
        <v>33</v>
      </c>
      <c r="B363" s="3"/>
      <c r="C363" s="3"/>
      <c r="D363" s="3"/>
      <c r="E363" s="3"/>
      <c r="F363" s="4"/>
      <c r="G363" s="12" t="s">
        <v>25</v>
      </c>
    </row>
    <row r="364" spans="1:7" ht="12.75">
      <c r="A364" s="26">
        <v>18.78</v>
      </c>
      <c r="B364" s="21"/>
      <c r="C364" s="22" t="s">
        <v>34</v>
      </c>
      <c r="D364" s="3"/>
      <c r="E364" s="4"/>
      <c r="F364" s="23"/>
      <c r="G364" s="4"/>
    </row>
    <row r="365" spans="1:7" ht="12.75">
      <c r="A365" s="5"/>
      <c r="B365" s="5"/>
      <c r="C365" s="24" t="s">
        <v>35</v>
      </c>
      <c r="D365" s="25">
        <v>10</v>
      </c>
      <c r="E365" s="25">
        <v>128.39</v>
      </c>
      <c r="F365" s="25">
        <f>D365*E365</f>
        <v>1283.90</v>
      </c>
      <c r="G365" s="24" t="s">
        <v>36</v>
      </c>
    </row>
    <row r="366" spans="1:7" ht="12.75">
      <c r="A366" s="14" t="s">
        <v>20</v>
      </c>
      <c r="B366" s="3"/>
      <c r="C366" s="4"/>
      <c r="D366" s="9">
        <v>10</v>
      </c>
      <c r="E366" s="15" t="s">
        <v>11</v>
      </c>
      <c r="F366" s="18">
        <f>F358+F360+F362+F365</f>
        <v>2439.56</v>
      </c>
      <c r="G366" s="15"/>
    </row>
    <row r="367" spans="1:7" ht="12.75">
      <c r="A367" s="14" t="s">
        <v>21</v>
      </c>
      <c r="B367" s="3"/>
      <c r="C367" s="4"/>
      <c r="D367" s="9">
        <v>1</v>
      </c>
      <c r="E367" s="15" t="s">
        <v>11</v>
      </c>
      <c r="F367" s="9">
        <f>F366/D366</f>
        <v>243.95599999999999</v>
      </c>
      <c r="G367" s="15"/>
    </row>
    <row r="368" spans="1:7" ht="12.75">
      <c r="A368" s="16" t="s">
        <v>22</v>
      </c>
      <c r="B368" s="3"/>
      <c r="C368" s="3"/>
      <c r="D368" s="4"/>
      <c r="E368" s="9"/>
      <c r="F368" s="9">
        <f>F367*1%</f>
        <v>2.4395600000000002</v>
      </c>
      <c r="G368" s="15"/>
    </row>
    <row r="369" spans="1:7" ht="12.75">
      <c r="A369" s="16" t="s">
        <v>20</v>
      </c>
      <c r="B369" s="3"/>
      <c r="C369" s="3"/>
      <c r="D369" s="4"/>
      <c r="E369" s="15"/>
      <c r="F369" s="9">
        <f>F367+F368</f>
        <v>246.39555999999999</v>
      </c>
      <c r="G369" s="15"/>
    </row>
    <row r="370" spans="1:7" ht="12.75">
      <c r="A370" s="16" t="s">
        <v>23</v>
      </c>
      <c r="B370" s="3"/>
      <c r="C370" s="3"/>
      <c r="D370" s="4"/>
      <c r="E370" s="9"/>
      <c r="F370" s="9">
        <f>F369*15%</f>
        <v>36.959333999999998</v>
      </c>
      <c r="G370" s="15"/>
    </row>
    <row r="371" spans="1:7" ht="12.75">
      <c r="A371" s="16" t="s">
        <v>20</v>
      </c>
      <c r="B371" s="3"/>
      <c r="C371" s="3"/>
      <c r="D371" s="4"/>
      <c r="E371" s="15"/>
      <c r="F371" s="17">
        <f>ROUND(F369+F370,2)</f>
        <v>283.35</v>
      </c>
      <c r="G371" s="15"/>
    </row>
    <row r="372" spans="1:7" ht="12.75">
      <c r="A372" s="19" t="str">
        <f>CONCATENATE("Say ₹ ",F355," + ",F371," x Cost Index")</f>
        <v>Say ₹ 90.6 + 283.35 x Cost Index</v>
      </c>
      <c r="B372" s="3"/>
      <c r="C372" s="3"/>
      <c r="D372" s="3"/>
      <c r="E372" s="3"/>
      <c r="F372" s="4"/>
      <c r="G372" s="20" t="s">
        <v>37</v>
      </c>
    </row>
    <row r="373" spans="1:7" ht="12.75">
      <c r="A373" s="1" t="s">
        <v>0</v>
      </c>
      <c r="B373" s="1" t="s">
        <v>1</v>
      </c>
      <c r="C373" s="2" t="s">
        <v>2</v>
      </c>
      <c r="D373" s="3"/>
      <c r="E373" s="4"/>
      <c r="F373" s="2" t="s">
        <v>3</v>
      </c>
      <c r="G373" s="4"/>
    </row>
    <row r="374" spans="1:7" ht="12.75">
      <c r="A374" s="5"/>
      <c r="B374" s="5"/>
      <c r="C374" s="6" t="s">
        <v>4</v>
      </c>
      <c r="D374" s="6" t="s">
        <v>5</v>
      </c>
      <c r="E374" s="6" t="s">
        <v>6</v>
      </c>
      <c r="F374" s="6" t="s">
        <v>7</v>
      </c>
      <c r="G374" s="6" t="s">
        <v>8</v>
      </c>
    </row>
    <row r="375" spans="1:7" ht="12.75">
      <c r="A375" s="7" t="s">
        <v>73</v>
      </c>
      <c r="B375" s="3"/>
      <c r="C375" s="3"/>
      <c r="D375" s="3"/>
      <c r="E375" s="3"/>
      <c r="F375" s="3"/>
      <c r="G375" s="4"/>
    </row>
    <row r="376" spans="1:7" ht="12.75">
      <c r="A376" s="8"/>
      <c r="B376" s="8" t="s">
        <v>10</v>
      </c>
      <c r="C376" s="8" t="s">
        <v>11</v>
      </c>
      <c r="D376" s="8" t="s">
        <v>12</v>
      </c>
      <c r="E376" s="9">
        <v>10</v>
      </c>
      <c r="F376" s="10"/>
      <c r="G376" s="4"/>
    </row>
    <row r="377" spans="1:7" ht="12.75">
      <c r="A377" s="8" t="s">
        <v>13</v>
      </c>
      <c r="B377" s="10" t="s">
        <v>39</v>
      </c>
      <c r="C377" s="3"/>
      <c r="D377" s="3"/>
      <c r="E377" s="3"/>
      <c r="F377" s="3"/>
      <c r="G377" s="4"/>
    </row>
    <row r="378" spans="1:7" ht="12.75">
      <c r="A378" s="11" t="s">
        <v>15</v>
      </c>
      <c r="B378" s="3"/>
      <c r="C378" s="3"/>
      <c r="D378" s="3"/>
      <c r="E378" s="3"/>
      <c r="F378" s="4"/>
      <c r="G378" s="12" t="s">
        <v>16</v>
      </c>
    </row>
    <row r="379" spans="1:7" ht="12.75">
      <c r="A379" s="13"/>
      <c r="B379" s="13" t="s">
        <v>74</v>
      </c>
      <c r="C379" s="10" t="s">
        <v>75</v>
      </c>
      <c r="D379" s="3"/>
      <c r="E379" s="4"/>
      <c r="F379" s="10"/>
      <c r="G379" s="4"/>
    </row>
    <row r="380" spans="1:7" ht="12.75">
      <c r="A380" s="5"/>
      <c r="B380" s="5"/>
      <c r="C380" s="8" t="s">
        <v>11</v>
      </c>
      <c r="D380" s="9">
        <v>10.50</v>
      </c>
      <c r="E380" s="9">
        <v>118</v>
      </c>
      <c r="F380" s="9">
        <f>E380*D380</f>
        <v>1239</v>
      </c>
      <c r="G380" s="8" t="s">
        <v>19</v>
      </c>
    </row>
    <row r="381" spans="1:7" ht="12.75">
      <c r="A381" s="14" t="s">
        <v>20</v>
      </c>
      <c r="B381" s="3"/>
      <c r="C381" s="4"/>
      <c r="D381" s="9">
        <v>10</v>
      </c>
      <c r="E381" s="15" t="s">
        <v>11</v>
      </c>
      <c r="F381" s="9">
        <f>F380</f>
        <v>1239</v>
      </c>
      <c r="G381" s="8"/>
    </row>
    <row r="382" spans="1:7" ht="12.75">
      <c r="A382" s="14" t="s">
        <v>21</v>
      </c>
      <c r="B382" s="3"/>
      <c r="C382" s="4"/>
      <c r="D382" s="9">
        <v>1</v>
      </c>
      <c r="E382" s="15" t="s">
        <v>11</v>
      </c>
      <c r="F382" s="9">
        <f>F381/D381</f>
        <v>123.90</v>
      </c>
      <c r="G382" s="8"/>
    </row>
    <row r="383" spans="1:7" ht="12.75">
      <c r="A383" s="16" t="s">
        <v>22</v>
      </c>
      <c r="B383" s="3"/>
      <c r="C383" s="3"/>
      <c r="D383" s="4"/>
      <c r="E383" s="9"/>
      <c r="F383" s="9">
        <f>F382*1%</f>
        <v>1.2390000000000001</v>
      </c>
      <c r="G383" s="8"/>
    </row>
    <row r="384" spans="1:7" ht="12.75">
      <c r="A384" s="16" t="s">
        <v>20</v>
      </c>
      <c r="B384" s="3"/>
      <c r="C384" s="3"/>
      <c r="D384" s="4"/>
      <c r="E384" s="15"/>
      <c r="F384" s="9">
        <f>F382+F383</f>
        <v>125.139</v>
      </c>
      <c r="G384" s="8"/>
    </row>
    <row r="385" spans="1:7" ht="12.75">
      <c r="A385" s="16" t="s">
        <v>23</v>
      </c>
      <c r="B385" s="3"/>
      <c r="C385" s="3"/>
      <c r="D385" s="4"/>
      <c r="E385" s="9"/>
      <c r="F385" s="9">
        <f>F384*15%</f>
        <v>18.770849999999999</v>
      </c>
      <c r="G385" s="8"/>
    </row>
    <row r="386" spans="1:7" ht="12.75">
      <c r="A386" s="16" t="s">
        <v>20</v>
      </c>
      <c r="B386" s="3"/>
      <c r="C386" s="3"/>
      <c r="D386" s="4"/>
      <c r="E386" s="15"/>
      <c r="F386" s="17">
        <f>ROUND(F384+F385,2)</f>
        <v>143.91</v>
      </c>
      <c r="G386" s="8"/>
    </row>
    <row r="387" spans="1:7" ht="12.75">
      <c r="A387" s="11" t="s">
        <v>24</v>
      </c>
      <c r="B387" s="3"/>
      <c r="C387" s="3"/>
      <c r="D387" s="3"/>
      <c r="E387" s="3"/>
      <c r="F387" s="4"/>
      <c r="G387" s="12" t="s">
        <v>25</v>
      </c>
    </row>
    <row r="388" spans="1:7" ht="12.75">
      <c r="A388" s="13">
        <v>116</v>
      </c>
      <c r="B388" s="13"/>
      <c r="C388" s="10" t="s">
        <v>26</v>
      </c>
      <c r="D388" s="3"/>
      <c r="E388" s="4"/>
      <c r="F388" s="10"/>
      <c r="G388" s="4"/>
    </row>
    <row r="389" spans="1:7" ht="12.75">
      <c r="A389" s="5"/>
      <c r="B389" s="5"/>
      <c r="C389" s="8" t="s">
        <v>27</v>
      </c>
      <c r="D389" s="9">
        <v>0.33</v>
      </c>
      <c r="E389" s="9">
        <v>784</v>
      </c>
      <c r="F389" s="9">
        <f>E389*D389</f>
        <v>258.72</v>
      </c>
      <c r="G389" s="8" t="s">
        <v>28</v>
      </c>
    </row>
    <row r="390" spans="1:7" ht="12.75">
      <c r="A390" s="13">
        <v>117</v>
      </c>
      <c r="B390" s="13"/>
      <c r="C390" s="10" t="s">
        <v>29</v>
      </c>
      <c r="D390" s="3"/>
      <c r="E390" s="4"/>
      <c r="F390" s="10"/>
      <c r="G390" s="4"/>
    </row>
    <row r="391" spans="1:7" ht="12.75">
      <c r="A391" s="5"/>
      <c r="B391" s="5"/>
      <c r="C391" s="8" t="s">
        <v>27</v>
      </c>
      <c r="D391" s="9">
        <v>0.66</v>
      </c>
      <c r="E391" s="9">
        <v>714</v>
      </c>
      <c r="F391" s="9">
        <f>E391*D391</f>
        <v>471.24</v>
      </c>
      <c r="G391" s="8" t="s">
        <v>30</v>
      </c>
    </row>
    <row r="392" spans="1:7" ht="12.75">
      <c r="A392" s="13">
        <v>114</v>
      </c>
      <c r="B392" s="13"/>
      <c r="C392" s="10" t="s">
        <v>31</v>
      </c>
      <c r="D392" s="3"/>
      <c r="E392" s="4"/>
      <c r="F392" s="10"/>
      <c r="G392" s="4"/>
    </row>
    <row r="393" spans="1:7" ht="12.75">
      <c r="A393" s="5"/>
      <c r="B393" s="5"/>
      <c r="C393" s="8" t="s">
        <v>27</v>
      </c>
      <c r="D393" s="9">
        <v>0.66</v>
      </c>
      <c r="E393" s="9">
        <v>645</v>
      </c>
      <c r="F393" s="9">
        <f>E393*D393</f>
        <v>425.70</v>
      </c>
      <c r="G393" s="8" t="s">
        <v>32</v>
      </c>
    </row>
    <row r="394" spans="1:7" ht="12.75">
      <c r="A394" s="11" t="s">
        <v>33</v>
      </c>
      <c r="B394" s="3"/>
      <c r="C394" s="3"/>
      <c r="D394" s="3"/>
      <c r="E394" s="3"/>
      <c r="F394" s="4"/>
      <c r="G394" s="12" t="s">
        <v>25</v>
      </c>
    </row>
    <row r="395" spans="1:7" ht="12.75">
      <c r="A395" s="13" t="s">
        <v>76</v>
      </c>
      <c r="B395" s="21"/>
      <c r="C395" s="22" t="s">
        <v>77</v>
      </c>
      <c r="D395" s="3"/>
      <c r="E395" s="4"/>
      <c r="F395" s="23"/>
      <c r="G395" s="4"/>
    </row>
    <row r="396" spans="1:7" ht="12.75">
      <c r="A396" s="5"/>
      <c r="B396" s="5"/>
      <c r="C396" s="24" t="s">
        <v>35</v>
      </c>
      <c r="D396" s="25">
        <v>10</v>
      </c>
      <c r="E396" s="25">
        <v>210.03</v>
      </c>
      <c r="F396" s="25">
        <f>D396*E396</f>
        <v>2100.30</v>
      </c>
      <c r="G396" s="24" t="s">
        <v>36</v>
      </c>
    </row>
    <row r="397" spans="1:7" ht="12.75">
      <c r="A397" s="14" t="s">
        <v>20</v>
      </c>
      <c r="B397" s="3"/>
      <c r="C397" s="4"/>
      <c r="D397" s="9">
        <v>10</v>
      </c>
      <c r="E397" s="15" t="s">
        <v>11</v>
      </c>
      <c r="F397" s="18">
        <f>F389+F391+F393+F396</f>
        <v>3255.96</v>
      </c>
      <c r="G397" s="15"/>
    </row>
    <row r="398" spans="1:7" ht="12.75">
      <c r="A398" s="14" t="s">
        <v>21</v>
      </c>
      <c r="B398" s="3"/>
      <c r="C398" s="4"/>
      <c r="D398" s="9">
        <v>1</v>
      </c>
      <c r="E398" s="15" t="s">
        <v>11</v>
      </c>
      <c r="F398" s="9">
        <f>F397/D397</f>
        <v>325.596</v>
      </c>
      <c r="G398" s="15"/>
    </row>
    <row r="399" spans="1:7" ht="12.75">
      <c r="A399" s="16" t="s">
        <v>22</v>
      </c>
      <c r="B399" s="3"/>
      <c r="C399" s="3"/>
      <c r="D399" s="4"/>
      <c r="E399" s="9"/>
      <c r="F399" s="9">
        <f>F398*1%</f>
        <v>3.25596</v>
      </c>
      <c r="G399" s="15"/>
    </row>
    <row r="400" spans="1:7" ht="12.75">
      <c r="A400" s="16" t="s">
        <v>20</v>
      </c>
      <c r="B400" s="3"/>
      <c r="C400" s="3"/>
      <c r="D400" s="4"/>
      <c r="E400" s="15"/>
      <c r="F400" s="9">
        <f>F398+F399</f>
        <v>328.85196000000002</v>
      </c>
      <c r="G400" s="15"/>
    </row>
    <row r="401" spans="1:7" ht="12.75">
      <c r="A401" s="16" t="s">
        <v>23</v>
      </c>
      <c r="B401" s="3"/>
      <c r="C401" s="3"/>
      <c r="D401" s="4"/>
      <c r="E401" s="9"/>
      <c r="F401" s="9">
        <f>F400*15%</f>
        <v>49.327793999999997</v>
      </c>
      <c r="G401" s="15"/>
    </row>
    <row r="402" spans="1:7" ht="12.75">
      <c r="A402" s="16" t="s">
        <v>20</v>
      </c>
      <c r="B402" s="3"/>
      <c r="C402" s="3"/>
      <c r="D402" s="4"/>
      <c r="E402" s="15"/>
      <c r="F402" s="17">
        <f>ROUND(F400+F401,2)</f>
        <v>378.18</v>
      </c>
      <c r="G402" s="15"/>
    </row>
    <row r="403" spans="1:7" ht="12.75">
      <c r="A403" s="19" t="str">
        <f>CONCATENATE("Say ₹ ",F386," + ",F402," x Cost Index")</f>
        <v>Say ₹ 143.91 + 378.18 x Cost Index</v>
      </c>
      <c r="B403" s="3"/>
      <c r="C403" s="3"/>
      <c r="D403" s="3"/>
      <c r="E403" s="3"/>
      <c r="F403" s="4"/>
      <c r="G403" s="20" t="s">
        <v>37</v>
      </c>
    </row>
    <row r="404" spans="1:7" ht="12.75">
      <c r="A404" s="1" t="s">
        <v>0</v>
      </c>
      <c r="B404" s="1" t="s">
        <v>1</v>
      </c>
      <c r="C404" s="2" t="s">
        <v>2</v>
      </c>
      <c r="D404" s="3"/>
      <c r="E404" s="4"/>
      <c r="F404" s="2" t="s">
        <v>3</v>
      </c>
      <c r="G404" s="4"/>
    </row>
    <row r="405" spans="1:7" ht="12.75">
      <c r="A405" s="5"/>
      <c r="B405" s="5"/>
      <c r="C405" s="6" t="s">
        <v>4</v>
      </c>
      <c r="D405" s="6" t="s">
        <v>5</v>
      </c>
      <c r="E405" s="6" t="s">
        <v>6</v>
      </c>
      <c r="F405" s="6" t="s">
        <v>7</v>
      </c>
      <c r="G405" s="6" t="s">
        <v>8</v>
      </c>
    </row>
    <row r="406" spans="1:7" ht="12.75">
      <c r="A406" s="7" t="s">
        <v>78</v>
      </c>
      <c r="B406" s="3"/>
      <c r="C406" s="3"/>
      <c r="D406" s="3"/>
      <c r="E406" s="3"/>
      <c r="F406" s="3"/>
      <c r="G406" s="4"/>
    </row>
    <row r="407" spans="1:7" ht="12.75">
      <c r="A407" s="8"/>
      <c r="B407" s="8" t="s">
        <v>10</v>
      </c>
      <c r="C407" s="8" t="s">
        <v>11</v>
      </c>
      <c r="D407" s="8" t="s">
        <v>12</v>
      </c>
      <c r="E407" s="9">
        <v>10</v>
      </c>
      <c r="F407" s="10"/>
      <c r="G407" s="4"/>
    </row>
    <row r="408" spans="1:7" ht="12.75">
      <c r="A408" s="8" t="s">
        <v>13</v>
      </c>
      <c r="B408" s="10" t="s">
        <v>39</v>
      </c>
      <c r="C408" s="3"/>
      <c r="D408" s="3"/>
      <c r="E408" s="3"/>
      <c r="F408" s="3"/>
      <c r="G408" s="4"/>
    </row>
    <row r="409" spans="1:7" ht="12.75">
      <c r="A409" s="11" t="s">
        <v>15</v>
      </c>
      <c r="B409" s="3"/>
      <c r="C409" s="3"/>
      <c r="D409" s="3"/>
      <c r="E409" s="3"/>
      <c r="F409" s="4"/>
      <c r="G409" s="12" t="s">
        <v>16</v>
      </c>
    </row>
    <row r="410" spans="1:7" ht="12.75">
      <c r="A410" s="13"/>
      <c r="B410" s="13" t="s">
        <v>79</v>
      </c>
      <c r="C410" s="10" t="s">
        <v>80</v>
      </c>
      <c r="D410" s="3"/>
      <c r="E410" s="4"/>
      <c r="F410" s="10"/>
      <c r="G410" s="4"/>
    </row>
    <row r="411" spans="1:7" ht="12.75">
      <c r="A411" s="5"/>
      <c r="B411" s="5"/>
      <c r="C411" s="8" t="s">
        <v>11</v>
      </c>
      <c r="D411" s="9">
        <v>10.50</v>
      </c>
      <c r="E411" s="9">
        <v>83</v>
      </c>
      <c r="F411" s="9">
        <f>E411*D411</f>
        <v>871.50</v>
      </c>
      <c r="G411" s="8" t="s">
        <v>19</v>
      </c>
    </row>
    <row r="412" spans="1:7" ht="12.75">
      <c r="A412" s="14" t="s">
        <v>20</v>
      </c>
      <c r="B412" s="3"/>
      <c r="C412" s="4"/>
      <c r="D412" s="9">
        <v>10</v>
      </c>
      <c r="E412" s="15" t="s">
        <v>11</v>
      </c>
      <c r="F412" s="9">
        <f>F411</f>
        <v>871.50</v>
      </c>
      <c r="G412" s="8"/>
    </row>
    <row r="413" spans="1:7" ht="12.75">
      <c r="A413" s="14" t="s">
        <v>21</v>
      </c>
      <c r="B413" s="3"/>
      <c r="C413" s="4"/>
      <c r="D413" s="9">
        <v>1</v>
      </c>
      <c r="E413" s="15" t="s">
        <v>11</v>
      </c>
      <c r="F413" s="9">
        <f>F412/D412</f>
        <v>87.15</v>
      </c>
      <c r="G413" s="8"/>
    </row>
    <row r="414" spans="1:7" ht="12.75">
      <c r="A414" s="16" t="s">
        <v>22</v>
      </c>
      <c r="B414" s="3"/>
      <c r="C414" s="3"/>
      <c r="D414" s="4"/>
      <c r="E414" s="9"/>
      <c r="F414" s="9">
        <f>F413*1%</f>
        <v>0.87150000000000005</v>
      </c>
      <c r="G414" s="8"/>
    </row>
    <row r="415" spans="1:7" ht="12.75">
      <c r="A415" s="16" t="s">
        <v>20</v>
      </c>
      <c r="B415" s="3"/>
      <c r="C415" s="3"/>
      <c r="D415" s="4"/>
      <c r="E415" s="15"/>
      <c r="F415" s="9">
        <f>F413+F414</f>
        <v>88.021500000000003</v>
      </c>
      <c r="G415" s="8"/>
    </row>
    <row r="416" spans="1:7" ht="12.75">
      <c r="A416" s="16" t="s">
        <v>23</v>
      </c>
      <c r="B416" s="3"/>
      <c r="C416" s="3"/>
      <c r="D416" s="4"/>
      <c r="E416" s="9"/>
      <c r="F416" s="9">
        <f>F415*15%</f>
        <v>13.203225</v>
      </c>
      <c r="G416" s="8"/>
    </row>
    <row r="417" spans="1:7" ht="12.75">
      <c r="A417" s="16" t="s">
        <v>20</v>
      </c>
      <c r="B417" s="3"/>
      <c r="C417" s="3"/>
      <c r="D417" s="4"/>
      <c r="E417" s="15"/>
      <c r="F417" s="17">
        <f>ROUND(F415+F416,2)</f>
        <v>101.22</v>
      </c>
      <c r="G417" s="8"/>
    </row>
    <row r="418" spans="1:7" ht="12.75">
      <c r="A418" s="11" t="s">
        <v>24</v>
      </c>
      <c r="B418" s="3"/>
      <c r="C418" s="3"/>
      <c r="D418" s="3"/>
      <c r="E418" s="3"/>
      <c r="F418" s="4"/>
      <c r="G418" s="12" t="s">
        <v>25</v>
      </c>
    </row>
    <row r="419" spans="1:7" ht="12.75">
      <c r="A419" s="13">
        <v>116</v>
      </c>
      <c r="B419" s="13"/>
      <c r="C419" s="10" t="s">
        <v>26</v>
      </c>
      <c r="D419" s="3"/>
      <c r="E419" s="4"/>
      <c r="F419" s="10"/>
      <c r="G419" s="4"/>
    </row>
    <row r="420" spans="1:7" ht="12.75">
      <c r="A420" s="5"/>
      <c r="B420" s="5"/>
      <c r="C420" s="8" t="s">
        <v>27</v>
      </c>
      <c r="D420" s="9">
        <v>0.33</v>
      </c>
      <c r="E420" s="9">
        <v>784</v>
      </c>
      <c r="F420" s="9">
        <f>E420*D420</f>
        <v>258.72</v>
      </c>
      <c r="G420" s="8" t="s">
        <v>28</v>
      </c>
    </row>
    <row r="421" spans="1:7" ht="12.75">
      <c r="A421" s="13">
        <v>117</v>
      </c>
      <c r="B421" s="13"/>
      <c r="C421" s="10" t="s">
        <v>29</v>
      </c>
      <c r="D421" s="3"/>
      <c r="E421" s="4"/>
      <c r="F421" s="10"/>
      <c r="G421" s="4"/>
    </row>
    <row r="422" spans="1:7" ht="12.75">
      <c r="A422" s="5"/>
      <c r="B422" s="5"/>
      <c r="C422" s="8" t="s">
        <v>27</v>
      </c>
      <c r="D422" s="9">
        <v>0.66</v>
      </c>
      <c r="E422" s="9">
        <v>714</v>
      </c>
      <c r="F422" s="9">
        <f>E422*D422</f>
        <v>471.24</v>
      </c>
      <c r="G422" s="8" t="s">
        <v>30</v>
      </c>
    </row>
    <row r="423" spans="1:7" ht="12.75">
      <c r="A423" s="13">
        <v>114</v>
      </c>
      <c r="B423" s="13"/>
      <c r="C423" s="10" t="s">
        <v>31</v>
      </c>
      <c r="D423" s="3"/>
      <c r="E423" s="4"/>
      <c r="F423" s="10"/>
      <c r="G423" s="4"/>
    </row>
    <row r="424" spans="1:7" ht="12.75">
      <c r="A424" s="5"/>
      <c r="B424" s="5"/>
      <c r="C424" s="8" t="s">
        <v>27</v>
      </c>
      <c r="D424" s="9">
        <v>0.66</v>
      </c>
      <c r="E424" s="9">
        <v>645</v>
      </c>
      <c r="F424" s="9">
        <f>E424*D424</f>
        <v>425.70</v>
      </c>
      <c r="G424" s="8" t="s">
        <v>32</v>
      </c>
    </row>
    <row r="425" spans="1:7" ht="12.75">
      <c r="A425" s="11" t="s">
        <v>33</v>
      </c>
      <c r="B425" s="3"/>
      <c r="C425" s="3"/>
      <c r="D425" s="3"/>
      <c r="E425" s="3"/>
      <c r="F425" s="4"/>
      <c r="G425" s="12" t="s">
        <v>25</v>
      </c>
    </row>
    <row r="426" spans="1:7" ht="12.75">
      <c r="A426" s="13" t="s">
        <v>76</v>
      </c>
      <c r="B426" s="21"/>
      <c r="C426" s="22" t="s">
        <v>77</v>
      </c>
      <c r="D426" s="3"/>
      <c r="E426" s="4"/>
      <c r="F426" s="23"/>
      <c r="G426" s="4"/>
    </row>
    <row r="427" spans="1:7" ht="12.75">
      <c r="A427" s="5"/>
      <c r="B427" s="5"/>
      <c r="C427" s="24" t="s">
        <v>35</v>
      </c>
      <c r="D427" s="25">
        <v>10</v>
      </c>
      <c r="E427" s="25">
        <v>210.03</v>
      </c>
      <c r="F427" s="25">
        <f>D427*E427</f>
        <v>2100.30</v>
      </c>
      <c r="G427" s="24" t="s">
        <v>36</v>
      </c>
    </row>
    <row r="428" spans="1:7" ht="12.75">
      <c r="A428" s="14" t="s">
        <v>20</v>
      </c>
      <c r="B428" s="3"/>
      <c r="C428" s="4"/>
      <c r="D428" s="9">
        <v>10</v>
      </c>
      <c r="E428" s="15" t="s">
        <v>11</v>
      </c>
      <c r="F428" s="18">
        <f>F420+F422+F424+F427</f>
        <v>3255.96</v>
      </c>
      <c r="G428" s="15"/>
    </row>
    <row r="429" spans="1:7" ht="12.75">
      <c r="A429" s="14" t="s">
        <v>21</v>
      </c>
      <c r="B429" s="3"/>
      <c r="C429" s="4"/>
      <c r="D429" s="9">
        <v>1</v>
      </c>
      <c r="E429" s="15" t="s">
        <v>11</v>
      </c>
      <c r="F429" s="9">
        <f>F428/D428</f>
        <v>325.596</v>
      </c>
      <c r="G429" s="15"/>
    </row>
    <row r="430" spans="1:7" ht="12.75">
      <c r="A430" s="16" t="s">
        <v>22</v>
      </c>
      <c r="B430" s="3"/>
      <c r="C430" s="3"/>
      <c r="D430" s="4"/>
      <c r="E430" s="9"/>
      <c r="F430" s="9">
        <f>F429*1%</f>
        <v>3.25596</v>
      </c>
      <c r="G430" s="15"/>
    </row>
    <row r="431" spans="1:7" ht="12.75">
      <c r="A431" s="16" t="s">
        <v>20</v>
      </c>
      <c r="B431" s="3"/>
      <c r="C431" s="3"/>
      <c r="D431" s="4"/>
      <c r="E431" s="15"/>
      <c r="F431" s="9">
        <f>F429+F430</f>
        <v>328.85196000000002</v>
      </c>
      <c r="G431" s="15"/>
    </row>
    <row r="432" spans="1:7" ht="12.75">
      <c r="A432" s="16" t="s">
        <v>23</v>
      </c>
      <c r="B432" s="3"/>
      <c r="C432" s="3"/>
      <c r="D432" s="4"/>
      <c r="E432" s="9"/>
      <c r="F432" s="9">
        <f>F431*15%</f>
        <v>49.327793999999997</v>
      </c>
      <c r="G432" s="15"/>
    </row>
    <row r="433" spans="1:7" ht="12.75">
      <c r="A433" s="16" t="s">
        <v>20</v>
      </c>
      <c r="B433" s="3"/>
      <c r="C433" s="3"/>
      <c r="D433" s="4"/>
      <c r="E433" s="15"/>
      <c r="F433" s="17">
        <f>ROUND(F431+F432,2)</f>
        <v>378.18</v>
      </c>
      <c r="G433" s="15"/>
    </row>
    <row r="434" spans="1:7" ht="12.75">
      <c r="A434" s="19" t="str">
        <f>CONCATENATE("Say ₹ ",F417," + ",F433," x Cost Index")</f>
        <v>Say ₹ 101.22 + 378.18 x Cost Index</v>
      </c>
      <c r="B434" s="3"/>
      <c r="C434" s="3"/>
      <c r="D434" s="3"/>
      <c r="E434" s="3"/>
      <c r="F434" s="4"/>
      <c r="G434" s="20" t="s">
        <v>37</v>
      </c>
    </row>
    <row r="435" spans="1:7" ht="12.75">
      <c r="A435" s="1" t="s">
        <v>0</v>
      </c>
      <c r="B435" s="1" t="s">
        <v>1</v>
      </c>
      <c r="C435" s="2" t="s">
        <v>2</v>
      </c>
      <c r="D435" s="3"/>
      <c r="E435" s="4"/>
      <c r="F435" s="2" t="s">
        <v>3</v>
      </c>
      <c r="G435" s="4"/>
    </row>
    <row r="436" spans="1:7" ht="12.75">
      <c r="A436" s="5"/>
      <c r="B436" s="5"/>
      <c r="C436" s="6" t="s">
        <v>4</v>
      </c>
      <c r="D436" s="6" t="s">
        <v>5</v>
      </c>
      <c r="E436" s="6" t="s">
        <v>6</v>
      </c>
      <c r="F436" s="6" t="s">
        <v>7</v>
      </c>
      <c r="G436" s="6" t="s">
        <v>8</v>
      </c>
    </row>
    <row r="437" spans="1:7" ht="12.75">
      <c r="A437" s="7" t="s">
        <v>81</v>
      </c>
      <c r="B437" s="3"/>
      <c r="C437" s="3"/>
      <c r="D437" s="3"/>
      <c r="E437" s="3"/>
      <c r="F437" s="3"/>
      <c r="G437" s="4"/>
    </row>
    <row r="438" spans="1:7" ht="12.75">
      <c r="A438" s="8"/>
      <c r="B438" s="8" t="s">
        <v>10</v>
      </c>
      <c r="C438" s="8" t="s">
        <v>11</v>
      </c>
      <c r="D438" s="8" t="s">
        <v>12</v>
      </c>
      <c r="E438" s="9">
        <v>10</v>
      </c>
      <c r="F438" s="10"/>
      <c r="G438" s="4"/>
    </row>
    <row r="439" spans="1:7" ht="12.75">
      <c r="A439" s="8" t="s">
        <v>13</v>
      </c>
      <c r="B439" s="10" t="s">
        <v>39</v>
      </c>
      <c r="C439" s="3"/>
      <c r="D439" s="3"/>
      <c r="E439" s="3"/>
      <c r="F439" s="3"/>
      <c r="G439" s="4"/>
    </row>
    <row r="440" spans="1:7" ht="12.75">
      <c r="A440" s="11" t="s">
        <v>15</v>
      </c>
      <c r="B440" s="3"/>
      <c r="C440" s="3"/>
      <c r="D440" s="3"/>
      <c r="E440" s="3"/>
      <c r="F440" s="4"/>
      <c r="G440" s="12" t="s">
        <v>16</v>
      </c>
    </row>
    <row r="441" spans="1:7" ht="12.75">
      <c r="A441" s="13"/>
      <c r="B441" s="13" t="s">
        <v>82</v>
      </c>
      <c r="C441" s="10" t="s">
        <v>83</v>
      </c>
      <c r="D441" s="3"/>
      <c r="E441" s="4"/>
      <c r="F441" s="10"/>
      <c r="G441" s="4"/>
    </row>
    <row r="442" spans="1:7" ht="12.75">
      <c r="A442" s="5"/>
      <c r="B442" s="5"/>
      <c r="C442" s="8" t="s">
        <v>11</v>
      </c>
      <c r="D442" s="9">
        <v>10.50</v>
      </c>
      <c r="E442" s="9">
        <v>129</v>
      </c>
      <c r="F442" s="9">
        <f>E442*D442</f>
        <v>1354.50</v>
      </c>
      <c r="G442" s="8" t="s">
        <v>19</v>
      </c>
    </row>
    <row r="443" spans="1:7" ht="12.75">
      <c r="A443" s="14" t="s">
        <v>20</v>
      </c>
      <c r="B443" s="3"/>
      <c r="C443" s="4"/>
      <c r="D443" s="9">
        <v>10</v>
      </c>
      <c r="E443" s="15" t="s">
        <v>11</v>
      </c>
      <c r="F443" s="9">
        <f>F442</f>
        <v>1354.50</v>
      </c>
      <c r="G443" s="8"/>
    </row>
    <row r="444" spans="1:7" ht="12.75">
      <c r="A444" s="14" t="s">
        <v>21</v>
      </c>
      <c r="B444" s="3"/>
      <c r="C444" s="4"/>
      <c r="D444" s="9">
        <v>1</v>
      </c>
      <c r="E444" s="15" t="s">
        <v>11</v>
      </c>
      <c r="F444" s="9">
        <f>F443/D443</f>
        <v>135.45</v>
      </c>
      <c r="G444" s="8"/>
    </row>
    <row r="445" spans="1:7" ht="12.75">
      <c r="A445" s="16" t="s">
        <v>22</v>
      </c>
      <c r="B445" s="3"/>
      <c r="C445" s="3"/>
      <c r="D445" s="4"/>
      <c r="E445" s="9"/>
      <c r="F445" s="9">
        <f>F444*1%</f>
        <v>1.3545</v>
      </c>
      <c r="G445" s="8"/>
    </row>
    <row r="446" spans="1:7" ht="12.75">
      <c r="A446" s="16" t="s">
        <v>20</v>
      </c>
      <c r="B446" s="3"/>
      <c r="C446" s="3"/>
      <c r="D446" s="4"/>
      <c r="E446" s="15"/>
      <c r="F446" s="9">
        <f>F444+F445</f>
        <v>136.80449999999999</v>
      </c>
      <c r="G446" s="8"/>
    </row>
    <row r="447" spans="1:7" ht="12.75">
      <c r="A447" s="16" t="s">
        <v>23</v>
      </c>
      <c r="B447" s="3"/>
      <c r="C447" s="3"/>
      <c r="D447" s="4"/>
      <c r="E447" s="9"/>
      <c r="F447" s="9">
        <f>F446*15%</f>
        <v>20.520675000000001</v>
      </c>
      <c r="G447" s="8"/>
    </row>
    <row r="448" spans="1:7" ht="12.75">
      <c r="A448" s="16" t="s">
        <v>20</v>
      </c>
      <c r="B448" s="3"/>
      <c r="C448" s="3"/>
      <c r="D448" s="4"/>
      <c r="E448" s="15"/>
      <c r="F448" s="17">
        <f>ROUND(F446+F447,2)</f>
        <v>157.33</v>
      </c>
      <c r="G448" s="8"/>
    </row>
    <row r="449" spans="1:7" ht="12.75">
      <c r="A449" s="11" t="s">
        <v>24</v>
      </c>
      <c r="B449" s="3"/>
      <c r="C449" s="3"/>
      <c r="D449" s="3"/>
      <c r="E449" s="3"/>
      <c r="F449" s="4"/>
      <c r="G449" s="12" t="s">
        <v>25</v>
      </c>
    </row>
    <row r="450" spans="1:7" ht="12.75">
      <c r="A450" s="13">
        <v>116</v>
      </c>
      <c r="B450" s="13"/>
      <c r="C450" s="10" t="s">
        <v>26</v>
      </c>
      <c r="D450" s="3"/>
      <c r="E450" s="4"/>
      <c r="F450" s="10"/>
      <c r="G450" s="4"/>
    </row>
    <row r="451" spans="1:7" ht="12.75">
      <c r="A451" s="5"/>
      <c r="B451" s="5"/>
      <c r="C451" s="8" t="s">
        <v>27</v>
      </c>
      <c r="D451" s="9">
        <v>0.33</v>
      </c>
      <c r="E451" s="9">
        <v>784</v>
      </c>
      <c r="F451" s="9">
        <f>E451*D451</f>
        <v>258.72</v>
      </c>
      <c r="G451" s="8" t="s">
        <v>28</v>
      </c>
    </row>
    <row r="452" spans="1:7" ht="12.75">
      <c r="A452" s="13">
        <v>117</v>
      </c>
      <c r="B452" s="13"/>
      <c r="C452" s="10" t="s">
        <v>29</v>
      </c>
      <c r="D452" s="3"/>
      <c r="E452" s="4"/>
      <c r="F452" s="10"/>
      <c r="G452" s="4"/>
    </row>
    <row r="453" spans="1:7" ht="12.75">
      <c r="A453" s="5"/>
      <c r="B453" s="5"/>
      <c r="C453" s="8" t="s">
        <v>27</v>
      </c>
      <c r="D453" s="9">
        <v>0.66</v>
      </c>
      <c r="E453" s="9">
        <v>714</v>
      </c>
      <c r="F453" s="9">
        <f>E453*D453</f>
        <v>471.24</v>
      </c>
      <c r="G453" s="8" t="s">
        <v>30</v>
      </c>
    </row>
    <row r="454" spans="1:7" ht="12.75">
      <c r="A454" s="13">
        <v>114</v>
      </c>
      <c r="B454" s="13"/>
      <c r="C454" s="10" t="s">
        <v>31</v>
      </c>
      <c r="D454" s="3"/>
      <c r="E454" s="4"/>
      <c r="F454" s="10"/>
      <c r="G454" s="4"/>
    </row>
    <row r="455" spans="1:7" ht="12.75">
      <c r="A455" s="5"/>
      <c r="B455" s="5"/>
      <c r="C455" s="8" t="s">
        <v>27</v>
      </c>
      <c r="D455" s="9">
        <v>0.66</v>
      </c>
      <c r="E455" s="9">
        <v>645</v>
      </c>
      <c r="F455" s="9">
        <f>E455*D455</f>
        <v>425.70</v>
      </c>
      <c r="G455" s="8" t="s">
        <v>32</v>
      </c>
    </row>
    <row r="456" spans="1:7" ht="12.75">
      <c r="A456" s="11" t="s">
        <v>33</v>
      </c>
      <c r="B456" s="3"/>
      <c r="C456" s="3"/>
      <c r="D456" s="3"/>
      <c r="E456" s="3"/>
      <c r="F456" s="4"/>
      <c r="G456" s="12" t="s">
        <v>25</v>
      </c>
    </row>
    <row r="457" spans="1:7" ht="12.75">
      <c r="A457" s="13" t="s">
        <v>76</v>
      </c>
      <c r="B457" s="21"/>
      <c r="C457" s="22" t="s">
        <v>77</v>
      </c>
      <c r="D457" s="3"/>
      <c r="E457" s="4"/>
      <c r="F457" s="23"/>
      <c r="G457" s="4"/>
    </row>
    <row r="458" spans="1:7" ht="12.75">
      <c r="A458" s="5"/>
      <c r="B458" s="5"/>
      <c r="C458" s="24" t="s">
        <v>35</v>
      </c>
      <c r="D458" s="25">
        <v>10</v>
      </c>
      <c r="E458" s="25">
        <v>210.03</v>
      </c>
      <c r="F458" s="25">
        <f>D458*E458</f>
        <v>2100.30</v>
      </c>
      <c r="G458" s="24" t="s">
        <v>36</v>
      </c>
    </row>
    <row r="459" spans="1:7" ht="12.75">
      <c r="A459" s="14" t="s">
        <v>20</v>
      </c>
      <c r="B459" s="3"/>
      <c r="C459" s="4"/>
      <c r="D459" s="9">
        <v>10</v>
      </c>
      <c r="E459" s="15" t="s">
        <v>11</v>
      </c>
      <c r="F459" s="18">
        <f>F451+F453+F455+F458</f>
        <v>3255.96</v>
      </c>
      <c r="G459" s="15"/>
    </row>
    <row r="460" spans="1:7" ht="12.75">
      <c r="A460" s="14" t="s">
        <v>21</v>
      </c>
      <c r="B460" s="3"/>
      <c r="C460" s="4"/>
      <c r="D460" s="9">
        <v>1</v>
      </c>
      <c r="E460" s="15" t="s">
        <v>11</v>
      </c>
      <c r="F460" s="9">
        <f>F459/D459</f>
        <v>325.596</v>
      </c>
      <c r="G460" s="15"/>
    </row>
    <row r="461" spans="1:7" ht="12.75">
      <c r="A461" s="16" t="s">
        <v>22</v>
      </c>
      <c r="B461" s="3"/>
      <c r="C461" s="3"/>
      <c r="D461" s="4"/>
      <c r="E461" s="9"/>
      <c r="F461" s="9">
        <f>F460*1%</f>
        <v>3.25596</v>
      </c>
      <c r="G461" s="15"/>
    </row>
    <row r="462" spans="1:7" ht="12.75">
      <c r="A462" s="16" t="s">
        <v>20</v>
      </c>
      <c r="B462" s="3"/>
      <c r="C462" s="3"/>
      <c r="D462" s="4"/>
      <c r="E462" s="15"/>
      <c r="F462" s="9">
        <f>F460+F461</f>
        <v>328.85196000000002</v>
      </c>
      <c r="G462" s="15"/>
    </row>
    <row r="463" spans="1:7" ht="12.75">
      <c r="A463" s="16" t="s">
        <v>23</v>
      </c>
      <c r="B463" s="3"/>
      <c r="C463" s="3"/>
      <c r="D463" s="4"/>
      <c r="E463" s="9"/>
      <c r="F463" s="9">
        <f>F462*15%</f>
        <v>49.327793999999997</v>
      </c>
      <c r="G463" s="15"/>
    </row>
    <row r="464" spans="1:7" ht="12.75">
      <c r="A464" s="16" t="s">
        <v>20</v>
      </c>
      <c r="B464" s="3"/>
      <c r="C464" s="3"/>
      <c r="D464" s="4"/>
      <c r="E464" s="15"/>
      <c r="F464" s="17">
        <f>ROUND(F462+F463,2)</f>
        <v>378.18</v>
      </c>
      <c r="G464" s="15"/>
    </row>
    <row r="465" spans="1:7" ht="12.75">
      <c r="A465" s="19" t="str">
        <f>CONCATENATE("Say ₹ ",F448," + ",F464," x Cost Index")</f>
        <v>Say ₹ 157.33 + 378.18 x Cost Index</v>
      </c>
      <c r="B465" s="3"/>
      <c r="C465" s="3"/>
      <c r="D465" s="3"/>
      <c r="E465" s="3"/>
      <c r="F465" s="4"/>
      <c r="G465" s="20" t="s">
        <v>37</v>
      </c>
    </row>
    <row r="466" spans="1:7" ht="12.75">
      <c r="A466" s="1" t="s">
        <v>0</v>
      </c>
      <c r="B466" s="1" t="s">
        <v>1</v>
      </c>
      <c r="C466" s="2" t="s">
        <v>2</v>
      </c>
      <c r="D466" s="3"/>
      <c r="E466" s="4"/>
      <c r="F466" s="2" t="s">
        <v>3</v>
      </c>
      <c r="G466" s="4"/>
    </row>
    <row r="467" spans="1:7" ht="12.75">
      <c r="A467" s="5"/>
      <c r="B467" s="5"/>
      <c r="C467" s="6" t="s">
        <v>4</v>
      </c>
      <c r="D467" s="6" t="s">
        <v>5</v>
      </c>
      <c r="E467" s="6" t="s">
        <v>6</v>
      </c>
      <c r="F467" s="6" t="s">
        <v>7</v>
      </c>
      <c r="G467" s="6" t="s">
        <v>8</v>
      </c>
    </row>
    <row r="468" spans="1:7" ht="12.75">
      <c r="A468" s="7" t="s">
        <v>84</v>
      </c>
      <c r="B468" s="3"/>
      <c r="C468" s="3"/>
      <c r="D468" s="3"/>
      <c r="E468" s="3"/>
      <c r="F468" s="3"/>
      <c r="G468" s="4"/>
    </row>
    <row r="469" spans="1:7" ht="12.75">
      <c r="A469" s="8"/>
      <c r="B469" s="8" t="s">
        <v>10</v>
      </c>
      <c r="C469" s="8" t="s">
        <v>11</v>
      </c>
      <c r="D469" s="8" t="s">
        <v>12</v>
      </c>
      <c r="E469" s="9">
        <v>10</v>
      </c>
      <c r="F469" s="10"/>
      <c r="G469" s="4"/>
    </row>
    <row r="470" spans="1:7" ht="12.75">
      <c r="A470" s="8" t="s">
        <v>13</v>
      </c>
      <c r="B470" s="10" t="s">
        <v>39</v>
      </c>
      <c r="C470" s="3"/>
      <c r="D470" s="3"/>
      <c r="E470" s="3"/>
      <c r="F470" s="3"/>
      <c r="G470" s="4"/>
    </row>
    <row r="471" spans="1:7" ht="12.75">
      <c r="A471" s="11" t="s">
        <v>15</v>
      </c>
      <c r="B471" s="3"/>
      <c r="C471" s="3"/>
      <c r="D471" s="3"/>
      <c r="E471" s="3"/>
      <c r="F471" s="4"/>
      <c r="G471" s="12" t="s">
        <v>16</v>
      </c>
    </row>
    <row r="472" spans="1:7" ht="12.75">
      <c r="A472" s="13"/>
      <c r="B472" s="13" t="s">
        <v>85</v>
      </c>
      <c r="C472" s="10" t="s">
        <v>86</v>
      </c>
      <c r="D472" s="3"/>
      <c r="E472" s="4"/>
      <c r="F472" s="10"/>
      <c r="G472" s="4"/>
    </row>
    <row r="473" spans="1:7" ht="12.75">
      <c r="A473" s="5"/>
      <c r="B473" s="5"/>
      <c r="C473" s="8" t="s">
        <v>11</v>
      </c>
      <c r="D473" s="9">
        <v>10.50</v>
      </c>
      <c r="E473" s="9">
        <v>95</v>
      </c>
      <c r="F473" s="9">
        <f>E473*D473</f>
        <v>997.50</v>
      </c>
      <c r="G473" s="8" t="s">
        <v>19</v>
      </c>
    </row>
    <row r="474" spans="1:7" ht="12.75">
      <c r="A474" s="14" t="s">
        <v>20</v>
      </c>
      <c r="B474" s="3"/>
      <c r="C474" s="4"/>
      <c r="D474" s="9">
        <v>10</v>
      </c>
      <c r="E474" s="15" t="s">
        <v>11</v>
      </c>
      <c r="F474" s="9">
        <f>F473</f>
        <v>997.50</v>
      </c>
      <c r="G474" s="8"/>
    </row>
    <row r="475" spans="1:7" ht="12.75">
      <c r="A475" s="14" t="s">
        <v>21</v>
      </c>
      <c r="B475" s="3"/>
      <c r="C475" s="4"/>
      <c r="D475" s="9">
        <v>1</v>
      </c>
      <c r="E475" s="15" t="s">
        <v>11</v>
      </c>
      <c r="F475" s="9">
        <f>F474/D474</f>
        <v>99.75</v>
      </c>
      <c r="G475" s="8"/>
    </row>
    <row r="476" spans="1:7" ht="12.75">
      <c r="A476" s="16" t="s">
        <v>22</v>
      </c>
      <c r="B476" s="3"/>
      <c r="C476" s="3"/>
      <c r="D476" s="4"/>
      <c r="E476" s="9"/>
      <c r="F476" s="9">
        <f>F475*1%</f>
        <v>0.9975</v>
      </c>
      <c r="G476" s="8"/>
    </row>
    <row r="477" spans="1:7" ht="12.75">
      <c r="A477" s="16" t="s">
        <v>20</v>
      </c>
      <c r="B477" s="3"/>
      <c r="C477" s="3"/>
      <c r="D477" s="4"/>
      <c r="E477" s="15"/>
      <c r="F477" s="9">
        <f>F475+F476</f>
        <v>100.7475</v>
      </c>
      <c r="G477" s="8"/>
    </row>
    <row r="478" spans="1:7" ht="12.75">
      <c r="A478" s="16" t="s">
        <v>23</v>
      </c>
      <c r="B478" s="3"/>
      <c r="C478" s="3"/>
      <c r="D478" s="4"/>
      <c r="E478" s="9"/>
      <c r="F478" s="9">
        <f>F477*15%</f>
        <v>15.112125000000001</v>
      </c>
      <c r="G478" s="8"/>
    </row>
    <row r="479" spans="1:7" ht="12.75">
      <c r="A479" s="16" t="s">
        <v>20</v>
      </c>
      <c r="B479" s="3"/>
      <c r="C479" s="3"/>
      <c r="D479" s="4"/>
      <c r="E479" s="15"/>
      <c r="F479" s="17">
        <f>ROUND(F477+F478,2)</f>
        <v>115.86</v>
      </c>
      <c r="G479" s="8"/>
    </row>
    <row r="480" spans="1:7" ht="12.75">
      <c r="A480" s="11" t="s">
        <v>24</v>
      </c>
      <c r="B480" s="3"/>
      <c r="C480" s="3"/>
      <c r="D480" s="3"/>
      <c r="E480" s="3"/>
      <c r="F480" s="4"/>
      <c r="G480" s="12" t="s">
        <v>25</v>
      </c>
    </row>
    <row r="481" spans="1:7" ht="12.75">
      <c r="A481" s="13">
        <v>116</v>
      </c>
      <c r="B481" s="13"/>
      <c r="C481" s="10" t="s">
        <v>26</v>
      </c>
      <c r="D481" s="3"/>
      <c r="E481" s="4"/>
      <c r="F481" s="10"/>
      <c r="G481" s="4"/>
    </row>
    <row r="482" spans="1:7" ht="12.75">
      <c r="A482" s="5"/>
      <c r="B482" s="5"/>
      <c r="C482" s="8" t="s">
        <v>27</v>
      </c>
      <c r="D482" s="9">
        <v>0.33</v>
      </c>
      <c r="E482" s="9">
        <v>784</v>
      </c>
      <c r="F482" s="9">
        <f>E482*D482</f>
        <v>258.72</v>
      </c>
      <c r="G482" s="8" t="s">
        <v>28</v>
      </c>
    </row>
    <row r="483" spans="1:7" ht="12.75">
      <c r="A483" s="13">
        <v>117</v>
      </c>
      <c r="B483" s="13"/>
      <c r="C483" s="10" t="s">
        <v>29</v>
      </c>
      <c r="D483" s="3"/>
      <c r="E483" s="4"/>
      <c r="F483" s="10"/>
      <c r="G483" s="4"/>
    </row>
    <row r="484" spans="1:7" ht="12.75">
      <c r="A484" s="5"/>
      <c r="B484" s="5"/>
      <c r="C484" s="8" t="s">
        <v>27</v>
      </c>
      <c r="D484" s="9">
        <v>0.66</v>
      </c>
      <c r="E484" s="9">
        <v>714</v>
      </c>
      <c r="F484" s="9">
        <f>E484*D484</f>
        <v>471.24</v>
      </c>
      <c r="G484" s="8" t="s">
        <v>30</v>
      </c>
    </row>
    <row r="485" spans="1:7" ht="12.75">
      <c r="A485" s="13">
        <v>114</v>
      </c>
      <c r="B485" s="13"/>
      <c r="C485" s="10" t="s">
        <v>31</v>
      </c>
      <c r="D485" s="3"/>
      <c r="E485" s="4"/>
      <c r="F485" s="10"/>
      <c r="G485" s="4"/>
    </row>
    <row r="486" spans="1:7" ht="12.75">
      <c r="A486" s="5"/>
      <c r="B486" s="5"/>
      <c r="C486" s="8" t="s">
        <v>27</v>
      </c>
      <c r="D486" s="9">
        <v>0.66</v>
      </c>
      <c r="E486" s="9">
        <v>645</v>
      </c>
      <c r="F486" s="9">
        <f>E486*D486</f>
        <v>425.70</v>
      </c>
      <c r="G486" s="8" t="s">
        <v>32</v>
      </c>
    </row>
    <row r="487" spans="1:7" ht="12.75">
      <c r="A487" s="11" t="s">
        <v>33</v>
      </c>
      <c r="B487" s="3"/>
      <c r="C487" s="3"/>
      <c r="D487" s="3"/>
      <c r="E487" s="3"/>
      <c r="F487" s="4"/>
      <c r="G487" s="12" t="s">
        <v>25</v>
      </c>
    </row>
    <row r="488" spans="1:7" ht="12.75">
      <c r="A488" s="13" t="s">
        <v>76</v>
      </c>
      <c r="B488" s="21"/>
      <c r="C488" s="22" t="s">
        <v>77</v>
      </c>
      <c r="D488" s="3"/>
      <c r="E488" s="4"/>
      <c r="F488" s="23"/>
      <c r="G488" s="4"/>
    </row>
    <row r="489" spans="1:7" ht="12.75">
      <c r="A489" s="5"/>
      <c r="B489" s="5"/>
      <c r="C489" s="24" t="s">
        <v>35</v>
      </c>
      <c r="D489" s="25">
        <v>10</v>
      </c>
      <c r="E489" s="25">
        <v>210.03</v>
      </c>
      <c r="F489" s="25">
        <f>D489*E489</f>
        <v>2100.30</v>
      </c>
      <c r="G489" s="24" t="s">
        <v>36</v>
      </c>
    </row>
    <row r="490" spans="1:7" ht="12.75">
      <c r="A490" s="14" t="s">
        <v>20</v>
      </c>
      <c r="B490" s="3"/>
      <c r="C490" s="4"/>
      <c r="D490" s="9">
        <v>10</v>
      </c>
      <c r="E490" s="15" t="s">
        <v>11</v>
      </c>
      <c r="F490" s="18">
        <f>F482+F484+F486+F489</f>
        <v>3255.96</v>
      </c>
      <c r="G490" s="15"/>
    </row>
    <row r="491" spans="1:7" ht="12.75">
      <c r="A491" s="14" t="s">
        <v>21</v>
      </c>
      <c r="B491" s="3"/>
      <c r="C491" s="4"/>
      <c r="D491" s="9">
        <v>1</v>
      </c>
      <c r="E491" s="15" t="s">
        <v>11</v>
      </c>
      <c r="F491" s="9">
        <f>F490/D490</f>
        <v>325.596</v>
      </c>
      <c r="G491" s="15"/>
    </row>
    <row r="492" spans="1:7" ht="12.75">
      <c r="A492" s="16" t="s">
        <v>22</v>
      </c>
      <c r="B492" s="3"/>
      <c r="C492" s="3"/>
      <c r="D492" s="4"/>
      <c r="E492" s="9"/>
      <c r="F492" s="9">
        <f>F491*1%</f>
        <v>3.25596</v>
      </c>
      <c r="G492" s="15"/>
    </row>
    <row r="493" spans="1:7" ht="12.75">
      <c r="A493" s="16" t="s">
        <v>20</v>
      </c>
      <c r="B493" s="3"/>
      <c r="C493" s="3"/>
      <c r="D493" s="4"/>
      <c r="E493" s="15"/>
      <c r="F493" s="9">
        <f>F491+F492</f>
        <v>328.85196000000002</v>
      </c>
      <c r="G493" s="15"/>
    </row>
    <row r="494" spans="1:7" ht="12.75">
      <c r="A494" s="16" t="s">
        <v>23</v>
      </c>
      <c r="B494" s="3"/>
      <c r="C494" s="3"/>
      <c r="D494" s="4"/>
      <c r="E494" s="9"/>
      <c r="F494" s="9">
        <f>F493*15%</f>
        <v>49.327793999999997</v>
      </c>
      <c r="G494" s="15"/>
    </row>
    <row r="495" spans="1:7" ht="12.75">
      <c r="A495" s="16" t="s">
        <v>20</v>
      </c>
      <c r="B495" s="3"/>
      <c r="C495" s="3"/>
      <c r="D495" s="4"/>
      <c r="E495" s="15"/>
      <c r="F495" s="17">
        <f>ROUND(F493+F494,2)</f>
        <v>378.18</v>
      </c>
      <c r="G495" s="15"/>
    </row>
    <row r="496" spans="1:7" ht="12.75">
      <c r="A496" s="19" t="str">
        <f>CONCATENATE("Say ₹ ",F479," + ",F495," x Cost Index")</f>
        <v>Say ₹ 115.86 + 378.18 x Cost Index</v>
      </c>
      <c r="B496" s="3"/>
      <c r="C496" s="3"/>
      <c r="D496" s="3"/>
      <c r="E496" s="3"/>
      <c r="F496" s="4"/>
      <c r="G496" s="20" t="s">
        <v>37</v>
      </c>
    </row>
    <row r="497" spans="1:7" ht="12.75">
      <c r="A497" s="1" t="s">
        <v>0</v>
      </c>
      <c r="B497" s="1" t="s">
        <v>1</v>
      </c>
      <c r="C497" s="2" t="s">
        <v>2</v>
      </c>
      <c r="D497" s="3"/>
      <c r="E497" s="4"/>
      <c r="F497" s="2" t="s">
        <v>3</v>
      </c>
      <c r="G497" s="4"/>
    </row>
    <row r="498" spans="1:7" ht="12.75">
      <c r="A498" s="5"/>
      <c r="B498" s="5"/>
      <c r="C498" s="6" t="s">
        <v>4</v>
      </c>
      <c r="D498" s="6" t="s">
        <v>5</v>
      </c>
      <c r="E498" s="6" t="s">
        <v>6</v>
      </c>
      <c r="F498" s="6" t="s">
        <v>7</v>
      </c>
      <c r="G498" s="6" t="s">
        <v>8</v>
      </c>
    </row>
    <row r="499" spans="1:7" ht="12.75">
      <c r="A499" s="7" t="s">
        <v>87</v>
      </c>
      <c r="B499" s="3"/>
      <c r="C499" s="3"/>
      <c r="D499" s="3"/>
      <c r="E499" s="3"/>
      <c r="F499" s="3"/>
      <c r="G499" s="4"/>
    </row>
    <row r="500" spans="1:7" ht="12.75">
      <c r="A500" s="8"/>
      <c r="B500" s="8" t="s">
        <v>10</v>
      </c>
      <c r="C500" s="8" t="s">
        <v>11</v>
      </c>
      <c r="D500" s="8" t="s">
        <v>12</v>
      </c>
      <c r="E500" s="9">
        <v>10</v>
      </c>
      <c r="F500" s="10"/>
      <c r="G500" s="4"/>
    </row>
    <row r="501" spans="1:7" ht="12.75">
      <c r="A501" s="8" t="s">
        <v>13</v>
      </c>
      <c r="B501" s="10" t="s">
        <v>39</v>
      </c>
      <c r="C501" s="3"/>
      <c r="D501" s="3"/>
      <c r="E501" s="3"/>
      <c r="F501" s="3"/>
      <c r="G501" s="4"/>
    </row>
    <row r="502" spans="1:7" ht="12.75">
      <c r="A502" s="11" t="s">
        <v>15</v>
      </c>
      <c r="B502" s="3"/>
      <c r="C502" s="3"/>
      <c r="D502" s="3"/>
      <c r="E502" s="3"/>
      <c r="F502" s="4"/>
      <c r="G502" s="12" t="s">
        <v>16</v>
      </c>
    </row>
    <row r="503" spans="1:7" ht="12.75">
      <c r="A503" s="13"/>
      <c r="B503" s="13" t="s">
        <v>88</v>
      </c>
      <c r="C503" s="10" t="s">
        <v>89</v>
      </c>
      <c r="D503" s="3"/>
      <c r="E503" s="4"/>
      <c r="F503" s="10"/>
      <c r="G503" s="4"/>
    </row>
    <row r="504" spans="1:7" ht="12.75">
      <c r="A504" s="5"/>
      <c r="B504" s="5"/>
      <c r="C504" s="8" t="s">
        <v>11</v>
      </c>
      <c r="D504" s="9">
        <v>10.50</v>
      </c>
      <c r="E504" s="9">
        <v>211</v>
      </c>
      <c r="F504" s="9">
        <f>E504*D504</f>
        <v>2215.50</v>
      </c>
      <c r="G504" s="8" t="s">
        <v>19</v>
      </c>
    </row>
    <row r="505" spans="1:7" ht="12.75">
      <c r="A505" s="14" t="s">
        <v>20</v>
      </c>
      <c r="B505" s="3"/>
      <c r="C505" s="4"/>
      <c r="D505" s="9">
        <v>10</v>
      </c>
      <c r="E505" s="15" t="s">
        <v>11</v>
      </c>
      <c r="F505" s="9">
        <f>F504</f>
        <v>2215.50</v>
      </c>
      <c r="G505" s="8"/>
    </row>
    <row r="506" spans="1:7" ht="12.75">
      <c r="A506" s="14" t="s">
        <v>21</v>
      </c>
      <c r="B506" s="3"/>
      <c r="C506" s="4"/>
      <c r="D506" s="9">
        <v>1</v>
      </c>
      <c r="E506" s="15" t="s">
        <v>11</v>
      </c>
      <c r="F506" s="9">
        <f>F505/D505</f>
        <v>221.55</v>
      </c>
      <c r="G506" s="8"/>
    </row>
    <row r="507" spans="1:7" ht="12.75">
      <c r="A507" s="16" t="s">
        <v>22</v>
      </c>
      <c r="B507" s="3"/>
      <c r="C507" s="3"/>
      <c r="D507" s="4"/>
      <c r="E507" s="9"/>
      <c r="F507" s="9">
        <f>F506*1%</f>
        <v>2.2155</v>
      </c>
      <c r="G507" s="8"/>
    </row>
    <row r="508" spans="1:7" ht="12.75">
      <c r="A508" s="16" t="s">
        <v>20</v>
      </c>
      <c r="B508" s="3"/>
      <c r="C508" s="3"/>
      <c r="D508" s="4"/>
      <c r="E508" s="15"/>
      <c r="F508" s="9">
        <f>F506+F507</f>
        <v>223.7655</v>
      </c>
      <c r="G508" s="8"/>
    </row>
    <row r="509" spans="1:7" ht="12.75">
      <c r="A509" s="16" t="s">
        <v>23</v>
      </c>
      <c r="B509" s="3"/>
      <c r="C509" s="3"/>
      <c r="D509" s="4"/>
      <c r="E509" s="9"/>
      <c r="F509" s="9">
        <f>F508*15%</f>
        <v>33.564824999999999</v>
      </c>
      <c r="G509" s="8"/>
    </row>
    <row r="510" spans="1:7" ht="12.75">
      <c r="A510" s="16" t="s">
        <v>20</v>
      </c>
      <c r="B510" s="3"/>
      <c r="C510" s="3"/>
      <c r="D510" s="4"/>
      <c r="E510" s="15"/>
      <c r="F510" s="17">
        <f>ROUND(F508+F509,2)</f>
        <v>257.33</v>
      </c>
      <c r="G510" s="8"/>
    </row>
    <row r="511" spans="1:7" ht="12.75">
      <c r="A511" s="11" t="s">
        <v>24</v>
      </c>
      <c r="B511" s="3"/>
      <c r="C511" s="3"/>
      <c r="D511" s="3"/>
      <c r="E511" s="3"/>
      <c r="F511" s="4"/>
      <c r="G511" s="12" t="s">
        <v>25</v>
      </c>
    </row>
    <row r="512" spans="1:7" ht="12.75">
      <c r="A512" s="13">
        <v>116</v>
      </c>
      <c r="B512" s="13"/>
      <c r="C512" s="10" t="s">
        <v>26</v>
      </c>
      <c r="D512" s="3"/>
      <c r="E512" s="4"/>
      <c r="F512" s="10"/>
      <c r="G512" s="4"/>
    </row>
    <row r="513" spans="1:7" ht="12.75">
      <c r="A513" s="5"/>
      <c r="B513" s="5"/>
      <c r="C513" s="8" t="s">
        <v>27</v>
      </c>
      <c r="D513" s="9">
        <v>0.33</v>
      </c>
      <c r="E513" s="9">
        <v>784</v>
      </c>
      <c r="F513" s="9">
        <f>E513*D513</f>
        <v>258.72</v>
      </c>
      <c r="G513" s="8" t="s">
        <v>28</v>
      </c>
    </row>
    <row r="514" spans="1:7" ht="12.75">
      <c r="A514" s="13">
        <v>117</v>
      </c>
      <c r="B514" s="13"/>
      <c r="C514" s="10" t="s">
        <v>29</v>
      </c>
      <c r="D514" s="3"/>
      <c r="E514" s="4"/>
      <c r="F514" s="10"/>
      <c r="G514" s="4"/>
    </row>
    <row r="515" spans="1:7" ht="12.75">
      <c r="A515" s="5"/>
      <c r="B515" s="5"/>
      <c r="C515" s="8" t="s">
        <v>27</v>
      </c>
      <c r="D515" s="9">
        <v>0.66</v>
      </c>
      <c r="E515" s="9">
        <v>714</v>
      </c>
      <c r="F515" s="9">
        <f>E515*D515</f>
        <v>471.24</v>
      </c>
      <c r="G515" s="8" t="s">
        <v>30</v>
      </c>
    </row>
    <row r="516" spans="1:7" ht="12.75">
      <c r="A516" s="13">
        <v>114</v>
      </c>
      <c r="B516" s="13"/>
      <c r="C516" s="10" t="s">
        <v>31</v>
      </c>
      <c r="D516" s="3"/>
      <c r="E516" s="4"/>
      <c r="F516" s="10"/>
      <c r="G516" s="4"/>
    </row>
    <row r="517" spans="1:7" ht="12.75">
      <c r="A517" s="5"/>
      <c r="B517" s="5"/>
      <c r="C517" s="8" t="s">
        <v>27</v>
      </c>
      <c r="D517" s="9">
        <v>0.66</v>
      </c>
      <c r="E517" s="9">
        <v>645</v>
      </c>
      <c r="F517" s="9">
        <f>E517*D517</f>
        <v>425.70</v>
      </c>
      <c r="G517" s="8" t="s">
        <v>32</v>
      </c>
    </row>
    <row r="518" spans="1:7" ht="12.75">
      <c r="A518" s="11" t="s">
        <v>33</v>
      </c>
      <c r="B518" s="3"/>
      <c r="C518" s="3"/>
      <c r="D518" s="3"/>
      <c r="E518" s="3"/>
      <c r="F518" s="4"/>
      <c r="G518" s="12" t="s">
        <v>25</v>
      </c>
    </row>
    <row r="519" spans="1:7" ht="12.75">
      <c r="A519" s="13" t="s">
        <v>76</v>
      </c>
      <c r="B519" s="21"/>
      <c r="C519" s="22" t="s">
        <v>77</v>
      </c>
      <c r="D519" s="3"/>
      <c r="E519" s="4"/>
      <c r="F519" s="23"/>
      <c r="G519" s="4"/>
    </row>
    <row r="520" spans="1:7" ht="12.75">
      <c r="A520" s="5"/>
      <c r="B520" s="5"/>
      <c r="C520" s="24" t="s">
        <v>35</v>
      </c>
      <c r="D520" s="25">
        <v>10</v>
      </c>
      <c r="E520" s="25">
        <v>210.03</v>
      </c>
      <c r="F520" s="25">
        <f>D520*E520</f>
        <v>2100.30</v>
      </c>
      <c r="G520" s="24" t="s">
        <v>36</v>
      </c>
    </row>
    <row r="521" spans="1:7" ht="12.75">
      <c r="A521" s="14" t="s">
        <v>20</v>
      </c>
      <c r="B521" s="3"/>
      <c r="C521" s="4"/>
      <c r="D521" s="9">
        <v>10</v>
      </c>
      <c r="E521" s="15" t="s">
        <v>11</v>
      </c>
      <c r="F521" s="18">
        <f>F513+F515+F517+F520</f>
        <v>3255.96</v>
      </c>
      <c r="G521" s="15"/>
    </row>
    <row r="522" spans="1:7" ht="12.75">
      <c r="A522" s="14" t="s">
        <v>21</v>
      </c>
      <c r="B522" s="3"/>
      <c r="C522" s="4"/>
      <c r="D522" s="9">
        <v>1</v>
      </c>
      <c r="E522" s="15" t="s">
        <v>11</v>
      </c>
      <c r="F522" s="9">
        <f>F521/D521</f>
        <v>325.596</v>
      </c>
      <c r="G522" s="15"/>
    </row>
    <row r="523" spans="1:7" ht="12.75">
      <c r="A523" s="16" t="s">
        <v>22</v>
      </c>
      <c r="B523" s="3"/>
      <c r="C523" s="3"/>
      <c r="D523" s="4"/>
      <c r="E523" s="9"/>
      <c r="F523" s="9">
        <f>F522*1%</f>
        <v>3.25596</v>
      </c>
      <c r="G523" s="15"/>
    </row>
    <row r="524" spans="1:7" ht="12.75">
      <c r="A524" s="16" t="s">
        <v>20</v>
      </c>
      <c r="B524" s="3"/>
      <c r="C524" s="3"/>
      <c r="D524" s="4"/>
      <c r="E524" s="15"/>
      <c r="F524" s="9">
        <f>F522+F523</f>
        <v>328.85196000000002</v>
      </c>
      <c r="G524" s="15"/>
    </row>
    <row r="525" spans="1:7" ht="12.75">
      <c r="A525" s="16" t="s">
        <v>23</v>
      </c>
      <c r="B525" s="3"/>
      <c r="C525" s="3"/>
      <c r="D525" s="4"/>
      <c r="E525" s="9"/>
      <c r="F525" s="9">
        <f>F524*15%</f>
        <v>49.327793999999997</v>
      </c>
      <c r="G525" s="15"/>
    </row>
    <row r="526" spans="1:7" ht="12.75">
      <c r="A526" s="16" t="s">
        <v>20</v>
      </c>
      <c r="B526" s="3"/>
      <c r="C526" s="3"/>
      <c r="D526" s="4"/>
      <c r="E526" s="15"/>
      <c r="F526" s="17">
        <f>ROUND(F524+F525,2)</f>
        <v>378.18</v>
      </c>
      <c r="G526" s="15"/>
    </row>
    <row r="527" spans="1:7" ht="12.75">
      <c r="A527" s="19" t="str">
        <f>CONCATENATE("Say ₹ ",F510," + ",F526," x Cost Index")</f>
        <v>Say ₹ 257.33 + 378.18 x Cost Index</v>
      </c>
      <c r="B527" s="3"/>
      <c r="C527" s="3"/>
      <c r="D527" s="3"/>
      <c r="E527" s="3"/>
      <c r="F527" s="4"/>
      <c r="G527" s="20" t="s">
        <v>37</v>
      </c>
    </row>
    <row r="528" spans="1:7" ht="12.75">
      <c r="A528" s="1" t="s">
        <v>0</v>
      </c>
      <c r="B528" s="1" t="s">
        <v>1</v>
      </c>
      <c r="C528" s="2" t="s">
        <v>2</v>
      </c>
      <c r="D528" s="3"/>
      <c r="E528" s="4"/>
      <c r="F528" s="2" t="s">
        <v>3</v>
      </c>
      <c r="G528" s="4"/>
    </row>
    <row r="529" spans="1:7" ht="12.75">
      <c r="A529" s="5"/>
      <c r="B529" s="5"/>
      <c r="C529" s="6" t="s">
        <v>4</v>
      </c>
      <c r="D529" s="6" t="s">
        <v>5</v>
      </c>
      <c r="E529" s="6" t="s">
        <v>6</v>
      </c>
      <c r="F529" s="6" t="s">
        <v>7</v>
      </c>
      <c r="G529" s="6" t="s">
        <v>8</v>
      </c>
    </row>
    <row r="530" spans="1:7" ht="12.75">
      <c r="A530" s="7" t="s">
        <v>90</v>
      </c>
      <c r="B530" s="3"/>
      <c r="C530" s="3"/>
      <c r="D530" s="3"/>
      <c r="E530" s="3"/>
      <c r="F530" s="3"/>
      <c r="G530" s="4"/>
    </row>
    <row r="531" spans="1:7" ht="12.75">
      <c r="A531" s="8"/>
      <c r="B531" s="8" t="s">
        <v>10</v>
      </c>
      <c r="C531" s="8" t="s">
        <v>11</v>
      </c>
      <c r="D531" s="8" t="s">
        <v>12</v>
      </c>
      <c r="E531" s="9">
        <v>10</v>
      </c>
      <c r="F531" s="10"/>
      <c r="G531" s="4"/>
    </row>
    <row r="532" spans="1:7" ht="12.75">
      <c r="A532" s="8" t="s">
        <v>13</v>
      </c>
      <c r="B532" s="10" t="s">
        <v>39</v>
      </c>
      <c r="C532" s="3"/>
      <c r="D532" s="3"/>
      <c r="E532" s="3"/>
      <c r="F532" s="3"/>
      <c r="G532" s="4"/>
    </row>
    <row r="533" spans="1:7" ht="12.75">
      <c r="A533" s="11" t="s">
        <v>15</v>
      </c>
      <c r="B533" s="3"/>
      <c r="C533" s="3"/>
      <c r="D533" s="3"/>
      <c r="E533" s="3"/>
      <c r="F533" s="4"/>
      <c r="G533" s="12" t="s">
        <v>16</v>
      </c>
    </row>
    <row r="534" spans="1:7" ht="12.75">
      <c r="A534" s="13"/>
      <c r="B534" s="13" t="s">
        <v>91</v>
      </c>
      <c r="C534" s="10" t="s">
        <v>92</v>
      </c>
      <c r="D534" s="3"/>
      <c r="E534" s="4"/>
      <c r="F534" s="10"/>
      <c r="G534" s="4"/>
    </row>
    <row r="535" spans="1:7" ht="12.75">
      <c r="A535" s="5"/>
      <c r="B535" s="5"/>
      <c r="C535" s="8" t="s">
        <v>11</v>
      </c>
      <c r="D535" s="9">
        <v>10.50</v>
      </c>
      <c r="E535" s="9">
        <v>170</v>
      </c>
      <c r="F535" s="9">
        <f>E535*D535</f>
        <v>1785</v>
      </c>
      <c r="G535" s="8" t="s">
        <v>19</v>
      </c>
    </row>
    <row r="536" spans="1:7" ht="12.75">
      <c r="A536" s="14" t="s">
        <v>20</v>
      </c>
      <c r="B536" s="3"/>
      <c r="C536" s="4"/>
      <c r="D536" s="9">
        <v>10</v>
      </c>
      <c r="E536" s="15" t="s">
        <v>11</v>
      </c>
      <c r="F536" s="9">
        <f>F535</f>
        <v>1785</v>
      </c>
      <c r="G536" s="8"/>
    </row>
    <row r="537" spans="1:7" ht="12.75">
      <c r="A537" s="14" t="s">
        <v>21</v>
      </c>
      <c r="B537" s="3"/>
      <c r="C537" s="4"/>
      <c r="D537" s="9">
        <v>1</v>
      </c>
      <c r="E537" s="15" t="s">
        <v>11</v>
      </c>
      <c r="F537" s="9">
        <f>F536/D536</f>
        <v>178.50</v>
      </c>
      <c r="G537" s="8"/>
    </row>
    <row r="538" spans="1:7" ht="12.75">
      <c r="A538" s="16" t="s">
        <v>22</v>
      </c>
      <c r="B538" s="3"/>
      <c r="C538" s="3"/>
      <c r="D538" s="4"/>
      <c r="E538" s="9"/>
      <c r="F538" s="9">
        <f>F537*1%</f>
        <v>1.785</v>
      </c>
      <c r="G538" s="8"/>
    </row>
    <row r="539" spans="1:7" ht="12.75">
      <c r="A539" s="16" t="s">
        <v>20</v>
      </c>
      <c r="B539" s="3"/>
      <c r="C539" s="3"/>
      <c r="D539" s="4"/>
      <c r="E539" s="15"/>
      <c r="F539" s="9">
        <f>F537+F538</f>
        <v>180.285</v>
      </c>
      <c r="G539" s="8"/>
    </row>
    <row r="540" spans="1:7" ht="12.75">
      <c r="A540" s="16" t="s">
        <v>23</v>
      </c>
      <c r="B540" s="3"/>
      <c r="C540" s="3"/>
      <c r="D540" s="4"/>
      <c r="E540" s="9"/>
      <c r="F540" s="9">
        <f>F539*15%</f>
        <v>27.042750000000002</v>
      </c>
      <c r="G540" s="8"/>
    </row>
    <row r="541" spans="1:7" ht="12.75">
      <c r="A541" s="16" t="s">
        <v>20</v>
      </c>
      <c r="B541" s="3"/>
      <c r="C541" s="3"/>
      <c r="D541" s="4"/>
      <c r="E541" s="15"/>
      <c r="F541" s="17">
        <f>ROUND(F539+F540,2)</f>
        <v>207.33</v>
      </c>
      <c r="G541" s="8"/>
    </row>
    <row r="542" spans="1:7" ht="12.75">
      <c r="A542" s="11" t="s">
        <v>24</v>
      </c>
      <c r="B542" s="3"/>
      <c r="C542" s="3"/>
      <c r="D542" s="3"/>
      <c r="E542" s="3"/>
      <c r="F542" s="4"/>
      <c r="G542" s="12" t="s">
        <v>25</v>
      </c>
    </row>
    <row r="543" spans="1:7" ht="12.75">
      <c r="A543" s="13">
        <v>116</v>
      </c>
      <c r="B543" s="13"/>
      <c r="C543" s="10" t="s">
        <v>26</v>
      </c>
      <c r="D543" s="3"/>
      <c r="E543" s="4"/>
      <c r="F543" s="10"/>
      <c r="G543" s="4"/>
    </row>
    <row r="544" spans="1:7" ht="12.75">
      <c r="A544" s="5"/>
      <c r="B544" s="5"/>
      <c r="C544" s="8" t="s">
        <v>27</v>
      </c>
      <c r="D544" s="9">
        <v>0.33</v>
      </c>
      <c r="E544" s="9">
        <v>784</v>
      </c>
      <c r="F544" s="9">
        <f>E544*D544</f>
        <v>258.72</v>
      </c>
      <c r="G544" s="8" t="s">
        <v>28</v>
      </c>
    </row>
    <row r="545" spans="1:7" ht="12.75">
      <c r="A545" s="13">
        <v>117</v>
      </c>
      <c r="B545" s="13"/>
      <c r="C545" s="10" t="s">
        <v>29</v>
      </c>
      <c r="D545" s="3"/>
      <c r="E545" s="4"/>
      <c r="F545" s="10"/>
      <c r="G545" s="4"/>
    </row>
    <row r="546" spans="1:7" ht="12.75">
      <c r="A546" s="5"/>
      <c r="B546" s="5"/>
      <c r="C546" s="8" t="s">
        <v>27</v>
      </c>
      <c r="D546" s="9">
        <v>0.66</v>
      </c>
      <c r="E546" s="9">
        <v>714</v>
      </c>
      <c r="F546" s="9">
        <f>E546*D546</f>
        <v>471.24</v>
      </c>
      <c r="G546" s="8" t="s">
        <v>30</v>
      </c>
    </row>
    <row r="547" spans="1:7" ht="12.75">
      <c r="A547" s="13">
        <v>114</v>
      </c>
      <c r="B547" s="13"/>
      <c r="C547" s="10" t="s">
        <v>31</v>
      </c>
      <c r="D547" s="3"/>
      <c r="E547" s="4"/>
      <c r="F547" s="10"/>
      <c r="G547" s="4"/>
    </row>
    <row r="548" spans="1:7" ht="12.75">
      <c r="A548" s="5"/>
      <c r="B548" s="5"/>
      <c r="C548" s="8" t="s">
        <v>27</v>
      </c>
      <c r="D548" s="9">
        <v>0.66</v>
      </c>
      <c r="E548" s="9">
        <v>645</v>
      </c>
      <c r="F548" s="9">
        <f>E548*D548</f>
        <v>425.70</v>
      </c>
      <c r="G548" s="8" t="s">
        <v>32</v>
      </c>
    </row>
    <row r="549" spans="1:7" ht="12.75">
      <c r="A549" s="11" t="s">
        <v>33</v>
      </c>
      <c r="B549" s="3"/>
      <c r="C549" s="3"/>
      <c r="D549" s="3"/>
      <c r="E549" s="3"/>
      <c r="F549" s="4"/>
      <c r="G549" s="12" t="s">
        <v>25</v>
      </c>
    </row>
    <row r="550" spans="1:7" ht="12.75">
      <c r="A550" s="13" t="s">
        <v>76</v>
      </c>
      <c r="B550" s="21"/>
      <c r="C550" s="22" t="s">
        <v>77</v>
      </c>
      <c r="D550" s="3"/>
      <c r="E550" s="4"/>
      <c r="F550" s="23"/>
      <c r="G550" s="4"/>
    </row>
    <row r="551" spans="1:7" ht="12.75">
      <c r="A551" s="5"/>
      <c r="B551" s="5"/>
      <c r="C551" s="24" t="s">
        <v>35</v>
      </c>
      <c r="D551" s="25">
        <v>10</v>
      </c>
      <c r="E551" s="25">
        <v>210.03</v>
      </c>
      <c r="F551" s="25">
        <f>D551*E551</f>
        <v>2100.30</v>
      </c>
      <c r="G551" s="24" t="s">
        <v>36</v>
      </c>
    </row>
    <row r="552" spans="1:7" ht="12.75">
      <c r="A552" s="14" t="s">
        <v>20</v>
      </c>
      <c r="B552" s="3"/>
      <c r="C552" s="4"/>
      <c r="D552" s="9">
        <v>10</v>
      </c>
      <c r="E552" s="15" t="s">
        <v>11</v>
      </c>
      <c r="F552" s="18">
        <f>F544+F546+F548+F551</f>
        <v>3255.96</v>
      </c>
      <c r="G552" s="15"/>
    </row>
    <row r="553" spans="1:7" ht="12.75">
      <c r="A553" s="14" t="s">
        <v>21</v>
      </c>
      <c r="B553" s="3"/>
      <c r="C553" s="4"/>
      <c r="D553" s="9">
        <v>1</v>
      </c>
      <c r="E553" s="15" t="s">
        <v>11</v>
      </c>
      <c r="F553" s="9">
        <f>F552/D552</f>
        <v>325.596</v>
      </c>
      <c r="G553" s="15"/>
    </row>
    <row r="554" spans="1:7" ht="12.75">
      <c r="A554" s="16" t="s">
        <v>22</v>
      </c>
      <c r="B554" s="3"/>
      <c r="C554" s="3"/>
      <c r="D554" s="4"/>
      <c r="E554" s="9"/>
      <c r="F554" s="9">
        <f>F553*1%</f>
        <v>3.25596</v>
      </c>
      <c r="G554" s="15"/>
    </row>
    <row r="555" spans="1:7" ht="12.75">
      <c r="A555" s="16" t="s">
        <v>20</v>
      </c>
      <c r="B555" s="3"/>
      <c r="C555" s="3"/>
      <c r="D555" s="4"/>
      <c r="E555" s="15"/>
      <c r="F555" s="9">
        <f>F553+F554</f>
        <v>328.85196000000002</v>
      </c>
      <c r="G555" s="15"/>
    </row>
    <row r="556" spans="1:7" ht="12.75">
      <c r="A556" s="16" t="s">
        <v>23</v>
      </c>
      <c r="B556" s="3"/>
      <c r="C556" s="3"/>
      <c r="D556" s="4"/>
      <c r="E556" s="9"/>
      <c r="F556" s="9">
        <f>F555*15%</f>
        <v>49.327793999999997</v>
      </c>
      <c r="G556" s="15"/>
    </row>
    <row r="557" spans="1:7" ht="12.75">
      <c r="A557" s="16" t="s">
        <v>20</v>
      </c>
      <c r="B557" s="3"/>
      <c r="C557" s="3"/>
      <c r="D557" s="4"/>
      <c r="E557" s="15"/>
      <c r="F557" s="17">
        <f>ROUND(F555+F556,2)</f>
        <v>378.18</v>
      </c>
      <c r="G557" s="15"/>
    </row>
    <row r="558" spans="1:7" ht="12.75">
      <c r="A558" s="19" t="str">
        <f>CONCATENATE("Say ₹ ",F541," + ",F557," x Cost Index")</f>
        <v>Say ₹ 207.33 + 378.18 x Cost Index</v>
      </c>
      <c r="B558" s="3"/>
      <c r="C558" s="3"/>
      <c r="D558" s="3"/>
      <c r="E558" s="3"/>
      <c r="F558" s="4"/>
      <c r="G558" s="20" t="s">
        <v>37</v>
      </c>
    </row>
  </sheetData>
  <mergeCells count="774">
    <mergeCell ref="A26:C26"/>
    <mergeCell ref="A27:D27"/>
    <mergeCell ref="A28:D28"/>
    <mergeCell ref="A29:D29"/>
    <mergeCell ref="A30:D30"/>
    <mergeCell ref="A31:F31"/>
    <mergeCell ref="A32:A33"/>
    <mergeCell ref="B32:B33"/>
    <mergeCell ref="C32:E32"/>
    <mergeCell ref="F32:G32"/>
    <mergeCell ref="A34:G34"/>
    <mergeCell ref="F35:G35"/>
    <mergeCell ref="B36:G36"/>
    <mergeCell ref="A37:F37"/>
    <mergeCell ref="A38:A39"/>
    <mergeCell ref="B38:B39"/>
    <mergeCell ref="C38:E38"/>
    <mergeCell ref="F38:G38"/>
    <mergeCell ref="A40:C40"/>
    <mergeCell ref="A41:C41"/>
    <mergeCell ref="A42:D42"/>
    <mergeCell ref="A43:D43"/>
    <mergeCell ref="A44:D44"/>
    <mergeCell ref="A45:D45"/>
    <mergeCell ref="A46:F46"/>
    <mergeCell ref="B47:B48"/>
    <mergeCell ref="C47:E47"/>
    <mergeCell ref="F47:G47"/>
    <mergeCell ref="C51:E51"/>
    <mergeCell ref="F51:G51"/>
    <mergeCell ref="A47:A48"/>
    <mergeCell ref="A49:A50"/>
    <mergeCell ref="B49:B50"/>
    <mergeCell ref="C49:E49"/>
    <mergeCell ref="F49:G49"/>
    <mergeCell ref="B51:B52"/>
    <mergeCell ref="A53:F53"/>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A21"/>
    <mergeCell ref="B20:B21"/>
    <mergeCell ref="F20:G20"/>
    <mergeCell ref="C20:E20"/>
    <mergeCell ref="A22:F22"/>
    <mergeCell ref="A23:A24"/>
    <mergeCell ref="B23:B24"/>
    <mergeCell ref="C23:E23"/>
    <mergeCell ref="F23:G23"/>
    <mergeCell ref="A25:C25"/>
    <mergeCell ref="A51:A52"/>
    <mergeCell ref="A54:A55"/>
    <mergeCell ref="B54:B55"/>
    <mergeCell ref="C54:E54"/>
    <mergeCell ref="F54:G54"/>
    <mergeCell ref="A56:C56"/>
    <mergeCell ref="A57:C57"/>
    <mergeCell ref="C85:E85"/>
    <mergeCell ref="F85:G85"/>
    <mergeCell ref="A82:A83"/>
    <mergeCell ref="B82:B83"/>
    <mergeCell ref="C82:E82"/>
    <mergeCell ref="F82:G82"/>
    <mergeCell ref="A84:F84"/>
    <mergeCell ref="A85:A86"/>
    <mergeCell ref="B85:B86"/>
    <mergeCell ref="A94:A95"/>
    <mergeCell ref="B94:B95"/>
    <mergeCell ref="A87:C87"/>
    <mergeCell ref="A88:C88"/>
    <mergeCell ref="A89:D89"/>
    <mergeCell ref="A90:D90"/>
    <mergeCell ref="A91:D91"/>
    <mergeCell ref="A92:D92"/>
    <mergeCell ref="A93:F93"/>
    <mergeCell ref="B100:B101"/>
    <mergeCell ref="C100:E100"/>
    <mergeCell ref="C94:E94"/>
    <mergeCell ref="F94:G94"/>
    <mergeCell ref="A96:G96"/>
    <mergeCell ref="F97:G97"/>
    <mergeCell ref="B98:G98"/>
    <mergeCell ref="A99:F99"/>
    <mergeCell ref="F100:G100"/>
    <mergeCell ref="C63:E63"/>
    <mergeCell ref="F63:G63"/>
    <mergeCell ref="A58:D58"/>
    <mergeCell ref="A59:D59"/>
    <mergeCell ref="A60:D60"/>
    <mergeCell ref="A61:D61"/>
    <mergeCell ref="A62:F62"/>
    <mergeCell ref="A63:A64"/>
    <mergeCell ref="B63:B64"/>
    <mergeCell ref="A65:G65"/>
    <mergeCell ref="F66:G66"/>
    <mergeCell ref="B67:G67"/>
    <mergeCell ref="A68:F68"/>
    <mergeCell ref="A69:A70"/>
    <mergeCell ref="C69:E69"/>
    <mergeCell ref="F69:G69"/>
    <mergeCell ref="B69:B70"/>
    <mergeCell ref="A71:C71"/>
    <mergeCell ref="A72:C72"/>
    <mergeCell ref="A73:D73"/>
    <mergeCell ref="A74:D74"/>
    <mergeCell ref="A75:D75"/>
    <mergeCell ref="A76:D76"/>
    <mergeCell ref="C80:E80"/>
    <mergeCell ref="F80:G80"/>
    <mergeCell ref="A77:F77"/>
    <mergeCell ref="A78:A79"/>
    <mergeCell ref="B78:B79"/>
    <mergeCell ref="C78:E78"/>
    <mergeCell ref="F78:G78"/>
    <mergeCell ref="A80:A81"/>
    <mergeCell ref="B80:B81"/>
    <mergeCell ref="C109:E109"/>
    <mergeCell ref="F109:G109"/>
    <mergeCell ref="C144:E144"/>
    <mergeCell ref="F144:G144"/>
    <mergeCell ref="A140:A141"/>
    <mergeCell ref="B140:B141"/>
    <mergeCell ref="C140:E140"/>
    <mergeCell ref="F140:G140"/>
    <mergeCell ref="B142:B143"/>
    <mergeCell ref="C142:E142"/>
    <mergeCell ref="F142:G142"/>
    <mergeCell ref="A142:A143"/>
    <mergeCell ref="A144:A145"/>
    <mergeCell ref="B144:B145"/>
    <mergeCell ref="A146:F146"/>
    <mergeCell ref="A147:A148"/>
    <mergeCell ref="C147:E147"/>
    <mergeCell ref="F147:G147"/>
    <mergeCell ref="B147:B148"/>
    <mergeCell ref="A149:C149"/>
    <mergeCell ref="A150:C150"/>
    <mergeCell ref="A151:D151"/>
    <mergeCell ref="A152:D152"/>
    <mergeCell ref="A153:D153"/>
    <mergeCell ref="A154:D154"/>
    <mergeCell ref="A155:F155"/>
    <mergeCell ref="A156:A157"/>
    <mergeCell ref="B156:B157"/>
    <mergeCell ref="C156:E156"/>
    <mergeCell ref="F156:G156"/>
    <mergeCell ref="A158:G158"/>
    <mergeCell ref="F159:G159"/>
    <mergeCell ref="B160:G160"/>
    <mergeCell ref="A161:F161"/>
    <mergeCell ref="A162:A163"/>
    <mergeCell ref="B162:B163"/>
    <mergeCell ref="C162:E162"/>
    <mergeCell ref="F162:G162"/>
    <mergeCell ref="A164:C164"/>
    <mergeCell ref="B171:B172"/>
    <mergeCell ref="C171:E171"/>
    <mergeCell ref="F171:G171"/>
    <mergeCell ref="A165:C165"/>
    <mergeCell ref="A166:D166"/>
    <mergeCell ref="A167:D167"/>
    <mergeCell ref="A168:D168"/>
    <mergeCell ref="A169:D169"/>
    <mergeCell ref="A170:F170"/>
    <mergeCell ref="A171:A172"/>
    <mergeCell ref="A173:A174"/>
    <mergeCell ref="B173:B174"/>
    <mergeCell ref="C173:E173"/>
    <mergeCell ref="F173:G173"/>
    <mergeCell ref="A175:A176"/>
    <mergeCell ref="B175:B176"/>
    <mergeCell ref="F175:G175"/>
    <mergeCell ref="C175:E175"/>
    <mergeCell ref="A177:F177"/>
    <mergeCell ref="A178:A179"/>
    <mergeCell ref="B178:B179"/>
    <mergeCell ref="C178:E178"/>
    <mergeCell ref="F178:G178"/>
    <mergeCell ref="A180:C180"/>
    <mergeCell ref="A181:C181"/>
    <mergeCell ref="A182:D182"/>
    <mergeCell ref="A183:D183"/>
    <mergeCell ref="A184:D184"/>
    <mergeCell ref="A185:D185"/>
    <mergeCell ref="A186:F186"/>
    <mergeCell ref="A187:A188"/>
    <mergeCell ref="B187:B188"/>
    <mergeCell ref="C187:E187"/>
    <mergeCell ref="F187:G187"/>
    <mergeCell ref="A189:G189"/>
    <mergeCell ref="F190:G190"/>
    <mergeCell ref="B191:G191"/>
    <mergeCell ref="A192:F192"/>
    <mergeCell ref="C125:E125"/>
    <mergeCell ref="A127:G127"/>
    <mergeCell ref="F128:G128"/>
    <mergeCell ref="B129:G129"/>
    <mergeCell ref="A130:F130"/>
    <mergeCell ref="A131:A132"/>
    <mergeCell ref="B131:B132"/>
    <mergeCell ref="A133:C133"/>
    <mergeCell ref="A134:C134"/>
    <mergeCell ref="A135:D135"/>
    <mergeCell ref="A136:D136"/>
    <mergeCell ref="A137:D137"/>
    <mergeCell ref="A138:D138"/>
    <mergeCell ref="A139:F139"/>
    <mergeCell ref="A193:A194"/>
    <mergeCell ref="B193:B194"/>
    <mergeCell ref="C193:E193"/>
    <mergeCell ref="F193:G193"/>
    <mergeCell ref="A195:C195"/>
    <mergeCell ref="A196:C196"/>
    <mergeCell ref="A197:D197"/>
    <mergeCell ref="A198:D198"/>
    <mergeCell ref="A199:D199"/>
    <mergeCell ref="A200:D200"/>
    <mergeCell ref="A201:F201"/>
    <mergeCell ref="B202:B203"/>
    <mergeCell ref="C202:E202"/>
    <mergeCell ref="F202:G202"/>
    <mergeCell ref="C206:E206"/>
    <mergeCell ref="F206:G206"/>
    <mergeCell ref="A202:A203"/>
    <mergeCell ref="A204:A205"/>
    <mergeCell ref="B204:B205"/>
    <mergeCell ref="C204:E204"/>
    <mergeCell ref="F204:G204"/>
    <mergeCell ref="B206:B207"/>
    <mergeCell ref="A208:F208"/>
    <mergeCell ref="C111:E111"/>
    <mergeCell ref="F111:G111"/>
    <mergeCell ref="C113:E113"/>
    <mergeCell ref="F113:G113"/>
    <mergeCell ref="A115:F115"/>
    <mergeCell ref="A102:C102"/>
    <mergeCell ref="A103:C103"/>
    <mergeCell ref="A104:D104"/>
    <mergeCell ref="A105:D105"/>
    <mergeCell ref="A106:D106"/>
    <mergeCell ref="A107:D107"/>
    <mergeCell ref="A108:F108"/>
    <mergeCell ref="A100:A101"/>
    <mergeCell ref="A109:A110"/>
    <mergeCell ref="B109:B110"/>
    <mergeCell ref="A111:A112"/>
    <mergeCell ref="B111:B112"/>
    <mergeCell ref="A113:A114"/>
    <mergeCell ref="B113:B114"/>
    <mergeCell ref="A116:A117"/>
    <mergeCell ref="B116:B117"/>
    <mergeCell ref="C116:E116"/>
    <mergeCell ref="F116:G116"/>
    <mergeCell ref="A118:C118"/>
    <mergeCell ref="A119:C119"/>
    <mergeCell ref="A120:D120"/>
    <mergeCell ref="A121:D121"/>
    <mergeCell ref="A122:D122"/>
    <mergeCell ref="A123:D123"/>
    <mergeCell ref="A124:F124"/>
    <mergeCell ref="A125:A126"/>
    <mergeCell ref="B125:B126"/>
    <mergeCell ref="F125:G125"/>
    <mergeCell ref="C131:E131"/>
    <mergeCell ref="F131:G131"/>
    <mergeCell ref="A206:A207"/>
    <mergeCell ref="A209:A210"/>
    <mergeCell ref="B209:B210"/>
    <mergeCell ref="C209:E209"/>
    <mergeCell ref="F209:G209"/>
    <mergeCell ref="A211:C211"/>
    <mergeCell ref="A212:C212"/>
    <mergeCell ref="C240:E240"/>
    <mergeCell ref="F240:G240"/>
    <mergeCell ref="A237:A238"/>
    <mergeCell ref="B237:B238"/>
    <mergeCell ref="C237:E237"/>
    <mergeCell ref="F237:G237"/>
    <mergeCell ref="A239:F239"/>
    <mergeCell ref="A240:A241"/>
    <mergeCell ref="B240:B241"/>
    <mergeCell ref="A249:A250"/>
    <mergeCell ref="B249:B250"/>
    <mergeCell ref="A242:C242"/>
    <mergeCell ref="A243:C243"/>
    <mergeCell ref="A244:D244"/>
    <mergeCell ref="A245:D245"/>
    <mergeCell ref="A246:D246"/>
    <mergeCell ref="A247:D247"/>
    <mergeCell ref="A248:F248"/>
    <mergeCell ref="B255:B256"/>
    <mergeCell ref="C255:E255"/>
    <mergeCell ref="C249:E249"/>
    <mergeCell ref="F249:G249"/>
    <mergeCell ref="A251:G251"/>
    <mergeCell ref="F252:G252"/>
    <mergeCell ref="B253:G253"/>
    <mergeCell ref="A254:F254"/>
    <mergeCell ref="F255:G255"/>
    <mergeCell ref="C218:E218"/>
    <mergeCell ref="F218:G218"/>
    <mergeCell ref="A213:D213"/>
    <mergeCell ref="A214:D214"/>
    <mergeCell ref="A215:D215"/>
    <mergeCell ref="A216:D216"/>
    <mergeCell ref="A217:F217"/>
    <mergeCell ref="A218:A219"/>
    <mergeCell ref="B218:B219"/>
    <mergeCell ref="A220:G220"/>
    <mergeCell ref="F221:G221"/>
    <mergeCell ref="B222:G222"/>
    <mergeCell ref="A223:F223"/>
    <mergeCell ref="A224:A225"/>
    <mergeCell ref="C224:E224"/>
    <mergeCell ref="F224:G224"/>
    <mergeCell ref="B224:B225"/>
    <mergeCell ref="A226:C226"/>
    <mergeCell ref="A227:C227"/>
    <mergeCell ref="A228:D228"/>
    <mergeCell ref="A229:D229"/>
    <mergeCell ref="A230:D230"/>
    <mergeCell ref="A231:D231"/>
    <mergeCell ref="C235:E235"/>
    <mergeCell ref="F235:G235"/>
    <mergeCell ref="A232:F232"/>
    <mergeCell ref="A233:A234"/>
    <mergeCell ref="B233:B234"/>
    <mergeCell ref="C233:E233"/>
    <mergeCell ref="F233:G233"/>
    <mergeCell ref="A235:A236"/>
    <mergeCell ref="B235:B236"/>
    <mergeCell ref="C264:E264"/>
    <mergeCell ref="F264:G264"/>
    <mergeCell ref="C299:E299"/>
    <mergeCell ref="F299:G299"/>
    <mergeCell ref="A295:A296"/>
    <mergeCell ref="B295:B296"/>
    <mergeCell ref="C295:E295"/>
    <mergeCell ref="F295:G295"/>
    <mergeCell ref="B297:B298"/>
    <mergeCell ref="C297:E297"/>
    <mergeCell ref="F297:G297"/>
    <mergeCell ref="A297:A298"/>
    <mergeCell ref="A299:A300"/>
    <mergeCell ref="B299:B300"/>
    <mergeCell ref="A301:F301"/>
    <mergeCell ref="A302:A303"/>
    <mergeCell ref="C302:E302"/>
    <mergeCell ref="F302:G302"/>
    <mergeCell ref="B302:B303"/>
    <mergeCell ref="A304:C304"/>
    <mergeCell ref="A305:C305"/>
    <mergeCell ref="A306:D306"/>
    <mergeCell ref="A307:D307"/>
    <mergeCell ref="A308:D308"/>
    <mergeCell ref="A309:D309"/>
    <mergeCell ref="A310:F310"/>
    <mergeCell ref="A311:A312"/>
    <mergeCell ref="B311:B312"/>
    <mergeCell ref="C311:E311"/>
    <mergeCell ref="F311:G311"/>
    <mergeCell ref="A313:G313"/>
    <mergeCell ref="F314:G314"/>
    <mergeCell ref="B315:G315"/>
    <mergeCell ref="A316:F316"/>
    <mergeCell ref="A317:A318"/>
    <mergeCell ref="B317:B318"/>
    <mergeCell ref="C317:E317"/>
    <mergeCell ref="F317:G317"/>
    <mergeCell ref="A319:C319"/>
    <mergeCell ref="B326:B327"/>
    <mergeCell ref="C326:E326"/>
    <mergeCell ref="F326:G326"/>
    <mergeCell ref="A320:C320"/>
    <mergeCell ref="A321:D321"/>
    <mergeCell ref="A322:D322"/>
    <mergeCell ref="A323:D323"/>
    <mergeCell ref="A324:D324"/>
    <mergeCell ref="A325:F325"/>
    <mergeCell ref="A326:A327"/>
    <mergeCell ref="A328:A329"/>
    <mergeCell ref="B328:B329"/>
    <mergeCell ref="C328:E328"/>
    <mergeCell ref="F328:G328"/>
    <mergeCell ref="A330:A331"/>
    <mergeCell ref="B330:B331"/>
    <mergeCell ref="F330:G330"/>
    <mergeCell ref="C330:E330"/>
    <mergeCell ref="A332:F332"/>
    <mergeCell ref="A333:A334"/>
    <mergeCell ref="B333:B334"/>
    <mergeCell ref="C333:E333"/>
    <mergeCell ref="F333:G333"/>
    <mergeCell ref="A335:C335"/>
    <mergeCell ref="A336:C336"/>
    <mergeCell ref="A337:D337"/>
    <mergeCell ref="A338:D338"/>
    <mergeCell ref="A339:D339"/>
    <mergeCell ref="A340:D340"/>
    <mergeCell ref="A341:F341"/>
    <mergeCell ref="A342:A343"/>
    <mergeCell ref="B342:B343"/>
    <mergeCell ref="C342:E342"/>
    <mergeCell ref="F342:G342"/>
    <mergeCell ref="A344:G344"/>
    <mergeCell ref="F345:G345"/>
    <mergeCell ref="B346:G346"/>
    <mergeCell ref="A347:F347"/>
    <mergeCell ref="C280:E280"/>
    <mergeCell ref="A282:G282"/>
    <mergeCell ref="F283:G283"/>
    <mergeCell ref="B284:G284"/>
    <mergeCell ref="A285:F285"/>
    <mergeCell ref="A286:A287"/>
    <mergeCell ref="B286:B287"/>
    <mergeCell ref="A288:C288"/>
    <mergeCell ref="A289:C289"/>
    <mergeCell ref="A290:D290"/>
    <mergeCell ref="A291:D291"/>
    <mergeCell ref="A292:D292"/>
    <mergeCell ref="A293:D293"/>
    <mergeCell ref="A294:F294"/>
    <mergeCell ref="A348:A349"/>
    <mergeCell ref="B348:B349"/>
    <mergeCell ref="C348:E348"/>
    <mergeCell ref="F348:G348"/>
    <mergeCell ref="A350:C350"/>
    <mergeCell ref="A351:C351"/>
    <mergeCell ref="A352:D352"/>
    <mergeCell ref="A353:D353"/>
    <mergeCell ref="A354:D354"/>
    <mergeCell ref="A355:D355"/>
    <mergeCell ref="A356:F356"/>
    <mergeCell ref="B357:B358"/>
    <mergeCell ref="C357:E357"/>
    <mergeCell ref="F357:G357"/>
    <mergeCell ref="C361:E361"/>
    <mergeCell ref="F361:G361"/>
    <mergeCell ref="A357:A358"/>
    <mergeCell ref="A359:A360"/>
    <mergeCell ref="B359:B360"/>
    <mergeCell ref="C359:E359"/>
    <mergeCell ref="F359:G359"/>
    <mergeCell ref="B361:B362"/>
    <mergeCell ref="A363:F363"/>
    <mergeCell ref="C266:E266"/>
    <mergeCell ref="F266:G266"/>
    <mergeCell ref="C268:E268"/>
    <mergeCell ref="F268:G268"/>
    <mergeCell ref="A270:F270"/>
    <mergeCell ref="A257:C257"/>
    <mergeCell ref="A258:C258"/>
    <mergeCell ref="A259:D259"/>
    <mergeCell ref="A260:D260"/>
    <mergeCell ref="A261:D261"/>
    <mergeCell ref="A262:D262"/>
    <mergeCell ref="A263:F263"/>
    <mergeCell ref="A255:A256"/>
    <mergeCell ref="A264:A265"/>
    <mergeCell ref="B264:B265"/>
    <mergeCell ref="A266:A267"/>
    <mergeCell ref="B266:B267"/>
    <mergeCell ref="A268:A269"/>
    <mergeCell ref="B268:B269"/>
    <mergeCell ref="A271:A272"/>
    <mergeCell ref="B271:B272"/>
    <mergeCell ref="C271:E271"/>
    <mergeCell ref="F271:G271"/>
    <mergeCell ref="A273:C273"/>
    <mergeCell ref="A274:C274"/>
    <mergeCell ref="A275:D275"/>
    <mergeCell ref="A276:D276"/>
    <mergeCell ref="A277:D277"/>
    <mergeCell ref="A278:D278"/>
    <mergeCell ref="A279:F279"/>
    <mergeCell ref="A280:A281"/>
    <mergeCell ref="B280:B281"/>
    <mergeCell ref="F280:G280"/>
    <mergeCell ref="C286:E286"/>
    <mergeCell ref="F286:G286"/>
    <mergeCell ref="A361:A362"/>
    <mergeCell ref="A364:A365"/>
    <mergeCell ref="B364:B365"/>
    <mergeCell ref="C364:E364"/>
    <mergeCell ref="F364:G364"/>
    <mergeCell ref="A366:C366"/>
    <mergeCell ref="A367:C367"/>
    <mergeCell ref="C395:E395"/>
    <mergeCell ref="F395:G395"/>
    <mergeCell ref="A392:A393"/>
    <mergeCell ref="B392:B393"/>
    <mergeCell ref="C392:E392"/>
    <mergeCell ref="F392:G392"/>
    <mergeCell ref="A394:F394"/>
    <mergeCell ref="A395:A396"/>
    <mergeCell ref="B395:B396"/>
    <mergeCell ref="A404:A405"/>
    <mergeCell ref="B404:B405"/>
    <mergeCell ref="A397:C397"/>
    <mergeCell ref="A398:C398"/>
    <mergeCell ref="A399:D399"/>
    <mergeCell ref="A400:D400"/>
    <mergeCell ref="A401:D401"/>
    <mergeCell ref="A402:D402"/>
    <mergeCell ref="A403:F403"/>
    <mergeCell ref="B410:B411"/>
    <mergeCell ref="C410:E410"/>
    <mergeCell ref="C404:E404"/>
    <mergeCell ref="F404:G404"/>
    <mergeCell ref="A406:G406"/>
    <mergeCell ref="F407:G407"/>
    <mergeCell ref="B408:G408"/>
    <mergeCell ref="A409:F409"/>
    <mergeCell ref="F410:G410"/>
    <mergeCell ref="C435:E435"/>
    <mergeCell ref="A437:G437"/>
    <mergeCell ref="F438:G438"/>
    <mergeCell ref="B439:G439"/>
    <mergeCell ref="A440:F440"/>
    <mergeCell ref="A441:A442"/>
    <mergeCell ref="B441:B442"/>
    <mergeCell ref="A443:C443"/>
    <mergeCell ref="A444:C444"/>
    <mergeCell ref="A445:D445"/>
    <mergeCell ref="A446:D446"/>
    <mergeCell ref="A447:D447"/>
    <mergeCell ref="A448:D448"/>
    <mergeCell ref="A449:F449"/>
    <mergeCell ref="A503:A504"/>
    <mergeCell ref="B503:B504"/>
    <mergeCell ref="C503:E503"/>
    <mergeCell ref="F503:G503"/>
    <mergeCell ref="A505:C505"/>
    <mergeCell ref="A506:C506"/>
    <mergeCell ref="A507:D507"/>
    <mergeCell ref="A508:D508"/>
    <mergeCell ref="A509:D509"/>
    <mergeCell ref="A510:D510"/>
    <mergeCell ref="A511:F511"/>
    <mergeCell ref="B512:B513"/>
    <mergeCell ref="C512:E512"/>
    <mergeCell ref="F512:G512"/>
    <mergeCell ref="C516:E516"/>
    <mergeCell ref="F516:G516"/>
    <mergeCell ref="A512:A513"/>
    <mergeCell ref="A514:A515"/>
    <mergeCell ref="B514:B515"/>
    <mergeCell ref="C514:E514"/>
    <mergeCell ref="F514:G514"/>
    <mergeCell ref="B516:B517"/>
    <mergeCell ref="A518:F518"/>
    <mergeCell ref="C421:E421"/>
    <mergeCell ref="F421:G421"/>
    <mergeCell ref="C423:E423"/>
    <mergeCell ref="F423:G423"/>
    <mergeCell ref="A425:F425"/>
    <mergeCell ref="A412:C412"/>
    <mergeCell ref="A413:C413"/>
    <mergeCell ref="A414:D414"/>
    <mergeCell ref="A415:D415"/>
    <mergeCell ref="A416:D416"/>
    <mergeCell ref="A417:D417"/>
    <mergeCell ref="A418:F418"/>
    <mergeCell ref="A410:A411"/>
    <mergeCell ref="A419:A420"/>
    <mergeCell ref="B419:B420"/>
    <mergeCell ref="A421:A422"/>
    <mergeCell ref="B421:B422"/>
    <mergeCell ref="A423:A424"/>
    <mergeCell ref="B423:B424"/>
    <mergeCell ref="A426:A427"/>
    <mergeCell ref="B426:B427"/>
    <mergeCell ref="C426:E426"/>
    <mergeCell ref="F426:G426"/>
    <mergeCell ref="A428:C428"/>
    <mergeCell ref="A429:C429"/>
    <mergeCell ref="A430:D430"/>
    <mergeCell ref="A431:D431"/>
    <mergeCell ref="A432:D432"/>
    <mergeCell ref="A433:D433"/>
    <mergeCell ref="A434:F434"/>
    <mergeCell ref="A435:A436"/>
    <mergeCell ref="B435:B436"/>
    <mergeCell ref="F435:G435"/>
    <mergeCell ref="C441:E441"/>
    <mergeCell ref="F441:G441"/>
    <mergeCell ref="A516:A517"/>
    <mergeCell ref="A519:A520"/>
    <mergeCell ref="B519:B520"/>
    <mergeCell ref="C519:E519"/>
    <mergeCell ref="F519:G519"/>
    <mergeCell ref="A521:C521"/>
    <mergeCell ref="A522:C522"/>
    <mergeCell ref="C550:E550"/>
    <mergeCell ref="F550:G550"/>
    <mergeCell ref="A547:A548"/>
    <mergeCell ref="B547:B548"/>
    <mergeCell ref="C547:E547"/>
    <mergeCell ref="F547:G547"/>
    <mergeCell ref="A549:F549"/>
    <mergeCell ref="A550:A551"/>
    <mergeCell ref="B550:B551"/>
    <mergeCell ref="C528:E528"/>
    <mergeCell ref="F528:G528"/>
    <mergeCell ref="A523:D523"/>
    <mergeCell ref="A524:D524"/>
    <mergeCell ref="A525:D525"/>
    <mergeCell ref="A526:D526"/>
    <mergeCell ref="A527:F527"/>
    <mergeCell ref="A528:A529"/>
    <mergeCell ref="B528:B529"/>
    <mergeCell ref="A530:G530"/>
    <mergeCell ref="F531:G531"/>
    <mergeCell ref="B532:G532"/>
    <mergeCell ref="A533:F533"/>
    <mergeCell ref="A534:A535"/>
    <mergeCell ref="C534:E534"/>
    <mergeCell ref="F534:G534"/>
    <mergeCell ref="B534:B535"/>
    <mergeCell ref="A536:C536"/>
    <mergeCell ref="A537:C537"/>
    <mergeCell ref="A538:D538"/>
    <mergeCell ref="A539:D539"/>
    <mergeCell ref="A540:D540"/>
    <mergeCell ref="A541:D541"/>
    <mergeCell ref="C545:E545"/>
    <mergeCell ref="F545:G545"/>
    <mergeCell ref="A542:F542"/>
    <mergeCell ref="A543:A544"/>
    <mergeCell ref="B543:B544"/>
    <mergeCell ref="C543:E543"/>
    <mergeCell ref="F543:G543"/>
    <mergeCell ref="A545:A546"/>
    <mergeCell ref="B545:B546"/>
    <mergeCell ref="A552:C552"/>
    <mergeCell ref="A553:C553"/>
    <mergeCell ref="A554:D554"/>
    <mergeCell ref="A555:D555"/>
    <mergeCell ref="A556:D556"/>
    <mergeCell ref="A557:D557"/>
    <mergeCell ref="A558:F558"/>
    <mergeCell ref="C373:E373"/>
    <mergeCell ref="F373:G373"/>
    <mergeCell ref="A368:D368"/>
    <mergeCell ref="A369:D369"/>
    <mergeCell ref="A370:D370"/>
    <mergeCell ref="A371:D371"/>
    <mergeCell ref="A372:F372"/>
    <mergeCell ref="A373:A374"/>
    <mergeCell ref="B373:B374"/>
    <mergeCell ref="A375:G375"/>
    <mergeCell ref="F376:G376"/>
    <mergeCell ref="B377:G377"/>
    <mergeCell ref="A378:F378"/>
    <mergeCell ref="A379:A380"/>
    <mergeCell ref="C379:E379"/>
    <mergeCell ref="F379:G379"/>
    <mergeCell ref="B379:B380"/>
    <mergeCell ref="A381:C381"/>
    <mergeCell ref="A382:C382"/>
    <mergeCell ref="A383:D383"/>
    <mergeCell ref="A384:D384"/>
    <mergeCell ref="A385:D385"/>
    <mergeCell ref="A386:D386"/>
    <mergeCell ref="C390:E390"/>
    <mergeCell ref="F390:G390"/>
    <mergeCell ref="A387:F387"/>
    <mergeCell ref="A388:A389"/>
    <mergeCell ref="B388:B389"/>
    <mergeCell ref="C388:E388"/>
    <mergeCell ref="F388:G388"/>
    <mergeCell ref="A390:A391"/>
    <mergeCell ref="B390:B391"/>
    <mergeCell ref="C419:E419"/>
    <mergeCell ref="F419:G419"/>
    <mergeCell ref="C454:E454"/>
    <mergeCell ref="F454:G454"/>
    <mergeCell ref="A450:A451"/>
    <mergeCell ref="B450:B451"/>
    <mergeCell ref="C450:E450"/>
    <mergeCell ref="F450:G450"/>
    <mergeCell ref="B452:B453"/>
    <mergeCell ref="C452:E452"/>
    <mergeCell ref="F452:G452"/>
    <mergeCell ref="A452:A453"/>
    <mergeCell ref="A454:A455"/>
    <mergeCell ref="B454:B455"/>
    <mergeCell ref="A456:F456"/>
    <mergeCell ref="A457:A458"/>
    <mergeCell ref="C457:E457"/>
    <mergeCell ref="F457:G457"/>
    <mergeCell ref="B457:B458"/>
    <mergeCell ref="A459:C459"/>
    <mergeCell ref="A460:C460"/>
    <mergeCell ref="A461:D461"/>
    <mergeCell ref="A462:D462"/>
    <mergeCell ref="A463:D463"/>
    <mergeCell ref="A464:D464"/>
    <mergeCell ref="A465:F465"/>
    <mergeCell ref="A466:A467"/>
    <mergeCell ref="B466:B467"/>
    <mergeCell ref="C466:E466"/>
    <mergeCell ref="F466:G466"/>
    <mergeCell ref="A468:G468"/>
    <mergeCell ref="F469:G469"/>
    <mergeCell ref="B470:G470"/>
    <mergeCell ref="A471:F471"/>
    <mergeCell ref="A472:A473"/>
    <mergeCell ref="B472:B473"/>
    <mergeCell ref="C472:E472"/>
    <mergeCell ref="F472:G472"/>
    <mergeCell ref="A474:C474"/>
    <mergeCell ref="B481:B482"/>
    <mergeCell ref="C481:E481"/>
    <mergeCell ref="F481:G481"/>
    <mergeCell ref="A475:C475"/>
    <mergeCell ref="A476:D476"/>
    <mergeCell ref="A477:D477"/>
    <mergeCell ref="A478:D478"/>
    <mergeCell ref="A479:D479"/>
    <mergeCell ref="A480:F480"/>
    <mergeCell ref="A481:A482"/>
    <mergeCell ref="A483:A484"/>
    <mergeCell ref="B483:B484"/>
    <mergeCell ref="C483:E483"/>
    <mergeCell ref="F483:G483"/>
    <mergeCell ref="A485:A486"/>
    <mergeCell ref="B485:B486"/>
    <mergeCell ref="F485:G485"/>
    <mergeCell ref="C485:E485"/>
    <mergeCell ref="A487:F487"/>
    <mergeCell ref="A488:A489"/>
    <mergeCell ref="B488:B489"/>
    <mergeCell ref="C488:E488"/>
    <mergeCell ref="F488:G488"/>
    <mergeCell ref="A490:C490"/>
    <mergeCell ref="A491:C491"/>
    <mergeCell ref="A492:D492"/>
    <mergeCell ref="A493:D493"/>
    <mergeCell ref="A494:D494"/>
    <mergeCell ref="A495:D495"/>
    <mergeCell ref="A496:F496"/>
    <mergeCell ref="A497:A498"/>
    <mergeCell ref="B497:B498"/>
    <mergeCell ref="C497:E497"/>
    <mergeCell ref="F497:G497"/>
    <mergeCell ref="A499:G499"/>
    <mergeCell ref="F500:G500"/>
    <mergeCell ref="B501:G501"/>
    <mergeCell ref="A502:F50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