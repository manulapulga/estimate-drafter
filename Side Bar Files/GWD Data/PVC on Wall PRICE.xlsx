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<sst xmlns="http://schemas.openxmlformats.org/spreadsheetml/2006/main" count="1638" uniqueCount="123">
  <si>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</si>
  <si>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</si>
  <si>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</si>
  <si>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</si>
  <si>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</si>
  <si>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</si>
  <si>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</si>
  <si>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</si>
  <si>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</si>
  <si>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Providing and fixing PVC pipes, fittings including fixing the pipe with clamps at 1.00 m spacing. This includes jointing of pipes &amp; fittings with one step PVC solvent cement and testing of joints complete as per direction of Engineer-in-Charge 15mm dia 12kgf/cm2 -Internal work- Exposed on wall (50.18.7.1.1)</t>
  </si>
  <si>
    <t>Header Unit</t>
  </si>
  <si>
    <t>metre</t>
  </si>
  <si>
    <t>Header Quantity</t>
  </si>
  <si>
    <t>Header Details</t>
  </si>
  <si>
    <t>Details of cost for 10 meter</t>
  </si>
  <si>
    <t>Material</t>
  </si>
  <si>
    <t>M</t>
  </si>
  <si>
    <t>MR38</t>
  </si>
  <si>
    <t>PVC pipe 15 mm outer dia. 12kgf/cm2</t>
  </si>
  <si>
    <t>M1</t>
  </si>
  <si>
    <t>TOTAL</t>
  </si>
  <si>
    <t>UNIT TOTAL</t>
  </si>
  <si>
    <t>Water Charge@ 1.00 %</t>
  </si>
  <si>
    <t>Contractors Profit &amp; Overhead@ 15.00 %</t>
  </si>
  <si>
    <t>Labour</t>
  </si>
  <si>
    <t>L</t>
  </si>
  <si>
    <t>Fitter(grade1)</t>
  </si>
  <si>
    <t>Day</t>
  </si>
  <si>
    <t>L1</t>
  </si>
  <si>
    <t>Assistant Fitter or 2nd class fitter</t>
  </si>
  <si>
    <t>L2</t>
  </si>
  <si>
    <t>Beldar</t>
  </si>
  <si>
    <t>L3</t>
  </si>
  <si>
    <t>Tools &amp; Plants</t>
  </si>
  <si>
    <t>Sundries
Adhesive and sundries etc.</t>
  </si>
  <si>
    <t>L.S</t>
  </si>
  <si>
    <t>T1</t>
  </si>
  <si>
    <t>/m</t>
  </si>
  <si>
    <t>Providing and fixing PVC pipes, fittings including fixing the pipe with clamps at 1.00 m spacing. This includes jointing of pipes &amp; fittings with one step PVC solvent cement and testing of joints complete as per direction of Engineer-in-Charge 15 mm dia 10Kgf/cm2 - Internal work - Exposed on wall (50.18.7.1.2)</t>
  </si>
  <si>
    <t>Details of cost for 10 metre</t>
  </si>
  <si>
    <t>MR39</t>
  </si>
  <si>
    <t>PVC pipe 15 mm outer dia 10kgf/cm2
(Adding 15% for fittings and wastage)</t>
  </si>
  <si>
    <t>Sundries
Adhesive and sundries etc</t>
  </si>
  <si>
    <t>Providing and fixing PVC pipes, fittings including fixing the pipe with claps at 1.00 metre spacing. This includes jointing of pipes &amp; fittings with one step PVC solvent cement and testing of joints complete as per direction of Engineer-in-Charge 20 mm dia 12Kgf/cm2 - Internal work - Exposed on wall (50.18.7.2.1)</t>
  </si>
  <si>
    <t>MR40</t>
  </si>
  <si>
    <t>PVC pipe 20 mm outer dia 12 kgf/cm2
(Adding 15% for fittings wastage)</t>
  </si>
  <si>
    <t>Providing and fixing PVC pipes, fittings including fixing the pipe with clamps at 1.00 m spacing. This includes jointing of pipes &amp; fittings with one step PVC solvent cement and testing of joints complete as per direction of Engineer -in-Charge 20 mm dia 10 Kgf/cm2- Internal work - Exposed on wall (50.18.7.2.2)</t>
  </si>
  <si>
    <t>MR41</t>
  </si>
  <si>
    <t>PVC pipe 20 mm outer dia 10 kgf/cm2
(Adding 15% for fittings wastage)</t>
  </si>
  <si>
    <t>Sundries</t>
  </si>
  <si>
    <t>Providing and fixing PVC pipes, fittings including fixing the pipe with clamps at 1.00 m spacing. This includes jointing of pipes &amp; fittings with one step PVC solvent cement and testing of joints complete as per direction of Engineer- in- Charge 25 mm dia 12 Kgf/cm2 - Internal work - Exposed on wall (50.18.7.3.1)</t>
  </si>
  <si>
    <t>Details of cost for 10 m</t>
  </si>
  <si>
    <t>MR42</t>
  </si>
  <si>
    <t>PVC pipe 25 mm outer dia . 12 kgf/cm2
(Adding 15% for fittings and wastage)</t>
  </si>
  <si>
    <t>Providing and fixing PVC pipes, fittings including fixing the pipe with clamps at 1.00 m spacing. This includes jointing of pipes &amp; fittings with one step PVC solvent cement and testing of joints complete as per direction of Engineer-in-Charge 25 mm dia 10Kgf/ cm2- Internal work- Exposed on wall (50.18.7.3.2)</t>
  </si>
  <si>
    <t>MR43</t>
  </si>
  <si>
    <t>PVC pipe 25 mm outer dia. 10kgf cm2
(Adding 15% for fittings and wastage)</t>
  </si>
  <si>
    <t>Providing and fixing PVC pipes, fittings including fixing the pipe with clamps at 1.00 m spacing. This includes jointing of pipes &amp; fittings with one step PVC solvent cement and testing of joints complete as per direction of Engineer-in-Charge 32 mm dia 10Kgf/cm2- Internal work - Exposed on wall (50.18.7.4.1)</t>
  </si>
  <si>
    <t>MR44</t>
  </si>
  <si>
    <t>PVC pipe 32 mm outer dia. 10Kgf/cm2
Add 15% for fittings and wastage etc</t>
  </si>
  <si>
    <t>Providing and fixing PVC pipes, fittings including fixing the pipe with clamps at 1.00m spacing. This includes jointing of pipes &amp; fittings with one step PVC solvent cement and testing of joints complete as per direction of Engineer-in-Charge 40 mm dia 10 Kgf/cm2- Internal work- exposed on wall (50.18.7.5.1)</t>
  </si>
  <si>
    <t>Details of cost for 10 metre MATERIALS:</t>
  </si>
  <si>
    <t>MR46</t>
  </si>
  <si>
    <t>PVC pipe 40 mm outer dia. 10kgf/cm2
Add 15% for fitting and wastage etc on (A)</t>
  </si>
  <si>
    <t>Providing and fixing PVC pipes, fittings including fixing the pipe with clamps at 1.00 m spacing. This includes jointing of pipes &amp; fittings with one step PVC solvent cement and testing of joints complete as per direction of Engineer-in-Charge 40 mm dia 6Kgf/cm2 - Internal work - Exposed on wall (50.18.7.5.2)</t>
  </si>
  <si>
    <t>MR47</t>
  </si>
  <si>
    <t>PVC pipe 40 mm outer dia. 6kgf/cm2
Add 15% for fitting and wastage etc on (A)</t>
  </si>
  <si>
    <t>Providing and fixing PVC pipes, fittings including fixing the pipe with clamps at 1.00 m spacing. This includes jointing of pipes &amp; fittings with one step PVC solvent cement and testing of joints complete as per direction of Engineer-in-Charge 50 mm dia 10 kgf/cm - Internal work- Exposed on wall (50.18.7.6.1)</t>
  </si>
  <si>
    <t>MR48</t>
  </si>
  <si>
    <t>PVC pipe 50 mm outer dia. 10 kgf/cm2
(15% added for fittings and wastage etc)</t>
  </si>
  <si>
    <t>Providing and fixing PVC pipes, fittings including fixing the pipe with clamps at 1.00 m spacing . This includes jointing of pipes &amp; fittings with one step PVC solvent cement and testing of joints complete as per direction of Engineer-in-Charge 50 mm dia 6 Kgf/cm2 - Internal work- Exposed on wall (50.18.7.6.2)</t>
  </si>
  <si>
    <t>MR49</t>
  </si>
  <si>
    <t>PVC pipe 50 mm outer dia.6kgf/cm2
(15% added for fittings and wastage etc)</t>
  </si>
  <si>
    <t>Providing and fixing PVC pipes, fittings including fixing the pipe with clamps at 1.00 m spacing. This included jointing of pipes &amp; fittings with one step PVC solvent cement and testing of joints compete as per direction of Engineer-in-Charge 15 mm dia 12 Kgf/cm2-External work - Exposed on wall (50.18.9.11.1)</t>
  </si>
  <si>
    <t>Details of cost for 10.00 meter.</t>
  </si>
  <si>
    <t>PVC pipe 15 mm outer dia. 12kgf/cm2
(Adding 15% for fittings and wastage)</t>
  </si>
  <si>
    <t>Sundries
Scaffolding etc.</t>
  </si>
  <si>
    <t>T2</t>
  </si>
  <si>
    <t>Providing and fixing PVC pipes, fittings including fixing the pipe with clamps at 1.00m spacing. This includes jointing of pipes &amp; fittings with one step PVC solvent cement and testing of joints complete as per direction of Engineer-in-Charge 15 mm dia 10 Kgf/cm2- External work - Exposed on wall (50.18.9.11.2)</t>
  </si>
  <si>
    <t>Providing and fixing PVC pipes, fittings including fixing the pipe with clamps at 1.00 m spacing. This includes jointing of pipes &amp; fittings with one step PVC solvent cement and testing of joints complete as per direction of Engineer-in-Charge 20 mm dia 12 Kgf/cm2 - External work - Exposed on wall (50.18.9.12.1)</t>
  </si>
  <si>
    <t>Providing and fixing PVC pipes, fittings including fixing the pipe with clamps at 1.00 m spacing. This includes jointing of pipes &amp; fittings with one step PVC solvent cement and testing of joints complete as per direction of Engineer-in-Charge 20 mm dia 10Kgf/cm2 External work- Exposed on wall (50.18.9.12.2)</t>
  </si>
  <si>
    <t>Sundries
Adhesive and sundries</t>
  </si>
  <si>
    <t>Providing and fixing PVC pipes, fittings including fixing the pipe with clamps at 1.00 m spacing. This includes jointing of pipes &amp; fittings with one step PVC solvent cement and testing of joints complete as per direction of Engineer-in-Charge 25 mm dia 12 Kgf/ cm2- External work- exposed on wall (50.18.9.13.1)</t>
  </si>
  <si>
    <t>PVC pipe 25 mm outer dia . 12 kgf/cm2
( Adding 15% for fittings and wastage)</t>
  </si>
  <si>
    <t>Providing and fixing PVC pipes, fittings including fixing the pipe with clamps at 1.00 m spacing. This includes jointing of pipes &amp; fittings with one step PVC solvent cement and testing of joints complete as per direction of Engineer-in-Charge 25 mm dia 10 Kgf/cm2- External work - Exposed on wall (50.18.9.13.2)</t>
  </si>
  <si>
    <t>Sundries
Scaffolding etc</t>
  </si>
  <si>
    <t>Providing and fixing PVC pipes, fittings including fixing the pipe with clamps at 1.00 m spacing. This includes jointing of pipes &amp; fittings with one step PVC solvent cement and testing of joints complete as per direction of Engineer-in-Charge 32 mm dia 10 Kgf/cm2 - External work- Exposed on wall (50.18.9.14.1)</t>
  </si>
  <si>
    <t>Providing and fixing PVC pipes, fittings including fixing the pipe with clamps at 1.00 m spacing. this includes jointing of pipes &amp; fittings with one step PVC solvent cement and testing of joints complete as per direction of Engineer-in-Charge 32 mm dia 6 Kgf/cm2 - External work - Exposed on wall (50.18.9.14.2)</t>
  </si>
  <si>
    <t>Details of cost for 10.00 metre.</t>
  </si>
  <si>
    <t>MR45</t>
  </si>
  <si>
    <t>PVC pipe 32 mm outer dia 6Kgf/cm2
Add 15% for fitting and wastage etc on (A)</t>
  </si>
  <si>
    <t>Providing and fixing PVC pipes, fittings including fixing the pipe with clamps at 1.00 m spacing. This includes jointing of pipes &amp; fittings with one step PVC solvent cement and testing of joints complete as per direction of Engineer-in-Charge 40 mm dia 10Kgf/cm2- External work- Exposed on wall (50.18.9.15.1)</t>
  </si>
  <si>
    <t>Providing and fixing PVC pipes, fittings including fixing the pipe with clamps at 1.00 m spacing. This includes jointing of pipes &amp; fittings with one step PVC solvent cement and testing of joints complete as per direction of Engineer-in-Charge 40 mm dia 6 Kgf/cm2 - External work - Exposed on wall (50.18.9.15.2)</t>
  </si>
  <si>
    <t>Details of cost for 10.00 metre</t>
  </si>
  <si>
    <t>Providing and fixing PVC pipes, fittings including fixing the pipe with clamps at 1.00 m spacing. This includes jointing of pipes &amp; fittings with one step PVC solvent cement and testing of joints complete as per direction of Engineer-in-Charge 50 mm dia 10Kgf/cm2 - External work - Exposed on wall (50.18.9.16.1)</t>
  </si>
  <si>
    <t>Providing and fixing PVC pipes, fittings including fixing the pipe with clamps at 1.00 m spacing. This includes jointing of pipes &amp; fittings with one step PVC solvent cement and testing of joints complete as per direction of Engineer-in-Charge 50 mm dia 6Kgf/cm2 - External work - Exposed on wall (50.18.9.16.2)</t>
  </si>
  <si>
    <t>Providing and fixing PVC pipes including fixing the pipe with clamps/ clip at 1.00 m spacing . This includes jointing of pipes with one step PVC solvent cement and testing of joints complete as per direction of Engineer-in-Charge 63 mm dia 6 Kgf/cm2 - External work - Exposed on wall (50.18.9.17.1)</t>
  </si>
  <si>
    <t>MR50</t>
  </si>
  <si>
    <t>PVC pipe 63 mm outer dia . 6kgf/cm2
(5% added for wastage etc)</t>
  </si>
  <si>
    <t>Bandhani</t>
  </si>
  <si>
    <t>Sundries
Carriage of materials</t>
  </si>
  <si>
    <t>Sundries
Adhesive, and sundries etc.</t>
  </si>
  <si>
    <t>T3</t>
  </si>
  <si>
    <t>Providing and fixing PVC pipes including fixing the pipe with clamps/clips at 1.00 m spacing. This includes jointing of pipes with one step PVC solvent cement and testing of joints complete as per direction of Engineer-in-Charge 63 mm dia 4 Kgf/cm2- External work - exposed on wall (50.18.9.17.2)</t>
  </si>
  <si>
    <t>MR51</t>
  </si>
  <si>
    <t>PVC pipe 63 mm outer dia. 4 kgf/cm2
(5% added for wastage etc)</t>
  </si>
  <si>
    <t>Providing and fixing PVC pipes including fixing the pipe with clamps/clips at 1.00 m spacing. This included jointing of pipes with one step PVC solvent cement and testing of joints complete as per direction of Engineer-in-Charge 75 mm dia 6Kgf/cm2 - External work- Exposed on wall (50.18.9.18.1)</t>
  </si>
  <si>
    <t>Details of cost for 10.00 m</t>
  </si>
  <si>
    <t>MR52</t>
  </si>
  <si>
    <t>PVC pipe 75 mm outer dia 6kgf/cm2
(5% added for wastage etc)</t>
  </si>
  <si>
    <t>Sundries
Adhesive, and sundries etc</t>
  </si>
  <si>
    <t>Providing and fixing PVC pipes including fixing the pipe with clamps/Clips at 1.00 m spacing. This included jointing of pipes with one step PVC solvent cement and testing of joints complete as per direction of Engineer-in-Charge 75 mm dia 4 kgf/cm2 - External work - Exposed on wall (50.18.9.18.2)</t>
  </si>
  <si>
    <t>MR53</t>
  </si>
  <si>
    <t>PVC pipe 75 mm outer dia 4 kgf/cm2
(5% added for wastage etc)</t>
  </si>
  <si>
    <t>Sundries
carriage of materials</t>
  </si>
  <si>
    <t>Sundries
Adhesive,and sundries etc.</t>
  </si>
  <si>
    <t>Providing and fixing PVC pipes including fixing the pipe with clamps/ clips/ at 1.00 m spacing . This includes jointing of pipes with one step PVC solvent cement and testing of joints complete as per direction of Engineer-in-Charge 110 mm dia 6 Kgf/cm2 - External work- Exposed on wall (50.18.9.19.1)</t>
  </si>
  <si>
    <t>Details of cost for 10.00 meter</t>
  </si>
  <si>
    <t>MR54</t>
  </si>
  <si>
    <t>PVC pipe 110 mm outer dia 6kgf/cm2
(5% added for wastage etc)</t>
  </si>
  <si>
    <t>Providing and fixing PVC pipes including fixing the pipe with clamps/clips at 1.00 m spacing. This includes jointing of pipes with one step PVC solvent cement and testing of joints complete as per direction of Engineer-in-Charge 110 m dia 4 Kgf/cm2 - External work - Exposed on wall (50.18.9.19.2)</t>
  </si>
  <si>
    <t>MR55</t>
  </si>
  <si>
    <t>PVC pipe 110 mm outer dia. 4kgf/cm2
(5% added for wastage etc)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</si>
</sst>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2"/>
      <color rgb="FF212529"/>
      <name val="Cambria"/>
      <family val="2"/>
    </font>
    <font>
      <b/>
      <sz val="12"/>
      <color rgb="FF212529"/>
      <name val="Cambria"/>
      <family val="2"/>
    </font>
    <font>
      <b/>
      <sz val="12"/>
      <color rgb="FFFFFFFF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3" fillId="2" borderId="1" xfId="0" applyFont="1" applyBorder="1" applyAlignment="1">
      <alignment vertical="center" wrapText="1"/>
    </xf>
    <xf numFmtId="0" fontId="3" fillId="2" borderId="2" xfId="0" applyFont="1" applyBorder="1" applyAlignment="1">
      <alignment vertical="center" wrapText="1"/>
    </xf>
    <xf numFmtId="0" fontId="4" fillId="0" borderId="3" xfId="0" applyFont="1" applyBorder="1">
      <alignment/>
    </xf>
    <xf numFmtId="0" fontId="4" fillId="0" borderId="4" xfId="0" applyFont="1" applyBorder="1">
      <alignment/>
    </xf>
    <xf numFmtId="0" fontId="4" fillId="0" borderId="5" xfId="0" applyFont="1" applyBorder="1">
      <alignment/>
    </xf>
    <xf numFmtId="0" fontId="3" fillId="2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3" borderId="6" xfId="0" applyFont="1" applyBorder="1" applyAlignment="1">
      <alignment horizontal="center" vertical="center" wrapText="1"/>
    </xf>
    <xf numFmtId="0" fontId="1" fillId="3" borderId="6" xfId="0" applyFont="1" applyBorder="1" applyAlignment="1">
      <alignment horizontal="right" vertical="center" wrapText="1"/>
    </xf>
    <xf numFmtId="0" fontId="1" fillId="3" borderId="2" xfId="0" applyFont="1" applyBorder="1" applyAlignment="1">
      <alignment horizontal="left" vertical="center" wrapText="1"/>
    </xf>
    <xf numFmtId="0" fontId="1" fillId="4" borderId="2" xfId="0" applyFont="1" applyBorder="1" applyAlignment="1">
      <alignment horizontal="left" vertical="center" wrapText="1"/>
    </xf>
    <xf numFmtId="0" fontId="1" fillId="4" borderId="6" xfId="0" applyFont="1" applyBorder="1" applyAlignment="1">
      <alignment horizontal="center" vertical="center" wrapText="1"/>
    </xf>
    <xf numFmtId="0" fontId="1" fillId="3" borderId="1" xfId="0" applyFont="1" applyBorder="1" applyAlignment="1">
      <alignment horizontal="center" vertical="center" wrapText="1"/>
    </xf>
    <xf numFmtId="0" fontId="2" fillId="3" borderId="2" xfId="0" applyFont="1" applyBorder="1" applyAlignment="1">
      <alignment horizontal="center" vertical="center" wrapText="1"/>
    </xf>
    <xf numFmtId="0" fontId="1" fillId="3" borderId="6" xfId="0" applyFont="1" applyBorder="1" applyAlignment="1">
      <alignment horizontal="left" vertical="center" wrapText="1"/>
    </xf>
    <xf numFmtId="0" fontId="1" fillId="3" borderId="2" xfId="0" applyFont="1" applyBorder="1" applyAlignment="1">
      <alignment horizontal="center" vertical="center" wrapText="1"/>
    </xf>
    <xf numFmtId="0" fontId="2" fillId="3" borderId="6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2" fillId="4" borderId="2" xfId="0" applyFont="1" applyBorder="1" applyAlignment="1">
      <alignment horizontal="center" vertical="center" wrapText="1"/>
    </xf>
    <xf numFmtId="0" fontId="2" fillId="4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FC190FD-71C8-4739-BA4D-50FDDFDEB9A7}">
  <dimension ref="A1:G947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9">
        <v>10</v>
      </c>
      <c r="F4" s="10"/>
      <c r="G4" s="4"/>
    </row>
    <row r="5" spans="1:7" ht="12.75">
      <c r="A5" s="8" t="s">
        <v>13</v>
      </c>
      <c r="B5" s="10" t="s">
        <v>14</v>
      </c>
      <c r="C5" s="3"/>
      <c r="D5" s="3"/>
      <c r="E5" s="3"/>
      <c r="F5" s="3"/>
      <c r="G5" s="4"/>
    </row>
    <row r="6" spans="1:7" ht="12.75">
      <c r="A6" s="11" t="s">
        <v>15</v>
      </c>
      <c r="B6" s="3"/>
      <c r="C6" s="3"/>
      <c r="D6" s="3"/>
      <c r="E6" s="3"/>
      <c r="F6" s="4"/>
      <c r="G6" s="12" t="s">
        <v>16</v>
      </c>
    </row>
    <row r="7" spans="1:7" ht="12.75">
      <c r="A7" s="13"/>
      <c r="B7" s="13" t="s">
        <v>17</v>
      </c>
      <c r="C7" s="10" t="s">
        <v>18</v>
      </c>
      <c r="D7" s="3"/>
      <c r="E7" s="4"/>
      <c r="F7" s="10"/>
      <c r="G7" s="4"/>
    </row>
    <row r="8" spans="1:7" ht="12.75">
      <c r="A8" s="5"/>
      <c r="B8" s="5"/>
      <c r="C8" s="8" t="s">
        <v>11</v>
      </c>
      <c r="D8" s="9">
        <v>11.50</v>
      </c>
      <c r="E8" s="9">
        <v>38</v>
      </c>
      <c r="F8" s="9">
        <f>D8*E8</f>
        <v>437</v>
      </c>
      <c r="G8" s="8" t="s">
        <v>19</v>
      </c>
    </row>
    <row r="9" spans="1:7" ht="12.75">
      <c r="A9" s="14" t="s">
        <v>20</v>
      </c>
      <c r="B9" s="3"/>
      <c r="C9" s="4"/>
      <c r="D9" s="9">
        <v>10</v>
      </c>
      <c r="E9" s="15" t="s">
        <v>11</v>
      </c>
      <c r="F9" s="9">
        <f>F8</f>
        <v>437</v>
      </c>
      <c r="G9" s="8"/>
    </row>
    <row r="10" spans="1:7" ht="12.75">
      <c r="A10" s="14" t="s">
        <v>21</v>
      </c>
      <c r="B10" s="3"/>
      <c r="C10" s="4"/>
      <c r="D10" s="9">
        <v>1</v>
      </c>
      <c r="E10" s="15" t="s">
        <v>11</v>
      </c>
      <c r="F10" s="9">
        <f>F9/D9</f>
        <v>43.70</v>
      </c>
      <c r="G10" s="8"/>
    </row>
    <row r="11" spans="1:7" ht="12.75">
      <c r="A11" s="16" t="s">
        <v>22</v>
      </c>
      <c r="B11" s="3"/>
      <c r="C11" s="3"/>
      <c r="D11" s="4"/>
      <c r="E11" s="9"/>
      <c r="F11" s="9">
        <f>F10*1%</f>
        <v>0.437</v>
      </c>
      <c r="G11" s="8"/>
    </row>
    <row r="12" spans="1:7" ht="12.75">
      <c r="A12" s="16" t="s">
        <v>20</v>
      </c>
      <c r="B12" s="3"/>
      <c r="C12" s="3"/>
      <c r="D12" s="4"/>
      <c r="E12" s="15"/>
      <c r="F12" s="9">
        <f>F10+F11</f>
        <v>44.137</v>
      </c>
      <c r="G12" s="8"/>
    </row>
    <row r="13" spans="1:7" ht="12.75">
      <c r="A13" s="16" t="s">
        <v>23</v>
      </c>
      <c r="B13" s="3"/>
      <c r="C13" s="3"/>
      <c r="D13" s="4"/>
      <c r="E13" s="9"/>
      <c r="F13" s="9">
        <f>F12*15%</f>
        <v>6.6205499999999997</v>
      </c>
      <c r="G13" s="8"/>
    </row>
    <row r="14" spans="1:7" ht="12.75">
      <c r="A14" s="16" t="s">
        <v>20</v>
      </c>
      <c r="B14" s="3"/>
      <c r="C14" s="3"/>
      <c r="D14" s="4"/>
      <c r="E14" s="15"/>
      <c r="F14" s="17">
        <f>ROUND(F12+F13,2)</f>
        <v>50.76</v>
      </c>
      <c r="G14" s="8"/>
    </row>
    <row r="15" spans="1:7" ht="12.75">
      <c r="A15" s="11" t="s">
        <v>24</v>
      </c>
      <c r="B15" s="3"/>
      <c r="C15" s="3"/>
      <c r="D15" s="3"/>
      <c r="E15" s="3"/>
      <c r="F15" s="4"/>
      <c r="G15" s="12" t="s">
        <v>25</v>
      </c>
    </row>
    <row r="16" spans="1:7" ht="12.75">
      <c r="A16" s="13">
        <v>116</v>
      </c>
      <c r="B16" s="13"/>
      <c r="C16" s="10" t="s">
        <v>26</v>
      </c>
      <c r="D16" s="3"/>
      <c r="E16" s="4"/>
      <c r="F16" s="10"/>
      <c r="G16" s="4"/>
    </row>
    <row r="17" spans="1:7" ht="12.75">
      <c r="A17" s="5"/>
      <c r="B17" s="5"/>
      <c r="C17" s="8" t="s">
        <v>27</v>
      </c>
      <c r="D17" s="9">
        <v>0.33</v>
      </c>
      <c r="E17" s="9">
        <v>784</v>
      </c>
      <c r="F17" s="9">
        <f>D17*E17</f>
        <v>258.72</v>
      </c>
      <c r="G17" s="8" t="s">
        <v>28</v>
      </c>
    </row>
    <row r="18" spans="1:7" ht="12.75">
      <c r="A18" s="13">
        <v>117</v>
      </c>
      <c r="B18" s="13"/>
      <c r="C18" s="10" t="s">
        <v>29</v>
      </c>
      <c r="D18" s="3"/>
      <c r="E18" s="4"/>
      <c r="F18" s="10"/>
      <c r="G18" s="4"/>
    </row>
    <row r="19" spans="1:7" ht="12.75">
      <c r="A19" s="5"/>
      <c r="B19" s="5"/>
      <c r="C19" s="8" t="s">
        <v>27</v>
      </c>
      <c r="D19" s="9">
        <v>0.82</v>
      </c>
      <c r="E19" s="9">
        <v>714</v>
      </c>
      <c r="F19" s="9">
        <f>D19*E19</f>
        <v>585.48</v>
      </c>
      <c r="G19" s="8" t="s">
        <v>30</v>
      </c>
    </row>
    <row r="20" spans="1:7" ht="12.75">
      <c r="A20" s="13">
        <v>114</v>
      </c>
      <c r="B20" s="13"/>
      <c r="C20" s="10" t="s">
        <v>31</v>
      </c>
      <c r="D20" s="3"/>
      <c r="E20" s="4"/>
      <c r="F20" s="10"/>
      <c r="G20" s="4"/>
    </row>
    <row r="21" spans="1:7" ht="12.75">
      <c r="A21" s="5"/>
      <c r="B21" s="5"/>
      <c r="C21" s="8" t="s">
        <v>27</v>
      </c>
      <c r="D21" s="9">
        <v>0.66</v>
      </c>
      <c r="E21" s="9">
        <v>645</v>
      </c>
      <c r="F21" s="9">
        <f>D21*E21</f>
        <v>425.70</v>
      </c>
      <c r="G21" s="8" t="s">
        <v>32</v>
      </c>
    </row>
    <row r="22" spans="1:7" ht="12.75">
      <c r="A22" s="11" t="s">
        <v>33</v>
      </c>
      <c r="B22" s="3"/>
      <c r="C22" s="3"/>
      <c r="D22" s="3"/>
      <c r="E22" s="3"/>
      <c r="F22" s="4"/>
      <c r="G22" s="12" t="s">
        <v>25</v>
      </c>
    </row>
    <row r="23" spans="1:7" ht="12.75">
      <c r="A23" s="13">
        <v>9999</v>
      </c>
      <c r="B23" s="13"/>
      <c r="C23" s="10" t="s">
        <v>34</v>
      </c>
      <c r="D23" s="3"/>
      <c r="E23" s="4"/>
      <c r="F23" s="10"/>
      <c r="G23" s="4"/>
    </row>
    <row r="24" spans="1:7" ht="12.75">
      <c r="A24" s="5"/>
      <c r="B24" s="5"/>
      <c r="C24" s="8" t="s">
        <v>35</v>
      </c>
      <c r="D24" s="9">
        <v>2.73</v>
      </c>
      <c r="E24" s="9">
        <v>2.12</v>
      </c>
      <c r="F24" s="9">
        <f>D24*E24</f>
        <v>5.7876000000000003</v>
      </c>
      <c r="G24" s="8" t="s">
        <v>36</v>
      </c>
    </row>
    <row r="25" spans="1:7" ht="12.75">
      <c r="A25" s="14" t="s">
        <v>20</v>
      </c>
      <c r="B25" s="3"/>
      <c r="C25" s="4"/>
      <c r="D25" s="9">
        <v>10</v>
      </c>
      <c r="E25" s="15" t="s">
        <v>11</v>
      </c>
      <c r="F25" s="18">
        <f>F17+F19+F21+F24</f>
        <v>1275.6876</v>
      </c>
      <c r="G25" s="15"/>
    </row>
    <row r="26" spans="1:7" ht="12.75">
      <c r="A26" s="14" t="s">
        <v>21</v>
      </c>
      <c r="B26" s="3"/>
      <c r="C26" s="4"/>
      <c r="D26" s="9">
        <v>1</v>
      </c>
      <c r="E26" s="15" t="s">
        <v>11</v>
      </c>
      <c r="F26" s="9">
        <f>F25/D25</f>
        <v>127.56876</v>
      </c>
      <c r="G26" s="15"/>
    </row>
    <row r="27" spans="1:7" ht="12.75">
      <c r="A27" s="16" t="s">
        <v>22</v>
      </c>
      <c r="B27" s="3"/>
      <c r="C27" s="3"/>
      <c r="D27" s="4"/>
      <c r="E27" s="9"/>
      <c r="F27" s="9">
        <f>F26*1%</f>
        <v>1.2756875999999999</v>
      </c>
      <c r="G27" s="15"/>
    </row>
    <row r="28" spans="1:7" ht="12.75">
      <c r="A28" s="16" t="s">
        <v>20</v>
      </c>
      <c r="B28" s="3"/>
      <c r="C28" s="3"/>
      <c r="D28" s="4"/>
      <c r="E28" s="15"/>
      <c r="F28" s="9">
        <f>F26+F27</f>
        <v>128.8444476</v>
      </c>
      <c r="G28" s="15"/>
    </row>
    <row r="29" spans="1:7" ht="12.75">
      <c r="A29" s="16" t="s">
        <v>23</v>
      </c>
      <c r="B29" s="3"/>
      <c r="C29" s="3"/>
      <c r="D29" s="4"/>
      <c r="E29" s="9"/>
      <c r="F29" s="9">
        <f>F28*15%</f>
        <v>19.326667140000001</v>
      </c>
      <c r="G29" s="15"/>
    </row>
    <row r="30" spans="1:7" ht="12.75">
      <c r="A30" s="16" t="s">
        <v>20</v>
      </c>
      <c r="B30" s="3"/>
      <c r="C30" s="3"/>
      <c r="D30" s="4"/>
      <c r="E30" s="15"/>
      <c r="F30" s="17">
        <f>ROUND(F28+F29,2)</f>
        <v>148.17</v>
      </c>
      <c r="G30" s="15"/>
    </row>
    <row r="31" spans="1:7" ht="12.75">
      <c r="A31" s="19" t="str">
        <f>CONCATENATE("Say ₹ ",F14," + ",F30," x Cost Index")</f>
        <v>Say ₹ 50.76 + 148.17 x Cost Index</v>
      </c>
      <c r="B31" s="3"/>
      <c r="C31" s="3"/>
      <c r="D31" s="3"/>
      <c r="E31" s="3"/>
      <c r="F31" s="4"/>
      <c r="G31" s="20" t="s">
        <v>37</v>
      </c>
    </row>
    <row r="32" spans="1:7" ht="12.75">
      <c r="A32" s="1" t="s">
        <v>0</v>
      </c>
      <c r="B32" s="1" t="s">
        <v>1</v>
      </c>
      <c r="C32" s="2" t="s">
        <v>2</v>
      </c>
      <c r="D32" s="3"/>
      <c r="E32" s="4"/>
      <c r="F32" s="2" t="s">
        <v>3</v>
      </c>
      <c r="G32" s="4"/>
    </row>
    <row r="33" spans="1:7" ht="12.75">
      <c r="A33" s="5"/>
      <c r="B33" s="5"/>
      <c r="C33" s="6" t="s">
        <v>4</v>
      </c>
      <c r="D33" s="6" t="s">
        <v>5</v>
      </c>
      <c r="E33" s="6" t="s">
        <v>6</v>
      </c>
      <c r="F33" s="6" t="s">
        <v>7</v>
      </c>
      <c r="G33" s="6" t="s">
        <v>8</v>
      </c>
    </row>
    <row r="34" spans="1:7" ht="12.75">
      <c r="A34" s="7" t="s">
        <v>38</v>
      </c>
      <c r="B34" s="3"/>
      <c r="C34" s="3"/>
      <c r="D34" s="3"/>
      <c r="E34" s="3"/>
      <c r="F34" s="3"/>
      <c r="G34" s="4"/>
    </row>
    <row r="35" spans="1:7" ht="12.75">
      <c r="A35" s="8"/>
      <c r="B35" s="8" t="s">
        <v>10</v>
      </c>
      <c r="C35" s="8" t="s">
        <v>11</v>
      </c>
      <c r="D35" s="8" t="s">
        <v>12</v>
      </c>
      <c r="E35" s="9">
        <v>10</v>
      </c>
      <c r="F35" s="10"/>
      <c r="G35" s="4"/>
    </row>
    <row r="36" spans="1:7" ht="12.75">
      <c r="A36" s="8" t="s">
        <v>13</v>
      </c>
      <c r="B36" s="10" t="s">
        <v>39</v>
      </c>
      <c r="C36" s="3"/>
      <c r="D36" s="3"/>
      <c r="E36" s="3"/>
      <c r="F36" s="3"/>
      <c r="G36" s="4"/>
    </row>
    <row r="37" spans="1:7" ht="12.75">
      <c r="A37" s="11" t="s">
        <v>15</v>
      </c>
      <c r="B37" s="3"/>
      <c r="C37" s="3"/>
      <c r="D37" s="3"/>
      <c r="E37" s="3"/>
      <c r="F37" s="4"/>
      <c r="G37" s="12" t="s">
        <v>16</v>
      </c>
    </row>
    <row r="38" spans="1:7" ht="12.75">
      <c r="A38" s="13"/>
      <c r="B38" s="13" t="s">
        <v>40</v>
      </c>
      <c r="C38" s="10" t="s">
        <v>41</v>
      </c>
      <c r="D38" s="3"/>
      <c r="E38" s="4"/>
      <c r="F38" s="10"/>
      <c r="G38" s="4"/>
    </row>
    <row r="39" spans="1:7" ht="12.75">
      <c r="A39" s="5"/>
      <c r="B39" s="5"/>
      <c r="C39" s="8" t="s">
        <v>11</v>
      </c>
      <c r="D39" s="9">
        <v>11.50</v>
      </c>
      <c r="E39" s="9">
        <v>27</v>
      </c>
      <c r="F39" s="9">
        <f>E39*D39</f>
        <v>310.50</v>
      </c>
      <c r="G39" s="8" t="s">
        <v>19</v>
      </c>
    </row>
    <row r="40" spans="1:7" ht="12.75">
      <c r="A40" s="14" t="s">
        <v>20</v>
      </c>
      <c r="B40" s="3"/>
      <c r="C40" s="4"/>
      <c r="D40" s="9">
        <v>10</v>
      </c>
      <c r="E40" s="15" t="s">
        <v>11</v>
      </c>
      <c r="F40" s="9">
        <f>F39</f>
        <v>310.50</v>
      </c>
      <c r="G40" s="8"/>
    </row>
    <row r="41" spans="1:7" ht="12.75">
      <c r="A41" s="14" t="s">
        <v>21</v>
      </c>
      <c r="B41" s="3"/>
      <c r="C41" s="4"/>
      <c r="D41" s="9">
        <v>1</v>
      </c>
      <c r="E41" s="15" t="s">
        <v>11</v>
      </c>
      <c r="F41" s="9">
        <f>F40/D40</f>
        <v>31.05</v>
      </c>
      <c r="G41" s="8"/>
    </row>
    <row r="42" spans="1:7" ht="12.75">
      <c r="A42" s="16" t="s">
        <v>22</v>
      </c>
      <c r="B42" s="3"/>
      <c r="C42" s="3"/>
      <c r="D42" s="4"/>
      <c r="E42" s="9"/>
      <c r="F42" s="9">
        <f>F41*1%</f>
        <v>0.3105</v>
      </c>
      <c r="G42" s="8"/>
    </row>
    <row r="43" spans="1:7" ht="12.75">
      <c r="A43" s="16" t="s">
        <v>20</v>
      </c>
      <c r="B43" s="3"/>
      <c r="C43" s="3"/>
      <c r="D43" s="4"/>
      <c r="E43" s="15"/>
      <c r="F43" s="9">
        <f>F41+F42</f>
        <v>31.360499999999998</v>
      </c>
      <c r="G43" s="8"/>
    </row>
    <row r="44" spans="1:7" ht="12.75">
      <c r="A44" s="16" t="s">
        <v>23</v>
      </c>
      <c r="B44" s="3"/>
      <c r="C44" s="3"/>
      <c r="D44" s="4"/>
      <c r="E44" s="9"/>
      <c r="F44" s="9">
        <f>F43*15%</f>
        <v>4.7040749999999996</v>
      </c>
      <c r="G44" s="8"/>
    </row>
    <row r="45" spans="1:7" ht="12.75">
      <c r="A45" s="16" t="s">
        <v>20</v>
      </c>
      <c r="B45" s="3"/>
      <c r="C45" s="3"/>
      <c r="D45" s="4"/>
      <c r="E45" s="15"/>
      <c r="F45" s="17">
        <f>ROUND(F43+F44,2)</f>
        <v>36.06</v>
      </c>
      <c r="G45" s="8"/>
    </row>
    <row r="46" spans="1:7" ht="12.75">
      <c r="A46" s="11" t="s">
        <v>24</v>
      </c>
      <c r="B46" s="3"/>
      <c r="C46" s="3"/>
      <c r="D46" s="3"/>
      <c r="E46" s="3"/>
      <c r="F46" s="4"/>
      <c r="G46" s="12" t="s">
        <v>25</v>
      </c>
    </row>
    <row r="47" spans="1:7" ht="12.75">
      <c r="A47" s="13">
        <v>116</v>
      </c>
      <c r="B47" s="13"/>
      <c r="C47" s="10" t="s">
        <v>26</v>
      </c>
      <c r="D47" s="3"/>
      <c r="E47" s="4"/>
      <c r="F47" s="10"/>
      <c r="G47" s="4"/>
    </row>
    <row r="48" spans="1:7" ht="12.75">
      <c r="A48" s="5"/>
      <c r="B48" s="5"/>
      <c r="C48" s="8" t="s">
        <v>27</v>
      </c>
      <c r="D48" s="9">
        <v>0.33</v>
      </c>
      <c r="E48" s="9">
        <v>784</v>
      </c>
      <c r="F48" s="9">
        <f>E48*D48</f>
        <v>258.72</v>
      </c>
      <c r="G48" s="8" t="s">
        <v>28</v>
      </c>
    </row>
    <row r="49" spans="1:7" ht="12.75">
      <c r="A49" s="13">
        <v>117</v>
      </c>
      <c r="B49" s="13"/>
      <c r="C49" s="10" t="s">
        <v>29</v>
      </c>
      <c r="D49" s="3"/>
      <c r="E49" s="4"/>
      <c r="F49" s="10"/>
      <c r="G49" s="4"/>
    </row>
    <row r="50" spans="1:7" ht="12.75">
      <c r="A50" s="5"/>
      <c r="B50" s="5"/>
      <c r="C50" s="8" t="s">
        <v>27</v>
      </c>
      <c r="D50" s="9">
        <v>0.82</v>
      </c>
      <c r="E50" s="9">
        <v>714</v>
      </c>
      <c r="F50" s="9">
        <f>E50*D50</f>
        <v>585.48</v>
      </c>
      <c r="G50" s="8" t="s">
        <v>30</v>
      </c>
    </row>
    <row r="51" spans="1:7" ht="12.75">
      <c r="A51" s="13">
        <v>114</v>
      </c>
      <c r="B51" s="13"/>
      <c r="C51" s="10" t="s">
        <v>31</v>
      </c>
      <c r="D51" s="3"/>
      <c r="E51" s="4"/>
      <c r="F51" s="10"/>
      <c r="G51" s="4"/>
    </row>
    <row r="52" spans="1:7" ht="12.75">
      <c r="A52" s="5"/>
      <c r="B52" s="5"/>
      <c r="C52" s="8" t="s">
        <v>27</v>
      </c>
      <c r="D52" s="9">
        <v>0.66</v>
      </c>
      <c r="E52" s="9">
        <v>645</v>
      </c>
      <c r="F52" s="9">
        <f>E52*D52</f>
        <v>425.70</v>
      </c>
      <c r="G52" s="8" t="s">
        <v>32</v>
      </c>
    </row>
    <row r="53" spans="1:7" ht="12.75">
      <c r="A53" s="11" t="s">
        <v>33</v>
      </c>
      <c r="B53" s="3"/>
      <c r="C53" s="3"/>
      <c r="D53" s="3"/>
      <c r="E53" s="3"/>
      <c r="F53" s="4"/>
      <c r="G53" s="12" t="s">
        <v>25</v>
      </c>
    </row>
    <row r="54" spans="1:7" ht="12.75">
      <c r="A54" s="13">
        <v>9999</v>
      </c>
      <c r="B54" s="13"/>
      <c r="C54" s="10" t="s">
        <v>42</v>
      </c>
      <c r="D54" s="3"/>
      <c r="E54" s="4"/>
      <c r="F54" s="10"/>
      <c r="G54" s="4"/>
    </row>
    <row r="55" spans="1:7" ht="12.75">
      <c r="A55" s="5"/>
      <c r="B55" s="5"/>
      <c r="C55" s="8" t="s">
        <v>35</v>
      </c>
      <c r="D55" s="9">
        <v>2.73</v>
      </c>
      <c r="E55" s="9">
        <v>2.12</v>
      </c>
      <c r="F55" s="9">
        <f>E55*D55</f>
        <v>5.7876000000000003</v>
      </c>
      <c r="G55" s="8" t="s">
        <v>36</v>
      </c>
    </row>
    <row r="56" spans="1:7" ht="12.75">
      <c r="A56" s="14" t="s">
        <v>20</v>
      </c>
      <c r="B56" s="3"/>
      <c r="C56" s="4"/>
      <c r="D56" s="9">
        <v>10</v>
      </c>
      <c r="E56" s="15" t="s">
        <v>11</v>
      </c>
      <c r="F56" s="18">
        <f>F48+F50+F52+F55</f>
        <v>1275.6876</v>
      </c>
      <c r="G56" s="15"/>
    </row>
    <row r="57" spans="1:7" ht="12.75">
      <c r="A57" s="14" t="s">
        <v>21</v>
      </c>
      <c r="B57" s="3"/>
      <c r="C57" s="4"/>
      <c r="D57" s="9">
        <v>1</v>
      </c>
      <c r="E57" s="15" t="s">
        <v>11</v>
      </c>
      <c r="F57" s="9">
        <f>F56/D56</f>
        <v>127.56876</v>
      </c>
      <c r="G57" s="15"/>
    </row>
    <row r="58" spans="1:7" ht="12.75">
      <c r="A58" s="16" t="s">
        <v>22</v>
      </c>
      <c r="B58" s="3"/>
      <c r="C58" s="3"/>
      <c r="D58" s="4"/>
      <c r="E58" s="9"/>
      <c r="F58" s="9">
        <f>F57*1%</f>
        <v>1.2756875999999999</v>
      </c>
      <c r="G58" s="15"/>
    </row>
    <row r="59" spans="1:7" ht="12.75">
      <c r="A59" s="16" t="s">
        <v>20</v>
      </c>
      <c r="B59" s="3"/>
      <c r="C59" s="3"/>
      <c r="D59" s="4"/>
      <c r="E59" s="15"/>
      <c r="F59" s="9">
        <f>F57+F58</f>
        <v>128.8444476</v>
      </c>
      <c r="G59" s="15"/>
    </row>
    <row r="60" spans="1:7" ht="12.75">
      <c r="A60" s="16" t="s">
        <v>23</v>
      </c>
      <c r="B60" s="3"/>
      <c r="C60" s="3"/>
      <c r="D60" s="4"/>
      <c r="E60" s="9"/>
      <c r="F60" s="9">
        <f>F59*15%</f>
        <v>19.326667140000001</v>
      </c>
      <c r="G60" s="15"/>
    </row>
    <row r="61" spans="1:7" ht="12.75">
      <c r="A61" s="16" t="s">
        <v>20</v>
      </c>
      <c r="B61" s="3"/>
      <c r="C61" s="3"/>
      <c r="D61" s="4"/>
      <c r="E61" s="15"/>
      <c r="F61" s="17">
        <f>ROUND(F59+F60,2)</f>
        <v>148.17</v>
      </c>
      <c r="G61" s="15"/>
    </row>
    <row r="62" spans="1:7" ht="12.75">
      <c r="A62" s="19" t="str">
        <f>CONCATENATE("Say ₹ ",F45," + ",F61," x Cost Index")</f>
        <v>Say ₹ 36.06 + 148.17 x Cost Index</v>
      </c>
      <c r="B62" s="3"/>
      <c r="C62" s="3"/>
      <c r="D62" s="3"/>
      <c r="E62" s="3"/>
      <c r="F62" s="4"/>
      <c r="G62" s="20" t="s">
        <v>37</v>
      </c>
    </row>
    <row r="63" spans="1:7" ht="12.75">
      <c r="A63" s="1" t="s">
        <v>0</v>
      </c>
      <c r="B63" s="1" t="s">
        <v>1</v>
      </c>
      <c r="C63" s="2" t="s">
        <v>2</v>
      </c>
      <c r="D63" s="3"/>
      <c r="E63" s="4"/>
      <c r="F63" s="2" t="s">
        <v>3</v>
      </c>
      <c r="G63" s="4"/>
    </row>
    <row r="64" spans="1:7" ht="12.75">
      <c r="A64" s="5"/>
      <c r="B64" s="5"/>
      <c r="C64" s="6" t="s">
        <v>4</v>
      </c>
      <c r="D64" s="6" t="s">
        <v>5</v>
      </c>
      <c r="E64" s="6" t="s">
        <v>6</v>
      </c>
      <c r="F64" s="6" t="s">
        <v>7</v>
      </c>
      <c r="G64" s="6" t="s">
        <v>8</v>
      </c>
    </row>
    <row r="65" spans="1:7" ht="12.75">
      <c r="A65" s="7" t="s">
        <v>43</v>
      </c>
      <c r="B65" s="3"/>
      <c r="C65" s="3"/>
      <c r="D65" s="3"/>
      <c r="E65" s="3"/>
      <c r="F65" s="3"/>
      <c r="G65" s="4"/>
    </row>
    <row r="66" spans="1:7" ht="12.75">
      <c r="A66" s="8"/>
      <c r="B66" s="8" t="s">
        <v>10</v>
      </c>
      <c r="C66" s="8" t="s">
        <v>11</v>
      </c>
      <c r="D66" s="8" t="s">
        <v>12</v>
      </c>
      <c r="E66" s="9">
        <v>10</v>
      </c>
      <c r="F66" s="10"/>
      <c r="G66" s="4"/>
    </row>
    <row r="67" spans="1:7" ht="12.75">
      <c r="A67" s="8" t="s">
        <v>13</v>
      </c>
      <c r="B67" s="10" t="s">
        <v>39</v>
      </c>
      <c r="C67" s="3"/>
      <c r="D67" s="3"/>
      <c r="E67" s="3"/>
      <c r="F67" s="3"/>
      <c r="G67" s="4"/>
    </row>
    <row r="68" spans="1:7" ht="12.75">
      <c r="A68" s="11" t="s">
        <v>15</v>
      </c>
      <c r="B68" s="3"/>
      <c r="C68" s="3"/>
      <c r="D68" s="3"/>
      <c r="E68" s="3"/>
      <c r="F68" s="4"/>
      <c r="G68" s="12" t="s">
        <v>16</v>
      </c>
    </row>
    <row r="69" spans="1:7" ht="12.75">
      <c r="A69" s="13"/>
      <c r="B69" s="13" t="s">
        <v>44</v>
      </c>
      <c r="C69" s="10" t="s">
        <v>45</v>
      </c>
      <c r="D69" s="3"/>
      <c r="E69" s="4"/>
      <c r="F69" s="10"/>
      <c r="G69" s="4"/>
    </row>
    <row r="70" spans="1:7" ht="12.75">
      <c r="A70" s="5"/>
      <c r="B70" s="5"/>
      <c r="C70" s="8" t="s">
        <v>11</v>
      </c>
      <c r="D70" s="9">
        <v>11.50</v>
      </c>
      <c r="E70" s="9">
        <v>40.50</v>
      </c>
      <c r="F70" s="9">
        <f>E70*D70</f>
        <v>465.75</v>
      </c>
      <c r="G70" s="8" t="s">
        <v>19</v>
      </c>
    </row>
    <row r="71" spans="1:7" ht="12.75">
      <c r="A71" s="14" t="s">
        <v>20</v>
      </c>
      <c r="B71" s="3"/>
      <c r="C71" s="4"/>
      <c r="D71" s="9">
        <v>10</v>
      </c>
      <c r="E71" s="15" t="s">
        <v>11</v>
      </c>
      <c r="F71" s="9">
        <f>F70</f>
        <v>465.75</v>
      </c>
      <c r="G71" s="8"/>
    </row>
    <row r="72" spans="1:7" ht="12.75">
      <c r="A72" s="14" t="s">
        <v>21</v>
      </c>
      <c r="B72" s="3"/>
      <c r="C72" s="4"/>
      <c r="D72" s="9">
        <v>1</v>
      </c>
      <c r="E72" s="15" t="s">
        <v>11</v>
      </c>
      <c r="F72" s="9">
        <f>F71/D71</f>
        <v>46.575</v>
      </c>
      <c r="G72" s="8"/>
    </row>
    <row r="73" spans="1:7" ht="12.75">
      <c r="A73" s="16" t="s">
        <v>22</v>
      </c>
      <c r="B73" s="3"/>
      <c r="C73" s="3"/>
      <c r="D73" s="4"/>
      <c r="E73" s="9"/>
      <c r="F73" s="9">
        <f>F72*1%</f>
        <v>0.46575</v>
      </c>
      <c r="G73" s="8"/>
    </row>
    <row r="74" spans="1:7" ht="12.75">
      <c r="A74" s="16" t="s">
        <v>20</v>
      </c>
      <c r="B74" s="3"/>
      <c r="C74" s="3"/>
      <c r="D74" s="4"/>
      <c r="E74" s="15"/>
      <c r="F74" s="9">
        <f>F72+F73</f>
        <v>47.040750000000003</v>
      </c>
      <c r="G74" s="8"/>
    </row>
    <row r="75" spans="1:7" ht="12.75">
      <c r="A75" s="16" t="s">
        <v>23</v>
      </c>
      <c r="B75" s="3"/>
      <c r="C75" s="3"/>
      <c r="D75" s="4"/>
      <c r="E75" s="9"/>
      <c r="F75" s="9">
        <f>F74*15%</f>
        <v>7.0561125000000002</v>
      </c>
      <c r="G75" s="8"/>
    </row>
    <row r="76" spans="1:7" ht="12.75">
      <c r="A76" s="16" t="s">
        <v>20</v>
      </c>
      <c r="B76" s="3"/>
      <c r="C76" s="3"/>
      <c r="D76" s="4"/>
      <c r="E76" s="15"/>
      <c r="F76" s="17">
        <f>ROUND(F74+F75,2)</f>
        <v>54.10</v>
      </c>
      <c r="G76" s="8"/>
    </row>
    <row r="77" spans="1:7" ht="12.75">
      <c r="A77" s="11" t="s">
        <v>24</v>
      </c>
      <c r="B77" s="3"/>
      <c r="C77" s="3"/>
      <c r="D77" s="3"/>
      <c r="E77" s="3"/>
      <c r="F77" s="4"/>
      <c r="G77" s="12" t="s">
        <v>25</v>
      </c>
    </row>
    <row r="78" spans="1:7" ht="12.75">
      <c r="A78" s="13">
        <v>116</v>
      </c>
      <c r="B78" s="13"/>
      <c r="C78" s="10" t="s">
        <v>26</v>
      </c>
      <c r="D78" s="3"/>
      <c r="E78" s="4"/>
      <c r="F78" s="10"/>
      <c r="G78" s="4"/>
    </row>
    <row r="79" spans="1:7" ht="12.75">
      <c r="A79" s="5"/>
      <c r="B79" s="5"/>
      <c r="C79" s="8" t="s">
        <v>27</v>
      </c>
      <c r="D79" s="9">
        <v>0.33</v>
      </c>
      <c r="E79" s="9">
        <v>784</v>
      </c>
      <c r="F79" s="9">
        <f>E79*D79</f>
        <v>258.72</v>
      </c>
      <c r="G79" s="8" t="s">
        <v>28</v>
      </c>
    </row>
    <row r="80" spans="1:7" ht="12.75">
      <c r="A80" s="13">
        <v>117</v>
      </c>
      <c r="B80" s="13"/>
      <c r="C80" s="10" t="s">
        <v>29</v>
      </c>
      <c r="D80" s="3"/>
      <c r="E80" s="4"/>
      <c r="F80" s="10"/>
      <c r="G80" s="4"/>
    </row>
    <row r="81" spans="1:7" ht="12.75">
      <c r="A81" s="5"/>
      <c r="B81" s="5"/>
      <c r="C81" s="8" t="s">
        <v>27</v>
      </c>
      <c r="D81" s="9">
        <v>0.98</v>
      </c>
      <c r="E81" s="9">
        <v>714</v>
      </c>
      <c r="F81" s="9">
        <f>E81*D81</f>
        <v>699.72</v>
      </c>
      <c r="G81" s="8" t="s">
        <v>30</v>
      </c>
    </row>
    <row r="82" spans="1:7" ht="12.75">
      <c r="A82" s="13">
        <v>114</v>
      </c>
      <c r="B82" s="13"/>
      <c r="C82" s="10" t="s">
        <v>31</v>
      </c>
      <c r="D82" s="3"/>
      <c r="E82" s="4"/>
      <c r="F82" s="10"/>
      <c r="G82" s="4"/>
    </row>
    <row r="83" spans="1:7" ht="12.75">
      <c r="A83" s="5"/>
      <c r="B83" s="5"/>
      <c r="C83" s="8" t="s">
        <v>27</v>
      </c>
      <c r="D83" s="9">
        <v>0.66</v>
      </c>
      <c r="E83" s="9">
        <v>645</v>
      </c>
      <c r="F83" s="9">
        <f>E83*D83</f>
        <v>425.70</v>
      </c>
      <c r="G83" s="8" t="s">
        <v>32</v>
      </c>
    </row>
    <row r="84" spans="1:7" ht="12.75">
      <c r="A84" s="11" t="s">
        <v>33</v>
      </c>
      <c r="B84" s="3"/>
      <c r="C84" s="3"/>
      <c r="D84" s="3"/>
      <c r="E84" s="3"/>
      <c r="F84" s="4"/>
      <c r="G84" s="12" t="s">
        <v>25</v>
      </c>
    </row>
    <row r="85" spans="1:7" ht="12.75">
      <c r="A85" s="13">
        <v>9999</v>
      </c>
      <c r="B85" s="13"/>
      <c r="C85" s="10" t="s">
        <v>42</v>
      </c>
      <c r="D85" s="3"/>
      <c r="E85" s="4"/>
      <c r="F85" s="10"/>
      <c r="G85" s="4"/>
    </row>
    <row r="86" spans="1:7" ht="12.75">
      <c r="A86" s="5"/>
      <c r="B86" s="5"/>
      <c r="C86" s="8" t="s">
        <v>35</v>
      </c>
      <c r="D86" s="9">
        <v>2.73</v>
      </c>
      <c r="E86" s="9">
        <v>2.12</v>
      </c>
      <c r="F86" s="9">
        <f>E86*D86</f>
        <v>5.7876000000000003</v>
      </c>
      <c r="G86" s="8" t="s">
        <v>36</v>
      </c>
    </row>
    <row r="87" spans="1:7" ht="12.75">
      <c r="A87" s="14" t="s">
        <v>20</v>
      </c>
      <c r="B87" s="3"/>
      <c r="C87" s="4"/>
      <c r="D87" s="9">
        <v>10</v>
      </c>
      <c r="E87" s="15" t="s">
        <v>11</v>
      </c>
      <c r="F87" s="18">
        <f>F79+F81+F83+F86</f>
        <v>1389.9276</v>
      </c>
      <c r="G87" s="15"/>
    </row>
    <row r="88" spans="1:7" ht="12.75">
      <c r="A88" s="14" t="s">
        <v>21</v>
      </c>
      <c r="B88" s="3"/>
      <c r="C88" s="4"/>
      <c r="D88" s="9">
        <v>1</v>
      </c>
      <c r="E88" s="15" t="s">
        <v>11</v>
      </c>
      <c r="F88" s="9">
        <f>F87/D87</f>
        <v>138.99276</v>
      </c>
      <c r="G88" s="15"/>
    </row>
    <row r="89" spans="1:7" ht="12.75">
      <c r="A89" s="16" t="s">
        <v>22</v>
      </c>
      <c r="B89" s="3"/>
      <c r="C89" s="3"/>
      <c r="D89" s="4"/>
      <c r="E89" s="9"/>
      <c r="F89" s="9">
        <f>F88*1%</f>
        <v>1.3899276</v>
      </c>
      <c r="G89" s="15"/>
    </row>
    <row r="90" spans="1:7" ht="12.75">
      <c r="A90" s="16" t="s">
        <v>20</v>
      </c>
      <c r="B90" s="3"/>
      <c r="C90" s="3"/>
      <c r="D90" s="4"/>
      <c r="E90" s="15"/>
      <c r="F90" s="9">
        <f>F88+F89</f>
        <v>140.3826876</v>
      </c>
      <c r="G90" s="15"/>
    </row>
    <row r="91" spans="1:7" ht="12.75">
      <c r="A91" s="16" t="s">
        <v>23</v>
      </c>
      <c r="B91" s="3"/>
      <c r="C91" s="3"/>
      <c r="D91" s="4"/>
      <c r="E91" s="9"/>
      <c r="F91" s="9">
        <f>F90*15%</f>
        <v>21.057403140000002</v>
      </c>
      <c r="G91" s="15"/>
    </row>
    <row r="92" spans="1:7" ht="12.75">
      <c r="A92" s="16" t="s">
        <v>20</v>
      </c>
      <c r="B92" s="3"/>
      <c r="C92" s="3"/>
      <c r="D92" s="4"/>
      <c r="E92" s="15"/>
      <c r="F92" s="17">
        <f>ROUND(F90+F91,2)</f>
        <v>161.44</v>
      </c>
      <c r="G92" s="15"/>
    </row>
    <row r="93" spans="1:7" ht="12.75">
      <c r="A93" s="19" t="str">
        <f>CONCATENATE("Say ₹ ",F76," + ",F92," x Cost Index")</f>
        <v>Say ₹ 54.1 + 161.44 x Cost Index</v>
      </c>
      <c r="B93" s="3"/>
      <c r="C93" s="3"/>
      <c r="D93" s="3"/>
      <c r="E93" s="3"/>
      <c r="F93" s="4"/>
      <c r="G93" s="20" t="s">
        <v>37</v>
      </c>
    </row>
    <row r="94" spans="1:7" ht="12.75">
      <c r="A94" s="1" t="s">
        <v>0</v>
      </c>
      <c r="B94" s="1" t="s">
        <v>1</v>
      </c>
      <c r="C94" s="2" t="s">
        <v>2</v>
      </c>
      <c r="D94" s="3"/>
      <c r="E94" s="4"/>
      <c r="F94" s="2" t="s">
        <v>3</v>
      </c>
      <c r="G94" s="4"/>
    </row>
    <row r="95" spans="1:7" ht="12.75">
      <c r="A95" s="5"/>
      <c r="B95" s="5"/>
      <c r="C95" s="6" t="s">
        <v>4</v>
      </c>
      <c r="D95" s="6" t="s">
        <v>5</v>
      </c>
      <c r="E95" s="6" t="s">
        <v>6</v>
      </c>
      <c r="F95" s="6" t="s">
        <v>7</v>
      </c>
      <c r="G95" s="6" t="s">
        <v>8</v>
      </c>
    </row>
    <row r="96" spans="1:7" ht="12.75">
      <c r="A96" s="7" t="s">
        <v>46</v>
      </c>
      <c r="B96" s="3"/>
      <c r="C96" s="3"/>
      <c r="D96" s="3"/>
      <c r="E96" s="3"/>
      <c r="F96" s="3"/>
      <c r="G96" s="4"/>
    </row>
    <row r="97" spans="1:7" ht="12.75">
      <c r="A97" s="8"/>
      <c r="B97" s="8" t="s">
        <v>10</v>
      </c>
      <c r="C97" s="8" t="s">
        <v>11</v>
      </c>
      <c r="D97" s="8" t="s">
        <v>12</v>
      </c>
      <c r="E97" s="9">
        <v>10</v>
      </c>
      <c r="F97" s="10"/>
      <c r="G97" s="4"/>
    </row>
    <row r="98" spans="1:7" ht="12.75">
      <c r="A98" s="8" t="s">
        <v>13</v>
      </c>
      <c r="B98" s="10" t="s">
        <v>39</v>
      </c>
      <c r="C98" s="3"/>
      <c r="D98" s="3"/>
      <c r="E98" s="3"/>
      <c r="F98" s="3"/>
      <c r="G98" s="4"/>
    </row>
    <row r="99" spans="1:7" ht="12.75">
      <c r="A99" s="11" t="s">
        <v>15</v>
      </c>
      <c r="B99" s="3"/>
      <c r="C99" s="3"/>
      <c r="D99" s="3"/>
      <c r="E99" s="3"/>
      <c r="F99" s="4"/>
      <c r="G99" s="12" t="s">
        <v>16</v>
      </c>
    </row>
    <row r="100" spans="1:7" ht="12.75">
      <c r="A100" s="13"/>
      <c r="B100" s="13" t="s">
        <v>47</v>
      </c>
      <c r="C100" s="10" t="s">
        <v>48</v>
      </c>
      <c r="D100" s="3"/>
      <c r="E100" s="4"/>
      <c r="F100" s="10"/>
      <c r="G100" s="4"/>
    </row>
    <row r="101" spans="1:7" ht="12.75">
      <c r="A101" s="5"/>
      <c r="B101" s="5"/>
      <c r="C101" s="8" t="s">
        <v>11</v>
      </c>
      <c r="D101" s="9">
        <v>11.50</v>
      </c>
      <c r="E101" s="9">
        <v>30</v>
      </c>
      <c r="F101" s="9">
        <f>E101*D101</f>
        <v>345</v>
      </c>
      <c r="G101" s="8" t="s">
        <v>19</v>
      </c>
    </row>
    <row r="102" spans="1:7" ht="12.75">
      <c r="A102" s="14" t="s">
        <v>20</v>
      </c>
      <c r="B102" s="3"/>
      <c r="C102" s="4"/>
      <c r="D102" s="9">
        <v>10</v>
      </c>
      <c r="E102" s="15" t="s">
        <v>11</v>
      </c>
      <c r="F102" s="9">
        <f>F101</f>
        <v>345</v>
      </c>
      <c r="G102" s="8"/>
    </row>
    <row r="103" spans="1:7" ht="12.75">
      <c r="A103" s="14" t="s">
        <v>21</v>
      </c>
      <c r="B103" s="3"/>
      <c r="C103" s="4"/>
      <c r="D103" s="9">
        <v>1</v>
      </c>
      <c r="E103" s="15" t="s">
        <v>11</v>
      </c>
      <c r="F103" s="9">
        <f>F102/D102</f>
        <v>34.50</v>
      </c>
      <c r="G103" s="8"/>
    </row>
    <row r="104" spans="1:7" ht="12.75">
      <c r="A104" s="16" t="s">
        <v>22</v>
      </c>
      <c r="B104" s="3"/>
      <c r="C104" s="3"/>
      <c r="D104" s="4"/>
      <c r="E104" s="9"/>
      <c r="F104" s="9">
        <f>F103*1%</f>
        <v>0.345</v>
      </c>
      <c r="G104" s="8"/>
    </row>
    <row r="105" spans="1:7" ht="12.75">
      <c r="A105" s="16" t="s">
        <v>20</v>
      </c>
      <c r="B105" s="3"/>
      <c r="C105" s="3"/>
      <c r="D105" s="4"/>
      <c r="E105" s="15"/>
      <c r="F105" s="9">
        <f>F103+F104</f>
        <v>34.845</v>
      </c>
      <c r="G105" s="8"/>
    </row>
    <row r="106" spans="1:7" ht="12.75">
      <c r="A106" s="16" t="s">
        <v>23</v>
      </c>
      <c r="B106" s="3"/>
      <c r="C106" s="3"/>
      <c r="D106" s="4"/>
      <c r="E106" s="9"/>
      <c r="F106" s="9">
        <f>F105*15%</f>
        <v>5.22675</v>
      </c>
      <c r="G106" s="8"/>
    </row>
    <row r="107" spans="1:7" ht="12.75">
      <c r="A107" s="16" t="s">
        <v>20</v>
      </c>
      <c r="B107" s="3"/>
      <c r="C107" s="3"/>
      <c r="D107" s="4"/>
      <c r="E107" s="15"/>
      <c r="F107" s="17">
        <f>ROUND(F105+F106,2)</f>
        <v>40.07</v>
      </c>
      <c r="G107" s="8"/>
    </row>
    <row r="108" spans="1:7" ht="12.75">
      <c r="A108" s="11" t="s">
        <v>24</v>
      </c>
      <c r="B108" s="3"/>
      <c r="C108" s="3"/>
      <c r="D108" s="3"/>
      <c r="E108" s="3"/>
      <c r="F108" s="4"/>
      <c r="G108" s="12" t="s">
        <v>25</v>
      </c>
    </row>
    <row r="109" spans="1:7" ht="12.75">
      <c r="A109" s="13">
        <v>116</v>
      </c>
      <c r="B109" s="13"/>
      <c r="C109" s="10" t="s">
        <v>26</v>
      </c>
      <c r="D109" s="3"/>
      <c r="E109" s="4"/>
      <c r="F109" s="10"/>
      <c r="G109" s="4"/>
    </row>
    <row r="110" spans="1:7" ht="12.75">
      <c r="A110" s="5"/>
      <c r="B110" s="5"/>
      <c r="C110" s="8" t="s">
        <v>27</v>
      </c>
      <c r="D110" s="9">
        <v>0.33</v>
      </c>
      <c r="E110" s="9">
        <v>784</v>
      </c>
      <c r="F110" s="9">
        <f>E110*D110</f>
        <v>258.72</v>
      </c>
      <c r="G110" s="8" t="s">
        <v>28</v>
      </c>
    </row>
    <row r="111" spans="1:7" ht="12.75">
      <c r="A111" s="13">
        <v>117</v>
      </c>
      <c r="B111" s="13"/>
      <c r="C111" s="10" t="s">
        <v>29</v>
      </c>
      <c r="D111" s="3"/>
      <c r="E111" s="4"/>
      <c r="F111" s="10"/>
      <c r="G111" s="4"/>
    </row>
    <row r="112" spans="1:7" ht="12.75">
      <c r="A112" s="5"/>
      <c r="B112" s="5"/>
      <c r="C112" s="8" t="s">
        <v>27</v>
      </c>
      <c r="D112" s="9">
        <v>0.98</v>
      </c>
      <c r="E112" s="9">
        <v>714</v>
      </c>
      <c r="F112" s="9">
        <f>E112*D112</f>
        <v>699.72</v>
      </c>
      <c r="G112" s="8" t="s">
        <v>30</v>
      </c>
    </row>
    <row r="113" spans="1:7" ht="12.75">
      <c r="A113" s="13">
        <v>114</v>
      </c>
      <c r="B113" s="13"/>
      <c r="C113" s="10" t="s">
        <v>31</v>
      </c>
      <c r="D113" s="3"/>
      <c r="E113" s="4"/>
      <c r="F113" s="10"/>
      <c r="G113" s="4"/>
    </row>
    <row r="114" spans="1:7" ht="12.75">
      <c r="A114" s="5"/>
      <c r="B114" s="5"/>
      <c r="C114" s="8" t="s">
        <v>27</v>
      </c>
      <c r="D114" s="9">
        <v>0.66</v>
      </c>
      <c r="E114" s="9">
        <v>645</v>
      </c>
      <c r="F114" s="9">
        <f>E114*D114</f>
        <v>425.70</v>
      </c>
      <c r="G114" s="8" t="s">
        <v>32</v>
      </c>
    </row>
    <row r="115" spans="1:7" ht="12.75">
      <c r="A115" s="11" t="s">
        <v>33</v>
      </c>
      <c r="B115" s="3"/>
      <c r="C115" s="3"/>
      <c r="D115" s="3"/>
      <c r="E115" s="3"/>
      <c r="F115" s="4"/>
      <c r="G115" s="12" t="s">
        <v>25</v>
      </c>
    </row>
    <row r="116" spans="1:7" ht="12.75">
      <c r="A116" s="13">
        <v>9999</v>
      </c>
      <c r="B116" s="13"/>
      <c r="C116" s="10" t="s">
        <v>49</v>
      </c>
      <c r="D116" s="3"/>
      <c r="E116" s="4"/>
      <c r="F116" s="10"/>
      <c r="G116" s="4"/>
    </row>
    <row r="117" spans="1:7" ht="12.75">
      <c r="A117" s="5"/>
      <c r="B117" s="5"/>
      <c r="C117" s="8" t="s">
        <v>35</v>
      </c>
      <c r="D117" s="9">
        <v>2.73</v>
      </c>
      <c r="E117" s="9">
        <v>2.12</v>
      </c>
      <c r="F117" s="9">
        <f>E117*D117</f>
        <v>5.7876000000000003</v>
      </c>
      <c r="G117" s="8" t="s">
        <v>36</v>
      </c>
    </row>
    <row r="118" spans="1:7" ht="12.75">
      <c r="A118" s="14" t="s">
        <v>20</v>
      </c>
      <c r="B118" s="3"/>
      <c r="C118" s="4"/>
      <c r="D118" s="9">
        <v>10</v>
      </c>
      <c r="E118" s="15" t="s">
        <v>11</v>
      </c>
      <c r="F118" s="18">
        <f>F110+F112+F114+F117</f>
        <v>1389.9276</v>
      </c>
      <c r="G118" s="15"/>
    </row>
    <row r="119" spans="1:7" ht="12.75">
      <c r="A119" s="14" t="s">
        <v>21</v>
      </c>
      <c r="B119" s="3"/>
      <c r="C119" s="4"/>
      <c r="D119" s="9">
        <v>1</v>
      </c>
      <c r="E119" s="15" t="s">
        <v>11</v>
      </c>
      <c r="F119" s="9">
        <f>F118/D118</f>
        <v>138.99276</v>
      </c>
      <c r="G119" s="15"/>
    </row>
    <row r="120" spans="1:7" ht="12.75">
      <c r="A120" s="16" t="s">
        <v>22</v>
      </c>
      <c r="B120" s="3"/>
      <c r="C120" s="3"/>
      <c r="D120" s="4"/>
      <c r="E120" s="9"/>
      <c r="F120" s="9">
        <f>F119*1%</f>
        <v>1.3899276</v>
      </c>
      <c r="G120" s="15"/>
    </row>
    <row r="121" spans="1:7" ht="12.75">
      <c r="A121" s="16" t="s">
        <v>20</v>
      </c>
      <c r="B121" s="3"/>
      <c r="C121" s="3"/>
      <c r="D121" s="4"/>
      <c r="E121" s="15"/>
      <c r="F121" s="9">
        <f>F119+F120</f>
        <v>140.3826876</v>
      </c>
      <c r="G121" s="15"/>
    </row>
    <row r="122" spans="1:7" ht="12.75">
      <c r="A122" s="16" t="s">
        <v>23</v>
      </c>
      <c r="B122" s="3"/>
      <c r="C122" s="3"/>
      <c r="D122" s="4"/>
      <c r="E122" s="9"/>
      <c r="F122" s="9">
        <f>F121*15%</f>
        <v>21.057403140000002</v>
      </c>
      <c r="G122" s="15"/>
    </row>
    <row r="123" spans="1:7" ht="12.75">
      <c r="A123" s="16" t="s">
        <v>20</v>
      </c>
      <c r="B123" s="3"/>
      <c r="C123" s="3"/>
      <c r="D123" s="4"/>
      <c r="E123" s="15"/>
      <c r="F123" s="17">
        <f>ROUND(F121+F122,2)</f>
        <v>161.44</v>
      </c>
      <c r="G123" s="15"/>
    </row>
    <row r="124" spans="1:7" ht="12.75">
      <c r="A124" s="19" t="str">
        <f>CONCATENATE("Say ₹ ",F107," + ",F123," x Cost Index")</f>
        <v>Say ₹ 40.07 + 161.44 x Cost Index</v>
      </c>
      <c r="B124" s="3"/>
      <c r="C124" s="3"/>
      <c r="D124" s="3"/>
      <c r="E124" s="3"/>
      <c r="F124" s="4"/>
      <c r="G124" s="20" t="s">
        <v>37</v>
      </c>
    </row>
    <row r="125" spans="1:7" ht="12.75">
      <c r="A125" s="1" t="s">
        <v>0</v>
      </c>
      <c r="B125" s="1" t="s">
        <v>1</v>
      </c>
      <c r="C125" s="2" t="s">
        <v>2</v>
      </c>
      <c r="D125" s="3"/>
      <c r="E125" s="4"/>
      <c r="F125" s="2" t="s">
        <v>3</v>
      </c>
      <c r="G125" s="4"/>
    </row>
    <row r="126" spans="1:7" ht="12.75">
      <c r="A126" s="5"/>
      <c r="B126" s="5"/>
      <c r="C126" s="6" t="s">
        <v>4</v>
      </c>
      <c r="D126" s="6" t="s">
        <v>5</v>
      </c>
      <c r="E126" s="6" t="s">
        <v>6</v>
      </c>
      <c r="F126" s="6" t="s">
        <v>7</v>
      </c>
      <c r="G126" s="6" t="s">
        <v>8</v>
      </c>
    </row>
    <row r="127" spans="1:7" ht="12.75">
      <c r="A127" s="7" t="s">
        <v>50</v>
      </c>
      <c r="B127" s="3"/>
      <c r="C127" s="3"/>
      <c r="D127" s="3"/>
      <c r="E127" s="3"/>
      <c r="F127" s="3"/>
      <c r="G127" s="4"/>
    </row>
    <row r="128" spans="1:7" ht="12.75">
      <c r="A128" s="8"/>
      <c r="B128" s="8" t="s">
        <v>10</v>
      </c>
      <c r="C128" s="8" t="s">
        <v>11</v>
      </c>
      <c r="D128" s="8" t="s">
        <v>12</v>
      </c>
      <c r="E128" s="9">
        <v>10</v>
      </c>
      <c r="F128" s="10"/>
      <c r="G128" s="4"/>
    </row>
    <row r="129" spans="1:7" ht="12.75">
      <c r="A129" s="8" t="s">
        <v>13</v>
      </c>
      <c r="B129" s="10" t="s">
        <v>51</v>
      </c>
      <c r="C129" s="3"/>
      <c r="D129" s="3"/>
      <c r="E129" s="3"/>
      <c r="F129" s="3"/>
      <c r="G129" s="4"/>
    </row>
    <row r="130" spans="1:7" ht="12.75">
      <c r="A130" s="11" t="s">
        <v>15</v>
      </c>
      <c r="B130" s="3"/>
      <c r="C130" s="3"/>
      <c r="D130" s="3"/>
      <c r="E130" s="3"/>
      <c r="F130" s="4"/>
      <c r="G130" s="12" t="s">
        <v>16</v>
      </c>
    </row>
    <row r="131" spans="1:7" ht="12.75">
      <c r="A131" s="13"/>
      <c r="B131" s="13" t="s">
        <v>52</v>
      </c>
      <c r="C131" s="10" t="s">
        <v>53</v>
      </c>
      <c r="D131" s="3"/>
      <c r="E131" s="4"/>
      <c r="F131" s="10"/>
      <c r="G131" s="4"/>
    </row>
    <row r="132" spans="1:7" ht="12.75">
      <c r="A132" s="5"/>
      <c r="B132" s="5"/>
      <c r="C132" s="8" t="s">
        <v>11</v>
      </c>
      <c r="D132" s="9">
        <v>11.50</v>
      </c>
      <c r="E132" s="9">
        <v>61</v>
      </c>
      <c r="F132" s="9">
        <f>E132*D132</f>
        <v>701.50</v>
      </c>
      <c r="G132" s="8" t="s">
        <v>19</v>
      </c>
    </row>
    <row r="133" spans="1:7" ht="12.75">
      <c r="A133" s="14" t="s">
        <v>20</v>
      </c>
      <c r="B133" s="3"/>
      <c r="C133" s="4"/>
      <c r="D133" s="9">
        <v>10</v>
      </c>
      <c r="E133" s="15" t="s">
        <v>11</v>
      </c>
      <c r="F133" s="9">
        <f>F132</f>
        <v>701.50</v>
      </c>
      <c r="G133" s="8"/>
    </row>
    <row r="134" spans="1:7" ht="12.75">
      <c r="A134" s="14" t="s">
        <v>21</v>
      </c>
      <c r="B134" s="3"/>
      <c r="C134" s="4"/>
      <c r="D134" s="9">
        <v>1</v>
      </c>
      <c r="E134" s="15" t="s">
        <v>11</v>
      </c>
      <c r="F134" s="9">
        <f>F133/D133</f>
        <v>70.15</v>
      </c>
      <c r="G134" s="8"/>
    </row>
    <row r="135" spans="1:7" ht="12.75">
      <c r="A135" s="16" t="s">
        <v>22</v>
      </c>
      <c r="B135" s="3"/>
      <c r="C135" s="3"/>
      <c r="D135" s="4"/>
      <c r="E135" s="9"/>
      <c r="F135" s="9">
        <f>F134*1%</f>
        <v>0.70150000000000001</v>
      </c>
      <c r="G135" s="8"/>
    </row>
    <row r="136" spans="1:7" ht="12.75">
      <c r="A136" s="16" t="s">
        <v>20</v>
      </c>
      <c r="B136" s="3"/>
      <c r="C136" s="3"/>
      <c r="D136" s="4"/>
      <c r="E136" s="15"/>
      <c r="F136" s="9">
        <f>F134+F135</f>
        <v>70.851500000000001</v>
      </c>
      <c r="G136" s="8"/>
    </row>
    <row r="137" spans="1:7" ht="12.75">
      <c r="A137" s="16" t="s">
        <v>23</v>
      </c>
      <c r="B137" s="3"/>
      <c r="C137" s="3"/>
      <c r="D137" s="4"/>
      <c r="E137" s="9"/>
      <c r="F137" s="9">
        <f>F136*15%</f>
        <v>10.627725</v>
      </c>
      <c r="G137" s="8"/>
    </row>
    <row r="138" spans="1:7" ht="12.75">
      <c r="A138" s="16" t="s">
        <v>20</v>
      </c>
      <c r="B138" s="3"/>
      <c r="C138" s="3"/>
      <c r="D138" s="4"/>
      <c r="E138" s="15"/>
      <c r="F138" s="17">
        <f>ROUND(F136+F137,2)</f>
        <v>81.48</v>
      </c>
      <c r="G138" s="8"/>
    </row>
    <row r="139" spans="1:7" ht="12.75">
      <c r="A139" s="11" t="s">
        <v>24</v>
      </c>
      <c r="B139" s="3"/>
      <c r="C139" s="3"/>
      <c r="D139" s="3"/>
      <c r="E139" s="3"/>
      <c r="F139" s="4"/>
      <c r="G139" s="12" t="s">
        <v>25</v>
      </c>
    </row>
    <row r="140" spans="1:7" ht="12.75">
      <c r="A140" s="13">
        <v>116</v>
      </c>
      <c r="B140" s="13"/>
      <c r="C140" s="10" t="s">
        <v>26</v>
      </c>
      <c r="D140" s="3"/>
      <c r="E140" s="4"/>
      <c r="F140" s="10"/>
      <c r="G140" s="4"/>
    </row>
    <row r="141" spans="1:7" ht="12.75">
      <c r="A141" s="5"/>
      <c r="B141" s="5"/>
      <c r="C141" s="8" t="s">
        <v>27</v>
      </c>
      <c r="D141" s="9">
        <v>0.33</v>
      </c>
      <c r="E141" s="9">
        <v>784</v>
      </c>
      <c r="F141" s="9">
        <f>E141*D141</f>
        <v>258.72</v>
      </c>
      <c r="G141" s="8" t="s">
        <v>28</v>
      </c>
    </row>
    <row r="142" spans="1:7" ht="12.75">
      <c r="A142" s="13">
        <v>117</v>
      </c>
      <c r="B142" s="13"/>
      <c r="C142" s="10" t="s">
        <v>29</v>
      </c>
      <c r="D142" s="3"/>
      <c r="E142" s="4"/>
      <c r="F142" s="10"/>
      <c r="G142" s="4"/>
    </row>
    <row r="143" spans="1:7" ht="12.75">
      <c r="A143" s="5"/>
      <c r="B143" s="5"/>
      <c r="C143" s="8" t="s">
        <v>27</v>
      </c>
      <c r="D143" s="9">
        <v>0.98</v>
      </c>
      <c r="E143" s="9">
        <v>714</v>
      </c>
      <c r="F143" s="9">
        <f>E143*D143</f>
        <v>699.72</v>
      </c>
      <c r="G143" s="8" t="s">
        <v>30</v>
      </c>
    </row>
    <row r="144" spans="1:7" ht="12.75">
      <c r="A144" s="13">
        <v>114</v>
      </c>
      <c r="B144" s="13"/>
      <c r="C144" s="10" t="s">
        <v>31</v>
      </c>
      <c r="D144" s="3"/>
      <c r="E144" s="4"/>
      <c r="F144" s="10"/>
      <c r="G144" s="4"/>
    </row>
    <row r="145" spans="1:7" ht="12.75">
      <c r="A145" s="5"/>
      <c r="B145" s="5"/>
      <c r="C145" s="8" t="s">
        <v>27</v>
      </c>
      <c r="D145" s="9">
        <v>0.66</v>
      </c>
      <c r="E145" s="9">
        <v>645</v>
      </c>
      <c r="F145" s="9">
        <f>E145*D145</f>
        <v>425.70</v>
      </c>
      <c r="G145" s="8" t="s">
        <v>32</v>
      </c>
    </row>
    <row r="146" spans="1:7" ht="12.75">
      <c r="A146" s="11" t="s">
        <v>33</v>
      </c>
      <c r="B146" s="3"/>
      <c r="C146" s="3"/>
      <c r="D146" s="3"/>
      <c r="E146" s="3"/>
      <c r="F146" s="4"/>
      <c r="G146" s="12" t="s">
        <v>25</v>
      </c>
    </row>
    <row r="147" spans="1:7" ht="12.75">
      <c r="A147" s="13">
        <v>9999</v>
      </c>
      <c r="B147" s="13"/>
      <c r="C147" s="10" t="s">
        <v>42</v>
      </c>
      <c r="D147" s="3"/>
      <c r="E147" s="4"/>
      <c r="F147" s="10"/>
      <c r="G147" s="4"/>
    </row>
    <row r="148" spans="1:7" ht="12.75">
      <c r="A148" s="5"/>
      <c r="B148" s="5"/>
      <c r="C148" s="8" t="s">
        <v>35</v>
      </c>
      <c r="D148" s="9">
        <v>2.73</v>
      </c>
      <c r="E148" s="9">
        <v>2.12</v>
      </c>
      <c r="F148" s="9">
        <f>E148*D148</f>
        <v>5.7876000000000003</v>
      </c>
      <c r="G148" s="8" t="s">
        <v>36</v>
      </c>
    </row>
    <row r="149" spans="1:7" ht="12.75">
      <c r="A149" s="14" t="s">
        <v>20</v>
      </c>
      <c r="B149" s="3"/>
      <c r="C149" s="4"/>
      <c r="D149" s="9">
        <v>10</v>
      </c>
      <c r="E149" s="15" t="s">
        <v>11</v>
      </c>
      <c r="F149" s="18">
        <f>F141+F143+F145+F148</f>
        <v>1389.9276</v>
      </c>
      <c r="G149" s="15"/>
    </row>
    <row r="150" spans="1:7" ht="12.75">
      <c r="A150" s="14" t="s">
        <v>21</v>
      </c>
      <c r="B150" s="3"/>
      <c r="C150" s="4"/>
      <c r="D150" s="9">
        <v>1</v>
      </c>
      <c r="E150" s="15" t="s">
        <v>11</v>
      </c>
      <c r="F150" s="9">
        <f>F149/D149</f>
        <v>138.99276</v>
      </c>
      <c r="G150" s="15"/>
    </row>
    <row r="151" spans="1:7" ht="12.75">
      <c r="A151" s="16" t="s">
        <v>22</v>
      </c>
      <c r="B151" s="3"/>
      <c r="C151" s="3"/>
      <c r="D151" s="4"/>
      <c r="E151" s="9"/>
      <c r="F151" s="9">
        <f>F150*1%</f>
        <v>1.3899276</v>
      </c>
      <c r="G151" s="15"/>
    </row>
    <row r="152" spans="1:7" ht="12.75">
      <c r="A152" s="16" t="s">
        <v>20</v>
      </c>
      <c r="B152" s="3"/>
      <c r="C152" s="3"/>
      <c r="D152" s="4"/>
      <c r="E152" s="15"/>
      <c r="F152" s="9">
        <f>F150+F151</f>
        <v>140.3826876</v>
      </c>
      <c r="G152" s="15"/>
    </row>
    <row r="153" spans="1:7" ht="12.75">
      <c r="A153" s="16" t="s">
        <v>23</v>
      </c>
      <c r="B153" s="3"/>
      <c r="C153" s="3"/>
      <c r="D153" s="4"/>
      <c r="E153" s="9"/>
      <c r="F153" s="9">
        <f>F152*15%</f>
        <v>21.057403140000002</v>
      </c>
      <c r="G153" s="15"/>
    </row>
    <row r="154" spans="1:7" ht="12.75">
      <c r="A154" s="16" t="s">
        <v>20</v>
      </c>
      <c r="B154" s="3"/>
      <c r="C154" s="3"/>
      <c r="D154" s="4"/>
      <c r="E154" s="15"/>
      <c r="F154" s="17">
        <f>ROUND(F152+F153,2)</f>
        <v>161.44</v>
      </c>
      <c r="G154" s="15"/>
    </row>
    <row r="155" spans="1:7" ht="12.75">
      <c r="A155" s="19" t="str">
        <f>CONCATENATE("Say ₹ ",F138," + ",F154," x Cost Index")</f>
        <v>Say ₹ 81.48 + 161.44 x Cost Index</v>
      </c>
      <c r="B155" s="3"/>
      <c r="C155" s="3"/>
      <c r="D155" s="3"/>
      <c r="E155" s="3"/>
      <c r="F155" s="4"/>
      <c r="G155" s="20" t="s">
        <v>37</v>
      </c>
    </row>
    <row r="156" spans="1:7" ht="12.75">
      <c r="A156" s="1" t="s">
        <v>0</v>
      </c>
      <c r="B156" s="1" t="s">
        <v>1</v>
      </c>
      <c r="C156" s="2" t="s">
        <v>2</v>
      </c>
      <c r="D156" s="3"/>
      <c r="E156" s="4"/>
      <c r="F156" s="2" t="s">
        <v>3</v>
      </c>
      <c r="G156" s="4"/>
    </row>
    <row r="157" spans="1:7" ht="12.75">
      <c r="A157" s="5"/>
      <c r="B157" s="5"/>
      <c r="C157" s="6" t="s">
        <v>4</v>
      </c>
      <c r="D157" s="6" t="s">
        <v>5</v>
      </c>
      <c r="E157" s="6" t="s">
        <v>6</v>
      </c>
      <c r="F157" s="6" t="s">
        <v>7</v>
      </c>
      <c r="G157" s="6" t="s">
        <v>8</v>
      </c>
    </row>
    <row r="158" spans="1:7" ht="12.75">
      <c r="A158" s="7" t="s">
        <v>54</v>
      </c>
      <c r="B158" s="3"/>
      <c r="C158" s="3"/>
      <c r="D158" s="3"/>
      <c r="E158" s="3"/>
      <c r="F158" s="3"/>
      <c r="G158" s="4"/>
    </row>
    <row r="159" spans="1:7" ht="12.75">
      <c r="A159" s="8"/>
      <c r="B159" s="8" t="s">
        <v>10</v>
      </c>
      <c r="C159" s="8" t="s">
        <v>11</v>
      </c>
      <c r="D159" s="8" t="s">
        <v>12</v>
      </c>
      <c r="E159" s="9">
        <v>10</v>
      </c>
      <c r="F159" s="10"/>
      <c r="G159" s="4"/>
    </row>
    <row r="160" spans="1:7" ht="12.75">
      <c r="A160" s="8" t="s">
        <v>13</v>
      </c>
      <c r="B160" s="10" t="s">
        <v>39</v>
      </c>
      <c r="C160" s="3"/>
      <c r="D160" s="3"/>
      <c r="E160" s="3"/>
      <c r="F160" s="3"/>
      <c r="G160" s="4"/>
    </row>
    <row r="161" spans="1:7" ht="12.75">
      <c r="A161" s="11" t="s">
        <v>15</v>
      </c>
      <c r="B161" s="3"/>
      <c r="C161" s="3"/>
      <c r="D161" s="3"/>
      <c r="E161" s="3"/>
      <c r="F161" s="4"/>
      <c r="G161" s="12" t="s">
        <v>16</v>
      </c>
    </row>
    <row r="162" spans="1:7" ht="12.75">
      <c r="A162" s="13"/>
      <c r="B162" s="13" t="s">
        <v>55</v>
      </c>
      <c r="C162" s="10" t="s">
        <v>56</v>
      </c>
      <c r="D162" s="3"/>
      <c r="E162" s="4"/>
      <c r="F162" s="10"/>
      <c r="G162" s="4"/>
    </row>
    <row r="163" spans="1:7" ht="12.75">
      <c r="A163" s="5"/>
      <c r="B163" s="5"/>
      <c r="C163" s="8" t="s">
        <v>11</v>
      </c>
      <c r="D163" s="9">
        <v>11.50</v>
      </c>
      <c r="E163" s="9">
        <v>48</v>
      </c>
      <c r="F163" s="9">
        <f>E163*D163</f>
        <v>552</v>
      </c>
      <c r="G163" s="8" t="s">
        <v>19</v>
      </c>
    </row>
    <row r="164" spans="1:7" ht="12.75">
      <c r="A164" s="14" t="s">
        <v>20</v>
      </c>
      <c r="B164" s="3"/>
      <c r="C164" s="4"/>
      <c r="D164" s="9">
        <v>10</v>
      </c>
      <c r="E164" s="15" t="s">
        <v>11</v>
      </c>
      <c r="F164" s="9">
        <f>F163</f>
        <v>552</v>
      </c>
      <c r="G164" s="8"/>
    </row>
    <row r="165" spans="1:7" ht="12.75">
      <c r="A165" s="14" t="s">
        <v>21</v>
      </c>
      <c r="B165" s="3"/>
      <c r="C165" s="4"/>
      <c r="D165" s="9">
        <v>1</v>
      </c>
      <c r="E165" s="15" t="s">
        <v>11</v>
      </c>
      <c r="F165" s="9">
        <f>F164/D164</f>
        <v>55.20</v>
      </c>
      <c r="G165" s="8"/>
    </row>
    <row r="166" spans="1:7" ht="12.75">
      <c r="A166" s="16" t="s">
        <v>22</v>
      </c>
      <c r="B166" s="3"/>
      <c r="C166" s="3"/>
      <c r="D166" s="4"/>
      <c r="E166" s="9"/>
      <c r="F166" s="9">
        <f>F165*1%</f>
        <v>0.55200000000000005</v>
      </c>
      <c r="G166" s="8"/>
    </row>
    <row r="167" spans="1:7" ht="12.75">
      <c r="A167" s="16" t="s">
        <v>20</v>
      </c>
      <c r="B167" s="3"/>
      <c r="C167" s="3"/>
      <c r="D167" s="4"/>
      <c r="E167" s="15"/>
      <c r="F167" s="9">
        <f>F165+F166</f>
        <v>55.752000000000002</v>
      </c>
      <c r="G167" s="8"/>
    </row>
    <row r="168" spans="1:7" ht="12.75">
      <c r="A168" s="16" t="s">
        <v>23</v>
      </c>
      <c r="B168" s="3"/>
      <c r="C168" s="3"/>
      <c r="D168" s="4"/>
      <c r="E168" s="9"/>
      <c r="F168" s="9">
        <f>F167*15%</f>
        <v>8.3628</v>
      </c>
      <c r="G168" s="8"/>
    </row>
    <row r="169" spans="1:7" ht="12.75">
      <c r="A169" s="16" t="s">
        <v>20</v>
      </c>
      <c r="B169" s="3"/>
      <c r="C169" s="3"/>
      <c r="D169" s="4"/>
      <c r="E169" s="15"/>
      <c r="F169" s="17">
        <f>ROUND(F167+F168,2)</f>
        <v>64.11</v>
      </c>
      <c r="G169" s="8"/>
    </row>
    <row r="170" spans="1:7" ht="12.75">
      <c r="A170" s="11" t="s">
        <v>24</v>
      </c>
      <c r="B170" s="3"/>
      <c r="C170" s="3"/>
      <c r="D170" s="3"/>
      <c r="E170" s="3"/>
      <c r="F170" s="4"/>
      <c r="G170" s="12" t="s">
        <v>25</v>
      </c>
    </row>
    <row r="171" spans="1:7" ht="12.75">
      <c r="A171" s="13">
        <v>116</v>
      </c>
      <c r="B171" s="13"/>
      <c r="C171" s="10" t="s">
        <v>26</v>
      </c>
      <c r="D171" s="3"/>
      <c r="E171" s="4"/>
      <c r="F171" s="10"/>
      <c r="G171" s="4"/>
    </row>
    <row r="172" spans="1:7" ht="12.75">
      <c r="A172" s="5"/>
      <c r="B172" s="5"/>
      <c r="C172" s="8" t="s">
        <v>27</v>
      </c>
      <c r="D172" s="9">
        <v>0.33</v>
      </c>
      <c r="E172" s="9">
        <v>784</v>
      </c>
      <c r="F172" s="9">
        <f>E172*D172</f>
        <v>258.72</v>
      </c>
      <c r="G172" s="8" t="s">
        <v>28</v>
      </c>
    </row>
    <row r="173" spans="1:7" ht="12.75">
      <c r="A173" s="13">
        <v>117</v>
      </c>
      <c r="B173" s="13"/>
      <c r="C173" s="10" t="s">
        <v>29</v>
      </c>
      <c r="D173" s="3"/>
      <c r="E173" s="4"/>
      <c r="F173" s="10"/>
      <c r="G173" s="4"/>
    </row>
    <row r="174" spans="1:7" ht="12.75">
      <c r="A174" s="5"/>
      <c r="B174" s="5"/>
      <c r="C174" s="8" t="s">
        <v>27</v>
      </c>
      <c r="D174" s="9">
        <v>0.98</v>
      </c>
      <c r="E174" s="9">
        <v>714</v>
      </c>
      <c r="F174" s="9">
        <f>E174*D174</f>
        <v>699.72</v>
      </c>
      <c r="G174" s="8" t="s">
        <v>30</v>
      </c>
    </row>
    <row r="175" spans="1:7" ht="12.75">
      <c r="A175" s="13">
        <v>114</v>
      </c>
      <c r="B175" s="13"/>
      <c r="C175" s="10" t="s">
        <v>31</v>
      </c>
      <c r="D175" s="3"/>
      <c r="E175" s="4"/>
      <c r="F175" s="10"/>
      <c r="G175" s="4"/>
    </row>
    <row r="176" spans="1:7" ht="12.75">
      <c r="A176" s="5"/>
      <c r="B176" s="5"/>
      <c r="C176" s="8" t="s">
        <v>27</v>
      </c>
      <c r="D176" s="9">
        <v>0.66</v>
      </c>
      <c r="E176" s="9">
        <v>645</v>
      </c>
      <c r="F176" s="9">
        <f>E176*D176</f>
        <v>425.70</v>
      </c>
      <c r="G176" s="8" t="s">
        <v>32</v>
      </c>
    </row>
    <row r="177" spans="1:7" ht="12.75">
      <c r="A177" s="11" t="s">
        <v>33</v>
      </c>
      <c r="B177" s="3"/>
      <c r="C177" s="3"/>
      <c r="D177" s="3"/>
      <c r="E177" s="3"/>
      <c r="F177" s="4"/>
      <c r="G177" s="12" t="s">
        <v>25</v>
      </c>
    </row>
    <row r="178" spans="1:7" ht="12.75">
      <c r="A178" s="13">
        <v>9999</v>
      </c>
      <c r="B178" s="13"/>
      <c r="C178" s="10" t="s">
        <v>42</v>
      </c>
      <c r="D178" s="3"/>
      <c r="E178" s="4"/>
      <c r="F178" s="10"/>
      <c r="G178" s="4"/>
    </row>
    <row r="179" spans="1:7" ht="12.75">
      <c r="A179" s="5"/>
      <c r="B179" s="5"/>
      <c r="C179" s="8" t="s">
        <v>35</v>
      </c>
      <c r="D179" s="9">
        <v>2.73</v>
      </c>
      <c r="E179" s="9">
        <v>2.12</v>
      </c>
      <c r="F179" s="9">
        <f>E179*D179</f>
        <v>5.7876000000000003</v>
      </c>
      <c r="G179" s="8" t="s">
        <v>36</v>
      </c>
    </row>
    <row r="180" spans="1:7" ht="12.75">
      <c r="A180" s="14" t="s">
        <v>20</v>
      </c>
      <c r="B180" s="3"/>
      <c r="C180" s="4"/>
      <c r="D180" s="9">
        <v>10</v>
      </c>
      <c r="E180" s="15" t="s">
        <v>11</v>
      </c>
      <c r="F180" s="18">
        <f>F172+F174+F176+F179</f>
        <v>1389.9276</v>
      </c>
      <c r="G180" s="15"/>
    </row>
    <row r="181" spans="1:7" ht="12.75">
      <c r="A181" s="14" t="s">
        <v>21</v>
      </c>
      <c r="B181" s="3"/>
      <c r="C181" s="4"/>
      <c r="D181" s="9">
        <v>1</v>
      </c>
      <c r="E181" s="15" t="s">
        <v>11</v>
      </c>
      <c r="F181" s="9">
        <f>F180/D180</f>
        <v>138.99276</v>
      </c>
      <c r="G181" s="15"/>
    </row>
    <row r="182" spans="1:7" ht="12.75">
      <c r="A182" s="16" t="s">
        <v>22</v>
      </c>
      <c r="B182" s="3"/>
      <c r="C182" s="3"/>
      <c r="D182" s="4"/>
      <c r="E182" s="9"/>
      <c r="F182" s="9">
        <f>F181*1%</f>
        <v>1.3899276</v>
      </c>
      <c r="G182" s="15"/>
    </row>
    <row r="183" spans="1:7" ht="12.75">
      <c r="A183" s="16" t="s">
        <v>20</v>
      </c>
      <c r="B183" s="3"/>
      <c r="C183" s="3"/>
      <c r="D183" s="4"/>
      <c r="E183" s="15"/>
      <c r="F183" s="9">
        <f>F181+F182</f>
        <v>140.3826876</v>
      </c>
      <c r="G183" s="15"/>
    </row>
    <row r="184" spans="1:7" ht="12.75">
      <c r="A184" s="16" t="s">
        <v>23</v>
      </c>
      <c r="B184" s="3"/>
      <c r="C184" s="3"/>
      <c r="D184" s="4"/>
      <c r="E184" s="9"/>
      <c r="F184" s="9">
        <f>F183*15%</f>
        <v>21.057403140000002</v>
      </c>
      <c r="G184" s="15"/>
    </row>
    <row r="185" spans="1:7" ht="12.75">
      <c r="A185" s="16" t="s">
        <v>20</v>
      </c>
      <c r="B185" s="3"/>
      <c r="C185" s="3"/>
      <c r="D185" s="4"/>
      <c r="E185" s="15"/>
      <c r="F185" s="17">
        <f>ROUND(F183+F184,2)</f>
        <v>161.44</v>
      </c>
      <c r="G185" s="15"/>
    </row>
    <row r="186" spans="1:7" ht="12.75">
      <c r="A186" s="19" t="str">
        <f>CONCATENATE("Say ₹ ",F169," + ",F185," x Cost Index")</f>
        <v>Say ₹ 64.11 + 161.44 x Cost Index</v>
      </c>
      <c r="B186" s="3"/>
      <c r="C186" s="3"/>
      <c r="D186" s="3"/>
      <c r="E186" s="3"/>
      <c r="F186" s="4"/>
      <c r="G186" s="20" t="s">
        <v>37</v>
      </c>
    </row>
    <row r="187" spans="1:7" ht="12.75">
      <c r="A187" s="1" t="s">
        <v>0</v>
      </c>
      <c r="B187" s="1" t="s">
        <v>1</v>
      </c>
      <c r="C187" s="2" t="s">
        <v>2</v>
      </c>
      <c r="D187" s="3"/>
      <c r="E187" s="4"/>
      <c r="F187" s="2" t="s">
        <v>3</v>
      </c>
      <c r="G187" s="4"/>
    </row>
    <row r="188" spans="1:7" ht="12.75">
      <c r="A188" s="5"/>
      <c r="B188" s="5"/>
      <c r="C188" s="6" t="s">
        <v>4</v>
      </c>
      <c r="D188" s="6" t="s">
        <v>5</v>
      </c>
      <c r="E188" s="6" t="s">
        <v>6</v>
      </c>
      <c r="F188" s="6" t="s">
        <v>7</v>
      </c>
      <c r="G188" s="6" t="s">
        <v>8</v>
      </c>
    </row>
    <row r="189" spans="1:7" ht="12.75">
      <c r="A189" s="7" t="s">
        <v>57</v>
      </c>
      <c r="B189" s="3"/>
      <c r="C189" s="3"/>
      <c r="D189" s="3"/>
      <c r="E189" s="3"/>
      <c r="F189" s="3"/>
      <c r="G189" s="4"/>
    </row>
    <row r="190" spans="1:7" ht="12.75">
      <c r="A190" s="8"/>
      <c r="B190" s="8" t="s">
        <v>10</v>
      </c>
      <c r="C190" s="8" t="s">
        <v>11</v>
      </c>
      <c r="D190" s="8" t="s">
        <v>12</v>
      </c>
      <c r="E190" s="9">
        <v>10</v>
      </c>
      <c r="F190" s="10"/>
      <c r="G190" s="4"/>
    </row>
    <row r="191" spans="1:7" ht="12.75">
      <c r="A191" s="8" t="s">
        <v>13</v>
      </c>
      <c r="B191" s="10" t="s">
        <v>39</v>
      </c>
      <c r="C191" s="3"/>
      <c r="D191" s="3"/>
      <c r="E191" s="3"/>
      <c r="F191" s="3"/>
      <c r="G191" s="4"/>
    </row>
    <row r="192" spans="1:7" ht="12.75">
      <c r="A192" s="11" t="s">
        <v>15</v>
      </c>
      <c r="B192" s="3"/>
      <c r="C192" s="3"/>
      <c r="D192" s="3"/>
      <c r="E192" s="3"/>
      <c r="F192" s="4"/>
      <c r="G192" s="12" t="s">
        <v>16</v>
      </c>
    </row>
    <row r="193" spans="1:7" ht="12.75">
      <c r="A193" s="13"/>
      <c r="B193" s="13" t="s">
        <v>58</v>
      </c>
      <c r="C193" s="10" t="s">
        <v>59</v>
      </c>
      <c r="D193" s="3"/>
      <c r="E193" s="4"/>
      <c r="F193" s="10"/>
      <c r="G193" s="4"/>
    </row>
    <row r="194" spans="1:7" ht="12.75">
      <c r="A194" s="5"/>
      <c r="B194" s="5"/>
      <c r="C194" s="8" t="s">
        <v>11</v>
      </c>
      <c r="D194" s="9">
        <v>11.50</v>
      </c>
      <c r="E194" s="9">
        <v>65</v>
      </c>
      <c r="F194" s="9">
        <f>E194*D194</f>
        <v>747.50</v>
      </c>
      <c r="G194" s="8" t="s">
        <v>19</v>
      </c>
    </row>
    <row r="195" spans="1:7" ht="12.75">
      <c r="A195" s="14" t="s">
        <v>20</v>
      </c>
      <c r="B195" s="3"/>
      <c r="C195" s="4"/>
      <c r="D195" s="9">
        <v>10</v>
      </c>
      <c r="E195" s="15" t="s">
        <v>11</v>
      </c>
      <c r="F195" s="9">
        <f>F194</f>
        <v>747.50</v>
      </c>
      <c r="G195" s="8"/>
    </row>
    <row r="196" spans="1:7" ht="12.75">
      <c r="A196" s="14" t="s">
        <v>21</v>
      </c>
      <c r="B196" s="3"/>
      <c r="C196" s="4"/>
      <c r="D196" s="9">
        <v>1</v>
      </c>
      <c r="E196" s="15" t="s">
        <v>11</v>
      </c>
      <c r="F196" s="9">
        <f>F195/D195</f>
        <v>74.75</v>
      </c>
      <c r="G196" s="8"/>
    </row>
    <row r="197" spans="1:7" ht="12.75">
      <c r="A197" s="16" t="s">
        <v>22</v>
      </c>
      <c r="B197" s="3"/>
      <c r="C197" s="3"/>
      <c r="D197" s="4"/>
      <c r="E197" s="9"/>
      <c r="F197" s="9">
        <f>F196*1%</f>
        <v>0.7475</v>
      </c>
      <c r="G197" s="8"/>
    </row>
    <row r="198" spans="1:7" ht="12.75">
      <c r="A198" s="16" t="s">
        <v>20</v>
      </c>
      <c r="B198" s="3"/>
      <c r="C198" s="3"/>
      <c r="D198" s="4"/>
      <c r="E198" s="15"/>
      <c r="F198" s="9">
        <f>F196+F197</f>
        <v>75.4975</v>
      </c>
      <c r="G198" s="8"/>
    </row>
    <row r="199" spans="1:7" ht="12.75">
      <c r="A199" s="16" t="s">
        <v>23</v>
      </c>
      <c r="B199" s="3"/>
      <c r="C199" s="3"/>
      <c r="D199" s="4"/>
      <c r="E199" s="9"/>
      <c r="F199" s="9">
        <f>F198*15%</f>
        <v>11.324624999999999</v>
      </c>
      <c r="G199" s="8"/>
    </row>
    <row r="200" spans="1:7" ht="12.75">
      <c r="A200" s="16" t="s">
        <v>20</v>
      </c>
      <c r="B200" s="3"/>
      <c r="C200" s="3"/>
      <c r="D200" s="4"/>
      <c r="E200" s="15"/>
      <c r="F200" s="17">
        <f>ROUND(F198+F199,2)</f>
        <v>86.82</v>
      </c>
      <c r="G200" s="8"/>
    </row>
    <row r="201" spans="1:7" ht="12.75">
      <c r="A201" s="11" t="s">
        <v>24</v>
      </c>
      <c r="B201" s="3"/>
      <c r="C201" s="3"/>
      <c r="D201" s="3"/>
      <c r="E201" s="3"/>
      <c r="F201" s="4"/>
      <c r="G201" s="12" t="s">
        <v>25</v>
      </c>
    </row>
    <row r="202" spans="1:7" ht="12.75">
      <c r="A202" s="13">
        <v>116</v>
      </c>
      <c r="B202" s="13"/>
      <c r="C202" s="10" t="s">
        <v>26</v>
      </c>
      <c r="D202" s="3"/>
      <c r="E202" s="4"/>
      <c r="F202" s="10"/>
      <c r="G202" s="4"/>
    </row>
    <row r="203" spans="1:7" ht="12.75">
      <c r="A203" s="5"/>
      <c r="B203" s="5"/>
      <c r="C203" s="8" t="s">
        <v>27</v>
      </c>
      <c r="D203" s="9">
        <v>0.33</v>
      </c>
      <c r="E203" s="9">
        <v>784</v>
      </c>
      <c r="F203" s="9">
        <f>E203*D203</f>
        <v>258.72</v>
      </c>
      <c r="G203" s="8" t="s">
        <v>28</v>
      </c>
    </row>
    <row r="204" spans="1:7" ht="12.75">
      <c r="A204" s="13">
        <v>117</v>
      </c>
      <c r="B204" s="13"/>
      <c r="C204" s="10" t="s">
        <v>29</v>
      </c>
      <c r="D204" s="3"/>
      <c r="E204" s="4"/>
      <c r="F204" s="10"/>
      <c r="G204" s="4"/>
    </row>
    <row r="205" spans="1:7" ht="12.75">
      <c r="A205" s="5"/>
      <c r="B205" s="5"/>
      <c r="C205" s="8" t="s">
        <v>27</v>
      </c>
      <c r="D205" s="9">
        <v>0.98</v>
      </c>
      <c r="E205" s="9">
        <v>714</v>
      </c>
      <c r="F205" s="9">
        <f>E205*D205</f>
        <v>699.72</v>
      </c>
      <c r="G205" s="8" t="s">
        <v>30</v>
      </c>
    </row>
    <row r="206" spans="1:7" ht="12.75">
      <c r="A206" s="13">
        <v>114</v>
      </c>
      <c r="B206" s="13"/>
      <c r="C206" s="10" t="s">
        <v>31</v>
      </c>
      <c r="D206" s="3"/>
      <c r="E206" s="4"/>
      <c r="F206" s="10"/>
      <c r="G206" s="4"/>
    </row>
    <row r="207" spans="1:7" ht="12.75">
      <c r="A207" s="5"/>
      <c r="B207" s="5"/>
      <c r="C207" s="8" t="s">
        <v>27</v>
      </c>
      <c r="D207" s="9">
        <v>0.98</v>
      </c>
      <c r="E207" s="9">
        <v>645</v>
      </c>
      <c r="F207" s="9">
        <f>E207*D207</f>
        <v>632.10</v>
      </c>
      <c r="G207" s="8" t="s">
        <v>32</v>
      </c>
    </row>
    <row r="208" spans="1:7" ht="12.75">
      <c r="A208" s="11" t="s">
        <v>33</v>
      </c>
      <c r="B208" s="3"/>
      <c r="C208" s="3"/>
      <c r="D208" s="3"/>
      <c r="E208" s="3"/>
      <c r="F208" s="4"/>
      <c r="G208" s="12" t="s">
        <v>25</v>
      </c>
    </row>
    <row r="209" spans="1:7" ht="12.75">
      <c r="A209" s="13">
        <v>9999</v>
      </c>
      <c r="B209" s="13"/>
      <c r="C209" s="10" t="s">
        <v>42</v>
      </c>
      <c r="D209" s="3"/>
      <c r="E209" s="4"/>
      <c r="F209" s="10"/>
      <c r="G209" s="4"/>
    </row>
    <row r="210" spans="1:7" ht="12.75">
      <c r="A210" s="5"/>
      <c r="B210" s="5"/>
      <c r="C210" s="8" t="s">
        <v>35</v>
      </c>
      <c r="D210" s="9">
        <v>4.16</v>
      </c>
      <c r="E210" s="9">
        <v>2.12</v>
      </c>
      <c r="F210" s="9">
        <f>E210*D210</f>
        <v>8.8192000000000004</v>
      </c>
      <c r="G210" s="8" t="s">
        <v>36</v>
      </c>
    </row>
    <row r="211" spans="1:7" ht="12.75">
      <c r="A211" s="14" t="s">
        <v>20</v>
      </c>
      <c r="B211" s="3"/>
      <c r="C211" s="4"/>
      <c r="D211" s="9">
        <v>10</v>
      </c>
      <c r="E211" s="15" t="s">
        <v>11</v>
      </c>
      <c r="F211" s="18">
        <f>F203+F205+F207+F210</f>
        <v>1599.3592000000001</v>
      </c>
      <c r="G211" s="15"/>
    </row>
    <row r="212" spans="1:7" ht="12.75">
      <c r="A212" s="14" t="s">
        <v>21</v>
      </c>
      <c r="B212" s="3"/>
      <c r="C212" s="4"/>
      <c r="D212" s="9">
        <v>1</v>
      </c>
      <c r="E212" s="15" t="s">
        <v>11</v>
      </c>
      <c r="F212" s="9">
        <f>F211/D211</f>
        <v>159.93592000000001</v>
      </c>
      <c r="G212" s="15"/>
    </row>
    <row r="213" spans="1:7" ht="12.75">
      <c r="A213" s="16" t="s">
        <v>22</v>
      </c>
      <c r="B213" s="3"/>
      <c r="C213" s="3"/>
      <c r="D213" s="4"/>
      <c r="E213" s="9"/>
      <c r="F213" s="9">
        <f>F212*1%</f>
        <v>1.5993592000000001</v>
      </c>
      <c r="G213" s="15"/>
    </row>
    <row r="214" spans="1:7" ht="12.75">
      <c r="A214" s="16" t="s">
        <v>20</v>
      </c>
      <c r="B214" s="3"/>
      <c r="C214" s="3"/>
      <c r="D214" s="4"/>
      <c r="E214" s="15"/>
      <c r="F214" s="9">
        <f>F212+F213</f>
        <v>161.53527919999999</v>
      </c>
      <c r="G214" s="15"/>
    </row>
    <row r="215" spans="1:7" ht="12.75">
      <c r="A215" s="16" t="s">
        <v>23</v>
      </c>
      <c r="B215" s="3"/>
      <c r="C215" s="3"/>
      <c r="D215" s="4"/>
      <c r="E215" s="9"/>
      <c r="F215" s="9">
        <f>F214*15%</f>
        <v>24.230291879999999</v>
      </c>
      <c r="G215" s="15"/>
    </row>
    <row r="216" spans="1:7" ht="12.75">
      <c r="A216" s="16" t="s">
        <v>20</v>
      </c>
      <c r="B216" s="3"/>
      <c r="C216" s="3"/>
      <c r="D216" s="4"/>
      <c r="E216" s="15"/>
      <c r="F216" s="17">
        <f>ROUND(F214+F215,2)</f>
        <v>185.77</v>
      </c>
      <c r="G216" s="15"/>
    </row>
    <row r="217" spans="1:7" ht="12.75">
      <c r="A217" s="19" t="str">
        <f>CONCATENATE("Say ₹ ",F200," + ",F216," x Cost Index")</f>
        <v>Say ₹ 86.82 + 185.77 x Cost Index</v>
      </c>
      <c r="B217" s="3"/>
      <c r="C217" s="3"/>
      <c r="D217" s="3"/>
      <c r="E217" s="3"/>
      <c r="F217" s="4"/>
      <c r="G217" s="20" t="s">
        <v>37</v>
      </c>
    </row>
    <row r="218" spans="1:7" ht="12.75">
      <c r="A218" s="1" t="s">
        <v>0</v>
      </c>
      <c r="B218" s="1" t="s">
        <v>1</v>
      </c>
      <c r="C218" s="2" t="s">
        <v>2</v>
      </c>
      <c r="D218" s="3"/>
      <c r="E218" s="4"/>
      <c r="F218" s="2" t="s">
        <v>3</v>
      </c>
      <c r="G218" s="4"/>
    </row>
    <row r="219" spans="1:7" ht="12.75">
      <c r="A219" s="5"/>
      <c r="B219" s="5"/>
      <c r="C219" s="6" t="s">
        <v>4</v>
      </c>
      <c r="D219" s="6" t="s">
        <v>5</v>
      </c>
      <c r="E219" s="6" t="s">
        <v>6</v>
      </c>
      <c r="F219" s="6" t="s">
        <v>7</v>
      </c>
      <c r="G219" s="6" t="s">
        <v>8</v>
      </c>
    </row>
    <row r="220" spans="1:7" ht="12.75">
      <c r="A220" s="7" t="s">
        <v>60</v>
      </c>
      <c r="B220" s="3"/>
      <c r="C220" s="3"/>
      <c r="D220" s="3"/>
      <c r="E220" s="3"/>
      <c r="F220" s="3"/>
      <c r="G220" s="4"/>
    </row>
    <row r="221" spans="1:7" ht="12.75">
      <c r="A221" s="8"/>
      <c r="B221" s="8" t="s">
        <v>10</v>
      </c>
      <c r="C221" s="8" t="s">
        <v>11</v>
      </c>
      <c r="D221" s="8" t="s">
        <v>12</v>
      </c>
      <c r="E221" s="9">
        <v>10</v>
      </c>
      <c r="F221" s="10"/>
      <c r="G221" s="4"/>
    </row>
    <row r="222" spans="1:7" ht="12.75">
      <c r="A222" s="8" t="s">
        <v>13</v>
      </c>
      <c r="B222" s="10" t="s">
        <v>61</v>
      </c>
      <c r="C222" s="3"/>
      <c r="D222" s="3"/>
      <c r="E222" s="3"/>
      <c r="F222" s="3"/>
      <c r="G222" s="4"/>
    </row>
    <row r="223" spans="1:7" ht="12.75">
      <c r="A223" s="11" t="s">
        <v>15</v>
      </c>
      <c r="B223" s="3"/>
      <c r="C223" s="3"/>
      <c r="D223" s="3"/>
      <c r="E223" s="3"/>
      <c r="F223" s="4"/>
      <c r="G223" s="12" t="s">
        <v>16</v>
      </c>
    </row>
    <row r="224" spans="1:7" ht="12.75">
      <c r="A224" s="13"/>
      <c r="B224" s="13" t="s">
        <v>62</v>
      </c>
      <c r="C224" s="10" t="s">
        <v>63</v>
      </c>
      <c r="D224" s="3"/>
      <c r="E224" s="4"/>
      <c r="F224" s="10"/>
      <c r="G224" s="4"/>
    </row>
    <row r="225" spans="1:7" ht="12.75">
      <c r="A225" s="5"/>
      <c r="B225" s="5"/>
      <c r="C225" s="8" t="s">
        <v>11</v>
      </c>
      <c r="D225" s="9">
        <v>11.50</v>
      </c>
      <c r="E225" s="9">
        <v>84</v>
      </c>
      <c r="F225" s="9">
        <f>E225*D225</f>
        <v>966</v>
      </c>
      <c r="G225" s="8" t="s">
        <v>19</v>
      </c>
    </row>
    <row r="226" spans="1:7" ht="12.75">
      <c r="A226" s="14" t="s">
        <v>20</v>
      </c>
      <c r="B226" s="3"/>
      <c r="C226" s="4"/>
      <c r="D226" s="9">
        <v>10</v>
      </c>
      <c r="E226" s="15" t="s">
        <v>11</v>
      </c>
      <c r="F226" s="9">
        <f>F225</f>
        <v>966</v>
      </c>
      <c r="G226" s="8"/>
    </row>
    <row r="227" spans="1:7" ht="12.75">
      <c r="A227" s="14" t="s">
        <v>21</v>
      </c>
      <c r="B227" s="3"/>
      <c r="C227" s="4"/>
      <c r="D227" s="9">
        <v>1</v>
      </c>
      <c r="E227" s="15" t="s">
        <v>11</v>
      </c>
      <c r="F227" s="9">
        <f>F226/D226</f>
        <v>96.60</v>
      </c>
      <c r="G227" s="8"/>
    </row>
    <row r="228" spans="1:7" ht="12.75">
      <c r="A228" s="16" t="s">
        <v>22</v>
      </c>
      <c r="B228" s="3"/>
      <c r="C228" s="3"/>
      <c r="D228" s="4"/>
      <c r="E228" s="9"/>
      <c r="F228" s="9">
        <f>F227*1%</f>
        <v>0.96599999999999997</v>
      </c>
      <c r="G228" s="8"/>
    </row>
    <row r="229" spans="1:7" ht="12.75">
      <c r="A229" s="16" t="s">
        <v>20</v>
      </c>
      <c r="B229" s="3"/>
      <c r="C229" s="3"/>
      <c r="D229" s="4"/>
      <c r="E229" s="15"/>
      <c r="F229" s="9">
        <f>F227+F228</f>
        <v>97.566000000000003</v>
      </c>
      <c r="G229" s="8"/>
    </row>
    <row r="230" spans="1:7" ht="12.75">
      <c r="A230" s="16" t="s">
        <v>23</v>
      </c>
      <c r="B230" s="3"/>
      <c r="C230" s="3"/>
      <c r="D230" s="4"/>
      <c r="E230" s="9"/>
      <c r="F230" s="9">
        <f>F229*15%</f>
        <v>14.6349</v>
      </c>
      <c r="G230" s="8"/>
    </row>
    <row r="231" spans="1:7" ht="12.75">
      <c r="A231" s="16" t="s">
        <v>20</v>
      </c>
      <c r="B231" s="3"/>
      <c r="C231" s="3"/>
      <c r="D231" s="4"/>
      <c r="E231" s="15"/>
      <c r="F231" s="17">
        <f>ROUND(F229+F230,2)</f>
        <v>112.20</v>
      </c>
      <c r="G231" s="8"/>
    </row>
    <row r="232" spans="1:7" ht="12.75">
      <c r="A232" s="11" t="s">
        <v>24</v>
      </c>
      <c r="B232" s="3"/>
      <c r="C232" s="3"/>
      <c r="D232" s="3"/>
      <c r="E232" s="3"/>
      <c r="F232" s="4"/>
      <c r="G232" s="12" t="s">
        <v>25</v>
      </c>
    </row>
    <row r="233" spans="1:7" ht="12.75">
      <c r="A233" s="13">
        <v>116</v>
      </c>
      <c r="B233" s="13"/>
      <c r="C233" s="10" t="s">
        <v>26</v>
      </c>
      <c r="D233" s="3"/>
      <c r="E233" s="4"/>
      <c r="F233" s="10"/>
      <c r="G233" s="4"/>
    </row>
    <row r="234" spans="1:7" ht="12.75">
      <c r="A234" s="5"/>
      <c r="B234" s="5"/>
      <c r="C234" s="8" t="s">
        <v>27</v>
      </c>
      <c r="D234" s="9">
        <v>0.33</v>
      </c>
      <c r="E234" s="9">
        <v>784</v>
      </c>
      <c r="F234" s="9">
        <f>E234*D234</f>
        <v>258.72</v>
      </c>
      <c r="G234" s="8" t="s">
        <v>28</v>
      </c>
    </row>
    <row r="235" spans="1:7" ht="12.75">
      <c r="A235" s="13">
        <v>117</v>
      </c>
      <c r="B235" s="13"/>
      <c r="C235" s="10" t="s">
        <v>29</v>
      </c>
      <c r="D235" s="3"/>
      <c r="E235" s="4"/>
      <c r="F235" s="10"/>
      <c r="G235" s="4"/>
    </row>
    <row r="236" spans="1:7" ht="12.75">
      <c r="A236" s="5"/>
      <c r="B236" s="5"/>
      <c r="C236" s="8" t="s">
        <v>27</v>
      </c>
      <c r="D236" s="9">
        <v>1.31</v>
      </c>
      <c r="E236" s="9">
        <v>714</v>
      </c>
      <c r="F236" s="9">
        <f>E236*D236</f>
        <v>935.34</v>
      </c>
      <c r="G236" s="8" t="s">
        <v>30</v>
      </c>
    </row>
    <row r="237" spans="1:7" ht="12.75">
      <c r="A237" s="13">
        <v>114</v>
      </c>
      <c r="B237" s="13"/>
      <c r="C237" s="10" t="s">
        <v>31</v>
      </c>
      <c r="D237" s="3"/>
      <c r="E237" s="4"/>
      <c r="F237" s="10"/>
      <c r="G237" s="4"/>
    </row>
    <row r="238" spans="1:7" ht="12.75">
      <c r="A238" s="5"/>
      <c r="B238" s="5"/>
      <c r="C238" s="8" t="s">
        <v>27</v>
      </c>
      <c r="D238" s="9">
        <v>1.31</v>
      </c>
      <c r="E238" s="9">
        <v>645</v>
      </c>
      <c r="F238" s="9">
        <f>E238*D238</f>
        <v>844.95</v>
      </c>
      <c r="G238" s="8" t="s">
        <v>32</v>
      </c>
    </row>
    <row r="239" spans="1:7" ht="12.75">
      <c r="A239" s="11" t="s">
        <v>33</v>
      </c>
      <c r="B239" s="3"/>
      <c r="C239" s="3"/>
      <c r="D239" s="3"/>
      <c r="E239" s="3"/>
      <c r="F239" s="4"/>
      <c r="G239" s="12" t="s">
        <v>25</v>
      </c>
    </row>
    <row r="240" spans="1:7" ht="12.75">
      <c r="A240" s="13">
        <v>9999</v>
      </c>
      <c r="B240" s="13"/>
      <c r="C240" s="10" t="s">
        <v>42</v>
      </c>
      <c r="D240" s="3"/>
      <c r="E240" s="4"/>
      <c r="F240" s="10"/>
      <c r="G240" s="4"/>
    </row>
    <row r="241" spans="1:7" ht="12.75">
      <c r="A241" s="5"/>
      <c r="B241" s="5"/>
      <c r="C241" s="8" t="s">
        <v>35</v>
      </c>
      <c r="D241" s="9">
        <v>5.33</v>
      </c>
      <c r="E241" s="9">
        <v>2.12</v>
      </c>
      <c r="F241" s="9">
        <f>E241*D241</f>
        <v>11.2996</v>
      </c>
      <c r="G241" s="8" t="s">
        <v>36</v>
      </c>
    </row>
    <row r="242" spans="1:7" ht="12.75">
      <c r="A242" s="14" t="s">
        <v>20</v>
      </c>
      <c r="B242" s="3"/>
      <c r="C242" s="4"/>
      <c r="D242" s="9">
        <v>10</v>
      </c>
      <c r="E242" s="15" t="s">
        <v>11</v>
      </c>
      <c r="F242" s="18">
        <f>F234+F236+F238+F241</f>
        <v>2050.3096</v>
      </c>
      <c r="G242" s="15"/>
    </row>
    <row r="243" spans="1:7" ht="12.75">
      <c r="A243" s="14" t="s">
        <v>21</v>
      </c>
      <c r="B243" s="3"/>
      <c r="C243" s="4"/>
      <c r="D243" s="9">
        <v>1</v>
      </c>
      <c r="E243" s="15" t="s">
        <v>11</v>
      </c>
      <c r="F243" s="9">
        <f>F242/D242</f>
        <v>205.03095999999999</v>
      </c>
      <c r="G243" s="15"/>
    </row>
    <row r="244" spans="1:7" ht="12.75">
      <c r="A244" s="16" t="s">
        <v>22</v>
      </c>
      <c r="B244" s="3"/>
      <c r="C244" s="3"/>
      <c r="D244" s="4"/>
      <c r="E244" s="9"/>
      <c r="F244" s="9">
        <f>F243*1%</f>
        <v>2.0503095999999998</v>
      </c>
      <c r="G244" s="15"/>
    </row>
    <row r="245" spans="1:7" ht="12.75">
      <c r="A245" s="16" t="s">
        <v>20</v>
      </c>
      <c r="B245" s="3"/>
      <c r="C245" s="3"/>
      <c r="D245" s="4"/>
      <c r="E245" s="15"/>
      <c r="F245" s="9">
        <f>F243+F244</f>
        <v>207.08126960000001</v>
      </c>
      <c r="G245" s="15"/>
    </row>
    <row r="246" spans="1:7" ht="12.75">
      <c r="A246" s="16" t="s">
        <v>23</v>
      </c>
      <c r="B246" s="3"/>
      <c r="C246" s="3"/>
      <c r="D246" s="4"/>
      <c r="E246" s="9"/>
      <c r="F246" s="9">
        <f>F245*15%</f>
        <v>31.062190439999998</v>
      </c>
      <c r="G246" s="15"/>
    </row>
    <row r="247" spans="1:7" ht="12.75">
      <c r="A247" s="16" t="s">
        <v>20</v>
      </c>
      <c r="B247" s="3"/>
      <c r="C247" s="3"/>
      <c r="D247" s="4"/>
      <c r="E247" s="15"/>
      <c r="F247" s="17">
        <f>ROUND(F245+F246,2)</f>
        <v>238.14</v>
      </c>
      <c r="G247" s="15"/>
    </row>
    <row r="248" spans="1:7" ht="12.75">
      <c r="A248" s="19" t="str">
        <f>CONCATENATE("Say ₹ ",F231," + ",F247," x Cost Index")</f>
        <v>Say ₹ 112.2 + 238.14 x Cost Index</v>
      </c>
      <c r="B248" s="3"/>
      <c r="C248" s="3"/>
      <c r="D248" s="3"/>
      <c r="E248" s="3"/>
      <c r="F248" s="4"/>
      <c r="G248" s="20" t="s">
        <v>37</v>
      </c>
    </row>
    <row r="249" spans="1:7" ht="12.75">
      <c r="A249" s="1" t="s">
        <v>0</v>
      </c>
      <c r="B249" s="1" t="s">
        <v>1</v>
      </c>
      <c r="C249" s="2" t="s">
        <v>2</v>
      </c>
      <c r="D249" s="3"/>
      <c r="E249" s="4"/>
      <c r="F249" s="2" t="s">
        <v>3</v>
      </c>
      <c r="G249" s="4"/>
    </row>
    <row r="250" spans="1:7" ht="12.75">
      <c r="A250" s="5"/>
      <c r="B250" s="5"/>
      <c r="C250" s="6" t="s">
        <v>4</v>
      </c>
      <c r="D250" s="6" t="s">
        <v>5</v>
      </c>
      <c r="E250" s="6" t="s">
        <v>6</v>
      </c>
      <c r="F250" s="6" t="s">
        <v>7</v>
      </c>
      <c r="G250" s="6" t="s">
        <v>8</v>
      </c>
    </row>
    <row r="251" spans="1:7" ht="12.75">
      <c r="A251" s="7" t="s">
        <v>64</v>
      </c>
      <c r="B251" s="3"/>
      <c r="C251" s="3"/>
      <c r="D251" s="3"/>
      <c r="E251" s="3"/>
      <c r="F251" s="3"/>
      <c r="G251" s="4"/>
    </row>
    <row r="252" spans="1:7" ht="12.75">
      <c r="A252" s="8"/>
      <c r="B252" s="8" t="s">
        <v>10</v>
      </c>
      <c r="C252" s="8" t="s">
        <v>11</v>
      </c>
      <c r="D252" s="8" t="s">
        <v>12</v>
      </c>
      <c r="E252" s="9">
        <v>10</v>
      </c>
      <c r="F252" s="10"/>
      <c r="G252" s="4"/>
    </row>
    <row r="253" spans="1:7" ht="12.75">
      <c r="A253" s="8" t="s">
        <v>13</v>
      </c>
      <c r="B253" s="10" t="s">
        <v>39</v>
      </c>
      <c r="C253" s="3"/>
      <c r="D253" s="3"/>
      <c r="E253" s="3"/>
      <c r="F253" s="3"/>
      <c r="G253" s="4"/>
    </row>
    <row r="254" spans="1:7" ht="12.75">
      <c r="A254" s="11" t="s">
        <v>15</v>
      </c>
      <c r="B254" s="3"/>
      <c r="C254" s="3"/>
      <c r="D254" s="3"/>
      <c r="E254" s="3"/>
      <c r="F254" s="4"/>
      <c r="G254" s="12" t="s">
        <v>16</v>
      </c>
    </row>
    <row r="255" spans="1:7" ht="12.75">
      <c r="A255" s="13"/>
      <c r="B255" s="13" t="s">
        <v>65</v>
      </c>
      <c r="C255" s="10" t="s">
        <v>66</v>
      </c>
      <c r="D255" s="3"/>
      <c r="E255" s="4"/>
      <c r="F255" s="10"/>
      <c r="G255" s="4"/>
    </row>
    <row r="256" spans="1:7" ht="12.75">
      <c r="A256" s="5"/>
      <c r="B256" s="5"/>
      <c r="C256" s="8" t="s">
        <v>11</v>
      </c>
      <c r="D256" s="9">
        <v>11.50</v>
      </c>
      <c r="E256" s="9">
        <v>53</v>
      </c>
      <c r="F256" s="9">
        <f>E256*D256</f>
        <v>609.50</v>
      </c>
      <c r="G256" s="8" t="s">
        <v>19</v>
      </c>
    </row>
    <row r="257" spans="1:7" ht="12.75">
      <c r="A257" s="14" t="s">
        <v>20</v>
      </c>
      <c r="B257" s="3"/>
      <c r="C257" s="4"/>
      <c r="D257" s="9">
        <v>10</v>
      </c>
      <c r="E257" s="15" t="s">
        <v>11</v>
      </c>
      <c r="F257" s="9">
        <f>F256</f>
        <v>609.50</v>
      </c>
      <c r="G257" s="8"/>
    </row>
    <row r="258" spans="1:7" ht="12.75">
      <c r="A258" s="14" t="s">
        <v>21</v>
      </c>
      <c r="B258" s="3"/>
      <c r="C258" s="4"/>
      <c r="D258" s="9">
        <v>1</v>
      </c>
      <c r="E258" s="15" t="s">
        <v>11</v>
      </c>
      <c r="F258" s="9">
        <f>F257/D257</f>
        <v>60.95</v>
      </c>
      <c r="G258" s="8"/>
    </row>
    <row r="259" spans="1:7" ht="12.75">
      <c r="A259" s="16" t="s">
        <v>22</v>
      </c>
      <c r="B259" s="3"/>
      <c r="C259" s="3"/>
      <c r="D259" s="4"/>
      <c r="E259" s="9"/>
      <c r="F259" s="9">
        <f>F258*1%</f>
        <v>0.60950000000000004</v>
      </c>
      <c r="G259" s="8"/>
    </row>
    <row r="260" spans="1:7" ht="12.75">
      <c r="A260" s="16" t="s">
        <v>20</v>
      </c>
      <c r="B260" s="3"/>
      <c r="C260" s="3"/>
      <c r="D260" s="4"/>
      <c r="E260" s="15"/>
      <c r="F260" s="9">
        <f>F258+F259</f>
        <v>61.5595</v>
      </c>
      <c r="G260" s="8"/>
    </row>
    <row r="261" spans="1:7" ht="12.75">
      <c r="A261" s="16" t="s">
        <v>23</v>
      </c>
      <c r="B261" s="3"/>
      <c r="C261" s="3"/>
      <c r="D261" s="4"/>
      <c r="E261" s="9"/>
      <c r="F261" s="9">
        <f>F260*15%</f>
        <v>9.2339249999999993</v>
      </c>
      <c r="G261" s="8"/>
    </row>
    <row r="262" spans="1:7" ht="12.75">
      <c r="A262" s="16" t="s">
        <v>20</v>
      </c>
      <c r="B262" s="3"/>
      <c r="C262" s="3"/>
      <c r="D262" s="4"/>
      <c r="E262" s="15"/>
      <c r="F262" s="17">
        <f>ROUND(F260+F261,2)</f>
        <v>70.79</v>
      </c>
      <c r="G262" s="8"/>
    </row>
    <row r="263" spans="1:7" ht="12.75">
      <c r="A263" s="11" t="s">
        <v>24</v>
      </c>
      <c r="B263" s="3"/>
      <c r="C263" s="3"/>
      <c r="D263" s="3"/>
      <c r="E263" s="3"/>
      <c r="F263" s="4"/>
      <c r="G263" s="12" t="s">
        <v>25</v>
      </c>
    </row>
    <row r="264" spans="1:7" ht="12.75">
      <c r="A264" s="13">
        <v>116</v>
      </c>
      <c r="B264" s="13"/>
      <c r="C264" s="10" t="s">
        <v>26</v>
      </c>
      <c r="D264" s="3"/>
      <c r="E264" s="4"/>
      <c r="F264" s="10"/>
      <c r="G264" s="4"/>
    </row>
    <row r="265" spans="1:7" ht="12.75">
      <c r="A265" s="5"/>
      <c r="B265" s="5"/>
      <c r="C265" s="8" t="s">
        <v>27</v>
      </c>
      <c r="D265" s="9">
        <v>0.33</v>
      </c>
      <c r="E265" s="9">
        <v>784</v>
      </c>
      <c r="F265" s="9">
        <f>E265*D265</f>
        <v>258.72</v>
      </c>
      <c r="G265" s="8" t="s">
        <v>28</v>
      </c>
    </row>
    <row r="266" spans="1:7" ht="12.75">
      <c r="A266" s="13">
        <v>117</v>
      </c>
      <c r="B266" s="13"/>
      <c r="C266" s="10" t="s">
        <v>29</v>
      </c>
      <c r="D266" s="3"/>
      <c r="E266" s="4"/>
      <c r="F266" s="10"/>
      <c r="G266" s="4"/>
    </row>
    <row r="267" spans="1:7" ht="12.75">
      <c r="A267" s="5"/>
      <c r="B267" s="5"/>
      <c r="C267" s="8" t="s">
        <v>27</v>
      </c>
      <c r="D267" s="9">
        <v>1.31</v>
      </c>
      <c r="E267" s="9">
        <v>714</v>
      </c>
      <c r="F267" s="9">
        <f>E267*D267</f>
        <v>935.34</v>
      </c>
      <c r="G267" s="8" t="s">
        <v>30</v>
      </c>
    </row>
    <row r="268" spans="1:7" ht="12.75">
      <c r="A268" s="13">
        <v>114</v>
      </c>
      <c r="B268" s="13"/>
      <c r="C268" s="10" t="s">
        <v>31</v>
      </c>
      <c r="D268" s="3"/>
      <c r="E268" s="4"/>
      <c r="F268" s="10"/>
      <c r="G268" s="4"/>
    </row>
    <row r="269" spans="1:7" ht="12.75">
      <c r="A269" s="5"/>
      <c r="B269" s="5"/>
      <c r="C269" s="8" t="s">
        <v>27</v>
      </c>
      <c r="D269" s="9">
        <v>1.31</v>
      </c>
      <c r="E269" s="9">
        <v>645</v>
      </c>
      <c r="F269" s="9">
        <f>E269*D269</f>
        <v>844.95</v>
      </c>
      <c r="G269" s="8" t="s">
        <v>32</v>
      </c>
    </row>
    <row r="270" spans="1:7" ht="12.75">
      <c r="A270" s="11" t="s">
        <v>33</v>
      </c>
      <c r="B270" s="3"/>
      <c r="C270" s="3"/>
      <c r="D270" s="3"/>
      <c r="E270" s="3"/>
      <c r="F270" s="4"/>
      <c r="G270" s="12" t="s">
        <v>25</v>
      </c>
    </row>
    <row r="271" spans="1:7" ht="12.75">
      <c r="A271" s="13">
        <v>9999</v>
      </c>
      <c r="B271" s="13"/>
      <c r="C271" s="10" t="s">
        <v>42</v>
      </c>
      <c r="D271" s="3"/>
      <c r="E271" s="4"/>
      <c r="F271" s="10"/>
      <c r="G271" s="4"/>
    </row>
    <row r="272" spans="1:7" ht="12.75">
      <c r="A272" s="5"/>
      <c r="B272" s="5"/>
      <c r="C272" s="8" t="s">
        <v>35</v>
      </c>
      <c r="D272" s="9">
        <v>5.33</v>
      </c>
      <c r="E272" s="9">
        <v>2.12</v>
      </c>
      <c r="F272" s="9">
        <f>E272*D272</f>
        <v>11.2996</v>
      </c>
      <c r="G272" s="8" t="s">
        <v>36</v>
      </c>
    </row>
    <row r="273" spans="1:7" ht="12.75">
      <c r="A273" s="14" t="s">
        <v>20</v>
      </c>
      <c r="B273" s="3"/>
      <c r="C273" s="4"/>
      <c r="D273" s="9">
        <v>10</v>
      </c>
      <c r="E273" s="15" t="s">
        <v>11</v>
      </c>
      <c r="F273" s="18">
        <f>F265+F267+F269+F272</f>
        <v>2050.3096</v>
      </c>
      <c r="G273" s="15"/>
    </row>
    <row r="274" spans="1:7" ht="12.75">
      <c r="A274" s="14" t="s">
        <v>21</v>
      </c>
      <c r="B274" s="3"/>
      <c r="C274" s="4"/>
      <c r="D274" s="9">
        <v>1</v>
      </c>
      <c r="E274" s="15" t="s">
        <v>11</v>
      </c>
      <c r="F274" s="9">
        <f>F273/D273</f>
        <v>205.03095999999999</v>
      </c>
      <c r="G274" s="15"/>
    </row>
    <row r="275" spans="1:7" ht="12.75">
      <c r="A275" s="16" t="s">
        <v>22</v>
      </c>
      <c r="B275" s="3"/>
      <c r="C275" s="3"/>
      <c r="D275" s="4"/>
      <c r="E275" s="9"/>
      <c r="F275" s="9">
        <f>F274*1%</f>
        <v>2.0503095999999998</v>
      </c>
      <c r="G275" s="15"/>
    </row>
    <row r="276" spans="1:7" ht="12.75">
      <c r="A276" s="16" t="s">
        <v>20</v>
      </c>
      <c r="B276" s="3"/>
      <c r="C276" s="3"/>
      <c r="D276" s="4"/>
      <c r="E276" s="15"/>
      <c r="F276" s="9">
        <f>F274+F275</f>
        <v>207.08126960000001</v>
      </c>
      <c r="G276" s="15"/>
    </row>
    <row r="277" spans="1:7" ht="12.75">
      <c r="A277" s="16" t="s">
        <v>23</v>
      </c>
      <c r="B277" s="3"/>
      <c r="C277" s="3"/>
      <c r="D277" s="4"/>
      <c r="E277" s="9"/>
      <c r="F277" s="9">
        <f>F276*15%</f>
        <v>31.062190439999998</v>
      </c>
      <c r="G277" s="15"/>
    </row>
    <row r="278" spans="1:7" ht="12.75">
      <c r="A278" s="16" t="s">
        <v>20</v>
      </c>
      <c r="B278" s="3"/>
      <c r="C278" s="3"/>
      <c r="D278" s="4"/>
      <c r="E278" s="15"/>
      <c r="F278" s="17">
        <f>ROUND(F276+F277,2)</f>
        <v>238.14</v>
      </c>
      <c r="G278" s="15"/>
    </row>
    <row r="279" spans="1:7" ht="12.75">
      <c r="A279" s="19" t="str">
        <f>CONCATENATE("Say ₹ ",F262," + ",F278," x Cost Index")</f>
        <v>Say ₹ 70.79 + 238.14 x Cost Index</v>
      </c>
      <c r="B279" s="3"/>
      <c r="C279" s="3"/>
      <c r="D279" s="3"/>
      <c r="E279" s="3"/>
      <c r="F279" s="4"/>
      <c r="G279" s="20" t="s">
        <v>37</v>
      </c>
    </row>
    <row r="280" spans="1:7" ht="12.75">
      <c r="A280" s="1" t="s">
        <v>0</v>
      </c>
      <c r="B280" s="1" t="s">
        <v>1</v>
      </c>
      <c r="C280" s="2" t="s">
        <v>2</v>
      </c>
      <c r="D280" s="3"/>
      <c r="E280" s="4"/>
      <c r="F280" s="2" t="s">
        <v>3</v>
      </c>
      <c r="G280" s="4"/>
    </row>
    <row r="281" spans="1:7" ht="12.75">
      <c r="A281" s="5"/>
      <c r="B281" s="5"/>
      <c r="C281" s="6" t="s">
        <v>4</v>
      </c>
      <c r="D281" s="6" t="s">
        <v>5</v>
      </c>
      <c r="E281" s="6" t="s">
        <v>6</v>
      </c>
      <c r="F281" s="6" t="s">
        <v>7</v>
      </c>
      <c r="G281" s="6" t="s">
        <v>8</v>
      </c>
    </row>
    <row r="282" spans="1:7" ht="12.75">
      <c r="A282" s="7" t="s">
        <v>67</v>
      </c>
      <c r="B282" s="3"/>
      <c r="C282" s="3"/>
      <c r="D282" s="3"/>
      <c r="E282" s="3"/>
      <c r="F282" s="3"/>
      <c r="G282" s="4"/>
    </row>
    <row r="283" spans="1:7" ht="12.75">
      <c r="A283" s="21"/>
      <c r="B283" s="21" t="s">
        <v>10</v>
      </c>
      <c r="C283" s="21" t="s">
        <v>11</v>
      </c>
      <c r="D283" s="21" t="s">
        <v>12</v>
      </c>
      <c r="E283" s="18">
        <v>10</v>
      </c>
      <c r="F283" s="22"/>
      <c r="G283" s="4"/>
    </row>
    <row r="284" spans="1:7" ht="12.75">
      <c r="A284" s="21" t="s">
        <v>13</v>
      </c>
      <c r="B284" s="22" t="s">
        <v>39</v>
      </c>
      <c r="C284" s="3"/>
      <c r="D284" s="3"/>
      <c r="E284" s="3"/>
      <c r="F284" s="3"/>
      <c r="G284" s="4"/>
    </row>
    <row r="285" spans="1:7" ht="12.75">
      <c r="A285" s="11" t="s">
        <v>15</v>
      </c>
      <c r="B285" s="3"/>
      <c r="C285" s="3"/>
      <c r="D285" s="3"/>
      <c r="E285" s="3"/>
      <c r="F285" s="4"/>
      <c r="G285" s="12" t="s">
        <v>16</v>
      </c>
    </row>
    <row r="286" spans="1:7" ht="12.75">
      <c r="A286" s="23"/>
      <c r="B286" s="23" t="s">
        <v>68</v>
      </c>
      <c r="C286" s="22" t="s">
        <v>69</v>
      </c>
      <c r="D286" s="3"/>
      <c r="E286" s="4"/>
      <c r="F286" s="22"/>
      <c r="G286" s="4"/>
    </row>
    <row r="287" spans="1:7" ht="12.75">
      <c r="A287" s="5"/>
      <c r="B287" s="5"/>
      <c r="C287" s="21" t="s">
        <v>11</v>
      </c>
      <c r="D287" s="18">
        <v>11.50</v>
      </c>
      <c r="E287" s="18">
        <v>90</v>
      </c>
      <c r="F287" s="9">
        <f>E287*D287</f>
        <v>1035</v>
      </c>
      <c r="G287" s="21" t="s">
        <v>19</v>
      </c>
    </row>
    <row r="288" spans="1:7" ht="12.75">
      <c r="A288" s="14" t="s">
        <v>20</v>
      </c>
      <c r="B288" s="3"/>
      <c r="C288" s="4"/>
      <c r="D288" s="9">
        <v>10</v>
      </c>
      <c r="E288" s="15" t="s">
        <v>11</v>
      </c>
      <c r="F288" s="9">
        <f>F287</f>
        <v>1035</v>
      </c>
      <c r="G288" s="21"/>
    </row>
    <row r="289" spans="1:7" ht="12.75">
      <c r="A289" s="14" t="s">
        <v>21</v>
      </c>
      <c r="B289" s="3"/>
      <c r="C289" s="4"/>
      <c r="D289" s="9">
        <v>1</v>
      </c>
      <c r="E289" s="15" t="s">
        <v>11</v>
      </c>
      <c r="F289" s="9">
        <f>F288/D288</f>
        <v>103.50</v>
      </c>
      <c r="G289" s="21"/>
    </row>
    <row r="290" spans="1:7" ht="12.75">
      <c r="A290" s="16" t="s">
        <v>22</v>
      </c>
      <c r="B290" s="3"/>
      <c r="C290" s="3"/>
      <c r="D290" s="4"/>
      <c r="E290" s="9"/>
      <c r="F290" s="9">
        <f>F289*1%</f>
        <v>1.035</v>
      </c>
      <c r="G290" s="21"/>
    </row>
    <row r="291" spans="1:7" ht="12.75">
      <c r="A291" s="16" t="s">
        <v>20</v>
      </c>
      <c r="B291" s="3"/>
      <c r="C291" s="3"/>
      <c r="D291" s="4"/>
      <c r="E291" s="15"/>
      <c r="F291" s="9">
        <f>F289+F290</f>
        <v>104.535</v>
      </c>
      <c r="G291" s="21"/>
    </row>
    <row r="292" spans="1:7" ht="12.75">
      <c r="A292" s="16" t="s">
        <v>23</v>
      </c>
      <c r="B292" s="3"/>
      <c r="C292" s="3"/>
      <c r="D292" s="4"/>
      <c r="E292" s="9"/>
      <c r="F292" s="9">
        <f>F291*15%</f>
        <v>15.680249999999999</v>
      </c>
      <c r="G292" s="21"/>
    </row>
    <row r="293" spans="1:7" ht="12.75">
      <c r="A293" s="16" t="s">
        <v>20</v>
      </c>
      <c r="B293" s="3"/>
      <c r="C293" s="3"/>
      <c r="D293" s="4"/>
      <c r="E293" s="15"/>
      <c r="F293" s="17">
        <f>ROUND(F291+F292,2)</f>
        <v>120.22</v>
      </c>
      <c r="G293" s="21"/>
    </row>
    <row r="294" spans="1:7" ht="12.75">
      <c r="A294" s="11" t="s">
        <v>24</v>
      </c>
      <c r="B294" s="3"/>
      <c r="C294" s="3"/>
      <c r="D294" s="3"/>
      <c r="E294" s="3"/>
      <c r="F294" s="4"/>
      <c r="G294" s="12" t="s">
        <v>25</v>
      </c>
    </row>
    <row r="295" spans="1:7" ht="12.75">
      <c r="A295" s="23">
        <v>116</v>
      </c>
      <c r="B295" s="23"/>
      <c r="C295" s="22" t="s">
        <v>26</v>
      </c>
      <c r="D295" s="3"/>
      <c r="E295" s="4"/>
      <c r="F295" s="22"/>
      <c r="G295" s="4"/>
    </row>
    <row r="296" spans="1:7" ht="12.75">
      <c r="A296" s="5"/>
      <c r="B296" s="5"/>
      <c r="C296" s="21" t="s">
        <v>27</v>
      </c>
      <c r="D296" s="18">
        <v>0.33</v>
      </c>
      <c r="E296" s="18">
        <v>784</v>
      </c>
      <c r="F296" s="9">
        <f>E296*D296</f>
        <v>258.72</v>
      </c>
      <c r="G296" s="21" t="s">
        <v>28</v>
      </c>
    </row>
    <row r="297" spans="1:7" ht="12.75">
      <c r="A297" s="23">
        <v>117</v>
      </c>
      <c r="B297" s="23"/>
      <c r="C297" s="22" t="s">
        <v>29</v>
      </c>
      <c r="D297" s="3"/>
      <c r="E297" s="4"/>
      <c r="F297" s="22"/>
      <c r="G297" s="4"/>
    </row>
    <row r="298" spans="1:7" ht="12.75">
      <c r="A298" s="5"/>
      <c r="B298" s="5"/>
      <c r="C298" s="21" t="s">
        <v>27</v>
      </c>
      <c r="D298" s="18">
        <v>1.31</v>
      </c>
      <c r="E298" s="18">
        <v>714</v>
      </c>
      <c r="F298" s="9">
        <f>E298*D298</f>
        <v>935.34</v>
      </c>
      <c r="G298" s="21" t="s">
        <v>30</v>
      </c>
    </row>
    <row r="299" spans="1:7" ht="12.75">
      <c r="A299" s="23">
        <v>114</v>
      </c>
      <c r="B299" s="23"/>
      <c r="C299" s="22" t="s">
        <v>31</v>
      </c>
      <c r="D299" s="3"/>
      <c r="E299" s="4"/>
      <c r="F299" s="22"/>
      <c r="G299" s="4"/>
    </row>
    <row r="300" spans="1:7" ht="12.75">
      <c r="A300" s="5"/>
      <c r="B300" s="5"/>
      <c r="C300" s="21" t="s">
        <v>27</v>
      </c>
      <c r="D300" s="18">
        <v>1.31</v>
      </c>
      <c r="E300" s="18">
        <v>645</v>
      </c>
      <c r="F300" s="9">
        <f>E300*D300</f>
        <v>844.95</v>
      </c>
      <c r="G300" s="21" t="s">
        <v>32</v>
      </c>
    </row>
    <row r="301" spans="1:7" ht="12.75">
      <c r="A301" s="11" t="s">
        <v>33</v>
      </c>
      <c r="B301" s="3"/>
      <c r="C301" s="3"/>
      <c r="D301" s="3"/>
      <c r="E301" s="3"/>
      <c r="F301" s="4"/>
      <c r="G301" s="12" t="s">
        <v>25</v>
      </c>
    </row>
    <row r="302" spans="1:7" ht="12.75">
      <c r="A302" s="23">
        <v>9999</v>
      </c>
      <c r="B302" s="23"/>
      <c r="C302" s="22" t="s">
        <v>42</v>
      </c>
      <c r="D302" s="3"/>
      <c r="E302" s="4"/>
      <c r="F302" s="22"/>
      <c r="G302" s="4"/>
    </row>
    <row r="303" spans="1:7" ht="12.75">
      <c r="A303" s="5"/>
      <c r="B303" s="5"/>
      <c r="C303" s="21" t="s">
        <v>35</v>
      </c>
      <c r="D303" s="18">
        <v>5.33</v>
      </c>
      <c r="E303" s="18">
        <v>2.12</v>
      </c>
      <c r="F303" s="9">
        <f>E303*D303</f>
        <v>11.2996</v>
      </c>
      <c r="G303" s="21" t="s">
        <v>36</v>
      </c>
    </row>
    <row r="304" spans="1:7" ht="12.75">
      <c r="A304" s="14" t="s">
        <v>20</v>
      </c>
      <c r="B304" s="3"/>
      <c r="C304" s="4"/>
      <c r="D304" s="9">
        <v>10</v>
      </c>
      <c r="E304" s="15" t="s">
        <v>11</v>
      </c>
      <c r="F304" s="18">
        <f>F296+F298+F300+F303</f>
        <v>2050.3096</v>
      </c>
      <c r="G304" s="15"/>
    </row>
    <row r="305" spans="1:7" ht="12.75">
      <c r="A305" s="14" t="s">
        <v>21</v>
      </c>
      <c r="B305" s="3"/>
      <c r="C305" s="4"/>
      <c r="D305" s="9">
        <v>1</v>
      </c>
      <c r="E305" s="15" t="s">
        <v>11</v>
      </c>
      <c r="F305" s="9">
        <f>F304/D304</f>
        <v>205.03095999999999</v>
      </c>
      <c r="G305" s="15"/>
    </row>
    <row r="306" spans="1:7" ht="12.75">
      <c r="A306" s="16" t="s">
        <v>22</v>
      </c>
      <c r="B306" s="3"/>
      <c r="C306" s="3"/>
      <c r="D306" s="4"/>
      <c r="E306" s="9"/>
      <c r="F306" s="9">
        <f>F305*1%</f>
        <v>2.0503095999999998</v>
      </c>
      <c r="G306" s="15"/>
    </row>
    <row r="307" spans="1:7" ht="12.75">
      <c r="A307" s="16" t="s">
        <v>20</v>
      </c>
      <c r="B307" s="3"/>
      <c r="C307" s="3"/>
      <c r="D307" s="4"/>
      <c r="E307" s="15"/>
      <c r="F307" s="9">
        <f>F305+F306</f>
        <v>207.08126960000001</v>
      </c>
      <c r="G307" s="15"/>
    </row>
    <row r="308" spans="1:7" ht="12.75">
      <c r="A308" s="16" t="s">
        <v>23</v>
      </c>
      <c r="B308" s="3"/>
      <c r="C308" s="3"/>
      <c r="D308" s="4"/>
      <c r="E308" s="9"/>
      <c r="F308" s="9">
        <f>F307*15%</f>
        <v>31.062190439999998</v>
      </c>
      <c r="G308" s="15"/>
    </row>
    <row r="309" spans="1:7" ht="12.75">
      <c r="A309" s="16" t="s">
        <v>20</v>
      </c>
      <c r="B309" s="3"/>
      <c r="C309" s="3"/>
      <c r="D309" s="4"/>
      <c r="E309" s="15"/>
      <c r="F309" s="17">
        <f>ROUND(F307+F308,2)</f>
        <v>238.14</v>
      </c>
      <c r="G309" s="15"/>
    </row>
    <row r="310" spans="1:7" ht="12.75">
      <c r="A310" s="19" t="str">
        <f>CONCATENATE("Say ₹ ",F293," + ",F309," x Cost Index")</f>
        <v>Say ₹ 120.22 + 238.14 x Cost Index</v>
      </c>
      <c r="B310" s="3"/>
      <c r="C310" s="3"/>
      <c r="D310" s="3"/>
      <c r="E310" s="3"/>
      <c r="F310" s="4"/>
      <c r="G310" s="20" t="s">
        <v>37</v>
      </c>
    </row>
    <row r="311" spans="1:7" ht="12.75">
      <c r="A311" s="1" t="s">
        <v>0</v>
      </c>
      <c r="B311" s="1" t="s">
        <v>1</v>
      </c>
      <c r="C311" s="2" t="s">
        <v>2</v>
      </c>
      <c r="D311" s="3"/>
      <c r="E311" s="4"/>
      <c r="F311" s="2" t="s">
        <v>3</v>
      </c>
      <c r="G311" s="4"/>
    </row>
    <row r="312" spans="1:7" ht="12.75">
      <c r="A312" s="5"/>
      <c r="B312" s="5"/>
      <c r="C312" s="6" t="s">
        <v>4</v>
      </c>
      <c r="D312" s="6" t="s">
        <v>5</v>
      </c>
      <c r="E312" s="6" t="s">
        <v>6</v>
      </c>
      <c r="F312" s="6" t="s">
        <v>7</v>
      </c>
      <c r="G312" s="6" t="s">
        <v>8</v>
      </c>
    </row>
    <row r="313" spans="1:7" ht="12.75">
      <c r="A313" s="7" t="s">
        <v>70</v>
      </c>
      <c r="B313" s="3"/>
      <c r="C313" s="3"/>
      <c r="D313" s="3"/>
      <c r="E313" s="3"/>
      <c r="F313" s="3"/>
      <c r="G313" s="4"/>
    </row>
    <row r="314" spans="1:7" ht="12.75">
      <c r="A314" s="8"/>
      <c r="B314" s="8" t="s">
        <v>10</v>
      </c>
      <c r="C314" s="8" t="s">
        <v>11</v>
      </c>
      <c r="D314" s="8" t="s">
        <v>12</v>
      </c>
      <c r="E314" s="9">
        <v>10</v>
      </c>
      <c r="F314" s="10"/>
      <c r="G314" s="4"/>
    </row>
    <row r="315" spans="1:7" ht="12.75">
      <c r="A315" s="8" t="s">
        <v>13</v>
      </c>
      <c r="B315" s="10" t="s">
        <v>39</v>
      </c>
      <c r="C315" s="3"/>
      <c r="D315" s="3"/>
      <c r="E315" s="3"/>
      <c r="F315" s="3"/>
      <c r="G315" s="4"/>
    </row>
    <row r="316" spans="1:7" ht="12.75">
      <c r="A316" s="11" t="s">
        <v>15</v>
      </c>
      <c r="B316" s="3"/>
      <c r="C316" s="3"/>
      <c r="D316" s="3"/>
      <c r="E316" s="3"/>
      <c r="F316" s="4"/>
      <c r="G316" s="12" t="s">
        <v>16</v>
      </c>
    </row>
    <row r="317" spans="1:7" ht="12.75">
      <c r="A317" s="13"/>
      <c r="B317" s="13" t="s">
        <v>71</v>
      </c>
      <c r="C317" s="10" t="s">
        <v>72</v>
      </c>
      <c r="D317" s="3"/>
      <c r="E317" s="4"/>
      <c r="F317" s="10"/>
      <c r="G317" s="4"/>
    </row>
    <row r="318" spans="1:7" ht="12.75">
      <c r="A318" s="5"/>
      <c r="B318" s="5"/>
      <c r="C318" s="8" t="s">
        <v>11</v>
      </c>
      <c r="D318" s="9">
        <v>11.50</v>
      </c>
      <c r="E318" s="9">
        <v>60</v>
      </c>
      <c r="F318" s="9">
        <f>E318*D318</f>
        <v>690</v>
      </c>
      <c r="G318" s="8" t="s">
        <v>19</v>
      </c>
    </row>
    <row r="319" spans="1:7" ht="12.75">
      <c r="A319" s="14" t="s">
        <v>20</v>
      </c>
      <c r="B319" s="3"/>
      <c r="C319" s="4"/>
      <c r="D319" s="9">
        <v>10</v>
      </c>
      <c r="E319" s="15" t="s">
        <v>11</v>
      </c>
      <c r="F319" s="9">
        <f>F318</f>
        <v>690</v>
      </c>
      <c r="G319" s="8"/>
    </row>
    <row r="320" spans="1:7" ht="12.75">
      <c r="A320" s="14" t="s">
        <v>21</v>
      </c>
      <c r="B320" s="3"/>
      <c r="C320" s="4"/>
      <c r="D320" s="9">
        <v>1</v>
      </c>
      <c r="E320" s="15" t="s">
        <v>11</v>
      </c>
      <c r="F320" s="9">
        <f>F319/D319</f>
        <v>69</v>
      </c>
      <c r="G320" s="8"/>
    </row>
    <row r="321" spans="1:7" ht="12.75">
      <c r="A321" s="16" t="s">
        <v>22</v>
      </c>
      <c r="B321" s="3"/>
      <c r="C321" s="3"/>
      <c r="D321" s="4"/>
      <c r="E321" s="9"/>
      <c r="F321" s="9">
        <f>F320*1%</f>
        <v>0.69</v>
      </c>
      <c r="G321" s="8"/>
    </row>
    <row r="322" spans="1:7" ht="12.75">
      <c r="A322" s="16" t="s">
        <v>20</v>
      </c>
      <c r="B322" s="3"/>
      <c r="C322" s="3"/>
      <c r="D322" s="4"/>
      <c r="E322" s="15"/>
      <c r="F322" s="9">
        <f>F320+F321</f>
        <v>69.69</v>
      </c>
      <c r="G322" s="8"/>
    </row>
    <row r="323" spans="1:7" ht="12.75">
      <c r="A323" s="16" t="s">
        <v>23</v>
      </c>
      <c r="B323" s="3"/>
      <c r="C323" s="3"/>
      <c r="D323" s="4"/>
      <c r="E323" s="9"/>
      <c r="F323" s="9">
        <f>F322*15%</f>
        <v>10.4535</v>
      </c>
      <c r="G323" s="8"/>
    </row>
    <row r="324" spans="1:7" ht="12.75">
      <c r="A324" s="16" t="s">
        <v>20</v>
      </c>
      <c r="B324" s="3"/>
      <c r="C324" s="3"/>
      <c r="D324" s="4"/>
      <c r="E324" s="15"/>
      <c r="F324" s="17">
        <f>ROUND(F322+F323,2)</f>
        <v>80.14</v>
      </c>
      <c r="G324" s="8"/>
    </row>
    <row r="325" spans="1:7" ht="12.75">
      <c r="A325" s="11" t="s">
        <v>24</v>
      </c>
      <c r="B325" s="3"/>
      <c r="C325" s="3"/>
      <c r="D325" s="3"/>
      <c r="E325" s="3"/>
      <c r="F325" s="4"/>
      <c r="G325" s="12" t="s">
        <v>25</v>
      </c>
    </row>
    <row r="326" spans="1:7" ht="12.75">
      <c r="A326" s="13">
        <v>116</v>
      </c>
      <c r="B326" s="13"/>
      <c r="C326" s="10" t="s">
        <v>26</v>
      </c>
      <c r="D326" s="3"/>
      <c r="E326" s="4"/>
      <c r="F326" s="10"/>
      <c r="G326" s="4"/>
    </row>
    <row r="327" spans="1:7" ht="12.75">
      <c r="A327" s="5"/>
      <c r="B327" s="5"/>
      <c r="C327" s="8" t="s">
        <v>27</v>
      </c>
      <c r="D327" s="9">
        <v>0.33</v>
      </c>
      <c r="E327" s="9">
        <v>784</v>
      </c>
      <c r="F327" s="9">
        <f>E327*D327</f>
        <v>258.72</v>
      </c>
      <c r="G327" s="8" t="s">
        <v>28</v>
      </c>
    </row>
    <row r="328" spans="1:7" ht="12.75">
      <c r="A328" s="13">
        <v>117</v>
      </c>
      <c r="B328" s="13"/>
      <c r="C328" s="10" t="s">
        <v>29</v>
      </c>
      <c r="D328" s="3"/>
      <c r="E328" s="4"/>
      <c r="F328" s="10"/>
      <c r="G328" s="4"/>
    </row>
    <row r="329" spans="1:7" ht="12.75">
      <c r="A329" s="5"/>
      <c r="B329" s="5"/>
      <c r="C329" s="8" t="s">
        <v>27</v>
      </c>
      <c r="D329" s="9">
        <v>1.31</v>
      </c>
      <c r="E329" s="9">
        <v>714</v>
      </c>
      <c r="F329" s="9">
        <f>E329*D329</f>
        <v>935.34</v>
      </c>
      <c r="G329" s="8" t="s">
        <v>30</v>
      </c>
    </row>
    <row r="330" spans="1:7" ht="12.75">
      <c r="A330" s="13">
        <v>114</v>
      </c>
      <c r="B330" s="13"/>
      <c r="C330" s="10" t="s">
        <v>31</v>
      </c>
      <c r="D330" s="3"/>
      <c r="E330" s="4"/>
      <c r="F330" s="10"/>
      <c r="G330" s="4"/>
    </row>
    <row r="331" spans="1:7" ht="12.75">
      <c r="A331" s="5"/>
      <c r="B331" s="5"/>
      <c r="C331" s="8" t="s">
        <v>27</v>
      </c>
      <c r="D331" s="9">
        <v>1.31</v>
      </c>
      <c r="E331" s="9">
        <v>645</v>
      </c>
      <c r="F331" s="9">
        <f>E331*D331</f>
        <v>844.95</v>
      </c>
      <c r="G331" s="8" t="s">
        <v>32</v>
      </c>
    </row>
    <row r="332" spans="1:7" ht="12.75">
      <c r="A332" s="11" t="s">
        <v>33</v>
      </c>
      <c r="B332" s="3"/>
      <c r="C332" s="3"/>
      <c r="D332" s="3"/>
      <c r="E332" s="3"/>
      <c r="F332" s="4"/>
      <c r="G332" s="12" t="s">
        <v>25</v>
      </c>
    </row>
    <row r="333" spans="1:7" ht="12.75">
      <c r="A333" s="13">
        <v>9999</v>
      </c>
      <c r="B333" s="13"/>
      <c r="C333" s="10" t="s">
        <v>42</v>
      </c>
      <c r="D333" s="3"/>
      <c r="E333" s="4"/>
      <c r="F333" s="10"/>
      <c r="G333" s="4"/>
    </row>
    <row r="334" spans="1:7" ht="12.75">
      <c r="A334" s="5"/>
      <c r="B334" s="5"/>
      <c r="C334" s="8" t="s">
        <v>35</v>
      </c>
      <c r="D334" s="9">
        <v>5.33</v>
      </c>
      <c r="E334" s="9">
        <v>2.12</v>
      </c>
      <c r="F334" s="9">
        <f>E334*D334</f>
        <v>11.2996</v>
      </c>
      <c r="G334" s="8" t="s">
        <v>36</v>
      </c>
    </row>
    <row r="335" spans="1:7" ht="12.75">
      <c r="A335" s="14" t="s">
        <v>20</v>
      </c>
      <c r="B335" s="3"/>
      <c r="C335" s="4"/>
      <c r="D335" s="9">
        <v>10</v>
      </c>
      <c r="E335" s="15" t="s">
        <v>11</v>
      </c>
      <c r="F335" s="18">
        <f>F327+F329+F331+F334</f>
        <v>2050.3096</v>
      </c>
      <c r="G335" s="15"/>
    </row>
    <row r="336" spans="1:7" ht="12.75">
      <c r="A336" s="14" t="s">
        <v>21</v>
      </c>
      <c r="B336" s="3"/>
      <c r="C336" s="4"/>
      <c r="D336" s="9">
        <v>1</v>
      </c>
      <c r="E336" s="15" t="s">
        <v>11</v>
      </c>
      <c r="F336" s="9">
        <f>F335/D335</f>
        <v>205.03095999999999</v>
      </c>
      <c r="G336" s="15"/>
    </row>
    <row r="337" spans="1:7" ht="12.75">
      <c r="A337" s="16" t="s">
        <v>22</v>
      </c>
      <c r="B337" s="3"/>
      <c r="C337" s="3"/>
      <c r="D337" s="4"/>
      <c r="E337" s="9"/>
      <c r="F337" s="9">
        <f>F336*1%</f>
        <v>2.0503095999999998</v>
      </c>
      <c r="G337" s="15"/>
    </row>
    <row r="338" spans="1:7" ht="12.75">
      <c r="A338" s="16" t="s">
        <v>20</v>
      </c>
      <c r="B338" s="3"/>
      <c r="C338" s="3"/>
      <c r="D338" s="4"/>
      <c r="E338" s="15"/>
      <c r="F338" s="9">
        <f>F336+F337</f>
        <v>207.08126960000001</v>
      </c>
      <c r="G338" s="15"/>
    </row>
    <row r="339" spans="1:7" ht="12.75">
      <c r="A339" s="16" t="s">
        <v>23</v>
      </c>
      <c r="B339" s="3"/>
      <c r="C339" s="3"/>
      <c r="D339" s="4"/>
      <c r="E339" s="9"/>
      <c r="F339" s="9">
        <f>F338*15%</f>
        <v>31.062190439999998</v>
      </c>
      <c r="G339" s="15"/>
    </row>
    <row r="340" spans="1:7" ht="12.75">
      <c r="A340" s="16" t="s">
        <v>20</v>
      </c>
      <c r="B340" s="3"/>
      <c r="C340" s="3"/>
      <c r="D340" s="4"/>
      <c r="E340" s="15"/>
      <c r="F340" s="17">
        <f>ROUND(F338+F339,2)</f>
        <v>238.14</v>
      </c>
      <c r="G340" s="15"/>
    </row>
    <row r="341" spans="1:7" ht="12.75">
      <c r="A341" s="19" t="str">
        <f>CONCATENATE("Say ₹ ",F324," + ",F340," x Cost Index")</f>
        <v>Say ₹ 80.14 + 238.14 x Cost Index</v>
      </c>
      <c r="B341" s="3"/>
      <c r="C341" s="3"/>
      <c r="D341" s="3"/>
      <c r="E341" s="3"/>
      <c r="F341" s="4"/>
      <c r="G341" s="20" t="s">
        <v>37</v>
      </c>
    </row>
    <row r="342" spans="1:7" ht="12.75">
      <c r="A342" s="1" t="s">
        <v>0</v>
      </c>
      <c r="B342" s="1" t="s">
        <v>1</v>
      </c>
      <c r="C342" s="2" t="s">
        <v>2</v>
      </c>
      <c r="D342" s="3"/>
      <c r="E342" s="4"/>
      <c r="F342" s="2" t="s">
        <v>3</v>
      </c>
      <c r="G342" s="4"/>
    </row>
    <row r="343" spans="1:7" ht="12.75">
      <c r="A343" s="5"/>
      <c r="B343" s="5"/>
      <c r="C343" s="6" t="s">
        <v>4</v>
      </c>
      <c r="D343" s="6" t="s">
        <v>5</v>
      </c>
      <c r="E343" s="6" t="s">
        <v>6</v>
      </c>
      <c r="F343" s="6" t="s">
        <v>7</v>
      </c>
      <c r="G343" s="6" t="s">
        <v>8</v>
      </c>
    </row>
    <row r="344" spans="1:7" ht="12.75">
      <c r="A344" s="7" t="s">
        <v>73</v>
      </c>
      <c r="B344" s="3"/>
      <c r="C344" s="3"/>
      <c r="D344" s="3"/>
      <c r="E344" s="3"/>
      <c r="F344" s="3"/>
      <c r="G344" s="4"/>
    </row>
    <row r="345" spans="1:7" ht="12.75">
      <c r="A345" s="8"/>
      <c r="B345" s="8" t="s">
        <v>10</v>
      </c>
      <c r="C345" s="8" t="s">
        <v>11</v>
      </c>
      <c r="D345" s="8" t="s">
        <v>12</v>
      </c>
      <c r="E345" s="9">
        <v>10</v>
      </c>
      <c r="F345" s="10"/>
      <c r="G345" s="4"/>
    </row>
    <row r="346" spans="1:7" ht="12.75">
      <c r="A346" s="8" t="s">
        <v>13</v>
      </c>
      <c r="B346" s="10" t="s">
        <v>74</v>
      </c>
      <c r="C346" s="3"/>
      <c r="D346" s="3"/>
      <c r="E346" s="3"/>
      <c r="F346" s="3"/>
      <c r="G346" s="4"/>
    </row>
    <row r="347" spans="1:7" ht="12.75">
      <c r="A347" s="11" t="s">
        <v>15</v>
      </c>
      <c r="B347" s="3"/>
      <c r="C347" s="3"/>
      <c r="D347" s="3"/>
      <c r="E347" s="3"/>
      <c r="F347" s="4"/>
      <c r="G347" s="12" t="s">
        <v>16</v>
      </c>
    </row>
    <row r="348" spans="1:7" ht="12.75">
      <c r="A348" s="13"/>
      <c r="B348" s="13" t="s">
        <v>17</v>
      </c>
      <c r="C348" s="10" t="s">
        <v>75</v>
      </c>
      <c r="D348" s="3"/>
      <c r="E348" s="4"/>
      <c r="F348" s="10"/>
      <c r="G348" s="4"/>
    </row>
    <row r="349" spans="1:7" ht="12.75">
      <c r="A349" s="5"/>
      <c r="B349" s="5"/>
      <c r="C349" s="8" t="s">
        <v>11</v>
      </c>
      <c r="D349" s="9">
        <v>11.50</v>
      </c>
      <c r="E349" s="9">
        <v>38</v>
      </c>
      <c r="F349" s="9">
        <f>E349*D349</f>
        <v>437</v>
      </c>
      <c r="G349" s="8" t="s">
        <v>19</v>
      </c>
    </row>
    <row r="350" spans="1:7" ht="12.75">
      <c r="A350" s="14" t="s">
        <v>20</v>
      </c>
      <c r="B350" s="3"/>
      <c r="C350" s="4"/>
      <c r="D350" s="9">
        <v>10</v>
      </c>
      <c r="E350" s="15" t="s">
        <v>11</v>
      </c>
      <c r="F350" s="9">
        <f>F349</f>
        <v>437</v>
      </c>
      <c r="G350" s="8"/>
    </row>
    <row r="351" spans="1:7" ht="12.75">
      <c r="A351" s="14" t="s">
        <v>21</v>
      </c>
      <c r="B351" s="3"/>
      <c r="C351" s="4"/>
      <c r="D351" s="9">
        <v>1</v>
      </c>
      <c r="E351" s="15" t="s">
        <v>11</v>
      </c>
      <c r="F351" s="9">
        <f>F350/D350</f>
        <v>43.70</v>
      </c>
      <c r="G351" s="8"/>
    </row>
    <row r="352" spans="1:7" ht="12.75">
      <c r="A352" s="16" t="s">
        <v>22</v>
      </c>
      <c r="B352" s="3"/>
      <c r="C352" s="3"/>
      <c r="D352" s="4"/>
      <c r="E352" s="9"/>
      <c r="F352" s="9">
        <f>F351*1%</f>
        <v>0.437</v>
      </c>
      <c r="G352" s="8"/>
    </row>
    <row r="353" spans="1:7" ht="12.75">
      <c r="A353" s="16" t="s">
        <v>20</v>
      </c>
      <c r="B353" s="3"/>
      <c r="C353" s="3"/>
      <c r="D353" s="4"/>
      <c r="E353" s="15"/>
      <c r="F353" s="9">
        <f>F351+F352</f>
        <v>44.137</v>
      </c>
      <c r="G353" s="8"/>
    </row>
    <row r="354" spans="1:7" ht="12.75">
      <c r="A354" s="16" t="s">
        <v>23</v>
      </c>
      <c r="B354" s="3"/>
      <c r="C354" s="3"/>
      <c r="D354" s="4"/>
      <c r="E354" s="9"/>
      <c r="F354" s="9">
        <f>F353*15%</f>
        <v>6.6205499999999997</v>
      </c>
      <c r="G354" s="8"/>
    </row>
    <row r="355" spans="1:7" ht="12.75">
      <c r="A355" s="16" t="s">
        <v>20</v>
      </c>
      <c r="B355" s="3"/>
      <c r="C355" s="3"/>
      <c r="D355" s="4"/>
      <c r="E355" s="15"/>
      <c r="F355" s="17">
        <f>ROUND(F353+F354,2)</f>
        <v>50.76</v>
      </c>
      <c r="G355" s="8"/>
    </row>
    <row r="356" spans="1:7" ht="12.75">
      <c r="A356" s="11" t="s">
        <v>24</v>
      </c>
      <c r="B356" s="3"/>
      <c r="C356" s="3"/>
      <c r="D356" s="3"/>
      <c r="E356" s="3"/>
      <c r="F356" s="4"/>
      <c r="G356" s="12" t="s">
        <v>25</v>
      </c>
    </row>
    <row r="357" spans="1:7" ht="12.75">
      <c r="A357" s="13">
        <v>116</v>
      </c>
      <c r="B357" s="13"/>
      <c r="C357" s="10" t="s">
        <v>26</v>
      </c>
      <c r="D357" s="3"/>
      <c r="E357" s="4"/>
      <c r="F357" s="10"/>
      <c r="G357" s="4"/>
    </row>
    <row r="358" spans="1:7" ht="12.75">
      <c r="A358" s="5"/>
      <c r="B358" s="5"/>
      <c r="C358" s="8" t="s">
        <v>27</v>
      </c>
      <c r="D358" s="9">
        <v>0.33</v>
      </c>
      <c r="E358" s="9">
        <v>784</v>
      </c>
      <c r="F358" s="9">
        <f>E358*D358</f>
        <v>258.72</v>
      </c>
      <c r="G358" s="8" t="s">
        <v>28</v>
      </c>
    </row>
    <row r="359" spans="1:7" ht="12.75">
      <c r="A359" s="13">
        <v>117</v>
      </c>
      <c r="B359" s="13"/>
      <c r="C359" s="10" t="s">
        <v>29</v>
      </c>
      <c r="D359" s="3"/>
      <c r="E359" s="4"/>
      <c r="F359" s="10"/>
      <c r="G359" s="4"/>
    </row>
    <row r="360" spans="1:7" ht="12.75">
      <c r="A360" s="5"/>
      <c r="B360" s="5"/>
      <c r="C360" s="8" t="s">
        <v>27</v>
      </c>
      <c r="D360" s="9">
        <v>0.82</v>
      </c>
      <c r="E360" s="9">
        <v>714</v>
      </c>
      <c r="F360" s="9">
        <f>E360*D360</f>
        <v>585.48</v>
      </c>
      <c r="G360" s="8" t="s">
        <v>30</v>
      </c>
    </row>
    <row r="361" spans="1:7" ht="12.75">
      <c r="A361" s="13">
        <v>114</v>
      </c>
      <c r="B361" s="13"/>
      <c r="C361" s="10" t="s">
        <v>31</v>
      </c>
      <c r="D361" s="3"/>
      <c r="E361" s="4"/>
      <c r="F361" s="10"/>
      <c r="G361" s="4"/>
    </row>
    <row r="362" spans="1:7" ht="12.75">
      <c r="A362" s="5"/>
      <c r="B362" s="5"/>
      <c r="C362" s="8" t="s">
        <v>27</v>
      </c>
      <c r="D362" s="9">
        <v>0.66</v>
      </c>
      <c r="E362" s="9">
        <v>645</v>
      </c>
      <c r="F362" s="9">
        <f>E362*D362</f>
        <v>425.70</v>
      </c>
      <c r="G362" s="8" t="s">
        <v>32</v>
      </c>
    </row>
    <row r="363" spans="1:7" ht="12.75">
      <c r="A363" s="11" t="s">
        <v>33</v>
      </c>
      <c r="B363" s="3"/>
      <c r="C363" s="3"/>
      <c r="D363" s="3"/>
      <c r="E363" s="3"/>
      <c r="F363" s="4"/>
      <c r="G363" s="12" t="s">
        <v>25</v>
      </c>
    </row>
    <row r="364" spans="1:7" ht="12.75">
      <c r="A364" s="13">
        <v>9999</v>
      </c>
      <c r="B364" s="13"/>
      <c r="C364" s="10" t="s">
        <v>34</v>
      </c>
      <c r="D364" s="3"/>
      <c r="E364" s="4"/>
      <c r="F364" s="10"/>
      <c r="G364" s="4"/>
    </row>
    <row r="365" spans="1:7" ht="12.75">
      <c r="A365" s="5"/>
      <c r="B365" s="5"/>
      <c r="C365" s="8" t="s">
        <v>35</v>
      </c>
      <c r="D365" s="9">
        <v>2.73</v>
      </c>
      <c r="E365" s="9">
        <v>2.12</v>
      </c>
      <c r="F365" s="9">
        <f>E365*D365</f>
        <v>5.7876000000000003</v>
      </c>
      <c r="G365" s="8" t="s">
        <v>36</v>
      </c>
    </row>
    <row r="366" spans="1:7" ht="12.75">
      <c r="A366" s="13">
        <v>9999</v>
      </c>
      <c r="B366" s="13"/>
      <c r="C366" s="10" t="s">
        <v>76</v>
      </c>
      <c r="D366" s="3"/>
      <c r="E366" s="4"/>
      <c r="F366" s="10"/>
      <c r="G366" s="4"/>
    </row>
    <row r="367" spans="1:7" ht="12.75">
      <c r="A367" s="5"/>
      <c r="B367" s="5"/>
      <c r="C367" s="8" t="s">
        <v>35</v>
      </c>
      <c r="D367" s="9">
        <v>30.98</v>
      </c>
      <c r="E367" s="9">
        <v>2.12</v>
      </c>
      <c r="F367" s="9">
        <f>E367*D367</f>
        <v>65.677599999999998</v>
      </c>
      <c r="G367" s="8" t="s">
        <v>77</v>
      </c>
    </row>
    <row r="368" spans="1:7" ht="12.75">
      <c r="A368" s="14" t="s">
        <v>20</v>
      </c>
      <c r="B368" s="3"/>
      <c r="C368" s="4"/>
      <c r="D368" s="9">
        <v>10</v>
      </c>
      <c r="E368" s="15" t="s">
        <v>11</v>
      </c>
      <c r="F368" s="9">
        <f>F358+F360+F362+F365+F367</f>
        <v>1341.3652</v>
      </c>
      <c r="G368" s="15"/>
    </row>
    <row r="369" spans="1:7" ht="12.75">
      <c r="A369" s="14" t="s">
        <v>21</v>
      </c>
      <c r="B369" s="3"/>
      <c r="C369" s="4"/>
      <c r="D369" s="9">
        <v>1</v>
      </c>
      <c r="E369" s="15" t="s">
        <v>11</v>
      </c>
      <c r="F369" s="9">
        <f>F368/D368</f>
        <v>134.13651999999999</v>
      </c>
      <c r="G369" s="15"/>
    </row>
    <row r="370" spans="1:7" ht="12.75">
      <c r="A370" s="16" t="s">
        <v>22</v>
      </c>
      <c r="B370" s="3"/>
      <c r="C370" s="3"/>
      <c r="D370" s="4"/>
      <c r="E370" s="9"/>
      <c r="F370" s="9">
        <f>F369*1%</f>
        <v>1.3413652</v>
      </c>
      <c r="G370" s="15"/>
    </row>
    <row r="371" spans="1:7" ht="12.75">
      <c r="A371" s="16" t="s">
        <v>20</v>
      </c>
      <c r="B371" s="3"/>
      <c r="C371" s="3"/>
      <c r="D371" s="4"/>
      <c r="E371" s="15"/>
      <c r="F371" s="9">
        <f>F369+F370</f>
        <v>135.4778852</v>
      </c>
      <c r="G371" s="15"/>
    </row>
    <row r="372" spans="1:7" ht="12.75">
      <c r="A372" s="16" t="s">
        <v>23</v>
      </c>
      <c r="B372" s="3"/>
      <c r="C372" s="3"/>
      <c r="D372" s="4"/>
      <c r="E372" s="9"/>
      <c r="F372" s="9">
        <f>F371*15%</f>
        <v>20.32168278</v>
      </c>
      <c r="G372" s="15"/>
    </row>
    <row r="373" spans="1:7" ht="12.75">
      <c r="A373" s="16" t="s">
        <v>20</v>
      </c>
      <c r="B373" s="3"/>
      <c r="C373" s="3"/>
      <c r="D373" s="4"/>
      <c r="E373" s="15"/>
      <c r="F373" s="17">
        <f>ROUND(F371+F372,2)</f>
        <v>155.80</v>
      </c>
      <c r="G373" s="15"/>
    </row>
    <row r="374" spans="1:7" ht="12.75">
      <c r="A374" s="19" t="str">
        <f>CONCATENATE("Say ₹ ",F355," + ",F373," x Cost Index")</f>
        <v>Say ₹ 50.76 + 155.8 x Cost Index</v>
      </c>
      <c r="B374" s="3"/>
      <c r="C374" s="3"/>
      <c r="D374" s="3"/>
      <c r="E374" s="3"/>
      <c r="F374" s="4"/>
      <c r="G374" s="20" t="s">
        <v>37</v>
      </c>
    </row>
    <row r="375" spans="1:7" ht="12.75">
      <c r="A375" s="1" t="s">
        <v>0</v>
      </c>
      <c r="B375" s="1" t="s">
        <v>1</v>
      </c>
      <c r="C375" s="2" t="s">
        <v>2</v>
      </c>
      <c r="D375" s="3"/>
      <c r="E375" s="4"/>
      <c r="F375" s="2" t="s">
        <v>3</v>
      </c>
      <c r="G375" s="4"/>
    </row>
    <row r="376" spans="1:7" ht="12.75">
      <c r="A376" s="5"/>
      <c r="B376" s="5"/>
      <c r="C376" s="6" t="s">
        <v>4</v>
      </c>
      <c r="D376" s="6" t="s">
        <v>5</v>
      </c>
      <c r="E376" s="6" t="s">
        <v>6</v>
      </c>
      <c r="F376" s="6" t="s">
        <v>7</v>
      </c>
      <c r="G376" s="6" t="s">
        <v>8</v>
      </c>
    </row>
    <row r="377" spans="1:7" ht="12.75">
      <c r="A377" s="7" t="s">
        <v>78</v>
      </c>
      <c r="B377" s="3"/>
      <c r="C377" s="3"/>
      <c r="D377" s="3"/>
      <c r="E377" s="3"/>
      <c r="F377" s="3"/>
      <c r="G377" s="4"/>
    </row>
    <row r="378" spans="1:7" ht="12.75">
      <c r="A378" s="8"/>
      <c r="B378" s="8" t="s">
        <v>10</v>
      </c>
      <c r="C378" s="8" t="s">
        <v>11</v>
      </c>
      <c r="D378" s="8" t="s">
        <v>12</v>
      </c>
      <c r="E378" s="9">
        <v>10</v>
      </c>
      <c r="F378" s="10"/>
      <c r="G378" s="4"/>
    </row>
    <row r="379" spans="1:7" ht="12.75">
      <c r="A379" s="8" t="s">
        <v>13</v>
      </c>
      <c r="B379" s="10" t="s">
        <v>14</v>
      </c>
      <c r="C379" s="3"/>
      <c r="D379" s="3"/>
      <c r="E379" s="3"/>
      <c r="F379" s="3"/>
      <c r="G379" s="4"/>
    </row>
    <row r="380" spans="1:7" ht="12.75">
      <c r="A380" s="11" t="s">
        <v>15</v>
      </c>
      <c r="B380" s="3"/>
      <c r="C380" s="3"/>
      <c r="D380" s="3"/>
      <c r="E380" s="3"/>
      <c r="F380" s="4"/>
      <c r="G380" s="12" t="s">
        <v>16</v>
      </c>
    </row>
    <row r="381" spans="1:7" ht="12.75">
      <c r="A381" s="13"/>
      <c r="B381" s="13" t="s">
        <v>40</v>
      </c>
      <c r="C381" s="10" t="s">
        <v>41</v>
      </c>
      <c r="D381" s="3"/>
      <c r="E381" s="4"/>
      <c r="F381" s="10"/>
      <c r="G381" s="4"/>
    </row>
    <row r="382" spans="1:7" ht="12.75">
      <c r="A382" s="5"/>
      <c r="B382" s="5"/>
      <c r="C382" s="8" t="s">
        <v>11</v>
      </c>
      <c r="D382" s="9">
        <v>11.50</v>
      </c>
      <c r="E382" s="9">
        <v>27</v>
      </c>
      <c r="F382" s="9">
        <f>E382*D382</f>
        <v>310.50</v>
      </c>
      <c r="G382" s="8" t="s">
        <v>19</v>
      </c>
    </row>
    <row r="383" spans="1:7" ht="12.75">
      <c r="A383" s="14" t="s">
        <v>20</v>
      </c>
      <c r="B383" s="3"/>
      <c r="C383" s="4"/>
      <c r="D383" s="9">
        <v>10</v>
      </c>
      <c r="E383" s="15" t="s">
        <v>11</v>
      </c>
      <c r="F383" s="9">
        <f>F382</f>
        <v>310.50</v>
      </c>
      <c r="G383" s="8"/>
    </row>
    <row r="384" spans="1:7" ht="12.75">
      <c r="A384" s="14" t="s">
        <v>21</v>
      </c>
      <c r="B384" s="3"/>
      <c r="C384" s="4"/>
      <c r="D384" s="9">
        <v>1</v>
      </c>
      <c r="E384" s="15" t="s">
        <v>11</v>
      </c>
      <c r="F384" s="9">
        <f>F383/D383</f>
        <v>31.05</v>
      </c>
      <c r="G384" s="8"/>
    </row>
    <row r="385" spans="1:7" ht="12.75">
      <c r="A385" s="16" t="s">
        <v>22</v>
      </c>
      <c r="B385" s="3"/>
      <c r="C385" s="3"/>
      <c r="D385" s="4"/>
      <c r="E385" s="9"/>
      <c r="F385" s="9">
        <f>F384*1%</f>
        <v>0.3105</v>
      </c>
      <c r="G385" s="8"/>
    </row>
    <row r="386" spans="1:7" ht="12.75">
      <c r="A386" s="16" t="s">
        <v>20</v>
      </c>
      <c r="B386" s="3"/>
      <c r="C386" s="3"/>
      <c r="D386" s="4"/>
      <c r="E386" s="15"/>
      <c r="F386" s="9">
        <f>F384+F385</f>
        <v>31.360499999999998</v>
      </c>
      <c r="G386" s="8"/>
    </row>
    <row r="387" spans="1:7" ht="12.75">
      <c r="A387" s="16" t="s">
        <v>23</v>
      </c>
      <c r="B387" s="3"/>
      <c r="C387" s="3"/>
      <c r="D387" s="4"/>
      <c r="E387" s="9"/>
      <c r="F387" s="9">
        <f>F386*15%</f>
        <v>4.7040749999999996</v>
      </c>
      <c r="G387" s="8"/>
    </row>
    <row r="388" spans="1:7" ht="12.75">
      <c r="A388" s="16" t="s">
        <v>20</v>
      </c>
      <c r="B388" s="3"/>
      <c r="C388" s="3"/>
      <c r="D388" s="4"/>
      <c r="E388" s="15"/>
      <c r="F388" s="17">
        <f>ROUND(F386+F387,2)</f>
        <v>36.06</v>
      </c>
      <c r="G388" s="8"/>
    </row>
    <row r="389" spans="1:7" ht="12.75">
      <c r="A389" s="11" t="s">
        <v>24</v>
      </c>
      <c r="B389" s="3"/>
      <c r="C389" s="3"/>
      <c r="D389" s="3"/>
      <c r="E389" s="3"/>
      <c r="F389" s="4"/>
      <c r="G389" s="12" t="s">
        <v>25</v>
      </c>
    </row>
    <row r="390" spans="1:7" ht="12.75">
      <c r="A390" s="13">
        <v>116</v>
      </c>
      <c r="B390" s="13"/>
      <c r="C390" s="10" t="s">
        <v>26</v>
      </c>
      <c r="D390" s="3"/>
      <c r="E390" s="4"/>
      <c r="F390" s="10"/>
      <c r="G390" s="4"/>
    </row>
    <row r="391" spans="1:7" ht="12.75">
      <c r="A391" s="5"/>
      <c r="B391" s="5"/>
      <c r="C391" s="8" t="s">
        <v>27</v>
      </c>
      <c r="D391" s="9">
        <v>0.33</v>
      </c>
      <c r="E391" s="9">
        <v>784</v>
      </c>
      <c r="F391" s="9">
        <f>E391*D391</f>
        <v>258.72</v>
      </c>
      <c r="G391" s="8" t="s">
        <v>28</v>
      </c>
    </row>
    <row r="392" spans="1:7" ht="12.75">
      <c r="A392" s="13">
        <v>117</v>
      </c>
      <c r="B392" s="13"/>
      <c r="C392" s="10" t="s">
        <v>29</v>
      </c>
      <c r="D392" s="3"/>
      <c r="E392" s="4"/>
      <c r="F392" s="10"/>
      <c r="G392" s="4"/>
    </row>
    <row r="393" spans="1:7" ht="12.75">
      <c r="A393" s="5"/>
      <c r="B393" s="5"/>
      <c r="C393" s="8" t="s">
        <v>27</v>
      </c>
      <c r="D393" s="9">
        <v>0.82</v>
      </c>
      <c r="E393" s="9">
        <v>714</v>
      </c>
      <c r="F393" s="9">
        <f>E393*D393</f>
        <v>585.48</v>
      </c>
      <c r="G393" s="8" t="s">
        <v>30</v>
      </c>
    </row>
    <row r="394" spans="1:7" ht="12.75">
      <c r="A394" s="13">
        <v>114</v>
      </c>
      <c r="B394" s="13"/>
      <c r="C394" s="10" t="s">
        <v>31</v>
      </c>
      <c r="D394" s="3"/>
      <c r="E394" s="4"/>
      <c r="F394" s="10"/>
      <c r="G394" s="4"/>
    </row>
    <row r="395" spans="1:7" ht="12.75">
      <c r="A395" s="5"/>
      <c r="B395" s="5"/>
      <c r="C395" s="8" t="s">
        <v>27</v>
      </c>
      <c r="D395" s="9">
        <v>0.66</v>
      </c>
      <c r="E395" s="9">
        <v>645</v>
      </c>
      <c r="F395" s="9">
        <f>E395*D395</f>
        <v>425.70</v>
      </c>
      <c r="G395" s="8" t="s">
        <v>32</v>
      </c>
    </row>
    <row r="396" spans="1:7" ht="12.75">
      <c r="A396" s="11" t="s">
        <v>33</v>
      </c>
      <c r="B396" s="3"/>
      <c r="C396" s="3"/>
      <c r="D396" s="3"/>
      <c r="E396" s="3"/>
      <c r="F396" s="4"/>
      <c r="G396" s="12" t="s">
        <v>25</v>
      </c>
    </row>
    <row r="397" spans="1:7" ht="12.75">
      <c r="A397" s="13">
        <v>9999</v>
      </c>
      <c r="B397" s="13"/>
      <c r="C397" s="10" t="s">
        <v>42</v>
      </c>
      <c r="D397" s="3"/>
      <c r="E397" s="4"/>
      <c r="F397" s="10"/>
      <c r="G397" s="4"/>
    </row>
    <row r="398" spans="1:7" ht="12.75">
      <c r="A398" s="5"/>
      <c r="B398" s="5"/>
      <c r="C398" s="8" t="s">
        <v>35</v>
      </c>
      <c r="D398" s="9">
        <v>2.73</v>
      </c>
      <c r="E398" s="9">
        <v>2.12</v>
      </c>
      <c r="F398" s="9">
        <f>E398*D398</f>
        <v>5.7876000000000003</v>
      </c>
      <c r="G398" s="8" t="s">
        <v>36</v>
      </c>
    </row>
    <row r="399" spans="1:7" ht="12.75">
      <c r="A399" s="13">
        <v>9999</v>
      </c>
      <c r="B399" s="13"/>
      <c r="C399" s="10" t="s">
        <v>76</v>
      </c>
      <c r="D399" s="3"/>
      <c r="E399" s="4"/>
      <c r="F399" s="10"/>
      <c r="G399" s="4"/>
    </row>
    <row r="400" spans="1:7" ht="12.75">
      <c r="A400" s="5"/>
      <c r="B400" s="5"/>
      <c r="C400" s="8" t="s">
        <v>35</v>
      </c>
      <c r="D400" s="9">
        <v>30.98</v>
      </c>
      <c r="E400" s="9">
        <v>2.12</v>
      </c>
      <c r="F400" s="9">
        <f>E400*D400</f>
        <v>65.677599999999998</v>
      </c>
      <c r="G400" s="8" t="s">
        <v>77</v>
      </c>
    </row>
    <row r="401" spans="1:7" ht="12.75">
      <c r="A401" s="14" t="s">
        <v>20</v>
      </c>
      <c r="B401" s="3"/>
      <c r="C401" s="4"/>
      <c r="D401" s="9">
        <v>10</v>
      </c>
      <c r="E401" s="15" t="s">
        <v>11</v>
      </c>
      <c r="F401" s="9">
        <f>F391+F393+F395+F398+F400</f>
        <v>1341.3652</v>
      </c>
      <c r="G401" s="15"/>
    </row>
    <row r="402" spans="1:7" ht="12.75">
      <c r="A402" s="14" t="s">
        <v>21</v>
      </c>
      <c r="B402" s="3"/>
      <c r="C402" s="4"/>
      <c r="D402" s="9">
        <v>1</v>
      </c>
      <c r="E402" s="15" t="s">
        <v>11</v>
      </c>
      <c r="F402" s="9">
        <f>F401/D401</f>
        <v>134.13651999999999</v>
      </c>
      <c r="G402" s="15"/>
    </row>
    <row r="403" spans="1:7" ht="12.75">
      <c r="A403" s="16" t="s">
        <v>22</v>
      </c>
      <c r="B403" s="3"/>
      <c r="C403" s="3"/>
      <c r="D403" s="4"/>
      <c r="E403" s="9"/>
      <c r="F403" s="9">
        <f>F402*1%</f>
        <v>1.3413652</v>
      </c>
      <c r="G403" s="15"/>
    </row>
    <row r="404" spans="1:7" ht="12.75">
      <c r="A404" s="16" t="s">
        <v>20</v>
      </c>
      <c r="B404" s="3"/>
      <c r="C404" s="3"/>
      <c r="D404" s="4"/>
      <c r="E404" s="15"/>
      <c r="F404" s="9">
        <f>F402+F403</f>
        <v>135.4778852</v>
      </c>
      <c r="G404" s="15"/>
    </row>
    <row r="405" spans="1:7" ht="12.75">
      <c r="A405" s="16" t="s">
        <v>23</v>
      </c>
      <c r="B405" s="3"/>
      <c r="C405" s="3"/>
      <c r="D405" s="4"/>
      <c r="E405" s="9"/>
      <c r="F405" s="9">
        <f>F404*15%</f>
        <v>20.32168278</v>
      </c>
      <c r="G405" s="15"/>
    </row>
    <row r="406" spans="1:7" ht="12.75">
      <c r="A406" s="16" t="s">
        <v>20</v>
      </c>
      <c r="B406" s="3"/>
      <c r="C406" s="3"/>
      <c r="D406" s="4"/>
      <c r="E406" s="15"/>
      <c r="F406" s="17">
        <f>ROUND(F404+F405,2)</f>
        <v>155.80</v>
      </c>
      <c r="G406" s="15"/>
    </row>
    <row r="407" spans="1:7" ht="12.75">
      <c r="A407" s="19" t="str">
        <f>CONCATENATE("Say ₹ ",F388," + ",F406," x Cost Index")</f>
        <v>Say ₹ 36.06 + 155.8 x Cost Index</v>
      </c>
      <c r="B407" s="3"/>
      <c r="C407" s="3"/>
      <c r="D407" s="3"/>
      <c r="E407" s="3"/>
      <c r="F407" s="4"/>
      <c r="G407" s="20" t="s">
        <v>37</v>
      </c>
    </row>
    <row r="408" spans="1:7" ht="12.75">
      <c r="A408" s="1" t="s">
        <v>0</v>
      </c>
      <c r="B408" s="1" t="s">
        <v>1</v>
      </c>
      <c r="C408" s="2" t="s">
        <v>2</v>
      </c>
      <c r="D408" s="3"/>
      <c r="E408" s="4"/>
      <c r="F408" s="2" t="s">
        <v>3</v>
      </c>
      <c r="G408" s="4"/>
    </row>
    <row r="409" spans="1:7" ht="12.75">
      <c r="A409" s="5"/>
      <c r="B409" s="5"/>
      <c r="C409" s="6" t="s">
        <v>4</v>
      </c>
      <c r="D409" s="6" t="s">
        <v>5</v>
      </c>
      <c r="E409" s="6" t="s">
        <v>6</v>
      </c>
      <c r="F409" s="6" t="s">
        <v>7</v>
      </c>
      <c r="G409" s="6" t="s">
        <v>8</v>
      </c>
    </row>
    <row r="410" spans="1:7" ht="12.75">
      <c r="A410" s="7" t="s">
        <v>79</v>
      </c>
      <c r="B410" s="3"/>
      <c r="C410" s="3"/>
      <c r="D410" s="3"/>
      <c r="E410" s="3"/>
      <c r="F410" s="3"/>
      <c r="G410" s="4"/>
    </row>
    <row r="411" spans="1:7" ht="12.75">
      <c r="A411" s="8"/>
      <c r="B411" s="8" t="s">
        <v>10</v>
      </c>
      <c r="C411" s="8" t="s">
        <v>11</v>
      </c>
      <c r="D411" s="8" t="s">
        <v>12</v>
      </c>
      <c r="E411" s="9">
        <v>10</v>
      </c>
      <c r="F411" s="10"/>
      <c r="G411" s="4"/>
    </row>
    <row r="412" spans="1:7" ht="12.75">
      <c r="A412" s="8" t="s">
        <v>13</v>
      </c>
      <c r="B412" s="10" t="s">
        <v>14</v>
      </c>
      <c r="C412" s="3"/>
      <c r="D412" s="3"/>
      <c r="E412" s="3"/>
      <c r="F412" s="3"/>
      <c r="G412" s="4"/>
    </row>
    <row r="413" spans="1:7" ht="12.75">
      <c r="A413" s="11" t="s">
        <v>15</v>
      </c>
      <c r="B413" s="3"/>
      <c r="C413" s="3"/>
      <c r="D413" s="3"/>
      <c r="E413" s="3"/>
      <c r="F413" s="4"/>
      <c r="G413" s="12" t="s">
        <v>16</v>
      </c>
    </row>
    <row r="414" spans="1:7" ht="12.75">
      <c r="A414" s="13"/>
      <c r="B414" s="13" t="s">
        <v>44</v>
      </c>
      <c r="C414" s="10" t="s">
        <v>45</v>
      </c>
      <c r="D414" s="3"/>
      <c r="E414" s="4"/>
      <c r="F414" s="10"/>
      <c r="G414" s="4"/>
    </row>
    <row r="415" spans="1:7" ht="12.75">
      <c r="A415" s="5"/>
      <c r="B415" s="5"/>
      <c r="C415" s="8" t="s">
        <v>11</v>
      </c>
      <c r="D415" s="9">
        <v>11.50</v>
      </c>
      <c r="E415" s="9">
        <v>40.50</v>
      </c>
      <c r="F415" s="9">
        <f>E415*D415</f>
        <v>465.75</v>
      </c>
      <c r="G415" s="8" t="s">
        <v>19</v>
      </c>
    </row>
    <row r="416" spans="1:7" ht="12.75">
      <c r="A416" s="14" t="s">
        <v>20</v>
      </c>
      <c r="B416" s="3"/>
      <c r="C416" s="4"/>
      <c r="D416" s="9">
        <v>10</v>
      </c>
      <c r="E416" s="15" t="s">
        <v>11</v>
      </c>
      <c r="F416" s="9">
        <f>F415</f>
        <v>465.75</v>
      </c>
      <c r="G416" s="8"/>
    </row>
    <row r="417" spans="1:7" ht="12.75">
      <c r="A417" s="14" t="s">
        <v>21</v>
      </c>
      <c r="B417" s="3"/>
      <c r="C417" s="4"/>
      <c r="D417" s="9">
        <v>1</v>
      </c>
      <c r="E417" s="15" t="s">
        <v>11</v>
      </c>
      <c r="F417" s="9">
        <f>F416/D416</f>
        <v>46.575</v>
      </c>
      <c r="G417" s="8"/>
    </row>
    <row r="418" spans="1:7" ht="12.75">
      <c r="A418" s="16" t="s">
        <v>22</v>
      </c>
      <c r="B418" s="3"/>
      <c r="C418" s="3"/>
      <c r="D418" s="4"/>
      <c r="E418" s="9"/>
      <c r="F418" s="9">
        <f>F417*1%</f>
        <v>0.46575</v>
      </c>
      <c r="G418" s="8"/>
    </row>
    <row r="419" spans="1:7" ht="12.75">
      <c r="A419" s="16" t="s">
        <v>20</v>
      </c>
      <c r="B419" s="3"/>
      <c r="C419" s="3"/>
      <c r="D419" s="4"/>
      <c r="E419" s="15"/>
      <c r="F419" s="9">
        <f>F417+F418</f>
        <v>47.040750000000003</v>
      </c>
      <c r="G419" s="8"/>
    </row>
    <row r="420" spans="1:7" ht="12.75">
      <c r="A420" s="16" t="s">
        <v>23</v>
      </c>
      <c r="B420" s="3"/>
      <c r="C420" s="3"/>
      <c r="D420" s="4"/>
      <c r="E420" s="9"/>
      <c r="F420" s="9">
        <f>F419*15%</f>
        <v>7.0561125000000002</v>
      </c>
      <c r="G420" s="8"/>
    </row>
    <row r="421" spans="1:7" ht="12.75">
      <c r="A421" s="16" t="s">
        <v>20</v>
      </c>
      <c r="B421" s="3"/>
      <c r="C421" s="3"/>
      <c r="D421" s="4"/>
      <c r="E421" s="15"/>
      <c r="F421" s="17">
        <f>ROUND(F419+F420,2)</f>
        <v>54.10</v>
      </c>
      <c r="G421" s="8"/>
    </row>
    <row r="422" spans="1:7" ht="12.75">
      <c r="A422" s="11" t="s">
        <v>24</v>
      </c>
      <c r="B422" s="3"/>
      <c r="C422" s="3"/>
      <c r="D422" s="3"/>
      <c r="E422" s="3"/>
      <c r="F422" s="4"/>
      <c r="G422" s="12" t="s">
        <v>25</v>
      </c>
    </row>
    <row r="423" spans="1:7" ht="12.75">
      <c r="A423" s="13">
        <v>116</v>
      </c>
      <c r="B423" s="13"/>
      <c r="C423" s="10" t="s">
        <v>26</v>
      </c>
      <c r="D423" s="3"/>
      <c r="E423" s="4"/>
      <c r="F423" s="10"/>
      <c r="G423" s="4"/>
    </row>
    <row r="424" spans="1:7" ht="12.75">
      <c r="A424" s="5"/>
      <c r="B424" s="5"/>
      <c r="C424" s="8" t="s">
        <v>27</v>
      </c>
      <c r="D424" s="9">
        <v>0.33</v>
      </c>
      <c r="E424" s="9">
        <v>784</v>
      </c>
      <c r="F424" s="9">
        <f>E424*D424</f>
        <v>258.72</v>
      </c>
      <c r="G424" s="8" t="s">
        <v>28</v>
      </c>
    </row>
    <row r="425" spans="1:7" ht="12.75">
      <c r="A425" s="13">
        <v>117</v>
      </c>
      <c r="B425" s="13"/>
      <c r="C425" s="10" t="s">
        <v>29</v>
      </c>
      <c r="D425" s="3"/>
      <c r="E425" s="4"/>
      <c r="F425" s="10"/>
      <c r="G425" s="4"/>
    </row>
    <row r="426" spans="1:7" ht="12.75">
      <c r="A426" s="5"/>
      <c r="B426" s="5"/>
      <c r="C426" s="8" t="s">
        <v>27</v>
      </c>
      <c r="D426" s="9">
        <v>0.98</v>
      </c>
      <c r="E426" s="9">
        <v>714</v>
      </c>
      <c r="F426" s="9">
        <f>E426*D426</f>
        <v>699.72</v>
      </c>
      <c r="G426" s="8" t="s">
        <v>30</v>
      </c>
    </row>
    <row r="427" spans="1:7" ht="12.75">
      <c r="A427" s="13">
        <v>114</v>
      </c>
      <c r="B427" s="13"/>
      <c r="C427" s="10" t="s">
        <v>31</v>
      </c>
      <c r="D427" s="3"/>
      <c r="E427" s="4"/>
      <c r="F427" s="10"/>
      <c r="G427" s="4"/>
    </row>
    <row r="428" spans="1:7" ht="12.75">
      <c r="A428" s="5"/>
      <c r="B428" s="5"/>
      <c r="C428" s="8" t="s">
        <v>27</v>
      </c>
      <c r="D428" s="9">
        <v>0.66</v>
      </c>
      <c r="E428" s="9">
        <v>645</v>
      </c>
      <c r="F428" s="9">
        <f>E428*D428</f>
        <v>425.70</v>
      </c>
      <c r="G428" s="8" t="s">
        <v>32</v>
      </c>
    </row>
    <row r="429" spans="1:7" ht="12.75">
      <c r="A429" s="11" t="s">
        <v>33</v>
      </c>
      <c r="B429" s="3"/>
      <c r="C429" s="3"/>
      <c r="D429" s="3"/>
      <c r="E429" s="3"/>
      <c r="F429" s="4"/>
      <c r="G429" s="12" t="s">
        <v>25</v>
      </c>
    </row>
    <row r="430" spans="1:7" ht="12.75">
      <c r="A430" s="13">
        <v>9999</v>
      </c>
      <c r="B430" s="13"/>
      <c r="C430" s="10" t="s">
        <v>42</v>
      </c>
      <c r="D430" s="3"/>
      <c r="E430" s="4"/>
      <c r="F430" s="10"/>
      <c r="G430" s="4"/>
    </row>
    <row r="431" spans="1:7" ht="12.75">
      <c r="A431" s="5"/>
      <c r="B431" s="5"/>
      <c r="C431" s="8" t="s">
        <v>35</v>
      </c>
      <c r="D431" s="9">
        <v>2.73</v>
      </c>
      <c r="E431" s="9">
        <v>2.12</v>
      </c>
      <c r="F431" s="9">
        <f>E431*D431</f>
        <v>5.7876000000000003</v>
      </c>
      <c r="G431" s="8" t="s">
        <v>36</v>
      </c>
    </row>
    <row r="432" spans="1:7" ht="12.75">
      <c r="A432" s="13">
        <v>9999</v>
      </c>
      <c r="B432" s="13"/>
      <c r="C432" s="10" t="s">
        <v>76</v>
      </c>
      <c r="D432" s="3"/>
      <c r="E432" s="4"/>
      <c r="F432" s="10"/>
      <c r="G432" s="4"/>
    </row>
    <row r="433" spans="1:7" ht="12.75">
      <c r="A433" s="5"/>
      <c r="B433" s="5"/>
      <c r="C433" s="8" t="s">
        <v>35</v>
      </c>
      <c r="D433" s="9">
        <v>30.98</v>
      </c>
      <c r="E433" s="9">
        <v>2.12</v>
      </c>
      <c r="F433" s="9">
        <f>E433*D433</f>
        <v>65.677599999999998</v>
      </c>
      <c r="G433" s="8" t="s">
        <v>77</v>
      </c>
    </row>
    <row r="434" spans="1:7" ht="12.75">
      <c r="A434" s="14" t="s">
        <v>20</v>
      </c>
      <c r="B434" s="3"/>
      <c r="C434" s="4"/>
      <c r="D434" s="9">
        <v>10</v>
      </c>
      <c r="E434" s="15" t="s">
        <v>11</v>
      </c>
      <c r="F434" s="9">
        <f>F424+F426+F428+F431+F433</f>
        <v>1455.6052</v>
      </c>
      <c r="G434" s="15"/>
    </row>
    <row r="435" spans="1:7" ht="12.75">
      <c r="A435" s="14" t="s">
        <v>21</v>
      </c>
      <c r="B435" s="3"/>
      <c r="C435" s="4"/>
      <c r="D435" s="9">
        <v>1</v>
      </c>
      <c r="E435" s="15" t="s">
        <v>11</v>
      </c>
      <c r="F435" s="9">
        <f>F434/D434</f>
        <v>145.56052</v>
      </c>
      <c r="G435" s="15"/>
    </row>
    <row r="436" spans="1:7" ht="12.75">
      <c r="A436" s="16" t="s">
        <v>22</v>
      </c>
      <c r="B436" s="3"/>
      <c r="C436" s="3"/>
      <c r="D436" s="4"/>
      <c r="E436" s="9"/>
      <c r="F436" s="9">
        <f>F435*1%</f>
        <v>1.4556051999999999</v>
      </c>
      <c r="G436" s="15"/>
    </row>
    <row r="437" spans="1:7" ht="12.75">
      <c r="A437" s="16" t="s">
        <v>20</v>
      </c>
      <c r="B437" s="3"/>
      <c r="C437" s="3"/>
      <c r="D437" s="4"/>
      <c r="E437" s="15"/>
      <c r="F437" s="9">
        <f>F435+F436</f>
        <v>147.0161252</v>
      </c>
      <c r="G437" s="15"/>
    </row>
    <row r="438" spans="1:7" ht="12.75">
      <c r="A438" s="16" t="s">
        <v>23</v>
      </c>
      <c r="B438" s="3"/>
      <c r="C438" s="3"/>
      <c r="D438" s="4"/>
      <c r="E438" s="9"/>
      <c r="F438" s="9">
        <f>F437*15%</f>
        <v>22.05241878</v>
      </c>
      <c r="G438" s="15"/>
    </row>
    <row r="439" spans="1:7" ht="12.75">
      <c r="A439" s="16" t="s">
        <v>20</v>
      </c>
      <c r="B439" s="3"/>
      <c r="C439" s="3"/>
      <c r="D439" s="4"/>
      <c r="E439" s="15"/>
      <c r="F439" s="17">
        <f>ROUND(F437+F438,2)</f>
        <v>169.07</v>
      </c>
      <c r="G439" s="15"/>
    </row>
    <row r="440" spans="1:7" ht="12.75">
      <c r="A440" s="19" t="str">
        <f>CONCATENATE("Say ₹ ",F421," + ",F439," x Cost Index")</f>
        <v>Say ₹ 54.1 + 169.07 x Cost Index</v>
      </c>
      <c r="B440" s="3"/>
      <c r="C440" s="3"/>
      <c r="D440" s="3"/>
      <c r="E440" s="3"/>
      <c r="F440" s="4"/>
      <c r="G440" s="20" t="s">
        <v>37</v>
      </c>
    </row>
    <row r="441" spans="1:7" ht="12.75">
      <c r="A441" s="1" t="s">
        <v>0</v>
      </c>
      <c r="B441" s="1" t="s">
        <v>1</v>
      </c>
      <c r="C441" s="2" t="s">
        <v>2</v>
      </c>
      <c r="D441" s="3"/>
      <c r="E441" s="4"/>
      <c r="F441" s="2" t="s">
        <v>3</v>
      </c>
      <c r="G441" s="4"/>
    </row>
    <row r="442" spans="1:7" ht="12.75">
      <c r="A442" s="5"/>
      <c r="B442" s="5"/>
      <c r="C442" s="6" t="s">
        <v>4</v>
      </c>
      <c r="D442" s="6" t="s">
        <v>5</v>
      </c>
      <c r="E442" s="6" t="s">
        <v>6</v>
      </c>
      <c r="F442" s="6" t="s">
        <v>7</v>
      </c>
      <c r="G442" s="6" t="s">
        <v>8</v>
      </c>
    </row>
    <row r="443" spans="1:7" ht="12.75">
      <c r="A443" s="7" t="s">
        <v>80</v>
      </c>
      <c r="B443" s="3"/>
      <c r="C443" s="3"/>
      <c r="D443" s="3"/>
      <c r="E443" s="3"/>
      <c r="F443" s="3"/>
      <c r="G443" s="4"/>
    </row>
    <row r="444" spans="1:7" ht="12.75">
      <c r="A444" s="8"/>
      <c r="B444" s="8" t="s">
        <v>10</v>
      </c>
      <c r="C444" s="8" t="s">
        <v>11</v>
      </c>
      <c r="D444" s="8" t="s">
        <v>12</v>
      </c>
      <c r="E444" s="9">
        <v>10</v>
      </c>
      <c r="F444" s="10"/>
      <c r="G444" s="4"/>
    </row>
    <row r="445" spans="1:7" ht="12.75">
      <c r="A445" s="8" t="s">
        <v>13</v>
      </c>
      <c r="B445" s="10" t="s">
        <v>39</v>
      </c>
      <c r="C445" s="3"/>
      <c r="D445" s="3"/>
      <c r="E445" s="3"/>
      <c r="F445" s="3"/>
      <c r="G445" s="4"/>
    </row>
    <row r="446" spans="1:7" ht="12.75">
      <c r="A446" s="11" t="s">
        <v>15</v>
      </c>
      <c r="B446" s="3"/>
      <c r="C446" s="3"/>
      <c r="D446" s="3"/>
      <c r="E446" s="3"/>
      <c r="F446" s="4"/>
      <c r="G446" s="12" t="s">
        <v>16</v>
      </c>
    </row>
    <row r="447" spans="1:7" ht="12.75">
      <c r="A447" s="13"/>
      <c r="B447" s="13" t="s">
        <v>47</v>
      </c>
      <c r="C447" s="10" t="s">
        <v>48</v>
      </c>
      <c r="D447" s="3"/>
      <c r="E447" s="4"/>
      <c r="F447" s="10"/>
      <c r="G447" s="4"/>
    </row>
    <row r="448" spans="1:7" ht="12.75">
      <c r="A448" s="5"/>
      <c r="B448" s="5"/>
      <c r="C448" s="8" t="s">
        <v>11</v>
      </c>
      <c r="D448" s="9">
        <v>11.50</v>
      </c>
      <c r="E448" s="9">
        <v>30</v>
      </c>
      <c r="F448" s="9">
        <f>E448*D448</f>
        <v>345</v>
      </c>
      <c r="G448" s="8" t="s">
        <v>19</v>
      </c>
    </row>
    <row r="449" spans="1:7" ht="12.75">
      <c r="A449" s="14" t="s">
        <v>20</v>
      </c>
      <c r="B449" s="3"/>
      <c r="C449" s="4"/>
      <c r="D449" s="9">
        <v>10</v>
      </c>
      <c r="E449" s="15" t="s">
        <v>11</v>
      </c>
      <c r="F449" s="9">
        <f>F448</f>
        <v>345</v>
      </c>
      <c r="G449" s="8"/>
    </row>
    <row r="450" spans="1:7" ht="12.75">
      <c r="A450" s="14" t="s">
        <v>21</v>
      </c>
      <c r="B450" s="3"/>
      <c r="C450" s="4"/>
      <c r="D450" s="9">
        <v>1</v>
      </c>
      <c r="E450" s="15" t="s">
        <v>11</v>
      </c>
      <c r="F450" s="9">
        <f>F449/D449</f>
        <v>34.50</v>
      </c>
      <c r="G450" s="8"/>
    </row>
    <row r="451" spans="1:7" ht="12.75">
      <c r="A451" s="16" t="s">
        <v>22</v>
      </c>
      <c r="B451" s="3"/>
      <c r="C451" s="3"/>
      <c r="D451" s="4"/>
      <c r="E451" s="9"/>
      <c r="F451" s="9">
        <f>F450*1%</f>
        <v>0.345</v>
      </c>
      <c r="G451" s="8"/>
    </row>
    <row r="452" spans="1:7" ht="12.75">
      <c r="A452" s="16" t="s">
        <v>20</v>
      </c>
      <c r="B452" s="3"/>
      <c r="C452" s="3"/>
      <c r="D452" s="4"/>
      <c r="E452" s="15"/>
      <c r="F452" s="9">
        <f>F450+F451</f>
        <v>34.845</v>
      </c>
      <c r="G452" s="8"/>
    </row>
    <row r="453" spans="1:7" ht="12.75">
      <c r="A453" s="16" t="s">
        <v>23</v>
      </c>
      <c r="B453" s="3"/>
      <c r="C453" s="3"/>
      <c r="D453" s="4"/>
      <c r="E453" s="9"/>
      <c r="F453" s="9">
        <f>F452*15%</f>
        <v>5.22675</v>
      </c>
      <c r="G453" s="8"/>
    </row>
    <row r="454" spans="1:7" ht="12.75">
      <c r="A454" s="16" t="s">
        <v>20</v>
      </c>
      <c r="B454" s="3"/>
      <c r="C454" s="3"/>
      <c r="D454" s="4"/>
      <c r="E454" s="15"/>
      <c r="F454" s="17">
        <f>ROUND(F452+F453,2)</f>
        <v>40.07</v>
      </c>
      <c r="G454" s="8"/>
    </row>
    <row r="455" spans="1:7" ht="12.75">
      <c r="A455" s="11" t="s">
        <v>24</v>
      </c>
      <c r="B455" s="3"/>
      <c r="C455" s="3"/>
      <c r="D455" s="3"/>
      <c r="E455" s="3"/>
      <c r="F455" s="4"/>
      <c r="G455" s="12" t="s">
        <v>25</v>
      </c>
    </row>
    <row r="456" spans="1:7" ht="12.75">
      <c r="A456" s="13">
        <v>116</v>
      </c>
      <c r="B456" s="13"/>
      <c r="C456" s="10" t="s">
        <v>26</v>
      </c>
      <c r="D456" s="3"/>
      <c r="E456" s="4"/>
      <c r="F456" s="10"/>
      <c r="G456" s="4"/>
    </row>
    <row r="457" spans="1:7" ht="12.75">
      <c r="A457" s="5"/>
      <c r="B457" s="5"/>
      <c r="C457" s="8" t="s">
        <v>27</v>
      </c>
      <c r="D457" s="9">
        <v>0.33</v>
      </c>
      <c r="E457" s="9">
        <v>784</v>
      </c>
      <c r="F457" s="9">
        <f>E457*D457</f>
        <v>258.72</v>
      </c>
      <c r="G457" s="8" t="s">
        <v>28</v>
      </c>
    </row>
    <row r="458" spans="1:7" ht="12.75">
      <c r="A458" s="13">
        <v>117</v>
      </c>
      <c r="B458" s="13"/>
      <c r="C458" s="10" t="s">
        <v>29</v>
      </c>
      <c r="D458" s="3"/>
      <c r="E458" s="4"/>
      <c r="F458" s="10"/>
      <c r="G458" s="4"/>
    </row>
    <row r="459" spans="1:7" ht="12.75">
      <c r="A459" s="5"/>
      <c r="B459" s="5"/>
      <c r="C459" s="8" t="s">
        <v>27</v>
      </c>
      <c r="D459" s="9">
        <v>0.98</v>
      </c>
      <c r="E459" s="9">
        <v>714</v>
      </c>
      <c r="F459" s="9">
        <f>E459*D459</f>
        <v>699.72</v>
      </c>
      <c r="G459" s="8" t="s">
        <v>30</v>
      </c>
    </row>
    <row r="460" spans="1:7" ht="12.75">
      <c r="A460" s="13">
        <v>114</v>
      </c>
      <c r="B460" s="13"/>
      <c r="C460" s="10" t="s">
        <v>31</v>
      </c>
      <c r="D460" s="3"/>
      <c r="E460" s="4"/>
      <c r="F460" s="10"/>
      <c r="G460" s="4"/>
    </row>
    <row r="461" spans="1:7" ht="12.75">
      <c r="A461" s="5"/>
      <c r="B461" s="5"/>
      <c r="C461" s="8" t="s">
        <v>27</v>
      </c>
      <c r="D461" s="9">
        <v>0.66</v>
      </c>
      <c r="E461" s="9">
        <v>645</v>
      </c>
      <c r="F461" s="9">
        <f>E461*D461</f>
        <v>425.70</v>
      </c>
      <c r="G461" s="8" t="s">
        <v>32</v>
      </c>
    </row>
    <row r="462" spans="1:7" ht="12.75">
      <c r="A462" s="11" t="s">
        <v>33</v>
      </c>
      <c r="B462" s="3"/>
      <c r="C462" s="3"/>
      <c r="D462" s="3"/>
      <c r="E462" s="3"/>
      <c r="F462" s="4"/>
      <c r="G462" s="12" t="s">
        <v>25</v>
      </c>
    </row>
    <row r="463" spans="1:7" ht="12.75">
      <c r="A463" s="13">
        <v>9999</v>
      </c>
      <c r="B463" s="13"/>
      <c r="C463" s="10" t="s">
        <v>81</v>
      </c>
      <c r="D463" s="3"/>
      <c r="E463" s="4"/>
      <c r="F463" s="10"/>
      <c r="G463" s="4"/>
    </row>
    <row r="464" spans="1:7" ht="12.75">
      <c r="A464" s="5"/>
      <c r="B464" s="5"/>
      <c r="C464" s="8" t="s">
        <v>35</v>
      </c>
      <c r="D464" s="9">
        <v>2.73</v>
      </c>
      <c r="E464" s="9">
        <v>2.12</v>
      </c>
      <c r="F464" s="9">
        <f>E464*D464</f>
        <v>5.7876000000000003</v>
      </c>
      <c r="G464" s="8" t="s">
        <v>36</v>
      </c>
    </row>
    <row r="465" spans="1:7" ht="12.75">
      <c r="A465" s="13">
        <v>9999</v>
      </c>
      <c r="B465" s="13"/>
      <c r="C465" s="10" t="s">
        <v>76</v>
      </c>
      <c r="D465" s="3"/>
      <c r="E465" s="4"/>
      <c r="F465" s="10"/>
      <c r="G465" s="4"/>
    </row>
    <row r="466" spans="1:7" ht="12.75">
      <c r="A466" s="5"/>
      <c r="B466" s="5"/>
      <c r="C466" s="8" t="s">
        <v>35</v>
      </c>
      <c r="D466" s="9">
        <v>30.98</v>
      </c>
      <c r="E466" s="9">
        <v>2.12</v>
      </c>
      <c r="F466" s="9">
        <f>E466*D466</f>
        <v>65.677599999999998</v>
      </c>
      <c r="G466" s="8" t="s">
        <v>77</v>
      </c>
    </row>
    <row r="467" spans="1:7" ht="12.75">
      <c r="A467" s="14" t="s">
        <v>20</v>
      </c>
      <c r="B467" s="3"/>
      <c r="C467" s="4"/>
      <c r="D467" s="9">
        <v>10</v>
      </c>
      <c r="E467" s="15" t="s">
        <v>11</v>
      </c>
      <c r="F467" s="9">
        <f>F457+F459+F461+F464+F466</f>
        <v>1455.6052</v>
      </c>
      <c r="G467" s="15"/>
    </row>
    <row r="468" spans="1:7" ht="12.75">
      <c r="A468" s="14" t="s">
        <v>21</v>
      </c>
      <c r="B468" s="3"/>
      <c r="C468" s="4"/>
      <c r="D468" s="9">
        <v>1</v>
      </c>
      <c r="E468" s="15" t="s">
        <v>11</v>
      </c>
      <c r="F468" s="9">
        <f>F467/D467</f>
        <v>145.56052</v>
      </c>
      <c r="G468" s="15"/>
    </row>
    <row r="469" spans="1:7" ht="12.75">
      <c r="A469" s="16" t="s">
        <v>22</v>
      </c>
      <c r="B469" s="3"/>
      <c r="C469" s="3"/>
      <c r="D469" s="4"/>
      <c r="E469" s="9"/>
      <c r="F469" s="9">
        <f>F468*1%</f>
        <v>1.4556051999999999</v>
      </c>
      <c r="G469" s="15"/>
    </row>
    <row r="470" spans="1:7" ht="12.75">
      <c r="A470" s="16" t="s">
        <v>20</v>
      </c>
      <c r="B470" s="3"/>
      <c r="C470" s="3"/>
      <c r="D470" s="4"/>
      <c r="E470" s="15"/>
      <c r="F470" s="9">
        <f>F468+F469</f>
        <v>147.0161252</v>
      </c>
      <c r="G470" s="15"/>
    </row>
    <row r="471" spans="1:7" ht="12.75">
      <c r="A471" s="16" t="s">
        <v>23</v>
      </c>
      <c r="B471" s="3"/>
      <c r="C471" s="3"/>
      <c r="D471" s="4"/>
      <c r="E471" s="9"/>
      <c r="F471" s="9">
        <f>F470*15%</f>
        <v>22.05241878</v>
      </c>
      <c r="G471" s="15"/>
    </row>
    <row r="472" spans="1:7" ht="12.75">
      <c r="A472" s="16" t="s">
        <v>20</v>
      </c>
      <c r="B472" s="3"/>
      <c r="C472" s="3"/>
      <c r="D472" s="4"/>
      <c r="E472" s="15"/>
      <c r="F472" s="17">
        <f>ROUND(F470+F471,2)</f>
        <v>169.07</v>
      </c>
      <c r="G472" s="15"/>
    </row>
    <row r="473" spans="1:7" ht="12.75">
      <c r="A473" s="19" t="str">
        <f>CONCATENATE("Say ₹ ",F454," + ",F472," x Cost Index")</f>
        <v>Say ₹ 40.07 + 169.07 x Cost Index</v>
      </c>
      <c r="B473" s="3"/>
      <c r="C473" s="3"/>
      <c r="D473" s="3"/>
      <c r="E473" s="3"/>
      <c r="F473" s="4"/>
      <c r="G473" s="20" t="s">
        <v>37</v>
      </c>
    </row>
    <row r="474" spans="1:7" ht="12.75">
      <c r="A474" s="1" t="s">
        <v>0</v>
      </c>
      <c r="B474" s="1" t="s">
        <v>1</v>
      </c>
      <c r="C474" s="2" t="s">
        <v>2</v>
      </c>
      <c r="D474" s="3"/>
      <c r="E474" s="4"/>
      <c r="F474" s="2" t="s">
        <v>3</v>
      </c>
      <c r="G474" s="4"/>
    </row>
    <row r="475" spans="1:7" ht="12.75">
      <c r="A475" s="5"/>
      <c r="B475" s="5"/>
      <c r="C475" s="6" t="s">
        <v>4</v>
      </c>
      <c r="D475" s="6" t="s">
        <v>5</v>
      </c>
      <c r="E475" s="6" t="s">
        <v>6</v>
      </c>
      <c r="F475" s="6" t="s">
        <v>7</v>
      </c>
      <c r="G475" s="6" t="s">
        <v>8</v>
      </c>
    </row>
    <row r="476" spans="1:7" ht="12.75">
      <c r="A476" s="7" t="s">
        <v>82</v>
      </c>
      <c r="B476" s="3"/>
      <c r="C476" s="3"/>
      <c r="D476" s="3"/>
      <c r="E476" s="3"/>
      <c r="F476" s="3"/>
      <c r="G476" s="4"/>
    </row>
    <row r="477" spans="1:7" ht="12.75">
      <c r="A477" s="8"/>
      <c r="B477" s="8" t="s">
        <v>10</v>
      </c>
      <c r="C477" s="8" t="s">
        <v>11</v>
      </c>
      <c r="D477" s="8" t="s">
        <v>12</v>
      </c>
      <c r="E477" s="9">
        <v>10</v>
      </c>
      <c r="F477" s="10"/>
      <c r="G477" s="4"/>
    </row>
    <row r="478" spans="1:7" ht="12.75">
      <c r="A478" s="8" t="s">
        <v>13</v>
      </c>
      <c r="B478" s="10" t="s">
        <v>14</v>
      </c>
      <c r="C478" s="3"/>
      <c r="D478" s="3"/>
      <c r="E478" s="3"/>
      <c r="F478" s="3"/>
      <c r="G478" s="4"/>
    </row>
    <row r="479" spans="1:7" ht="12.75">
      <c r="A479" s="11" t="s">
        <v>15</v>
      </c>
      <c r="B479" s="3"/>
      <c r="C479" s="3"/>
      <c r="D479" s="3"/>
      <c r="E479" s="3"/>
      <c r="F479" s="4"/>
      <c r="G479" s="12" t="s">
        <v>16</v>
      </c>
    </row>
    <row r="480" spans="1:7" ht="12.75">
      <c r="A480" s="13"/>
      <c r="B480" s="13" t="s">
        <v>52</v>
      </c>
      <c r="C480" s="10" t="s">
        <v>83</v>
      </c>
      <c r="D480" s="3"/>
      <c r="E480" s="4"/>
      <c r="F480" s="10"/>
      <c r="G480" s="4"/>
    </row>
    <row r="481" spans="1:7" ht="12.75">
      <c r="A481" s="5"/>
      <c r="B481" s="5"/>
      <c r="C481" s="8" t="s">
        <v>11</v>
      </c>
      <c r="D481" s="9">
        <v>11.50</v>
      </c>
      <c r="E481" s="9">
        <v>61</v>
      </c>
      <c r="F481" s="9">
        <f>E481*D481</f>
        <v>701.50</v>
      </c>
      <c r="G481" s="8" t="s">
        <v>19</v>
      </c>
    </row>
    <row r="482" spans="1:7" ht="12.75">
      <c r="A482" s="14" t="s">
        <v>20</v>
      </c>
      <c r="B482" s="3"/>
      <c r="C482" s="4"/>
      <c r="D482" s="9">
        <v>10</v>
      </c>
      <c r="E482" s="15" t="s">
        <v>11</v>
      </c>
      <c r="F482" s="9">
        <f>F481</f>
        <v>701.50</v>
      </c>
      <c r="G482" s="8"/>
    </row>
    <row r="483" spans="1:7" ht="12.75">
      <c r="A483" s="14" t="s">
        <v>21</v>
      </c>
      <c r="B483" s="3"/>
      <c r="C483" s="4"/>
      <c r="D483" s="9">
        <v>1</v>
      </c>
      <c r="E483" s="15" t="s">
        <v>11</v>
      </c>
      <c r="F483" s="9">
        <f>F482/D482</f>
        <v>70.15</v>
      </c>
      <c r="G483" s="8"/>
    </row>
    <row r="484" spans="1:7" ht="12.75">
      <c r="A484" s="16" t="s">
        <v>22</v>
      </c>
      <c r="B484" s="3"/>
      <c r="C484" s="3"/>
      <c r="D484" s="4"/>
      <c r="E484" s="9"/>
      <c r="F484" s="9">
        <f>F483*1%</f>
        <v>0.70150000000000001</v>
      </c>
      <c r="G484" s="8"/>
    </row>
    <row r="485" spans="1:7" ht="12.75">
      <c r="A485" s="16" t="s">
        <v>20</v>
      </c>
      <c r="B485" s="3"/>
      <c r="C485" s="3"/>
      <c r="D485" s="4"/>
      <c r="E485" s="15"/>
      <c r="F485" s="9">
        <f>F483+F484</f>
        <v>70.851500000000001</v>
      </c>
      <c r="G485" s="8"/>
    </row>
    <row r="486" spans="1:7" ht="12.75">
      <c r="A486" s="16" t="s">
        <v>23</v>
      </c>
      <c r="B486" s="3"/>
      <c r="C486" s="3"/>
      <c r="D486" s="4"/>
      <c r="E486" s="9"/>
      <c r="F486" s="9">
        <f>F485*15%</f>
        <v>10.627725</v>
      </c>
      <c r="G486" s="8"/>
    </row>
    <row r="487" spans="1:7" ht="12.75">
      <c r="A487" s="16" t="s">
        <v>20</v>
      </c>
      <c r="B487" s="3"/>
      <c r="C487" s="3"/>
      <c r="D487" s="4"/>
      <c r="E487" s="15"/>
      <c r="F487" s="17">
        <f>ROUND(F485+F486,2)</f>
        <v>81.48</v>
      </c>
      <c r="G487" s="8"/>
    </row>
    <row r="488" spans="1:7" ht="12.75">
      <c r="A488" s="11" t="s">
        <v>24</v>
      </c>
      <c r="B488" s="3"/>
      <c r="C488" s="3"/>
      <c r="D488" s="3"/>
      <c r="E488" s="3"/>
      <c r="F488" s="4"/>
      <c r="G488" s="12" t="s">
        <v>25</v>
      </c>
    </row>
    <row r="489" spans="1:7" ht="12.75">
      <c r="A489" s="13">
        <v>116</v>
      </c>
      <c r="B489" s="13"/>
      <c r="C489" s="10" t="s">
        <v>26</v>
      </c>
      <c r="D489" s="3"/>
      <c r="E489" s="4"/>
      <c r="F489" s="10"/>
      <c r="G489" s="4"/>
    </row>
    <row r="490" spans="1:7" ht="12.75">
      <c r="A490" s="5"/>
      <c r="B490" s="5"/>
      <c r="C490" s="8" t="s">
        <v>27</v>
      </c>
      <c r="D490" s="9">
        <v>0.33</v>
      </c>
      <c r="E490" s="9">
        <v>784</v>
      </c>
      <c r="F490" s="9">
        <f>E490*D490</f>
        <v>258.72</v>
      </c>
      <c r="G490" s="8" t="s">
        <v>28</v>
      </c>
    </row>
    <row r="491" spans="1:7" ht="12.75">
      <c r="A491" s="13">
        <v>117</v>
      </c>
      <c r="B491" s="13"/>
      <c r="C491" s="10" t="s">
        <v>29</v>
      </c>
      <c r="D491" s="3"/>
      <c r="E491" s="4"/>
      <c r="F491" s="10"/>
      <c r="G491" s="4"/>
    </row>
    <row r="492" spans="1:7" ht="12.75">
      <c r="A492" s="5"/>
      <c r="B492" s="5"/>
      <c r="C492" s="8" t="s">
        <v>27</v>
      </c>
      <c r="D492" s="9">
        <v>0.98</v>
      </c>
      <c r="E492" s="9">
        <v>714</v>
      </c>
      <c r="F492" s="9">
        <f>E492*D492</f>
        <v>699.72</v>
      </c>
      <c r="G492" s="8" t="s">
        <v>30</v>
      </c>
    </row>
    <row r="493" spans="1:7" ht="12.75">
      <c r="A493" s="13">
        <v>114</v>
      </c>
      <c r="B493" s="13"/>
      <c r="C493" s="10" t="s">
        <v>31</v>
      </c>
      <c r="D493" s="3"/>
      <c r="E493" s="4"/>
      <c r="F493" s="10"/>
      <c r="G493" s="4"/>
    </row>
    <row r="494" spans="1:7" ht="12.75">
      <c r="A494" s="5"/>
      <c r="B494" s="5"/>
      <c r="C494" s="8" t="s">
        <v>27</v>
      </c>
      <c r="D494" s="9">
        <v>0.66</v>
      </c>
      <c r="E494" s="9">
        <v>645</v>
      </c>
      <c r="F494" s="9">
        <f>E494*D494</f>
        <v>425.70</v>
      </c>
      <c r="G494" s="8" t="s">
        <v>32</v>
      </c>
    </row>
    <row r="495" spans="1:7" ht="12.75">
      <c r="A495" s="11" t="s">
        <v>33</v>
      </c>
      <c r="B495" s="3"/>
      <c r="C495" s="3"/>
      <c r="D495" s="3"/>
      <c r="E495" s="3"/>
      <c r="F495" s="4"/>
      <c r="G495" s="12" t="s">
        <v>25</v>
      </c>
    </row>
    <row r="496" spans="1:7" ht="12.75">
      <c r="A496" s="13">
        <v>9999</v>
      </c>
      <c r="B496" s="13"/>
      <c r="C496" s="10" t="s">
        <v>42</v>
      </c>
      <c r="D496" s="3"/>
      <c r="E496" s="4"/>
      <c r="F496" s="10"/>
      <c r="G496" s="4"/>
    </row>
    <row r="497" spans="1:7" ht="12.75">
      <c r="A497" s="5"/>
      <c r="B497" s="5"/>
      <c r="C497" s="8" t="s">
        <v>35</v>
      </c>
      <c r="D497" s="9">
        <v>2.73</v>
      </c>
      <c r="E497" s="9">
        <v>2.12</v>
      </c>
      <c r="F497" s="9">
        <f>E497*D497</f>
        <v>5.7876000000000003</v>
      </c>
      <c r="G497" s="8" t="s">
        <v>36</v>
      </c>
    </row>
    <row r="498" spans="1:7" ht="12.75">
      <c r="A498" s="13">
        <v>9999</v>
      </c>
      <c r="B498" s="13"/>
      <c r="C498" s="10" t="s">
        <v>76</v>
      </c>
      <c r="D498" s="3"/>
      <c r="E498" s="4"/>
      <c r="F498" s="10"/>
      <c r="G498" s="4"/>
    </row>
    <row r="499" spans="1:7" ht="12.75">
      <c r="A499" s="5"/>
      <c r="B499" s="5"/>
      <c r="C499" s="8" t="s">
        <v>35</v>
      </c>
      <c r="D499" s="9">
        <v>30.98</v>
      </c>
      <c r="E499" s="9">
        <v>2.12</v>
      </c>
      <c r="F499" s="9">
        <f>E499*D499</f>
        <v>65.677599999999998</v>
      </c>
      <c r="G499" s="8" t="s">
        <v>77</v>
      </c>
    </row>
    <row r="500" spans="1:7" ht="12.75">
      <c r="A500" s="14" t="s">
        <v>20</v>
      </c>
      <c r="B500" s="3"/>
      <c r="C500" s="4"/>
      <c r="D500" s="9">
        <v>10</v>
      </c>
      <c r="E500" s="15" t="s">
        <v>11</v>
      </c>
      <c r="F500" s="9">
        <f>F490+F492+F494+F497+F499</f>
        <v>1455.6052</v>
      </c>
      <c r="G500" s="15"/>
    </row>
    <row r="501" spans="1:7" ht="12.75">
      <c r="A501" s="14" t="s">
        <v>21</v>
      </c>
      <c r="B501" s="3"/>
      <c r="C501" s="4"/>
      <c r="D501" s="9">
        <v>1</v>
      </c>
      <c r="E501" s="15" t="s">
        <v>11</v>
      </c>
      <c r="F501" s="9">
        <f>F500/D500</f>
        <v>145.56052</v>
      </c>
      <c r="G501" s="15"/>
    </row>
    <row r="502" spans="1:7" ht="12.75">
      <c r="A502" s="16" t="s">
        <v>22</v>
      </c>
      <c r="B502" s="3"/>
      <c r="C502" s="3"/>
      <c r="D502" s="4"/>
      <c r="E502" s="9"/>
      <c r="F502" s="9">
        <f>F501*1%</f>
        <v>1.4556051999999999</v>
      </c>
      <c r="G502" s="15"/>
    </row>
    <row r="503" spans="1:7" ht="12.75">
      <c r="A503" s="16" t="s">
        <v>20</v>
      </c>
      <c r="B503" s="3"/>
      <c r="C503" s="3"/>
      <c r="D503" s="4"/>
      <c r="E503" s="15"/>
      <c r="F503" s="9">
        <f>F501+F502</f>
        <v>147.0161252</v>
      </c>
      <c r="G503" s="15"/>
    </row>
    <row r="504" spans="1:7" ht="12.75">
      <c r="A504" s="16" t="s">
        <v>23</v>
      </c>
      <c r="B504" s="3"/>
      <c r="C504" s="3"/>
      <c r="D504" s="4"/>
      <c r="E504" s="9"/>
      <c r="F504" s="9">
        <f>F503*15%</f>
        <v>22.05241878</v>
      </c>
      <c r="G504" s="15"/>
    </row>
    <row r="505" spans="1:7" ht="12.75">
      <c r="A505" s="16" t="s">
        <v>20</v>
      </c>
      <c r="B505" s="3"/>
      <c r="C505" s="3"/>
      <c r="D505" s="4"/>
      <c r="E505" s="15"/>
      <c r="F505" s="17">
        <f>ROUND(F503+F504,2)</f>
        <v>169.07</v>
      </c>
      <c r="G505" s="15"/>
    </row>
    <row r="506" spans="1:7" ht="12.75">
      <c r="A506" s="19" t="str">
        <f>CONCATENATE("Say ₹ ",F487," + ",F505," x Cost Index")</f>
        <v>Say ₹ 81.48 + 169.07 x Cost Index</v>
      </c>
      <c r="B506" s="3"/>
      <c r="C506" s="3"/>
      <c r="D506" s="3"/>
      <c r="E506" s="3"/>
      <c r="F506" s="4"/>
      <c r="G506" s="20" t="s">
        <v>37</v>
      </c>
    </row>
    <row r="507" spans="1:7" ht="12.75">
      <c r="A507" s="1" t="s">
        <v>0</v>
      </c>
      <c r="B507" s="1" t="s">
        <v>1</v>
      </c>
      <c r="C507" s="2" t="s">
        <v>2</v>
      </c>
      <c r="D507" s="3"/>
      <c r="E507" s="4"/>
      <c r="F507" s="2" t="s">
        <v>3</v>
      </c>
      <c r="G507" s="4"/>
    </row>
    <row r="508" spans="1:7" ht="12.75">
      <c r="A508" s="5"/>
      <c r="B508" s="5"/>
      <c r="C508" s="6" t="s">
        <v>4</v>
      </c>
      <c r="D508" s="6" t="s">
        <v>5</v>
      </c>
      <c r="E508" s="6" t="s">
        <v>6</v>
      </c>
      <c r="F508" s="6" t="s">
        <v>7</v>
      </c>
      <c r="G508" s="6" t="s">
        <v>8</v>
      </c>
    </row>
    <row r="509" spans="1:7" ht="12.75">
      <c r="A509" s="7" t="s">
        <v>84</v>
      </c>
      <c r="B509" s="3"/>
      <c r="C509" s="3"/>
      <c r="D509" s="3"/>
      <c r="E509" s="3"/>
      <c r="F509" s="3"/>
      <c r="G509" s="4"/>
    </row>
    <row r="510" spans="1:7" ht="12.75">
      <c r="A510" s="8"/>
      <c r="B510" s="8" t="s">
        <v>10</v>
      </c>
      <c r="C510" s="8" t="s">
        <v>11</v>
      </c>
      <c r="D510" s="8" t="s">
        <v>12</v>
      </c>
      <c r="E510" s="9">
        <v>10</v>
      </c>
      <c r="F510" s="10"/>
      <c r="G510" s="4"/>
    </row>
    <row r="511" spans="1:7" ht="12.75">
      <c r="A511" s="8" t="s">
        <v>13</v>
      </c>
      <c r="B511" s="10" t="s">
        <v>39</v>
      </c>
      <c r="C511" s="3"/>
      <c r="D511" s="3"/>
      <c r="E511" s="3"/>
      <c r="F511" s="3"/>
      <c r="G511" s="4"/>
    </row>
    <row r="512" spans="1:7" ht="12.75">
      <c r="A512" s="11" t="s">
        <v>15</v>
      </c>
      <c r="B512" s="3"/>
      <c r="C512" s="3"/>
      <c r="D512" s="3"/>
      <c r="E512" s="3"/>
      <c r="F512" s="4"/>
      <c r="G512" s="12" t="s">
        <v>16</v>
      </c>
    </row>
    <row r="513" spans="1:7" ht="12.75">
      <c r="A513" s="13"/>
      <c r="B513" s="13" t="s">
        <v>55</v>
      </c>
      <c r="C513" s="10" t="s">
        <v>56</v>
      </c>
      <c r="D513" s="3"/>
      <c r="E513" s="4"/>
      <c r="F513" s="10"/>
      <c r="G513" s="4"/>
    </row>
    <row r="514" spans="1:7" ht="12.75">
      <c r="A514" s="5"/>
      <c r="B514" s="5"/>
      <c r="C514" s="8" t="s">
        <v>11</v>
      </c>
      <c r="D514" s="9">
        <v>11.50</v>
      </c>
      <c r="E514" s="9">
        <v>48</v>
      </c>
      <c r="F514" s="9">
        <f>E514*D514</f>
        <v>552</v>
      </c>
      <c r="G514" s="8" t="s">
        <v>19</v>
      </c>
    </row>
    <row r="515" spans="1:7" ht="12.75">
      <c r="A515" s="14" t="s">
        <v>20</v>
      </c>
      <c r="B515" s="3"/>
      <c r="C515" s="4"/>
      <c r="D515" s="9">
        <v>10</v>
      </c>
      <c r="E515" s="15" t="s">
        <v>11</v>
      </c>
      <c r="F515" s="9">
        <f>F514</f>
        <v>552</v>
      </c>
      <c r="G515" s="8"/>
    </row>
    <row r="516" spans="1:7" ht="12.75">
      <c r="A516" s="14" t="s">
        <v>21</v>
      </c>
      <c r="B516" s="3"/>
      <c r="C516" s="4"/>
      <c r="D516" s="9">
        <v>1</v>
      </c>
      <c r="E516" s="15" t="s">
        <v>11</v>
      </c>
      <c r="F516" s="9">
        <f>F515/D515</f>
        <v>55.20</v>
      </c>
      <c r="G516" s="8"/>
    </row>
    <row r="517" spans="1:7" ht="12.75">
      <c r="A517" s="16" t="s">
        <v>22</v>
      </c>
      <c r="B517" s="3"/>
      <c r="C517" s="3"/>
      <c r="D517" s="4"/>
      <c r="E517" s="9"/>
      <c r="F517" s="9">
        <f>F516*1%</f>
        <v>0.55200000000000005</v>
      </c>
      <c r="G517" s="8"/>
    </row>
    <row r="518" spans="1:7" ht="12.75">
      <c r="A518" s="16" t="s">
        <v>20</v>
      </c>
      <c r="B518" s="3"/>
      <c r="C518" s="3"/>
      <c r="D518" s="4"/>
      <c r="E518" s="15"/>
      <c r="F518" s="9">
        <f>F516+F517</f>
        <v>55.752000000000002</v>
      </c>
      <c r="G518" s="8"/>
    </row>
    <row r="519" spans="1:7" ht="12.75">
      <c r="A519" s="16" t="s">
        <v>23</v>
      </c>
      <c r="B519" s="3"/>
      <c r="C519" s="3"/>
      <c r="D519" s="4"/>
      <c r="E519" s="9"/>
      <c r="F519" s="9">
        <f>F518*15%</f>
        <v>8.3628</v>
      </c>
      <c r="G519" s="8"/>
    </row>
    <row r="520" spans="1:7" ht="12.75">
      <c r="A520" s="16" t="s">
        <v>20</v>
      </c>
      <c r="B520" s="3"/>
      <c r="C520" s="3"/>
      <c r="D520" s="4"/>
      <c r="E520" s="15"/>
      <c r="F520" s="17">
        <f>ROUND(F518+F519,2)</f>
        <v>64.11</v>
      </c>
      <c r="G520" s="8"/>
    </row>
    <row r="521" spans="1:7" ht="12.75">
      <c r="A521" s="11" t="s">
        <v>24</v>
      </c>
      <c r="B521" s="3"/>
      <c r="C521" s="3"/>
      <c r="D521" s="3"/>
      <c r="E521" s="3"/>
      <c r="F521" s="4"/>
      <c r="G521" s="12" t="s">
        <v>25</v>
      </c>
    </row>
    <row r="522" spans="1:7" ht="12.75">
      <c r="A522" s="13">
        <v>116</v>
      </c>
      <c r="B522" s="13"/>
      <c r="C522" s="10" t="s">
        <v>26</v>
      </c>
      <c r="D522" s="3"/>
      <c r="E522" s="4"/>
      <c r="F522" s="10"/>
      <c r="G522" s="4"/>
    </row>
    <row r="523" spans="1:7" ht="12.75">
      <c r="A523" s="5"/>
      <c r="B523" s="5"/>
      <c r="C523" s="8" t="s">
        <v>27</v>
      </c>
      <c r="D523" s="9">
        <v>0.33</v>
      </c>
      <c r="E523" s="9">
        <v>784</v>
      </c>
      <c r="F523" s="9">
        <f>E523*D523</f>
        <v>258.72</v>
      </c>
      <c r="G523" s="8" t="s">
        <v>28</v>
      </c>
    </row>
    <row r="524" spans="1:7" ht="12.75">
      <c r="A524" s="13">
        <v>117</v>
      </c>
      <c r="B524" s="13"/>
      <c r="C524" s="10" t="s">
        <v>29</v>
      </c>
      <c r="D524" s="3"/>
      <c r="E524" s="4"/>
      <c r="F524" s="10"/>
      <c r="G524" s="4"/>
    </row>
    <row r="525" spans="1:7" ht="12.75">
      <c r="A525" s="5"/>
      <c r="B525" s="5"/>
      <c r="C525" s="8" t="s">
        <v>27</v>
      </c>
      <c r="D525" s="9">
        <v>0.98</v>
      </c>
      <c r="E525" s="9">
        <v>714</v>
      </c>
      <c r="F525" s="9">
        <f>E525*D525</f>
        <v>699.72</v>
      </c>
      <c r="G525" s="8" t="s">
        <v>30</v>
      </c>
    </row>
    <row r="526" spans="1:7" ht="12.75">
      <c r="A526" s="13">
        <v>114</v>
      </c>
      <c r="B526" s="13"/>
      <c r="C526" s="10" t="s">
        <v>31</v>
      </c>
      <c r="D526" s="3"/>
      <c r="E526" s="4"/>
      <c r="F526" s="10"/>
      <c r="G526" s="4"/>
    </row>
    <row r="527" spans="1:7" ht="12.75">
      <c r="A527" s="5"/>
      <c r="B527" s="5"/>
      <c r="C527" s="8" t="s">
        <v>27</v>
      </c>
      <c r="D527" s="9">
        <v>0.66</v>
      </c>
      <c r="E527" s="9">
        <v>645</v>
      </c>
      <c r="F527" s="9">
        <f>E527*D527</f>
        <v>425.70</v>
      </c>
      <c r="G527" s="8" t="s">
        <v>32</v>
      </c>
    </row>
    <row r="528" spans="1:7" ht="12.75">
      <c r="A528" s="11" t="s">
        <v>33</v>
      </c>
      <c r="B528" s="3"/>
      <c r="C528" s="3"/>
      <c r="D528" s="3"/>
      <c r="E528" s="3"/>
      <c r="F528" s="4"/>
      <c r="G528" s="12" t="s">
        <v>25</v>
      </c>
    </row>
    <row r="529" spans="1:7" ht="12.75">
      <c r="A529" s="13">
        <v>9999</v>
      </c>
      <c r="B529" s="13"/>
      <c r="C529" s="10" t="s">
        <v>42</v>
      </c>
      <c r="D529" s="3"/>
      <c r="E529" s="4"/>
      <c r="F529" s="10"/>
      <c r="G529" s="4"/>
    </row>
    <row r="530" spans="1:7" ht="12.75">
      <c r="A530" s="5"/>
      <c r="B530" s="5"/>
      <c r="C530" s="8" t="s">
        <v>35</v>
      </c>
      <c r="D530" s="9">
        <v>2.73</v>
      </c>
      <c r="E530" s="9">
        <v>2.12</v>
      </c>
      <c r="F530" s="9">
        <f>E530*D530</f>
        <v>5.7876000000000003</v>
      </c>
      <c r="G530" s="8" t="s">
        <v>36</v>
      </c>
    </row>
    <row r="531" spans="1:7" ht="12.75">
      <c r="A531" s="13">
        <v>9999</v>
      </c>
      <c r="B531" s="13"/>
      <c r="C531" s="10" t="s">
        <v>85</v>
      </c>
      <c r="D531" s="3"/>
      <c r="E531" s="4"/>
      <c r="F531" s="10"/>
      <c r="G531" s="4"/>
    </row>
    <row r="532" spans="1:7" ht="12.75">
      <c r="A532" s="5"/>
      <c r="B532" s="5"/>
      <c r="C532" s="8" t="s">
        <v>35</v>
      </c>
      <c r="D532" s="9">
        <v>30.98</v>
      </c>
      <c r="E532" s="9">
        <v>2.12</v>
      </c>
      <c r="F532" s="9">
        <f>E532*D532</f>
        <v>65.677599999999998</v>
      </c>
      <c r="G532" s="8" t="s">
        <v>77</v>
      </c>
    </row>
    <row r="533" spans="1:7" ht="12.75">
      <c r="A533" s="14" t="s">
        <v>20</v>
      </c>
      <c r="B533" s="3"/>
      <c r="C533" s="4"/>
      <c r="D533" s="9">
        <v>10</v>
      </c>
      <c r="E533" s="15" t="s">
        <v>11</v>
      </c>
      <c r="F533" s="9">
        <f>F523+F525+F527+F530+F532</f>
        <v>1455.6052</v>
      </c>
      <c r="G533" s="15"/>
    </row>
    <row r="534" spans="1:7" ht="12.75">
      <c r="A534" s="14" t="s">
        <v>21</v>
      </c>
      <c r="B534" s="3"/>
      <c r="C534" s="4"/>
      <c r="D534" s="9">
        <v>1</v>
      </c>
      <c r="E534" s="15" t="s">
        <v>11</v>
      </c>
      <c r="F534" s="9">
        <f>F533/D533</f>
        <v>145.56052</v>
      </c>
      <c r="G534" s="15"/>
    </row>
    <row r="535" spans="1:7" ht="12.75">
      <c r="A535" s="16" t="s">
        <v>22</v>
      </c>
      <c r="B535" s="3"/>
      <c r="C535" s="3"/>
      <c r="D535" s="4"/>
      <c r="E535" s="9"/>
      <c r="F535" s="9">
        <f>F534*1%</f>
        <v>1.4556051999999999</v>
      </c>
      <c r="G535" s="15"/>
    </row>
    <row r="536" spans="1:7" ht="12.75">
      <c r="A536" s="16" t="s">
        <v>20</v>
      </c>
      <c r="B536" s="3"/>
      <c r="C536" s="3"/>
      <c r="D536" s="4"/>
      <c r="E536" s="15"/>
      <c r="F536" s="9">
        <f>F534+F535</f>
        <v>147.0161252</v>
      </c>
      <c r="G536" s="15"/>
    </row>
    <row r="537" spans="1:7" ht="12.75">
      <c r="A537" s="16" t="s">
        <v>23</v>
      </c>
      <c r="B537" s="3"/>
      <c r="C537" s="3"/>
      <c r="D537" s="4"/>
      <c r="E537" s="9"/>
      <c r="F537" s="9">
        <f>F536*15%</f>
        <v>22.05241878</v>
      </c>
      <c r="G537" s="15"/>
    </row>
    <row r="538" spans="1:7" ht="12.75">
      <c r="A538" s="16" t="s">
        <v>20</v>
      </c>
      <c r="B538" s="3"/>
      <c r="C538" s="3"/>
      <c r="D538" s="4"/>
      <c r="E538" s="15"/>
      <c r="F538" s="17">
        <f>ROUND(F536+F537,2)</f>
        <v>169.07</v>
      </c>
      <c r="G538" s="15"/>
    </row>
    <row r="539" spans="1:7" ht="12.75">
      <c r="A539" s="19" t="str">
        <f>CONCATENATE("Say ₹ ",F520," + ",F538," x Cost Index")</f>
        <v>Say ₹ 64.11 + 169.07 x Cost Index</v>
      </c>
      <c r="B539" s="3"/>
      <c r="C539" s="3"/>
      <c r="D539" s="3"/>
      <c r="E539" s="3"/>
      <c r="F539" s="4"/>
      <c r="G539" s="20" t="s">
        <v>37</v>
      </c>
    </row>
    <row r="540" spans="1:7" ht="12.75">
      <c r="A540" s="1" t="s">
        <v>0</v>
      </c>
      <c r="B540" s="1" t="s">
        <v>1</v>
      </c>
      <c r="C540" s="2" t="s">
        <v>2</v>
      </c>
      <c r="D540" s="3"/>
      <c r="E540" s="4"/>
      <c r="F540" s="2" t="s">
        <v>3</v>
      </c>
      <c r="G540" s="4"/>
    </row>
    <row r="541" spans="1:7" ht="12.75">
      <c r="A541" s="5"/>
      <c r="B541" s="5"/>
      <c r="C541" s="6" t="s">
        <v>4</v>
      </c>
      <c r="D541" s="6" t="s">
        <v>5</v>
      </c>
      <c r="E541" s="6" t="s">
        <v>6</v>
      </c>
      <c r="F541" s="6" t="s">
        <v>7</v>
      </c>
      <c r="G541" s="6" t="s">
        <v>8</v>
      </c>
    </row>
    <row r="542" spans="1:7" ht="12.75">
      <c r="A542" s="7" t="s">
        <v>86</v>
      </c>
      <c r="B542" s="3"/>
      <c r="C542" s="3"/>
      <c r="D542" s="3"/>
      <c r="E542" s="3"/>
      <c r="F542" s="3"/>
      <c r="G542" s="4"/>
    </row>
    <row r="543" spans="1:7" ht="12.75">
      <c r="A543" s="8"/>
      <c r="B543" s="8" t="s">
        <v>10</v>
      </c>
      <c r="C543" s="8" t="s">
        <v>11</v>
      </c>
      <c r="D543" s="8" t="s">
        <v>12</v>
      </c>
      <c r="E543" s="9">
        <v>10</v>
      </c>
      <c r="F543" s="10"/>
      <c r="G543" s="4"/>
    </row>
    <row r="544" spans="1:7" ht="12.75">
      <c r="A544" s="8" t="s">
        <v>13</v>
      </c>
      <c r="B544" s="10" t="s">
        <v>14</v>
      </c>
      <c r="C544" s="3"/>
      <c r="D544" s="3"/>
      <c r="E544" s="3"/>
      <c r="F544" s="3"/>
      <c r="G544" s="4"/>
    </row>
    <row r="545" spans="1:7" ht="12.75">
      <c r="A545" s="11" t="s">
        <v>15</v>
      </c>
      <c r="B545" s="3"/>
      <c r="C545" s="3"/>
      <c r="D545" s="3"/>
      <c r="E545" s="3"/>
      <c r="F545" s="4"/>
      <c r="G545" s="12" t="s">
        <v>16</v>
      </c>
    </row>
    <row r="546" spans="1:7" ht="12.75">
      <c r="A546" s="13"/>
      <c r="B546" s="13" t="s">
        <v>58</v>
      </c>
      <c r="C546" s="10" t="s">
        <v>59</v>
      </c>
      <c r="D546" s="3"/>
      <c r="E546" s="4"/>
      <c r="F546" s="10"/>
      <c r="G546" s="4"/>
    </row>
    <row r="547" spans="1:7" ht="12.75">
      <c r="A547" s="5"/>
      <c r="B547" s="5"/>
      <c r="C547" s="8" t="s">
        <v>11</v>
      </c>
      <c r="D547" s="9">
        <v>11.50</v>
      </c>
      <c r="E547" s="9">
        <v>65</v>
      </c>
      <c r="F547" s="9">
        <f>E547*D547</f>
        <v>747.50</v>
      </c>
      <c r="G547" s="8" t="s">
        <v>19</v>
      </c>
    </row>
    <row r="548" spans="1:7" ht="12.75">
      <c r="A548" s="14" t="s">
        <v>20</v>
      </c>
      <c r="B548" s="3"/>
      <c r="C548" s="4"/>
      <c r="D548" s="9">
        <v>10</v>
      </c>
      <c r="E548" s="15" t="s">
        <v>11</v>
      </c>
      <c r="F548" s="9">
        <f>F547</f>
        <v>747.50</v>
      </c>
      <c r="G548" s="8"/>
    </row>
    <row r="549" spans="1:7" ht="12.75">
      <c r="A549" s="14" t="s">
        <v>21</v>
      </c>
      <c r="B549" s="3"/>
      <c r="C549" s="4"/>
      <c r="D549" s="9">
        <v>1</v>
      </c>
      <c r="E549" s="15" t="s">
        <v>11</v>
      </c>
      <c r="F549" s="9">
        <f>F548/D548</f>
        <v>74.75</v>
      </c>
      <c r="G549" s="8"/>
    </row>
    <row r="550" spans="1:7" ht="12.75">
      <c r="A550" s="16" t="s">
        <v>22</v>
      </c>
      <c r="B550" s="3"/>
      <c r="C550" s="3"/>
      <c r="D550" s="4"/>
      <c r="E550" s="9"/>
      <c r="F550" s="9">
        <f>F549*1%</f>
        <v>0.7475</v>
      </c>
      <c r="G550" s="8"/>
    </row>
    <row r="551" spans="1:7" ht="12.75">
      <c r="A551" s="16" t="s">
        <v>20</v>
      </c>
      <c r="B551" s="3"/>
      <c r="C551" s="3"/>
      <c r="D551" s="4"/>
      <c r="E551" s="15"/>
      <c r="F551" s="9">
        <f>F549+F550</f>
        <v>75.4975</v>
      </c>
      <c r="G551" s="8"/>
    </row>
    <row r="552" spans="1:7" ht="12.75">
      <c r="A552" s="16" t="s">
        <v>23</v>
      </c>
      <c r="B552" s="3"/>
      <c r="C552" s="3"/>
      <c r="D552" s="4"/>
      <c r="E552" s="9"/>
      <c r="F552" s="9">
        <f>F551*15%</f>
        <v>11.324624999999999</v>
      </c>
      <c r="G552" s="8"/>
    </row>
    <row r="553" spans="1:7" ht="12.75">
      <c r="A553" s="16" t="s">
        <v>20</v>
      </c>
      <c r="B553" s="3"/>
      <c r="C553" s="3"/>
      <c r="D553" s="4"/>
      <c r="E553" s="15"/>
      <c r="F553" s="17">
        <f>ROUND(F551+F552,2)</f>
        <v>86.82</v>
      </c>
      <c r="G553" s="8"/>
    </row>
    <row r="554" spans="1:7" ht="12.75">
      <c r="A554" s="11" t="s">
        <v>24</v>
      </c>
      <c r="B554" s="3"/>
      <c r="C554" s="3"/>
      <c r="D554" s="3"/>
      <c r="E554" s="3"/>
      <c r="F554" s="4"/>
      <c r="G554" s="12" t="s">
        <v>25</v>
      </c>
    </row>
    <row r="555" spans="1:7" ht="12.75">
      <c r="A555" s="13">
        <v>116</v>
      </c>
      <c r="B555" s="13"/>
      <c r="C555" s="10" t="s">
        <v>26</v>
      </c>
      <c r="D555" s="3"/>
      <c r="E555" s="4"/>
      <c r="F555" s="10"/>
      <c r="G555" s="4"/>
    </row>
    <row r="556" spans="1:7" ht="12.75">
      <c r="A556" s="5"/>
      <c r="B556" s="5"/>
      <c r="C556" s="8" t="s">
        <v>27</v>
      </c>
      <c r="D556" s="9">
        <v>0.33</v>
      </c>
      <c r="E556" s="9">
        <v>784</v>
      </c>
      <c r="F556" s="9">
        <f>E556*D556</f>
        <v>258.72</v>
      </c>
      <c r="G556" s="8" t="s">
        <v>28</v>
      </c>
    </row>
    <row r="557" spans="1:7" ht="12.75">
      <c r="A557" s="13">
        <v>117</v>
      </c>
      <c r="B557" s="13"/>
      <c r="C557" s="10" t="s">
        <v>29</v>
      </c>
      <c r="D557" s="3"/>
      <c r="E557" s="4"/>
      <c r="F557" s="10"/>
      <c r="G557" s="4"/>
    </row>
    <row r="558" spans="1:7" ht="12.75">
      <c r="A558" s="5"/>
      <c r="B558" s="5"/>
      <c r="C558" s="8" t="s">
        <v>27</v>
      </c>
      <c r="D558" s="9">
        <v>0.98</v>
      </c>
      <c r="E558" s="9">
        <v>714</v>
      </c>
      <c r="F558" s="9">
        <f>E558*D558</f>
        <v>699.72</v>
      </c>
      <c r="G558" s="8" t="s">
        <v>30</v>
      </c>
    </row>
    <row r="559" spans="1:7" ht="12.75">
      <c r="A559" s="13">
        <v>114</v>
      </c>
      <c r="B559" s="13"/>
      <c r="C559" s="10" t="s">
        <v>31</v>
      </c>
      <c r="D559" s="3"/>
      <c r="E559" s="4"/>
      <c r="F559" s="10"/>
      <c r="G559" s="4"/>
    </row>
    <row r="560" spans="1:7" ht="12.75">
      <c r="A560" s="5"/>
      <c r="B560" s="5"/>
      <c r="C560" s="8" t="s">
        <v>27</v>
      </c>
      <c r="D560" s="9">
        <v>0.98</v>
      </c>
      <c r="E560" s="9">
        <v>645</v>
      </c>
      <c r="F560" s="9">
        <f>E560*D560</f>
        <v>632.10</v>
      </c>
      <c r="G560" s="8" t="s">
        <v>32</v>
      </c>
    </row>
    <row r="561" spans="1:7" ht="12.75">
      <c r="A561" s="11" t="s">
        <v>33</v>
      </c>
      <c r="B561" s="3"/>
      <c r="C561" s="3"/>
      <c r="D561" s="3"/>
      <c r="E561" s="3"/>
      <c r="F561" s="4"/>
      <c r="G561" s="12" t="s">
        <v>25</v>
      </c>
    </row>
    <row r="562" spans="1:7" ht="12.75">
      <c r="A562" s="13">
        <v>9999</v>
      </c>
      <c r="B562" s="13"/>
      <c r="C562" s="10" t="s">
        <v>42</v>
      </c>
      <c r="D562" s="3"/>
      <c r="E562" s="4"/>
      <c r="F562" s="10"/>
      <c r="G562" s="4"/>
    </row>
    <row r="563" spans="1:7" ht="12.75">
      <c r="A563" s="5"/>
      <c r="B563" s="5"/>
      <c r="C563" s="8" t="s">
        <v>35</v>
      </c>
      <c r="D563" s="9">
        <v>4.16</v>
      </c>
      <c r="E563" s="9">
        <v>2.12</v>
      </c>
      <c r="F563" s="9">
        <f>E563*D563</f>
        <v>8.8192000000000004</v>
      </c>
      <c r="G563" s="8" t="s">
        <v>36</v>
      </c>
    </row>
    <row r="564" spans="1:7" ht="12.75">
      <c r="A564" s="13">
        <v>9999</v>
      </c>
      <c r="B564" s="13"/>
      <c r="C564" s="10" t="s">
        <v>76</v>
      </c>
      <c r="D564" s="3"/>
      <c r="E564" s="4"/>
      <c r="F564" s="10"/>
      <c r="G564" s="4"/>
    </row>
    <row r="565" spans="1:7" ht="12.75">
      <c r="A565" s="5"/>
      <c r="B565" s="5"/>
      <c r="C565" s="8" t="s">
        <v>35</v>
      </c>
      <c r="D565" s="9">
        <v>30.98</v>
      </c>
      <c r="E565" s="9">
        <v>2.12</v>
      </c>
      <c r="F565" s="9">
        <f>E565*D565</f>
        <v>65.677599999999998</v>
      </c>
      <c r="G565" s="8" t="s">
        <v>77</v>
      </c>
    </row>
    <row r="566" spans="1:7" ht="12.75">
      <c r="A566" s="14" t="s">
        <v>20</v>
      </c>
      <c r="B566" s="3"/>
      <c r="C566" s="4"/>
      <c r="D566" s="9">
        <v>10</v>
      </c>
      <c r="E566" s="15" t="s">
        <v>11</v>
      </c>
      <c r="F566" s="9">
        <f>F556+F558+F560+F563+F565</f>
        <v>1665.0368000000001</v>
      </c>
      <c r="G566" s="15"/>
    </row>
    <row r="567" spans="1:7" ht="12.75">
      <c r="A567" s="14" t="s">
        <v>21</v>
      </c>
      <c r="B567" s="3"/>
      <c r="C567" s="4"/>
      <c r="D567" s="9">
        <v>1</v>
      </c>
      <c r="E567" s="15" t="s">
        <v>11</v>
      </c>
      <c r="F567" s="9">
        <f>F566/D566</f>
        <v>166.50368</v>
      </c>
      <c r="G567" s="15"/>
    </row>
    <row r="568" spans="1:7" ht="12.75">
      <c r="A568" s="16" t="s">
        <v>22</v>
      </c>
      <c r="B568" s="3"/>
      <c r="C568" s="3"/>
      <c r="D568" s="4"/>
      <c r="E568" s="9"/>
      <c r="F568" s="9">
        <f>F567*1%</f>
        <v>1.6650368</v>
      </c>
      <c r="G568" s="15"/>
    </row>
    <row r="569" spans="1:7" ht="12.75">
      <c r="A569" s="16" t="s">
        <v>20</v>
      </c>
      <c r="B569" s="3"/>
      <c r="C569" s="3"/>
      <c r="D569" s="4"/>
      <c r="E569" s="15"/>
      <c r="F569" s="9">
        <f>F567+F568</f>
        <v>168.1687168</v>
      </c>
      <c r="G569" s="15"/>
    </row>
    <row r="570" spans="1:7" ht="12.75">
      <c r="A570" s="16" t="s">
        <v>23</v>
      </c>
      <c r="B570" s="3"/>
      <c r="C570" s="3"/>
      <c r="D570" s="4"/>
      <c r="E570" s="9"/>
      <c r="F570" s="9">
        <f>F569*15%</f>
        <v>25.225307520000001</v>
      </c>
      <c r="G570" s="15"/>
    </row>
    <row r="571" spans="1:7" ht="12.75">
      <c r="A571" s="16" t="s">
        <v>20</v>
      </c>
      <c r="B571" s="3"/>
      <c r="C571" s="3"/>
      <c r="D571" s="4"/>
      <c r="E571" s="15"/>
      <c r="F571" s="17">
        <f>ROUND(F569+F570,2)</f>
        <v>193.39</v>
      </c>
      <c r="G571" s="15"/>
    </row>
    <row r="572" spans="1:7" ht="12.75">
      <c r="A572" s="19" t="str">
        <f>CONCATENATE("Say ₹ ",F553," + ",F571," x Cost Index")</f>
        <v>Say ₹ 86.82 + 193.39 x Cost Index</v>
      </c>
      <c r="B572" s="3"/>
      <c r="C572" s="3"/>
      <c r="D572" s="3"/>
      <c r="E572" s="3"/>
      <c r="F572" s="4"/>
      <c r="G572" s="20" t="s">
        <v>37</v>
      </c>
    </row>
    <row r="573" spans="1:7" ht="12.75">
      <c r="A573" s="1" t="s">
        <v>0</v>
      </c>
      <c r="B573" s="1" t="s">
        <v>1</v>
      </c>
      <c r="C573" s="2" t="s">
        <v>2</v>
      </c>
      <c r="D573" s="3"/>
      <c r="E573" s="4"/>
      <c r="F573" s="2" t="s">
        <v>3</v>
      </c>
      <c r="G573" s="4"/>
    </row>
    <row r="574" spans="1:7" ht="12.75">
      <c r="A574" s="5"/>
      <c r="B574" s="5"/>
      <c r="C574" s="6" t="s">
        <v>4</v>
      </c>
      <c r="D574" s="6" t="s">
        <v>5</v>
      </c>
      <c r="E574" s="6" t="s">
        <v>6</v>
      </c>
      <c r="F574" s="6" t="s">
        <v>7</v>
      </c>
      <c r="G574" s="6" t="s">
        <v>8</v>
      </c>
    </row>
    <row r="575" spans="1:7" ht="12.75">
      <c r="A575" s="7" t="s">
        <v>87</v>
      </c>
      <c r="B575" s="3"/>
      <c r="C575" s="3"/>
      <c r="D575" s="3"/>
      <c r="E575" s="3"/>
      <c r="F575" s="3"/>
      <c r="G575" s="4"/>
    </row>
    <row r="576" spans="1:7" ht="12.75">
      <c r="A576" s="8"/>
      <c r="B576" s="8" t="s">
        <v>10</v>
      </c>
      <c r="C576" s="8" t="s">
        <v>11</v>
      </c>
      <c r="D576" s="8" t="s">
        <v>12</v>
      </c>
      <c r="E576" s="9">
        <v>10</v>
      </c>
      <c r="F576" s="10"/>
      <c r="G576" s="4"/>
    </row>
    <row r="577" spans="1:7" ht="12.75">
      <c r="A577" s="8" t="s">
        <v>13</v>
      </c>
      <c r="B577" s="10" t="s">
        <v>88</v>
      </c>
      <c r="C577" s="3"/>
      <c r="D577" s="3"/>
      <c r="E577" s="3"/>
      <c r="F577" s="3"/>
      <c r="G577" s="4"/>
    </row>
    <row r="578" spans="1:7" ht="12.75">
      <c r="A578" s="11" t="s">
        <v>15</v>
      </c>
      <c r="B578" s="3"/>
      <c r="C578" s="3"/>
      <c r="D578" s="3"/>
      <c r="E578" s="3"/>
      <c r="F578" s="4"/>
      <c r="G578" s="12" t="s">
        <v>16</v>
      </c>
    </row>
    <row r="579" spans="1:7" ht="12.75">
      <c r="A579" s="13"/>
      <c r="B579" s="13" t="s">
        <v>89</v>
      </c>
      <c r="C579" s="10" t="s">
        <v>90</v>
      </c>
      <c r="D579" s="3"/>
      <c r="E579" s="4"/>
      <c r="F579" s="10"/>
      <c r="G579" s="4"/>
    </row>
    <row r="580" spans="1:7" ht="12.75">
      <c r="A580" s="5"/>
      <c r="B580" s="5"/>
      <c r="C580" s="8" t="s">
        <v>11</v>
      </c>
      <c r="D580" s="9">
        <v>11.50</v>
      </c>
      <c r="E580" s="9">
        <v>52</v>
      </c>
      <c r="F580" s="9">
        <f>E580*D580</f>
        <v>598</v>
      </c>
      <c r="G580" s="8" t="s">
        <v>19</v>
      </c>
    </row>
    <row r="581" spans="1:7" ht="12.75">
      <c r="A581" s="14" t="s">
        <v>20</v>
      </c>
      <c r="B581" s="3"/>
      <c r="C581" s="4"/>
      <c r="D581" s="9">
        <v>10</v>
      </c>
      <c r="E581" s="15" t="s">
        <v>11</v>
      </c>
      <c r="F581" s="9">
        <f>F580</f>
        <v>598</v>
      </c>
      <c r="G581" s="8"/>
    </row>
    <row r="582" spans="1:7" ht="12.75">
      <c r="A582" s="14" t="s">
        <v>21</v>
      </c>
      <c r="B582" s="3"/>
      <c r="C582" s="4"/>
      <c r="D582" s="9">
        <v>1</v>
      </c>
      <c r="E582" s="15" t="s">
        <v>11</v>
      </c>
      <c r="F582" s="9">
        <f>F581/D581</f>
        <v>59.80</v>
      </c>
      <c r="G582" s="8"/>
    </row>
    <row r="583" spans="1:7" ht="12.75">
      <c r="A583" s="16" t="s">
        <v>22</v>
      </c>
      <c r="B583" s="3"/>
      <c r="C583" s="3"/>
      <c r="D583" s="4"/>
      <c r="E583" s="9"/>
      <c r="F583" s="9">
        <f>F582*1%</f>
        <v>0.59799999999999998</v>
      </c>
      <c r="G583" s="8"/>
    </row>
    <row r="584" spans="1:7" ht="12.75">
      <c r="A584" s="16" t="s">
        <v>20</v>
      </c>
      <c r="B584" s="3"/>
      <c r="C584" s="3"/>
      <c r="D584" s="4"/>
      <c r="E584" s="15"/>
      <c r="F584" s="9">
        <f>F582+F583</f>
        <v>60.398000000000003</v>
      </c>
      <c r="G584" s="8"/>
    </row>
    <row r="585" spans="1:7" ht="12.75">
      <c r="A585" s="16" t="s">
        <v>23</v>
      </c>
      <c r="B585" s="3"/>
      <c r="C585" s="3"/>
      <c r="D585" s="4"/>
      <c r="E585" s="9"/>
      <c r="F585" s="9">
        <f>F584*15%</f>
        <v>9.0596999999999994</v>
      </c>
      <c r="G585" s="8"/>
    </row>
    <row r="586" spans="1:7" ht="12.75">
      <c r="A586" s="16" t="s">
        <v>20</v>
      </c>
      <c r="B586" s="3"/>
      <c r="C586" s="3"/>
      <c r="D586" s="4"/>
      <c r="E586" s="15"/>
      <c r="F586" s="17">
        <f>ROUND(F584+F585,2)</f>
        <v>69.46</v>
      </c>
      <c r="G586" s="8"/>
    </row>
    <row r="587" spans="1:7" ht="12.75">
      <c r="A587" s="11" t="s">
        <v>24</v>
      </c>
      <c r="B587" s="3"/>
      <c r="C587" s="3"/>
      <c r="D587" s="3"/>
      <c r="E587" s="3"/>
      <c r="F587" s="4"/>
      <c r="G587" s="12" t="s">
        <v>25</v>
      </c>
    </row>
    <row r="588" spans="1:7" ht="12.75">
      <c r="A588" s="13">
        <v>116</v>
      </c>
      <c r="B588" s="13"/>
      <c r="C588" s="10" t="s">
        <v>26</v>
      </c>
      <c r="D588" s="3"/>
      <c r="E588" s="4"/>
      <c r="F588" s="10"/>
      <c r="G588" s="4"/>
    </row>
    <row r="589" spans="1:7" ht="12.75">
      <c r="A589" s="5"/>
      <c r="B589" s="5"/>
      <c r="C589" s="8" t="s">
        <v>27</v>
      </c>
      <c r="D589" s="9">
        <v>0.33</v>
      </c>
      <c r="E589" s="9">
        <v>784</v>
      </c>
      <c r="F589" s="9">
        <f>E589*D589</f>
        <v>258.72</v>
      </c>
      <c r="G589" s="8" t="s">
        <v>28</v>
      </c>
    </row>
    <row r="590" spans="1:7" ht="12.75">
      <c r="A590" s="13">
        <v>117</v>
      </c>
      <c r="B590" s="13"/>
      <c r="C590" s="10" t="s">
        <v>29</v>
      </c>
      <c r="D590" s="3"/>
      <c r="E590" s="4"/>
      <c r="F590" s="10"/>
      <c r="G590" s="4"/>
    </row>
    <row r="591" spans="1:7" ht="12.75">
      <c r="A591" s="5"/>
      <c r="B591" s="5"/>
      <c r="C591" s="8" t="s">
        <v>27</v>
      </c>
      <c r="D591" s="9">
        <v>0.98</v>
      </c>
      <c r="E591" s="9">
        <v>714</v>
      </c>
      <c r="F591" s="9">
        <f>E591*D591</f>
        <v>699.72</v>
      </c>
      <c r="G591" s="8" t="s">
        <v>30</v>
      </c>
    </row>
    <row r="592" spans="1:7" ht="12.75">
      <c r="A592" s="13">
        <v>114</v>
      </c>
      <c r="B592" s="13"/>
      <c r="C592" s="10" t="s">
        <v>31</v>
      </c>
      <c r="D592" s="3"/>
      <c r="E592" s="4"/>
      <c r="F592" s="10"/>
      <c r="G592" s="4"/>
    </row>
    <row r="593" spans="1:7" ht="12.75">
      <c r="A593" s="5"/>
      <c r="B593" s="5"/>
      <c r="C593" s="8" t="s">
        <v>27</v>
      </c>
      <c r="D593" s="9">
        <v>0.98</v>
      </c>
      <c r="E593" s="9">
        <v>645</v>
      </c>
      <c r="F593" s="9">
        <f>E593*D593</f>
        <v>632.10</v>
      </c>
      <c r="G593" s="8" t="s">
        <v>32</v>
      </c>
    </row>
    <row r="594" spans="1:7" ht="12.75">
      <c r="A594" s="11" t="s">
        <v>33</v>
      </c>
      <c r="B594" s="3"/>
      <c r="C594" s="3"/>
      <c r="D594" s="3"/>
      <c r="E594" s="3"/>
      <c r="F594" s="4"/>
      <c r="G594" s="12" t="s">
        <v>25</v>
      </c>
    </row>
    <row r="595" spans="1:7" ht="12.75">
      <c r="A595" s="13">
        <v>9999</v>
      </c>
      <c r="B595" s="13"/>
      <c r="C595" s="10" t="s">
        <v>42</v>
      </c>
      <c r="D595" s="3"/>
      <c r="E595" s="4"/>
      <c r="F595" s="10"/>
      <c r="G595" s="4"/>
    </row>
    <row r="596" spans="1:7" ht="12.75">
      <c r="A596" s="5"/>
      <c r="B596" s="5"/>
      <c r="C596" s="8" t="s">
        <v>35</v>
      </c>
      <c r="D596" s="9">
        <v>4.16</v>
      </c>
      <c r="E596" s="9">
        <v>2.12</v>
      </c>
      <c r="F596" s="9">
        <f>E596*D596</f>
        <v>8.8192000000000004</v>
      </c>
      <c r="G596" s="8" t="s">
        <v>36</v>
      </c>
    </row>
    <row r="597" spans="1:7" ht="12.75">
      <c r="A597" s="13">
        <v>9999</v>
      </c>
      <c r="B597" s="13"/>
      <c r="C597" s="10" t="s">
        <v>34</v>
      </c>
      <c r="D597" s="3"/>
      <c r="E597" s="4"/>
      <c r="F597" s="10"/>
      <c r="G597" s="4"/>
    </row>
    <row r="598" spans="1:7" ht="12.75">
      <c r="A598" s="5"/>
      <c r="B598" s="5"/>
      <c r="C598" s="8" t="s">
        <v>35</v>
      </c>
      <c r="D598" s="9">
        <v>30.98</v>
      </c>
      <c r="E598" s="9">
        <v>2.12</v>
      </c>
      <c r="F598" s="9">
        <f>E598*D598</f>
        <v>65.677599999999998</v>
      </c>
      <c r="G598" s="8" t="s">
        <v>77</v>
      </c>
    </row>
    <row r="599" spans="1:7" ht="12.75">
      <c r="A599" s="14" t="s">
        <v>20</v>
      </c>
      <c r="B599" s="3"/>
      <c r="C599" s="4"/>
      <c r="D599" s="9">
        <v>10</v>
      </c>
      <c r="E599" s="15" t="s">
        <v>11</v>
      </c>
      <c r="F599" s="9">
        <f>F589+F591+F593+F596+F598</f>
        <v>1665.0368000000001</v>
      </c>
      <c r="G599" s="15"/>
    </row>
    <row r="600" spans="1:7" ht="12.75">
      <c r="A600" s="14" t="s">
        <v>21</v>
      </c>
      <c r="B600" s="3"/>
      <c r="C600" s="4"/>
      <c r="D600" s="9">
        <v>1</v>
      </c>
      <c r="E600" s="15" t="s">
        <v>11</v>
      </c>
      <c r="F600" s="9">
        <f>F599/D599</f>
        <v>166.50368</v>
      </c>
      <c r="G600" s="15"/>
    </row>
    <row r="601" spans="1:7" ht="12.75">
      <c r="A601" s="16" t="s">
        <v>22</v>
      </c>
      <c r="B601" s="3"/>
      <c r="C601" s="3"/>
      <c r="D601" s="4"/>
      <c r="E601" s="9"/>
      <c r="F601" s="9">
        <f>F600*1%</f>
        <v>1.6650368</v>
      </c>
      <c r="G601" s="15"/>
    </row>
    <row r="602" spans="1:7" ht="12.75">
      <c r="A602" s="16" t="s">
        <v>20</v>
      </c>
      <c r="B602" s="3"/>
      <c r="C602" s="3"/>
      <c r="D602" s="4"/>
      <c r="E602" s="15"/>
      <c r="F602" s="9">
        <f>F600+F601</f>
        <v>168.1687168</v>
      </c>
      <c r="G602" s="15"/>
    </row>
    <row r="603" spans="1:7" ht="12.75">
      <c r="A603" s="16" t="s">
        <v>23</v>
      </c>
      <c r="B603" s="3"/>
      <c r="C603" s="3"/>
      <c r="D603" s="4"/>
      <c r="E603" s="9"/>
      <c r="F603" s="9">
        <f>F602*15%</f>
        <v>25.225307520000001</v>
      </c>
      <c r="G603" s="15"/>
    </row>
    <row r="604" spans="1:7" ht="12.75">
      <c r="A604" s="16" t="s">
        <v>20</v>
      </c>
      <c r="B604" s="3"/>
      <c r="C604" s="3"/>
      <c r="D604" s="4"/>
      <c r="E604" s="15"/>
      <c r="F604" s="17">
        <f>ROUND(F602+F603,2)</f>
        <v>193.39</v>
      </c>
      <c r="G604" s="15"/>
    </row>
    <row r="605" spans="1:7" ht="12.75">
      <c r="A605" s="19" t="str">
        <f>CONCATENATE("Say ₹ ",F586," + ",F604," x Cost Index")</f>
        <v>Say ₹ 69.46 + 193.39 x Cost Index</v>
      </c>
      <c r="B605" s="3"/>
      <c r="C605" s="3"/>
      <c r="D605" s="3"/>
      <c r="E605" s="3"/>
      <c r="F605" s="4"/>
      <c r="G605" s="20" t="s">
        <v>37</v>
      </c>
    </row>
    <row r="606" spans="1:7" ht="12.75">
      <c r="A606" s="1" t="s">
        <v>0</v>
      </c>
      <c r="B606" s="1" t="s">
        <v>1</v>
      </c>
      <c r="C606" s="2" t="s">
        <v>2</v>
      </c>
      <c r="D606" s="3"/>
      <c r="E606" s="4"/>
      <c r="F606" s="2" t="s">
        <v>3</v>
      </c>
      <c r="G606" s="4"/>
    </row>
    <row r="607" spans="1:7" ht="12.75">
      <c r="A607" s="5"/>
      <c r="B607" s="5"/>
      <c r="C607" s="6" t="s">
        <v>4</v>
      </c>
      <c r="D607" s="6" t="s">
        <v>5</v>
      </c>
      <c r="E607" s="6" t="s">
        <v>6</v>
      </c>
      <c r="F607" s="6" t="s">
        <v>7</v>
      </c>
      <c r="G607" s="6" t="s">
        <v>8</v>
      </c>
    </row>
    <row r="608" spans="1:7" ht="12.75">
      <c r="A608" s="7" t="s">
        <v>91</v>
      </c>
      <c r="B608" s="3"/>
      <c r="C608" s="3"/>
      <c r="D608" s="3"/>
      <c r="E608" s="3"/>
      <c r="F608" s="3"/>
      <c r="G608" s="4"/>
    </row>
    <row r="609" spans="1:7" ht="12.75">
      <c r="A609" s="8"/>
      <c r="B609" s="8" t="s">
        <v>10</v>
      </c>
      <c r="C609" s="8" t="s">
        <v>11</v>
      </c>
      <c r="D609" s="8" t="s">
        <v>12</v>
      </c>
      <c r="E609" s="9">
        <v>10</v>
      </c>
      <c r="F609" s="10"/>
      <c r="G609" s="4"/>
    </row>
    <row r="610" spans="1:7" ht="12.75">
      <c r="A610" s="8" t="s">
        <v>13</v>
      </c>
      <c r="B610" s="10" t="s">
        <v>14</v>
      </c>
      <c r="C610" s="3"/>
      <c r="D610" s="3"/>
      <c r="E610" s="3"/>
      <c r="F610" s="3"/>
      <c r="G610" s="4"/>
    </row>
    <row r="611" spans="1:7" ht="12.75">
      <c r="A611" s="11" t="s">
        <v>15</v>
      </c>
      <c r="B611" s="3"/>
      <c r="C611" s="3"/>
      <c r="D611" s="3"/>
      <c r="E611" s="3"/>
      <c r="F611" s="4"/>
      <c r="G611" s="12" t="s">
        <v>16</v>
      </c>
    </row>
    <row r="612" spans="1:7" ht="12.75">
      <c r="A612" s="13"/>
      <c r="B612" s="13" t="s">
        <v>62</v>
      </c>
      <c r="C612" s="10" t="s">
        <v>63</v>
      </c>
      <c r="D612" s="3"/>
      <c r="E612" s="4"/>
      <c r="F612" s="10"/>
      <c r="G612" s="4"/>
    </row>
    <row r="613" spans="1:7" ht="12.75">
      <c r="A613" s="5"/>
      <c r="B613" s="5"/>
      <c r="C613" s="8" t="s">
        <v>11</v>
      </c>
      <c r="D613" s="9">
        <v>11.50</v>
      </c>
      <c r="E613" s="9">
        <v>84</v>
      </c>
      <c r="F613" s="9">
        <f>E613*D613</f>
        <v>966</v>
      </c>
      <c r="G613" s="8" t="s">
        <v>19</v>
      </c>
    </row>
    <row r="614" spans="1:7" ht="12.75">
      <c r="A614" s="14" t="s">
        <v>20</v>
      </c>
      <c r="B614" s="3"/>
      <c r="C614" s="4"/>
      <c r="D614" s="9">
        <v>10</v>
      </c>
      <c r="E614" s="15" t="s">
        <v>11</v>
      </c>
      <c r="F614" s="9">
        <f>F613</f>
        <v>966</v>
      </c>
      <c r="G614" s="8"/>
    </row>
    <row r="615" spans="1:7" ht="12.75">
      <c r="A615" s="14" t="s">
        <v>21</v>
      </c>
      <c r="B615" s="3"/>
      <c r="C615" s="4"/>
      <c r="D615" s="9">
        <v>1</v>
      </c>
      <c r="E615" s="15" t="s">
        <v>11</v>
      </c>
      <c r="F615" s="9">
        <f>F614/D614</f>
        <v>96.60</v>
      </c>
      <c r="G615" s="8"/>
    </row>
    <row r="616" spans="1:7" ht="12.75">
      <c r="A616" s="16" t="s">
        <v>22</v>
      </c>
      <c r="B616" s="3"/>
      <c r="C616" s="3"/>
      <c r="D616" s="4"/>
      <c r="E616" s="9"/>
      <c r="F616" s="9">
        <f>F615*1%</f>
        <v>0.96599999999999997</v>
      </c>
      <c r="G616" s="8"/>
    </row>
    <row r="617" spans="1:7" ht="12.75">
      <c r="A617" s="16" t="s">
        <v>20</v>
      </c>
      <c r="B617" s="3"/>
      <c r="C617" s="3"/>
      <c r="D617" s="4"/>
      <c r="E617" s="15"/>
      <c r="F617" s="9">
        <f>F615+F616</f>
        <v>97.566000000000003</v>
      </c>
      <c r="G617" s="8"/>
    </row>
    <row r="618" spans="1:7" ht="12.75">
      <c r="A618" s="16" t="s">
        <v>23</v>
      </c>
      <c r="B618" s="3"/>
      <c r="C618" s="3"/>
      <c r="D618" s="4"/>
      <c r="E618" s="9"/>
      <c r="F618" s="9">
        <f>F617*15%</f>
        <v>14.6349</v>
      </c>
      <c r="G618" s="8"/>
    </row>
    <row r="619" spans="1:7" ht="12.75">
      <c r="A619" s="16" t="s">
        <v>20</v>
      </c>
      <c r="B619" s="3"/>
      <c r="C619" s="3"/>
      <c r="D619" s="4"/>
      <c r="E619" s="15"/>
      <c r="F619" s="17">
        <f>ROUND(F617+F618,2)</f>
        <v>112.20</v>
      </c>
      <c r="G619" s="8"/>
    </row>
    <row r="620" spans="1:7" ht="12.75">
      <c r="A620" s="11" t="s">
        <v>24</v>
      </c>
      <c r="B620" s="3"/>
      <c r="C620" s="3"/>
      <c r="D620" s="3"/>
      <c r="E620" s="3"/>
      <c r="F620" s="4"/>
      <c r="G620" s="12" t="s">
        <v>25</v>
      </c>
    </row>
    <row r="621" spans="1:7" ht="12.75">
      <c r="A621" s="13">
        <v>116</v>
      </c>
      <c r="B621" s="13"/>
      <c r="C621" s="10" t="s">
        <v>26</v>
      </c>
      <c r="D621" s="3"/>
      <c r="E621" s="4"/>
      <c r="F621" s="10"/>
      <c r="G621" s="4"/>
    </row>
    <row r="622" spans="1:7" ht="12.75">
      <c r="A622" s="5"/>
      <c r="B622" s="5"/>
      <c r="C622" s="8" t="s">
        <v>27</v>
      </c>
      <c r="D622" s="9">
        <v>0.33</v>
      </c>
      <c r="E622" s="9">
        <v>784</v>
      </c>
      <c r="F622" s="9">
        <f>E622*D622</f>
        <v>258.72</v>
      </c>
      <c r="G622" s="8" t="s">
        <v>28</v>
      </c>
    </row>
    <row r="623" spans="1:7" ht="12.75">
      <c r="A623" s="13">
        <v>117</v>
      </c>
      <c r="B623" s="13"/>
      <c r="C623" s="10" t="s">
        <v>29</v>
      </c>
      <c r="D623" s="3"/>
      <c r="E623" s="4"/>
      <c r="F623" s="10"/>
      <c r="G623" s="4"/>
    </row>
    <row r="624" spans="1:7" ht="12.75">
      <c r="A624" s="5"/>
      <c r="B624" s="5"/>
      <c r="C624" s="8" t="s">
        <v>27</v>
      </c>
      <c r="D624" s="9">
        <v>1.31</v>
      </c>
      <c r="E624" s="9">
        <v>714</v>
      </c>
      <c r="F624" s="9">
        <f>E624*D624</f>
        <v>935.34</v>
      </c>
      <c r="G624" s="8" t="s">
        <v>30</v>
      </c>
    </row>
    <row r="625" spans="1:7" ht="12.75">
      <c r="A625" s="13">
        <v>114</v>
      </c>
      <c r="B625" s="13"/>
      <c r="C625" s="10" t="s">
        <v>31</v>
      </c>
      <c r="D625" s="3"/>
      <c r="E625" s="4"/>
      <c r="F625" s="10"/>
      <c r="G625" s="4"/>
    </row>
    <row r="626" spans="1:7" ht="12.75">
      <c r="A626" s="5"/>
      <c r="B626" s="5"/>
      <c r="C626" s="8" t="s">
        <v>27</v>
      </c>
      <c r="D626" s="9">
        <v>1.31</v>
      </c>
      <c r="E626" s="9">
        <v>645</v>
      </c>
      <c r="F626" s="9">
        <f>E626*D626</f>
        <v>844.95</v>
      </c>
      <c r="G626" s="8" t="s">
        <v>32</v>
      </c>
    </row>
    <row r="627" spans="1:7" ht="12.75">
      <c r="A627" s="11" t="s">
        <v>33</v>
      </c>
      <c r="B627" s="3"/>
      <c r="C627" s="3"/>
      <c r="D627" s="3"/>
      <c r="E627" s="3"/>
      <c r="F627" s="4"/>
      <c r="G627" s="12" t="s">
        <v>25</v>
      </c>
    </row>
    <row r="628" spans="1:7" ht="12.75">
      <c r="A628" s="13">
        <v>9999</v>
      </c>
      <c r="B628" s="13"/>
      <c r="C628" s="10" t="s">
        <v>42</v>
      </c>
      <c r="D628" s="3"/>
      <c r="E628" s="4"/>
      <c r="F628" s="10"/>
      <c r="G628" s="4"/>
    </row>
    <row r="629" spans="1:7" ht="12.75">
      <c r="A629" s="5"/>
      <c r="B629" s="5"/>
      <c r="C629" s="8" t="s">
        <v>35</v>
      </c>
      <c r="D629" s="9">
        <v>5.33</v>
      </c>
      <c r="E629" s="9">
        <v>2.12</v>
      </c>
      <c r="F629" s="9">
        <f>E629*D629</f>
        <v>11.2996</v>
      </c>
      <c r="G629" s="8" t="s">
        <v>36</v>
      </c>
    </row>
    <row r="630" spans="1:7" ht="12.75">
      <c r="A630" s="13">
        <v>9999</v>
      </c>
      <c r="B630" s="13"/>
      <c r="C630" s="10" t="s">
        <v>76</v>
      </c>
      <c r="D630" s="3"/>
      <c r="E630" s="4"/>
      <c r="F630" s="10"/>
      <c r="G630" s="4"/>
    </row>
    <row r="631" spans="1:7" ht="12.75">
      <c r="A631" s="5"/>
      <c r="B631" s="5"/>
      <c r="C631" s="8" t="s">
        <v>35</v>
      </c>
      <c r="D631" s="9">
        <v>30.98</v>
      </c>
      <c r="E631" s="9">
        <v>2.12</v>
      </c>
      <c r="F631" s="9">
        <f>E631*D631</f>
        <v>65.677599999999998</v>
      </c>
      <c r="G631" s="8" t="s">
        <v>77</v>
      </c>
    </row>
    <row r="632" spans="1:7" ht="12.75">
      <c r="A632" s="14" t="s">
        <v>20</v>
      </c>
      <c r="B632" s="3"/>
      <c r="C632" s="4"/>
      <c r="D632" s="9">
        <v>10</v>
      </c>
      <c r="E632" s="15" t="s">
        <v>11</v>
      </c>
      <c r="F632" s="9">
        <f>F622+F624+F626+F629+F631</f>
        <v>2115.9872</v>
      </c>
      <c r="G632" s="15"/>
    </row>
    <row r="633" spans="1:7" ht="12.75">
      <c r="A633" s="14" t="s">
        <v>21</v>
      </c>
      <c r="B633" s="3"/>
      <c r="C633" s="4"/>
      <c r="D633" s="9">
        <v>1</v>
      </c>
      <c r="E633" s="15" t="s">
        <v>11</v>
      </c>
      <c r="F633" s="9">
        <f>F632/D632</f>
        <v>211.59871999999999</v>
      </c>
      <c r="G633" s="15"/>
    </row>
    <row r="634" spans="1:7" ht="12.75">
      <c r="A634" s="16" t="s">
        <v>22</v>
      </c>
      <c r="B634" s="3"/>
      <c r="C634" s="3"/>
      <c r="D634" s="4"/>
      <c r="E634" s="9"/>
      <c r="F634" s="9">
        <f>F633*1%</f>
        <v>2.1159872000000002</v>
      </c>
      <c r="G634" s="15"/>
    </row>
    <row r="635" spans="1:7" ht="12.75">
      <c r="A635" s="16" t="s">
        <v>20</v>
      </c>
      <c r="B635" s="3"/>
      <c r="C635" s="3"/>
      <c r="D635" s="4"/>
      <c r="E635" s="15"/>
      <c r="F635" s="9">
        <f>F633+F634</f>
        <v>213.71470719999999</v>
      </c>
      <c r="G635" s="15"/>
    </row>
    <row r="636" spans="1:7" ht="12.75">
      <c r="A636" s="16" t="s">
        <v>23</v>
      </c>
      <c r="B636" s="3"/>
      <c r="C636" s="3"/>
      <c r="D636" s="4"/>
      <c r="E636" s="9"/>
      <c r="F636" s="9">
        <f>F635*15%</f>
        <v>32.05720608</v>
      </c>
      <c r="G636" s="15"/>
    </row>
    <row r="637" spans="1:7" ht="12.75">
      <c r="A637" s="16" t="s">
        <v>20</v>
      </c>
      <c r="B637" s="3"/>
      <c r="C637" s="3"/>
      <c r="D637" s="4"/>
      <c r="E637" s="15"/>
      <c r="F637" s="17">
        <f>ROUND(F635+F636,2)</f>
        <v>245.77</v>
      </c>
      <c r="G637" s="15"/>
    </row>
    <row r="638" spans="1:7" ht="12.75">
      <c r="A638" s="19" t="str">
        <f>CONCATENATE("Say ₹ ",F619," + ",F637," x Cost Index")</f>
        <v>Say ₹ 112.2 + 245.77 x Cost Index</v>
      </c>
      <c r="B638" s="3"/>
      <c r="C638" s="3"/>
      <c r="D638" s="3"/>
      <c r="E638" s="3"/>
      <c r="F638" s="4"/>
      <c r="G638" s="20" t="s">
        <v>37</v>
      </c>
    </row>
    <row r="639" spans="1:7" ht="12.75">
      <c r="A639" s="1" t="s">
        <v>0</v>
      </c>
      <c r="B639" s="1" t="s">
        <v>1</v>
      </c>
      <c r="C639" s="2" t="s">
        <v>2</v>
      </c>
      <c r="D639" s="3"/>
      <c r="E639" s="4"/>
      <c r="F639" s="2" t="s">
        <v>3</v>
      </c>
      <c r="G639" s="4"/>
    </row>
    <row r="640" spans="1:7" ht="12.75">
      <c r="A640" s="5"/>
      <c r="B640" s="5"/>
      <c r="C640" s="6" t="s">
        <v>4</v>
      </c>
      <c r="D640" s="6" t="s">
        <v>5</v>
      </c>
      <c r="E640" s="6" t="s">
        <v>6</v>
      </c>
      <c r="F640" s="6" t="s">
        <v>7</v>
      </c>
      <c r="G640" s="6" t="s">
        <v>8</v>
      </c>
    </row>
    <row r="641" spans="1:7" ht="12.75">
      <c r="A641" s="7" t="s">
        <v>92</v>
      </c>
      <c r="B641" s="3"/>
      <c r="C641" s="3"/>
      <c r="D641" s="3"/>
      <c r="E641" s="3"/>
      <c r="F641" s="3"/>
      <c r="G641" s="4"/>
    </row>
    <row r="642" spans="1:7" ht="12.75">
      <c r="A642" s="8"/>
      <c r="B642" s="8" t="s">
        <v>10</v>
      </c>
      <c r="C642" s="8" t="s">
        <v>11</v>
      </c>
      <c r="D642" s="8" t="s">
        <v>12</v>
      </c>
      <c r="E642" s="9">
        <v>10</v>
      </c>
      <c r="F642" s="10"/>
      <c r="G642" s="4"/>
    </row>
    <row r="643" spans="1:7" ht="12.75">
      <c r="A643" s="8" t="s">
        <v>13</v>
      </c>
      <c r="B643" s="10" t="s">
        <v>93</v>
      </c>
      <c r="C643" s="3"/>
      <c r="D643" s="3"/>
      <c r="E643" s="3"/>
      <c r="F643" s="3"/>
      <c r="G643" s="4"/>
    </row>
    <row r="644" spans="1:7" ht="12.75">
      <c r="A644" s="11" t="s">
        <v>15</v>
      </c>
      <c r="B644" s="3"/>
      <c r="C644" s="3"/>
      <c r="D644" s="3"/>
      <c r="E644" s="3"/>
      <c r="F644" s="4"/>
      <c r="G644" s="12" t="s">
        <v>16</v>
      </c>
    </row>
    <row r="645" spans="1:7" ht="12.75">
      <c r="A645" s="13"/>
      <c r="B645" s="13" t="s">
        <v>65</v>
      </c>
      <c r="C645" s="10" t="s">
        <v>66</v>
      </c>
      <c r="D645" s="3"/>
      <c r="E645" s="4"/>
      <c r="F645" s="10"/>
      <c r="G645" s="4"/>
    </row>
    <row r="646" spans="1:7" ht="12.75">
      <c r="A646" s="5"/>
      <c r="B646" s="5"/>
      <c r="C646" s="8" t="s">
        <v>11</v>
      </c>
      <c r="D646" s="9">
        <v>11.50</v>
      </c>
      <c r="E646" s="9">
        <v>53</v>
      </c>
      <c r="F646" s="9">
        <f>E646*D646</f>
        <v>609.50</v>
      </c>
      <c r="G646" s="8" t="s">
        <v>19</v>
      </c>
    </row>
    <row r="647" spans="1:7" ht="12.75">
      <c r="A647" s="14" t="s">
        <v>20</v>
      </c>
      <c r="B647" s="3"/>
      <c r="C647" s="4"/>
      <c r="D647" s="9">
        <v>10</v>
      </c>
      <c r="E647" s="15" t="s">
        <v>11</v>
      </c>
      <c r="F647" s="9">
        <f>F646</f>
        <v>609.50</v>
      </c>
      <c r="G647" s="8"/>
    </row>
    <row r="648" spans="1:7" ht="12.75">
      <c r="A648" s="14" t="s">
        <v>21</v>
      </c>
      <c r="B648" s="3"/>
      <c r="C648" s="4"/>
      <c r="D648" s="9">
        <v>1</v>
      </c>
      <c r="E648" s="15" t="s">
        <v>11</v>
      </c>
      <c r="F648" s="9">
        <f>F647/D647</f>
        <v>60.95</v>
      </c>
      <c r="G648" s="8"/>
    </row>
    <row r="649" spans="1:7" ht="12.75">
      <c r="A649" s="16" t="s">
        <v>22</v>
      </c>
      <c r="B649" s="3"/>
      <c r="C649" s="3"/>
      <c r="D649" s="4"/>
      <c r="E649" s="9"/>
      <c r="F649" s="9">
        <f>F648*1%</f>
        <v>0.60950000000000004</v>
      </c>
      <c r="G649" s="8"/>
    </row>
    <row r="650" spans="1:7" ht="12.75">
      <c r="A650" s="16" t="s">
        <v>20</v>
      </c>
      <c r="B650" s="3"/>
      <c r="C650" s="3"/>
      <c r="D650" s="4"/>
      <c r="E650" s="15"/>
      <c r="F650" s="9">
        <f>F648+F649</f>
        <v>61.5595</v>
      </c>
      <c r="G650" s="8"/>
    </row>
    <row r="651" spans="1:7" ht="12.75">
      <c r="A651" s="16" t="s">
        <v>23</v>
      </c>
      <c r="B651" s="3"/>
      <c r="C651" s="3"/>
      <c r="D651" s="4"/>
      <c r="E651" s="9"/>
      <c r="F651" s="9">
        <f>F650*15%</f>
        <v>9.2339249999999993</v>
      </c>
      <c r="G651" s="8"/>
    </row>
    <row r="652" spans="1:7" ht="12.75">
      <c r="A652" s="16" t="s">
        <v>20</v>
      </c>
      <c r="B652" s="3"/>
      <c r="C652" s="3"/>
      <c r="D652" s="4"/>
      <c r="E652" s="15"/>
      <c r="F652" s="17">
        <f>ROUND(F650+F651,2)</f>
        <v>70.79</v>
      </c>
      <c r="G652" s="8"/>
    </row>
    <row r="653" spans="1:7" ht="12.75">
      <c r="A653" s="11" t="s">
        <v>24</v>
      </c>
      <c r="B653" s="3"/>
      <c r="C653" s="3"/>
      <c r="D653" s="3"/>
      <c r="E653" s="3"/>
      <c r="F653" s="4"/>
      <c r="G653" s="12" t="s">
        <v>25</v>
      </c>
    </row>
    <row r="654" spans="1:7" ht="12.75">
      <c r="A654" s="13">
        <v>116</v>
      </c>
      <c r="B654" s="13"/>
      <c r="C654" s="10" t="s">
        <v>26</v>
      </c>
      <c r="D654" s="3"/>
      <c r="E654" s="4"/>
      <c r="F654" s="10"/>
      <c r="G654" s="4"/>
    </row>
    <row r="655" spans="1:7" ht="12.75">
      <c r="A655" s="5"/>
      <c r="B655" s="5"/>
      <c r="C655" s="8" t="s">
        <v>27</v>
      </c>
      <c r="D655" s="9">
        <v>0.33</v>
      </c>
      <c r="E655" s="9">
        <v>784</v>
      </c>
      <c r="F655" s="9">
        <f>E655*D655</f>
        <v>258.72</v>
      </c>
      <c r="G655" s="8" t="s">
        <v>28</v>
      </c>
    </row>
    <row r="656" spans="1:7" ht="12.75">
      <c r="A656" s="13">
        <v>117</v>
      </c>
      <c r="B656" s="13"/>
      <c r="C656" s="10" t="s">
        <v>29</v>
      </c>
      <c r="D656" s="3"/>
      <c r="E656" s="4"/>
      <c r="F656" s="10"/>
      <c r="G656" s="4"/>
    </row>
    <row r="657" spans="1:7" ht="12.75">
      <c r="A657" s="5"/>
      <c r="B657" s="5"/>
      <c r="C657" s="8" t="s">
        <v>27</v>
      </c>
      <c r="D657" s="9">
        <v>1.31</v>
      </c>
      <c r="E657" s="9">
        <v>714</v>
      </c>
      <c r="F657" s="9">
        <f>E657*D657</f>
        <v>935.34</v>
      </c>
      <c r="G657" s="8" t="s">
        <v>30</v>
      </c>
    </row>
    <row r="658" spans="1:7" ht="12.75">
      <c r="A658" s="13">
        <v>114</v>
      </c>
      <c r="B658" s="13"/>
      <c r="C658" s="10" t="s">
        <v>31</v>
      </c>
      <c r="D658" s="3"/>
      <c r="E658" s="4"/>
      <c r="F658" s="10"/>
      <c r="G658" s="4"/>
    </row>
    <row r="659" spans="1:7" ht="12.75">
      <c r="A659" s="5"/>
      <c r="B659" s="5"/>
      <c r="C659" s="8" t="s">
        <v>27</v>
      </c>
      <c r="D659" s="9">
        <v>1.31</v>
      </c>
      <c r="E659" s="9">
        <v>645</v>
      </c>
      <c r="F659" s="9">
        <f>E659*D659</f>
        <v>844.95</v>
      </c>
      <c r="G659" s="8" t="s">
        <v>32</v>
      </c>
    </row>
    <row r="660" spans="1:7" ht="12.75">
      <c r="A660" s="11" t="s">
        <v>33</v>
      </c>
      <c r="B660" s="3"/>
      <c r="C660" s="3"/>
      <c r="D660" s="3"/>
      <c r="E660" s="3"/>
      <c r="F660" s="4"/>
      <c r="G660" s="12" t="s">
        <v>25</v>
      </c>
    </row>
    <row r="661" spans="1:7" ht="12.75">
      <c r="A661" s="13">
        <v>9999</v>
      </c>
      <c r="B661" s="13"/>
      <c r="C661" s="10" t="s">
        <v>42</v>
      </c>
      <c r="D661" s="3"/>
      <c r="E661" s="4"/>
      <c r="F661" s="10"/>
      <c r="G661" s="4"/>
    </row>
    <row r="662" spans="1:7" ht="12.75">
      <c r="A662" s="5"/>
      <c r="B662" s="5"/>
      <c r="C662" s="8" t="s">
        <v>35</v>
      </c>
      <c r="D662" s="9">
        <v>5.33</v>
      </c>
      <c r="E662" s="9">
        <v>2.12</v>
      </c>
      <c r="F662" s="9">
        <f>E662*D662</f>
        <v>11.2996</v>
      </c>
      <c r="G662" s="8" t="s">
        <v>36</v>
      </c>
    </row>
    <row r="663" spans="1:7" ht="12.75">
      <c r="A663" s="13">
        <v>9999</v>
      </c>
      <c r="B663" s="13"/>
      <c r="C663" s="10" t="s">
        <v>76</v>
      </c>
      <c r="D663" s="3"/>
      <c r="E663" s="4"/>
      <c r="F663" s="10"/>
      <c r="G663" s="4"/>
    </row>
    <row r="664" spans="1:7" ht="12.75">
      <c r="A664" s="5"/>
      <c r="B664" s="5"/>
      <c r="C664" s="8" t="s">
        <v>35</v>
      </c>
      <c r="D664" s="9">
        <v>30.98</v>
      </c>
      <c r="E664" s="9">
        <v>2.12</v>
      </c>
      <c r="F664" s="9">
        <f>E664*D664</f>
        <v>65.677599999999998</v>
      </c>
      <c r="G664" s="8" t="s">
        <v>77</v>
      </c>
    </row>
    <row r="665" spans="1:7" ht="12.75">
      <c r="A665" s="14" t="s">
        <v>20</v>
      </c>
      <c r="B665" s="3"/>
      <c r="C665" s="4"/>
      <c r="D665" s="9">
        <v>10</v>
      </c>
      <c r="E665" s="15" t="s">
        <v>11</v>
      </c>
      <c r="F665" s="9">
        <f>F655+F657+F659+F662+F664</f>
        <v>2115.9872</v>
      </c>
      <c r="G665" s="15"/>
    </row>
    <row r="666" spans="1:7" ht="12.75">
      <c r="A666" s="14" t="s">
        <v>21</v>
      </c>
      <c r="B666" s="3"/>
      <c r="C666" s="4"/>
      <c r="D666" s="9">
        <v>1</v>
      </c>
      <c r="E666" s="15" t="s">
        <v>11</v>
      </c>
      <c r="F666" s="9">
        <f>F665/D665</f>
        <v>211.59871999999999</v>
      </c>
      <c r="G666" s="15"/>
    </row>
    <row r="667" spans="1:7" ht="12.75">
      <c r="A667" s="16" t="s">
        <v>22</v>
      </c>
      <c r="B667" s="3"/>
      <c r="C667" s="3"/>
      <c r="D667" s="4"/>
      <c r="E667" s="9"/>
      <c r="F667" s="9">
        <f>F666*1%</f>
        <v>2.1159872000000002</v>
      </c>
      <c r="G667" s="15"/>
    </row>
    <row r="668" spans="1:7" ht="12.75">
      <c r="A668" s="16" t="s">
        <v>20</v>
      </c>
      <c r="B668" s="3"/>
      <c r="C668" s="3"/>
      <c r="D668" s="4"/>
      <c r="E668" s="15"/>
      <c r="F668" s="9">
        <f>F666+F667</f>
        <v>213.71470719999999</v>
      </c>
      <c r="G668" s="15"/>
    </row>
    <row r="669" spans="1:7" ht="12.75">
      <c r="A669" s="16" t="s">
        <v>23</v>
      </c>
      <c r="B669" s="3"/>
      <c r="C669" s="3"/>
      <c r="D669" s="4"/>
      <c r="E669" s="9"/>
      <c r="F669" s="9">
        <f>F668*15%</f>
        <v>32.05720608</v>
      </c>
      <c r="G669" s="15"/>
    </row>
    <row r="670" spans="1:7" ht="12.75">
      <c r="A670" s="16" t="s">
        <v>20</v>
      </c>
      <c r="B670" s="3"/>
      <c r="C670" s="3"/>
      <c r="D670" s="4"/>
      <c r="E670" s="15"/>
      <c r="F670" s="17">
        <f>ROUND(F668+F669,2)</f>
        <v>245.77</v>
      </c>
      <c r="G670" s="15"/>
    </row>
    <row r="671" spans="1:7" ht="12.75">
      <c r="A671" s="19" t="str">
        <f>CONCATENATE("Say ₹ ",F652," + ",F670," x Cost Index")</f>
        <v>Say ₹ 70.79 + 245.77 x Cost Index</v>
      </c>
      <c r="B671" s="3"/>
      <c r="C671" s="3"/>
      <c r="D671" s="3"/>
      <c r="E671" s="3"/>
      <c r="F671" s="4"/>
      <c r="G671" s="20" t="s">
        <v>37</v>
      </c>
    </row>
    <row r="672" spans="1:7" ht="12.75">
      <c r="A672" s="1" t="s">
        <v>0</v>
      </c>
      <c r="B672" s="1" t="s">
        <v>1</v>
      </c>
      <c r="C672" s="2" t="s">
        <v>2</v>
      </c>
      <c r="D672" s="3"/>
      <c r="E672" s="4"/>
      <c r="F672" s="2" t="s">
        <v>3</v>
      </c>
      <c r="G672" s="4"/>
    </row>
    <row r="673" spans="1:7" ht="12.75">
      <c r="A673" s="5"/>
      <c r="B673" s="5"/>
      <c r="C673" s="6" t="s">
        <v>4</v>
      </c>
      <c r="D673" s="6" t="s">
        <v>5</v>
      </c>
      <c r="E673" s="6" t="s">
        <v>6</v>
      </c>
      <c r="F673" s="6" t="s">
        <v>7</v>
      </c>
      <c r="G673" s="6" t="s">
        <v>8</v>
      </c>
    </row>
    <row r="674" spans="1:7" ht="12.75">
      <c r="A674" s="7" t="s">
        <v>94</v>
      </c>
      <c r="B674" s="3"/>
      <c r="C674" s="3"/>
      <c r="D674" s="3"/>
      <c r="E674" s="3"/>
      <c r="F674" s="3"/>
      <c r="G674" s="4"/>
    </row>
    <row r="675" spans="1:7" ht="12.75">
      <c r="A675" s="8"/>
      <c r="B675" s="8" t="s">
        <v>10</v>
      </c>
      <c r="C675" s="8" t="s">
        <v>11</v>
      </c>
      <c r="D675" s="8" t="s">
        <v>12</v>
      </c>
      <c r="E675" s="9">
        <v>10</v>
      </c>
      <c r="F675" s="10"/>
      <c r="G675" s="4"/>
    </row>
    <row r="676" spans="1:7" ht="12.75">
      <c r="A676" s="8" t="s">
        <v>13</v>
      </c>
      <c r="B676" s="10" t="s">
        <v>93</v>
      </c>
      <c r="C676" s="3"/>
      <c r="D676" s="3"/>
      <c r="E676" s="3"/>
      <c r="F676" s="3"/>
      <c r="G676" s="4"/>
    </row>
    <row r="677" spans="1:7" ht="12.75">
      <c r="A677" s="11" t="s">
        <v>15</v>
      </c>
      <c r="B677" s="3"/>
      <c r="C677" s="3"/>
      <c r="D677" s="3"/>
      <c r="E677" s="3"/>
      <c r="F677" s="4"/>
      <c r="G677" s="12" t="s">
        <v>16</v>
      </c>
    </row>
    <row r="678" spans="1:7" ht="12.75">
      <c r="A678" s="13"/>
      <c r="B678" s="13" t="s">
        <v>68</v>
      </c>
      <c r="C678" s="10" t="s">
        <v>69</v>
      </c>
      <c r="D678" s="3"/>
      <c r="E678" s="4"/>
      <c r="F678" s="10"/>
      <c r="G678" s="4"/>
    </row>
    <row r="679" spans="1:7" ht="12.75">
      <c r="A679" s="5"/>
      <c r="B679" s="5"/>
      <c r="C679" s="8" t="s">
        <v>11</v>
      </c>
      <c r="D679" s="9">
        <v>11.50</v>
      </c>
      <c r="E679" s="9">
        <v>90</v>
      </c>
      <c r="F679" s="9">
        <f>E679*D679</f>
        <v>1035</v>
      </c>
      <c r="G679" s="8" t="s">
        <v>19</v>
      </c>
    </row>
    <row r="680" spans="1:7" ht="12.75">
      <c r="A680" s="14" t="s">
        <v>20</v>
      </c>
      <c r="B680" s="3"/>
      <c r="C680" s="4"/>
      <c r="D680" s="9">
        <v>10</v>
      </c>
      <c r="E680" s="15" t="s">
        <v>11</v>
      </c>
      <c r="F680" s="9">
        <f>F679</f>
        <v>1035</v>
      </c>
      <c r="G680" s="8"/>
    </row>
    <row r="681" spans="1:7" ht="12.75">
      <c r="A681" s="14" t="s">
        <v>21</v>
      </c>
      <c r="B681" s="3"/>
      <c r="C681" s="4"/>
      <c r="D681" s="9">
        <v>1</v>
      </c>
      <c r="E681" s="15" t="s">
        <v>11</v>
      </c>
      <c r="F681" s="9">
        <f>F680/D680</f>
        <v>103.50</v>
      </c>
      <c r="G681" s="8"/>
    </row>
    <row r="682" spans="1:7" ht="12.75">
      <c r="A682" s="16" t="s">
        <v>22</v>
      </c>
      <c r="B682" s="3"/>
      <c r="C682" s="3"/>
      <c r="D682" s="4"/>
      <c r="E682" s="9"/>
      <c r="F682" s="9">
        <f>F681*1%</f>
        <v>1.035</v>
      </c>
      <c r="G682" s="8"/>
    </row>
    <row r="683" spans="1:7" ht="12.75">
      <c r="A683" s="16" t="s">
        <v>20</v>
      </c>
      <c r="B683" s="3"/>
      <c r="C683" s="3"/>
      <c r="D683" s="4"/>
      <c r="E683" s="15"/>
      <c r="F683" s="9">
        <f>F681+F682</f>
        <v>104.535</v>
      </c>
      <c r="G683" s="8"/>
    </row>
    <row r="684" spans="1:7" ht="12.75">
      <c r="A684" s="16" t="s">
        <v>23</v>
      </c>
      <c r="B684" s="3"/>
      <c r="C684" s="3"/>
      <c r="D684" s="4"/>
      <c r="E684" s="9"/>
      <c r="F684" s="9">
        <f>F683*15%</f>
        <v>15.680249999999999</v>
      </c>
      <c r="G684" s="8"/>
    </row>
    <row r="685" spans="1:7" ht="12.75">
      <c r="A685" s="16" t="s">
        <v>20</v>
      </c>
      <c r="B685" s="3"/>
      <c r="C685" s="3"/>
      <c r="D685" s="4"/>
      <c r="E685" s="15"/>
      <c r="F685" s="17">
        <f>ROUND(F683+F684,2)</f>
        <v>120.22</v>
      </c>
      <c r="G685" s="8"/>
    </row>
    <row r="686" spans="1:7" ht="12.75">
      <c r="A686" s="11" t="s">
        <v>24</v>
      </c>
      <c r="B686" s="3"/>
      <c r="C686" s="3"/>
      <c r="D686" s="3"/>
      <c r="E686" s="3"/>
      <c r="F686" s="4"/>
      <c r="G686" s="12" t="s">
        <v>25</v>
      </c>
    </row>
    <row r="687" spans="1:7" ht="12.75">
      <c r="A687" s="13">
        <v>116</v>
      </c>
      <c r="B687" s="13"/>
      <c r="C687" s="10" t="s">
        <v>26</v>
      </c>
      <c r="D687" s="3"/>
      <c r="E687" s="4"/>
      <c r="F687" s="10"/>
      <c r="G687" s="4"/>
    </row>
    <row r="688" spans="1:7" ht="12.75">
      <c r="A688" s="5"/>
      <c r="B688" s="5"/>
      <c r="C688" s="8" t="s">
        <v>27</v>
      </c>
      <c r="D688" s="9">
        <v>0.33</v>
      </c>
      <c r="E688" s="9">
        <v>784</v>
      </c>
      <c r="F688" s="9">
        <f>E688*D688</f>
        <v>258.72</v>
      </c>
      <c r="G688" s="8" t="s">
        <v>28</v>
      </c>
    </row>
    <row r="689" spans="1:7" ht="12.75">
      <c r="A689" s="13">
        <v>117</v>
      </c>
      <c r="B689" s="13"/>
      <c r="C689" s="10" t="s">
        <v>29</v>
      </c>
      <c r="D689" s="3"/>
      <c r="E689" s="4"/>
      <c r="F689" s="10"/>
      <c r="G689" s="4"/>
    </row>
    <row r="690" spans="1:7" ht="12.75">
      <c r="A690" s="5"/>
      <c r="B690" s="5"/>
      <c r="C690" s="8" t="s">
        <v>27</v>
      </c>
      <c r="D690" s="9">
        <v>1.31</v>
      </c>
      <c r="E690" s="9">
        <v>714</v>
      </c>
      <c r="F690" s="9">
        <f>E690*D690</f>
        <v>935.34</v>
      </c>
      <c r="G690" s="8" t="s">
        <v>30</v>
      </c>
    </row>
    <row r="691" spans="1:7" ht="12.75">
      <c r="A691" s="13">
        <v>114</v>
      </c>
      <c r="B691" s="13"/>
      <c r="C691" s="10" t="s">
        <v>31</v>
      </c>
      <c r="D691" s="3"/>
      <c r="E691" s="4"/>
      <c r="F691" s="10"/>
      <c r="G691" s="4"/>
    </row>
    <row r="692" spans="1:7" ht="12.75">
      <c r="A692" s="5"/>
      <c r="B692" s="5"/>
      <c r="C692" s="8" t="s">
        <v>27</v>
      </c>
      <c r="D692" s="9">
        <v>1.31</v>
      </c>
      <c r="E692" s="9">
        <v>645</v>
      </c>
      <c r="F692" s="9">
        <f>E692*D692</f>
        <v>844.95</v>
      </c>
      <c r="G692" s="8" t="s">
        <v>32</v>
      </c>
    </row>
    <row r="693" spans="1:7" ht="12.75">
      <c r="A693" s="11" t="s">
        <v>33</v>
      </c>
      <c r="B693" s="3"/>
      <c r="C693" s="3"/>
      <c r="D693" s="3"/>
      <c r="E693" s="3"/>
      <c r="F693" s="4"/>
      <c r="G693" s="12" t="s">
        <v>25</v>
      </c>
    </row>
    <row r="694" spans="1:7" ht="12.75">
      <c r="A694" s="13">
        <v>9999</v>
      </c>
      <c r="B694" s="13"/>
      <c r="C694" s="10" t="s">
        <v>42</v>
      </c>
      <c r="D694" s="3"/>
      <c r="E694" s="4"/>
      <c r="F694" s="10"/>
      <c r="G694" s="4"/>
    </row>
    <row r="695" spans="1:7" ht="12.75">
      <c r="A695" s="5"/>
      <c r="B695" s="5"/>
      <c r="C695" s="8" t="s">
        <v>35</v>
      </c>
      <c r="D695" s="9">
        <v>5.33</v>
      </c>
      <c r="E695" s="9">
        <v>2.12</v>
      </c>
      <c r="F695" s="9">
        <f>E695*D695</f>
        <v>11.2996</v>
      </c>
      <c r="G695" s="8" t="s">
        <v>36</v>
      </c>
    </row>
    <row r="696" spans="1:7" ht="12.75">
      <c r="A696" s="13">
        <v>9999</v>
      </c>
      <c r="B696" s="13"/>
      <c r="C696" s="10" t="s">
        <v>76</v>
      </c>
      <c r="D696" s="3"/>
      <c r="E696" s="4"/>
      <c r="F696" s="10"/>
      <c r="G696" s="4"/>
    </row>
    <row r="697" spans="1:7" ht="12.75">
      <c r="A697" s="5"/>
      <c r="B697" s="5"/>
      <c r="C697" s="8" t="s">
        <v>35</v>
      </c>
      <c r="D697" s="9">
        <v>30.98</v>
      </c>
      <c r="E697" s="9">
        <v>2.12</v>
      </c>
      <c r="F697" s="9">
        <f>E697*D697</f>
        <v>65.677599999999998</v>
      </c>
      <c r="G697" s="8" t="s">
        <v>77</v>
      </c>
    </row>
    <row r="698" spans="1:7" ht="12.75">
      <c r="A698" s="14" t="s">
        <v>20</v>
      </c>
      <c r="B698" s="3"/>
      <c r="C698" s="4"/>
      <c r="D698" s="9">
        <v>10</v>
      </c>
      <c r="E698" s="15" t="s">
        <v>11</v>
      </c>
      <c r="F698" s="9">
        <f>F688+F690+F692+F695+F697</f>
        <v>2115.9872</v>
      </c>
      <c r="G698" s="15"/>
    </row>
    <row r="699" spans="1:7" ht="12.75">
      <c r="A699" s="14" t="s">
        <v>21</v>
      </c>
      <c r="B699" s="3"/>
      <c r="C699" s="4"/>
      <c r="D699" s="9">
        <v>1</v>
      </c>
      <c r="E699" s="15" t="s">
        <v>11</v>
      </c>
      <c r="F699" s="9">
        <f>F698/D698</f>
        <v>211.59871999999999</v>
      </c>
      <c r="G699" s="15"/>
    </row>
    <row r="700" spans="1:7" ht="12.75">
      <c r="A700" s="16" t="s">
        <v>22</v>
      </c>
      <c r="B700" s="3"/>
      <c r="C700" s="3"/>
      <c r="D700" s="4"/>
      <c r="E700" s="9"/>
      <c r="F700" s="9">
        <f>F699*1%</f>
        <v>2.1159872000000002</v>
      </c>
      <c r="G700" s="15"/>
    </row>
    <row r="701" spans="1:7" ht="12.75">
      <c r="A701" s="16" t="s">
        <v>20</v>
      </c>
      <c r="B701" s="3"/>
      <c r="C701" s="3"/>
      <c r="D701" s="4"/>
      <c r="E701" s="15"/>
      <c r="F701" s="9">
        <f>F699+F700</f>
        <v>213.71470719999999</v>
      </c>
      <c r="G701" s="15"/>
    </row>
    <row r="702" spans="1:7" ht="12.75">
      <c r="A702" s="16" t="s">
        <v>23</v>
      </c>
      <c r="B702" s="3"/>
      <c r="C702" s="3"/>
      <c r="D702" s="4"/>
      <c r="E702" s="9"/>
      <c r="F702" s="9">
        <f>F701*15%</f>
        <v>32.05720608</v>
      </c>
      <c r="G702" s="15"/>
    </row>
    <row r="703" spans="1:7" ht="12.75">
      <c r="A703" s="16" t="s">
        <v>20</v>
      </c>
      <c r="B703" s="3"/>
      <c r="C703" s="3"/>
      <c r="D703" s="4"/>
      <c r="E703" s="15"/>
      <c r="F703" s="17">
        <f>ROUND(F701+F702,2)</f>
        <v>245.77</v>
      </c>
      <c r="G703" s="15"/>
    </row>
    <row r="704" spans="1:7" ht="12.75">
      <c r="A704" s="19" t="str">
        <f>CONCATENATE("Say ₹ ",F685," + ",F703," x Cost Index")</f>
        <v>Say ₹ 120.22 + 245.77 x Cost Index</v>
      </c>
      <c r="B704" s="3"/>
      <c r="C704" s="3"/>
      <c r="D704" s="3"/>
      <c r="E704" s="3"/>
      <c r="F704" s="4"/>
      <c r="G704" s="20" t="s">
        <v>37</v>
      </c>
    </row>
    <row r="705" spans="1:7" ht="12.75">
      <c r="A705" s="1" t="s">
        <v>0</v>
      </c>
      <c r="B705" s="1" t="s">
        <v>1</v>
      </c>
      <c r="C705" s="2" t="s">
        <v>2</v>
      </c>
      <c r="D705" s="3"/>
      <c r="E705" s="4"/>
      <c r="F705" s="2" t="s">
        <v>3</v>
      </c>
      <c r="G705" s="4"/>
    </row>
    <row r="706" spans="1:7" ht="12.75">
      <c r="A706" s="5"/>
      <c r="B706" s="5"/>
      <c r="C706" s="6" t="s">
        <v>4</v>
      </c>
      <c r="D706" s="6" t="s">
        <v>5</v>
      </c>
      <c r="E706" s="6" t="s">
        <v>6</v>
      </c>
      <c r="F706" s="6" t="s">
        <v>7</v>
      </c>
      <c r="G706" s="6" t="s">
        <v>8</v>
      </c>
    </row>
    <row r="707" spans="1:7" ht="12.75">
      <c r="A707" s="7" t="s">
        <v>95</v>
      </c>
      <c r="B707" s="3"/>
      <c r="C707" s="3"/>
      <c r="D707" s="3"/>
      <c r="E707" s="3"/>
      <c r="F707" s="3"/>
      <c r="G707" s="4"/>
    </row>
    <row r="708" spans="1:7" ht="12.75">
      <c r="A708" s="8"/>
      <c r="B708" s="8" t="s">
        <v>10</v>
      </c>
      <c r="C708" s="8" t="s">
        <v>11</v>
      </c>
      <c r="D708" s="8" t="s">
        <v>12</v>
      </c>
      <c r="E708" s="9">
        <v>10</v>
      </c>
      <c r="F708" s="10"/>
      <c r="G708" s="4"/>
    </row>
    <row r="709" spans="1:7" ht="12.75">
      <c r="A709" s="8" t="s">
        <v>13</v>
      </c>
      <c r="B709" s="10" t="s">
        <v>14</v>
      </c>
      <c r="C709" s="3"/>
      <c r="D709" s="3"/>
      <c r="E709" s="3"/>
      <c r="F709" s="3"/>
      <c r="G709" s="4"/>
    </row>
    <row r="710" spans="1:7" ht="12.75">
      <c r="A710" s="11" t="s">
        <v>15</v>
      </c>
      <c r="B710" s="3"/>
      <c r="C710" s="3"/>
      <c r="D710" s="3"/>
      <c r="E710" s="3"/>
      <c r="F710" s="4"/>
      <c r="G710" s="12" t="s">
        <v>16</v>
      </c>
    </row>
    <row r="711" spans="1:7" ht="12.75">
      <c r="A711" s="13"/>
      <c r="B711" s="13" t="s">
        <v>71</v>
      </c>
      <c r="C711" s="10" t="s">
        <v>72</v>
      </c>
      <c r="D711" s="3"/>
      <c r="E711" s="4"/>
      <c r="F711" s="10"/>
      <c r="G711" s="4"/>
    </row>
    <row r="712" spans="1:7" ht="12.75">
      <c r="A712" s="5"/>
      <c r="B712" s="5"/>
      <c r="C712" s="8" t="s">
        <v>11</v>
      </c>
      <c r="D712" s="9">
        <v>11.50</v>
      </c>
      <c r="E712" s="9">
        <v>60</v>
      </c>
      <c r="F712" s="9">
        <f>E712*D712</f>
        <v>690</v>
      </c>
      <c r="G712" s="8" t="s">
        <v>19</v>
      </c>
    </row>
    <row r="713" spans="1:7" ht="12.75">
      <c r="A713" s="14" t="s">
        <v>20</v>
      </c>
      <c r="B713" s="3"/>
      <c r="C713" s="4"/>
      <c r="D713" s="9">
        <v>10</v>
      </c>
      <c r="E713" s="15" t="s">
        <v>11</v>
      </c>
      <c r="F713" s="9">
        <f>F712</f>
        <v>690</v>
      </c>
      <c r="G713" s="8"/>
    </row>
    <row r="714" spans="1:7" ht="12.75">
      <c r="A714" s="14" t="s">
        <v>21</v>
      </c>
      <c r="B714" s="3"/>
      <c r="C714" s="4"/>
      <c r="D714" s="9">
        <v>1</v>
      </c>
      <c r="E714" s="15" t="s">
        <v>11</v>
      </c>
      <c r="F714" s="9">
        <f>F713/D713</f>
        <v>69</v>
      </c>
      <c r="G714" s="8"/>
    </row>
    <row r="715" spans="1:7" ht="12.75">
      <c r="A715" s="16" t="s">
        <v>22</v>
      </c>
      <c r="B715" s="3"/>
      <c r="C715" s="3"/>
      <c r="D715" s="4"/>
      <c r="E715" s="9"/>
      <c r="F715" s="9">
        <f>F714*1%</f>
        <v>0.69</v>
      </c>
      <c r="G715" s="8"/>
    </row>
    <row r="716" spans="1:7" ht="12.75">
      <c r="A716" s="16" t="s">
        <v>20</v>
      </c>
      <c r="B716" s="3"/>
      <c r="C716" s="3"/>
      <c r="D716" s="4"/>
      <c r="E716" s="15"/>
      <c r="F716" s="9">
        <f>F714+F715</f>
        <v>69.69</v>
      </c>
      <c r="G716" s="8"/>
    </row>
    <row r="717" spans="1:7" ht="12.75">
      <c r="A717" s="16" t="s">
        <v>23</v>
      </c>
      <c r="B717" s="3"/>
      <c r="C717" s="3"/>
      <c r="D717" s="4"/>
      <c r="E717" s="9"/>
      <c r="F717" s="9">
        <f>F716*15%</f>
        <v>10.4535</v>
      </c>
      <c r="G717" s="8"/>
    </row>
    <row r="718" spans="1:7" ht="12.75">
      <c r="A718" s="16" t="s">
        <v>20</v>
      </c>
      <c r="B718" s="3"/>
      <c r="C718" s="3"/>
      <c r="D718" s="4"/>
      <c r="E718" s="15"/>
      <c r="F718" s="17">
        <f>ROUND(F716+F717,2)</f>
        <v>80.14</v>
      </c>
      <c r="G718" s="8"/>
    </row>
    <row r="719" spans="1:7" ht="12.75">
      <c r="A719" s="11" t="s">
        <v>24</v>
      </c>
      <c r="B719" s="3"/>
      <c r="C719" s="3"/>
      <c r="D719" s="3"/>
      <c r="E719" s="3"/>
      <c r="F719" s="4"/>
      <c r="G719" s="12" t="s">
        <v>25</v>
      </c>
    </row>
    <row r="720" spans="1:7" ht="12.75">
      <c r="A720" s="13">
        <v>116</v>
      </c>
      <c r="B720" s="13"/>
      <c r="C720" s="10" t="s">
        <v>26</v>
      </c>
      <c r="D720" s="3"/>
      <c r="E720" s="4"/>
      <c r="F720" s="10"/>
      <c r="G720" s="4"/>
    </row>
    <row r="721" spans="1:7" ht="12.75">
      <c r="A721" s="5"/>
      <c r="B721" s="5"/>
      <c r="C721" s="8" t="s">
        <v>27</v>
      </c>
      <c r="D721" s="9">
        <v>0.33</v>
      </c>
      <c r="E721" s="9">
        <v>784</v>
      </c>
      <c r="F721" s="9">
        <f>E721*D721</f>
        <v>258.72</v>
      </c>
      <c r="G721" s="8" t="s">
        <v>28</v>
      </c>
    </row>
    <row r="722" spans="1:7" ht="12.75">
      <c r="A722" s="13">
        <v>117</v>
      </c>
      <c r="B722" s="13"/>
      <c r="C722" s="10" t="s">
        <v>29</v>
      </c>
      <c r="D722" s="3"/>
      <c r="E722" s="4"/>
      <c r="F722" s="10"/>
      <c r="G722" s="4"/>
    </row>
    <row r="723" spans="1:7" ht="12.75">
      <c r="A723" s="5"/>
      <c r="B723" s="5"/>
      <c r="C723" s="8" t="s">
        <v>27</v>
      </c>
      <c r="D723" s="9">
        <v>1.31</v>
      </c>
      <c r="E723" s="9">
        <v>714</v>
      </c>
      <c r="F723" s="9">
        <f>E723*D723</f>
        <v>935.34</v>
      </c>
      <c r="G723" s="8" t="s">
        <v>30</v>
      </c>
    </row>
    <row r="724" spans="1:7" ht="12.75">
      <c r="A724" s="13">
        <v>114</v>
      </c>
      <c r="B724" s="13"/>
      <c r="C724" s="10" t="s">
        <v>31</v>
      </c>
      <c r="D724" s="3"/>
      <c r="E724" s="4"/>
      <c r="F724" s="10"/>
      <c r="G724" s="4"/>
    </row>
    <row r="725" spans="1:7" ht="12.75">
      <c r="A725" s="5"/>
      <c r="B725" s="5"/>
      <c r="C725" s="8" t="s">
        <v>27</v>
      </c>
      <c r="D725" s="9">
        <v>1.31</v>
      </c>
      <c r="E725" s="9">
        <v>645</v>
      </c>
      <c r="F725" s="9">
        <f>E725*D725</f>
        <v>844.95</v>
      </c>
      <c r="G725" s="8" t="s">
        <v>32</v>
      </c>
    </row>
    <row r="726" spans="1:7" ht="12.75">
      <c r="A726" s="11" t="s">
        <v>33</v>
      </c>
      <c r="B726" s="3"/>
      <c r="C726" s="3"/>
      <c r="D726" s="3"/>
      <c r="E726" s="3"/>
      <c r="F726" s="4"/>
      <c r="G726" s="12" t="s">
        <v>25</v>
      </c>
    </row>
    <row r="727" spans="1:7" ht="12.75">
      <c r="A727" s="13">
        <v>9999</v>
      </c>
      <c r="B727" s="13"/>
      <c r="C727" s="10" t="s">
        <v>42</v>
      </c>
      <c r="D727" s="3"/>
      <c r="E727" s="4"/>
      <c r="F727" s="10"/>
      <c r="G727" s="4"/>
    </row>
    <row r="728" spans="1:7" ht="12.75">
      <c r="A728" s="5"/>
      <c r="B728" s="5"/>
      <c r="C728" s="8" t="s">
        <v>35</v>
      </c>
      <c r="D728" s="9">
        <v>5.33</v>
      </c>
      <c r="E728" s="9">
        <v>2.12</v>
      </c>
      <c r="F728" s="9">
        <f>E728*D728</f>
        <v>11.2996</v>
      </c>
      <c r="G728" s="8" t="s">
        <v>36</v>
      </c>
    </row>
    <row r="729" spans="1:7" ht="12.75">
      <c r="A729" s="13">
        <v>9999</v>
      </c>
      <c r="B729" s="13"/>
      <c r="C729" s="10" t="s">
        <v>76</v>
      </c>
      <c r="D729" s="3"/>
      <c r="E729" s="4"/>
      <c r="F729" s="10"/>
      <c r="G729" s="4"/>
    </row>
    <row r="730" spans="1:7" ht="12.75">
      <c r="A730" s="5"/>
      <c r="B730" s="5"/>
      <c r="C730" s="8" t="s">
        <v>35</v>
      </c>
      <c r="D730" s="9">
        <v>30.98</v>
      </c>
      <c r="E730" s="9">
        <v>2.12</v>
      </c>
      <c r="F730" s="9">
        <f>E730*D730</f>
        <v>65.677599999999998</v>
      </c>
      <c r="G730" s="8" t="s">
        <v>77</v>
      </c>
    </row>
    <row r="731" spans="1:7" ht="12.75">
      <c r="A731" s="14" t="s">
        <v>20</v>
      </c>
      <c r="B731" s="3"/>
      <c r="C731" s="4"/>
      <c r="D731" s="9">
        <v>10</v>
      </c>
      <c r="E731" s="15" t="s">
        <v>11</v>
      </c>
      <c r="F731" s="9">
        <f>F721+F723+F725+F728+F730</f>
        <v>2115.9872</v>
      </c>
      <c r="G731" s="15"/>
    </row>
    <row r="732" spans="1:7" ht="12.75">
      <c r="A732" s="14" t="s">
        <v>21</v>
      </c>
      <c r="B732" s="3"/>
      <c r="C732" s="4"/>
      <c r="D732" s="9">
        <v>1</v>
      </c>
      <c r="E732" s="15" t="s">
        <v>11</v>
      </c>
      <c r="F732" s="9">
        <f>F731/D731</f>
        <v>211.59871999999999</v>
      </c>
      <c r="G732" s="15"/>
    </row>
    <row r="733" spans="1:7" ht="12.75">
      <c r="A733" s="16" t="s">
        <v>22</v>
      </c>
      <c r="B733" s="3"/>
      <c r="C733" s="3"/>
      <c r="D733" s="4"/>
      <c r="E733" s="9"/>
      <c r="F733" s="9">
        <f>F732*1%</f>
        <v>2.1159872000000002</v>
      </c>
      <c r="G733" s="15"/>
    </row>
    <row r="734" spans="1:7" ht="12.75">
      <c r="A734" s="16" t="s">
        <v>20</v>
      </c>
      <c r="B734" s="3"/>
      <c r="C734" s="3"/>
      <c r="D734" s="4"/>
      <c r="E734" s="15"/>
      <c r="F734" s="9">
        <f>F732+F733</f>
        <v>213.71470719999999</v>
      </c>
      <c r="G734" s="15"/>
    </row>
    <row r="735" spans="1:7" ht="12.75">
      <c r="A735" s="16" t="s">
        <v>23</v>
      </c>
      <c r="B735" s="3"/>
      <c r="C735" s="3"/>
      <c r="D735" s="4"/>
      <c r="E735" s="9"/>
      <c r="F735" s="9">
        <f>F734*15%</f>
        <v>32.05720608</v>
      </c>
      <c r="G735" s="15"/>
    </row>
    <row r="736" spans="1:7" ht="12.75">
      <c r="A736" s="16" t="s">
        <v>20</v>
      </c>
      <c r="B736" s="3"/>
      <c r="C736" s="3"/>
      <c r="D736" s="4"/>
      <c r="E736" s="15"/>
      <c r="F736" s="17">
        <f>ROUND(F734+F735,2)</f>
        <v>245.77</v>
      </c>
      <c r="G736" s="15"/>
    </row>
    <row r="737" spans="1:7" ht="12.75">
      <c r="A737" s="19" t="str">
        <f>CONCATENATE("Say ₹ ",F718," + ",F736," x Cost Index")</f>
        <v>Say ₹ 80.14 + 245.77 x Cost Index</v>
      </c>
      <c r="B737" s="3"/>
      <c r="C737" s="3"/>
      <c r="D737" s="3"/>
      <c r="E737" s="3"/>
      <c r="F737" s="4"/>
      <c r="G737" s="20" t="s">
        <v>37</v>
      </c>
    </row>
    <row r="738" spans="1:7" ht="12.75">
      <c r="A738" s="1" t="s">
        <v>0</v>
      </c>
      <c r="B738" s="1" t="s">
        <v>1</v>
      </c>
      <c r="C738" s="2" t="s">
        <v>2</v>
      </c>
      <c r="D738" s="3"/>
      <c r="E738" s="4"/>
      <c r="F738" s="2" t="s">
        <v>3</v>
      </c>
      <c r="G738" s="4"/>
    </row>
    <row r="739" spans="1:7" ht="12.75">
      <c r="A739" s="5"/>
      <c r="B739" s="5"/>
      <c r="C739" s="6" t="s">
        <v>4</v>
      </c>
      <c r="D739" s="6" t="s">
        <v>5</v>
      </c>
      <c r="E739" s="6" t="s">
        <v>6</v>
      </c>
      <c r="F739" s="6" t="s">
        <v>7</v>
      </c>
      <c r="G739" s="6" t="s">
        <v>8</v>
      </c>
    </row>
    <row r="740" spans="1:7" ht="12.75">
      <c r="A740" s="7" t="s">
        <v>96</v>
      </c>
      <c r="B740" s="3"/>
      <c r="C740" s="3"/>
      <c r="D740" s="3"/>
      <c r="E740" s="3"/>
      <c r="F740" s="3"/>
      <c r="G740" s="4"/>
    </row>
    <row r="741" spans="1:7" ht="12.75">
      <c r="A741" s="8"/>
      <c r="B741" s="8" t="s">
        <v>10</v>
      </c>
      <c r="C741" s="8" t="s">
        <v>11</v>
      </c>
      <c r="D741" s="8" t="s">
        <v>12</v>
      </c>
      <c r="E741" s="9">
        <v>10</v>
      </c>
      <c r="F741" s="10"/>
      <c r="G741" s="4"/>
    </row>
    <row r="742" spans="1:7" ht="12.75">
      <c r="A742" s="8" t="s">
        <v>13</v>
      </c>
      <c r="B742" s="10" t="s">
        <v>39</v>
      </c>
      <c r="C742" s="3"/>
      <c r="D742" s="3"/>
      <c r="E742" s="3"/>
      <c r="F742" s="3"/>
      <c r="G742" s="4"/>
    </row>
    <row r="743" spans="1:7" ht="12.75">
      <c r="A743" s="11" t="s">
        <v>15</v>
      </c>
      <c r="B743" s="3"/>
      <c r="C743" s="3"/>
      <c r="D743" s="3"/>
      <c r="E743" s="3"/>
      <c r="F743" s="4"/>
      <c r="G743" s="12" t="s">
        <v>16</v>
      </c>
    </row>
    <row r="744" spans="1:7" ht="12.75">
      <c r="A744" s="13"/>
      <c r="B744" s="13" t="s">
        <v>97</v>
      </c>
      <c r="C744" s="10" t="s">
        <v>98</v>
      </c>
      <c r="D744" s="3"/>
      <c r="E744" s="4"/>
      <c r="F744" s="10"/>
      <c r="G744" s="4"/>
    </row>
    <row r="745" spans="1:7" ht="12.75">
      <c r="A745" s="5"/>
      <c r="B745" s="5"/>
      <c r="C745" s="8" t="s">
        <v>11</v>
      </c>
      <c r="D745" s="9">
        <v>10.50</v>
      </c>
      <c r="E745" s="9">
        <v>118</v>
      </c>
      <c r="F745" s="9">
        <f>E745*D745</f>
        <v>1239</v>
      </c>
      <c r="G745" s="8" t="s">
        <v>19</v>
      </c>
    </row>
    <row r="746" spans="1:7" ht="12.75">
      <c r="A746" s="14" t="s">
        <v>20</v>
      </c>
      <c r="B746" s="3"/>
      <c r="C746" s="4"/>
      <c r="D746" s="9">
        <v>10</v>
      </c>
      <c r="E746" s="15" t="s">
        <v>11</v>
      </c>
      <c r="F746" s="9">
        <f>F745</f>
        <v>1239</v>
      </c>
      <c r="G746" s="8"/>
    </row>
    <row r="747" spans="1:7" ht="12.75">
      <c r="A747" s="14" t="s">
        <v>21</v>
      </c>
      <c r="B747" s="3"/>
      <c r="C747" s="4"/>
      <c r="D747" s="9">
        <v>1</v>
      </c>
      <c r="E747" s="15" t="s">
        <v>11</v>
      </c>
      <c r="F747" s="9">
        <f>F746/D746</f>
        <v>123.90</v>
      </c>
      <c r="G747" s="8"/>
    </row>
    <row r="748" spans="1:7" ht="12.75">
      <c r="A748" s="16" t="s">
        <v>22</v>
      </c>
      <c r="B748" s="3"/>
      <c r="C748" s="3"/>
      <c r="D748" s="4"/>
      <c r="E748" s="9"/>
      <c r="F748" s="9">
        <f>F747*1%</f>
        <v>1.2390000000000001</v>
      </c>
      <c r="G748" s="8"/>
    </row>
    <row r="749" spans="1:7" ht="12.75">
      <c r="A749" s="16" t="s">
        <v>20</v>
      </c>
      <c r="B749" s="3"/>
      <c r="C749" s="3"/>
      <c r="D749" s="4"/>
      <c r="E749" s="15"/>
      <c r="F749" s="9">
        <f>F747+F748</f>
        <v>125.139</v>
      </c>
      <c r="G749" s="8"/>
    </row>
    <row r="750" spans="1:7" ht="12.75">
      <c r="A750" s="16" t="s">
        <v>23</v>
      </c>
      <c r="B750" s="3"/>
      <c r="C750" s="3"/>
      <c r="D750" s="4"/>
      <c r="E750" s="9"/>
      <c r="F750" s="9">
        <f>F749*15%</f>
        <v>18.770849999999999</v>
      </c>
      <c r="G750" s="8"/>
    </row>
    <row r="751" spans="1:7" ht="12.75">
      <c r="A751" s="16" t="s">
        <v>20</v>
      </c>
      <c r="B751" s="3"/>
      <c r="C751" s="3"/>
      <c r="D751" s="4"/>
      <c r="E751" s="15"/>
      <c r="F751" s="17">
        <f>ROUND(F749+F750,2)</f>
        <v>143.91</v>
      </c>
      <c r="G751" s="8"/>
    </row>
    <row r="752" spans="1:7" ht="12.75">
      <c r="A752" s="11" t="s">
        <v>24</v>
      </c>
      <c r="B752" s="3"/>
      <c r="C752" s="3"/>
      <c r="D752" s="3"/>
      <c r="E752" s="3"/>
      <c r="F752" s="4"/>
      <c r="G752" s="12" t="s">
        <v>25</v>
      </c>
    </row>
    <row r="753" spans="1:7" ht="12.75">
      <c r="A753" s="13">
        <v>116</v>
      </c>
      <c r="B753" s="13"/>
      <c r="C753" s="10" t="s">
        <v>26</v>
      </c>
      <c r="D753" s="3"/>
      <c r="E753" s="4"/>
      <c r="F753" s="10"/>
      <c r="G753" s="4"/>
    </row>
    <row r="754" spans="1:7" ht="12.75">
      <c r="A754" s="5"/>
      <c r="B754" s="5"/>
      <c r="C754" s="8" t="s">
        <v>27</v>
      </c>
      <c r="D754" s="9">
        <v>0.32</v>
      </c>
      <c r="E754" s="9">
        <v>784</v>
      </c>
      <c r="F754" s="9">
        <f>E754*D754</f>
        <v>250.88</v>
      </c>
      <c r="G754" s="8" t="s">
        <v>28</v>
      </c>
    </row>
    <row r="755" spans="1:7" ht="12.75">
      <c r="A755" s="13">
        <v>114</v>
      </c>
      <c r="B755" s="13"/>
      <c r="C755" s="10" t="s">
        <v>31</v>
      </c>
      <c r="D755" s="3"/>
      <c r="E755" s="4"/>
      <c r="F755" s="10"/>
      <c r="G755" s="4"/>
    </row>
    <row r="756" spans="1:7" ht="12.75">
      <c r="A756" s="5"/>
      <c r="B756" s="5"/>
      <c r="C756" s="8" t="s">
        <v>27</v>
      </c>
      <c r="D756" s="9">
        <v>0.62</v>
      </c>
      <c r="E756" s="9">
        <v>645</v>
      </c>
      <c r="F756" s="9">
        <f>E756*D756</f>
        <v>399.90</v>
      </c>
      <c r="G756" s="8" t="s">
        <v>30</v>
      </c>
    </row>
    <row r="757" spans="1:7" ht="12.75">
      <c r="A757" s="13">
        <v>100</v>
      </c>
      <c r="B757" s="13"/>
      <c r="C757" s="10" t="s">
        <v>99</v>
      </c>
      <c r="D757" s="3"/>
      <c r="E757" s="4"/>
      <c r="F757" s="10"/>
      <c r="G757" s="4"/>
    </row>
    <row r="758" spans="1:7" ht="12.75">
      <c r="A758" s="5"/>
      <c r="B758" s="5"/>
      <c r="C758" s="8" t="s">
        <v>27</v>
      </c>
      <c r="D758" s="9">
        <v>0.13</v>
      </c>
      <c r="E758" s="9">
        <v>714</v>
      </c>
      <c r="F758" s="9">
        <f>E758*D758</f>
        <v>92.82</v>
      </c>
      <c r="G758" s="8" t="s">
        <v>32</v>
      </c>
    </row>
    <row r="759" spans="1:7" ht="12.75">
      <c r="A759" s="11" t="s">
        <v>33</v>
      </c>
      <c r="B759" s="3"/>
      <c r="C759" s="3"/>
      <c r="D759" s="3"/>
      <c r="E759" s="3"/>
      <c r="F759" s="4"/>
      <c r="G759" s="12" t="s">
        <v>25</v>
      </c>
    </row>
    <row r="760" spans="1:7" ht="12.75">
      <c r="A760" s="13">
        <v>9999</v>
      </c>
      <c r="B760" s="13"/>
      <c r="C760" s="10" t="s">
        <v>100</v>
      </c>
      <c r="D760" s="3"/>
      <c r="E760" s="4"/>
      <c r="F760" s="10"/>
      <c r="G760" s="4"/>
    </row>
    <row r="761" spans="1:7" ht="12.75">
      <c r="A761" s="5"/>
      <c r="B761" s="5"/>
      <c r="C761" s="8" t="s">
        <v>35</v>
      </c>
      <c r="D761" s="9">
        <v>22.53</v>
      </c>
      <c r="E761" s="9">
        <v>2.12</v>
      </c>
      <c r="F761" s="9">
        <f>E761*D761</f>
        <v>47.763599999999997</v>
      </c>
      <c r="G761" s="8" t="s">
        <v>36</v>
      </c>
    </row>
    <row r="762" spans="1:7" ht="12.75">
      <c r="A762" s="13">
        <v>9999</v>
      </c>
      <c r="B762" s="13"/>
      <c r="C762" s="10" t="s">
        <v>101</v>
      </c>
      <c r="D762" s="3"/>
      <c r="E762" s="4"/>
      <c r="F762" s="10"/>
      <c r="G762" s="4"/>
    </row>
    <row r="763" spans="1:7" ht="12.75">
      <c r="A763" s="5"/>
      <c r="B763" s="5"/>
      <c r="C763" s="8" t="s">
        <v>35</v>
      </c>
      <c r="D763" s="9">
        <v>10.27</v>
      </c>
      <c r="E763" s="9">
        <v>2.12</v>
      </c>
      <c r="F763" s="9">
        <f>E763*D763</f>
        <v>21.772400000000001</v>
      </c>
      <c r="G763" s="8" t="s">
        <v>77</v>
      </c>
    </row>
    <row r="764" spans="1:7" ht="12.75">
      <c r="A764" s="13">
        <v>9999</v>
      </c>
      <c r="B764" s="13"/>
      <c r="C764" s="10" t="s">
        <v>76</v>
      </c>
      <c r="D764" s="3"/>
      <c r="E764" s="4"/>
      <c r="F764" s="10"/>
      <c r="G764" s="4"/>
    </row>
    <row r="765" spans="1:7" ht="12.75">
      <c r="A765" s="5"/>
      <c r="B765" s="5"/>
      <c r="C765" s="8" t="s">
        <v>35</v>
      </c>
      <c r="D765" s="9">
        <v>30.98</v>
      </c>
      <c r="E765" s="9">
        <v>2.12</v>
      </c>
      <c r="F765" s="9">
        <f>E765*D765</f>
        <v>65.677599999999998</v>
      </c>
      <c r="G765" s="8" t="s">
        <v>102</v>
      </c>
    </row>
    <row r="766" spans="1:7" ht="12.75">
      <c r="A766" s="14" t="s">
        <v>20</v>
      </c>
      <c r="B766" s="3"/>
      <c r="C766" s="4"/>
      <c r="D766" s="9">
        <v>10</v>
      </c>
      <c r="E766" s="15" t="s">
        <v>11</v>
      </c>
      <c r="F766" s="9">
        <f>F754+F756+F758+F761+F763+F765</f>
        <v>878.81359999999995</v>
      </c>
      <c r="G766" s="15"/>
    </row>
    <row r="767" spans="1:7" ht="12.75">
      <c r="A767" s="14" t="s">
        <v>21</v>
      </c>
      <c r="B767" s="3"/>
      <c r="C767" s="4"/>
      <c r="D767" s="9">
        <v>1</v>
      </c>
      <c r="E767" s="15" t="s">
        <v>11</v>
      </c>
      <c r="F767" s="9">
        <f>F766/D766</f>
        <v>87.881360000000001</v>
      </c>
      <c r="G767" s="15"/>
    </row>
    <row r="768" spans="1:7" ht="12.75">
      <c r="A768" s="16" t="s">
        <v>22</v>
      </c>
      <c r="B768" s="3"/>
      <c r="C768" s="3"/>
      <c r="D768" s="4"/>
      <c r="E768" s="9"/>
      <c r="F768" s="9">
        <f>F767*1%</f>
        <v>0.87881359999999997</v>
      </c>
      <c r="G768" s="15"/>
    </row>
    <row r="769" spans="1:7" ht="12.75">
      <c r="A769" s="16" t="s">
        <v>20</v>
      </c>
      <c r="B769" s="3"/>
      <c r="C769" s="3"/>
      <c r="D769" s="4"/>
      <c r="E769" s="15"/>
      <c r="F769" s="9">
        <f>F767+F768</f>
        <v>88.760173600000002</v>
      </c>
      <c r="G769" s="15"/>
    </row>
    <row r="770" spans="1:7" ht="12.75">
      <c r="A770" s="16" t="s">
        <v>23</v>
      </c>
      <c r="B770" s="3"/>
      <c r="C770" s="3"/>
      <c r="D770" s="4"/>
      <c r="E770" s="9"/>
      <c r="F770" s="9">
        <f>F769*15%</f>
        <v>13.31402604</v>
      </c>
      <c r="G770" s="15"/>
    </row>
    <row r="771" spans="1:7" ht="12.75">
      <c r="A771" s="16" t="s">
        <v>20</v>
      </c>
      <c r="B771" s="3"/>
      <c r="C771" s="3"/>
      <c r="D771" s="4"/>
      <c r="E771" s="15"/>
      <c r="F771" s="17">
        <f>ROUND(F769+F770,2)</f>
        <v>102.07</v>
      </c>
      <c r="G771" s="15"/>
    </row>
    <row r="772" spans="1:7" ht="12.75">
      <c r="A772" s="19" t="str">
        <f>CONCATENATE("Say ₹ ",F751," + ",F771," x Cost Index")</f>
        <v>Say ₹ 143.91 + 102.07 x Cost Index</v>
      </c>
      <c r="B772" s="3"/>
      <c r="C772" s="3"/>
      <c r="D772" s="3"/>
      <c r="E772" s="3"/>
      <c r="F772" s="4"/>
      <c r="G772" s="20" t="s">
        <v>37</v>
      </c>
    </row>
    <row r="773" spans="1:7" ht="12.75">
      <c r="A773" s="1" t="s">
        <v>0</v>
      </c>
      <c r="B773" s="1" t="s">
        <v>1</v>
      </c>
      <c r="C773" s="2" t="s">
        <v>2</v>
      </c>
      <c r="D773" s="3"/>
      <c r="E773" s="4"/>
      <c r="F773" s="2" t="s">
        <v>3</v>
      </c>
      <c r="G773" s="4"/>
    </row>
    <row r="774" spans="1:7" ht="12.75">
      <c r="A774" s="5"/>
      <c r="B774" s="5"/>
      <c r="C774" s="6" t="s">
        <v>4</v>
      </c>
      <c r="D774" s="6" t="s">
        <v>5</v>
      </c>
      <c r="E774" s="6" t="s">
        <v>6</v>
      </c>
      <c r="F774" s="6" t="s">
        <v>7</v>
      </c>
      <c r="G774" s="6" t="s">
        <v>8</v>
      </c>
    </row>
    <row r="775" spans="1:7" ht="12.75">
      <c r="A775" s="7" t="s">
        <v>103</v>
      </c>
      <c r="B775" s="3"/>
      <c r="C775" s="3"/>
      <c r="D775" s="3"/>
      <c r="E775" s="3"/>
      <c r="F775" s="3"/>
      <c r="G775" s="4"/>
    </row>
    <row r="776" spans="1:7" ht="12.75">
      <c r="A776" s="8"/>
      <c r="B776" s="8" t="s">
        <v>10</v>
      </c>
      <c r="C776" s="8" t="s">
        <v>11</v>
      </c>
      <c r="D776" s="8" t="s">
        <v>12</v>
      </c>
      <c r="E776" s="9">
        <v>10</v>
      </c>
      <c r="F776" s="10"/>
      <c r="G776" s="4"/>
    </row>
    <row r="777" spans="1:7" ht="12.75">
      <c r="A777" s="8" t="s">
        <v>13</v>
      </c>
      <c r="B777" s="10" t="s">
        <v>14</v>
      </c>
      <c r="C777" s="3"/>
      <c r="D777" s="3"/>
      <c r="E777" s="3"/>
      <c r="F777" s="3"/>
      <c r="G777" s="4"/>
    </row>
    <row r="778" spans="1:7" ht="12.75">
      <c r="A778" s="11" t="s">
        <v>15</v>
      </c>
      <c r="B778" s="3"/>
      <c r="C778" s="3"/>
      <c r="D778" s="3"/>
      <c r="E778" s="3"/>
      <c r="F778" s="4"/>
      <c r="G778" s="12" t="s">
        <v>16</v>
      </c>
    </row>
    <row r="779" spans="1:7" ht="12.75">
      <c r="A779" s="13"/>
      <c r="B779" s="13" t="s">
        <v>104</v>
      </c>
      <c r="C779" s="10" t="s">
        <v>105</v>
      </c>
      <c r="D779" s="3"/>
      <c r="E779" s="4"/>
      <c r="F779" s="10"/>
      <c r="G779" s="4"/>
    </row>
    <row r="780" spans="1:7" ht="12.75">
      <c r="A780" s="5"/>
      <c r="B780" s="5"/>
      <c r="C780" s="8" t="s">
        <v>11</v>
      </c>
      <c r="D780" s="9">
        <v>10.50</v>
      </c>
      <c r="E780" s="9">
        <v>83</v>
      </c>
      <c r="F780" s="9">
        <f>E780*D780</f>
        <v>871.50</v>
      </c>
      <c r="G780" s="8" t="s">
        <v>19</v>
      </c>
    </row>
    <row r="781" spans="1:7" ht="12.75">
      <c r="A781" s="14" t="s">
        <v>20</v>
      </c>
      <c r="B781" s="3"/>
      <c r="C781" s="4"/>
      <c r="D781" s="9">
        <v>10</v>
      </c>
      <c r="E781" s="15" t="s">
        <v>11</v>
      </c>
      <c r="F781" s="9">
        <f>F780</f>
        <v>871.50</v>
      </c>
      <c r="G781" s="8"/>
    </row>
    <row r="782" spans="1:7" ht="12.75">
      <c r="A782" s="14" t="s">
        <v>21</v>
      </c>
      <c r="B782" s="3"/>
      <c r="C782" s="4"/>
      <c r="D782" s="9">
        <v>1</v>
      </c>
      <c r="E782" s="15" t="s">
        <v>11</v>
      </c>
      <c r="F782" s="9">
        <f>F781/D781</f>
        <v>87.15</v>
      </c>
      <c r="G782" s="8"/>
    </row>
    <row r="783" spans="1:7" ht="12.75">
      <c r="A783" s="16" t="s">
        <v>22</v>
      </c>
      <c r="B783" s="3"/>
      <c r="C783" s="3"/>
      <c r="D783" s="4"/>
      <c r="E783" s="9"/>
      <c r="F783" s="9">
        <f>F782*1%</f>
        <v>0.87150000000000005</v>
      </c>
      <c r="G783" s="8"/>
    </row>
    <row r="784" spans="1:7" ht="12.75">
      <c r="A784" s="16" t="s">
        <v>20</v>
      </c>
      <c r="B784" s="3"/>
      <c r="C784" s="3"/>
      <c r="D784" s="4"/>
      <c r="E784" s="15"/>
      <c r="F784" s="9">
        <f>F782+F783</f>
        <v>88.021500000000003</v>
      </c>
      <c r="G784" s="8"/>
    </row>
    <row r="785" spans="1:7" ht="12.75">
      <c r="A785" s="16" t="s">
        <v>23</v>
      </c>
      <c r="B785" s="3"/>
      <c r="C785" s="3"/>
      <c r="D785" s="4"/>
      <c r="E785" s="9"/>
      <c r="F785" s="9">
        <f>F784*15%</f>
        <v>13.203225</v>
      </c>
      <c r="G785" s="8"/>
    </row>
    <row r="786" spans="1:7" ht="12.75">
      <c r="A786" s="16" t="s">
        <v>20</v>
      </c>
      <c r="B786" s="3"/>
      <c r="C786" s="3"/>
      <c r="D786" s="4"/>
      <c r="E786" s="15"/>
      <c r="F786" s="17">
        <f>ROUND(F784+F785,2)</f>
        <v>101.22</v>
      </c>
      <c r="G786" s="8"/>
    </row>
    <row r="787" spans="1:7" ht="12.75">
      <c r="A787" s="11" t="s">
        <v>24</v>
      </c>
      <c r="B787" s="3"/>
      <c r="C787" s="3"/>
      <c r="D787" s="3"/>
      <c r="E787" s="3"/>
      <c r="F787" s="4"/>
      <c r="G787" s="12" t="s">
        <v>25</v>
      </c>
    </row>
    <row r="788" spans="1:7" ht="12.75">
      <c r="A788" s="13">
        <v>116</v>
      </c>
      <c r="B788" s="13"/>
      <c r="C788" s="10" t="s">
        <v>26</v>
      </c>
      <c r="D788" s="3"/>
      <c r="E788" s="4"/>
      <c r="F788" s="10"/>
      <c r="G788" s="4"/>
    </row>
    <row r="789" spans="1:7" ht="12.75">
      <c r="A789" s="5"/>
      <c r="B789" s="5"/>
      <c r="C789" s="8" t="s">
        <v>27</v>
      </c>
      <c r="D789" s="9">
        <v>0.32</v>
      </c>
      <c r="E789" s="9">
        <v>784</v>
      </c>
      <c r="F789" s="9">
        <f>E789*D789</f>
        <v>250.88</v>
      </c>
      <c r="G789" s="8" t="s">
        <v>28</v>
      </c>
    </row>
    <row r="790" spans="1:7" ht="12.75">
      <c r="A790" s="13">
        <v>114</v>
      </c>
      <c r="B790" s="13"/>
      <c r="C790" s="10" t="s">
        <v>31</v>
      </c>
      <c r="D790" s="3"/>
      <c r="E790" s="4"/>
      <c r="F790" s="10"/>
      <c r="G790" s="4"/>
    </row>
    <row r="791" spans="1:7" ht="12.75">
      <c r="A791" s="5"/>
      <c r="B791" s="5"/>
      <c r="C791" s="8" t="s">
        <v>27</v>
      </c>
      <c r="D791" s="9">
        <v>0.62</v>
      </c>
      <c r="E791" s="9">
        <v>645</v>
      </c>
      <c r="F791" s="9">
        <f>E791*D791</f>
        <v>399.90</v>
      </c>
      <c r="G791" s="8" t="s">
        <v>30</v>
      </c>
    </row>
    <row r="792" spans="1:7" ht="12.75">
      <c r="A792" s="13">
        <v>100</v>
      </c>
      <c r="B792" s="13"/>
      <c r="C792" s="10" t="s">
        <v>99</v>
      </c>
      <c r="D792" s="3"/>
      <c r="E792" s="4"/>
      <c r="F792" s="10"/>
      <c r="G792" s="4"/>
    </row>
    <row r="793" spans="1:7" ht="12.75">
      <c r="A793" s="5"/>
      <c r="B793" s="5"/>
      <c r="C793" s="8" t="s">
        <v>27</v>
      </c>
      <c r="D793" s="9">
        <v>0.13</v>
      </c>
      <c r="E793" s="9">
        <v>714</v>
      </c>
      <c r="F793" s="9">
        <f>E793*D793</f>
        <v>92.82</v>
      </c>
      <c r="G793" s="8" t="s">
        <v>32</v>
      </c>
    </row>
    <row r="794" spans="1:7" ht="12.75">
      <c r="A794" s="11" t="s">
        <v>33</v>
      </c>
      <c r="B794" s="3"/>
      <c r="C794" s="3"/>
      <c r="D794" s="3"/>
      <c r="E794" s="3"/>
      <c r="F794" s="4"/>
      <c r="G794" s="12" t="s">
        <v>25</v>
      </c>
    </row>
    <row r="795" spans="1:7" ht="12.75">
      <c r="A795" s="13">
        <v>9999</v>
      </c>
      <c r="B795" s="13"/>
      <c r="C795" s="10" t="s">
        <v>100</v>
      </c>
      <c r="D795" s="3"/>
      <c r="E795" s="4"/>
      <c r="F795" s="10"/>
      <c r="G795" s="4"/>
    </row>
    <row r="796" spans="1:7" ht="12.75">
      <c r="A796" s="5"/>
      <c r="B796" s="5"/>
      <c r="C796" s="8" t="s">
        <v>35</v>
      </c>
      <c r="D796" s="9">
        <v>22.53</v>
      </c>
      <c r="E796" s="9">
        <v>2.12</v>
      </c>
      <c r="F796" s="9">
        <f>E796*D796</f>
        <v>47.763599999999997</v>
      </c>
      <c r="G796" s="8" t="s">
        <v>36</v>
      </c>
    </row>
    <row r="797" spans="1:7" ht="12.75">
      <c r="A797" s="13">
        <v>9999</v>
      </c>
      <c r="B797" s="13"/>
      <c r="C797" s="10" t="s">
        <v>101</v>
      </c>
      <c r="D797" s="3"/>
      <c r="E797" s="4"/>
      <c r="F797" s="10"/>
      <c r="G797" s="4"/>
    </row>
    <row r="798" spans="1:7" ht="12.75">
      <c r="A798" s="5"/>
      <c r="B798" s="5"/>
      <c r="C798" s="8" t="s">
        <v>35</v>
      </c>
      <c r="D798" s="9">
        <v>10.27</v>
      </c>
      <c r="E798" s="9">
        <v>2.12</v>
      </c>
      <c r="F798" s="9">
        <f>E798*D798</f>
        <v>21.772400000000001</v>
      </c>
      <c r="G798" s="8" t="s">
        <v>77</v>
      </c>
    </row>
    <row r="799" spans="1:7" ht="12.75">
      <c r="A799" s="13">
        <v>9999</v>
      </c>
      <c r="B799" s="13"/>
      <c r="C799" s="10" t="s">
        <v>76</v>
      </c>
      <c r="D799" s="3"/>
      <c r="E799" s="4"/>
      <c r="F799" s="10"/>
      <c r="G799" s="4"/>
    </row>
    <row r="800" spans="1:7" ht="12.75">
      <c r="A800" s="5"/>
      <c r="B800" s="5"/>
      <c r="C800" s="8" t="s">
        <v>35</v>
      </c>
      <c r="D800" s="9">
        <v>30.98</v>
      </c>
      <c r="E800" s="9">
        <v>2.12</v>
      </c>
      <c r="F800" s="9">
        <f>E800*D800</f>
        <v>65.677599999999998</v>
      </c>
      <c r="G800" s="8" t="s">
        <v>102</v>
      </c>
    </row>
    <row r="801" spans="1:7" ht="12.75">
      <c r="A801" s="14" t="s">
        <v>20</v>
      </c>
      <c r="B801" s="3"/>
      <c r="C801" s="4"/>
      <c r="D801" s="9">
        <v>10</v>
      </c>
      <c r="E801" s="15" t="s">
        <v>11</v>
      </c>
      <c r="F801" s="9">
        <f>F789+F791+F793+F796+F798+F800</f>
        <v>878.81359999999995</v>
      </c>
      <c r="G801" s="15"/>
    </row>
    <row r="802" spans="1:7" ht="12.75">
      <c r="A802" s="14" t="s">
        <v>21</v>
      </c>
      <c r="B802" s="3"/>
      <c r="C802" s="4"/>
      <c r="D802" s="9">
        <v>1</v>
      </c>
      <c r="E802" s="15" t="s">
        <v>11</v>
      </c>
      <c r="F802" s="9">
        <f>F801/D801</f>
        <v>87.881360000000001</v>
      </c>
      <c r="G802" s="15"/>
    </row>
    <row r="803" spans="1:7" ht="12.75">
      <c r="A803" s="16" t="s">
        <v>22</v>
      </c>
      <c r="B803" s="3"/>
      <c r="C803" s="3"/>
      <c r="D803" s="4"/>
      <c r="E803" s="9"/>
      <c r="F803" s="9">
        <f>F802*1%</f>
        <v>0.87881359999999997</v>
      </c>
      <c r="G803" s="15"/>
    </row>
    <row r="804" spans="1:7" ht="12.75">
      <c r="A804" s="16" t="s">
        <v>20</v>
      </c>
      <c r="B804" s="3"/>
      <c r="C804" s="3"/>
      <c r="D804" s="4"/>
      <c r="E804" s="15"/>
      <c r="F804" s="9">
        <f>F802+F803</f>
        <v>88.760173600000002</v>
      </c>
      <c r="G804" s="15"/>
    </row>
    <row r="805" spans="1:7" ht="12.75">
      <c r="A805" s="16" t="s">
        <v>23</v>
      </c>
      <c r="B805" s="3"/>
      <c r="C805" s="3"/>
      <c r="D805" s="4"/>
      <c r="E805" s="9"/>
      <c r="F805" s="9">
        <f>F804*15%</f>
        <v>13.31402604</v>
      </c>
      <c r="G805" s="15"/>
    </row>
    <row r="806" spans="1:7" ht="12.75">
      <c r="A806" s="16" t="s">
        <v>20</v>
      </c>
      <c r="B806" s="3"/>
      <c r="C806" s="3"/>
      <c r="D806" s="4"/>
      <c r="E806" s="15"/>
      <c r="F806" s="17">
        <f>ROUND(F804+F805,2)</f>
        <v>102.07</v>
      </c>
      <c r="G806" s="15"/>
    </row>
    <row r="807" spans="1:7" ht="12.75">
      <c r="A807" s="19" t="str">
        <f>CONCATENATE("Say ₹ ",F786," + ",F806," x Cost Index")</f>
        <v>Say ₹ 101.22 + 102.07 x Cost Index</v>
      </c>
      <c r="B807" s="3"/>
      <c r="C807" s="3"/>
      <c r="D807" s="3"/>
      <c r="E807" s="3"/>
      <c r="F807" s="4"/>
      <c r="G807" s="20" t="s">
        <v>37</v>
      </c>
    </row>
    <row r="808" spans="1:7" ht="12.75">
      <c r="A808" s="1" t="s">
        <v>0</v>
      </c>
      <c r="B808" s="1" t="s">
        <v>1</v>
      </c>
      <c r="C808" s="2" t="s">
        <v>2</v>
      </c>
      <c r="D808" s="3"/>
      <c r="E808" s="4"/>
      <c r="F808" s="2" t="s">
        <v>3</v>
      </c>
      <c r="G808" s="4"/>
    </row>
    <row r="809" spans="1:7" ht="12.75">
      <c r="A809" s="5"/>
      <c r="B809" s="5"/>
      <c r="C809" s="6" t="s">
        <v>4</v>
      </c>
      <c r="D809" s="6" t="s">
        <v>5</v>
      </c>
      <c r="E809" s="6" t="s">
        <v>6</v>
      </c>
      <c r="F809" s="6" t="s">
        <v>7</v>
      </c>
      <c r="G809" s="6" t="s">
        <v>8</v>
      </c>
    </row>
    <row r="810" spans="1:7" ht="12.75">
      <c r="A810" s="7" t="s">
        <v>106</v>
      </c>
      <c r="B810" s="3"/>
      <c r="C810" s="3"/>
      <c r="D810" s="3"/>
      <c r="E810" s="3"/>
      <c r="F810" s="3"/>
      <c r="G810" s="4"/>
    </row>
    <row r="811" spans="1:7" ht="12.75">
      <c r="A811" s="8"/>
      <c r="B811" s="8" t="s">
        <v>10</v>
      </c>
      <c r="C811" s="8" t="s">
        <v>11</v>
      </c>
      <c r="D811" s="8" t="s">
        <v>12</v>
      </c>
      <c r="E811" s="9">
        <v>10</v>
      </c>
      <c r="F811" s="10"/>
      <c r="G811" s="4"/>
    </row>
    <row r="812" spans="1:7" ht="12.75">
      <c r="A812" s="8" t="s">
        <v>13</v>
      </c>
      <c r="B812" s="10" t="s">
        <v>107</v>
      </c>
      <c r="C812" s="3"/>
      <c r="D812" s="3"/>
      <c r="E812" s="3"/>
      <c r="F812" s="3"/>
      <c r="G812" s="4"/>
    </row>
    <row r="813" spans="1:7" ht="12.75">
      <c r="A813" s="11" t="s">
        <v>15</v>
      </c>
      <c r="B813" s="3"/>
      <c r="C813" s="3"/>
      <c r="D813" s="3"/>
      <c r="E813" s="3"/>
      <c r="F813" s="4"/>
      <c r="G813" s="12" t="s">
        <v>16</v>
      </c>
    </row>
    <row r="814" spans="1:7" ht="12.75">
      <c r="A814" s="13"/>
      <c r="B814" s="13" t="s">
        <v>108</v>
      </c>
      <c r="C814" s="10" t="s">
        <v>109</v>
      </c>
      <c r="D814" s="3"/>
      <c r="E814" s="4"/>
      <c r="F814" s="10"/>
      <c r="G814" s="4"/>
    </row>
    <row r="815" spans="1:7" ht="12.75">
      <c r="A815" s="5"/>
      <c r="B815" s="5"/>
      <c r="C815" s="8" t="s">
        <v>11</v>
      </c>
      <c r="D815" s="9">
        <v>10.50</v>
      </c>
      <c r="E815" s="9">
        <v>129</v>
      </c>
      <c r="F815" s="9">
        <f>E815*D815</f>
        <v>1354.50</v>
      </c>
      <c r="G815" s="8" t="s">
        <v>19</v>
      </c>
    </row>
    <row r="816" spans="1:7" ht="12.75">
      <c r="A816" s="14" t="s">
        <v>20</v>
      </c>
      <c r="B816" s="3"/>
      <c r="C816" s="4"/>
      <c r="D816" s="9">
        <v>10</v>
      </c>
      <c r="E816" s="15" t="s">
        <v>11</v>
      </c>
      <c r="F816" s="9">
        <f>F815</f>
        <v>1354.50</v>
      </c>
      <c r="G816" s="8"/>
    </row>
    <row r="817" spans="1:7" ht="12.75">
      <c r="A817" s="14" t="s">
        <v>21</v>
      </c>
      <c r="B817" s="3"/>
      <c r="C817" s="4"/>
      <c r="D817" s="9">
        <v>1</v>
      </c>
      <c r="E817" s="15" t="s">
        <v>11</v>
      </c>
      <c r="F817" s="9">
        <f>F816/D816</f>
        <v>135.45</v>
      </c>
      <c r="G817" s="8"/>
    </row>
    <row r="818" spans="1:7" ht="12.75">
      <c r="A818" s="16" t="s">
        <v>22</v>
      </c>
      <c r="B818" s="3"/>
      <c r="C818" s="3"/>
      <c r="D818" s="4"/>
      <c r="E818" s="9"/>
      <c r="F818" s="9">
        <f>F817*1%</f>
        <v>1.3545</v>
      </c>
      <c r="G818" s="8"/>
    </row>
    <row r="819" spans="1:7" ht="12.75">
      <c r="A819" s="16" t="s">
        <v>20</v>
      </c>
      <c r="B819" s="3"/>
      <c r="C819" s="3"/>
      <c r="D819" s="4"/>
      <c r="E819" s="15"/>
      <c r="F819" s="9">
        <f>F817+F818</f>
        <v>136.80449999999999</v>
      </c>
      <c r="G819" s="8"/>
    </row>
    <row r="820" spans="1:7" ht="12.75">
      <c r="A820" s="16" t="s">
        <v>23</v>
      </c>
      <c r="B820" s="3"/>
      <c r="C820" s="3"/>
      <c r="D820" s="4"/>
      <c r="E820" s="9"/>
      <c r="F820" s="9">
        <f>F819*15%</f>
        <v>20.520675000000001</v>
      </c>
      <c r="G820" s="8"/>
    </row>
    <row r="821" spans="1:7" ht="12.75">
      <c r="A821" s="16" t="s">
        <v>20</v>
      </c>
      <c r="B821" s="3"/>
      <c r="C821" s="3"/>
      <c r="D821" s="4"/>
      <c r="E821" s="15"/>
      <c r="F821" s="17">
        <f>ROUND(F819+F820,2)</f>
        <v>157.33</v>
      </c>
      <c r="G821" s="8"/>
    </row>
    <row r="822" spans="1:7" ht="12.75">
      <c r="A822" s="11" t="s">
        <v>24</v>
      </c>
      <c r="B822" s="3"/>
      <c r="C822" s="3"/>
      <c r="D822" s="3"/>
      <c r="E822" s="3"/>
      <c r="F822" s="4"/>
      <c r="G822" s="12" t="s">
        <v>25</v>
      </c>
    </row>
    <row r="823" spans="1:7" ht="12.75">
      <c r="A823" s="13">
        <v>116</v>
      </c>
      <c r="B823" s="13"/>
      <c r="C823" s="10" t="s">
        <v>26</v>
      </c>
      <c r="D823" s="3"/>
      <c r="E823" s="4"/>
      <c r="F823" s="10"/>
      <c r="G823" s="4"/>
    </row>
    <row r="824" spans="1:7" ht="12.75">
      <c r="A824" s="5"/>
      <c r="B824" s="5"/>
      <c r="C824" s="8" t="s">
        <v>27</v>
      </c>
      <c r="D824" s="9">
        <v>0.32</v>
      </c>
      <c r="E824" s="9">
        <v>784</v>
      </c>
      <c r="F824" s="9">
        <f>E824*D824</f>
        <v>250.88</v>
      </c>
      <c r="G824" s="8" t="s">
        <v>28</v>
      </c>
    </row>
    <row r="825" spans="1:7" ht="12.75">
      <c r="A825" s="13">
        <v>114</v>
      </c>
      <c r="B825" s="13"/>
      <c r="C825" s="10" t="s">
        <v>31</v>
      </c>
      <c r="D825" s="3"/>
      <c r="E825" s="4"/>
      <c r="F825" s="10"/>
      <c r="G825" s="4"/>
    </row>
    <row r="826" spans="1:7" ht="12.75">
      <c r="A826" s="5"/>
      <c r="B826" s="5"/>
      <c r="C826" s="8" t="s">
        <v>27</v>
      </c>
      <c r="D826" s="9">
        <v>0.62</v>
      </c>
      <c r="E826" s="9">
        <v>645</v>
      </c>
      <c r="F826" s="9">
        <f>E826*D826</f>
        <v>399.90</v>
      </c>
      <c r="G826" s="8" t="s">
        <v>30</v>
      </c>
    </row>
    <row r="827" spans="1:7" ht="12.75">
      <c r="A827" s="13">
        <v>100</v>
      </c>
      <c r="B827" s="13"/>
      <c r="C827" s="10" t="s">
        <v>99</v>
      </c>
      <c r="D827" s="3"/>
      <c r="E827" s="4"/>
      <c r="F827" s="10"/>
      <c r="G827" s="4"/>
    </row>
    <row r="828" spans="1:7" ht="12.75">
      <c r="A828" s="5"/>
      <c r="B828" s="5"/>
      <c r="C828" s="8" t="s">
        <v>27</v>
      </c>
      <c r="D828" s="9">
        <v>0.13</v>
      </c>
      <c r="E828" s="9">
        <v>714</v>
      </c>
      <c r="F828" s="9">
        <f>E828*D828</f>
        <v>92.82</v>
      </c>
      <c r="G828" s="8" t="s">
        <v>32</v>
      </c>
    </row>
    <row r="829" spans="1:7" ht="12.75">
      <c r="A829" s="11" t="s">
        <v>33</v>
      </c>
      <c r="B829" s="3"/>
      <c r="C829" s="3"/>
      <c r="D829" s="3"/>
      <c r="E829" s="3"/>
      <c r="F829" s="4"/>
      <c r="G829" s="12" t="s">
        <v>25</v>
      </c>
    </row>
    <row r="830" spans="1:7" ht="12.75">
      <c r="A830" s="13">
        <v>9999</v>
      </c>
      <c r="B830" s="13"/>
      <c r="C830" s="10" t="s">
        <v>100</v>
      </c>
      <c r="D830" s="3"/>
      <c r="E830" s="4"/>
      <c r="F830" s="10"/>
      <c r="G830" s="4"/>
    </row>
    <row r="831" spans="1:7" ht="12.75">
      <c r="A831" s="5"/>
      <c r="B831" s="5"/>
      <c r="C831" s="8" t="s">
        <v>35</v>
      </c>
      <c r="D831" s="9">
        <v>22.53</v>
      </c>
      <c r="E831" s="9">
        <v>2.12</v>
      </c>
      <c r="F831" s="9">
        <f>E831*D831</f>
        <v>47.763599999999997</v>
      </c>
      <c r="G831" s="8" t="s">
        <v>36</v>
      </c>
    </row>
    <row r="832" spans="1:7" ht="12.75">
      <c r="A832" s="13">
        <v>9999</v>
      </c>
      <c r="B832" s="13"/>
      <c r="C832" s="10" t="s">
        <v>110</v>
      </c>
      <c r="D832" s="3"/>
      <c r="E832" s="4"/>
      <c r="F832" s="10"/>
      <c r="G832" s="4"/>
    </row>
    <row r="833" spans="1:7" ht="12.75">
      <c r="A833" s="5"/>
      <c r="B833" s="5"/>
      <c r="C833" s="8" t="s">
        <v>35</v>
      </c>
      <c r="D833" s="9">
        <v>10.27</v>
      </c>
      <c r="E833" s="9">
        <v>2.12</v>
      </c>
      <c r="F833" s="9">
        <f>E833*D833</f>
        <v>21.772400000000001</v>
      </c>
      <c r="G833" s="8" t="s">
        <v>77</v>
      </c>
    </row>
    <row r="834" spans="1:7" ht="12.75">
      <c r="A834" s="13">
        <v>9999</v>
      </c>
      <c r="B834" s="13"/>
      <c r="C834" s="10" t="s">
        <v>85</v>
      </c>
      <c r="D834" s="3"/>
      <c r="E834" s="4"/>
      <c r="F834" s="10"/>
      <c r="G834" s="4"/>
    </row>
    <row r="835" spans="1:7" ht="12.75">
      <c r="A835" s="5"/>
      <c r="B835" s="5"/>
      <c r="C835" s="8" t="s">
        <v>35</v>
      </c>
      <c r="D835" s="9">
        <v>30.98</v>
      </c>
      <c r="E835" s="9">
        <v>2.12</v>
      </c>
      <c r="F835" s="9">
        <f>E835*D835</f>
        <v>65.677599999999998</v>
      </c>
      <c r="G835" s="8" t="s">
        <v>102</v>
      </c>
    </row>
    <row r="836" spans="1:7" ht="12.75">
      <c r="A836" s="14" t="s">
        <v>20</v>
      </c>
      <c r="B836" s="3"/>
      <c r="C836" s="4"/>
      <c r="D836" s="9">
        <v>10</v>
      </c>
      <c r="E836" s="15" t="s">
        <v>11</v>
      </c>
      <c r="F836" s="9">
        <f>F824+F826+F828+F831+F833+F835</f>
        <v>878.81359999999995</v>
      </c>
      <c r="G836" s="15"/>
    </row>
    <row r="837" spans="1:7" ht="12.75">
      <c r="A837" s="14" t="s">
        <v>21</v>
      </c>
      <c r="B837" s="3"/>
      <c r="C837" s="4"/>
      <c r="D837" s="9">
        <v>1</v>
      </c>
      <c r="E837" s="15" t="s">
        <v>11</v>
      </c>
      <c r="F837" s="9">
        <f>F836/D836</f>
        <v>87.881360000000001</v>
      </c>
      <c r="G837" s="15"/>
    </row>
    <row r="838" spans="1:7" ht="12.75">
      <c r="A838" s="16" t="s">
        <v>22</v>
      </c>
      <c r="B838" s="3"/>
      <c r="C838" s="3"/>
      <c r="D838" s="4"/>
      <c r="E838" s="9"/>
      <c r="F838" s="9">
        <f>F837*1%</f>
        <v>0.87881359999999997</v>
      </c>
      <c r="G838" s="15"/>
    </row>
    <row r="839" spans="1:7" ht="12.75">
      <c r="A839" s="16" t="s">
        <v>20</v>
      </c>
      <c r="B839" s="3"/>
      <c r="C839" s="3"/>
      <c r="D839" s="4"/>
      <c r="E839" s="15"/>
      <c r="F839" s="9">
        <f>F837+F838</f>
        <v>88.760173600000002</v>
      </c>
      <c r="G839" s="15"/>
    </row>
    <row r="840" spans="1:7" ht="12.75">
      <c r="A840" s="16" t="s">
        <v>23</v>
      </c>
      <c r="B840" s="3"/>
      <c r="C840" s="3"/>
      <c r="D840" s="4"/>
      <c r="E840" s="9"/>
      <c r="F840" s="9">
        <f>F839*15%</f>
        <v>13.31402604</v>
      </c>
      <c r="G840" s="15"/>
    </row>
    <row r="841" spans="1:7" ht="12.75">
      <c r="A841" s="16" t="s">
        <v>20</v>
      </c>
      <c r="B841" s="3"/>
      <c r="C841" s="3"/>
      <c r="D841" s="4"/>
      <c r="E841" s="15"/>
      <c r="F841" s="17">
        <f>ROUND(F839+F840,2)</f>
        <v>102.07</v>
      </c>
      <c r="G841" s="15"/>
    </row>
    <row r="842" spans="1:7" ht="12.75">
      <c r="A842" s="19" t="str">
        <f>CONCATENATE("Say ₹ ",F821," + ",F841," x Cost Index")</f>
        <v>Say ₹ 157.33 + 102.07 x Cost Index</v>
      </c>
      <c r="B842" s="3"/>
      <c r="C842" s="3"/>
      <c r="D842" s="3"/>
      <c r="E842" s="3"/>
      <c r="F842" s="4"/>
      <c r="G842" s="20" t="s">
        <v>37</v>
      </c>
    </row>
    <row r="843" spans="1:7" ht="12.75">
      <c r="A843" s="1" t="s">
        <v>0</v>
      </c>
      <c r="B843" s="1" t="s">
        <v>1</v>
      </c>
      <c r="C843" s="2" t="s">
        <v>2</v>
      </c>
      <c r="D843" s="3"/>
      <c r="E843" s="4"/>
      <c r="F843" s="2" t="s">
        <v>3</v>
      </c>
      <c r="G843" s="4"/>
    </row>
    <row r="844" spans="1:7" ht="12.75">
      <c r="A844" s="5"/>
      <c r="B844" s="5"/>
      <c r="C844" s="6" t="s">
        <v>4</v>
      </c>
      <c r="D844" s="6" t="s">
        <v>5</v>
      </c>
      <c r="E844" s="6" t="s">
        <v>6</v>
      </c>
      <c r="F844" s="6" t="s">
        <v>7</v>
      </c>
      <c r="G844" s="6" t="s">
        <v>8</v>
      </c>
    </row>
    <row r="845" spans="1:7" ht="12.75">
      <c r="A845" s="7" t="s">
        <v>111</v>
      </c>
      <c r="B845" s="3"/>
      <c r="C845" s="3"/>
      <c r="D845" s="3"/>
      <c r="E845" s="3"/>
      <c r="F845" s="3"/>
      <c r="G845" s="4"/>
    </row>
    <row r="846" spans="1:7" ht="12.75">
      <c r="A846" s="8"/>
      <c r="B846" s="8" t="s">
        <v>10</v>
      </c>
      <c r="C846" s="8" t="s">
        <v>11</v>
      </c>
      <c r="D846" s="8" t="s">
        <v>12</v>
      </c>
      <c r="E846" s="9">
        <v>10</v>
      </c>
      <c r="F846" s="10"/>
      <c r="G846" s="4"/>
    </row>
    <row r="847" spans="1:7" ht="12.75">
      <c r="A847" s="8" t="s">
        <v>13</v>
      </c>
      <c r="B847" s="10" t="s">
        <v>93</v>
      </c>
      <c r="C847" s="3"/>
      <c r="D847" s="3"/>
      <c r="E847" s="3"/>
      <c r="F847" s="3"/>
      <c r="G847" s="4"/>
    </row>
    <row r="848" spans="1:7" ht="12.75">
      <c r="A848" s="11" t="s">
        <v>15</v>
      </c>
      <c r="B848" s="3"/>
      <c r="C848" s="3"/>
      <c r="D848" s="3"/>
      <c r="E848" s="3"/>
      <c r="F848" s="4"/>
      <c r="G848" s="12" t="s">
        <v>16</v>
      </c>
    </row>
    <row r="849" spans="1:7" ht="12.75">
      <c r="A849" s="13"/>
      <c r="B849" s="13" t="s">
        <v>112</v>
      </c>
      <c r="C849" s="10" t="s">
        <v>113</v>
      </c>
      <c r="D849" s="3"/>
      <c r="E849" s="4"/>
      <c r="F849" s="10"/>
      <c r="G849" s="4"/>
    </row>
    <row r="850" spans="1:7" ht="12.75">
      <c r="A850" s="5"/>
      <c r="B850" s="5"/>
      <c r="C850" s="8" t="s">
        <v>11</v>
      </c>
      <c r="D850" s="9">
        <v>10.50</v>
      </c>
      <c r="E850" s="9">
        <v>95</v>
      </c>
      <c r="F850" s="9">
        <f>E850*D850</f>
        <v>997.50</v>
      </c>
      <c r="G850" s="8" t="s">
        <v>19</v>
      </c>
    </row>
    <row r="851" spans="1:7" ht="12.75">
      <c r="A851" s="14" t="s">
        <v>20</v>
      </c>
      <c r="B851" s="3"/>
      <c r="C851" s="4"/>
      <c r="D851" s="9">
        <v>10</v>
      </c>
      <c r="E851" s="15" t="s">
        <v>11</v>
      </c>
      <c r="F851" s="9">
        <f>F850</f>
        <v>997.50</v>
      </c>
      <c r="G851" s="8"/>
    </row>
    <row r="852" spans="1:7" ht="12.75">
      <c r="A852" s="14" t="s">
        <v>21</v>
      </c>
      <c r="B852" s="3"/>
      <c r="C852" s="4"/>
      <c r="D852" s="9">
        <v>1</v>
      </c>
      <c r="E852" s="15" t="s">
        <v>11</v>
      </c>
      <c r="F852" s="9">
        <f>F851/D851</f>
        <v>99.75</v>
      </c>
      <c r="G852" s="8"/>
    </row>
    <row r="853" spans="1:7" ht="12.75">
      <c r="A853" s="16" t="s">
        <v>22</v>
      </c>
      <c r="B853" s="3"/>
      <c r="C853" s="3"/>
      <c r="D853" s="4"/>
      <c r="E853" s="9"/>
      <c r="F853" s="9">
        <f>F852*1%</f>
        <v>0.9975</v>
      </c>
      <c r="G853" s="8"/>
    </row>
    <row r="854" spans="1:7" ht="12.75">
      <c r="A854" s="16" t="s">
        <v>20</v>
      </c>
      <c r="B854" s="3"/>
      <c r="C854" s="3"/>
      <c r="D854" s="4"/>
      <c r="E854" s="15"/>
      <c r="F854" s="9">
        <f>F852+F853</f>
        <v>100.7475</v>
      </c>
      <c r="G854" s="8"/>
    </row>
    <row r="855" spans="1:7" ht="12.75">
      <c r="A855" s="16" t="s">
        <v>23</v>
      </c>
      <c r="B855" s="3"/>
      <c r="C855" s="3"/>
      <c r="D855" s="4"/>
      <c r="E855" s="9"/>
      <c r="F855" s="9">
        <f>F854*15%</f>
        <v>15.112125000000001</v>
      </c>
      <c r="G855" s="8"/>
    </row>
    <row r="856" spans="1:7" ht="12.75">
      <c r="A856" s="16" t="s">
        <v>20</v>
      </c>
      <c r="B856" s="3"/>
      <c r="C856" s="3"/>
      <c r="D856" s="4"/>
      <c r="E856" s="15"/>
      <c r="F856" s="17">
        <f>ROUND(F854+F855,2)</f>
        <v>115.86</v>
      </c>
      <c r="G856" s="8"/>
    </row>
    <row r="857" spans="1:7" ht="12.75">
      <c r="A857" s="11" t="s">
        <v>24</v>
      </c>
      <c r="B857" s="3"/>
      <c r="C857" s="3"/>
      <c r="D857" s="3"/>
      <c r="E857" s="3"/>
      <c r="F857" s="4"/>
      <c r="G857" s="12" t="s">
        <v>25</v>
      </c>
    </row>
    <row r="858" spans="1:7" ht="12.75">
      <c r="A858" s="13">
        <v>116</v>
      </c>
      <c r="B858" s="13"/>
      <c r="C858" s="10" t="s">
        <v>26</v>
      </c>
      <c r="D858" s="3"/>
      <c r="E858" s="4"/>
      <c r="F858" s="10"/>
      <c r="G858" s="4"/>
    </row>
    <row r="859" spans="1:7" ht="12.75">
      <c r="A859" s="5"/>
      <c r="B859" s="5"/>
      <c r="C859" s="8" t="s">
        <v>27</v>
      </c>
      <c r="D859" s="9">
        <v>0.32</v>
      </c>
      <c r="E859" s="9">
        <v>784</v>
      </c>
      <c r="F859" s="9">
        <f>E859*D859</f>
        <v>250.88</v>
      </c>
      <c r="G859" s="8" t="s">
        <v>28</v>
      </c>
    </row>
    <row r="860" spans="1:7" ht="12.75">
      <c r="A860" s="13">
        <v>114</v>
      </c>
      <c r="B860" s="13"/>
      <c r="C860" s="10" t="s">
        <v>31</v>
      </c>
      <c r="D860" s="3"/>
      <c r="E860" s="4"/>
      <c r="F860" s="10"/>
      <c r="G860" s="4"/>
    </row>
    <row r="861" spans="1:7" ht="12.75">
      <c r="A861" s="5"/>
      <c r="B861" s="5"/>
      <c r="C861" s="8" t="s">
        <v>27</v>
      </c>
      <c r="D861" s="9">
        <v>0.62</v>
      </c>
      <c r="E861" s="9">
        <v>645</v>
      </c>
      <c r="F861" s="9">
        <f>E861*D861</f>
        <v>399.90</v>
      </c>
      <c r="G861" s="8" t="s">
        <v>30</v>
      </c>
    </row>
    <row r="862" spans="1:7" ht="12.75">
      <c r="A862" s="13">
        <v>100</v>
      </c>
      <c r="B862" s="13"/>
      <c r="C862" s="10" t="s">
        <v>99</v>
      </c>
      <c r="D862" s="3"/>
      <c r="E862" s="4"/>
      <c r="F862" s="10"/>
      <c r="G862" s="4"/>
    </row>
    <row r="863" spans="1:7" ht="12.75">
      <c r="A863" s="5"/>
      <c r="B863" s="5"/>
      <c r="C863" s="8" t="s">
        <v>27</v>
      </c>
      <c r="D863" s="9">
        <v>0.13</v>
      </c>
      <c r="E863" s="9">
        <v>714</v>
      </c>
      <c r="F863" s="9">
        <f>E863*D863</f>
        <v>92.82</v>
      </c>
      <c r="G863" s="8" t="s">
        <v>32</v>
      </c>
    </row>
    <row r="864" spans="1:7" ht="12.75">
      <c r="A864" s="11" t="s">
        <v>33</v>
      </c>
      <c r="B864" s="3"/>
      <c r="C864" s="3"/>
      <c r="D864" s="3"/>
      <c r="E864" s="3"/>
      <c r="F864" s="4"/>
      <c r="G864" s="12" t="s">
        <v>25</v>
      </c>
    </row>
    <row r="865" spans="1:7" ht="12.75">
      <c r="A865" s="13">
        <v>9999</v>
      </c>
      <c r="B865" s="13"/>
      <c r="C865" s="10" t="s">
        <v>114</v>
      </c>
      <c r="D865" s="3"/>
      <c r="E865" s="4"/>
      <c r="F865" s="10"/>
      <c r="G865" s="4"/>
    </row>
    <row r="866" spans="1:7" ht="12.75">
      <c r="A866" s="5"/>
      <c r="B866" s="5"/>
      <c r="C866" s="8" t="s">
        <v>35</v>
      </c>
      <c r="D866" s="9">
        <v>22.53</v>
      </c>
      <c r="E866" s="9">
        <v>2.12</v>
      </c>
      <c r="F866" s="9">
        <f>E866*D866</f>
        <v>47.763599999999997</v>
      </c>
      <c r="G866" s="8" t="s">
        <v>36</v>
      </c>
    </row>
    <row r="867" spans="1:7" ht="12.75">
      <c r="A867" s="13">
        <v>9999</v>
      </c>
      <c r="B867" s="13"/>
      <c r="C867" s="10" t="s">
        <v>115</v>
      </c>
      <c r="D867" s="3"/>
      <c r="E867" s="4"/>
      <c r="F867" s="10"/>
      <c r="G867" s="4"/>
    </row>
    <row r="868" spans="1:7" ht="12.75">
      <c r="A868" s="5"/>
      <c r="B868" s="5"/>
      <c r="C868" s="8" t="s">
        <v>35</v>
      </c>
      <c r="D868" s="9">
        <v>10.27</v>
      </c>
      <c r="E868" s="9">
        <v>2.12</v>
      </c>
      <c r="F868" s="9">
        <f>E868*D868</f>
        <v>21.772400000000001</v>
      </c>
      <c r="G868" s="8" t="s">
        <v>77</v>
      </c>
    </row>
    <row r="869" spans="1:7" ht="12.75">
      <c r="A869" s="13">
        <v>9999</v>
      </c>
      <c r="B869" s="13"/>
      <c r="C869" s="10" t="s">
        <v>76</v>
      </c>
      <c r="D869" s="3"/>
      <c r="E869" s="4"/>
      <c r="F869" s="10"/>
      <c r="G869" s="4"/>
    </row>
    <row r="870" spans="1:7" ht="12.75">
      <c r="A870" s="5"/>
      <c r="B870" s="5"/>
      <c r="C870" s="8" t="s">
        <v>35</v>
      </c>
      <c r="D870" s="9">
        <v>30.98</v>
      </c>
      <c r="E870" s="9">
        <v>2.12</v>
      </c>
      <c r="F870" s="9">
        <f>E870*D870</f>
        <v>65.677599999999998</v>
      </c>
      <c r="G870" s="8" t="s">
        <v>102</v>
      </c>
    </row>
    <row r="871" spans="1:7" ht="12.75">
      <c r="A871" s="14" t="s">
        <v>20</v>
      </c>
      <c r="B871" s="3"/>
      <c r="C871" s="4"/>
      <c r="D871" s="9">
        <v>10</v>
      </c>
      <c r="E871" s="15" t="s">
        <v>11</v>
      </c>
      <c r="F871" s="9">
        <f>F859+F861+F863+F866+F868+F870</f>
        <v>878.81359999999995</v>
      </c>
      <c r="G871" s="15"/>
    </row>
    <row r="872" spans="1:7" ht="12.75">
      <c r="A872" s="14" t="s">
        <v>21</v>
      </c>
      <c r="B872" s="3"/>
      <c r="C872" s="4"/>
      <c r="D872" s="9">
        <v>1</v>
      </c>
      <c r="E872" s="15" t="s">
        <v>11</v>
      </c>
      <c r="F872" s="9">
        <f>F871/D871</f>
        <v>87.881360000000001</v>
      </c>
      <c r="G872" s="15"/>
    </row>
    <row r="873" spans="1:7" ht="12.75">
      <c r="A873" s="16" t="s">
        <v>22</v>
      </c>
      <c r="B873" s="3"/>
      <c r="C873" s="3"/>
      <c r="D873" s="4"/>
      <c r="E873" s="9"/>
      <c r="F873" s="9">
        <f>F872*1%</f>
        <v>0.87881359999999997</v>
      </c>
      <c r="G873" s="15"/>
    </row>
    <row r="874" spans="1:7" ht="12.75">
      <c r="A874" s="16" t="s">
        <v>20</v>
      </c>
      <c r="B874" s="3"/>
      <c r="C874" s="3"/>
      <c r="D874" s="4"/>
      <c r="E874" s="15"/>
      <c r="F874" s="9">
        <f>F872+F873</f>
        <v>88.760173600000002</v>
      </c>
      <c r="G874" s="15"/>
    </row>
    <row r="875" spans="1:7" ht="12.75">
      <c r="A875" s="16" t="s">
        <v>23</v>
      </c>
      <c r="B875" s="3"/>
      <c r="C875" s="3"/>
      <c r="D875" s="4"/>
      <c r="E875" s="9"/>
      <c r="F875" s="9">
        <f>F874*15%</f>
        <v>13.31402604</v>
      </c>
      <c r="G875" s="15"/>
    </row>
    <row r="876" spans="1:7" ht="12.75">
      <c r="A876" s="16" t="s">
        <v>20</v>
      </c>
      <c r="B876" s="3"/>
      <c r="C876" s="3"/>
      <c r="D876" s="4"/>
      <c r="E876" s="15"/>
      <c r="F876" s="17">
        <f>ROUND(F874+F875,2)</f>
        <v>102.07</v>
      </c>
      <c r="G876" s="15"/>
    </row>
    <row r="877" spans="1:7" ht="12.75">
      <c r="A877" s="19" t="str">
        <f>CONCATENATE("Say ₹ ",F856," + ",F876," x Cost Index")</f>
        <v>Say ₹ 115.86 + 102.07 x Cost Index</v>
      </c>
      <c r="B877" s="3"/>
      <c r="C877" s="3"/>
      <c r="D877" s="3"/>
      <c r="E877" s="3"/>
      <c r="F877" s="4"/>
      <c r="G877" s="20" t="s">
        <v>37</v>
      </c>
    </row>
    <row r="878" spans="1:7" ht="12.75">
      <c r="A878" s="1" t="s">
        <v>0</v>
      </c>
      <c r="B878" s="1" t="s">
        <v>1</v>
      </c>
      <c r="C878" s="2" t="s">
        <v>2</v>
      </c>
      <c r="D878" s="3"/>
      <c r="E878" s="4"/>
      <c r="F878" s="2" t="s">
        <v>3</v>
      </c>
      <c r="G878" s="4"/>
    </row>
    <row r="879" spans="1:7" ht="12.75">
      <c r="A879" s="5"/>
      <c r="B879" s="5"/>
      <c r="C879" s="6" t="s">
        <v>4</v>
      </c>
      <c r="D879" s="6" t="s">
        <v>5</v>
      </c>
      <c r="E879" s="6" t="s">
        <v>6</v>
      </c>
      <c r="F879" s="6" t="s">
        <v>7</v>
      </c>
      <c r="G879" s="6" t="s">
        <v>8</v>
      </c>
    </row>
    <row r="880" spans="1:7" ht="12.75">
      <c r="A880" s="7" t="s">
        <v>116</v>
      </c>
      <c r="B880" s="3"/>
      <c r="C880" s="3"/>
      <c r="D880" s="3"/>
      <c r="E880" s="3"/>
      <c r="F880" s="3"/>
      <c r="G880" s="4"/>
    </row>
    <row r="881" spans="1:7" ht="12.75">
      <c r="A881" s="8"/>
      <c r="B881" s="8" t="s">
        <v>10</v>
      </c>
      <c r="C881" s="8" t="s">
        <v>11</v>
      </c>
      <c r="D881" s="8" t="s">
        <v>12</v>
      </c>
      <c r="E881" s="9">
        <v>10</v>
      </c>
      <c r="F881" s="10"/>
      <c r="G881" s="4"/>
    </row>
    <row r="882" spans="1:7" ht="12.75">
      <c r="A882" s="8" t="s">
        <v>13</v>
      </c>
      <c r="B882" s="10" t="s">
        <v>117</v>
      </c>
      <c r="C882" s="3"/>
      <c r="D882" s="3"/>
      <c r="E882" s="3"/>
      <c r="F882" s="3"/>
      <c r="G882" s="4"/>
    </row>
    <row r="883" spans="1:7" ht="12.75">
      <c r="A883" s="11" t="s">
        <v>15</v>
      </c>
      <c r="B883" s="3"/>
      <c r="C883" s="3"/>
      <c r="D883" s="3"/>
      <c r="E883" s="3"/>
      <c r="F883" s="4"/>
      <c r="G883" s="12" t="s">
        <v>16</v>
      </c>
    </row>
    <row r="884" spans="1:7" ht="12.75">
      <c r="A884" s="13"/>
      <c r="B884" s="13" t="s">
        <v>118</v>
      </c>
      <c r="C884" s="10" t="s">
        <v>119</v>
      </c>
      <c r="D884" s="3"/>
      <c r="E884" s="4"/>
      <c r="F884" s="10"/>
      <c r="G884" s="4"/>
    </row>
    <row r="885" spans="1:7" ht="12.75">
      <c r="A885" s="5"/>
      <c r="B885" s="5"/>
      <c r="C885" s="8" t="s">
        <v>11</v>
      </c>
      <c r="D885" s="9">
        <v>10.50</v>
      </c>
      <c r="E885" s="9">
        <v>211</v>
      </c>
      <c r="F885" s="9">
        <f>E885*D885</f>
        <v>2215.50</v>
      </c>
      <c r="G885" s="8" t="s">
        <v>19</v>
      </c>
    </row>
    <row r="886" spans="1:7" ht="12.75">
      <c r="A886" s="14" t="s">
        <v>20</v>
      </c>
      <c r="B886" s="3"/>
      <c r="C886" s="4"/>
      <c r="D886" s="9">
        <v>10</v>
      </c>
      <c r="E886" s="15" t="s">
        <v>11</v>
      </c>
      <c r="F886" s="9">
        <f>F885</f>
        <v>2215.50</v>
      </c>
      <c r="G886" s="8"/>
    </row>
    <row r="887" spans="1:7" ht="12.75">
      <c r="A887" s="14" t="s">
        <v>21</v>
      </c>
      <c r="B887" s="3"/>
      <c r="C887" s="4"/>
      <c r="D887" s="9">
        <v>1</v>
      </c>
      <c r="E887" s="15" t="s">
        <v>11</v>
      </c>
      <c r="F887" s="9">
        <f>F886/D886</f>
        <v>221.55</v>
      </c>
      <c r="G887" s="8"/>
    </row>
    <row r="888" spans="1:7" ht="12.75">
      <c r="A888" s="16" t="s">
        <v>22</v>
      </c>
      <c r="B888" s="3"/>
      <c r="C888" s="3"/>
      <c r="D888" s="4"/>
      <c r="E888" s="9"/>
      <c r="F888" s="9">
        <f>F887*1%</f>
        <v>2.2155</v>
      </c>
      <c r="G888" s="8"/>
    </row>
    <row r="889" spans="1:7" ht="12.75">
      <c r="A889" s="16" t="s">
        <v>20</v>
      </c>
      <c r="B889" s="3"/>
      <c r="C889" s="3"/>
      <c r="D889" s="4"/>
      <c r="E889" s="15"/>
      <c r="F889" s="9">
        <f>F887+F888</f>
        <v>223.7655</v>
      </c>
      <c r="G889" s="8"/>
    </row>
    <row r="890" spans="1:7" ht="12.75">
      <c r="A890" s="16" t="s">
        <v>23</v>
      </c>
      <c r="B890" s="3"/>
      <c r="C890" s="3"/>
      <c r="D890" s="4"/>
      <c r="E890" s="9"/>
      <c r="F890" s="9">
        <f>F889*15%</f>
        <v>33.564824999999999</v>
      </c>
      <c r="G890" s="8"/>
    </row>
    <row r="891" spans="1:7" ht="12.75">
      <c r="A891" s="16" t="s">
        <v>20</v>
      </c>
      <c r="B891" s="3"/>
      <c r="C891" s="3"/>
      <c r="D891" s="4"/>
      <c r="E891" s="15"/>
      <c r="F891" s="17">
        <f>ROUND(F889+F890,2)</f>
        <v>257.33</v>
      </c>
      <c r="G891" s="8"/>
    </row>
    <row r="892" spans="1:7" ht="12.75">
      <c r="A892" s="11" t="s">
        <v>24</v>
      </c>
      <c r="B892" s="3"/>
      <c r="C892" s="3"/>
      <c r="D892" s="3"/>
      <c r="E892" s="3"/>
      <c r="F892" s="4"/>
      <c r="G892" s="12" t="s">
        <v>25</v>
      </c>
    </row>
    <row r="893" spans="1:7" ht="12.75">
      <c r="A893" s="13">
        <v>116</v>
      </c>
      <c r="B893" s="13"/>
      <c r="C893" s="10" t="s">
        <v>26</v>
      </c>
      <c r="D893" s="3"/>
      <c r="E893" s="4"/>
      <c r="F893" s="10"/>
      <c r="G893" s="4"/>
    </row>
    <row r="894" spans="1:7" ht="12.75">
      <c r="A894" s="5"/>
      <c r="B894" s="5"/>
      <c r="C894" s="8" t="s">
        <v>27</v>
      </c>
      <c r="D894" s="9">
        <v>0.32</v>
      </c>
      <c r="E894" s="9">
        <v>784</v>
      </c>
      <c r="F894" s="9">
        <f>E894*D894</f>
        <v>250.88</v>
      </c>
      <c r="G894" s="8" t="s">
        <v>28</v>
      </c>
    </row>
    <row r="895" spans="1:7" ht="12.75">
      <c r="A895" s="13">
        <v>114</v>
      </c>
      <c r="B895" s="13"/>
      <c r="C895" s="10" t="s">
        <v>31</v>
      </c>
      <c r="D895" s="3"/>
      <c r="E895" s="4"/>
      <c r="F895" s="10"/>
      <c r="G895" s="4"/>
    </row>
    <row r="896" spans="1:7" ht="12.75">
      <c r="A896" s="5"/>
      <c r="B896" s="5"/>
      <c r="C896" s="8" t="s">
        <v>27</v>
      </c>
      <c r="D896" s="9">
        <v>0.62</v>
      </c>
      <c r="E896" s="9">
        <v>645</v>
      </c>
      <c r="F896" s="9">
        <f>E896*D896</f>
        <v>399.90</v>
      </c>
      <c r="G896" s="8" t="s">
        <v>30</v>
      </c>
    </row>
    <row r="897" spans="1:7" ht="12.75">
      <c r="A897" s="13">
        <v>100</v>
      </c>
      <c r="B897" s="13"/>
      <c r="C897" s="10" t="s">
        <v>99</v>
      </c>
      <c r="D897" s="3"/>
      <c r="E897" s="4"/>
      <c r="F897" s="10"/>
      <c r="G897" s="4"/>
    </row>
    <row r="898" spans="1:7" ht="12.75">
      <c r="A898" s="5"/>
      <c r="B898" s="5"/>
      <c r="C898" s="8" t="s">
        <v>27</v>
      </c>
      <c r="D898" s="9">
        <v>0.13</v>
      </c>
      <c r="E898" s="9">
        <v>714</v>
      </c>
      <c r="F898" s="9">
        <f>E898*D898</f>
        <v>92.82</v>
      </c>
      <c r="G898" s="8" t="s">
        <v>32</v>
      </c>
    </row>
    <row r="899" spans="1:7" ht="12.75">
      <c r="A899" s="11" t="s">
        <v>33</v>
      </c>
      <c r="B899" s="3"/>
      <c r="C899" s="3"/>
      <c r="D899" s="3"/>
      <c r="E899" s="3"/>
      <c r="F899" s="4"/>
      <c r="G899" s="12" t="s">
        <v>25</v>
      </c>
    </row>
    <row r="900" spans="1:7" ht="12.75">
      <c r="A900" s="13">
        <v>9999</v>
      </c>
      <c r="B900" s="13"/>
      <c r="C900" s="10" t="s">
        <v>100</v>
      </c>
      <c r="D900" s="3"/>
      <c r="E900" s="4"/>
      <c r="F900" s="10"/>
      <c r="G900" s="4"/>
    </row>
    <row r="901" spans="1:7" ht="12.75">
      <c r="A901" s="5"/>
      <c r="B901" s="5"/>
      <c r="C901" s="8" t="s">
        <v>35</v>
      </c>
      <c r="D901" s="9">
        <v>22.53</v>
      </c>
      <c r="E901" s="9">
        <v>2.12</v>
      </c>
      <c r="F901" s="9">
        <f>E901*D901</f>
        <v>47.763599999999997</v>
      </c>
      <c r="G901" s="8" t="s">
        <v>36</v>
      </c>
    </row>
    <row r="902" spans="1:7" ht="12.75">
      <c r="A902" s="13">
        <v>9999</v>
      </c>
      <c r="B902" s="13"/>
      <c r="C902" s="10" t="s">
        <v>110</v>
      </c>
      <c r="D902" s="3"/>
      <c r="E902" s="4"/>
      <c r="F902" s="10"/>
      <c r="G902" s="4"/>
    </row>
    <row r="903" spans="1:7" ht="12.75">
      <c r="A903" s="5"/>
      <c r="B903" s="5"/>
      <c r="C903" s="8" t="s">
        <v>35</v>
      </c>
      <c r="D903" s="9">
        <v>10.27</v>
      </c>
      <c r="E903" s="9">
        <v>2.12</v>
      </c>
      <c r="F903" s="9">
        <f>E903*D903</f>
        <v>21.772400000000001</v>
      </c>
      <c r="G903" s="8" t="s">
        <v>77</v>
      </c>
    </row>
    <row r="904" spans="1:7" ht="12.75">
      <c r="A904" s="13">
        <v>9999</v>
      </c>
      <c r="B904" s="13"/>
      <c r="C904" s="10" t="s">
        <v>76</v>
      </c>
      <c r="D904" s="3"/>
      <c r="E904" s="4"/>
      <c r="F904" s="10"/>
      <c r="G904" s="4"/>
    </row>
    <row r="905" spans="1:7" ht="12.75">
      <c r="A905" s="5"/>
      <c r="B905" s="5"/>
      <c r="C905" s="8" t="s">
        <v>35</v>
      </c>
      <c r="D905" s="9">
        <v>30.98</v>
      </c>
      <c r="E905" s="9">
        <v>2.12</v>
      </c>
      <c r="F905" s="9">
        <f>E905*D905</f>
        <v>65.677599999999998</v>
      </c>
      <c r="G905" s="8" t="s">
        <v>102</v>
      </c>
    </row>
    <row r="906" spans="1:7" ht="12.75">
      <c r="A906" s="14" t="s">
        <v>20</v>
      </c>
      <c r="B906" s="3"/>
      <c r="C906" s="4"/>
      <c r="D906" s="9">
        <v>10</v>
      </c>
      <c r="E906" s="15" t="s">
        <v>11</v>
      </c>
      <c r="F906" s="9">
        <f>F894+F896+F898+F901+F903+F905</f>
        <v>878.81359999999995</v>
      </c>
      <c r="G906" s="15"/>
    </row>
    <row r="907" spans="1:7" ht="12.75">
      <c r="A907" s="14" t="s">
        <v>21</v>
      </c>
      <c r="B907" s="3"/>
      <c r="C907" s="4"/>
      <c r="D907" s="9">
        <v>1</v>
      </c>
      <c r="E907" s="15" t="s">
        <v>11</v>
      </c>
      <c r="F907" s="9">
        <f>F906/D906</f>
        <v>87.881360000000001</v>
      </c>
      <c r="G907" s="15"/>
    </row>
    <row r="908" spans="1:7" ht="12.75">
      <c r="A908" s="16" t="s">
        <v>22</v>
      </c>
      <c r="B908" s="3"/>
      <c r="C908" s="3"/>
      <c r="D908" s="4"/>
      <c r="E908" s="9"/>
      <c r="F908" s="9">
        <f>F907*1%</f>
        <v>0.87881359999999997</v>
      </c>
      <c r="G908" s="15"/>
    </row>
    <row r="909" spans="1:7" ht="12.75">
      <c r="A909" s="16" t="s">
        <v>20</v>
      </c>
      <c r="B909" s="3"/>
      <c r="C909" s="3"/>
      <c r="D909" s="4"/>
      <c r="E909" s="15"/>
      <c r="F909" s="9">
        <f>F907+F908</f>
        <v>88.760173600000002</v>
      </c>
      <c r="G909" s="15"/>
    </row>
    <row r="910" spans="1:7" ht="12.75">
      <c r="A910" s="16" t="s">
        <v>23</v>
      </c>
      <c r="B910" s="3"/>
      <c r="C910" s="3"/>
      <c r="D910" s="4"/>
      <c r="E910" s="9"/>
      <c r="F910" s="9">
        <f>F909*15%</f>
        <v>13.31402604</v>
      </c>
      <c r="G910" s="15"/>
    </row>
    <row r="911" spans="1:7" ht="12.75">
      <c r="A911" s="16" t="s">
        <v>20</v>
      </c>
      <c r="B911" s="3"/>
      <c r="C911" s="3"/>
      <c r="D911" s="4"/>
      <c r="E911" s="15"/>
      <c r="F911" s="17">
        <f>ROUND(F909+F910,2)</f>
        <v>102.07</v>
      </c>
      <c r="G911" s="15"/>
    </row>
    <row r="912" spans="1:7" ht="12.75">
      <c r="A912" s="19" t="str">
        <f>CONCATENATE("Say ₹ ",F891," + ",F911," x Cost Index")</f>
        <v>Say ₹ 257.33 + 102.07 x Cost Index</v>
      </c>
      <c r="B912" s="3"/>
      <c r="C912" s="3"/>
      <c r="D912" s="3"/>
      <c r="E912" s="3"/>
      <c r="F912" s="4"/>
      <c r="G912" s="20" t="s">
        <v>37</v>
      </c>
    </row>
    <row r="913" spans="1:7" ht="12.75">
      <c r="A913" s="1" t="s">
        <v>0</v>
      </c>
      <c r="B913" s="1" t="s">
        <v>1</v>
      </c>
      <c r="C913" s="2" t="s">
        <v>2</v>
      </c>
      <c r="D913" s="3"/>
      <c r="E913" s="4"/>
      <c r="F913" s="2" t="s">
        <v>3</v>
      </c>
      <c r="G913" s="4"/>
    </row>
    <row r="914" spans="1:7" ht="12.75">
      <c r="A914" s="5"/>
      <c r="B914" s="5"/>
      <c r="C914" s="6" t="s">
        <v>4</v>
      </c>
      <c r="D914" s="6" t="s">
        <v>5</v>
      </c>
      <c r="E914" s="6" t="s">
        <v>6</v>
      </c>
      <c r="F914" s="6" t="s">
        <v>7</v>
      </c>
      <c r="G914" s="6" t="s">
        <v>8</v>
      </c>
    </row>
    <row r="915" spans="1:7" ht="12.75">
      <c r="A915" s="7" t="s">
        <v>120</v>
      </c>
      <c r="B915" s="3"/>
      <c r="C915" s="3"/>
      <c r="D915" s="3"/>
      <c r="E915" s="3"/>
      <c r="F915" s="3"/>
      <c r="G915" s="4"/>
    </row>
    <row r="916" spans="1:7" ht="12.75">
      <c r="A916" s="8"/>
      <c r="B916" s="8" t="s">
        <v>10</v>
      </c>
      <c r="C916" s="8" t="s">
        <v>11</v>
      </c>
      <c r="D916" s="8" t="s">
        <v>12</v>
      </c>
      <c r="E916" s="9">
        <v>10</v>
      </c>
      <c r="F916" s="10"/>
      <c r="G916" s="4"/>
    </row>
    <row r="917" spans="1:7" ht="12.75">
      <c r="A917" s="8" t="s">
        <v>13</v>
      </c>
      <c r="B917" s="10" t="s">
        <v>93</v>
      </c>
      <c r="C917" s="3"/>
      <c r="D917" s="3"/>
      <c r="E917" s="3"/>
      <c r="F917" s="3"/>
      <c r="G917" s="4"/>
    </row>
    <row r="918" spans="1:7" ht="12.75">
      <c r="A918" s="11" t="s">
        <v>15</v>
      </c>
      <c r="B918" s="3"/>
      <c r="C918" s="3"/>
      <c r="D918" s="3"/>
      <c r="E918" s="3"/>
      <c r="F918" s="4"/>
      <c r="G918" s="12" t="s">
        <v>16</v>
      </c>
    </row>
    <row r="919" spans="1:7" ht="12.75">
      <c r="A919" s="13"/>
      <c r="B919" s="13" t="s">
        <v>121</v>
      </c>
      <c r="C919" s="10" t="s">
        <v>122</v>
      </c>
      <c r="D919" s="3"/>
      <c r="E919" s="4"/>
      <c r="F919" s="10"/>
      <c r="G919" s="4"/>
    </row>
    <row r="920" spans="1:7" ht="12.75">
      <c r="A920" s="5"/>
      <c r="B920" s="5"/>
      <c r="C920" s="8" t="s">
        <v>11</v>
      </c>
      <c r="D920" s="9">
        <v>10.50</v>
      </c>
      <c r="E920" s="9">
        <v>170</v>
      </c>
      <c r="F920" s="9">
        <f>E920*D920</f>
        <v>1785</v>
      </c>
      <c r="G920" s="8" t="s">
        <v>19</v>
      </c>
    </row>
    <row r="921" spans="1:7" ht="12.75">
      <c r="A921" s="14" t="s">
        <v>20</v>
      </c>
      <c r="B921" s="3"/>
      <c r="C921" s="4"/>
      <c r="D921" s="9">
        <v>10</v>
      </c>
      <c r="E921" s="15" t="s">
        <v>11</v>
      </c>
      <c r="F921" s="9">
        <f>F920</f>
        <v>1785</v>
      </c>
      <c r="G921" s="8"/>
    </row>
    <row r="922" spans="1:7" ht="12.75">
      <c r="A922" s="14" t="s">
        <v>21</v>
      </c>
      <c r="B922" s="3"/>
      <c r="C922" s="4"/>
      <c r="D922" s="9">
        <v>1</v>
      </c>
      <c r="E922" s="15" t="s">
        <v>11</v>
      </c>
      <c r="F922" s="9">
        <f>F921/D921</f>
        <v>178.50</v>
      </c>
      <c r="G922" s="8"/>
    </row>
    <row r="923" spans="1:7" ht="12.75">
      <c r="A923" s="16" t="s">
        <v>22</v>
      </c>
      <c r="B923" s="3"/>
      <c r="C923" s="3"/>
      <c r="D923" s="4"/>
      <c r="E923" s="9"/>
      <c r="F923" s="9">
        <f>F922*1%</f>
        <v>1.785</v>
      </c>
      <c r="G923" s="8"/>
    </row>
    <row r="924" spans="1:7" ht="12.75">
      <c r="A924" s="16" t="s">
        <v>20</v>
      </c>
      <c r="B924" s="3"/>
      <c r="C924" s="3"/>
      <c r="D924" s="4"/>
      <c r="E924" s="15"/>
      <c r="F924" s="9">
        <f>F922+F923</f>
        <v>180.285</v>
      </c>
      <c r="G924" s="8"/>
    </row>
    <row r="925" spans="1:7" ht="12.75">
      <c r="A925" s="16" t="s">
        <v>23</v>
      </c>
      <c r="B925" s="3"/>
      <c r="C925" s="3"/>
      <c r="D925" s="4"/>
      <c r="E925" s="9"/>
      <c r="F925" s="9">
        <f>F924*15%</f>
        <v>27.042750000000002</v>
      </c>
      <c r="G925" s="8"/>
    </row>
    <row r="926" spans="1:7" ht="12.75">
      <c r="A926" s="16" t="s">
        <v>20</v>
      </c>
      <c r="B926" s="3"/>
      <c r="C926" s="3"/>
      <c r="D926" s="4"/>
      <c r="E926" s="15"/>
      <c r="F926" s="17">
        <f>ROUND(F924+F925,2)</f>
        <v>207.33</v>
      </c>
      <c r="G926" s="8"/>
    </row>
    <row r="927" spans="1:7" ht="12.75">
      <c r="A927" s="11" t="s">
        <v>24</v>
      </c>
      <c r="B927" s="3"/>
      <c r="C927" s="3"/>
      <c r="D927" s="3"/>
      <c r="E927" s="3"/>
      <c r="F927" s="4"/>
      <c r="G927" s="12" t="s">
        <v>25</v>
      </c>
    </row>
    <row r="928" spans="1:7" ht="12.75">
      <c r="A928" s="13">
        <v>116</v>
      </c>
      <c r="B928" s="13"/>
      <c r="C928" s="10" t="s">
        <v>26</v>
      </c>
      <c r="D928" s="3"/>
      <c r="E928" s="4"/>
      <c r="F928" s="10"/>
      <c r="G928" s="4"/>
    </row>
    <row r="929" spans="1:7" ht="12.75">
      <c r="A929" s="5"/>
      <c r="B929" s="5"/>
      <c r="C929" s="8" t="s">
        <v>27</v>
      </c>
      <c r="D929" s="9">
        <v>0.32</v>
      </c>
      <c r="E929" s="9">
        <v>784</v>
      </c>
      <c r="F929" s="9">
        <f>E929*D929</f>
        <v>250.88</v>
      </c>
      <c r="G929" s="8" t="s">
        <v>28</v>
      </c>
    </row>
    <row r="930" spans="1:7" ht="12.75">
      <c r="A930" s="13">
        <v>114</v>
      </c>
      <c r="B930" s="13"/>
      <c r="C930" s="10" t="s">
        <v>31</v>
      </c>
      <c r="D930" s="3"/>
      <c r="E930" s="4"/>
      <c r="F930" s="10"/>
      <c r="G930" s="4"/>
    </row>
    <row r="931" spans="1:7" ht="12.75">
      <c r="A931" s="5"/>
      <c r="B931" s="5"/>
      <c r="C931" s="8" t="s">
        <v>27</v>
      </c>
      <c r="D931" s="9">
        <v>0.62</v>
      </c>
      <c r="E931" s="9">
        <v>645</v>
      </c>
      <c r="F931" s="9">
        <f>E931*D931</f>
        <v>399.90</v>
      </c>
      <c r="G931" s="8" t="s">
        <v>30</v>
      </c>
    </row>
    <row r="932" spans="1:7" ht="12.75">
      <c r="A932" s="13">
        <v>100</v>
      </c>
      <c r="B932" s="13"/>
      <c r="C932" s="10" t="s">
        <v>99</v>
      </c>
      <c r="D932" s="3"/>
      <c r="E932" s="4"/>
      <c r="F932" s="10"/>
      <c r="G932" s="4"/>
    </row>
    <row r="933" spans="1:7" ht="12.75">
      <c r="A933" s="5"/>
      <c r="B933" s="5"/>
      <c r="C933" s="8" t="s">
        <v>27</v>
      </c>
      <c r="D933" s="9">
        <v>0.13</v>
      </c>
      <c r="E933" s="9">
        <v>714</v>
      </c>
      <c r="F933" s="9">
        <f>E933*D933</f>
        <v>92.82</v>
      </c>
      <c r="G933" s="8" t="s">
        <v>32</v>
      </c>
    </row>
    <row r="934" spans="1:7" ht="12.75">
      <c r="A934" s="11" t="s">
        <v>33</v>
      </c>
      <c r="B934" s="3"/>
      <c r="C934" s="3"/>
      <c r="D934" s="3"/>
      <c r="E934" s="3"/>
      <c r="F934" s="4"/>
      <c r="G934" s="12" t="s">
        <v>25</v>
      </c>
    </row>
    <row r="935" spans="1:7" ht="12.75">
      <c r="A935" s="13">
        <v>9999</v>
      </c>
      <c r="B935" s="13"/>
      <c r="C935" s="10" t="s">
        <v>100</v>
      </c>
      <c r="D935" s="3"/>
      <c r="E935" s="4"/>
      <c r="F935" s="10"/>
      <c r="G935" s="4"/>
    </row>
    <row r="936" spans="1:7" ht="12.75">
      <c r="A936" s="5"/>
      <c r="B936" s="5"/>
      <c r="C936" s="8" t="s">
        <v>35</v>
      </c>
      <c r="D936" s="9">
        <v>22.53</v>
      </c>
      <c r="E936" s="9">
        <v>2.12</v>
      </c>
      <c r="F936" s="9">
        <f>E936*D936</f>
        <v>47.763599999999997</v>
      </c>
      <c r="G936" s="8" t="s">
        <v>36</v>
      </c>
    </row>
    <row r="937" spans="1:7" ht="12.75">
      <c r="A937" s="13">
        <v>9999</v>
      </c>
      <c r="B937" s="13"/>
      <c r="C937" s="10" t="s">
        <v>101</v>
      </c>
      <c r="D937" s="3"/>
      <c r="E937" s="4"/>
      <c r="F937" s="10"/>
      <c r="G937" s="4"/>
    </row>
    <row r="938" spans="1:7" ht="12.75">
      <c r="A938" s="5"/>
      <c r="B938" s="5"/>
      <c r="C938" s="8" t="s">
        <v>35</v>
      </c>
      <c r="D938" s="9">
        <v>10.27</v>
      </c>
      <c r="E938" s="9">
        <v>2.12</v>
      </c>
      <c r="F938" s="9">
        <f>E938*D938</f>
        <v>21.772400000000001</v>
      </c>
      <c r="G938" s="8" t="s">
        <v>77</v>
      </c>
    </row>
    <row r="939" spans="1:7" ht="12.75">
      <c r="A939" s="13">
        <v>9999</v>
      </c>
      <c r="B939" s="13"/>
      <c r="C939" s="10" t="s">
        <v>76</v>
      </c>
      <c r="D939" s="3"/>
      <c r="E939" s="4"/>
      <c r="F939" s="10"/>
      <c r="G939" s="4"/>
    </row>
    <row r="940" spans="1:7" ht="12.75">
      <c r="A940" s="5"/>
      <c r="B940" s="5"/>
      <c r="C940" s="8" t="s">
        <v>35</v>
      </c>
      <c r="D940" s="9">
        <v>30.98</v>
      </c>
      <c r="E940" s="9">
        <v>2.12</v>
      </c>
      <c r="F940" s="9">
        <f>E940*D940</f>
        <v>65.677599999999998</v>
      </c>
      <c r="G940" s="8" t="s">
        <v>102</v>
      </c>
    </row>
    <row r="941" spans="1:7" ht="12.75">
      <c r="A941" s="14" t="s">
        <v>20</v>
      </c>
      <c r="B941" s="3"/>
      <c r="C941" s="4"/>
      <c r="D941" s="9">
        <v>10</v>
      </c>
      <c r="E941" s="15" t="s">
        <v>11</v>
      </c>
      <c r="F941" s="9">
        <f>F929+F931+F933+F936+F938+F940</f>
        <v>878.81359999999995</v>
      </c>
      <c r="G941" s="15"/>
    </row>
    <row r="942" spans="1:7" ht="12.75">
      <c r="A942" s="14" t="s">
        <v>21</v>
      </c>
      <c r="B942" s="3"/>
      <c r="C942" s="4"/>
      <c r="D942" s="9">
        <v>1</v>
      </c>
      <c r="E942" s="15" t="s">
        <v>11</v>
      </c>
      <c r="F942" s="9">
        <f>F941/D941</f>
        <v>87.881360000000001</v>
      </c>
      <c r="G942" s="15"/>
    </row>
    <row r="943" spans="1:7" ht="12.75">
      <c r="A943" s="16" t="s">
        <v>22</v>
      </c>
      <c r="B943" s="3"/>
      <c r="C943" s="3"/>
      <c r="D943" s="4"/>
      <c r="E943" s="9"/>
      <c r="F943" s="9">
        <f>F942*1%</f>
        <v>0.87881359999999997</v>
      </c>
      <c r="G943" s="15"/>
    </row>
    <row r="944" spans="1:7" ht="12.75">
      <c r="A944" s="16" t="s">
        <v>20</v>
      </c>
      <c r="B944" s="3"/>
      <c r="C944" s="3"/>
      <c r="D944" s="4"/>
      <c r="E944" s="15"/>
      <c r="F944" s="9">
        <f>F942+F943</f>
        <v>88.760173600000002</v>
      </c>
      <c r="G944" s="15"/>
    </row>
    <row r="945" spans="1:7" ht="12.75">
      <c r="A945" s="16" t="s">
        <v>23</v>
      </c>
      <c r="B945" s="3"/>
      <c r="C945" s="3"/>
      <c r="D945" s="4"/>
      <c r="E945" s="9"/>
      <c r="F945" s="9">
        <f>F944*15%</f>
        <v>13.31402604</v>
      </c>
      <c r="G945" s="15"/>
    </row>
    <row r="946" spans="1:7" ht="12.75">
      <c r="A946" s="16" t="s">
        <v>20</v>
      </c>
      <c r="B946" s="3"/>
      <c r="C946" s="3"/>
      <c r="D946" s="4"/>
      <c r="E946" s="15"/>
      <c r="F946" s="17">
        <f>ROUND(F944+F945,2)</f>
        <v>102.07</v>
      </c>
      <c r="G946" s="15"/>
    </row>
    <row r="947" spans="1:7" ht="12.75">
      <c r="A947" s="19" t="str">
        <f>CONCATENATE("Say ₹ ",F926," + ",F946," x Cost Index")</f>
        <v>Say ₹ 207.33 + 102.07 x Cost Index</v>
      </c>
      <c r="B947" s="3"/>
      <c r="C947" s="3"/>
      <c r="D947" s="3"/>
      <c r="E947" s="3"/>
      <c r="F947" s="4"/>
      <c r="G947" s="20" t="s">
        <v>37</v>
      </c>
    </row>
  </sheetData>
  <mergeCells count="1343">
    <mergeCell ref="A772:F772"/>
    <mergeCell ref="A773:A774"/>
    <mergeCell ref="B773:B774"/>
    <mergeCell ref="C773:E773"/>
    <mergeCell ref="F773:G773"/>
    <mergeCell ref="A775:G775"/>
    <mergeCell ref="F776:G776"/>
    <mergeCell ref="B777:G777"/>
    <mergeCell ref="A778:F778"/>
    <mergeCell ref="A779:A780"/>
    <mergeCell ref="B779:B780"/>
    <mergeCell ref="C779:E779"/>
    <mergeCell ref="F779:G779"/>
    <mergeCell ref="A781:C781"/>
    <mergeCell ref="C738:E738"/>
    <mergeCell ref="F738:G738"/>
    <mergeCell ref="A740:G740"/>
    <mergeCell ref="F741:G741"/>
    <mergeCell ref="B742:G742"/>
    <mergeCell ref="A743:F743"/>
    <mergeCell ref="F744:G744"/>
    <mergeCell ref="C744:E744"/>
    <mergeCell ref="A746:C746"/>
    <mergeCell ref="A747:C747"/>
    <mergeCell ref="A748:D748"/>
    <mergeCell ref="A749:D749"/>
    <mergeCell ref="A750:D750"/>
    <mergeCell ref="A751:D751"/>
    <mergeCell ref="C755:E755"/>
    <mergeCell ref="F755:G755"/>
    <mergeCell ref="A752:F752"/>
    <mergeCell ref="A753:A754"/>
    <mergeCell ref="B753:B754"/>
    <mergeCell ref="C753:E753"/>
    <mergeCell ref="F753:G753"/>
    <mergeCell ref="A755:A756"/>
    <mergeCell ref="B755:B756"/>
    <mergeCell ref="C760:E760"/>
    <mergeCell ref="F760:G760"/>
    <mergeCell ref="A757:A758"/>
    <mergeCell ref="B757:B758"/>
    <mergeCell ref="C757:E757"/>
    <mergeCell ref="F757:G757"/>
    <mergeCell ref="A759:F759"/>
    <mergeCell ref="A760:A761"/>
    <mergeCell ref="B760:B761"/>
    <mergeCell ref="B797:B798"/>
    <mergeCell ref="C797:E797"/>
    <mergeCell ref="F797:G797"/>
    <mergeCell ref="A687:A688"/>
    <mergeCell ref="B687:B688"/>
    <mergeCell ref="A689:A690"/>
    <mergeCell ref="B689:B690"/>
    <mergeCell ref="A691:A692"/>
    <mergeCell ref="B691:B692"/>
    <mergeCell ref="B694:B695"/>
    <mergeCell ref="B696:B697"/>
    <mergeCell ref="A694:A695"/>
    <mergeCell ref="A696:A697"/>
    <mergeCell ref="A698:C698"/>
    <mergeCell ref="A699:C699"/>
    <mergeCell ref="A700:D700"/>
    <mergeCell ref="A701:D701"/>
    <mergeCell ref="A702:D702"/>
    <mergeCell ref="A703:D703"/>
    <mergeCell ref="A704:F704"/>
    <mergeCell ref="A705:A706"/>
    <mergeCell ref="B705:B706"/>
    <mergeCell ref="C705:E705"/>
    <mergeCell ref="F705:G705"/>
    <mergeCell ref="A707:G707"/>
    <mergeCell ref="F708:G708"/>
    <mergeCell ref="B709:G709"/>
    <mergeCell ref="A710:F710"/>
    <mergeCell ref="A711:A712"/>
    <mergeCell ref="B711:B712"/>
    <mergeCell ref="C711:E711"/>
    <mergeCell ref="F711:G711"/>
    <mergeCell ref="A668:D668"/>
    <mergeCell ref="A669:D669"/>
    <mergeCell ref="A670:D670"/>
    <mergeCell ref="A671:F671"/>
    <mergeCell ref="A672:A673"/>
    <mergeCell ref="B672:B673"/>
    <mergeCell ref="F672:G672"/>
    <mergeCell ref="C678:E678"/>
    <mergeCell ref="F678:G678"/>
    <mergeCell ref="C672:E672"/>
    <mergeCell ref="A674:G674"/>
    <mergeCell ref="F675:G675"/>
    <mergeCell ref="B676:G676"/>
    <mergeCell ref="A677:F677"/>
    <mergeCell ref="A678:A679"/>
    <mergeCell ref="B678:B679"/>
    <mergeCell ref="A680:C680"/>
    <mergeCell ref="A681:C681"/>
    <mergeCell ref="A682:D682"/>
    <mergeCell ref="A683:D683"/>
    <mergeCell ref="A684:D684"/>
    <mergeCell ref="A685:D685"/>
    <mergeCell ref="A686:F686"/>
    <mergeCell ref="C694:E694"/>
    <mergeCell ref="F694:G694"/>
    <mergeCell ref="C696:E696"/>
    <mergeCell ref="F696:G696"/>
    <mergeCell ref="C687:E687"/>
    <mergeCell ref="F687:G687"/>
    <mergeCell ref="C689:E689"/>
    <mergeCell ref="F689:G689"/>
    <mergeCell ref="C691:E691"/>
    <mergeCell ref="F691:G691"/>
    <mergeCell ref="A693:F693"/>
    <mergeCell ref="C720:E720"/>
    <mergeCell ref="F720:G720"/>
    <mergeCell ref="A713:C713"/>
    <mergeCell ref="A714:C714"/>
    <mergeCell ref="A715:D715"/>
    <mergeCell ref="A716:D716"/>
    <mergeCell ref="A717:D717"/>
    <mergeCell ref="A718:D718"/>
    <mergeCell ref="A719:F719"/>
    <mergeCell ref="B724:B725"/>
    <mergeCell ref="C724:E724"/>
    <mergeCell ref="A720:A721"/>
    <mergeCell ref="B720:B721"/>
    <mergeCell ref="A722:A723"/>
    <mergeCell ref="B722:B723"/>
    <mergeCell ref="C722:E722"/>
    <mergeCell ref="F722:G722"/>
    <mergeCell ref="F724:G724"/>
    <mergeCell ref="B729:B730"/>
    <mergeCell ref="C729:E729"/>
    <mergeCell ref="A724:A725"/>
    <mergeCell ref="A726:F726"/>
    <mergeCell ref="A727:A728"/>
    <mergeCell ref="B727:B728"/>
    <mergeCell ref="C727:E727"/>
    <mergeCell ref="F727:G727"/>
    <mergeCell ref="F729:G729"/>
    <mergeCell ref="A729:A730"/>
    <mergeCell ref="A738:A739"/>
    <mergeCell ref="B738:B739"/>
    <mergeCell ref="A744:A745"/>
    <mergeCell ref="B744:B745"/>
    <mergeCell ref="A731:C731"/>
    <mergeCell ref="A732:C732"/>
    <mergeCell ref="A733:D733"/>
    <mergeCell ref="A734:D734"/>
    <mergeCell ref="A735:D735"/>
    <mergeCell ref="A736:D736"/>
    <mergeCell ref="A737:F737"/>
    <mergeCell ref="A762:A763"/>
    <mergeCell ref="B762:B763"/>
    <mergeCell ref="C762:E762"/>
    <mergeCell ref="F762:G762"/>
    <mergeCell ref="A764:A765"/>
    <mergeCell ref="C764:E764"/>
    <mergeCell ref="F764:G764"/>
    <mergeCell ref="B764:B765"/>
    <mergeCell ref="A766:C766"/>
    <mergeCell ref="A767:C767"/>
    <mergeCell ref="A768:D768"/>
    <mergeCell ref="A769:D769"/>
    <mergeCell ref="A770:D770"/>
    <mergeCell ref="A771:D771"/>
    <mergeCell ref="B788:B789"/>
    <mergeCell ref="C788:E788"/>
    <mergeCell ref="F788:G788"/>
    <mergeCell ref="A782:C782"/>
    <mergeCell ref="A783:D783"/>
    <mergeCell ref="A784:D784"/>
    <mergeCell ref="A785:D785"/>
    <mergeCell ref="A786:D786"/>
    <mergeCell ref="A787:F787"/>
    <mergeCell ref="A788:A789"/>
    <mergeCell ref="C823:E823"/>
    <mergeCell ref="F823:G823"/>
    <mergeCell ref="C825:E825"/>
    <mergeCell ref="F825:G825"/>
    <mergeCell ref="C827:E827"/>
    <mergeCell ref="F827:G827"/>
    <mergeCell ref="A829:F829"/>
    <mergeCell ref="A823:A824"/>
    <mergeCell ref="B823:B824"/>
    <mergeCell ref="A825:A826"/>
    <mergeCell ref="B825:B826"/>
    <mergeCell ref="A827:A828"/>
    <mergeCell ref="B827:B828"/>
    <mergeCell ref="B830:B831"/>
    <mergeCell ref="A877:F877"/>
    <mergeCell ref="A878:A879"/>
    <mergeCell ref="B878:B879"/>
    <mergeCell ref="C878:E878"/>
    <mergeCell ref="F878:G878"/>
    <mergeCell ref="A880:G880"/>
    <mergeCell ref="F881:G881"/>
    <mergeCell ref="B882:G882"/>
    <mergeCell ref="A883:F883"/>
    <mergeCell ref="A884:A885"/>
    <mergeCell ref="B884:B885"/>
    <mergeCell ref="C884:E884"/>
    <mergeCell ref="F884:G884"/>
    <mergeCell ref="A886:C886"/>
    <mergeCell ref="C843:E843"/>
    <mergeCell ref="F843:G843"/>
    <mergeCell ref="A838:D838"/>
    <mergeCell ref="A839:D839"/>
    <mergeCell ref="A840:D840"/>
    <mergeCell ref="A841:D841"/>
    <mergeCell ref="A842:F842"/>
    <mergeCell ref="A843:A844"/>
    <mergeCell ref="B843:B844"/>
    <mergeCell ref="A845:G845"/>
    <mergeCell ref="F846:G846"/>
    <mergeCell ref="B847:G847"/>
    <mergeCell ref="A848:F848"/>
    <mergeCell ref="A849:A850"/>
    <mergeCell ref="C849:E849"/>
    <mergeCell ref="F849:G849"/>
    <mergeCell ref="B849:B850"/>
    <mergeCell ref="A851:C851"/>
    <mergeCell ref="A852:C852"/>
    <mergeCell ref="A853:D853"/>
    <mergeCell ref="A854:D854"/>
    <mergeCell ref="A855:D855"/>
    <mergeCell ref="A856:D856"/>
    <mergeCell ref="C860:E860"/>
    <mergeCell ref="F860:G860"/>
    <mergeCell ref="A857:F857"/>
    <mergeCell ref="A858:A859"/>
    <mergeCell ref="B858:B859"/>
    <mergeCell ref="C858:E858"/>
    <mergeCell ref="F858:G858"/>
    <mergeCell ref="A860:A861"/>
    <mergeCell ref="B860:B861"/>
    <mergeCell ref="B902:B903"/>
    <mergeCell ref="C902:E902"/>
    <mergeCell ref="A904:A905"/>
    <mergeCell ref="B904:B905"/>
    <mergeCell ref="C904:E904"/>
    <mergeCell ref="F904:G904"/>
    <mergeCell ref="A906:C906"/>
    <mergeCell ref="C808:E808"/>
    <mergeCell ref="A810:G810"/>
    <mergeCell ref="F811:G811"/>
    <mergeCell ref="B812:G812"/>
    <mergeCell ref="A813:F813"/>
    <mergeCell ref="A814:A815"/>
    <mergeCell ref="B814:B815"/>
    <mergeCell ref="A816:C816"/>
    <mergeCell ref="A817:C817"/>
    <mergeCell ref="A818:D818"/>
    <mergeCell ref="A819:D819"/>
    <mergeCell ref="A820:D820"/>
    <mergeCell ref="A821:D821"/>
    <mergeCell ref="A822:F822"/>
    <mergeCell ref="A790:A791"/>
    <mergeCell ref="B790:B791"/>
    <mergeCell ref="C790:E790"/>
    <mergeCell ref="F790:G790"/>
    <mergeCell ref="A792:A793"/>
    <mergeCell ref="B792:B793"/>
    <mergeCell ref="F792:G792"/>
    <mergeCell ref="C792:E792"/>
    <mergeCell ref="A794:F794"/>
    <mergeCell ref="A795:A796"/>
    <mergeCell ref="B795:B796"/>
    <mergeCell ref="C795:E795"/>
    <mergeCell ref="F795:G795"/>
    <mergeCell ref="A797:A798"/>
    <mergeCell ref="A799:A800"/>
    <mergeCell ref="B799:B800"/>
    <mergeCell ref="C799:E799"/>
    <mergeCell ref="F799:G799"/>
    <mergeCell ref="A801:C801"/>
    <mergeCell ref="A802:C802"/>
    <mergeCell ref="A803:D803"/>
    <mergeCell ref="A804:D804"/>
    <mergeCell ref="A805:D805"/>
    <mergeCell ref="A806:D806"/>
    <mergeCell ref="A807:F807"/>
    <mergeCell ref="A808:A809"/>
    <mergeCell ref="B808:B809"/>
    <mergeCell ref="F808:G808"/>
    <mergeCell ref="C814:E814"/>
    <mergeCell ref="F814:G814"/>
    <mergeCell ref="C830:E830"/>
    <mergeCell ref="F830:G830"/>
    <mergeCell ref="C832:E832"/>
    <mergeCell ref="F832:G832"/>
    <mergeCell ref="C834:E834"/>
    <mergeCell ref="F834:G834"/>
    <mergeCell ref="A830:A831"/>
    <mergeCell ref="A832:A833"/>
    <mergeCell ref="B832:B833"/>
    <mergeCell ref="A834:A835"/>
    <mergeCell ref="B834:B835"/>
    <mergeCell ref="A836:C836"/>
    <mergeCell ref="A837:C837"/>
    <mergeCell ref="C865:E865"/>
    <mergeCell ref="F865:G865"/>
    <mergeCell ref="A862:A863"/>
    <mergeCell ref="B862:B863"/>
    <mergeCell ref="C862:E862"/>
    <mergeCell ref="F862:G862"/>
    <mergeCell ref="A864:F864"/>
    <mergeCell ref="A865:A866"/>
    <mergeCell ref="B865:B866"/>
    <mergeCell ref="A867:A868"/>
    <mergeCell ref="B867:B868"/>
    <mergeCell ref="C867:E867"/>
    <mergeCell ref="F867:G867"/>
    <mergeCell ref="A869:A870"/>
    <mergeCell ref="C869:E869"/>
    <mergeCell ref="F869:G869"/>
    <mergeCell ref="B869:B870"/>
    <mergeCell ref="A871:C871"/>
    <mergeCell ref="A872:C872"/>
    <mergeCell ref="A873:D873"/>
    <mergeCell ref="A874:D874"/>
    <mergeCell ref="A875:D875"/>
    <mergeCell ref="A876:D876"/>
    <mergeCell ref="B893:B894"/>
    <mergeCell ref="C893:E893"/>
    <mergeCell ref="F893:G893"/>
    <mergeCell ref="A887:C887"/>
    <mergeCell ref="A888:D888"/>
    <mergeCell ref="A889:D889"/>
    <mergeCell ref="A890:D890"/>
    <mergeCell ref="A891:D891"/>
    <mergeCell ref="A892:F892"/>
    <mergeCell ref="A893:A894"/>
    <mergeCell ref="A895:A896"/>
    <mergeCell ref="B895:B896"/>
    <mergeCell ref="C895:E895"/>
    <mergeCell ref="F895:G895"/>
    <mergeCell ref="A897:A898"/>
    <mergeCell ref="B897:B898"/>
    <mergeCell ref="F897:G897"/>
    <mergeCell ref="C897:E897"/>
    <mergeCell ref="A899:F899"/>
    <mergeCell ref="A900:A901"/>
    <mergeCell ref="B900:B901"/>
    <mergeCell ref="C900:E900"/>
    <mergeCell ref="F900:G900"/>
    <mergeCell ref="A902:A903"/>
    <mergeCell ref="F902:G902"/>
    <mergeCell ref="A937:A938"/>
    <mergeCell ref="B937:B938"/>
    <mergeCell ref="C937:E937"/>
    <mergeCell ref="F937:G937"/>
    <mergeCell ref="A939:A940"/>
    <mergeCell ref="B939:B940"/>
    <mergeCell ref="C939:E939"/>
    <mergeCell ref="F939:G939"/>
    <mergeCell ref="A941:C941"/>
    <mergeCell ref="A942:C942"/>
    <mergeCell ref="A943:D943"/>
    <mergeCell ref="A907:C907"/>
    <mergeCell ref="A908:D908"/>
    <mergeCell ref="A909:D909"/>
    <mergeCell ref="A910:D910"/>
    <mergeCell ref="A911:D911"/>
    <mergeCell ref="A912:F912"/>
    <mergeCell ref="A913:A914"/>
    <mergeCell ref="B913:B914"/>
    <mergeCell ref="C913:E913"/>
    <mergeCell ref="F913:G913"/>
    <mergeCell ref="A915:G915"/>
    <mergeCell ref="F916:G916"/>
    <mergeCell ref="B917:G917"/>
    <mergeCell ref="A918:F918"/>
    <mergeCell ref="A919:A920"/>
    <mergeCell ref="B919:B920"/>
    <mergeCell ref="C919:E919"/>
    <mergeCell ref="F919:G919"/>
    <mergeCell ref="A921:C921"/>
    <mergeCell ref="A922:C922"/>
    <mergeCell ref="A923:D923"/>
    <mergeCell ref="C930:E930"/>
    <mergeCell ref="F930:G930"/>
    <mergeCell ref="C932:E932"/>
    <mergeCell ref="F932:G932"/>
    <mergeCell ref="A934:F934"/>
    <mergeCell ref="C935:E935"/>
    <mergeCell ref="F935:G935"/>
    <mergeCell ref="A924:D924"/>
    <mergeCell ref="A925:D925"/>
    <mergeCell ref="A926:D926"/>
    <mergeCell ref="A927:F927"/>
    <mergeCell ref="B928:B929"/>
    <mergeCell ref="C928:E928"/>
    <mergeCell ref="F928:G928"/>
    <mergeCell ref="A928:A929"/>
    <mergeCell ref="A930:A931"/>
    <mergeCell ref="B930:B931"/>
    <mergeCell ref="A932:A933"/>
    <mergeCell ref="B932:B933"/>
    <mergeCell ref="A935:A936"/>
    <mergeCell ref="B935:B936"/>
    <mergeCell ref="A944:D944"/>
    <mergeCell ref="A945:D945"/>
    <mergeCell ref="A946:D946"/>
    <mergeCell ref="A947:F947"/>
    <mergeCell ref="A26:C26"/>
    <mergeCell ref="A27:D27"/>
    <mergeCell ref="A28:D28"/>
    <mergeCell ref="A29:D29"/>
    <mergeCell ref="A30:D30"/>
    <mergeCell ref="A31:F31"/>
    <mergeCell ref="A32:A33"/>
    <mergeCell ref="B32:B33"/>
    <mergeCell ref="C32:E32"/>
    <mergeCell ref="F32:G32"/>
    <mergeCell ref="A34:G34"/>
    <mergeCell ref="F35:G35"/>
    <mergeCell ref="B36:G36"/>
    <mergeCell ref="A37:F37"/>
    <mergeCell ref="A38:A39"/>
    <mergeCell ref="B38:B39"/>
    <mergeCell ref="C38:E38"/>
    <mergeCell ref="F38:G38"/>
    <mergeCell ref="A40:C40"/>
    <mergeCell ref="A41:C41"/>
    <mergeCell ref="A42:D42"/>
    <mergeCell ref="A43:D43"/>
    <mergeCell ref="A44:D44"/>
    <mergeCell ref="A45:D45"/>
    <mergeCell ref="A46:F46"/>
    <mergeCell ref="B47:B48"/>
    <mergeCell ref="C47:E47"/>
    <mergeCell ref="F47:G47"/>
    <mergeCell ref="C51:E51"/>
    <mergeCell ref="F51:G51"/>
    <mergeCell ref="A47:A48"/>
    <mergeCell ref="A49:A50"/>
    <mergeCell ref="B49:B50"/>
    <mergeCell ref="C49:E49"/>
    <mergeCell ref="F49:G49"/>
    <mergeCell ref="B51:B52"/>
    <mergeCell ref="A53:F53"/>
    <mergeCell ref="C7:E7"/>
    <mergeCell ref="F7:G7"/>
    <mergeCell ref="B1:B2"/>
    <mergeCell ref="C1:E1"/>
    <mergeCell ref="F1:G1"/>
    <mergeCell ref="A3:G3"/>
    <mergeCell ref="F4:G4"/>
    <mergeCell ref="B5:G5"/>
    <mergeCell ref="A6:F6"/>
    <mergeCell ref="A1:A2"/>
    <mergeCell ref="A7:A8"/>
    <mergeCell ref="B7:B8"/>
    <mergeCell ref="A9:C9"/>
    <mergeCell ref="A10:C10"/>
    <mergeCell ref="A11:D11"/>
    <mergeCell ref="A12:D12"/>
    <mergeCell ref="A13:D13"/>
    <mergeCell ref="A14:D14"/>
    <mergeCell ref="A15:F15"/>
    <mergeCell ref="A16:A17"/>
    <mergeCell ref="B16:B17"/>
    <mergeCell ref="C16:E16"/>
    <mergeCell ref="F16:G16"/>
    <mergeCell ref="A18:A19"/>
    <mergeCell ref="B18:B19"/>
    <mergeCell ref="C18:E18"/>
    <mergeCell ref="F18:G18"/>
    <mergeCell ref="A20:A21"/>
    <mergeCell ref="B20:B21"/>
    <mergeCell ref="F20:G20"/>
    <mergeCell ref="C20:E20"/>
    <mergeCell ref="A22:F22"/>
    <mergeCell ref="A23:A24"/>
    <mergeCell ref="B23:B24"/>
    <mergeCell ref="C23:E23"/>
    <mergeCell ref="F23:G23"/>
    <mergeCell ref="A25:C25"/>
    <mergeCell ref="A51:A52"/>
    <mergeCell ref="A54:A55"/>
    <mergeCell ref="B54:B55"/>
    <mergeCell ref="C54:E54"/>
    <mergeCell ref="F54:G54"/>
    <mergeCell ref="A56:C56"/>
    <mergeCell ref="A57:C57"/>
    <mergeCell ref="C85:E85"/>
    <mergeCell ref="F85:G85"/>
    <mergeCell ref="A82:A83"/>
    <mergeCell ref="B82:B83"/>
    <mergeCell ref="C82:E82"/>
    <mergeCell ref="F82:G82"/>
    <mergeCell ref="A84:F84"/>
    <mergeCell ref="A85:A86"/>
    <mergeCell ref="B85:B86"/>
    <mergeCell ref="A94:A95"/>
    <mergeCell ref="B94:B95"/>
    <mergeCell ref="A87:C87"/>
    <mergeCell ref="A88:C88"/>
    <mergeCell ref="A89:D89"/>
    <mergeCell ref="A90:D90"/>
    <mergeCell ref="A91:D91"/>
    <mergeCell ref="A92:D92"/>
    <mergeCell ref="A93:F93"/>
    <mergeCell ref="B100:B101"/>
    <mergeCell ref="C100:E100"/>
    <mergeCell ref="C94:E94"/>
    <mergeCell ref="F94:G94"/>
    <mergeCell ref="A96:G96"/>
    <mergeCell ref="F97:G97"/>
    <mergeCell ref="B98:G98"/>
    <mergeCell ref="A99:F99"/>
    <mergeCell ref="F100:G100"/>
    <mergeCell ref="C63:E63"/>
    <mergeCell ref="F63:G63"/>
    <mergeCell ref="A58:D58"/>
    <mergeCell ref="A59:D59"/>
    <mergeCell ref="A60:D60"/>
    <mergeCell ref="A61:D61"/>
    <mergeCell ref="A62:F62"/>
    <mergeCell ref="A63:A64"/>
    <mergeCell ref="B63:B64"/>
    <mergeCell ref="A65:G65"/>
    <mergeCell ref="F66:G66"/>
    <mergeCell ref="B67:G67"/>
    <mergeCell ref="A68:F68"/>
    <mergeCell ref="A69:A70"/>
    <mergeCell ref="C69:E69"/>
    <mergeCell ref="F69:G69"/>
    <mergeCell ref="B69:B70"/>
    <mergeCell ref="A71:C71"/>
    <mergeCell ref="A72:C72"/>
    <mergeCell ref="A73:D73"/>
    <mergeCell ref="A74:D74"/>
    <mergeCell ref="A75:D75"/>
    <mergeCell ref="A76:D76"/>
    <mergeCell ref="C80:E80"/>
    <mergeCell ref="F80:G80"/>
    <mergeCell ref="A77:F77"/>
    <mergeCell ref="A78:A79"/>
    <mergeCell ref="B78:B79"/>
    <mergeCell ref="C78:E78"/>
    <mergeCell ref="F78:G78"/>
    <mergeCell ref="A80:A81"/>
    <mergeCell ref="B80:B81"/>
    <mergeCell ref="C109:E109"/>
    <mergeCell ref="F109:G109"/>
    <mergeCell ref="C144:E144"/>
    <mergeCell ref="F144:G144"/>
    <mergeCell ref="A140:A141"/>
    <mergeCell ref="B140:B141"/>
    <mergeCell ref="C140:E140"/>
    <mergeCell ref="F140:G140"/>
    <mergeCell ref="B142:B143"/>
    <mergeCell ref="C142:E142"/>
    <mergeCell ref="F142:G142"/>
    <mergeCell ref="A142:A143"/>
    <mergeCell ref="A144:A145"/>
    <mergeCell ref="B144:B145"/>
    <mergeCell ref="A146:F146"/>
    <mergeCell ref="A147:A148"/>
    <mergeCell ref="C147:E147"/>
    <mergeCell ref="F147:G147"/>
    <mergeCell ref="B147:B148"/>
    <mergeCell ref="A149:C149"/>
    <mergeCell ref="A150:C150"/>
    <mergeCell ref="A151:D151"/>
    <mergeCell ref="A152:D152"/>
    <mergeCell ref="A153:D153"/>
    <mergeCell ref="A154:D154"/>
    <mergeCell ref="A155:F155"/>
    <mergeCell ref="A156:A157"/>
    <mergeCell ref="B156:B157"/>
    <mergeCell ref="C156:E156"/>
    <mergeCell ref="F156:G156"/>
    <mergeCell ref="A158:G158"/>
    <mergeCell ref="F159:G159"/>
    <mergeCell ref="B160:G160"/>
    <mergeCell ref="A161:F161"/>
    <mergeCell ref="A162:A163"/>
    <mergeCell ref="B162:B163"/>
    <mergeCell ref="C162:E162"/>
    <mergeCell ref="F162:G162"/>
    <mergeCell ref="A164:C164"/>
    <mergeCell ref="B171:B172"/>
    <mergeCell ref="C171:E171"/>
    <mergeCell ref="F171:G171"/>
    <mergeCell ref="A165:C165"/>
    <mergeCell ref="A166:D166"/>
    <mergeCell ref="A167:D167"/>
    <mergeCell ref="A168:D168"/>
    <mergeCell ref="A169:D169"/>
    <mergeCell ref="A170:F170"/>
    <mergeCell ref="A171:A172"/>
    <mergeCell ref="A173:A174"/>
    <mergeCell ref="B173:B174"/>
    <mergeCell ref="C173:E173"/>
    <mergeCell ref="F173:G173"/>
    <mergeCell ref="A175:A176"/>
    <mergeCell ref="B175:B176"/>
    <mergeCell ref="F175:G175"/>
    <mergeCell ref="C175:E175"/>
    <mergeCell ref="A177:F177"/>
    <mergeCell ref="A178:A179"/>
    <mergeCell ref="B178:B179"/>
    <mergeCell ref="C178:E178"/>
    <mergeCell ref="F178:G178"/>
    <mergeCell ref="A180:C180"/>
    <mergeCell ref="A181:C181"/>
    <mergeCell ref="A182:D182"/>
    <mergeCell ref="A183:D183"/>
    <mergeCell ref="A184:D184"/>
    <mergeCell ref="A185:D185"/>
    <mergeCell ref="A186:F186"/>
    <mergeCell ref="A187:A188"/>
    <mergeCell ref="B187:B188"/>
    <mergeCell ref="C187:E187"/>
    <mergeCell ref="F187:G187"/>
    <mergeCell ref="A189:G189"/>
    <mergeCell ref="F190:G190"/>
    <mergeCell ref="B191:G191"/>
    <mergeCell ref="A192:F192"/>
    <mergeCell ref="C125:E125"/>
    <mergeCell ref="A127:G127"/>
    <mergeCell ref="F128:G128"/>
    <mergeCell ref="B129:G129"/>
    <mergeCell ref="A130:F130"/>
    <mergeCell ref="A131:A132"/>
    <mergeCell ref="B131:B132"/>
    <mergeCell ref="A133:C133"/>
    <mergeCell ref="A134:C134"/>
    <mergeCell ref="A135:D135"/>
    <mergeCell ref="A136:D136"/>
    <mergeCell ref="A137:D137"/>
    <mergeCell ref="A138:D138"/>
    <mergeCell ref="A139:F139"/>
    <mergeCell ref="A193:A194"/>
    <mergeCell ref="B193:B194"/>
    <mergeCell ref="C193:E193"/>
    <mergeCell ref="F193:G193"/>
    <mergeCell ref="A195:C195"/>
    <mergeCell ref="A196:C196"/>
    <mergeCell ref="A197:D197"/>
    <mergeCell ref="A198:D198"/>
    <mergeCell ref="A199:D199"/>
    <mergeCell ref="A200:D200"/>
    <mergeCell ref="A201:F201"/>
    <mergeCell ref="B202:B203"/>
    <mergeCell ref="C202:E202"/>
    <mergeCell ref="F202:G202"/>
    <mergeCell ref="C206:E206"/>
    <mergeCell ref="F206:G206"/>
    <mergeCell ref="A202:A203"/>
    <mergeCell ref="A204:A205"/>
    <mergeCell ref="B204:B205"/>
    <mergeCell ref="C204:E204"/>
    <mergeCell ref="F204:G204"/>
    <mergeCell ref="B206:B207"/>
    <mergeCell ref="A208:F208"/>
    <mergeCell ref="C111:E111"/>
    <mergeCell ref="F111:G111"/>
    <mergeCell ref="C113:E113"/>
    <mergeCell ref="F113:G113"/>
    <mergeCell ref="A115:F115"/>
    <mergeCell ref="A102:C102"/>
    <mergeCell ref="A103:C103"/>
    <mergeCell ref="A104:D104"/>
    <mergeCell ref="A105:D105"/>
    <mergeCell ref="A106:D106"/>
    <mergeCell ref="A107:D107"/>
    <mergeCell ref="A108:F108"/>
    <mergeCell ref="A100:A101"/>
    <mergeCell ref="A109:A110"/>
    <mergeCell ref="B109:B110"/>
    <mergeCell ref="A111:A112"/>
    <mergeCell ref="B111:B112"/>
    <mergeCell ref="A113:A114"/>
    <mergeCell ref="B113:B114"/>
    <mergeCell ref="A116:A117"/>
    <mergeCell ref="B116:B117"/>
    <mergeCell ref="C116:E116"/>
    <mergeCell ref="F116:G116"/>
    <mergeCell ref="A118:C118"/>
    <mergeCell ref="A119:C119"/>
    <mergeCell ref="A120:D120"/>
    <mergeCell ref="A121:D121"/>
    <mergeCell ref="A122:D122"/>
    <mergeCell ref="A123:D123"/>
    <mergeCell ref="A124:F124"/>
    <mergeCell ref="A125:A126"/>
    <mergeCell ref="B125:B126"/>
    <mergeCell ref="F125:G125"/>
    <mergeCell ref="C131:E131"/>
    <mergeCell ref="F131:G131"/>
    <mergeCell ref="A206:A207"/>
    <mergeCell ref="A209:A210"/>
    <mergeCell ref="B209:B210"/>
    <mergeCell ref="C209:E209"/>
    <mergeCell ref="F209:G209"/>
    <mergeCell ref="A211:C211"/>
    <mergeCell ref="A212:C212"/>
    <mergeCell ref="C240:E240"/>
    <mergeCell ref="F240:G240"/>
    <mergeCell ref="A237:A238"/>
    <mergeCell ref="B237:B238"/>
    <mergeCell ref="C237:E237"/>
    <mergeCell ref="F237:G237"/>
    <mergeCell ref="A239:F239"/>
    <mergeCell ref="A240:A241"/>
    <mergeCell ref="B240:B241"/>
    <mergeCell ref="A249:A250"/>
    <mergeCell ref="B249:B250"/>
    <mergeCell ref="A242:C242"/>
    <mergeCell ref="A243:C243"/>
    <mergeCell ref="A244:D244"/>
    <mergeCell ref="A245:D245"/>
    <mergeCell ref="A246:D246"/>
    <mergeCell ref="A247:D247"/>
    <mergeCell ref="A248:F248"/>
    <mergeCell ref="B255:B256"/>
    <mergeCell ref="C255:E255"/>
    <mergeCell ref="C249:E249"/>
    <mergeCell ref="F249:G249"/>
    <mergeCell ref="A251:G251"/>
    <mergeCell ref="F252:G252"/>
    <mergeCell ref="B253:G253"/>
    <mergeCell ref="A254:F254"/>
    <mergeCell ref="F255:G255"/>
    <mergeCell ref="C218:E218"/>
    <mergeCell ref="F218:G218"/>
    <mergeCell ref="A213:D213"/>
    <mergeCell ref="A214:D214"/>
    <mergeCell ref="A215:D215"/>
    <mergeCell ref="A216:D216"/>
    <mergeCell ref="A217:F217"/>
    <mergeCell ref="A218:A219"/>
    <mergeCell ref="B218:B219"/>
    <mergeCell ref="A220:G220"/>
    <mergeCell ref="F221:G221"/>
    <mergeCell ref="B222:G222"/>
    <mergeCell ref="A223:F223"/>
    <mergeCell ref="A224:A225"/>
    <mergeCell ref="C224:E224"/>
    <mergeCell ref="F224:G224"/>
    <mergeCell ref="B224:B225"/>
    <mergeCell ref="A226:C226"/>
    <mergeCell ref="A227:C227"/>
    <mergeCell ref="A228:D228"/>
    <mergeCell ref="A229:D229"/>
    <mergeCell ref="A230:D230"/>
    <mergeCell ref="A231:D231"/>
    <mergeCell ref="C235:E235"/>
    <mergeCell ref="F235:G235"/>
    <mergeCell ref="A232:F232"/>
    <mergeCell ref="A233:A234"/>
    <mergeCell ref="B233:B234"/>
    <mergeCell ref="C233:E233"/>
    <mergeCell ref="F233:G233"/>
    <mergeCell ref="A235:A236"/>
    <mergeCell ref="B235:B236"/>
    <mergeCell ref="C264:E264"/>
    <mergeCell ref="F264:G264"/>
    <mergeCell ref="C299:E299"/>
    <mergeCell ref="F299:G299"/>
    <mergeCell ref="A295:A296"/>
    <mergeCell ref="B295:B296"/>
    <mergeCell ref="C295:E295"/>
    <mergeCell ref="F295:G295"/>
    <mergeCell ref="B297:B298"/>
    <mergeCell ref="C297:E297"/>
    <mergeCell ref="F297:G297"/>
    <mergeCell ref="A297:A298"/>
    <mergeCell ref="A299:A300"/>
    <mergeCell ref="B299:B300"/>
    <mergeCell ref="A301:F301"/>
    <mergeCell ref="A302:A303"/>
    <mergeCell ref="C302:E302"/>
    <mergeCell ref="F302:G302"/>
    <mergeCell ref="B302:B303"/>
    <mergeCell ref="A304:C304"/>
    <mergeCell ref="A305:C305"/>
    <mergeCell ref="A306:D306"/>
    <mergeCell ref="A307:D307"/>
    <mergeCell ref="A308:D308"/>
    <mergeCell ref="A309:D309"/>
    <mergeCell ref="A310:F310"/>
    <mergeCell ref="A311:A312"/>
    <mergeCell ref="B311:B312"/>
    <mergeCell ref="C311:E311"/>
    <mergeCell ref="F311:G311"/>
    <mergeCell ref="A313:G313"/>
    <mergeCell ref="F314:G314"/>
    <mergeCell ref="B315:G315"/>
    <mergeCell ref="A316:F316"/>
    <mergeCell ref="A317:A318"/>
    <mergeCell ref="B317:B318"/>
    <mergeCell ref="C317:E317"/>
    <mergeCell ref="F317:G317"/>
    <mergeCell ref="A319:C319"/>
    <mergeCell ref="B326:B327"/>
    <mergeCell ref="C326:E326"/>
    <mergeCell ref="F326:G326"/>
    <mergeCell ref="A320:C320"/>
    <mergeCell ref="A321:D321"/>
    <mergeCell ref="A322:D322"/>
    <mergeCell ref="A323:D323"/>
    <mergeCell ref="A324:D324"/>
    <mergeCell ref="A325:F325"/>
    <mergeCell ref="A326:A327"/>
    <mergeCell ref="A328:A329"/>
    <mergeCell ref="B328:B329"/>
    <mergeCell ref="C328:E328"/>
    <mergeCell ref="F328:G328"/>
    <mergeCell ref="A330:A331"/>
    <mergeCell ref="B330:B331"/>
    <mergeCell ref="F330:G330"/>
    <mergeCell ref="C330:E330"/>
    <mergeCell ref="A332:F332"/>
    <mergeCell ref="A333:A334"/>
    <mergeCell ref="B333:B334"/>
    <mergeCell ref="C333:E333"/>
    <mergeCell ref="F333:G333"/>
    <mergeCell ref="A335:C335"/>
    <mergeCell ref="A336:C336"/>
    <mergeCell ref="A337:D337"/>
    <mergeCell ref="A338:D338"/>
    <mergeCell ref="A339:D339"/>
    <mergeCell ref="A340:D340"/>
    <mergeCell ref="A341:F341"/>
    <mergeCell ref="A342:A343"/>
    <mergeCell ref="B342:B343"/>
    <mergeCell ref="C342:E342"/>
    <mergeCell ref="F342:G342"/>
    <mergeCell ref="A344:G344"/>
    <mergeCell ref="F345:G345"/>
    <mergeCell ref="B346:G346"/>
    <mergeCell ref="A347:F347"/>
    <mergeCell ref="C280:E280"/>
    <mergeCell ref="A282:G282"/>
    <mergeCell ref="F283:G283"/>
    <mergeCell ref="B284:G284"/>
    <mergeCell ref="A285:F285"/>
    <mergeCell ref="A286:A287"/>
    <mergeCell ref="B286:B287"/>
    <mergeCell ref="A288:C288"/>
    <mergeCell ref="A289:C289"/>
    <mergeCell ref="A290:D290"/>
    <mergeCell ref="A291:D291"/>
    <mergeCell ref="A292:D292"/>
    <mergeCell ref="A293:D293"/>
    <mergeCell ref="A294:F294"/>
    <mergeCell ref="A348:A349"/>
    <mergeCell ref="B348:B349"/>
    <mergeCell ref="C348:E348"/>
    <mergeCell ref="F348:G348"/>
    <mergeCell ref="A350:C350"/>
    <mergeCell ref="A351:C351"/>
    <mergeCell ref="A352:D352"/>
    <mergeCell ref="A353:D353"/>
    <mergeCell ref="A354:D354"/>
    <mergeCell ref="A355:D355"/>
    <mergeCell ref="A356:F356"/>
    <mergeCell ref="B357:B358"/>
    <mergeCell ref="C357:E357"/>
    <mergeCell ref="F357:G357"/>
    <mergeCell ref="C361:E361"/>
    <mergeCell ref="F361:G361"/>
    <mergeCell ref="A357:A358"/>
    <mergeCell ref="A359:A360"/>
    <mergeCell ref="B359:B360"/>
    <mergeCell ref="C359:E359"/>
    <mergeCell ref="F359:G359"/>
    <mergeCell ref="B361:B362"/>
    <mergeCell ref="A363:F363"/>
    <mergeCell ref="C366:E366"/>
    <mergeCell ref="F366:G366"/>
    <mergeCell ref="A361:A362"/>
    <mergeCell ref="A364:A365"/>
    <mergeCell ref="B364:B365"/>
    <mergeCell ref="C364:E364"/>
    <mergeCell ref="F364:G364"/>
    <mergeCell ref="A366:A367"/>
    <mergeCell ref="B366:B367"/>
    <mergeCell ref="A375:A376"/>
    <mergeCell ref="B375:B376"/>
    <mergeCell ref="A368:C368"/>
    <mergeCell ref="A369:C369"/>
    <mergeCell ref="A370:D370"/>
    <mergeCell ref="A371:D371"/>
    <mergeCell ref="A372:D372"/>
    <mergeCell ref="A373:D373"/>
    <mergeCell ref="A374:F374"/>
    <mergeCell ref="B381:B382"/>
    <mergeCell ref="C381:E381"/>
    <mergeCell ref="C375:E375"/>
    <mergeCell ref="F375:G375"/>
    <mergeCell ref="A377:G377"/>
    <mergeCell ref="F378:G378"/>
    <mergeCell ref="B379:G379"/>
    <mergeCell ref="A380:F380"/>
    <mergeCell ref="F381:G381"/>
    <mergeCell ref="C266:E266"/>
    <mergeCell ref="F266:G266"/>
    <mergeCell ref="C268:E268"/>
    <mergeCell ref="F268:G268"/>
    <mergeCell ref="A270:F270"/>
    <mergeCell ref="A257:C257"/>
    <mergeCell ref="A258:C258"/>
    <mergeCell ref="A259:D259"/>
    <mergeCell ref="A260:D260"/>
    <mergeCell ref="A261:D261"/>
    <mergeCell ref="A262:D262"/>
    <mergeCell ref="A263:F263"/>
    <mergeCell ref="A255:A256"/>
    <mergeCell ref="A264:A265"/>
    <mergeCell ref="B264:B265"/>
    <mergeCell ref="A266:A267"/>
    <mergeCell ref="B266:B267"/>
    <mergeCell ref="A268:A269"/>
    <mergeCell ref="B268:B269"/>
    <mergeCell ref="A271:A272"/>
    <mergeCell ref="B271:B272"/>
    <mergeCell ref="C271:E271"/>
    <mergeCell ref="F271:G271"/>
    <mergeCell ref="A273:C273"/>
    <mergeCell ref="A274:C274"/>
    <mergeCell ref="A275:D275"/>
    <mergeCell ref="A276:D276"/>
    <mergeCell ref="A277:D277"/>
    <mergeCell ref="A278:D278"/>
    <mergeCell ref="A279:F279"/>
    <mergeCell ref="A280:A281"/>
    <mergeCell ref="B280:B281"/>
    <mergeCell ref="F280:G280"/>
    <mergeCell ref="C286:E286"/>
    <mergeCell ref="F286:G286"/>
    <mergeCell ref="C390:E390"/>
    <mergeCell ref="F390:G390"/>
    <mergeCell ref="A404:D404"/>
    <mergeCell ref="A405:D405"/>
    <mergeCell ref="A406:D406"/>
    <mergeCell ref="A407:F407"/>
    <mergeCell ref="A408:A409"/>
    <mergeCell ref="B408:B409"/>
    <mergeCell ref="F408:G408"/>
    <mergeCell ref="C408:E408"/>
    <mergeCell ref="A410:G410"/>
    <mergeCell ref="F411:G411"/>
    <mergeCell ref="B412:G412"/>
    <mergeCell ref="A413:F413"/>
    <mergeCell ref="A414:A415"/>
    <mergeCell ref="B414:B415"/>
    <mergeCell ref="C392:E392"/>
    <mergeCell ref="F392:G392"/>
    <mergeCell ref="C394:E394"/>
    <mergeCell ref="F394:G394"/>
    <mergeCell ref="A396:F396"/>
    <mergeCell ref="A383:C383"/>
    <mergeCell ref="A384:C384"/>
    <mergeCell ref="A385:D385"/>
    <mergeCell ref="A386:D386"/>
    <mergeCell ref="A387:D387"/>
    <mergeCell ref="A388:D388"/>
    <mergeCell ref="A389:F389"/>
    <mergeCell ref="A397:A398"/>
    <mergeCell ref="B397:B398"/>
    <mergeCell ref="C397:E397"/>
    <mergeCell ref="F397:G397"/>
    <mergeCell ref="A381:A382"/>
    <mergeCell ref="A390:A391"/>
    <mergeCell ref="B390:B391"/>
    <mergeCell ref="A392:A393"/>
    <mergeCell ref="B392:B393"/>
    <mergeCell ref="A394:A395"/>
    <mergeCell ref="B394:B395"/>
    <mergeCell ref="A399:A400"/>
    <mergeCell ref="B399:B400"/>
    <mergeCell ref="C399:E399"/>
    <mergeCell ref="F399:G399"/>
    <mergeCell ref="A401:C401"/>
    <mergeCell ref="A402:C402"/>
    <mergeCell ref="A403:D403"/>
    <mergeCell ref="C414:E414"/>
    <mergeCell ref="F414:G414"/>
    <mergeCell ref="C423:E423"/>
    <mergeCell ref="F423:G423"/>
    <mergeCell ref="A416:C416"/>
    <mergeCell ref="A417:C417"/>
    <mergeCell ref="A418:D418"/>
    <mergeCell ref="A419:D419"/>
    <mergeCell ref="A420:D420"/>
    <mergeCell ref="A421:D421"/>
    <mergeCell ref="A422:F422"/>
    <mergeCell ref="B427:B428"/>
    <mergeCell ref="C427:E427"/>
    <mergeCell ref="A423:A424"/>
    <mergeCell ref="B423:B424"/>
    <mergeCell ref="A425:A426"/>
    <mergeCell ref="B425:B426"/>
    <mergeCell ref="C425:E425"/>
    <mergeCell ref="F425:G425"/>
    <mergeCell ref="F427:G427"/>
    <mergeCell ref="B432:B433"/>
    <mergeCell ref="C432:E432"/>
    <mergeCell ref="A427:A428"/>
    <mergeCell ref="A429:F429"/>
    <mergeCell ref="A430:A431"/>
    <mergeCell ref="B430:B431"/>
    <mergeCell ref="C430:E430"/>
    <mergeCell ref="F430:G430"/>
    <mergeCell ref="F432:G432"/>
    <mergeCell ref="A432:A433"/>
    <mergeCell ref="A441:A442"/>
    <mergeCell ref="B441:B442"/>
    <mergeCell ref="A447:A448"/>
    <mergeCell ref="B447:B448"/>
    <mergeCell ref="A434:C434"/>
    <mergeCell ref="A435:C435"/>
    <mergeCell ref="A436:D436"/>
    <mergeCell ref="A437:D437"/>
    <mergeCell ref="A438:D438"/>
    <mergeCell ref="A439:D439"/>
    <mergeCell ref="A440:F440"/>
    <mergeCell ref="C441:E441"/>
    <mergeCell ref="F441:G441"/>
    <mergeCell ref="A443:G443"/>
    <mergeCell ref="F444:G444"/>
    <mergeCell ref="B445:G445"/>
    <mergeCell ref="A446:F446"/>
    <mergeCell ref="F447:G447"/>
    <mergeCell ref="C447:E447"/>
    <mergeCell ref="A449:C449"/>
    <mergeCell ref="A450:C450"/>
    <mergeCell ref="A451:D451"/>
    <mergeCell ref="A452:D452"/>
    <mergeCell ref="A453:D453"/>
    <mergeCell ref="A454:D454"/>
    <mergeCell ref="C458:E458"/>
    <mergeCell ref="F458:G458"/>
    <mergeCell ref="A455:F455"/>
    <mergeCell ref="A456:A457"/>
    <mergeCell ref="B456:B457"/>
    <mergeCell ref="C456:E456"/>
    <mergeCell ref="F456:G456"/>
    <mergeCell ref="A458:A459"/>
    <mergeCell ref="B458:B459"/>
    <mergeCell ref="C463:E463"/>
    <mergeCell ref="F463:G463"/>
    <mergeCell ref="A460:A461"/>
    <mergeCell ref="B460:B461"/>
    <mergeCell ref="C460:E460"/>
    <mergeCell ref="F460:G460"/>
    <mergeCell ref="A462:F462"/>
    <mergeCell ref="A463:A464"/>
    <mergeCell ref="B463:B464"/>
    <mergeCell ref="A465:A466"/>
    <mergeCell ref="B465:B466"/>
    <mergeCell ref="C465:E465"/>
    <mergeCell ref="F465:G465"/>
    <mergeCell ref="A467:C467"/>
    <mergeCell ref="A468:C468"/>
    <mergeCell ref="A469:D469"/>
    <mergeCell ref="A489:A490"/>
    <mergeCell ref="B489:B490"/>
    <mergeCell ref="A491:A492"/>
    <mergeCell ref="B491:B492"/>
    <mergeCell ref="A493:A494"/>
    <mergeCell ref="B493:B494"/>
    <mergeCell ref="B496:B497"/>
    <mergeCell ref="B498:B499"/>
    <mergeCell ref="A496:A497"/>
    <mergeCell ref="A498:A499"/>
    <mergeCell ref="A500:C500"/>
    <mergeCell ref="A501:C501"/>
    <mergeCell ref="A502:D502"/>
    <mergeCell ref="A503:D503"/>
    <mergeCell ref="A504:D504"/>
    <mergeCell ref="A505:D505"/>
    <mergeCell ref="A506:F506"/>
    <mergeCell ref="A507:A508"/>
    <mergeCell ref="B507:B508"/>
    <mergeCell ref="C507:E507"/>
    <mergeCell ref="F507:G507"/>
    <mergeCell ref="A509:G509"/>
    <mergeCell ref="F510:G510"/>
    <mergeCell ref="B511:G511"/>
    <mergeCell ref="A512:F512"/>
    <mergeCell ref="A513:A514"/>
    <mergeCell ref="B513:B514"/>
    <mergeCell ref="C513:E513"/>
    <mergeCell ref="F513:G513"/>
    <mergeCell ref="A470:D470"/>
    <mergeCell ref="A471:D471"/>
    <mergeCell ref="A472:D472"/>
    <mergeCell ref="A473:F473"/>
    <mergeCell ref="A474:A475"/>
    <mergeCell ref="B474:B475"/>
    <mergeCell ref="F474:G474"/>
    <mergeCell ref="C480:E480"/>
    <mergeCell ref="F480:G480"/>
    <mergeCell ref="C474:E474"/>
    <mergeCell ref="A476:G476"/>
    <mergeCell ref="F477:G477"/>
    <mergeCell ref="B478:G478"/>
    <mergeCell ref="A479:F479"/>
    <mergeCell ref="A480:A481"/>
    <mergeCell ref="B480:B481"/>
    <mergeCell ref="A482:C482"/>
    <mergeCell ref="A483:C483"/>
    <mergeCell ref="A484:D484"/>
    <mergeCell ref="A485:D485"/>
    <mergeCell ref="A486:D486"/>
    <mergeCell ref="A487:D487"/>
    <mergeCell ref="A488:F488"/>
    <mergeCell ref="C496:E496"/>
    <mergeCell ref="F496:G496"/>
    <mergeCell ref="C498:E498"/>
    <mergeCell ref="F498:G498"/>
    <mergeCell ref="C489:E489"/>
    <mergeCell ref="F489:G489"/>
    <mergeCell ref="C491:E491"/>
    <mergeCell ref="F491:G491"/>
    <mergeCell ref="C493:E493"/>
    <mergeCell ref="F493:G493"/>
    <mergeCell ref="A495:F495"/>
    <mergeCell ref="C522:E522"/>
    <mergeCell ref="F522:G522"/>
    <mergeCell ref="A515:C515"/>
    <mergeCell ref="A516:C516"/>
    <mergeCell ref="A517:D517"/>
    <mergeCell ref="A518:D518"/>
    <mergeCell ref="A519:D519"/>
    <mergeCell ref="A520:D520"/>
    <mergeCell ref="A521:F521"/>
    <mergeCell ref="B526:B527"/>
    <mergeCell ref="C526:E526"/>
    <mergeCell ref="A522:A523"/>
    <mergeCell ref="B522:B523"/>
    <mergeCell ref="A524:A525"/>
    <mergeCell ref="B524:B525"/>
    <mergeCell ref="C524:E524"/>
    <mergeCell ref="F524:G524"/>
    <mergeCell ref="F526:G526"/>
    <mergeCell ref="B531:B532"/>
    <mergeCell ref="C531:E531"/>
    <mergeCell ref="A526:A527"/>
    <mergeCell ref="A528:F528"/>
    <mergeCell ref="A529:A530"/>
    <mergeCell ref="B529:B530"/>
    <mergeCell ref="C529:E529"/>
    <mergeCell ref="F529:G529"/>
    <mergeCell ref="F531:G531"/>
    <mergeCell ref="A531:A532"/>
    <mergeCell ref="A540:A541"/>
    <mergeCell ref="B540:B541"/>
    <mergeCell ref="A546:A547"/>
    <mergeCell ref="B546:B547"/>
    <mergeCell ref="A533:C533"/>
    <mergeCell ref="A534:C534"/>
    <mergeCell ref="A535:D535"/>
    <mergeCell ref="A536:D536"/>
    <mergeCell ref="A537:D537"/>
    <mergeCell ref="A538:D538"/>
    <mergeCell ref="A539:F539"/>
    <mergeCell ref="C540:E540"/>
    <mergeCell ref="F540:G540"/>
    <mergeCell ref="A542:G542"/>
    <mergeCell ref="F543:G543"/>
    <mergeCell ref="B544:G544"/>
    <mergeCell ref="A545:F545"/>
    <mergeCell ref="F546:G546"/>
    <mergeCell ref="C546:E546"/>
    <mergeCell ref="A548:C548"/>
    <mergeCell ref="A549:C549"/>
    <mergeCell ref="A550:D550"/>
    <mergeCell ref="A551:D551"/>
    <mergeCell ref="A552:D552"/>
    <mergeCell ref="A553:D553"/>
    <mergeCell ref="C557:E557"/>
    <mergeCell ref="F557:G557"/>
    <mergeCell ref="A554:F554"/>
    <mergeCell ref="A555:A556"/>
    <mergeCell ref="B555:B556"/>
    <mergeCell ref="C555:E555"/>
    <mergeCell ref="F555:G555"/>
    <mergeCell ref="A557:A558"/>
    <mergeCell ref="B557:B558"/>
    <mergeCell ref="C562:E562"/>
    <mergeCell ref="F562:G562"/>
    <mergeCell ref="A559:A560"/>
    <mergeCell ref="B559:B560"/>
    <mergeCell ref="C559:E559"/>
    <mergeCell ref="F559:G559"/>
    <mergeCell ref="A561:F561"/>
    <mergeCell ref="A562:A563"/>
    <mergeCell ref="B562:B563"/>
    <mergeCell ref="A564:A565"/>
    <mergeCell ref="B564:B565"/>
    <mergeCell ref="C564:E564"/>
    <mergeCell ref="F564:G564"/>
    <mergeCell ref="A566:C566"/>
    <mergeCell ref="A567:C567"/>
    <mergeCell ref="A568:D568"/>
    <mergeCell ref="A588:A589"/>
    <mergeCell ref="B588:B589"/>
    <mergeCell ref="A590:A591"/>
    <mergeCell ref="B590:B591"/>
    <mergeCell ref="A592:A593"/>
    <mergeCell ref="B592:B593"/>
    <mergeCell ref="B595:B596"/>
    <mergeCell ref="B597:B598"/>
    <mergeCell ref="A595:A596"/>
    <mergeCell ref="A597:A598"/>
    <mergeCell ref="A599:C599"/>
    <mergeCell ref="A600:C600"/>
    <mergeCell ref="A601:D601"/>
    <mergeCell ref="A602:D602"/>
    <mergeCell ref="A603:D603"/>
    <mergeCell ref="A604:D604"/>
    <mergeCell ref="A605:F605"/>
    <mergeCell ref="A606:A607"/>
    <mergeCell ref="B606:B607"/>
    <mergeCell ref="C606:E606"/>
    <mergeCell ref="F606:G606"/>
    <mergeCell ref="A608:G608"/>
    <mergeCell ref="F609:G609"/>
    <mergeCell ref="B610:G610"/>
    <mergeCell ref="A611:F611"/>
    <mergeCell ref="A612:A613"/>
    <mergeCell ref="B612:B613"/>
    <mergeCell ref="C612:E612"/>
    <mergeCell ref="F612:G612"/>
    <mergeCell ref="A569:D569"/>
    <mergeCell ref="A570:D570"/>
    <mergeCell ref="A571:D571"/>
    <mergeCell ref="A572:F572"/>
    <mergeCell ref="A573:A574"/>
    <mergeCell ref="B573:B574"/>
    <mergeCell ref="F573:G573"/>
    <mergeCell ref="C579:E579"/>
    <mergeCell ref="F579:G579"/>
    <mergeCell ref="C573:E573"/>
    <mergeCell ref="A575:G575"/>
    <mergeCell ref="F576:G576"/>
    <mergeCell ref="B577:G577"/>
    <mergeCell ref="A578:F578"/>
    <mergeCell ref="A579:A580"/>
    <mergeCell ref="B579:B580"/>
    <mergeCell ref="A581:C581"/>
    <mergeCell ref="A582:C582"/>
    <mergeCell ref="A583:D583"/>
    <mergeCell ref="A584:D584"/>
    <mergeCell ref="A585:D585"/>
    <mergeCell ref="A586:D586"/>
    <mergeCell ref="A587:F587"/>
    <mergeCell ref="C595:E595"/>
    <mergeCell ref="F595:G595"/>
    <mergeCell ref="C597:E597"/>
    <mergeCell ref="F597:G597"/>
    <mergeCell ref="C588:E588"/>
    <mergeCell ref="F588:G588"/>
    <mergeCell ref="C590:E590"/>
    <mergeCell ref="F590:G590"/>
    <mergeCell ref="C592:E592"/>
    <mergeCell ref="F592:G592"/>
    <mergeCell ref="A594:F594"/>
    <mergeCell ref="C621:E621"/>
    <mergeCell ref="F621:G621"/>
    <mergeCell ref="A614:C614"/>
    <mergeCell ref="A615:C615"/>
    <mergeCell ref="A616:D616"/>
    <mergeCell ref="A617:D617"/>
    <mergeCell ref="A618:D618"/>
    <mergeCell ref="A619:D619"/>
    <mergeCell ref="A620:F620"/>
    <mergeCell ref="B625:B626"/>
    <mergeCell ref="C625:E625"/>
    <mergeCell ref="A621:A622"/>
    <mergeCell ref="B621:B622"/>
    <mergeCell ref="A623:A624"/>
    <mergeCell ref="B623:B624"/>
    <mergeCell ref="C623:E623"/>
    <mergeCell ref="F623:G623"/>
    <mergeCell ref="F625:G625"/>
    <mergeCell ref="B630:B631"/>
    <mergeCell ref="C630:E630"/>
    <mergeCell ref="A625:A626"/>
    <mergeCell ref="A627:F627"/>
    <mergeCell ref="A628:A629"/>
    <mergeCell ref="B628:B629"/>
    <mergeCell ref="C628:E628"/>
    <mergeCell ref="F628:G628"/>
    <mergeCell ref="F630:G630"/>
    <mergeCell ref="A630:A631"/>
    <mergeCell ref="A639:A640"/>
    <mergeCell ref="B639:B640"/>
    <mergeCell ref="A645:A646"/>
    <mergeCell ref="B645:B646"/>
    <mergeCell ref="A632:C632"/>
    <mergeCell ref="A633:C633"/>
    <mergeCell ref="A634:D634"/>
    <mergeCell ref="A635:D635"/>
    <mergeCell ref="A636:D636"/>
    <mergeCell ref="A637:D637"/>
    <mergeCell ref="A638:F638"/>
    <mergeCell ref="C639:E639"/>
    <mergeCell ref="F639:G639"/>
    <mergeCell ref="A641:G641"/>
    <mergeCell ref="F642:G642"/>
    <mergeCell ref="B643:G643"/>
    <mergeCell ref="A644:F644"/>
    <mergeCell ref="F645:G645"/>
    <mergeCell ref="C645:E645"/>
    <mergeCell ref="A647:C647"/>
    <mergeCell ref="A648:C648"/>
    <mergeCell ref="A649:D649"/>
    <mergeCell ref="A650:D650"/>
    <mergeCell ref="A651:D651"/>
    <mergeCell ref="A652:D652"/>
    <mergeCell ref="C656:E656"/>
    <mergeCell ref="F656:G656"/>
    <mergeCell ref="A653:F653"/>
    <mergeCell ref="A654:A655"/>
    <mergeCell ref="B654:B655"/>
    <mergeCell ref="C654:E654"/>
    <mergeCell ref="F654:G654"/>
    <mergeCell ref="A656:A657"/>
    <mergeCell ref="B656:B657"/>
    <mergeCell ref="C661:E661"/>
    <mergeCell ref="F661:G661"/>
    <mergeCell ref="A658:A659"/>
    <mergeCell ref="B658:B659"/>
    <mergeCell ref="C658:E658"/>
    <mergeCell ref="F658:G658"/>
    <mergeCell ref="A660:F660"/>
    <mergeCell ref="A661:A662"/>
    <mergeCell ref="B661:B662"/>
    <mergeCell ref="A663:A664"/>
    <mergeCell ref="B663:B664"/>
    <mergeCell ref="C663:E663"/>
    <mergeCell ref="F663:G663"/>
    <mergeCell ref="A665:C665"/>
    <mergeCell ref="A666:C666"/>
    <mergeCell ref="A667:D6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