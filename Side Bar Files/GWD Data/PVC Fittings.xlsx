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<sst xmlns="http://schemas.openxmlformats.org/spreadsheetml/2006/main" count="405" uniqueCount="60">
  <si>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</si>
  <si>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</si>
  <si>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</si>
  <si>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</si>
  <si>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</si>
  <si>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</si>
  <si>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</si>
  <si>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</si>
  <si>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</si>
  <si>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r>
      <rPr>
        <b/>
        <sz val="12"/>
        <color rgb="FF000000"/>
        <rFont val="Cambria"/>
        <family val="2"/>
      </rPr>
      <t>Providing and fixing PVC moulded fittings/ accessories for Rigid PVC pipes, including jointing with PVC solvent cement - 150 mm dia Bend</t>
    </r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</si>
  <si>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</si>
  <si>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</si>
  <si>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</si>
  <si>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</si>
  <si>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</si>
  <si>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</si>
  <si>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</si>
  <si>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MR89</t>
  </si>
  <si>
    <t>PVC bend 150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</si>
  <si>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</si>
  <si>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</si>
  <si>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</si>
  <si>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</si>
  <si>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</si>
  <si>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</si>
  <si>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</si>
  <si>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</si>
  <si>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</si>
  <si>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</si>
  <si>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</si>
  <si>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</si>
  <si>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</si>
  <si>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</si>
  <si>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</si>
  <si>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- 90 mm dia Socket/ coupling</t>
    </r>
  </si>
  <si>
    <t>Details of cost for 1.00 no.</t>
  </si>
  <si>
    <t>MR10023</t>
  </si>
  <si>
    <t>PVC Coupling 90mm, 8 kg/cm2</t>
  </si>
  <si>
    <t>Sundries
Adhesive, and sundries etc,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</si>
  <si>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- 140 mm dia Socket/ coupling</t>
    </r>
  </si>
  <si>
    <t>MR10025</t>
  </si>
  <si>
    <t>PVC Coupling 140mm,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</si>
  <si>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- 160 mm dia Socket/ coupling</t>
    </r>
  </si>
  <si>
    <t>MR10026</t>
  </si>
  <si>
    <t>PVC Coupling 160mm,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</si>
  <si>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- 180 mm dia Socket/ coupling</t>
    </r>
  </si>
  <si>
    <t>MR10027</t>
  </si>
  <si>
    <t>PVC Coupling 180mm,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</si>
  <si>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- 200 mm dia Socket/ coupling</t>
    </r>
  </si>
  <si>
    <t>MR10028</t>
  </si>
  <si>
    <t>PVC Coupling 200mm,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</si>
  <si>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- 250 mm dia Socket/ coupling</t>
    </r>
  </si>
  <si>
    <t>MR10029</t>
  </si>
  <si>
    <t>PVC Coupling 250mm,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</si>
  <si>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- 280 mm dia Socket/ coupling</t>
    </r>
  </si>
  <si>
    <t>MR10030</t>
  </si>
  <si>
    <t>PVC Coupling 280mm, 8 kg/cm2</t>
  </si>
  <si>
    <t>Providing and fixing PVC moulded fittings / accessories for Rigid PVC pipes, including jointing with PVC solvent cement - 140 mm dia Elbow</t>
  </si>
  <si>
    <t>D</t>
  </si>
  <si>
    <t>PVC Elbow 140 mm dia</t>
  </si>
</sst>
</file>

<file path=xl/styles.xml><?xml version="1.0" encoding="utf-8"?>
<styleSheet xmlns="http://schemas.openxmlformats.org/spreadsheetml/2006/main">
  <numFmts count="1">
    <numFmt numFmtId="177" formatCode="0.000"/>
  </numFmts>
  <fonts count="9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sz val="11"/>
      <color theme="1"/>
      <name val="Cambria"/>
      <family val="2"/>
    </font>
    <font>
      <b/>
      <sz val="12"/>
      <color rgb="FFFFFFFF"/>
      <name val="Cambria"/>
      <family val="2"/>
    </font>
    <font>
      <sz val="12"/>
      <color rgb="FF000000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EA99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55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8" fillId="0" borderId="3" xfId="0" applyFont="1" applyBorder="1">
      <alignment/>
    </xf>
    <xf numFmtId="0" fontId="8" fillId="0" borderId="4" xfId="0" applyFont="1" applyBorder="1">
      <alignment/>
    </xf>
    <xf numFmtId="2" fontId="5" fillId="2" borderId="2" xfId="0" applyNumberFormat="1" applyFont="1" applyBorder="1" applyAlignment="1">
      <alignment vertical="center" wrapText="1"/>
    </xf>
    <xf numFmtId="0" fontId="8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2" fontId="5" fillId="2" borderId="6" xfId="0" applyNumberFormat="1" applyFont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2" fontId="2" fillId="4" borderId="2" xfId="0" applyNumberFormat="1" applyFont="1" applyBorder="1" applyAlignment="1">
      <alignment horizontal="left" vertical="center" wrapText="1"/>
    </xf>
    <xf numFmtId="0" fontId="2" fillId="4" borderId="2" xfId="0" applyFont="1" applyBorder="1" applyAlignment="1">
      <alignment horizontal="left"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6" fillId="4" borderId="1" xfId="0" applyFont="1" applyBorder="1" applyAlignment="1">
      <alignment horizontal="center" vertical="center" wrapText="1"/>
    </xf>
    <xf numFmtId="0" fontId="6" fillId="4" borderId="2" xfId="0" applyFont="1" applyBorder="1" applyAlignment="1">
      <alignment horizontal="left" vertical="center" wrapText="1"/>
    </xf>
    <xf numFmtId="2" fontId="6" fillId="4" borderId="2" xfId="0" applyNumberFormat="1" applyFont="1" applyBorder="1" applyAlignment="1">
      <alignment horizontal="left" vertical="center" wrapText="1"/>
    </xf>
    <xf numFmtId="0" fontId="6" fillId="4" borderId="6" xfId="0" applyFont="1" applyBorder="1" applyAlignment="1">
      <alignment horizontal="center" vertical="center" wrapText="1"/>
    </xf>
    <xf numFmtId="0" fontId="6" fillId="4" borderId="6" xfId="0" applyFont="1" applyBorder="1" applyAlignment="1">
      <alignment horizontal="right" vertical="center" wrapText="1"/>
    </xf>
    <xf numFmtId="177" fontId="6" fillId="4" borderId="6" xfId="0" applyNumberFormat="1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right" vertical="center" wrapText="1"/>
    </xf>
    <xf numFmtId="0" fontId="2" fillId="4" borderId="2" xfId="0" applyFont="1" applyBorder="1" applyAlignment="1">
      <alignment horizontal="center" vertical="center" wrapText="1"/>
    </xf>
    <xf numFmtId="2" fontId="3" fillId="4" borderId="6" xfId="0" applyNumberFormat="1" applyFont="1" applyBorder="1" applyAlignment="1">
      <alignment horizontal="right" vertical="center" wrapText="1"/>
    </xf>
    <xf numFmtId="177" fontId="2" fillId="4" borderId="6" xfId="0" applyNumberFormat="1" applyFont="1" applyBorder="1" applyAlignment="1">
      <alignment horizontal="center" vertical="center" wrapText="1"/>
    </xf>
    <xf numFmtId="177" fontId="2" fillId="4" borderId="2" xfId="0" applyNumberFormat="1" applyFont="1" applyBorder="1" applyAlignment="1">
      <alignment horizontal="left" vertical="center" wrapText="1"/>
    </xf>
    <xf numFmtId="177" fontId="2" fillId="4" borderId="6" xfId="0" applyNumberFormat="1" applyFont="1" applyBorder="1" applyAlignment="1">
      <alignment horizontal="left" vertical="center" wrapText="1"/>
    </xf>
    <xf numFmtId="0" fontId="7" fillId="5" borderId="2" xfId="0" applyFont="1" applyBorder="1" applyAlignment="1">
      <alignment horizontal="center" vertical="center" wrapText="1"/>
    </xf>
    <xf numFmtId="0" fontId="7" fillId="6" borderId="2" xfId="0" applyFont="1" applyFill="1" applyBorder="1" applyAlignment="1">
      <alignment vertical="center" wrapText="1"/>
    </xf>
    <xf numFmtId="0" fontId="6" fillId="5" borderId="2" xfId="0" applyFont="1" applyBorder="1" applyAlignment="1">
      <alignment horizontal="left" vertical="center" wrapText="1"/>
    </xf>
    <xf numFmtId="0" fontId="6" fillId="5" borderId="6" xfId="0" applyFont="1" applyBorder="1" applyAlignment="1">
      <alignment horizontal="center" vertical="center" wrapText="1"/>
    </xf>
    <xf numFmtId="2" fontId="6" fillId="4" borderId="6" xfId="0" applyNumberFormat="1" applyFont="1" applyBorder="1" applyAlignment="1">
      <alignment horizontal="right" vertical="center" wrapText="1"/>
    </xf>
    <xf numFmtId="2" fontId="2" fillId="4" borderId="6" xfId="0" applyNumberFormat="1" applyFont="1" applyBorder="1" applyAlignment="1">
      <alignment horizontal="right"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3" fillId="6" borderId="2" xfId="0" applyFont="1" applyBorder="1" applyAlignment="1">
      <alignment wrapText="1"/>
    </xf>
    <xf numFmtId="0" fontId="4" fillId="4" borderId="6" xfId="0" applyFont="1" applyBorder="1" applyAlignment="1">
      <alignment/>
    </xf>
    <xf numFmtId="0" fontId="2" fillId="4" borderId="6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4" fillId="4" borderId="2" xfId="0" applyFont="1" applyBorder="1" applyAlignment="1">
      <alignment/>
    </xf>
    <xf numFmtId="0" fontId="2" fillId="4" borderId="2" xfId="0" applyFont="1" applyBorder="1" applyAlignment="1">
      <alignment wrapText="1"/>
    </xf>
    <xf numFmtId="0" fontId="2" fillId="5" borderId="2" xfId="0" applyFont="1" applyBorder="1" applyAlignment="1">
      <alignment wrapText="1"/>
    </xf>
    <xf numFmtId="0" fontId="2" fillId="5" borderId="6" xfId="0" applyFont="1" applyBorder="1" applyAlignment="1">
      <alignment horizontal="center" wrapText="1"/>
    </xf>
    <xf numFmtId="0" fontId="4" fillId="4" borderId="1" xfId="0" applyFont="1" applyBorder="1" applyAlignment="1">
      <alignment/>
    </xf>
    <xf numFmtId="0" fontId="3" fillId="4" borderId="2" xfId="0" applyFont="1" applyBorder="1" applyAlignment="1">
      <alignment horizontal="center" wrapText="1"/>
    </xf>
    <xf numFmtId="0" fontId="2" fillId="4" borderId="6" xfId="0" applyFont="1" applyBorder="1" applyAlignment="1">
      <alignment wrapText="1"/>
    </xf>
    <xf numFmtId="0" fontId="2" fillId="4" borderId="2" xfId="0" applyFont="1" applyBorder="1" applyAlignment="1">
      <alignment horizontal="center" wrapText="1"/>
    </xf>
    <xf numFmtId="0" fontId="3" fillId="4" borderId="6" xfId="0" applyFont="1" applyBorder="1" applyAlignment="1">
      <alignment horizontal="right" wrapText="1"/>
    </xf>
    <xf numFmtId="0" fontId="2" fillId="4" borderId="1" xfId="0" applyFont="1" applyBorder="1" applyAlignment="1">
      <alignment horizontal="center" wrapText="1"/>
    </xf>
    <xf numFmtId="0" fontId="1" fillId="5" borderId="2" xfId="0" applyFont="1" applyBorder="1" applyAlignment="1">
      <alignment horizont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ED70BD8-A895-4EBE-B0E8-FC3DAEADBAA6}">
  <dimension ref="A1:G234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/>
      <c r="B7" s="17" t="s">
        <v>17</v>
      </c>
      <c r="C7" s="18" t="s">
        <v>18</v>
      </c>
      <c r="D7" s="3"/>
      <c r="E7" s="4"/>
      <c r="F7" s="19"/>
      <c r="G7" s="4"/>
    </row>
    <row r="8" spans="1:7" ht="12.75">
      <c r="A8" s="6"/>
      <c r="B8" s="6"/>
      <c r="C8" s="20" t="s">
        <v>19</v>
      </c>
      <c r="D8" s="21">
        <v>1</v>
      </c>
      <c r="E8" s="21">
        <v>550</v>
      </c>
      <c r="F8" s="22">
        <f>D8*E8</f>
        <v>550</v>
      </c>
      <c r="G8" s="20" t="s">
        <v>20</v>
      </c>
    </row>
    <row r="9" spans="1:7" ht="12.75">
      <c r="A9" s="23" t="s">
        <v>21</v>
      </c>
      <c r="B9" s="3"/>
      <c r="C9" s="4"/>
      <c r="D9" s="11">
        <v>1</v>
      </c>
      <c r="E9" s="24" t="s">
        <v>11</v>
      </c>
      <c r="F9" s="25">
        <f>F8</f>
        <v>550</v>
      </c>
      <c r="G9" s="24"/>
    </row>
    <row r="10" spans="1:7" ht="12.75">
      <c r="A10" s="23" t="s">
        <v>22</v>
      </c>
      <c r="B10" s="3"/>
      <c r="C10" s="4"/>
      <c r="D10" s="11">
        <v>1</v>
      </c>
      <c r="E10" s="24" t="s">
        <v>11</v>
      </c>
      <c r="F10" s="25">
        <f>F9/D9</f>
        <v>550</v>
      </c>
      <c r="G10" s="24"/>
    </row>
    <row r="11" spans="1:7" ht="12.75">
      <c r="A11" s="26" t="s">
        <v>23</v>
      </c>
      <c r="B11" s="3"/>
      <c r="C11" s="3"/>
      <c r="D11" s="4"/>
      <c r="E11" s="11"/>
      <c r="F11" s="25">
        <f>F10*1%</f>
        <v>5.50</v>
      </c>
      <c r="G11" s="24"/>
    </row>
    <row r="12" spans="1:7" ht="12.75">
      <c r="A12" s="26" t="s">
        <v>24</v>
      </c>
      <c r="B12" s="3"/>
      <c r="C12" s="3"/>
      <c r="D12" s="4"/>
      <c r="E12" s="24"/>
      <c r="F12" s="25">
        <f>F10+F11</f>
        <v>555.50</v>
      </c>
      <c r="G12" s="24"/>
    </row>
    <row r="13" spans="1:7" ht="12.75">
      <c r="A13" s="26" t="s">
        <v>25</v>
      </c>
      <c r="B13" s="3"/>
      <c r="C13" s="3"/>
      <c r="D13" s="4"/>
      <c r="E13" s="11"/>
      <c r="F13" s="25">
        <f>F12*15%</f>
        <v>83.325</v>
      </c>
      <c r="G13" s="24"/>
    </row>
    <row r="14" spans="1:7" ht="12.75">
      <c r="A14" s="26" t="s">
        <v>24</v>
      </c>
      <c r="B14" s="3"/>
      <c r="C14" s="3"/>
      <c r="D14" s="4"/>
      <c r="E14" s="24"/>
      <c r="F14" s="27">
        <f>ROUND(F12+F13,2)</f>
        <v>638.83</v>
      </c>
      <c r="G14" s="24"/>
    </row>
    <row r="15" spans="1:7" ht="12.75">
      <c r="A15" s="14" t="s">
        <v>26</v>
      </c>
      <c r="B15" s="3"/>
      <c r="C15" s="3"/>
      <c r="D15" s="3"/>
      <c r="E15" s="3"/>
      <c r="F15" s="4"/>
      <c r="G15" s="15" t="s">
        <v>27</v>
      </c>
    </row>
    <row r="16" spans="1:7" ht="12.75">
      <c r="A16" s="16">
        <v>9999</v>
      </c>
      <c r="B16" s="16"/>
      <c r="C16" s="13" t="s">
        <v>28</v>
      </c>
      <c r="D16" s="3"/>
      <c r="E16" s="4"/>
      <c r="F16" s="12"/>
      <c r="G16" s="4"/>
    </row>
    <row r="17" spans="1:7" ht="12.75">
      <c r="A17" s="6"/>
      <c r="B17" s="6"/>
      <c r="C17" s="10" t="s">
        <v>29</v>
      </c>
      <c r="D17" s="11">
        <v>2.73</v>
      </c>
      <c r="E17" s="11">
        <v>2.12</v>
      </c>
      <c r="F17" s="25">
        <f>D17*E17</f>
        <v>5.7876000000000003</v>
      </c>
      <c r="G17" s="28" t="s">
        <v>30</v>
      </c>
    </row>
    <row r="18" spans="1:7" ht="12.75">
      <c r="A18" s="16">
        <v>9999</v>
      </c>
      <c r="B18" s="16"/>
      <c r="C18" s="13" t="s">
        <v>31</v>
      </c>
      <c r="D18" s="3"/>
      <c r="E18" s="4"/>
      <c r="F18" s="29"/>
      <c r="G18" s="4"/>
    </row>
    <row r="19" spans="1:7" ht="12.75">
      <c r="A19" s="6"/>
      <c r="B19" s="6"/>
      <c r="C19" s="10" t="s">
        <v>29</v>
      </c>
      <c r="D19" s="11">
        <v>9.36</v>
      </c>
      <c r="E19" s="11">
        <v>2.12</v>
      </c>
      <c r="F19" s="25">
        <f>D19*E19</f>
        <v>19.8432</v>
      </c>
      <c r="G19" s="28" t="s">
        <v>32</v>
      </c>
    </row>
    <row r="20" spans="1:7" ht="12.75">
      <c r="A20" s="23" t="s">
        <v>33</v>
      </c>
      <c r="B20" s="3"/>
      <c r="C20" s="4"/>
      <c r="D20" s="11">
        <v>1</v>
      </c>
      <c r="E20" s="24" t="s">
        <v>11</v>
      </c>
      <c r="F20" s="25">
        <f>F17+F19</f>
        <v>25.630800000000001</v>
      </c>
      <c r="G20" s="30"/>
    </row>
    <row r="21" spans="1:7" ht="12.75">
      <c r="A21" s="23" t="s">
        <v>22</v>
      </c>
      <c r="B21" s="3"/>
      <c r="C21" s="4"/>
      <c r="D21" s="11">
        <v>1</v>
      </c>
      <c r="E21" s="24" t="s">
        <v>11</v>
      </c>
      <c r="F21" s="25">
        <f>F20/D20</f>
        <v>25.630800000000001</v>
      </c>
      <c r="G21" s="30"/>
    </row>
    <row r="22" spans="1:7" ht="12.75">
      <c r="A22" s="26" t="s">
        <v>23</v>
      </c>
      <c r="B22" s="3"/>
      <c r="C22" s="3"/>
      <c r="D22" s="4"/>
      <c r="E22" s="11"/>
      <c r="F22" s="25">
        <f>F21*1%</f>
        <v>0.25630799999999998</v>
      </c>
      <c r="G22" s="30"/>
    </row>
    <row r="23" spans="1:7" ht="12.75">
      <c r="A23" s="26" t="s">
        <v>24</v>
      </c>
      <c r="B23" s="3"/>
      <c r="C23" s="3"/>
      <c r="D23" s="4"/>
      <c r="E23" s="24"/>
      <c r="F23" s="25">
        <f>F21+F22</f>
        <v>25.887108000000001</v>
      </c>
      <c r="G23" s="30"/>
    </row>
    <row r="24" spans="1:7" ht="12.75">
      <c r="A24" s="26" t="s">
        <v>25</v>
      </c>
      <c r="B24" s="3"/>
      <c r="C24" s="3"/>
      <c r="D24" s="4"/>
      <c r="E24" s="11"/>
      <c r="F24" s="25">
        <f>F23*15%</f>
        <v>3.8830662</v>
      </c>
      <c r="G24" s="30"/>
    </row>
    <row r="25" spans="1:7" ht="12.75">
      <c r="A25" s="26" t="s">
        <v>24</v>
      </c>
      <c r="B25" s="3"/>
      <c r="C25" s="3"/>
      <c r="D25" s="4"/>
      <c r="E25" s="24"/>
      <c r="F25" s="27">
        <f>ROUND(F23+F24,2)</f>
        <v>29.77</v>
      </c>
      <c r="G25" s="24"/>
    </row>
    <row r="26" spans="1:7" ht="12.75">
      <c r="A26" s="31" t="str">
        <f>CONCATENATE("Say ₹ ",F14," + ",F25," x Cost Index")</f>
        <v>Say ₹ 638.83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5" t="s">
        <v>3</v>
      </c>
      <c r="G27" s="4"/>
    </row>
    <row r="28" spans="1:7" ht="12.75">
      <c r="A28" s="6"/>
      <c r="B28" s="6"/>
      <c r="C28" s="7" t="s">
        <v>4</v>
      </c>
      <c r="D28" s="7" t="s">
        <v>5</v>
      </c>
      <c r="E28" s="7" t="s">
        <v>6</v>
      </c>
      <c r="F28" s="8" t="s">
        <v>7</v>
      </c>
      <c r="G28" s="7" t="s">
        <v>8</v>
      </c>
    </row>
    <row r="29" spans="1:7" ht="12.75">
      <c r="A29" s="32" t="s">
        <v>34</v>
      </c>
      <c r="B29" s="3"/>
      <c r="C29" s="3"/>
      <c r="D29" s="3"/>
      <c r="E29" s="3"/>
      <c r="F29" s="3"/>
      <c r="G29" s="4"/>
    </row>
    <row r="30" spans="1:7" ht="12.75">
      <c r="A30" s="20"/>
      <c r="B30" s="20" t="s">
        <v>10</v>
      </c>
      <c r="C30" s="20" t="s">
        <v>11</v>
      </c>
      <c r="D30" s="20" t="s">
        <v>12</v>
      </c>
      <c r="E30" s="21">
        <v>1</v>
      </c>
      <c r="F30" s="19"/>
      <c r="G30" s="4"/>
    </row>
    <row r="31" spans="1:7" ht="12.75">
      <c r="A31" s="20" t="s">
        <v>13</v>
      </c>
      <c r="B31" s="18" t="s">
        <v>35</v>
      </c>
      <c r="C31" s="3"/>
      <c r="D31" s="3"/>
      <c r="E31" s="3"/>
      <c r="F31" s="3"/>
      <c r="G31" s="4"/>
    </row>
    <row r="32" spans="1:7" ht="12.75">
      <c r="A32" s="33" t="s">
        <v>15</v>
      </c>
      <c r="B32" s="3"/>
      <c r="C32" s="3"/>
      <c r="D32" s="3"/>
      <c r="E32" s="3"/>
      <c r="F32" s="4"/>
      <c r="G32" s="34" t="s">
        <v>16</v>
      </c>
    </row>
    <row r="33" spans="1:7" ht="12.75">
      <c r="A33" s="17"/>
      <c r="B33" s="17" t="s">
        <v>36</v>
      </c>
      <c r="C33" s="18" t="s">
        <v>37</v>
      </c>
      <c r="D33" s="3"/>
      <c r="E33" s="4"/>
      <c r="F33" s="19"/>
      <c r="G33" s="4"/>
    </row>
    <row r="34" spans="1:7" ht="12.75">
      <c r="A34" s="6"/>
      <c r="B34" s="6"/>
      <c r="C34" s="20" t="s">
        <v>19</v>
      </c>
      <c r="D34" s="21">
        <v>1</v>
      </c>
      <c r="E34" s="21">
        <f t="array" ref="E34">IFERROR(INDEX(LMRRates,MATCH(B33,LMRCodes,0),),)</f>
        <v>52</v>
      </c>
      <c r="F34" s="35">
        <f>D34*E34</f>
        <v>52</v>
      </c>
      <c r="G34" s="20" t="s">
        <v>20</v>
      </c>
    </row>
    <row r="35" spans="1:7" ht="12.75">
      <c r="A35" s="23" t="s">
        <v>21</v>
      </c>
      <c r="B35" s="3"/>
      <c r="C35" s="4"/>
      <c r="D35" s="11">
        <v>1</v>
      </c>
      <c r="E35" s="24" t="s">
        <v>11</v>
      </c>
      <c r="F35" s="25">
        <f>F34</f>
        <v>52</v>
      </c>
      <c r="G35" s="24"/>
    </row>
    <row r="36" spans="1:7" ht="12.75">
      <c r="A36" s="23" t="s">
        <v>22</v>
      </c>
      <c r="B36" s="3"/>
      <c r="C36" s="4"/>
      <c r="D36" s="11">
        <v>1</v>
      </c>
      <c r="E36" s="24" t="s">
        <v>11</v>
      </c>
      <c r="F36" s="25">
        <f>F35/D35</f>
        <v>52</v>
      </c>
      <c r="G36" s="24"/>
    </row>
    <row r="37" spans="1:7" ht="12.75">
      <c r="A37" s="26" t="s">
        <v>23</v>
      </c>
      <c r="B37" s="3"/>
      <c r="C37" s="3"/>
      <c r="D37" s="4"/>
      <c r="E37" s="11"/>
      <c r="F37" s="25">
        <f>F36*1%</f>
        <v>0.52</v>
      </c>
      <c r="G37" s="24"/>
    </row>
    <row r="38" spans="1:7" ht="12.75">
      <c r="A38" s="26" t="s">
        <v>24</v>
      </c>
      <c r="B38" s="3"/>
      <c r="C38" s="3"/>
      <c r="D38" s="4"/>
      <c r="E38" s="24"/>
      <c r="F38" s="25">
        <f>F36+F37</f>
        <v>52.52</v>
      </c>
      <c r="G38" s="24"/>
    </row>
    <row r="39" spans="1:7" ht="12.75">
      <c r="A39" s="26" t="s">
        <v>25</v>
      </c>
      <c r="B39" s="3"/>
      <c r="C39" s="3"/>
      <c r="D39" s="4"/>
      <c r="E39" s="11"/>
      <c r="F39" s="25">
        <f>F38*15%</f>
        <v>7.8780000000000001</v>
      </c>
      <c r="G39" s="24"/>
    </row>
    <row r="40" spans="1:7" ht="12.75">
      <c r="A40" s="26" t="s">
        <v>24</v>
      </c>
      <c r="B40" s="3"/>
      <c r="C40" s="3"/>
      <c r="D40" s="4"/>
      <c r="E40" s="24"/>
      <c r="F40" s="27">
        <f>ROUND(F38+F39,2)</f>
        <v>60.40</v>
      </c>
      <c r="G40" s="24"/>
    </row>
    <row r="41" spans="1:7" ht="12.75">
      <c r="A41" s="14" t="s">
        <v>26</v>
      </c>
      <c r="B41" s="3"/>
      <c r="C41" s="3"/>
      <c r="D41" s="3"/>
      <c r="E41" s="3"/>
      <c r="F41" s="4"/>
      <c r="G41" s="15" t="s">
        <v>27</v>
      </c>
    </row>
    <row r="42" spans="1:7" ht="12.75">
      <c r="A42" s="16">
        <v>9999</v>
      </c>
      <c r="B42" s="16"/>
      <c r="C42" s="13" t="s">
        <v>38</v>
      </c>
      <c r="D42" s="3"/>
      <c r="E42" s="4"/>
      <c r="F42" s="12"/>
      <c r="G42" s="4"/>
    </row>
    <row r="43" spans="1:7" ht="12.75">
      <c r="A43" s="6"/>
      <c r="B43" s="6"/>
      <c r="C43" s="10" t="s">
        <v>29</v>
      </c>
      <c r="D43" s="11">
        <v>2.73</v>
      </c>
      <c r="E43" s="11">
        <v>2.12</v>
      </c>
      <c r="F43" s="36">
        <f>D43*E43</f>
        <v>5.7876000000000003</v>
      </c>
      <c r="G43" s="10" t="s">
        <v>30</v>
      </c>
    </row>
    <row r="44" spans="1:7" ht="12.75">
      <c r="A44" s="16">
        <v>9999</v>
      </c>
      <c r="B44" s="16"/>
      <c r="C44" s="13" t="s">
        <v>31</v>
      </c>
      <c r="D44" s="3"/>
      <c r="E44" s="4"/>
      <c r="F44" s="12"/>
      <c r="G44" s="4"/>
    </row>
    <row r="45" spans="1:7" ht="12.75">
      <c r="A45" s="6"/>
      <c r="B45" s="6"/>
      <c r="C45" s="10" t="s">
        <v>29</v>
      </c>
      <c r="D45" s="11">
        <v>10.79</v>
      </c>
      <c r="E45" s="11">
        <v>2.12</v>
      </c>
      <c r="F45" s="36">
        <f>D45*E45</f>
        <v>22.8748</v>
      </c>
      <c r="G45" s="10" t="s">
        <v>32</v>
      </c>
    </row>
    <row r="46" spans="1:7" ht="12.75">
      <c r="A46" s="23" t="s">
        <v>33</v>
      </c>
      <c r="B46" s="3"/>
      <c r="C46" s="4"/>
      <c r="D46" s="11">
        <v>1</v>
      </c>
      <c r="E46" s="24" t="s">
        <v>11</v>
      </c>
      <c r="F46" s="25">
        <f>F43+F45</f>
        <v>28.662400000000002</v>
      </c>
      <c r="G46" s="30"/>
    </row>
    <row r="47" spans="1:7" ht="12.75">
      <c r="A47" s="23" t="s">
        <v>22</v>
      </c>
      <c r="B47" s="3"/>
      <c r="C47" s="4"/>
      <c r="D47" s="11">
        <v>1</v>
      </c>
      <c r="E47" s="24" t="s">
        <v>11</v>
      </c>
      <c r="F47" s="25">
        <f>F46/D46</f>
        <v>28.662400000000002</v>
      </c>
      <c r="G47" s="30"/>
    </row>
    <row r="48" spans="1:7" ht="12.75">
      <c r="A48" s="26" t="s">
        <v>23</v>
      </c>
      <c r="B48" s="3"/>
      <c r="C48" s="3"/>
      <c r="D48" s="4"/>
      <c r="E48" s="11"/>
      <c r="F48" s="25">
        <f>F47*1%</f>
        <v>0.28662399999999999</v>
      </c>
      <c r="G48" s="30"/>
    </row>
    <row r="49" spans="1:7" ht="12.75">
      <c r="A49" s="26" t="s">
        <v>24</v>
      </c>
      <c r="B49" s="3"/>
      <c r="C49" s="3"/>
      <c r="D49" s="4"/>
      <c r="E49" s="24"/>
      <c r="F49" s="25">
        <f>F47+F48</f>
        <v>28.949024000000001</v>
      </c>
      <c r="G49" s="30"/>
    </row>
    <row r="50" spans="1:7" ht="12.75">
      <c r="A50" s="26" t="s">
        <v>25</v>
      </c>
      <c r="B50" s="3"/>
      <c r="C50" s="3"/>
      <c r="D50" s="4"/>
      <c r="E50" s="11"/>
      <c r="F50" s="25">
        <f>F49*15%</f>
        <v>4.3423536</v>
      </c>
      <c r="G50" s="30"/>
    </row>
    <row r="51" spans="1:7" ht="12.75">
      <c r="A51" s="26" t="s">
        <v>24</v>
      </c>
      <c r="B51" s="3"/>
      <c r="C51" s="3"/>
      <c r="D51" s="4"/>
      <c r="E51" s="24"/>
      <c r="F51" s="27">
        <f>ROUND(F49+F50,2)</f>
        <v>33.29</v>
      </c>
      <c r="G51" s="24"/>
    </row>
    <row r="52" spans="1:7" ht="12.75">
      <c r="A52" s="31" t="str">
        <f>CONCATENATE("Say ₹ ",F40," + ",F51," x Cost Index")</f>
        <v>Say ₹ 60.4 + 33.29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5" t="s">
        <v>3</v>
      </c>
      <c r="G53" s="4"/>
    </row>
    <row r="54" spans="1:7" ht="12.75">
      <c r="A54" s="6"/>
      <c r="B54" s="6"/>
      <c r="C54" s="7" t="s">
        <v>4</v>
      </c>
      <c r="D54" s="7" t="s">
        <v>5</v>
      </c>
      <c r="E54" s="7" t="s">
        <v>6</v>
      </c>
      <c r="F54" s="8" t="s">
        <v>7</v>
      </c>
      <c r="G54" s="7" t="s">
        <v>8</v>
      </c>
    </row>
    <row r="55" spans="1:7" ht="12.75">
      <c r="A55" s="32" t="s">
        <v>39</v>
      </c>
      <c r="B55" s="3"/>
      <c r="C55" s="3"/>
      <c r="D55" s="3"/>
      <c r="E55" s="3"/>
      <c r="F55" s="3"/>
      <c r="G55" s="4"/>
    </row>
    <row r="56" spans="1:7" ht="12.75">
      <c r="A56" s="20"/>
      <c r="B56" s="20" t="s">
        <v>10</v>
      </c>
      <c r="C56" s="20" t="s">
        <v>11</v>
      </c>
      <c r="D56" s="20" t="s">
        <v>12</v>
      </c>
      <c r="E56" s="21">
        <v>1</v>
      </c>
      <c r="F56" s="19"/>
      <c r="G56" s="4"/>
    </row>
    <row r="57" spans="1:7" ht="12.75">
      <c r="A57" s="20" t="s">
        <v>13</v>
      </c>
      <c r="B57" s="18" t="s">
        <v>35</v>
      </c>
      <c r="C57" s="3"/>
      <c r="D57" s="3"/>
      <c r="E57" s="3"/>
      <c r="F57" s="3"/>
      <c r="G57" s="4"/>
    </row>
    <row r="58" spans="1:7" ht="12.75">
      <c r="A58" s="33" t="s">
        <v>15</v>
      </c>
      <c r="B58" s="3"/>
      <c r="C58" s="3"/>
      <c r="D58" s="3"/>
      <c r="E58" s="3"/>
      <c r="F58" s="4"/>
      <c r="G58" s="34" t="s">
        <v>16</v>
      </c>
    </row>
    <row r="59" spans="1:7" ht="12.75">
      <c r="A59" s="17"/>
      <c r="B59" s="17" t="s">
        <v>40</v>
      </c>
      <c r="C59" s="18" t="s">
        <v>41</v>
      </c>
      <c r="D59" s="3"/>
      <c r="E59" s="4"/>
      <c r="F59" s="19"/>
      <c r="G59" s="4"/>
    </row>
    <row r="60" spans="1:7" ht="12.75">
      <c r="A60" s="6"/>
      <c r="B60" s="6"/>
      <c r="C60" s="20" t="s">
        <v>19</v>
      </c>
      <c r="D60" s="21">
        <v>1</v>
      </c>
      <c r="E60" s="21">
        <f t="array" ref="E60">IFERROR(INDEX(LMRRates,MATCH(B59,LMRCodes,0),),)</f>
        <v>160</v>
      </c>
      <c r="F60" s="35">
        <f>D60*E60</f>
        <v>160</v>
      </c>
      <c r="G60" s="20" t="s">
        <v>20</v>
      </c>
    </row>
    <row r="61" spans="1:7" ht="12.75">
      <c r="A61" s="23" t="s">
        <v>21</v>
      </c>
      <c r="B61" s="3"/>
      <c r="C61" s="4"/>
      <c r="D61" s="11">
        <v>1</v>
      </c>
      <c r="E61" s="24" t="s">
        <v>11</v>
      </c>
      <c r="F61" s="25">
        <f>F60</f>
        <v>160</v>
      </c>
      <c r="G61" s="24"/>
    </row>
    <row r="62" spans="1:7" ht="12.75">
      <c r="A62" s="23" t="s">
        <v>22</v>
      </c>
      <c r="B62" s="3"/>
      <c r="C62" s="4"/>
      <c r="D62" s="11">
        <v>1</v>
      </c>
      <c r="E62" s="24" t="s">
        <v>11</v>
      </c>
      <c r="F62" s="25">
        <f>F61/D61</f>
        <v>160</v>
      </c>
      <c r="G62" s="24"/>
    </row>
    <row r="63" spans="1:7" ht="12.75">
      <c r="A63" s="26" t="s">
        <v>23</v>
      </c>
      <c r="B63" s="3"/>
      <c r="C63" s="3"/>
      <c r="D63" s="4"/>
      <c r="E63" s="11"/>
      <c r="F63" s="25">
        <f>F62*1%</f>
        <v>1.60</v>
      </c>
      <c r="G63" s="24"/>
    </row>
    <row r="64" spans="1:7" ht="12.75">
      <c r="A64" s="26" t="s">
        <v>24</v>
      </c>
      <c r="B64" s="3"/>
      <c r="C64" s="3"/>
      <c r="D64" s="4"/>
      <c r="E64" s="24"/>
      <c r="F64" s="25">
        <f>F62+F63</f>
        <v>161.60</v>
      </c>
      <c r="G64" s="24"/>
    </row>
    <row r="65" spans="1:7" ht="12.75">
      <c r="A65" s="26" t="s">
        <v>25</v>
      </c>
      <c r="B65" s="3"/>
      <c r="C65" s="3"/>
      <c r="D65" s="4"/>
      <c r="E65" s="11"/>
      <c r="F65" s="25">
        <f>F64*15%</f>
        <v>24.24</v>
      </c>
      <c r="G65" s="24"/>
    </row>
    <row r="66" spans="1:7" ht="12.75">
      <c r="A66" s="26" t="s">
        <v>24</v>
      </c>
      <c r="B66" s="3"/>
      <c r="C66" s="3"/>
      <c r="D66" s="4"/>
      <c r="E66" s="24"/>
      <c r="F66" s="27">
        <f>ROUND(F64+F65,2)</f>
        <v>185.84</v>
      </c>
      <c r="G66" s="24"/>
    </row>
    <row r="67" spans="1:7" ht="12.75">
      <c r="A67" s="14" t="s">
        <v>26</v>
      </c>
      <c r="B67" s="3"/>
      <c r="C67" s="3"/>
      <c r="D67" s="3"/>
      <c r="E67" s="3"/>
      <c r="F67" s="4"/>
      <c r="G67" s="15" t="s">
        <v>27</v>
      </c>
    </row>
    <row r="68" spans="1:7" ht="12.75">
      <c r="A68" s="16">
        <v>9999</v>
      </c>
      <c r="B68" s="16"/>
      <c r="C68" s="13" t="s">
        <v>38</v>
      </c>
      <c r="D68" s="3"/>
      <c r="E68" s="4"/>
      <c r="F68" s="12"/>
      <c r="G68" s="4"/>
    </row>
    <row r="69" spans="1:7" ht="12.75">
      <c r="A69" s="6"/>
      <c r="B69" s="6"/>
      <c r="C69" s="10" t="s">
        <v>29</v>
      </c>
      <c r="D69" s="11">
        <v>2.73</v>
      </c>
      <c r="E69" s="11">
        <v>2.12</v>
      </c>
      <c r="F69" s="36">
        <f>D69*E69</f>
        <v>5.7876000000000003</v>
      </c>
      <c r="G69" s="10" t="s">
        <v>30</v>
      </c>
    </row>
    <row r="70" spans="1:7" ht="12.75">
      <c r="A70" s="16">
        <v>9999</v>
      </c>
      <c r="B70" s="16"/>
      <c r="C70" s="13" t="s">
        <v>31</v>
      </c>
      <c r="D70" s="3"/>
      <c r="E70" s="4"/>
      <c r="F70" s="12"/>
      <c r="G70" s="4"/>
    </row>
    <row r="71" spans="1:7" ht="12.75">
      <c r="A71" s="6"/>
      <c r="B71" s="6"/>
      <c r="C71" s="10" t="s">
        <v>29</v>
      </c>
      <c r="D71" s="11">
        <v>10.79</v>
      </c>
      <c r="E71" s="11">
        <v>2.12</v>
      </c>
      <c r="F71" s="36">
        <f>D71*E71</f>
        <v>22.8748</v>
      </c>
      <c r="G71" s="10" t="s">
        <v>32</v>
      </c>
    </row>
    <row r="72" spans="1:7" ht="12.75">
      <c r="A72" s="23" t="s">
        <v>33</v>
      </c>
      <c r="B72" s="3"/>
      <c r="C72" s="4"/>
      <c r="D72" s="11">
        <v>1</v>
      </c>
      <c r="E72" s="24" t="s">
        <v>11</v>
      </c>
      <c r="F72" s="25">
        <f>F69+F71</f>
        <v>28.662400000000002</v>
      </c>
      <c r="G72" s="30"/>
    </row>
    <row r="73" spans="1:7" ht="12.75">
      <c r="A73" s="23" t="s">
        <v>22</v>
      </c>
      <c r="B73" s="3"/>
      <c r="C73" s="4"/>
      <c r="D73" s="11">
        <v>1</v>
      </c>
      <c r="E73" s="24" t="s">
        <v>11</v>
      </c>
      <c r="F73" s="25">
        <f>F72/D72</f>
        <v>28.662400000000002</v>
      </c>
      <c r="G73" s="30"/>
    </row>
    <row r="74" spans="1:7" ht="12.75">
      <c r="A74" s="26" t="s">
        <v>23</v>
      </c>
      <c r="B74" s="3"/>
      <c r="C74" s="3"/>
      <c r="D74" s="4"/>
      <c r="E74" s="11"/>
      <c r="F74" s="25">
        <f>F73*1%</f>
        <v>0.28662399999999999</v>
      </c>
      <c r="G74" s="30"/>
    </row>
    <row r="75" spans="1:7" ht="12.75">
      <c r="A75" s="26" t="s">
        <v>24</v>
      </c>
      <c r="B75" s="3"/>
      <c r="C75" s="3"/>
      <c r="D75" s="4"/>
      <c r="E75" s="24"/>
      <c r="F75" s="25">
        <f>F73+F74</f>
        <v>28.949024000000001</v>
      </c>
      <c r="G75" s="30"/>
    </row>
    <row r="76" spans="1:7" ht="12.75">
      <c r="A76" s="26" t="s">
        <v>25</v>
      </c>
      <c r="B76" s="3"/>
      <c r="C76" s="3"/>
      <c r="D76" s="4"/>
      <c r="E76" s="11"/>
      <c r="F76" s="25">
        <f>F75*15%</f>
        <v>4.3423536</v>
      </c>
      <c r="G76" s="30"/>
    </row>
    <row r="77" spans="1:7" ht="12.75">
      <c r="A77" s="26" t="s">
        <v>24</v>
      </c>
      <c r="B77" s="3"/>
      <c r="C77" s="3"/>
      <c r="D77" s="4"/>
      <c r="E77" s="24"/>
      <c r="F77" s="27">
        <f>ROUND(F75+F76,2)</f>
        <v>33.29</v>
      </c>
      <c r="G77" s="24"/>
    </row>
    <row r="78" spans="1:7" ht="12.75">
      <c r="A78" s="31" t="str">
        <f>CONCATENATE("Say ₹ ",F66," + ",F77," x Cost Index")</f>
        <v>Say ₹ 185.84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5" t="s">
        <v>3</v>
      </c>
      <c r="G79" s="4"/>
    </row>
    <row r="80" spans="1:7" ht="12.75">
      <c r="A80" s="6"/>
      <c r="B80" s="6"/>
      <c r="C80" s="7" t="s">
        <v>4</v>
      </c>
      <c r="D80" s="7" t="s">
        <v>5</v>
      </c>
      <c r="E80" s="7" t="s">
        <v>6</v>
      </c>
      <c r="F80" s="8" t="s">
        <v>7</v>
      </c>
      <c r="G80" s="7" t="s">
        <v>8</v>
      </c>
    </row>
    <row r="81" spans="1:7" ht="12.75">
      <c r="A81" s="32" t="s">
        <v>42</v>
      </c>
      <c r="B81" s="3"/>
      <c r="C81" s="3"/>
      <c r="D81" s="3"/>
      <c r="E81" s="3"/>
      <c r="F81" s="3"/>
      <c r="G81" s="4"/>
    </row>
    <row r="82" spans="1:7" ht="12.75">
      <c r="A82" s="20"/>
      <c r="B82" s="20" t="s">
        <v>10</v>
      </c>
      <c r="C82" s="20" t="s">
        <v>11</v>
      </c>
      <c r="D82" s="20" t="s">
        <v>12</v>
      </c>
      <c r="E82" s="21">
        <v>1</v>
      </c>
      <c r="F82" s="19"/>
      <c r="G82" s="4"/>
    </row>
    <row r="83" spans="1:7" ht="12.75">
      <c r="A83" s="20" t="s">
        <v>13</v>
      </c>
      <c r="B83" s="18" t="s">
        <v>35</v>
      </c>
      <c r="C83" s="3"/>
      <c r="D83" s="3"/>
      <c r="E83" s="3"/>
      <c r="F83" s="3"/>
      <c r="G83" s="4"/>
    </row>
    <row r="84" spans="1:7" ht="12.75">
      <c r="A84" s="33" t="s">
        <v>15</v>
      </c>
      <c r="B84" s="3"/>
      <c r="C84" s="3"/>
      <c r="D84" s="3"/>
      <c r="E84" s="3"/>
      <c r="F84" s="4"/>
      <c r="G84" s="34" t="s">
        <v>16</v>
      </c>
    </row>
    <row r="85" spans="1:7" ht="12.75">
      <c r="A85" s="17"/>
      <c r="B85" s="17" t="s">
        <v>43</v>
      </c>
      <c r="C85" s="18" t="s">
        <v>44</v>
      </c>
      <c r="D85" s="3"/>
      <c r="E85" s="4"/>
      <c r="F85" s="19"/>
      <c r="G85" s="4"/>
    </row>
    <row r="86" spans="1:7" ht="12.75">
      <c r="A86" s="6"/>
      <c r="B86" s="6"/>
      <c r="C86" s="20" t="s">
        <v>19</v>
      </c>
      <c r="D86" s="21">
        <v>1</v>
      </c>
      <c r="E86" s="21">
        <f t="array" ref="E86">IFERROR(INDEX(LMRRates,MATCH(B85,LMRCodes,0),),)</f>
        <v>185</v>
      </c>
      <c r="F86" s="35">
        <f>D86*E86</f>
        <v>185</v>
      </c>
      <c r="G86" s="20" t="s">
        <v>20</v>
      </c>
    </row>
    <row r="87" spans="1:7" ht="12.75">
      <c r="A87" s="23" t="s">
        <v>21</v>
      </c>
      <c r="B87" s="3"/>
      <c r="C87" s="4"/>
      <c r="D87" s="11">
        <v>1</v>
      </c>
      <c r="E87" s="24" t="s">
        <v>11</v>
      </c>
      <c r="F87" s="25">
        <f>F86</f>
        <v>185</v>
      </c>
      <c r="G87" s="24"/>
    </row>
    <row r="88" spans="1:7" ht="12.75">
      <c r="A88" s="23" t="s">
        <v>22</v>
      </c>
      <c r="B88" s="3"/>
      <c r="C88" s="4"/>
      <c r="D88" s="11">
        <v>1</v>
      </c>
      <c r="E88" s="24" t="s">
        <v>11</v>
      </c>
      <c r="F88" s="25">
        <f>F87/D87</f>
        <v>185</v>
      </c>
      <c r="G88" s="24"/>
    </row>
    <row r="89" spans="1:7" ht="12.75">
      <c r="A89" s="26" t="s">
        <v>23</v>
      </c>
      <c r="B89" s="3"/>
      <c r="C89" s="3"/>
      <c r="D89" s="4"/>
      <c r="E89" s="11"/>
      <c r="F89" s="25">
        <f>F88*1%</f>
        <v>1.85</v>
      </c>
      <c r="G89" s="24"/>
    </row>
    <row r="90" spans="1:7" ht="12.75">
      <c r="A90" s="26" t="s">
        <v>24</v>
      </c>
      <c r="B90" s="3"/>
      <c r="C90" s="3"/>
      <c r="D90" s="4"/>
      <c r="E90" s="24"/>
      <c r="F90" s="25">
        <f>F88+F89</f>
        <v>186.85</v>
      </c>
      <c r="G90" s="24"/>
    </row>
    <row r="91" spans="1:7" ht="12.75">
      <c r="A91" s="26" t="s">
        <v>25</v>
      </c>
      <c r="B91" s="3"/>
      <c r="C91" s="3"/>
      <c r="D91" s="4"/>
      <c r="E91" s="11"/>
      <c r="F91" s="25">
        <f>F90*15%</f>
        <v>28.0275</v>
      </c>
      <c r="G91" s="24"/>
    </row>
    <row r="92" spans="1:7" ht="12.75">
      <c r="A92" s="26" t="s">
        <v>24</v>
      </c>
      <c r="B92" s="3"/>
      <c r="C92" s="3"/>
      <c r="D92" s="4"/>
      <c r="E92" s="24"/>
      <c r="F92" s="27">
        <f>ROUND(F90+F91,2)</f>
        <v>214.88</v>
      </c>
      <c r="G92" s="24"/>
    </row>
    <row r="93" spans="1:7" ht="12.75">
      <c r="A93" s="14" t="s">
        <v>26</v>
      </c>
      <c r="B93" s="3"/>
      <c r="C93" s="3"/>
      <c r="D93" s="3"/>
      <c r="E93" s="3"/>
      <c r="F93" s="4"/>
      <c r="G93" s="15" t="s">
        <v>27</v>
      </c>
    </row>
    <row r="94" spans="1:7" ht="12.75">
      <c r="A94" s="16">
        <v>9999</v>
      </c>
      <c r="B94" s="16"/>
      <c r="C94" s="13" t="s">
        <v>38</v>
      </c>
      <c r="D94" s="3"/>
      <c r="E94" s="4"/>
      <c r="F94" s="12"/>
      <c r="G94" s="4"/>
    </row>
    <row r="95" spans="1:7" ht="12.75">
      <c r="A95" s="6"/>
      <c r="B95" s="6"/>
      <c r="C95" s="10" t="s">
        <v>29</v>
      </c>
      <c r="D95" s="11">
        <v>2.73</v>
      </c>
      <c r="E95" s="11">
        <v>2.12</v>
      </c>
      <c r="F95" s="36">
        <f>D95*E95</f>
        <v>5.7876000000000003</v>
      </c>
      <c r="G95" s="10" t="s">
        <v>30</v>
      </c>
    </row>
    <row r="96" spans="1:7" ht="12.75">
      <c r="A96" s="16">
        <v>9999</v>
      </c>
      <c r="B96" s="16"/>
      <c r="C96" s="13" t="s">
        <v>31</v>
      </c>
      <c r="D96" s="3"/>
      <c r="E96" s="4"/>
      <c r="F96" s="12"/>
      <c r="G96" s="4"/>
    </row>
    <row r="97" spans="1:7" ht="12.75">
      <c r="A97" s="6"/>
      <c r="B97" s="6"/>
      <c r="C97" s="10" t="s">
        <v>29</v>
      </c>
      <c r="D97" s="11">
        <v>10.79</v>
      </c>
      <c r="E97" s="11">
        <v>2.12</v>
      </c>
      <c r="F97" s="25">
        <f>D97*E97</f>
        <v>22.8748</v>
      </c>
      <c r="G97" s="10" t="s">
        <v>32</v>
      </c>
    </row>
    <row r="98" spans="1:7" ht="12.75">
      <c r="A98" s="23" t="s">
        <v>33</v>
      </c>
      <c r="B98" s="3"/>
      <c r="C98" s="4"/>
      <c r="D98" s="11">
        <v>1</v>
      </c>
      <c r="E98" s="24" t="s">
        <v>11</v>
      </c>
      <c r="F98" s="25">
        <f>F95+F97</f>
        <v>28.662400000000002</v>
      </c>
      <c r="G98" s="30"/>
    </row>
    <row r="99" spans="1:7" ht="12.75">
      <c r="A99" s="23" t="s">
        <v>22</v>
      </c>
      <c r="B99" s="3"/>
      <c r="C99" s="4"/>
      <c r="D99" s="11">
        <v>1</v>
      </c>
      <c r="E99" s="24" t="s">
        <v>11</v>
      </c>
      <c r="F99" s="25">
        <f>F98/D98</f>
        <v>28.662400000000002</v>
      </c>
      <c r="G99" s="30"/>
    </row>
    <row r="100" spans="1:7" ht="12.75">
      <c r="A100" s="26" t="s">
        <v>23</v>
      </c>
      <c r="B100" s="3"/>
      <c r="C100" s="3"/>
      <c r="D100" s="4"/>
      <c r="E100" s="11"/>
      <c r="F100" s="25">
        <f>F99*1%</f>
        <v>0.28662399999999999</v>
      </c>
      <c r="G100" s="30"/>
    </row>
    <row r="101" spans="1:7" ht="12.75">
      <c r="A101" s="26" t="s">
        <v>24</v>
      </c>
      <c r="B101" s="3"/>
      <c r="C101" s="3"/>
      <c r="D101" s="4"/>
      <c r="E101" s="24"/>
      <c r="F101" s="25">
        <f>F99+F100</f>
        <v>28.949024000000001</v>
      </c>
      <c r="G101" s="30"/>
    </row>
    <row r="102" spans="1:7" ht="12.75">
      <c r="A102" s="26" t="s">
        <v>25</v>
      </c>
      <c r="B102" s="3"/>
      <c r="C102" s="3"/>
      <c r="D102" s="4"/>
      <c r="E102" s="11"/>
      <c r="F102" s="25">
        <f>F101*15%</f>
        <v>4.3423536</v>
      </c>
      <c r="G102" s="30"/>
    </row>
    <row r="103" spans="1:7" ht="12.75">
      <c r="A103" s="26" t="s">
        <v>24</v>
      </c>
      <c r="B103" s="3"/>
      <c r="C103" s="3"/>
      <c r="D103" s="4"/>
      <c r="E103" s="24"/>
      <c r="F103" s="27">
        <f>ROUND(F101+F102,2)</f>
        <v>33.29</v>
      </c>
      <c r="G103" s="24"/>
    </row>
    <row r="104" spans="1:7" ht="12.75">
      <c r="A104" s="31" t="str">
        <f>CONCATENATE("Say ₹ ",F92," + ",F103," x Cost Index")</f>
        <v>Say ₹ 214.88 + 33.29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5" t="s">
        <v>3</v>
      </c>
      <c r="G105" s="4"/>
    </row>
    <row r="106" spans="1:7" ht="12.75">
      <c r="A106" s="6"/>
      <c r="B106" s="6"/>
      <c r="C106" s="7" t="s">
        <v>4</v>
      </c>
      <c r="D106" s="7" t="s">
        <v>5</v>
      </c>
      <c r="E106" s="7" t="s">
        <v>6</v>
      </c>
      <c r="F106" s="8" t="s">
        <v>7</v>
      </c>
      <c r="G106" s="7" t="s">
        <v>8</v>
      </c>
    </row>
    <row r="107" spans="1:7" ht="12.75">
      <c r="A107" s="32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19"/>
      <c r="G108" s="4"/>
    </row>
    <row r="109" spans="1:7" ht="12.75">
      <c r="A109" s="20" t="s">
        <v>13</v>
      </c>
      <c r="B109" s="18" t="s">
        <v>35</v>
      </c>
      <c r="C109" s="3"/>
      <c r="D109" s="3"/>
      <c r="E109" s="3"/>
      <c r="F109" s="3"/>
      <c r="G109" s="4"/>
    </row>
    <row r="110" spans="1:7" ht="12.75">
      <c r="A110" s="33" t="s">
        <v>15</v>
      </c>
      <c r="B110" s="3"/>
      <c r="C110" s="3"/>
      <c r="D110" s="3"/>
      <c r="E110" s="3"/>
      <c r="F110" s="4"/>
      <c r="G110" s="34" t="s">
        <v>16</v>
      </c>
    </row>
    <row r="111" spans="1:7" ht="12.75">
      <c r="A111" s="17"/>
      <c r="B111" s="17" t="s">
        <v>46</v>
      </c>
      <c r="C111" s="18" t="s">
        <v>47</v>
      </c>
      <c r="D111" s="3"/>
      <c r="E111" s="4"/>
      <c r="F111" s="19"/>
      <c r="G111" s="4"/>
    </row>
    <row r="112" spans="1:7" ht="12.75">
      <c r="A112" s="6"/>
      <c r="B112" s="6"/>
      <c r="C112" s="20" t="s">
        <v>19</v>
      </c>
      <c r="D112" s="21">
        <v>1</v>
      </c>
      <c r="E112" s="21">
        <f t="array" ref="E112">IFERROR(INDEX(LMRRates,MATCH(B111,LMRCodes,0),),)</f>
        <v>211</v>
      </c>
      <c r="F112" s="35">
        <f>D112*E112</f>
        <v>211</v>
      </c>
      <c r="G112" s="20" t="s">
        <v>20</v>
      </c>
    </row>
    <row r="113" spans="1:7" ht="12.75">
      <c r="A113" s="23" t="s">
        <v>21</v>
      </c>
      <c r="B113" s="3"/>
      <c r="C113" s="4"/>
      <c r="D113" s="11">
        <v>1</v>
      </c>
      <c r="E113" s="24" t="s">
        <v>11</v>
      </c>
      <c r="F113" s="25">
        <f>F112</f>
        <v>211</v>
      </c>
      <c r="G113" s="24"/>
    </row>
    <row r="114" spans="1:7" ht="12.75">
      <c r="A114" s="23" t="s">
        <v>22</v>
      </c>
      <c r="B114" s="3"/>
      <c r="C114" s="4"/>
      <c r="D114" s="11">
        <v>1</v>
      </c>
      <c r="E114" s="24" t="s">
        <v>11</v>
      </c>
      <c r="F114" s="25">
        <f>F113/D113</f>
        <v>211</v>
      </c>
      <c r="G114" s="24"/>
    </row>
    <row r="115" spans="1:7" ht="12.75">
      <c r="A115" s="26" t="s">
        <v>23</v>
      </c>
      <c r="B115" s="3"/>
      <c r="C115" s="3"/>
      <c r="D115" s="4"/>
      <c r="E115" s="11"/>
      <c r="F115" s="25">
        <f>F114*1%</f>
        <v>2.11</v>
      </c>
      <c r="G115" s="24"/>
    </row>
    <row r="116" spans="1:7" ht="12.75">
      <c r="A116" s="26" t="s">
        <v>24</v>
      </c>
      <c r="B116" s="3"/>
      <c r="C116" s="3"/>
      <c r="D116" s="4"/>
      <c r="E116" s="24"/>
      <c r="F116" s="25">
        <f>F114+F115</f>
        <v>213.11</v>
      </c>
      <c r="G116" s="24"/>
    </row>
    <row r="117" spans="1:7" ht="12.75">
      <c r="A117" s="26" t="s">
        <v>25</v>
      </c>
      <c r="B117" s="3"/>
      <c r="C117" s="3"/>
      <c r="D117" s="4"/>
      <c r="E117" s="11"/>
      <c r="F117" s="25">
        <f>F116*15%</f>
        <v>31.9665</v>
      </c>
      <c r="G117" s="24"/>
    </row>
    <row r="118" spans="1:7" ht="12.75">
      <c r="A118" s="26" t="s">
        <v>24</v>
      </c>
      <c r="B118" s="3"/>
      <c r="C118" s="3"/>
      <c r="D118" s="4"/>
      <c r="E118" s="24"/>
      <c r="F118" s="27">
        <f>ROUND(F116+F117,2)</f>
        <v>245.08</v>
      </c>
      <c r="G118" s="24"/>
    </row>
    <row r="119" spans="1:7" ht="12.75">
      <c r="A119" s="14" t="s">
        <v>26</v>
      </c>
      <c r="B119" s="3"/>
      <c r="C119" s="3"/>
      <c r="D119" s="3"/>
      <c r="E119" s="3"/>
      <c r="F119" s="4"/>
      <c r="G119" s="15" t="s">
        <v>27</v>
      </c>
    </row>
    <row r="120" spans="1:7" ht="12.75">
      <c r="A120" s="16">
        <v>9999</v>
      </c>
      <c r="B120" s="16"/>
      <c r="C120" s="13" t="s">
        <v>38</v>
      </c>
      <c r="D120" s="3"/>
      <c r="E120" s="4"/>
      <c r="F120" s="12"/>
      <c r="G120" s="4"/>
    </row>
    <row r="121" spans="1:7" ht="12.75">
      <c r="A121" s="6"/>
      <c r="B121" s="6"/>
      <c r="C121" s="10" t="s">
        <v>29</v>
      </c>
      <c r="D121" s="11">
        <v>2.73</v>
      </c>
      <c r="E121" s="11">
        <v>2.12</v>
      </c>
      <c r="F121" s="36">
        <f>D121*E121</f>
        <v>5.7876000000000003</v>
      </c>
      <c r="G121" s="10" t="s">
        <v>30</v>
      </c>
    </row>
    <row r="122" spans="1:7" ht="12.75">
      <c r="A122" s="16">
        <v>9999</v>
      </c>
      <c r="B122" s="16"/>
      <c r="C122" s="13" t="s">
        <v>31</v>
      </c>
      <c r="D122" s="3"/>
      <c r="E122" s="4"/>
      <c r="F122" s="12"/>
      <c r="G122" s="4"/>
    </row>
    <row r="123" spans="1:7" ht="12.75">
      <c r="A123" s="6"/>
      <c r="B123" s="6"/>
      <c r="C123" s="10" t="s">
        <v>29</v>
      </c>
      <c r="D123" s="11">
        <v>10.79</v>
      </c>
      <c r="E123" s="11">
        <v>2.12</v>
      </c>
      <c r="F123" s="36">
        <f>D123*E123</f>
        <v>22.8748</v>
      </c>
      <c r="G123" s="10" t="s">
        <v>32</v>
      </c>
    </row>
    <row r="124" spans="1:7" ht="12.75">
      <c r="A124" s="23" t="s">
        <v>33</v>
      </c>
      <c r="B124" s="3"/>
      <c r="C124" s="4"/>
      <c r="D124" s="11">
        <v>1</v>
      </c>
      <c r="E124" s="24" t="s">
        <v>11</v>
      </c>
      <c r="F124" s="25">
        <f>F121+F123</f>
        <v>28.662400000000002</v>
      </c>
      <c r="G124" s="30"/>
    </row>
    <row r="125" spans="1:7" ht="12.75">
      <c r="A125" s="23" t="s">
        <v>22</v>
      </c>
      <c r="B125" s="3"/>
      <c r="C125" s="4"/>
      <c r="D125" s="11">
        <v>1</v>
      </c>
      <c r="E125" s="24" t="s">
        <v>11</v>
      </c>
      <c r="F125" s="25">
        <f>F124/D124</f>
        <v>28.662400000000002</v>
      </c>
      <c r="G125" s="30"/>
    </row>
    <row r="126" spans="1:7" ht="12.75">
      <c r="A126" s="26" t="s">
        <v>23</v>
      </c>
      <c r="B126" s="3"/>
      <c r="C126" s="3"/>
      <c r="D126" s="4"/>
      <c r="E126" s="11"/>
      <c r="F126" s="25">
        <f>F125*1%</f>
        <v>0.28662399999999999</v>
      </c>
      <c r="G126" s="30"/>
    </row>
    <row r="127" spans="1:7" ht="12.75">
      <c r="A127" s="26" t="s">
        <v>24</v>
      </c>
      <c r="B127" s="3"/>
      <c r="C127" s="3"/>
      <c r="D127" s="4"/>
      <c r="E127" s="24"/>
      <c r="F127" s="25">
        <f>F125+F126</f>
        <v>28.949024000000001</v>
      </c>
      <c r="G127" s="30"/>
    </row>
    <row r="128" spans="1:7" ht="12.75">
      <c r="A128" s="26" t="s">
        <v>25</v>
      </c>
      <c r="B128" s="3"/>
      <c r="C128" s="3"/>
      <c r="D128" s="4"/>
      <c r="E128" s="11"/>
      <c r="F128" s="25">
        <f>F127*15%</f>
        <v>4.3423536</v>
      </c>
      <c r="G128" s="30"/>
    </row>
    <row r="129" spans="1:7" ht="12.75">
      <c r="A129" s="26" t="s">
        <v>24</v>
      </c>
      <c r="B129" s="3"/>
      <c r="C129" s="3"/>
      <c r="D129" s="4"/>
      <c r="E129" s="24"/>
      <c r="F129" s="27">
        <f>ROUND(F127+F128,2)</f>
        <v>33.29</v>
      </c>
      <c r="G129" s="24"/>
    </row>
    <row r="130" spans="1:7" ht="12.75">
      <c r="A130" s="31" t="str">
        <f>CONCATENATE("Say ₹ ",F118," + ",F129," x Cost Index")</f>
        <v>Say ₹ 245.08 + 33.29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5" t="s">
        <v>3</v>
      </c>
      <c r="G131" s="4"/>
    </row>
    <row r="132" spans="1:7" ht="12.75">
      <c r="A132" s="6"/>
      <c r="B132" s="6"/>
      <c r="C132" s="7" t="s">
        <v>4</v>
      </c>
      <c r="D132" s="7" t="s">
        <v>5</v>
      </c>
      <c r="E132" s="7" t="s">
        <v>6</v>
      </c>
      <c r="F132" s="8" t="s">
        <v>7</v>
      </c>
      <c r="G132" s="7" t="s">
        <v>8</v>
      </c>
    </row>
    <row r="133" spans="1:7" ht="12.75">
      <c r="A133" s="32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19"/>
      <c r="G134" s="4"/>
    </row>
    <row r="135" spans="1:7" ht="12.75">
      <c r="A135" s="20" t="s">
        <v>13</v>
      </c>
      <c r="B135" s="18" t="s">
        <v>35</v>
      </c>
      <c r="C135" s="3"/>
      <c r="D135" s="3"/>
      <c r="E135" s="3"/>
      <c r="F135" s="3"/>
      <c r="G135" s="4"/>
    </row>
    <row r="136" spans="1:7" ht="12.75">
      <c r="A136" s="33" t="s">
        <v>15</v>
      </c>
      <c r="B136" s="3"/>
      <c r="C136" s="3"/>
      <c r="D136" s="3"/>
      <c r="E136" s="3"/>
      <c r="F136" s="4"/>
      <c r="G136" s="34" t="s">
        <v>16</v>
      </c>
    </row>
    <row r="137" spans="1:7" ht="12.75">
      <c r="A137" s="17"/>
      <c r="B137" s="17" t="s">
        <v>49</v>
      </c>
      <c r="C137" s="18" t="s">
        <v>50</v>
      </c>
      <c r="D137" s="3"/>
      <c r="E137" s="4"/>
      <c r="F137" s="19"/>
      <c r="G137" s="4"/>
    </row>
    <row r="138" spans="1:7" ht="12.75">
      <c r="A138" s="6"/>
      <c r="B138" s="6"/>
      <c r="C138" s="20" t="s">
        <v>19</v>
      </c>
      <c r="D138" s="21">
        <v>1</v>
      </c>
      <c r="E138" s="21">
        <f t="array" ref="E138">IFERROR(INDEX(LMRRates,MATCH(B137,LMRCodes,0),),)</f>
        <v>340</v>
      </c>
      <c r="F138" s="35">
        <f>D138*E138</f>
        <v>340</v>
      </c>
      <c r="G138" s="20" t="s">
        <v>20</v>
      </c>
    </row>
    <row r="139" spans="1:7" ht="12.75">
      <c r="A139" s="23" t="s">
        <v>21</v>
      </c>
      <c r="B139" s="3"/>
      <c r="C139" s="4"/>
      <c r="D139" s="11">
        <v>1</v>
      </c>
      <c r="E139" s="24" t="s">
        <v>11</v>
      </c>
      <c r="F139" s="25">
        <f>F138</f>
        <v>340</v>
      </c>
      <c r="G139" s="24"/>
    </row>
    <row r="140" spans="1:7" ht="12.75">
      <c r="A140" s="23" t="s">
        <v>22</v>
      </c>
      <c r="B140" s="3"/>
      <c r="C140" s="4"/>
      <c r="D140" s="11">
        <v>1</v>
      </c>
      <c r="E140" s="24" t="s">
        <v>11</v>
      </c>
      <c r="F140" s="25">
        <f>F139/D139</f>
        <v>340</v>
      </c>
      <c r="G140" s="24"/>
    </row>
    <row r="141" spans="1:7" ht="12.75">
      <c r="A141" s="26" t="s">
        <v>23</v>
      </c>
      <c r="B141" s="3"/>
      <c r="C141" s="3"/>
      <c r="D141" s="4"/>
      <c r="E141" s="11"/>
      <c r="F141" s="25">
        <f>F140*1%</f>
        <v>3.40</v>
      </c>
      <c r="G141" s="24"/>
    </row>
    <row r="142" spans="1:7" ht="12.75">
      <c r="A142" s="26" t="s">
        <v>24</v>
      </c>
      <c r="B142" s="3"/>
      <c r="C142" s="3"/>
      <c r="D142" s="4"/>
      <c r="E142" s="24"/>
      <c r="F142" s="25">
        <f>F140+F141</f>
        <v>343.40</v>
      </c>
      <c r="G142" s="24"/>
    </row>
    <row r="143" spans="1:7" ht="12.75">
      <c r="A143" s="26" t="s">
        <v>25</v>
      </c>
      <c r="B143" s="3"/>
      <c r="C143" s="3"/>
      <c r="D143" s="4"/>
      <c r="E143" s="11"/>
      <c r="F143" s="25">
        <f>F142*15%</f>
        <v>51.51</v>
      </c>
      <c r="G143" s="24"/>
    </row>
    <row r="144" spans="1:7" ht="12.75">
      <c r="A144" s="26" t="s">
        <v>24</v>
      </c>
      <c r="B144" s="3"/>
      <c r="C144" s="3"/>
      <c r="D144" s="4"/>
      <c r="E144" s="24"/>
      <c r="F144" s="27">
        <f>ROUND(F142+F143,2)</f>
        <v>394.91</v>
      </c>
      <c r="G144" s="24"/>
    </row>
    <row r="145" spans="1:7" ht="12.75">
      <c r="A145" s="14" t="s">
        <v>26</v>
      </c>
      <c r="B145" s="3"/>
      <c r="C145" s="3"/>
      <c r="D145" s="3"/>
      <c r="E145" s="3"/>
      <c r="F145" s="4"/>
      <c r="G145" s="15" t="s">
        <v>27</v>
      </c>
    </row>
    <row r="146" spans="1:7" ht="12.75">
      <c r="A146" s="16">
        <v>9999</v>
      </c>
      <c r="B146" s="16"/>
      <c r="C146" s="13" t="s">
        <v>38</v>
      </c>
      <c r="D146" s="3"/>
      <c r="E146" s="4"/>
      <c r="F146" s="12"/>
      <c r="G146" s="4"/>
    </row>
    <row r="147" spans="1:7" ht="12.75">
      <c r="A147" s="6"/>
      <c r="B147" s="6"/>
      <c r="C147" s="10" t="s">
        <v>29</v>
      </c>
      <c r="D147" s="11">
        <v>2.73</v>
      </c>
      <c r="E147" s="11">
        <v>2.12</v>
      </c>
      <c r="F147" s="36">
        <f>D147*E147</f>
        <v>5.7876000000000003</v>
      </c>
      <c r="G147" s="10" t="s">
        <v>30</v>
      </c>
    </row>
    <row r="148" spans="1:7" ht="12.75">
      <c r="A148" s="16">
        <v>9999</v>
      </c>
      <c r="B148" s="16"/>
      <c r="C148" s="13" t="s">
        <v>31</v>
      </c>
      <c r="D148" s="3"/>
      <c r="E148" s="4"/>
      <c r="F148" s="12"/>
      <c r="G148" s="4"/>
    </row>
    <row r="149" spans="1:7" ht="12.75">
      <c r="A149" s="6"/>
      <c r="B149" s="6"/>
      <c r="C149" s="10" t="s">
        <v>29</v>
      </c>
      <c r="D149" s="11">
        <v>10.79</v>
      </c>
      <c r="E149" s="11">
        <v>2.12</v>
      </c>
      <c r="F149" s="36">
        <f>D149*E149</f>
        <v>22.8748</v>
      </c>
      <c r="G149" s="10" t="s">
        <v>32</v>
      </c>
    </row>
    <row r="150" spans="1:7" ht="12.75">
      <c r="A150" s="23" t="s">
        <v>33</v>
      </c>
      <c r="B150" s="3"/>
      <c r="C150" s="4"/>
      <c r="D150" s="11">
        <v>1</v>
      </c>
      <c r="E150" s="24" t="s">
        <v>11</v>
      </c>
      <c r="F150" s="25">
        <f>F147+F149</f>
        <v>28.662400000000002</v>
      </c>
      <c r="G150" s="30"/>
    </row>
    <row r="151" spans="1:7" ht="12.75">
      <c r="A151" s="23" t="s">
        <v>22</v>
      </c>
      <c r="B151" s="3"/>
      <c r="C151" s="4"/>
      <c r="D151" s="11">
        <v>1</v>
      </c>
      <c r="E151" s="24" t="s">
        <v>11</v>
      </c>
      <c r="F151" s="25">
        <f>F150/D150</f>
        <v>28.662400000000002</v>
      </c>
      <c r="G151" s="30"/>
    </row>
    <row r="152" spans="1:7" ht="12.75">
      <c r="A152" s="26" t="s">
        <v>23</v>
      </c>
      <c r="B152" s="3"/>
      <c r="C152" s="3"/>
      <c r="D152" s="4"/>
      <c r="E152" s="11"/>
      <c r="F152" s="25">
        <f>F151*1%</f>
        <v>0.28662399999999999</v>
      </c>
      <c r="G152" s="30"/>
    </row>
    <row r="153" spans="1:7" ht="12.75">
      <c r="A153" s="26" t="s">
        <v>24</v>
      </c>
      <c r="B153" s="3"/>
      <c r="C153" s="3"/>
      <c r="D153" s="4"/>
      <c r="E153" s="24"/>
      <c r="F153" s="25">
        <f>F151+F152</f>
        <v>28.949024000000001</v>
      </c>
      <c r="G153" s="30"/>
    </row>
    <row r="154" spans="1:7" ht="12.75">
      <c r="A154" s="26" t="s">
        <v>25</v>
      </c>
      <c r="B154" s="3"/>
      <c r="C154" s="3"/>
      <c r="D154" s="4"/>
      <c r="E154" s="11"/>
      <c r="F154" s="25">
        <f>F153*15%</f>
        <v>4.3423536</v>
      </c>
      <c r="G154" s="30"/>
    </row>
    <row r="155" spans="1:7" ht="12.75">
      <c r="A155" s="26" t="s">
        <v>24</v>
      </c>
      <c r="B155" s="3"/>
      <c r="C155" s="3"/>
      <c r="D155" s="4"/>
      <c r="E155" s="24"/>
      <c r="F155" s="27">
        <f>ROUND(F153+F154,2)</f>
        <v>33.29</v>
      </c>
      <c r="G155" s="24"/>
    </row>
    <row r="156" spans="1:7" ht="12.75">
      <c r="A156" s="31" t="str">
        <f>CONCATENATE("Say ₹ ",F144," + ",F155," x Cost Index")</f>
        <v>Say ₹ 394.91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5" t="s">
        <v>3</v>
      </c>
      <c r="G157" s="4"/>
    </row>
    <row r="158" spans="1:7" ht="12.75">
      <c r="A158" s="6"/>
      <c r="B158" s="6"/>
      <c r="C158" s="7" t="s">
        <v>4</v>
      </c>
      <c r="D158" s="7" t="s">
        <v>5</v>
      </c>
      <c r="E158" s="7" t="s">
        <v>6</v>
      </c>
      <c r="F158" s="8" t="s">
        <v>7</v>
      </c>
      <c r="G158" s="7" t="s">
        <v>8</v>
      </c>
    </row>
    <row r="159" spans="1:7" ht="12.75">
      <c r="A159" s="32" t="s">
        <v>51</v>
      </c>
      <c r="B159" s="3"/>
      <c r="C159" s="3"/>
      <c r="D159" s="3"/>
      <c r="E159" s="3"/>
      <c r="F159" s="3"/>
      <c r="G159" s="4"/>
    </row>
    <row r="160" spans="1:7" ht="12.75">
      <c r="A160" s="20"/>
      <c r="B160" s="20" t="s">
        <v>10</v>
      </c>
      <c r="C160" s="20" t="s">
        <v>11</v>
      </c>
      <c r="D160" s="20" t="s">
        <v>12</v>
      </c>
      <c r="E160" s="21">
        <v>1</v>
      </c>
      <c r="F160" s="19"/>
      <c r="G160" s="4"/>
    </row>
    <row r="161" spans="1:7" ht="12.75">
      <c r="A161" s="20" t="s">
        <v>13</v>
      </c>
      <c r="B161" s="18" t="s">
        <v>35</v>
      </c>
      <c r="C161" s="3"/>
      <c r="D161" s="3"/>
      <c r="E161" s="3"/>
      <c r="F161" s="3"/>
      <c r="G161" s="4"/>
    </row>
    <row r="162" spans="1:7" ht="12.75">
      <c r="A162" s="33" t="s">
        <v>15</v>
      </c>
      <c r="B162" s="3"/>
      <c r="C162" s="3"/>
      <c r="D162" s="3"/>
      <c r="E162" s="3"/>
      <c r="F162" s="4"/>
      <c r="G162" s="34" t="s">
        <v>16</v>
      </c>
    </row>
    <row r="163" spans="1:7" ht="12.75">
      <c r="A163" s="17"/>
      <c r="B163" s="17" t="s">
        <v>52</v>
      </c>
      <c r="C163" s="18" t="s">
        <v>53</v>
      </c>
      <c r="D163" s="3"/>
      <c r="E163" s="4"/>
      <c r="F163" s="19"/>
      <c r="G163" s="4"/>
    </row>
    <row r="164" spans="1:7" ht="12.75">
      <c r="A164" s="6"/>
      <c r="B164" s="6"/>
      <c r="C164" s="20" t="s">
        <v>19</v>
      </c>
      <c r="D164" s="21">
        <v>1</v>
      </c>
      <c r="E164" s="21">
        <f t="array" ref="E164">IFERROR(INDEX(LMRRates,MATCH(B163,LMRCodes,0),),)</f>
        <v>893</v>
      </c>
      <c r="F164" s="35">
        <f>D164*E164</f>
        <v>893</v>
      </c>
      <c r="G164" s="20" t="s">
        <v>20</v>
      </c>
    </row>
    <row r="165" spans="1:7" ht="12.75">
      <c r="A165" s="23" t="s">
        <v>21</v>
      </c>
      <c r="B165" s="3"/>
      <c r="C165" s="4"/>
      <c r="D165" s="11">
        <v>1</v>
      </c>
      <c r="E165" s="24" t="s">
        <v>11</v>
      </c>
      <c r="F165" s="25">
        <f>F164</f>
        <v>893</v>
      </c>
      <c r="G165" s="24"/>
    </row>
    <row r="166" spans="1:7" ht="12.75">
      <c r="A166" s="23" t="s">
        <v>22</v>
      </c>
      <c r="B166" s="3"/>
      <c r="C166" s="4"/>
      <c r="D166" s="11">
        <v>1</v>
      </c>
      <c r="E166" s="24" t="s">
        <v>11</v>
      </c>
      <c r="F166" s="25">
        <f>F165/D165</f>
        <v>893</v>
      </c>
      <c r="G166" s="24"/>
    </row>
    <row r="167" spans="1:7" ht="12.75">
      <c r="A167" s="26" t="s">
        <v>23</v>
      </c>
      <c r="B167" s="3"/>
      <c r="C167" s="3"/>
      <c r="D167" s="4"/>
      <c r="E167" s="11"/>
      <c r="F167" s="25">
        <f>F166*1%</f>
        <v>8.93</v>
      </c>
      <c r="G167" s="24"/>
    </row>
    <row r="168" spans="1:7" ht="12.75">
      <c r="A168" s="26" t="s">
        <v>24</v>
      </c>
      <c r="B168" s="3"/>
      <c r="C168" s="3"/>
      <c r="D168" s="4"/>
      <c r="E168" s="24"/>
      <c r="F168" s="25">
        <f>F166+F167</f>
        <v>901.93</v>
      </c>
      <c r="G168" s="24"/>
    </row>
    <row r="169" spans="1:7" ht="12.75">
      <c r="A169" s="26" t="s">
        <v>25</v>
      </c>
      <c r="B169" s="3"/>
      <c r="C169" s="3"/>
      <c r="D169" s="4"/>
      <c r="E169" s="11"/>
      <c r="F169" s="25">
        <f>F168*15%</f>
        <v>135.2895</v>
      </c>
      <c r="G169" s="24"/>
    </row>
    <row r="170" spans="1:7" ht="12.75">
      <c r="A170" s="26" t="s">
        <v>24</v>
      </c>
      <c r="B170" s="3"/>
      <c r="C170" s="3"/>
      <c r="D170" s="4"/>
      <c r="E170" s="24"/>
      <c r="F170" s="27">
        <f>ROUND(F168+F169,2)</f>
        <v>1037.22</v>
      </c>
      <c r="G170" s="24"/>
    </row>
    <row r="171" spans="1:7" ht="12.75">
      <c r="A171" s="14" t="s">
        <v>26</v>
      </c>
      <c r="B171" s="3"/>
      <c r="C171" s="3"/>
      <c r="D171" s="3"/>
      <c r="E171" s="3"/>
      <c r="F171" s="4"/>
      <c r="G171" s="15" t="s">
        <v>27</v>
      </c>
    </row>
    <row r="172" spans="1:7" ht="12.75">
      <c r="A172" s="16">
        <v>9999</v>
      </c>
      <c r="B172" s="16"/>
      <c r="C172" s="13" t="s">
        <v>38</v>
      </c>
      <c r="D172" s="3"/>
      <c r="E172" s="4"/>
      <c r="F172" s="12"/>
      <c r="G172" s="4"/>
    </row>
    <row r="173" spans="1:7" ht="12.75">
      <c r="A173" s="6"/>
      <c r="B173" s="6"/>
      <c r="C173" s="10" t="s">
        <v>29</v>
      </c>
      <c r="D173" s="11">
        <v>2.73</v>
      </c>
      <c r="E173" s="11">
        <v>2.12</v>
      </c>
      <c r="F173" s="36">
        <f>D173*E173</f>
        <v>5.7876000000000003</v>
      </c>
      <c r="G173" s="10" t="s">
        <v>30</v>
      </c>
    </row>
    <row r="174" spans="1:7" ht="12.75">
      <c r="A174" s="16">
        <v>9999</v>
      </c>
      <c r="B174" s="16"/>
      <c r="C174" s="13" t="s">
        <v>31</v>
      </c>
      <c r="D174" s="3"/>
      <c r="E174" s="4"/>
      <c r="F174" s="12"/>
      <c r="G174" s="4"/>
    </row>
    <row r="175" spans="1:7" ht="12.75">
      <c r="A175" s="6"/>
      <c r="B175" s="6"/>
      <c r="C175" s="10" t="s">
        <v>29</v>
      </c>
      <c r="D175" s="11">
        <v>10.79</v>
      </c>
      <c r="E175" s="11">
        <v>2.12</v>
      </c>
      <c r="F175" s="36">
        <f>D175*E175</f>
        <v>22.8748</v>
      </c>
      <c r="G175" s="10" t="s">
        <v>32</v>
      </c>
    </row>
    <row r="176" spans="1:7" ht="12.75">
      <c r="A176" s="23" t="s">
        <v>33</v>
      </c>
      <c r="B176" s="3"/>
      <c r="C176" s="4"/>
      <c r="D176" s="11">
        <v>1</v>
      </c>
      <c r="E176" s="24" t="s">
        <v>11</v>
      </c>
      <c r="F176" s="25">
        <f>F173+F175</f>
        <v>28.662400000000002</v>
      </c>
      <c r="G176" s="30"/>
    </row>
    <row r="177" spans="1:7" ht="12.75">
      <c r="A177" s="23" t="s">
        <v>22</v>
      </c>
      <c r="B177" s="3"/>
      <c r="C177" s="4"/>
      <c r="D177" s="11">
        <v>1</v>
      </c>
      <c r="E177" s="24" t="s">
        <v>11</v>
      </c>
      <c r="F177" s="25">
        <f>F176/D176</f>
        <v>28.662400000000002</v>
      </c>
      <c r="G177" s="30"/>
    </row>
    <row r="178" spans="1:7" ht="12.75">
      <c r="A178" s="26" t="s">
        <v>23</v>
      </c>
      <c r="B178" s="3"/>
      <c r="C178" s="3"/>
      <c r="D178" s="4"/>
      <c r="E178" s="11"/>
      <c r="F178" s="25">
        <f>F177*1%</f>
        <v>0.28662399999999999</v>
      </c>
      <c r="G178" s="30"/>
    </row>
    <row r="179" spans="1:7" ht="12.75">
      <c r="A179" s="26" t="s">
        <v>24</v>
      </c>
      <c r="B179" s="3"/>
      <c r="C179" s="3"/>
      <c r="D179" s="4"/>
      <c r="E179" s="24"/>
      <c r="F179" s="25">
        <f>F177+F178</f>
        <v>28.949024000000001</v>
      </c>
      <c r="G179" s="30"/>
    </row>
    <row r="180" spans="1:7" ht="12.75">
      <c r="A180" s="26" t="s">
        <v>25</v>
      </c>
      <c r="B180" s="3"/>
      <c r="C180" s="3"/>
      <c r="D180" s="4"/>
      <c r="E180" s="11"/>
      <c r="F180" s="25">
        <f>F179*15%</f>
        <v>4.3423536</v>
      </c>
      <c r="G180" s="30"/>
    </row>
    <row r="181" spans="1:7" ht="12.75">
      <c r="A181" s="26" t="s">
        <v>24</v>
      </c>
      <c r="B181" s="3"/>
      <c r="C181" s="3"/>
      <c r="D181" s="4"/>
      <c r="E181" s="24"/>
      <c r="F181" s="27">
        <f>ROUND(F179+F180,2)</f>
        <v>33.29</v>
      </c>
      <c r="G181" s="24"/>
    </row>
    <row r="182" spans="1:7" ht="12.75">
      <c r="A182" s="31" t="str">
        <f>CONCATENATE("Say ₹ ",F170," + ",F181," x Cost Index")</f>
        <v>Say ₹ 1037.22 + 33.29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5" t="s">
        <v>3</v>
      </c>
      <c r="G183" s="4"/>
    </row>
    <row r="184" spans="1:7" ht="12.75">
      <c r="A184" s="6"/>
      <c r="B184" s="6"/>
      <c r="C184" s="7" t="s">
        <v>4</v>
      </c>
      <c r="D184" s="7" t="s">
        <v>5</v>
      </c>
      <c r="E184" s="7" t="s">
        <v>6</v>
      </c>
      <c r="F184" s="8" t="s">
        <v>7</v>
      </c>
      <c r="G184" s="7" t="s">
        <v>8</v>
      </c>
    </row>
    <row r="185" spans="1:7" ht="12.75">
      <c r="A185" s="32" t="s">
        <v>54</v>
      </c>
      <c r="B185" s="3"/>
      <c r="C185" s="3"/>
      <c r="D185" s="3"/>
      <c r="E185" s="3"/>
      <c r="F185" s="3"/>
      <c r="G185" s="4"/>
    </row>
    <row r="186" spans="1:7" ht="12.75">
      <c r="A186" s="20"/>
      <c r="B186" s="20" t="s">
        <v>10</v>
      </c>
      <c r="C186" s="20" t="s">
        <v>11</v>
      </c>
      <c r="D186" s="20" t="s">
        <v>12</v>
      </c>
      <c r="E186" s="21">
        <v>1</v>
      </c>
      <c r="F186" s="19"/>
      <c r="G186" s="4"/>
    </row>
    <row r="187" spans="1:7" ht="12.75">
      <c r="A187" s="20" t="s">
        <v>13</v>
      </c>
      <c r="B187" s="18" t="s">
        <v>35</v>
      </c>
      <c r="C187" s="3"/>
      <c r="D187" s="3"/>
      <c r="E187" s="3"/>
      <c r="F187" s="3"/>
      <c r="G187" s="4"/>
    </row>
    <row r="188" spans="1:7" ht="12.75">
      <c r="A188" s="33" t="s">
        <v>15</v>
      </c>
      <c r="B188" s="3"/>
      <c r="C188" s="3"/>
      <c r="D188" s="3"/>
      <c r="E188" s="3"/>
      <c r="F188" s="4"/>
      <c r="G188" s="34" t="s">
        <v>16</v>
      </c>
    </row>
    <row r="189" spans="1:7" ht="12.75">
      <c r="A189" s="17"/>
      <c r="B189" s="17" t="s">
        <v>55</v>
      </c>
      <c r="C189" s="18" t="s">
        <v>56</v>
      </c>
      <c r="D189" s="3"/>
      <c r="E189" s="4"/>
      <c r="F189" s="19"/>
      <c r="G189" s="4"/>
    </row>
    <row r="190" spans="1:7" ht="12.75">
      <c r="A190" s="6"/>
      <c r="B190" s="6"/>
      <c r="C190" s="20" t="s">
        <v>19</v>
      </c>
      <c r="D190" s="21">
        <v>1</v>
      </c>
      <c r="E190" s="21">
        <f t="array" ref="E190">IFERROR(INDEX(LMRRates,MATCH(B189,LMRCodes,0),),)</f>
        <v>1000</v>
      </c>
      <c r="F190" s="35">
        <f>D190*E190</f>
        <v>1000</v>
      </c>
      <c r="G190" s="20" t="s">
        <v>20</v>
      </c>
    </row>
    <row r="191" spans="1:7" ht="12.75">
      <c r="A191" s="23" t="s">
        <v>21</v>
      </c>
      <c r="B191" s="3"/>
      <c r="C191" s="4"/>
      <c r="D191" s="11">
        <v>1</v>
      </c>
      <c r="E191" s="24" t="s">
        <v>11</v>
      </c>
      <c r="F191" s="25">
        <f>F190</f>
        <v>1000</v>
      </c>
      <c r="G191" s="24"/>
    </row>
    <row r="192" spans="1:7" ht="12.75">
      <c r="A192" s="23" t="s">
        <v>22</v>
      </c>
      <c r="B192" s="3"/>
      <c r="C192" s="4"/>
      <c r="D192" s="11">
        <v>1</v>
      </c>
      <c r="E192" s="24" t="s">
        <v>11</v>
      </c>
      <c r="F192" s="25">
        <f>F191/D191</f>
        <v>1000</v>
      </c>
      <c r="G192" s="24"/>
    </row>
    <row r="193" spans="1:7" ht="12.75">
      <c r="A193" s="26" t="s">
        <v>23</v>
      </c>
      <c r="B193" s="3"/>
      <c r="C193" s="3"/>
      <c r="D193" s="4"/>
      <c r="E193" s="11"/>
      <c r="F193" s="25">
        <f>F192*1%</f>
        <v>10</v>
      </c>
      <c r="G193" s="24"/>
    </row>
    <row r="194" spans="1:7" ht="12.75">
      <c r="A194" s="26" t="s">
        <v>24</v>
      </c>
      <c r="B194" s="3"/>
      <c r="C194" s="3"/>
      <c r="D194" s="4"/>
      <c r="E194" s="24"/>
      <c r="F194" s="25">
        <f>F192+F193</f>
        <v>1010</v>
      </c>
      <c r="G194" s="24"/>
    </row>
    <row r="195" spans="1:7" ht="12.75">
      <c r="A195" s="26" t="s">
        <v>25</v>
      </c>
      <c r="B195" s="3"/>
      <c r="C195" s="3"/>
      <c r="D195" s="4"/>
      <c r="E195" s="11"/>
      <c r="F195" s="25">
        <f>F194*15%</f>
        <v>151.50</v>
      </c>
      <c r="G195" s="24"/>
    </row>
    <row r="196" spans="1:7" ht="12.75">
      <c r="A196" s="26" t="s">
        <v>24</v>
      </c>
      <c r="B196" s="3"/>
      <c r="C196" s="3"/>
      <c r="D196" s="4"/>
      <c r="E196" s="24"/>
      <c r="F196" s="27">
        <f>ROUND(F194+F195,2)</f>
        <v>1161.50</v>
      </c>
      <c r="G196" s="24"/>
    </row>
    <row r="197" spans="1:7" ht="12.75">
      <c r="A197" s="14" t="s">
        <v>26</v>
      </c>
      <c r="B197" s="3"/>
      <c r="C197" s="3"/>
      <c r="D197" s="3"/>
      <c r="E197" s="3"/>
      <c r="F197" s="4"/>
      <c r="G197" s="15" t="s">
        <v>27</v>
      </c>
    </row>
    <row r="198" spans="1:7" ht="12.75">
      <c r="A198" s="16">
        <v>9999</v>
      </c>
      <c r="B198" s="16"/>
      <c r="C198" s="13" t="s">
        <v>38</v>
      </c>
      <c r="D198" s="3"/>
      <c r="E198" s="4"/>
      <c r="F198" s="12"/>
      <c r="G198" s="4"/>
    </row>
    <row r="199" spans="1:7" ht="12.75">
      <c r="A199" s="6"/>
      <c r="B199" s="6"/>
      <c r="C199" s="10" t="s">
        <v>29</v>
      </c>
      <c r="D199" s="11">
        <v>2.73</v>
      </c>
      <c r="E199" s="11">
        <v>2.12</v>
      </c>
      <c r="F199" s="36">
        <f>D199*E199</f>
        <v>5.7876000000000003</v>
      </c>
      <c r="G199" s="10" t="s">
        <v>30</v>
      </c>
    </row>
    <row r="200" spans="1:7" ht="12.75">
      <c r="A200" s="16">
        <v>9999</v>
      </c>
      <c r="B200" s="16"/>
      <c r="C200" s="13" t="s">
        <v>31</v>
      </c>
      <c r="D200" s="3"/>
      <c r="E200" s="4"/>
      <c r="F200" s="12"/>
      <c r="G200" s="4"/>
    </row>
    <row r="201" spans="1:7" ht="12.75">
      <c r="A201" s="6"/>
      <c r="B201" s="6"/>
      <c r="C201" s="10" t="s">
        <v>29</v>
      </c>
      <c r="D201" s="11">
        <v>10.79</v>
      </c>
      <c r="E201" s="11">
        <v>2.12</v>
      </c>
      <c r="F201" s="36">
        <f>D201*E201</f>
        <v>22.8748</v>
      </c>
      <c r="G201" s="10" t="s">
        <v>32</v>
      </c>
    </row>
    <row r="202" spans="1:7" ht="12.75">
      <c r="A202" s="23" t="s">
        <v>33</v>
      </c>
      <c r="B202" s="3"/>
      <c r="C202" s="4"/>
      <c r="D202" s="11">
        <v>1</v>
      </c>
      <c r="E202" s="24" t="s">
        <v>11</v>
      </c>
      <c r="F202" s="25">
        <f>F199+F201</f>
        <v>28.662400000000002</v>
      </c>
      <c r="G202" s="30"/>
    </row>
    <row r="203" spans="1:7" ht="12.75">
      <c r="A203" s="23" t="s">
        <v>22</v>
      </c>
      <c r="B203" s="3"/>
      <c r="C203" s="4"/>
      <c r="D203" s="11">
        <v>1</v>
      </c>
      <c r="E203" s="24" t="s">
        <v>11</v>
      </c>
      <c r="F203" s="25">
        <f>F202/D202</f>
        <v>28.662400000000002</v>
      </c>
      <c r="G203" s="30"/>
    </row>
    <row r="204" spans="1:7" ht="12.75">
      <c r="A204" s="26" t="s">
        <v>23</v>
      </c>
      <c r="B204" s="3"/>
      <c r="C204" s="3"/>
      <c r="D204" s="4"/>
      <c r="E204" s="11"/>
      <c r="F204" s="25">
        <f>F203*1%</f>
        <v>0.28662399999999999</v>
      </c>
      <c r="G204" s="30"/>
    </row>
    <row r="205" spans="1:7" ht="12.75">
      <c r="A205" s="26" t="s">
        <v>24</v>
      </c>
      <c r="B205" s="3"/>
      <c r="C205" s="3"/>
      <c r="D205" s="4"/>
      <c r="E205" s="24"/>
      <c r="F205" s="25">
        <f>F203+F204</f>
        <v>28.949024000000001</v>
      </c>
      <c r="G205" s="30"/>
    </row>
    <row r="206" spans="1:7" ht="12.75">
      <c r="A206" s="26" t="s">
        <v>25</v>
      </c>
      <c r="B206" s="3"/>
      <c r="C206" s="3"/>
      <c r="D206" s="4"/>
      <c r="E206" s="11"/>
      <c r="F206" s="25">
        <f>F205*15%</f>
        <v>4.3423536</v>
      </c>
      <c r="G206" s="30"/>
    </row>
    <row r="207" spans="1:7" ht="12.75">
      <c r="A207" s="26" t="s">
        <v>24</v>
      </c>
      <c r="B207" s="3"/>
      <c r="C207" s="3"/>
      <c r="D207" s="4"/>
      <c r="E207" s="24"/>
      <c r="F207" s="27">
        <f>ROUND(F205+F206,2)</f>
        <v>33.29</v>
      </c>
      <c r="G207" s="24"/>
    </row>
    <row r="208" spans="1:7" ht="12.75">
      <c r="A208" s="31" t="str">
        <f>CONCATENATE("Say ₹ ",F196," + ",F207," x Cost Index")</f>
        <v>Say ₹ 1161.5 + 33.29 x Cost Index</v>
      </c>
      <c r="B208" s="3"/>
      <c r="C208" s="3"/>
      <c r="D208" s="3"/>
      <c r="E208" s="3"/>
      <c r="F208" s="3"/>
      <c r="G208" s="4"/>
    </row>
    <row r="209" spans="1:7" ht="12.75">
      <c r="A209" s="37" t="s">
        <v>0</v>
      </c>
      <c r="B209" s="37" t="s">
        <v>1</v>
      </c>
      <c r="C209" s="38" t="s">
        <v>2</v>
      </c>
      <c r="D209" s="3"/>
      <c r="E209" s="4"/>
      <c r="F209" s="38" t="s">
        <v>3</v>
      </c>
      <c r="G209" s="4"/>
    </row>
    <row r="210" spans="1:7" ht="12.75">
      <c r="A210" s="6"/>
      <c r="B210" s="6"/>
      <c r="C210" s="39" t="s">
        <v>4</v>
      </c>
      <c r="D210" s="39" t="s">
        <v>5</v>
      </c>
      <c r="E210" s="39" t="s">
        <v>6</v>
      </c>
      <c r="F210" s="39" t="s">
        <v>7</v>
      </c>
      <c r="G210" s="39" t="s">
        <v>8</v>
      </c>
    </row>
    <row r="211" spans="1:7" ht="12.75">
      <c r="A211" s="40" t="s">
        <v>57</v>
      </c>
      <c r="B211" s="3"/>
      <c r="C211" s="3"/>
      <c r="D211" s="3"/>
      <c r="E211" s="3"/>
      <c r="F211" s="3"/>
      <c r="G211" s="4"/>
    </row>
    <row r="212" spans="1:7" ht="12.75">
      <c r="A212" s="41"/>
      <c r="B212" s="42" t="s">
        <v>10</v>
      </c>
      <c r="C212" s="42" t="s">
        <v>11</v>
      </c>
      <c r="D212" s="42" t="s">
        <v>12</v>
      </c>
      <c r="E212" s="43">
        <v>1</v>
      </c>
      <c r="F212" s="44"/>
      <c r="G212" s="4"/>
    </row>
    <row r="213" spans="1:7" ht="12.75">
      <c r="A213" s="42" t="s">
        <v>13</v>
      </c>
      <c r="B213" s="45" t="s">
        <v>14</v>
      </c>
      <c r="C213" s="3"/>
      <c r="D213" s="3"/>
      <c r="E213" s="3"/>
      <c r="F213" s="3"/>
      <c r="G213" s="4"/>
    </row>
    <row r="214" spans="1:7" ht="12.75">
      <c r="A214" s="46" t="s">
        <v>15</v>
      </c>
      <c r="B214" s="3"/>
      <c r="C214" s="3"/>
      <c r="D214" s="3"/>
      <c r="E214" s="3"/>
      <c r="F214" s="4"/>
      <c r="G214" s="47" t="s">
        <v>16</v>
      </c>
    </row>
    <row r="215" spans="1:7" ht="12.75">
      <c r="A215" s="48"/>
      <c r="B215" s="16" t="s">
        <v>58</v>
      </c>
      <c r="C215" s="45" t="s">
        <v>59</v>
      </c>
      <c r="D215" s="3"/>
      <c r="E215" s="4"/>
      <c r="F215" s="44"/>
      <c r="G215" s="4"/>
    </row>
    <row r="216" spans="1:7" ht="12.75">
      <c r="A216" s="6"/>
      <c r="B216" s="6"/>
      <c r="C216" s="42" t="s">
        <v>19</v>
      </c>
      <c r="D216" s="43">
        <v>1</v>
      </c>
      <c r="E216" s="43">
        <v>62</v>
      </c>
      <c r="F216" s="43">
        <f>D216*E216</f>
        <v>62</v>
      </c>
      <c r="G216" s="42" t="s">
        <v>20</v>
      </c>
    </row>
    <row r="217" spans="1:7" ht="12.75">
      <c r="A217" s="49" t="s">
        <v>21</v>
      </c>
      <c r="B217" s="3"/>
      <c r="C217" s="4"/>
      <c r="D217" s="43">
        <v>1</v>
      </c>
      <c r="E217" s="50" t="s">
        <v>11</v>
      </c>
      <c r="F217" s="43">
        <f>F216</f>
        <v>62</v>
      </c>
      <c r="G217" s="41"/>
    </row>
    <row r="218" spans="1:7" ht="12.75">
      <c r="A218" s="49" t="s">
        <v>22</v>
      </c>
      <c r="B218" s="3"/>
      <c r="C218" s="4"/>
      <c r="D218" s="43">
        <v>1</v>
      </c>
      <c r="E218" s="50" t="s">
        <v>11</v>
      </c>
      <c r="F218" s="43">
        <f>F217/D217</f>
        <v>62</v>
      </c>
      <c r="G218" s="41"/>
    </row>
    <row r="219" spans="1:7" ht="12.75">
      <c r="A219" s="51" t="s">
        <v>23</v>
      </c>
      <c r="B219" s="3"/>
      <c r="C219" s="3"/>
      <c r="D219" s="4"/>
      <c r="E219" s="41"/>
      <c r="F219" s="43">
        <f>F218*1%</f>
        <v>0.62</v>
      </c>
      <c r="G219" s="41"/>
    </row>
    <row r="220" spans="1:7" ht="12.75">
      <c r="A220" s="51" t="s">
        <v>24</v>
      </c>
      <c r="B220" s="3"/>
      <c r="C220" s="3"/>
      <c r="D220" s="4"/>
      <c r="E220" s="41"/>
      <c r="F220" s="43">
        <f>F219+F218</f>
        <v>62.62</v>
      </c>
      <c r="G220" s="41"/>
    </row>
    <row r="221" spans="1:7" ht="12.75">
      <c r="A221" s="51" t="s">
        <v>25</v>
      </c>
      <c r="B221" s="3"/>
      <c r="C221" s="3"/>
      <c r="D221" s="4"/>
      <c r="E221" s="41"/>
      <c r="F221" s="43">
        <f>F220*15%</f>
        <v>9.3930000000000007</v>
      </c>
      <c r="G221" s="41"/>
    </row>
    <row r="222" spans="1:7" ht="12.75">
      <c r="A222" s="51" t="s">
        <v>24</v>
      </c>
      <c r="B222" s="3"/>
      <c r="C222" s="3"/>
      <c r="D222" s="4"/>
      <c r="E222" s="41"/>
      <c r="F222" s="52">
        <f>ROUND(F221+F220,2)</f>
        <v>72.01</v>
      </c>
      <c r="G222" s="41"/>
    </row>
    <row r="223" spans="1:7" ht="12.75">
      <c r="A223" s="46" t="s">
        <v>26</v>
      </c>
      <c r="B223" s="3"/>
      <c r="C223" s="3"/>
      <c r="D223" s="3"/>
      <c r="E223" s="3"/>
      <c r="F223" s="4"/>
      <c r="G223" s="47" t="s">
        <v>27</v>
      </c>
    </row>
    <row r="224" spans="1:7" ht="12.75">
      <c r="A224" s="53">
        <v>9999</v>
      </c>
      <c r="B224" s="48"/>
      <c r="C224" s="45" t="s">
        <v>28</v>
      </c>
      <c r="D224" s="3"/>
      <c r="E224" s="4"/>
      <c r="F224" s="44"/>
      <c r="G224" s="4"/>
    </row>
    <row r="225" spans="1:7" ht="12.75">
      <c r="A225" s="6"/>
      <c r="B225" s="6"/>
      <c r="C225" s="42" t="s">
        <v>29</v>
      </c>
      <c r="D225" s="43">
        <v>2.73</v>
      </c>
      <c r="E225" s="43">
        <v>2.12</v>
      </c>
      <c r="F225" s="43">
        <f>E225*D225</f>
        <v>5.7876000000000003</v>
      </c>
      <c r="G225" s="42" t="s">
        <v>30</v>
      </c>
    </row>
    <row r="226" spans="1:7" ht="12.75">
      <c r="A226" s="53">
        <v>9999</v>
      </c>
      <c r="B226" s="48"/>
      <c r="C226" s="45" t="s">
        <v>31</v>
      </c>
      <c r="D226" s="3"/>
      <c r="E226" s="4"/>
      <c r="F226" s="44"/>
      <c r="G226" s="4"/>
    </row>
    <row r="227" spans="1:7" ht="12.75">
      <c r="A227" s="6"/>
      <c r="B227" s="6"/>
      <c r="C227" s="42" t="s">
        <v>29</v>
      </c>
      <c r="D227" s="43">
        <v>10.79</v>
      </c>
      <c r="E227" s="43">
        <v>2.12</v>
      </c>
      <c r="F227" s="43">
        <f>D227*E227</f>
        <v>22.8748</v>
      </c>
      <c r="G227" s="42" t="s">
        <v>32</v>
      </c>
    </row>
    <row r="228" spans="1:7" ht="12.75">
      <c r="A228" s="49" t="s">
        <v>33</v>
      </c>
      <c r="B228" s="3"/>
      <c r="C228" s="4"/>
      <c r="D228" s="43">
        <v>1</v>
      </c>
      <c r="E228" s="50" t="s">
        <v>11</v>
      </c>
      <c r="F228" s="43">
        <f>F227+F225</f>
        <v>28.662400000000002</v>
      </c>
      <c r="G228" s="41"/>
    </row>
    <row r="229" spans="1:7" ht="12.75">
      <c r="A229" s="49" t="s">
        <v>22</v>
      </c>
      <c r="B229" s="3"/>
      <c r="C229" s="4"/>
      <c r="D229" s="43">
        <v>1</v>
      </c>
      <c r="E229" s="50" t="s">
        <v>11</v>
      </c>
      <c r="F229" s="43">
        <f>F228/D228</f>
        <v>28.662400000000002</v>
      </c>
      <c r="G229" s="41"/>
    </row>
    <row r="230" spans="1:7" ht="12.75">
      <c r="A230" s="51" t="s">
        <v>23</v>
      </c>
      <c r="B230" s="3"/>
      <c r="C230" s="3"/>
      <c r="D230" s="4"/>
      <c r="E230" s="41"/>
      <c r="F230" s="43">
        <f>F229*1%</f>
        <v>0.28662399999999999</v>
      </c>
      <c r="G230" s="41"/>
    </row>
    <row r="231" spans="1:7" ht="12.75">
      <c r="A231" s="51" t="s">
        <v>24</v>
      </c>
      <c r="B231" s="3"/>
      <c r="C231" s="3"/>
      <c r="D231" s="4"/>
      <c r="E231" s="41"/>
      <c r="F231" s="43">
        <f>F230+F229</f>
        <v>28.949024000000001</v>
      </c>
      <c r="G231" s="41"/>
    </row>
    <row r="232" spans="1:7" ht="12.75">
      <c r="A232" s="51" t="s">
        <v>25</v>
      </c>
      <c r="B232" s="3"/>
      <c r="C232" s="3"/>
      <c r="D232" s="4"/>
      <c r="E232" s="41"/>
      <c r="F232" s="43">
        <f>F231*15%</f>
        <v>4.3423536</v>
      </c>
      <c r="G232" s="41"/>
    </row>
    <row r="233" spans="1:7" ht="12.75">
      <c r="A233" s="51" t="s">
        <v>24</v>
      </c>
      <c r="B233" s="3"/>
      <c r="C233" s="3"/>
      <c r="D233" s="4"/>
      <c r="E233" s="41"/>
      <c r="F233" s="52">
        <f>ROUND(F232+F231,2)</f>
        <v>33.29</v>
      </c>
      <c r="G233" s="41"/>
    </row>
    <row r="234" spans="1:7" ht="12.75">
      <c r="A234" s="54" t="str">
        <f>CONCATENATE("Say ₹ ",F222," + ",F233," x Cost Index")</f>
        <v>Say ₹ 72.01 + 33.29 x Cost Index</v>
      </c>
      <c r="B234" s="3"/>
      <c r="C234" s="3"/>
      <c r="D234" s="3"/>
      <c r="E234" s="3"/>
      <c r="F234" s="3"/>
      <c r="G234" s="4"/>
    </row>
  </sheetData>
  <mergeCells count="306"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31:D231"/>
    <mergeCell ref="A232:D232"/>
    <mergeCell ref="A233:D233"/>
    <mergeCell ref="A234:G234"/>
    <mergeCell ref="A224:A225"/>
    <mergeCell ref="B224:B225"/>
    <mergeCell ref="A226:A227"/>
    <mergeCell ref="B226:B227"/>
    <mergeCell ref="A228:C228"/>
    <mergeCell ref="A229:C229"/>
    <mergeCell ref="A230:D230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