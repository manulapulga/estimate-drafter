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LMRRates">[1]LMR!$C:$C</definedName>
    <definedName name="LMRCodes">[1]LMR!$A:$A</definedName>
  </definedNames>
  <calcPr fullCalcOnLoad="1"/>
</workbook>
</file>

<file path=xl/calcChain.xml><?xml version="1.0" encoding="utf-8"?>
<calcChain xmlns="http://schemas.openxmlformats.org/spreadsheetml/2006/main">
  <c r="E8" i="1" l="1" a="1"/>
</calcChain>
</file>

<file path=xl/sharedStrings.xml><?xml version="1.0" encoding="utf-8"?>
<sst xmlns="http://schemas.openxmlformats.org/spreadsheetml/2006/main" count="120" uniqueCount="45">
  <si>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</si>
  <si>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</si>
  <si>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</si>
  <si>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</si>
  <si>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</si>
  <si>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</si>
  <si>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</si>
  <si>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</si>
  <si>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</si>
  <si>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Providing and fixing PVC pipes including fixing the pipe with clamps/ clips/ at 1.00 m spacing . This includes jointing of pipes with one step PVC solvent cement and testing of joints complete as per direction of Engineer-in-Charge 140 mm dia 6 Kgf/cm2 - External work- Exposed on wall</t>
  </si>
  <si>
    <t>Header Unit</t>
  </si>
  <si>
    <t>metre</t>
  </si>
  <si>
    <t>Header Quantity</t>
  </si>
  <si>
    <t>Header Details</t>
  </si>
  <si>
    <t>Details of cost for 10.00 meter</t>
  </si>
  <si>
    <t>Material</t>
  </si>
  <si>
    <t>M</t>
  </si>
  <si>
    <t>MR10215</t>
  </si>
  <si>
    <t>PVC pipe 140 mm outer dia 6kgf/cm2
(5% added for wastage etc)</t>
  </si>
  <si>
    <t>M1</t>
  </si>
  <si>
    <t>TOTAL</t>
  </si>
  <si>
    <t>UNIT TOTAL</t>
  </si>
  <si>
    <t>Water Charge@ 1.00 %</t>
  </si>
  <si>
    <t>Contractors Profit &amp; Overhead@ 15.00 %</t>
  </si>
  <si>
    <t>Labour</t>
  </si>
  <si>
    <t>L</t>
  </si>
  <si>
    <t>Fitter(grade1)</t>
  </si>
  <si>
    <t>Day</t>
  </si>
  <si>
    <t>L1</t>
  </si>
  <si>
    <t>Beldar</t>
  </si>
  <si>
    <t>L2</t>
  </si>
  <si>
    <t>Bandhani</t>
  </si>
  <si>
    <t>L3</t>
  </si>
  <si>
    <t>Tools &amp; Plants</t>
  </si>
  <si>
    <t>Sundries
Carriage of materials</t>
  </si>
  <si>
    <t>L.S</t>
  </si>
  <si>
    <t>T1</t>
  </si>
  <si>
    <t>Sundries
Adhesive, and sundries etc</t>
  </si>
  <si>
    <t>T2</t>
  </si>
  <si>
    <t>Sundries
Scaffolding etc.</t>
  </si>
  <si>
    <t>T3</t>
  </si>
  <si>
    <t>/m</t>
  </si>
  <si>
    <t>Providing and fixing PVC pipes including fixing the pipe with clamps/ clips/ at 1.00 m spacing . This includes jointing of pipes with one step PVC solvent cement and testing of joints complete as per direction of Engineer-in-Charge 90 mm dia 6 Kgf/cm2 - External work- Exposed on wall</t>
  </si>
  <si>
    <t>MR10213</t>
  </si>
  <si>
    <t>PVC pipe 90 mm outer dia 6kgf/cm2
(5% added for wastage etc)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</si>
</sst>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b/>
      <sz val="12"/>
      <color rgb="FF212529"/>
      <name val="Cambria"/>
      <family val="2"/>
    </font>
    <font>
      <sz val="12"/>
      <color rgb="FF212529"/>
      <name val="Cambria"/>
      <family val="2"/>
    </font>
    <font>
      <sz val="12"/>
      <color rgb="FF000000"/>
      <name val="Cambria"/>
      <family val="2"/>
    </font>
    <font>
      <b/>
      <sz val="12"/>
      <color rgb="FFFFFFFF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4" fillId="2" borderId="1" xfId="0" applyFont="1" applyBorder="1" applyAlignment="1">
      <alignment vertical="center" wrapText="1"/>
    </xf>
    <xf numFmtId="0" fontId="4" fillId="2" borderId="2" xfId="0" applyFont="1" applyBorder="1" applyAlignment="1">
      <alignment vertical="center" wrapText="1"/>
    </xf>
    <xf numFmtId="0" fontId="5" fillId="0" borderId="3" xfId="0" applyFont="1" applyBorder="1">
      <alignment/>
    </xf>
    <xf numFmtId="0" fontId="5" fillId="0" borderId="4" xfId="0" applyFont="1" applyBorder="1">
      <alignment/>
    </xf>
    <xf numFmtId="0" fontId="5" fillId="0" borderId="5" xfId="0" applyFont="1" applyBorder="1">
      <alignment/>
    </xf>
    <xf numFmtId="0" fontId="4" fillId="2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3" borderId="6" xfId="0" applyFont="1" applyBorder="1" applyAlignment="1">
      <alignment horizontal="center" vertical="center" wrapText="1"/>
    </xf>
    <xf numFmtId="0" fontId="2" fillId="3" borderId="6" xfId="0" applyFont="1" applyBorder="1" applyAlignment="1">
      <alignment horizontal="right" vertical="center" wrapText="1"/>
    </xf>
    <xf numFmtId="0" fontId="2" fillId="3" borderId="2" xfId="0" applyFont="1" applyBorder="1" applyAlignment="1">
      <alignment horizontal="left" vertical="center" wrapText="1"/>
    </xf>
    <xf numFmtId="0" fontId="2" fillId="4" borderId="2" xfId="0" applyFont="1" applyBorder="1" applyAlignment="1">
      <alignment horizontal="left" vertical="center" wrapText="1"/>
    </xf>
    <xf numFmtId="0" fontId="2" fillId="4" borderId="6" xfId="0" applyFont="1" applyBorder="1" applyAlignment="1">
      <alignment horizontal="center" vertical="center" wrapText="1"/>
    </xf>
    <xf numFmtId="0" fontId="2" fillId="3" borderId="1" xfId="0" applyFont="1" applyBorder="1" applyAlignment="1">
      <alignment horizontal="center" vertical="center" wrapText="1"/>
    </xf>
    <xf numFmtId="0" fontId="3" fillId="3" borderId="6" xfId="0" applyFont="1" applyBorder="1" applyAlignment="1">
      <alignment horizontal="right" vertical="center" wrapText="1"/>
    </xf>
    <xf numFmtId="0" fontId="1" fillId="3" borderId="2" xfId="0" applyFont="1" applyBorder="1" applyAlignment="1">
      <alignment horizontal="center" vertical="center" wrapText="1"/>
    </xf>
    <xf numFmtId="0" fontId="2" fillId="3" borderId="6" xfId="0" applyFont="1" applyBorder="1" applyAlignment="1">
      <alignment horizontal="left" vertical="center" wrapText="1"/>
    </xf>
    <xf numFmtId="0" fontId="2" fillId="3" borderId="2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right" vertical="center" wrapText="1"/>
    </xf>
    <xf numFmtId="0" fontId="1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horizontal="left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Derived"/>
      <sheetName val="LMR"/>
      <sheetName val="PAMR39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26249D-4C8F-40F2-93A9-546E561EBAA6}">
  <dimension ref="A1:G70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9">
        <v>10</v>
      </c>
      <c r="F4" s="10"/>
      <c r="G4" s="4"/>
    </row>
    <row r="5" spans="1:7" ht="12.75">
      <c r="A5" s="8" t="s">
        <v>13</v>
      </c>
      <c r="B5" s="10" t="s">
        <v>14</v>
      </c>
      <c r="C5" s="3"/>
      <c r="D5" s="3"/>
      <c r="E5" s="3"/>
      <c r="F5" s="3"/>
      <c r="G5" s="4"/>
    </row>
    <row r="6" spans="1:7" ht="12.75">
      <c r="A6" s="11" t="s">
        <v>15</v>
      </c>
      <c r="B6" s="3"/>
      <c r="C6" s="3"/>
      <c r="D6" s="3"/>
      <c r="E6" s="3"/>
      <c r="F6" s="4"/>
      <c r="G6" s="12" t="s">
        <v>16</v>
      </c>
    </row>
    <row r="7" spans="1:7" ht="12.75">
      <c r="A7" s="13"/>
      <c r="B7" s="13" t="s">
        <v>17</v>
      </c>
      <c r="C7" s="10" t="s">
        <v>18</v>
      </c>
      <c r="D7" s="3"/>
      <c r="E7" s="4"/>
      <c r="F7" s="10"/>
      <c r="G7" s="4"/>
    </row>
    <row r="8" spans="1:7" ht="12.75">
      <c r="A8" s="5"/>
      <c r="B8" s="5"/>
      <c r="C8" s="8" t="s">
        <v>11</v>
      </c>
      <c r="D8" s="9">
        <v>10.50</v>
      </c>
      <c r="E8" s="14">
        <f t="array" ref="E8">IFERROR(INDEX(LMRRates,MATCH(B7,LMRCodes,0),),)</f>
        <v>284</v>
      </c>
      <c r="F8" s="9">
        <f>E8*D8</f>
        <v>2982</v>
      </c>
      <c r="G8" s="8" t="s">
        <v>19</v>
      </c>
    </row>
    <row r="9" spans="1:7" ht="12.75">
      <c r="A9" s="15" t="s">
        <v>20</v>
      </c>
      <c r="B9" s="3"/>
      <c r="C9" s="4"/>
      <c r="D9" s="9">
        <v>10</v>
      </c>
      <c r="E9" s="16" t="s">
        <v>11</v>
      </c>
      <c r="F9" s="9">
        <f>F8</f>
        <v>2982</v>
      </c>
      <c r="G9" s="8"/>
    </row>
    <row r="10" spans="1:7" ht="12.75">
      <c r="A10" s="15" t="s">
        <v>21</v>
      </c>
      <c r="B10" s="3"/>
      <c r="C10" s="4"/>
      <c r="D10" s="9">
        <v>1</v>
      </c>
      <c r="E10" s="16" t="s">
        <v>11</v>
      </c>
      <c r="F10" s="9">
        <f>F9/D9</f>
        <v>298.20</v>
      </c>
      <c r="G10" s="8"/>
    </row>
    <row r="11" spans="1:7" ht="12.75">
      <c r="A11" s="17" t="s">
        <v>22</v>
      </c>
      <c r="B11" s="3"/>
      <c r="C11" s="3"/>
      <c r="D11" s="4"/>
      <c r="E11" s="9"/>
      <c r="F11" s="9">
        <f>F10*1%</f>
        <v>2.9820000000000002</v>
      </c>
      <c r="G11" s="8"/>
    </row>
    <row r="12" spans="1:7" ht="12.75">
      <c r="A12" s="17" t="s">
        <v>20</v>
      </c>
      <c r="B12" s="3"/>
      <c r="C12" s="3"/>
      <c r="D12" s="4"/>
      <c r="E12" s="16"/>
      <c r="F12" s="9">
        <f>F10+F11</f>
        <v>301.18200000000002</v>
      </c>
      <c r="G12" s="8"/>
    </row>
    <row r="13" spans="1:7" ht="12.75">
      <c r="A13" s="17" t="s">
        <v>23</v>
      </c>
      <c r="B13" s="3"/>
      <c r="C13" s="3"/>
      <c r="D13" s="4"/>
      <c r="E13" s="9"/>
      <c r="F13" s="9">
        <f>F12*15%</f>
        <v>45.177300000000002</v>
      </c>
      <c r="G13" s="8"/>
    </row>
    <row r="14" spans="1:7" ht="12.75">
      <c r="A14" s="17" t="s">
        <v>20</v>
      </c>
      <c r="B14" s="3"/>
      <c r="C14" s="3"/>
      <c r="D14" s="4"/>
      <c r="E14" s="16"/>
      <c r="F14" s="18">
        <f>ROUND(F12+F13,2)</f>
        <v>346.36</v>
      </c>
      <c r="G14" s="8"/>
    </row>
    <row r="15" spans="1:7" ht="12.75">
      <c r="A15" s="11" t="s">
        <v>24</v>
      </c>
      <c r="B15" s="3"/>
      <c r="C15" s="3"/>
      <c r="D15" s="3"/>
      <c r="E15" s="3"/>
      <c r="F15" s="4"/>
      <c r="G15" s="12" t="s">
        <v>25</v>
      </c>
    </row>
    <row r="16" spans="1:7" ht="12.75">
      <c r="A16" s="13">
        <v>116</v>
      </c>
      <c r="B16" s="13"/>
      <c r="C16" s="10" t="s">
        <v>26</v>
      </c>
      <c r="D16" s="3"/>
      <c r="E16" s="4"/>
      <c r="F16" s="10"/>
      <c r="G16" s="4"/>
    </row>
    <row r="17" spans="1:7" ht="12.75">
      <c r="A17" s="5"/>
      <c r="B17" s="5"/>
      <c r="C17" s="8" t="s">
        <v>27</v>
      </c>
      <c r="D17" s="9">
        <v>0.35</v>
      </c>
      <c r="E17" s="9">
        <v>784</v>
      </c>
      <c r="F17" s="9">
        <f>E17*D17</f>
        <v>274.40</v>
      </c>
      <c r="G17" s="8" t="s">
        <v>28</v>
      </c>
    </row>
    <row r="18" spans="1:7" ht="12.75">
      <c r="A18" s="13">
        <v>114</v>
      </c>
      <c r="B18" s="13"/>
      <c r="C18" s="10" t="s">
        <v>29</v>
      </c>
      <c r="D18" s="3"/>
      <c r="E18" s="4"/>
      <c r="F18" s="10"/>
      <c r="G18" s="4"/>
    </row>
    <row r="19" spans="1:7" ht="12.75">
      <c r="A19" s="5"/>
      <c r="B19" s="5"/>
      <c r="C19" s="8" t="s">
        <v>27</v>
      </c>
      <c r="D19" s="9">
        <v>0.65</v>
      </c>
      <c r="E19" s="9">
        <v>645</v>
      </c>
      <c r="F19" s="9">
        <f>E19*D19</f>
        <v>419.25</v>
      </c>
      <c r="G19" s="8" t="s">
        <v>30</v>
      </c>
    </row>
    <row r="20" spans="1:7" ht="12.75">
      <c r="A20" s="13">
        <v>100</v>
      </c>
      <c r="B20" s="13"/>
      <c r="C20" s="10" t="s">
        <v>31</v>
      </c>
      <c r="D20" s="3"/>
      <c r="E20" s="4"/>
      <c r="F20" s="10"/>
      <c r="G20" s="4"/>
    </row>
    <row r="21" spans="1:7" ht="12.75">
      <c r="A21" s="5"/>
      <c r="B21" s="5"/>
      <c r="C21" s="8" t="s">
        <v>27</v>
      </c>
      <c r="D21" s="9">
        <v>0.15</v>
      </c>
      <c r="E21" s="9">
        <v>714</v>
      </c>
      <c r="F21" s="9">
        <f>E21*D21</f>
        <v>107.10</v>
      </c>
      <c r="G21" s="8" t="s">
        <v>32</v>
      </c>
    </row>
    <row r="22" spans="1:7" ht="12.75">
      <c r="A22" s="11" t="s">
        <v>33</v>
      </c>
      <c r="B22" s="3"/>
      <c r="C22" s="3"/>
      <c r="D22" s="3"/>
      <c r="E22" s="3"/>
      <c r="F22" s="4"/>
      <c r="G22" s="12" t="s">
        <v>25</v>
      </c>
    </row>
    <row r="23" spans="1:7" ht="12.75">
      <c r="A23" s="13">
        <v>9999</v>
      </c>
      <c r="B23" s="13"/>
      <c r="C23" s="10" t="s">
        <v>34</v>
      </c>
      <c r="D23" s="3"/>
      <c r="E23" s="4"/>
      <c r="F23" s="10"/>
      <c r="G23" s="4"/>
    </row>
    <row r="24" spans="1:7" ht="12.75">
      <c r="A24" s="5"/>
      <c r="B24" s="5"/>
      <c r="C24" s="8" t="s">
        <v>35</v>
      </c>
      <c r="D24" s="9">
        <v>22.53</v>
      </c>
      <c r="E24" s="9">
        <v>2.12</v>
      </c>
      <c r="F24" s="9">
        <f>E24*D24</f>
        <v>47.763599999999997</v>
      </c>
      <c r="G24" s="8" t="s">
        <v>36</v>
      </c>
    </row>
    <row r="25" spans="1:7" ht="12.75">
      <c r="A25" s="13">
        <v>9999</v>
      </c>
      <c r="B25" s="13"/>
      <c r="C25" s="10" t="s">
        <v>37</v>
      </c>
      <c r="D25" s="3"/>
      <c r="E25" s="4"/>
      <c r="F25" s="10"/>
      <c r="G25" s="4"/>
    </row>
    <row r="26" spans="1:7" ht="12.75">
      <c r="A26" s="5"/>
      <c r="B26" s="5"/>
      <c r="C26" s="8" t="s">
        <v>35</v>
      </c>
      <c r="D26" s="9">
        <v>10.27</v>
      </c>
      <c r="E26" s="9">
        <v>2.12</v>
      </c>
      <c r="F26" s="9">
        <f>E26*D26</f>
        <v>21.772400000000001</v>
      </c>
      <c r="G26" s="8" t="s">
        <v>38</v>
      </c>
    </row>
    <row r="27" spans="1:7" ht="12.75">
      <c r="A27" s="13">
        <v>9999</v>
      </c>
      <c r="B27" s="13"/>
      <c r="C27" s="10" t="s">
        <v>39</v>
      </c>
      <c r="D27" s="3"/>
      <c r="E27" s="4"/>
      <c r="F27" s="10"/>
      <c r="G27" s="4"/>
    </row>
    <row r="28" spans="1:7" ht="12.75">
      <c r="A28" s="5"/>
      <c r="B28" s="5"/>
      <c r="C28" s="8" t="s">
        <v>35</v>
      </c>
      <c r="D28" s="9">
        <v>30.98</v>
      </c>
      <c r="E28" s="9">
        <v>2.12</v>
      </c>
      <c r="F28" s="9">
        <f>E28*D28</f>
        <v>65.677599999999998</v>
      </c>
      <c r="G28" s="8" t="s">
        <v>40</v>
      </c>
    </row>
    <row r="29" spans="1:7" ht="12.75">
      <c r="A29" s="15" t="s">
        <v>20</v>
      </c>
      <c r="B29" s="3"/>
      <c r="C29" s="4"/>
      <c r="D29" s="9">
        <v>10</v>
      </c>
      <c r="E29" s="16" t="s">
        <v>11</v>
      </c>
      <c r="F29" s="9">
        <f>F17+F19+F21+F24+F26+F28</f>
        <v>935.96360000000004</v>
      </c>
      <c r="G29" s="16"/>
    </row>
    <row r="30" spans="1:7" ht="12.75">
      <c r="A30" s="15" t="s">
        <v>21</v>
      </c>
      <c r="B30" s="3"/>
      <c r="C30" s="4"/>
      <c r="D30" s="9">
        <v>1</v>
      </c>
      <c r="E30" s="16" t="s">
        <v>11</v>
      </c>
      <c r="F30" s="9">
        <f>F29/D29</f>
        <v>93.596360000000004</v>
      </c>
      <c r="G30" s="16"/>
    </row>
    <row r="31" spans="1:7" ht="12.75">
      <c r="A31" s="17" t="s">
        <v>22</v>
      </c>
      <c r="B31" s="3"/>
      <c r="C31" s="3"/>
      <c r="D31" s="4"/>
      <c r="E31" s="9"/>
      <c r="F31" s="9">
        <f>F30*1%</f>
        <v>0.93596360000000001</v>
      </c>
      <c r="G31" s="16"/>
    </row>
    <row r="32" spans="1:7" ht="12.75">
      <c r="A32" s="17" t="s">
        <v>20</v>
      </c>
      <c r="B32" s="3"/>
      <c r="C32" s="3"/>
      <c r="D32" s="4"/>
      <c r="E32" s="16"/>
      <c r="F32" s="9">
        <f>F30+F31</f>
        <v>94.532323599999998</v>
      </c>
      <c r="G32" s="16"/>
    </row>
    <row r="33" spans="1:7" ht="12.75">
      <c r="A33" s="17" t="s">
        <v>23</v>
      </c>
      <c r="B33" s="3"/>
      <c r="C33" s="3"/>
      <c r="D33" s="4"/>
      <c r="E33" s="9"/>
      <c r="F33" s="9">
        <f>F32*15%</f>
        <v>14.17984854</v>
      </c>
      <c r="G33" s="16"/>
    </row>
    <row r="34" spans="1:7" ht="12.75">
      <c r="A34" s="17" t="s">
        <v>20</v>
      </c>
      <c r="B34" s="3"/>
      <c r="C34" s="3"/>
      <c r="D34" s="4"/>
      <c r="E34" s="16"/>
      <c r="F34" s="18">
        <f>ROUND(F32+F33,2)</f>
        <v>108.71</v>
      </c>
      <c r="G34" s="16"/>
    </row>
    <row r="35" spans="1:7" ht="12.75">
      <c r="A35" s="19" t="str">
        <f>CONCATENATE("Say ₹ ",F14," + ",F34," x Cost Index")</f>
        <v>Say ₹ 346.36 + 108.71 x Cost Index</v>
      </c>
      <c r="B35" s="3"/>
      <c r="C35" s="3"/>
      <c r="D35" s="3"/>
      <c r="E35" s="3"/>
      <c r="F35" s="4"/>
      <c r="G35" s="20" t="s">
        <v>41</v>
      </c>
    </row>
    <row r="36" spans="1:7" ht="12.75">
      <c r="A36" s="1" t="s">
        <v>0</v>
      </c>
      <c r="B36" s="1" t="s">
        <v>1</v>
      </c>
      <c r="C36" s="2" t="s">
        <v>2</v>
      </c>
      <c r="D36" s="3"/>
      <c r="E36" s="4"/>
      <c r="F36" s="2" t="s">
        <v>3</v>
      </c>
      <c r="G36" s="4"/>
    </row>
    <row r="37" spans="1:7" ht="12.75">
      <c r="A37" s="5"/>
      <c r="B37" s="5"/>
      <c r="C37" s="6" t="s">
        <v>4</v>
      </c>
      <c r="D37" s="6" t="s">
        <v>5</v>
      </c>
      <c r="E37" s="6" t="s">
        <v>6</v>
      </c>
      <c r="F37" s="6" t="s">
        <v>7</v>
      </c>
      <c r="G37" s="6" t="s">
        <v>8</v>
      </c>
    </row>
    <row r="38" spans="1:7" ht="12.75">
      <c r="A38" s="7" t="s">
        <v>42</v>
      </c>
      <c r="B38" s="3"/>
      <c r="C38" s="3"/>
      <c r="D38" s="3"/>
      <c r="E38" s="3"/>
      <c r="F38" s="3"/>
      <c r="G38" s="4"/>
    </row>
    <row r="39" spans="1:7" ht="12.75">
      <c r="A39" s="8"/>
      <c r="B39" s="8" t="s">
        <v>10</v>
      </c>
      <c r="C39" s="8" t="s">
        <v>11</v>
      </c>
      <c r="D39" s="8" t="s">
        <v>12</v>
      </c>
      <c r="E39" s="9">
        <v>10</v>
      </c>
      <c r="F39" s="10"/>
      <c r="G39" s="4"/>
    </row>
    <row r="40" spans="1:7" ht="12.75">
      <c r="A40" s="8" t="s">
        <v>13</v>
      </c>
      <c r="B40" s="10" t="s">
        <v>14</v>
      </c>
      <c r="C40" s="3"/>
      <c r="D40" s="3"/>
      <c r="E40" s="3"/>
      <c r="F40" s="3"/>
      <c r="G40" s="4"/>
    </row>
    <row r="41" spans="1:7" ht="12.75">
      <c r="A41" s="11" t="s">
        <v>15</v>
      </c>
      <c r="B41" s="3"/>
      <c r="C41" s="3"/>
      <c r="D41" s="3"/>
      <c r="E41" s="3"/>
      <c r="F41" s="4"/>
      <c r="G41" s="12" t="s">
        <v>16</v>
      </c>
    </row>
    <row r="42" spans="1:7" ht="12.75">
      <c r="A42" s="13"/>
      <c r="B42" s="13" t="s">
        <v>43</v>
      </c>
      <c r="C42" s="10" t="s">
        <v>44</v>
      </c>
      <c r="D42" s="3"/>
      <c r="E42" s="4"/>
      <c r="F42" s="10"/>
      <c r="G42" s="4"/>
    </row>
    <row r="43" spans="1:7" ht="12.75">
      <c r="A43" s="5"/>
      <c r="B43" s="5"/>
      <c r="C43" s="8" t="s">
        <v>11</v>
      </c>
      <c r="D43" s="9">
        <v>10.50</v>
      </c>
      <c r="E43" s="14">
        <f t="array" ref="E43">IFERROR(INDEX(LMRRates,MATCH(B42,LMRCodes,0),),)</f>
        <v>123</v>
      </c>
      <c r="F43" s="9">
        <f>E43*D43</f>
        <v>1291.50</v>
      </c>
      <c r="G43" s="8" t="s">
        <v>19</v>
      </c>
    </row>
    <row r="44" spans="1:7" ht="12.75">
      <c r="A44" s="15" t="s">
        <v>20</v>
      </c>
      <c r="B44" s="3"/>
      <c r="C44" s="4"/>
      <c r="D44" s="9">
        <v>10</v>
      </c>
      <c r="E44" s="16" t="s">
        <v>11</v>
      </c>
      <c r="F44" s="9">
        <f>F43</f>
        <v>1291.50</v>
      </c>
      <c r="G44" s="8"/>
    </row>
    <row r="45" spans="1:7" ht="12.75">
      <c r="A45" s="15" t="s">
        <v>21</v>
      </c>
      <c r="B45" s="3"/>
      <c r="C45" s="4"/>
      <c r="D45" s="9">
        <v>1</v>
      </c>
      <c r="E45" s="16" t="s">
        <v>11</v>
      </c>
      <c r="F45" s="9">
        <f>F44/D44</f>
        <v>129.15</v>
      </c>
      <c r="G45" s="8"/>
    </row>
    <row r="46" spans="1:7" ht="12.75">
      <c r="A46" s="17" t="s">
        <v>22</v>
      </c>
      <c r="B46" s="3"/>
      <c r="C46" s="3"/>
      <c r="D46" s="4"/>
      <c r="E46" s="9"/>
      <c r="F46" s="9">
        <f>F45*1%</f>
        <v>1.2915000000000001</v>
      </c>
      <c r="G46" s="8"/>
    </row>
    <row r="47" spans="1:7" ht="12.75">
      <c r="A47" s="17" t="s">
        <v>20</v>
      </c>
      <c r="B47" s="3"/>
      <c r="C47" s="3"/>
      <c r="D47" s="4"/>
      <c r="E47" s="16"/>
      <c r="F47" s="9">
        <f>F45+F46</f>
        <v>130.44149999999999</v>
      </c>
      <c r="G47" s="8"/>
    </row>
    <row r="48" spans="1:7" ht="12.75">
      <c r="A48" s="17" t="s">
        <v>23</v>
      </c>
      <c r="B48" s="3"/>
      <c r="C48" s="3"/>
      <c r="D48" s="4"/>
      <c r="E48" s="9"/>
      <c r="F48" s="9">
        <f>F47*15%</f>
        <v>19.566224999999999</v>
      </c>
      <c r="G48" s="8"/>
    </row>
    <row r="49" spans="1:7" ht="12.75">
      <c r="A49" s="17" t="s">
        <v>20</v>
      </c>
      <c r="B49" s="3"/>
      <c r="C49" s="3"/>
      <c r="D49" s="4"/>
      <c r="E49" s="16"/>
      <c r="F49" s="18">
        <f>ROUND(F47+F48,2)</f>
        <v>150.01</v>
      </c>
      <c r="G49" s="8"/>
    </row>
    <row r="50" spans="1:7" ht="12.75">
      <c r="A50" s="11" t="s">
        <v>24</v>
      </c>
      <c r="B50" s="3"/>
      <c r="C50" s="3"/>
      <c r="D50" s="3"/>
      <c r="E50" s="3"/>
      <c r="F50" s="4"/>
      <c r="G50" s="12" t="s">
        <v>25</v>
      </c>
    </row>
    <row r="51" spans="1:7" ht="12.75">
      <c r="A51" s="13">
        <v>116</v>
      </c>
      <c r="B51" s="13"/>
      <c r="C51" s="10" t="s">
        <v>26</v>
      </c>
      <c r="D51" s="3"/>
      <c r="E51" s="4"/>
      <c r="F51" s="10"/>
      <c r="G51" s="4"/>
    </row>
    <row r="52" spans="1:7" ht="12.75">
      <c r="A52" s="5"/>
      <c r="B52" s="5"/>
      <c r="C52" s="8" t="s">
        <v>27</v>
      </c>
      <c r="D52" s="9">
        <v>0.32</v>
      </c>
      <c r="E52" s="9">
        <v>784</v>
      </c>
      <c r="F52" s="9">
        <f>E52*D52</f>
        <v>250.88</v>
      </c>
      <c r="G52" s="8" t="s">
        <v>28</v>
      </c>
    </row>
    <row r="53" spans="1:7" ht="12.75">
      <c r="A53" s="13">
        <v>114</v>
      </c>
      <c r="B53" s="13"/>
      <c r="C53" s="10" t="s">
        <v>29</v>
      </c>
      <c r="D53" s="3"/>
      <c r="E53" s="4"/>
      <c r="F53" s="10"/>
      <c r="G53" s="4"/>
    </row>
    <row r="54" spans="1:7" ht="12.75">
      <c r="A54" s="5"/>
      <c r="B54" s="5"/>
      <c r="C54" s="8" t="s">
        <v>27</v>
      </c>
      <c r="D54" s="9">
        <v>0.62</v>
      </c>
      <c r="E54" s="9">
        <v>645</v>
      </c>
      <c r="F54" s="9">
        <f>E54*D54</f>
        <v>399.90</v>
      </c>
      <c r="G54" s="8" t="s">
        <v>30</v>
      </c>
    </row>
    <row r="55" spans="1:7" ht="12.75">
      <c r="A55" s="13">
        <v>100</v>
      </c>
      <c r="B55" s="13"/>
      <c r="C55" s="10" t="s">
        <v>31</v>
      </c>
      <c r="D55" s="3"/>
      <c r="E55" s="4"/>
      <c r="F55" s="10"/>
      <c r="G55" s="4"/>
    </row>
    <row r="56" spans="1:7" ht="12.75">
      <c r="A56" s="5"/>
      <c r="B56" s="5"/>
      <c r="C56" s="8" t="s">
        <v>27</v>
      </c>
      <c r="D56" s="9">
        <v>0.13</v>
      </c>
      <c r="E56" s="9">
        <v>714</v>
      </c>
      <c r="F56" s="9">
        <f>E56*D56</f>
        <v>92.82</v>
      </c>
      <c r="G56" s="8" t="s">
        <v>32</v>
      </c>
    </row>
    <row r="57" spans="1:7" ht="12.75">
      <c r="A57" s="11" t="s">
        <v>33</v>
      </c>
      <c r="B57" s="3"/>
      <c r="C57" s="3"/>
      <c r="D57" s="3"/>
      <c r="E57" s="3"/>
      <c r="F57" s="4"/>
      <c r="G57" s="12" t="s">
        <v>25</v>
      </c>
    </row>
    <row r="58" spans="1:7" ht="12.75">
      <c r="A58" s="13">
        <v>9999</v>
      </c>
      <c r="B58" s="13"/>
      <c r="C58" s="10" t="s">
        <v>34</v>
      </c>
      <c r="D58" s="3"/>
      <c r="E58" s="4"/>
      <c r="F58" s="10"/>
      <c r="G58" s="4"/>
    </row>
    <row r="59" spans="1:7" ht="12.75">
      <c r="A59" s="5"/>
      <c r="B59" s="5"/>
      <c r="C59" s="8" t="s">
        <v>35</v>
      </c>
      <c r="D59" s="9">
        <v>22.53</v>
      </c>
      <c r="E59" s="9">
        <v>2.12</v>
      </c>
      <c r="F59" s="9">
        <f>E59*D59</f>
        <v>47.763599999999997</v>
      </c>
      <c r="G59" s="8" t="s">
        <v>36</v>
      </c>
    </row>
    <row r="60" spans="1:7" ht="12.75">
      <c r="A60" s="13">
        <v>9999</v>
      </c>
      <c r="B60" s="13"/>
      <c r="C60" s="10" t="s">
        <v>37</v>
      </c>
      <c r="D60" s="3"/>
      <c r="E60" s="4"/>
      <c r="F60" s="10"/>
      <c r="G60" s="4"/>
    </row>
    <row r="61" spans="1:7" ht="12.75">
      <c r="A61" s="5"/>
      <c r="B61" s="5"/>
      <c r="C61" s="8" t="s">
        <v>35</v>
      </c>
      <c r="D61" s="9">
        <v>10.27</v>
      </c>
      <c r="E61" s="9">
        <v>2.12</v>
      </c>
      <c r="F61" s="9">
        <f>E61*D61</f>
        <v>21.772400000000001</v>
      </c>
      <c r="G61" s="8" t="s">
        <v>38</v>
      </c>
    </row>
    <row r="62" spans="1:7" ht="12.75">
      <c r="A62" s="13">
        <v>9999</v>
      </c>
      <c r="B62" s="13"/>
      <c r="C62" s="10" t="s">
        <v>39</v>
      </c>
      <c r="D62" s="3"/>
      <c r="E62" s="4"/>
      <c r="F62" s="10"/>
      <c r="G62" s="4"/>
    </row>
    <row r="63" spans="1:7" ht="12.75">
      <c r="A63" s="5"/>
      <c r="B63" s="5"/>
      <c r="C63" s="8" t="s">
        <v>35</v>
      </c>
      <c r="D63" s="9">
        <v>30.98</v>
      </c>
      <c r="E63" s="9">
        <v>2.12</v>
      </c>
      <c r="F63" s="9">
        <f>E63*D63</f>
        <v>65.677599999999998</v>
      </c>
      <c r="G63" s="8" t="s">
        <v>40</v>
      </c>
    </row>
    <row r="64" spans="1:7" ht="12.75">
      <c r="A64" s="15" t="s">
        <v>20</v>
      </c>
      <c r="B64" s="3"/>
      <c r="C64" s="4"/>
      <c r="D64" s="9">
        <v>10</v>
      </c>
      <c r="E64" s="16" t="s">
        <v>11</v>
      </c>
      <c r="F64" s="9">
        <f>F52+F54+F56+F59+F61+F63</f>
        <v>878.81359999999995</v>
      </c>
      <c r="G64" s="16"/>
    </row>
    <row r="65" spans="1:7" ht="12.75">
      <c r="A65" s="15" t="s">
        <v>21</v>
      </c>
      <c r="B65" s="3"/>
      <c r="C65" s="4"/>
      <c r="D65" s="9">
        <v>1</v>
      </c>
      <c r="E65" s="16" t="s">
        <v>11</v>
      </c>
      <c r="F65" s="9">
        <f>F64/D64</f>
        <v>87.881360000000001</v>
      </c>
      <c r="G65" s="16"/>
    </row>
    <row r="66" spans="1:7" ht="12.75">
      <c r="A66" s="17" t="s">
        <v>22</v>
      </c>
      <c r="B66" s="3"/>
      <c r="C66" s="3"/>
      <c r="D66" s="4"/>
      <c r="E66" s="9"/>
      <c r="F66" s="9">
        <f>F65*1%</f>
        <v>0.87881359999999997</v>
      </c>
      <c r="G66" s="16"/>
    </row>
    <row r="67" spans="1:7" ht="12.75">
      <c r="A67" s="17" t="s">
        <v>20</v>
      </c>
      <c r="B67" s="3"/>
      <c r="C67" s="3"/>
      <c r="D67" s="4"/>
      <c r="E67" s="16"/>
      <c r="F67" s="9">
        <f>F65+F66</f>
        <v>88.760173600000002</v>
      </c>
      <c r="G67" s="16"/>
    </row>
    <row r="68" spans="1:7" ht="12.75">
      <c r="A68" s="17" t="s">
        <v>23</v>
      </c>
      <c r="B68" s="3"/>
      <c r="C68" s="3"/>
      <c r="D68" s="4"/>
      <c r="E68" s="9"/>
      <c r="F68" s="9">
        <f>F67*15%</f>
        <v>13.31402604</v>
      </c>
      <c r="G68" s="16"/>
    </row>
    <row r="69" spans="1:7" ht="12.75">
      <c r="A69" s="17" t="s">
        <v>20</v>
      </c>
      <c r="B69" s="3"/>
      <c r="C69" s="3"/>
      <c r="D69" s="4"/>
      <c r="E69" s="16"/>
      <c r="F69" s="18">
        <f>ROUND(F67+F68,2)</f>
        <v>102.07</v>
      </c>
      <c r="G69" s="16"/>
    </row>
    <row r="70" spans="1:7" ht="12.75">
      <c r="A70" s="19" t="str">
        <f>CONCATENATE("Say ₹ ",F49," + ",F69," x Cost Index")</f>
        <v>Say ₹ 150.01 + 102.07 x Cost Index</v>
      </c>
      <c r="B70" s="3"/>
      <c r="C70" s="3"/>
      <c r="D70" s="3"/>
      <c r="E70" s="3"/>
      <c r="F70" s="4"/>
      <c r="G70" s="20" t="s">
        <v>41</v>
      </c>
    </row>
  </sheetData>
  <mergeCells count="102">
    <mergeCell ref="C20:E20"/>
    <mergeCell ref="A22:F22"/>
    <mergeCell ref="A23:A24"/>
    <mergeCell ref="B23:B24"/>
    <mergeCell ref="C23:E23"/>
    <mergeCell ref="F23:G23"/>
    <mergeCell ref="A25:A26"/>
    <mergeCell ref="B25:B26"/>
    <mergeCell ref="C25:E25"/>
    <mergeCell ref="A27:A28"/>
    <mergeCell ref="B27:B28"/>
    <mergeCell ref="C27:E27"/>
    <mergeCell ref="A29:C29"/>
    <mergeCell ref="A30:C30"/>
    <mergeCell ref="C36:E36"/>
    <mergeCell ref="F36:G36"/>
    <mergeCell ref="A31:D31"/>
    <mergeCell ref="A32:D32"/>
    <mergeCell ref="A33:D33"/>
    <mergeCell ref="A34:D34"/>
    <mergeCell ref="A35:F35"/>
    <mergeCell ref="A36:A37"/>
    <mergeCell ref="B36:B37"/>
    <mergeCell ref="A38:G38"/>
    <mergeCell ref="F39:G39"/>
    <mergeCell ref="B40:G40"/>
    <mergeCell ref="A41:F41"/>
    <mergeCell ref="A42:A43"/>
    <mergeCell ref="C42:E42"/>
    <mergeCell ref="F42:G42"/>
    <mergeCell ref="B42:B43"/>
    <mergeCell ref="A44:C44"/>
    <mergeCell ref="A45:C45"/>
    <mergeCell ref="A46:D46"/>
    <mergeCell ref="A47:D47"/>
    <mergeCell ref="A48:D48"/>
    <mergeCell ref="A49:D49"/>
    <mergeCell ref="C53:E53"/>
    <mergeCell ref="F53:G53"/>
    <mergeCell ref="A50:F50"/>
    <mergeCell ref="A51:A52"/>
    <mergeCell ref="B51:B52"/>
    <mergeCell ref="C51:E51"/>
    <mergeCell ref="F51:G51"/>
    <mergeCell ref="A53:A54"/>
    <mergeCell ref="B53:B54"/>
    <mergeCell ref="C58:E58"/>
    <mergeCell ref="F58:G58"/>
    <mergeCell ref="A55:A56"/>
    <mergeCell ref="B55:B56"/>
    <mergeCell ref="C55:E55"/>
    <mergeCell ref="F55:G55"/>
    <mergeCell ref="A57:F57"/>
    <mergeCell ref="A58:A59"/>
    <mergeCell ref="B58:B59"/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A18:A19"/>
    <mergeCell ref="B18:B19"/>
    <mergeCell ref="C18:E18"/>
    <mergeCell ref="F18:G18"/>
    <mergeCell ref="A20:A21"/>
    <mergeCell ref="B20:B21"/>
    <mergeCell ref="F20:G20"/>
    <mergeCell ref="F25:G25"/>
    <mergeCell ref="F27:G27"/>
    <mergeCell ref="B62:B63"/>
    <mergeCell ref="A64:C64"/>
    <mergeCell ref="A65:C65"/>
    <mergeCell ref="A66:D66"/>
    <mergeCell ref="A67:D67"/>
    <mergeCell ref="A68:D68"/>
    <mergeCell ref="A69:D69"/>
    <mergeCell ref="A70:F70"/>
    <mergeCell ref="A60:A61"/>
    <mergeCell ref="B60:B61"/>
    <mergeCell ref="C60:E60"/>
    <mergeCell ref="F60:G60"/>
    <mergeCell ref="A62:A63"/>
    <mergeCell ref="C62:E62"/>
    <mergeCell ref="F62:G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