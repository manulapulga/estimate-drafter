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<sst xmlns="http://schemas.openxmlformats.org/spreadsheetml/2006/main" count="147" uniqueCount="48">
  <si>
    <t>Panel Board</t>
  </si>
  <si>
    <t>(i)</t>
  </si>
  <si>
    <t>Installation of Single Phase Panel board where new electricity connection is required (Excluding Motor Starter)</t>
  </si>
  <si>
    <t>MR</t>
  </si>
  <si>
    <t>75x75 cm Metal Box</t>
  </si>
  <si>
    <t>each</t>
  </si>
  <si>
    <t>/each</t>
  </si>
  <si>
    <t>MR1428 (PRICE Electrical)</t>
  </si>
  <si>
    <t>32A, 4 pole On-Load Change Over Switches In Open Execution (ICDP)</t>
  </si>
  <si>
    <t>MR1717 (PRICE Electrical)</t>
  </si>
  <si>
    <t>CT for 3P and 4P circuit breakers for neutral overload and ground fault protection for 630 - 1600 A, ACBs. (ELCB)</t>
  </si>
  <si>
    <t>MR1459 (PRICE Electrical)</t>
  </si>
  <si>
    <t>32, HRC Fuse Base with HRC Fuse link</t>
  </si>
  <si>
    <t>MR1467 (PRICE Electrical)</t>
  </si>
  <si>
    <t>32 A, 2 Way neutral links mounted on DMC/SMC base</t>
  </si>
  <si>
    <t>MR1638 (PRICE Electrical)</t>
  </si>
  <si>
    <t>3 Pole Capacitor duty contactors for switching capacitor banks 4 - 7 kVAR with AC Coil</t>
  </si>
  <si>
    <t>0</t>
  </si>
  <si>
    <t>Nut &amp; Bolt</t>
  </si>
  <si>
    <t>LS</t>
  </si>
  <si>
    <t>Metal Box for Meter</t>
  </si>
  <si>
    <t>Sub Total</t>
  </si>
  <si>
    <t>Water charges/Cartage 1%</t>
  </si>
  <si>
    <t>Total</t>
  </si>
  <si>
    <t>CPOH 15%</t>
  </si>
  <si>
    <t xml:space="preserve">Total    </t>
  </si>
  <si>
    <t>2826 (DSR 2022 Electrical)</t>
  </si>
  <si>
    <t>40 mm dia. G.I. pipe (medium class) for earthing</t>
  </si>
  <si>
    <t>meter</t>
  </si>
  <si>
    <t>/meter</t>
  </si>
  <si>
    <t>2838 (DSR 2022 Electrical)</t>
  </si>
  <si>
    <t>40 mm dia. G.I. bend (medium class) for earthing</t>
  </si>
  <si>
    <t>2902 (DSR 2022 Electrical)</t>
  </si>
  <si>
    <t>25 mm X 5 mm copper tape (1.15 kg/mtr) for earthing</t>
  </si>
  <si>
    <t>kg</t>
  </si>
  <si>
    <t>/kg</t>
  </si>
  <si>
    <t>1102 (DSR 2022 Electrical)</t>
  </si>
  <si>
    <t>2.5 sq. mm ISI marked, FRLS PVC insulated, single core copper conductor cable</t>
  </si>
  <si>
    <t>0116</t>
  </si>
  <si>
    <t>Fitter (grade I)</t>
  </si>
  <si>
    <t>day</t>
  </si>
  <si>
    <t>/day</t>
  </si>
  <si>
    <t>0114</t>
  </si>
  <si>
    <t>Beldar</t>
  </si>
  <si>
    <t>1001  (DSR 2022 Electrical)</t>
  </si>
  <si>
    <t>Wireman</t>
  </si>
  <si>
    <t>(ii)</t>
  </si>
  <si>
    <t>Installation of Three Phase Panel board where new electricity connection is required (Excluding Motor Starter)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</si>
</sst>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5">
    <font>
      <sz val="10"/>
      <color theme="1"/>
      <name val="Arial"/>
      <family val="2"/>
    </font>
    <font>
      <b/>
      <sz val="13"/>
      <color theme="1"/>
      <name val="Cambria"/>
      <family val="2"/>
    </font>
    <font>
      <sz val="13"/>
      <color rgb="FF000000"/>
      <name val="Cambria"/>
      <family val="2"/>
    </font>
    <font>
      <sz val="13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>
      <alignment/>
    </xf>
    <xf numFmtId="0" fontId="4" fillId="0" borderId="3" xfId="0" applyFont="1" applyBorder="1">
      <alignment/>
    </xf>
    <xf numFmtId="49" fontId="1" fillId="3" borderId="4" xfId="0" applyNumberFormat="1" applyFont="1" applyBorder="1" applyAlignment="1">
      <alignment horizontal="center" vertical="center" wrapText="1"/>
    </xf>
    <xf numFmtId="0" fontId="1" fillId="3" borderId="1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4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A5B81C-5037-4482-B84E-AE901EC2BAA6}">
  <dimension ref="A1:G57"/>
  <sheetViews>
    <sheetView tabSelected="1" workbookViewId="0" topLeftCell="A1"/>
  </sheetViews>
  <sheetFormatPr defaultRowHeight="12.75"/>
  <sheetData>
    <row r="1" spans="1:7" ht="12.75">
      <c r="A1" s="1" t="s">
        <v>0</v>
      </c>
      <c r="B1" s="2"/>
      <c r="C1" s="2"/>
      <c r="D1" s="2"/>
      <c r="E1" s="2"/>
      <c r="F1" s="2"/>
      <c r="G1" s="3"/>
    </row>
    <row r="2" spans="1:7" ht="12.75">
      <c r="A2" s="4" t="s">
        <v>1</v>
      </c>
      <c r="B2" s="5" t="s">
        <v>2</v>
      </c>
      <c r="C2" s="2"/>
      <c r="D2" s="2"/>
      <c r="E2" s="2"/>
      <c r="F2" s="2"/>
      <c r="G2" s="3"/>
    </row>
    <row r="3" spans="1:7" ht="12.75">
      <c r="A3" s="6" t="s">
        <v>3</v>
      </c>
      <c r="B3" s="7" t="s">
        <v>4</v>
      </c>
      <c r="C3" s="8">
        <v>1</v>
      </c>
      <c r="D3" s="8" t="s">
        <v>5</v>
      </c>
      <c r="E3" s="9">
        <v>1620</v>
      </c>
      <c r="F3" s="8" t="s">
        <v>6</v>
      </c>
      <c r="G3" s="10">
        <f>C3*E3</f>
        <v>1620</v>
      </c>
    </row>
    <row r="4" spans="1:7" ht="12.75">
      <c r="A4" s="6" t="s">
        <v>7</v>
      </c>
      <c r="B4" s="7" t="s">
        <v>8</v>
      </c>
      <c r="C4" s="8">
        <v>1</v>
      </c>
      <c r="D4" s="8" t="s">
        <v>5</v>
      </c>
      <c r="E4" s="9">
        <v>1355</v>
      </c>
      <c r="F4" s="8" t="s">
        <v>6</v>
      </c>
      <c r="G4" s="10">
        <f>C4*E4</f>
        <v>1355</v>
      </c>
    </row>
    <row r="5" spans="1:7" ht="12.75">
      <c r="A5" s="6" t="s">
        <v>9</v>
      </c>
      <c r="B5" s="7" t="s">
        <v>10</v>
      </c>
      <c r="C5" s="8">
        <v>1</v>
      </c>
      <c r="D5" s="8" t="s">
        <v>5</v>
      </c>
      <c r="E5" s="9">
        <v>2196</v>
      </c>
      <c r="F5" s="8" t="s">
        <v>6</v>
      </c>
      <c r="G5" s="10">
        <f>C5*E5</f>
        <v>2196</v>
      </c>
    </row>
    <row r="6" spans="1:7" ht="12.75">
      <c r="A6" s="6" t="s">
        <v>11</v>
      </c>
      <c r="B6" s="7" t="s">
        <v>12</v>
      </c>
      <c r="C6" s="8">
        <v>1</v>
      </c>
      <c r="D6" s="8" t="s">
        <v>5</v>
      </c>
      <c r="E6" s="8">
        <v>105</v>
      </c>
      <c r="F6" s="8" t="s">
        <v>6</v>
      </c>
      <c r="G6" s="10">
        <f>C6*E6</f>
        <v>105</v>
      </c>
    </row>
    <row r="7" spans="1:7" ht="12.75">
      <c r="A7" s="6" t="s">
        <v>13</v>
      </c>
      <c r="B7" s="7" t="s">
        <v>14</v>
      </c>
      <c r="C7" s="8">
        <v>1</v>
      </c>
      <c r="D7" s="8" t="s">
        <v>5</v>
      </c>
      <c r="E7" s="8">
        <v>84</v>
      </c>
      <c r="F7" s="8" t="s">
        <v>6</v>
      </c>
      <c r="G7" s="10">
        <f>C7*E7</f>
        <v>84</v>
      </c>
    </row>
    <row r="8" spans="1:7" ht="12.75">
      <c r="A8" s="6" t="s">
        <v>15</v>
      </c>
      <c r="B8" s="7" t="s">
        <v>16</v>
      </c>
      <c r="C8" s="8">
        <v>1</v>
      </c>
      <c r="D8" s="8" t="s">
        <v>5</v>
      </c>
      <c r="E8" s="8">
        <v>1016</v>
      </c>
      <c r="F8" s="8" t="s">
        <v>6</v>
      </c>
      <c r="G8" s="10">
        <f>C8*E8</f>
        <v>1016</v>
      </c>
    </row>
    <row r="9" spans="1:7" ht="12.75">
      <c r="A9" s="6" t="s">
        <v>17</v>
      </c>
      <c r="B9" s="7" t="s">
        <v>18</v>
      </c>
      <c r="C9" s="8">
        <v>1</v>
      </c>
      <c r="D9" s="8" t="s">
        <v>19</v>
      </c>
      <c r="E9" s="8">
        <v>100</v>
      </c>
      <c r="F9" s="8" t="s">
        <v>19</v>
      </c>
      <c r="G9" s="10">
        <f>C9*E9</f>
        <v>100</v>
      </c>
    </row>
    <row r="10" spans="1:7" ht="12.75">
      <c r="A10" s="6" t="s">
        <v>17</v>
      </c>
      <c r="B10" s="7" t="s">
        <v>20</v>
      </c>
      <c r="C10" s="8">
        <v>1</v>
      </c>
      <c r="D10" s="8" t="s">
        <v>5</v>
      </c>
      <c r="E10" s="8">
        <v>540</v>
      </c>
      <c r="F10" s="8" t="s">
        <v>6</v>
      </c>
      <c r="G10" s="10">
        <f>C10*E10</f>
        <v>540</v>
      </c>
    </row>
    <row r="11" spans="1:7" ht="12.75">
      <c r="A11" s="6"/>
      <c r="B11" s="7" t="s">
        <v>21</v>
      </c>
      <c r="C11" s="8"/>
      <c r="D11" s="8"/>
      <c r="E11" s="8"/>
      <c r="F11" s="8"/>
      <c r="G11" s="10">
        <f>SUM(G3:G10)</f>
        <v>7016</v>
      </c>
    </row>
    <row r="12" spans="1:7" ht="12.75">
      <c r="A12" s="6"/>
      <c r="B12" s="7" t="s">
        <v>22</v>
      </c>
      <c r="C12" s="8"/>
      <c r="D12" s="8"/>
      <c r="E12" s="8"/>
      <c r="F12" s="8"/>
      <c r="G12" s="10">
        <f>G11*1%</f>
        <v>70.16</v>
      </c>
    </row>
    <row r="13" spans="1:7" ht="12.75">
      <c r="A13" s="6"/>
      <c r="B13" s="7" t="s">
        <v>23</v>
      </c>
      <c r="C13" s="8"/>
      <c r="D13" s="8"/>
      <c r="E13" s="8"/>
      <c r="F13" s="8"/>
      <c r="G13" s="10">
        <f>SUM(G11:G12)</f>
        <v>7086.16</v>
      </c>
    </row>
    <row r="14" spans="1:7" ht="12.75">
      <c r="A14" s="6"/>
      <c r="B14" s="7" t="s">
        <v>24</v>
      </c>
      <c r="C14" s="8"/>
      <c r="D14" s="8"/>
      <c r="E14" s="8"/>
      <c r="F14" s="8"/>
      <c r="G14" s="10">
        <f>G13*15%</f>
        <v>1062.924</v>
      </c>
    </row>
    <row r="15" spans="1:7" ht="12.75">
      <c r="A15" s="6"/>
      <c r="B15" s="11" t="s">
        <v>25</v>
      </c>
      <c r="C15" s="8"/>
      <c r="D15" s="8"/>
      <c r="E15" s="8"/>
      <c r="F15" s="8"/>
      <c r="G15" s="12">
        <f>ROUND(SUM(G13:G14),2)</f>
        <v>8149.08</v>
      </c>
    </row>
    <row r="16" spans="1:7" ht="12.75">
      <c r="A16" s="6" t="s">
        <v>26</v>
      </c>
      <c r="B16" s="13" t="s">
        <v>27</v>
      </c>
      <c r="C16" s="8">
        <v>1</v>
      </c>
      <c r="D16" s="8" t="s">
        <v>28</v>
      </c>
      <c r="E16" s="14">
        <v>383</v>
      </c>
      <c r="F16" s="8" t="s">
        <v>29</v>
      </c>
      <c r="G16" s="10">
        <f>C16*E16</f>
        <v>383</v>
      </c>
    </row>
    <row r="17" spans="1:7" ht="12.75">
      <c r="A17" s="6" t="s">
        <v>30</v>
      </c>
      <c r="B17" s="13" t="s">
        <v>31</v>
      </c>
      <c r="C17" s="8">
        <v>1</v>
      </c>
      <c r="D17" s="8" t="s">
        <v>5</v>
      </c>
      <c r="E17" s="14">
        <v>61</v>
      </c>
      <c r="F17" s="8" t="s">
        <v>6</v>
      </c>
      <c r="G17" s="10">
        <f>C17*E17</f>
        <v>61</v>
      </c>
    </row>
    <row r="18" spans="1:7" ht="12.75">
      <c r="A18" s="6" t="s">
        <v>32</v>
      </c>
      <c r="B18" s="7" t="s">
        <v>33</v>
      </c>
      <c r="C18" s="8">
        <v>1.15</v>
      </c>
      <c r="D18" s="8" t="s">
        <v>34</v>
      </c>
      <c r="E18" s="14">
        <v>612</v>
      </c>
      <c r="F18" s="8" t="s">
        <v>35</v>
      </c>
      <c r="G18" s="10">
        <f>C18*E18</f>
        <v>703.80</v>
      </c>
    </row>
    <row r="19" spans="1:7" ht="12.75">
      <c r="A19" s="6" t="s">
        <v>36</v>
      </c>
      <c r="B19" s="7" t="s">
        <v>37</v>
      </c>
      <c r="C19" s="8">
        <v>10</v>
      </c>
      <c r="D19" s="8" t="s">
        <v>28</v>
      </c>
      <c r="E19" s="14">
        <v>28</v>
      </c>
      <c r="F19" s="8" t="s">
        <v>29</v>
      </c>
      <c r="G19" s="10">
        <f>C19*E19</f>
        <v>280</v>
      </c>
    </row>
    <row r="20" spans="1:7" ht="12.75">
      <c r="A20" s="6" t="s">
        <v>38</v>
      </c>
      <c r="B20" s="7" t="s">
        <v>39</v>
      </c>
      <c r="C20" s="8">
        <v>1</v>
      </c>
      <c r="D20" s="8" t="s">
        <v>40</v>
      </c>
      <c r="E20" s="8">
        <v>784</v>
      </c>
      <c r="F20" s="8" t="s">
        <v>41</v>
      </c>
      <c r="G20" s="10">
        <f>C20*E20</f>
        <v>784</v>
      </c>
    </row>
    <row r="21" spans="1:7" ht="12.75">
      <c r="A21" s="6" t="s">
        <v>42</v>
      </c>
      <c r="B21" s="7" t="s">
        <v>43</v>
      </c>
      <c r="C21" s="8">
        <v>1</v>
      </c>
      <c r="D21" s="8" t="s">
        <v>40</v>
      </c>
      <c r="E21" s="8">
        <v>645</v>
      </c>
      <c r="F21" s="8" t="s">
        <v>41</v>
      </c>
      <c r="G21" s="10">
        <f>C21*E21</f>
        <v>645</v>
      </c>
    </row>
    <row r="22" spans="1:7" ht="12.75">
      <c r="A22" s="15"/>
      <c r="B22" s="7" t="s">
        <v>21</v>
      </c>
      <c r="C22" s="8"/>
      <c r="D22" s="8"/>
      <c r="E22" s="8"/>
      <c r="F22" s="8"/>
      <c r="G22" s="10">
        <f>SUM(G16:G21)</f>
        <v>2856.80</v>
      </c>
    </row>
    <row r="23" spans="1:7" ht="12.75">
      <c r="A23" s="15"/>
      <c r="B23" s="7" t="s">
        <v>22</v>
      </c>
      <c r="C23" s="8"/>
      <c r="D23" s="8"/>
      <c r="E23" s="8"/>
      <c r="F23" s="8"/>
      <c r="G23" s="10">
        <f>G22*0.01</f>
        <v>28.568000000000001</v>
      </c>
    </row>
    <row r="24" spans="1:7" ht="12.75">
      <c r="A24" s="15"/>
      <c r="B24" s="7" t="s">
        <v>23</v>
      </c>
      <c r="C24" s="8"/>
      <c r="D24" s="8"/>
      <c r="E24" s="8"/>
      <c r="F24" s="8"/>
      <c r="G24" s="10">
        <f>SUM(G22:G23)</f>
        <v>2885.3679999999999</v>
      </c>
    </row>
    <row r="25" spans="1:7" ht="12.75">
      <c r="A25" s="6" t="s">
        <v>44</v>
      </c>
      <c r="B25" s="7" t="s">
        <v>45</v>
      </c>
      <c r="C25" s="8">
        <v>1</v>
      </c>
      <c r="D25" s="8" t="s">
        <v>40</v>
      </c>
      <c r="E25" s="8">
        <v>806</v>
      </c>
      <c r="F25" s="8" t="s">
        <v>41</v>
      </c>
      <c r="G25" s="10">
        <f>C25*E25</f>
        <v>806</v>
      </c>
    </row>
    <row r="26" spans="1:7" ht="12.75">
      <c r="A26" s="15"/>
      <c r="B26" s="7" t="s">
        <v>23</v>
      </c>
      <c r="C26" s="8"/>
      <c r="D26" s="8"/>
      <c r="E26" s="8"/>
      <c r="F26" s="8"/>
      <c r="G26" s="10">
        <f>SUM(G24:G25)</f>
        <v>3691.3679999999999</v>
      </c>
    </row>
    <row r="27" spans="1:7" ht="12.75">
      <c r="A27" s="15"/>
      <c r="B27" s="7" t="s">
        <v>24</v>
      </c>
      <c r="C27" s="8"/>
      <c r="D27" s="8"/>
      <c r="E27" s="8"/>
      <c r="F27" s="8"/>
      <c r="G27" s="10">
        <f>G26*15%</f>
        <v>553.70519999999999</v>
      </c>
    </row>
    <row r="28" spans="1:7" ht="12.75">
      <c r="A28" s="15"/>
      <c r="B28" s="11" t="s">
        <v>25</v>
      </c>
      <c r="C28" s="8"/>
      <c r="D28" s="8"/>
      <c r="E28" s="8"/>
      <c r="F28" s="8"/>
      <c r="G28" s="12">
        <f>ROUND(SUM(G26:G27),2)</f>
        <v>4245.07</v>
      </c>
    </row>
    <row r="29" spans="1:7" ht="12.75">
      <c r="A29" s="16" t="str">
        <f>CONCATENATE("Say ₹ ",G15," + ",G28," x Cost Index")</f>
        <v>Say ₹ 8149.08 + 4245.07 x Cost Index</v>
      </c>
      <c r="B29" s="2"/>
      <c r="C29" s="2"/>
      <c r="D29" s="2"/>
      <c r="E29" s="2"/>
      <c r="F29" s="2"/>
      <c r="G29" s="3"/>
    </row>
    <row r="30" spans="1:7" ht="12.75">
      <c r="A30" s="4" t="s">
        <v>46</v>
      </c>
      <c r="B30" s="5" t="s">
        <v>47</v>
      </c>
      <c r="C30" s="2"/>
      <c r="D30" s="2"/>
      <c r="E30" s="2"/>
      <c r="F30" s="2"/>
      <c r="G30" s="3"/>
    </row>
    <row r="31" spans="1:7" ht="12.75">
      <c r="A31" s="6" t="s">
        <v>17</v>
      </c>
      <c r="B31" s="7" t="s">
        <v>4</v>
      </c>
      <c r="C31" s="8">
        <v>1</v>
      </c>
      <c r="D31" s="8" t="s">
        <v>5</v>
      </c>
      <c r="E31" s="9">
        <v>1620</v>
      </c>
      <c r="F31" s="8" t="s">
        <v>6</v>
      </c>
      <c r="G31" s="10">
        <f>C31*E31</f>
        <v>1620</v>
      </c>
    </row>
    <row r="32" spans="1:7" ht="12.75">
      <c r="A32" s="6" t="s">
        <v>7</v>
      </c>
      <c r="B32" s="7" t="s">
        <v>8</v>
      </c>
      <c r="C32" s="8">
        <v>1</v>
      </c>
      <c r="D32" s="8" t="s">
        <v>5</v>
      </c>
      <c r="E32" s="9">
        <v>1355</v>
      </c>
      <c r="F32" s="8" t="s">
        <v>6</v>
      </c>
      <c r="G32" s="10">
        <f>C32*E32</f>
        <v>1355</v>
      </c>
    </row>
    <row r="33" spans="1:7" ht="12.75">
      <c r="A33" s="6" t="s">
        <v>9</v>
      </c>
      <c r="B33" s="7" t="s">
        <v>10</v>
      </c>
      <c r="C33" s="8">
        <v>1</v>
      </c>
      <c r="D33" s="8" t="s">
        <v>5</v>
      </c>
      <c r="E33" s="9">
        <v>2196</v>
      </c>
      <c r="F33" s="8" t="s">
        <v>6</v>
      </c>
      <c r="G33" s="10">
        <f>C33*E33</f>
        <v>2196</v>
      </c>
    </row>
    <row r="34" spans="1:7" ht="12.75">
      <c r="A34" s="6" t="s">
        <v>11</v>
      </c>
      <c r="B34" s="7" t="s">
        <v>12</v>
      </c>
      <c r="C34" s="8">
        <v>3</v>
      </c>
      <c r="D34" s="8" t="s">
        <v>5</v>
      </c>
      <c r="E34" s="8">
        <v>105</v>
      </c>
      <c r="F34" s="8" t="s">
        <v>6</v>
      </c>
      <c r="G34" s="10">
        <f>C34*E34</f>
        <v>315</v>
      </c>
    </row>
    <row r="35" spans="1:7" ht="12.75">
      <c r="A35" s="6" t="s">
        <v>13</v>
      </c>
      <c r="B35" s="7" t="s">
        <v>14</v>
      </c>
      <c r="C35" s="8">
        <v>1</v>
      </c>
      <c r="D35" s="8" t="s">
        <v>5</v>
      </c>
      <c r="E35" s="8">
        <v>84</v>
      </c>
      <c r="F35" s="8" t="s">
        <v>6</v>
      </c>
      <c r="G35" s="10">
        <f>C35*E35</f>
        <v>84</v>
      </c>
    </row>
    <row r="36" spans="1:7" ht="12.75">
      <c r="A36" s="6" t="s">
        <v>15</v>
      </c>
      <c r="B36" s="7" t="s">
        <v>16</v>
      </c>
      <c r="C36" s="8">
        <v>1</v>
      </c>
      <c r="D36" s="8" t="s">
        <v>5</v>
      </c>
      <c r="E36" s="8">
        <v>1016</v>
      </c>
      <c r="F36" s="8" t="s">
        <v>6</v>
      </c>
      <c r="G36" s="10">
        <f>C36*E36</f>
        <v>1016</v>
      </c>
    </row>
    <row r="37" spans="1:7" ht="12.75">
      <c r="A37" s="6" t="s">
        <v>17</v>
      </c>
      <c r="B37" s="7" t="s">
        <v>18</v>
      </c>
      <c r="C37" s="8">
        <v>1</v>
      </c>
      <c r="D37" s="8" t="s">
        <v>19</v>
      </c>
      <c r="E37" s="8">
        <v>100</v>
      </c>
      <c r="F37" s="8" t="s">
        <v>19</v>
      </c>
      <c r="G37" s="10">
        <f>C37*E37</f>
        <v>100</v>
      </c>
    </row>
    <row r="38" spans="1:7" ht="12.75">
      <c r="A38" s="6" t="s">
        <v>17</v>
      </c>
      <c r="B38" s="7" t="s">
        <v>20</v>
      </c>
      <c r="C38" s="8">
        <v>1</v>
      </c>
      <c r="D38" s="8" t="s">
        <v>5</v>
      </c>
      <c r="E38" s="8">
        <v>540</v>
      </c>
      <c r="F38" s="8" t="s">
        <v>6</v>
      </c>
      <c r="G38" s="10">
        <f>C38*E38</f>
        <v>540</v>
      </c>
    </row>
    <row r="39" spans="1:7" ht="12.75">
      <c r="A39" s="6"/>
      <c r="B39" s="7" t="s">
        <v>21</v>
      </c>
      <c r="C39" s="8"/>
      <c r="D39" s="8"/>
      <c r="E39" s="8"/>
      <c r="F39" s="8"/>
      <c r="G39" s="10">
        <f>SUM(G31:G38)</f>
        <v>7226</v>
      </c>
    </row>
    <row r="40" spans="1:7" ht="12.75">
      <c r="A40" s="6"/>
      <c r="B40" s="7" t="s">
        <v>22</v>
      </c>
      <c r="C40" s="8"/>
      <c r="D40" s="8"/>
      <c r="E40" s="8"/>
      <c r="F40" s="8"/>
      <c r="G40" s="10">
        <f>G39*1%</f>
        <v>72.26</v>
      </c>
    </row>
    <row r="41" spans="1:7" ht="12.75">
      <c r="A41" s="6"/>
      <c r="B41" s="7" t="s">
        <v>23</v>
      </c>
      <c r="C41" s="8"/>
      <c r="D41" s="8"/>
      <c r="E41" s="8"/>
      <c r="F41" s="8"/>
      <c r="G41" s="10">
        <f>SUM(G39:G40)</f>
        <v>7298.26</v>
      </c>
    </row>
    <row r="42" spans="1:7" ht="12.75">
      <c r="A42" s="6"/>
      <c r="B42" s="7" t="s">
        <v>24</v>
      </c>
      <c r="C42" s="8"/>
      <c r="D42" s="8"/>
      <c r="E42" s="8"/>
      <c r="F42" s="8"/>
      <c r="G42" s="10">
        <f>G41*15%</f>
        <v>1094.739</v>
      </c>
    </row>
    <row r="43" spans="1:7" ht="12.75">
      <c r="A43" s="6"/>
      <c r="B43" s="11" t="s">
        <v>25</v>
      </c>
      <c r="C43" s="8"/>
      <c r="D43" s="8"/>
      <c r="E43" s="8"/>
      <c r="F43" s="8"/>
      <c r="G43" s="12">
        <f>ROUND(SUM(G41:G42),2)</f>
        <v>8393</v>
      </c>
    </row>
    <row r="44" spans="1:7" ht="12.75">
      <c r="A44" s="6" t="s">
        <v>26</v>
      </c>
      <c r="B44" s="13" t="s">
        <v>27</v>
      </c>
      <c r="C44" s="8">
        <v>1</v>
      </c>
      <c r="D44" s="8" t="s">
        <v>28</v>
      </c>
      <c r="E44" s="14">
        <v>383</v>
      </c>
      <c r="F44" s="8" t="s">
        <v>29</v>
      </c>
      <c r="G44" s="10">
        <f>C44*E44</f>
        <v>383</v>
      </c>
    </row>
    <row r="45" spans="1:7" ht="12.75">
      <c r="A45" s="6" t="s">
        <v>30</v>
      </c>
      <c r="B45" s="13" t="s">
        <v>31</v>
      </c>
      <c r="C45" s="8">
        <v>1</v>
      </c>
      <c r="D45" s="8" t="s">
        <v>5</v>
      </c>
      <c r="E45" s="14">
        <v>61</v>
      </c>
      <c r="F45" s="8" t="s">
        <v>6</v>
      </c>
      <c r="G45" s="10">
        <f>C45*E45</f>
        <v>61</v>
      </c>
    </row>
    <row r="46" spans="1:7" ht="12.75">
      <c r="A46" s="6" t="s">
        <v>32</v>
      </c>
      <c r="B46" s="7" t="s">
        <v>33</v>
      </c>
      <c r="C46" s="8">
        <v>1.15</v>
      </c>
      <c r="D46" s="8" t="s">
        <v>34</v>
      </c>
      <c r="E46" s="14">
        <v>612</v>
      </c>
      <c r="F46" s="8" t="s">
        <v>35</v>
      </c>
      <c r="G46" s="10">
        <f>C46*E46</f>
        <v>703.80</v>
      </c>
    </row>
    <row r="47" spans="1:7" ht="12.75">
      <c r="A47" s="6" t="s">
        <v>36</v>
      </c>
      <c r="B47" s="7" t="s">
        <v>37</v>
      </c>
      <c r="C47" s="8">
        <v>15</v>
      </c>
      <c r="D47" s="8" t="s">
        <v>28</v>
      </c>
      <c r="E47" s="14">
        <v>28</v>
      </c>
      <c r="F47" s="8" t="s">
        <v>29</v>
      </c>
      <c r="G47" s="10">
        <f>C47*E47</f>
        <v>420</v>
      </c>
    </row>
    <row r="48" spans="1:7" ht="12.75">
      <c r="A48" s="6" t="s">
        <v>38</v>
      </c>
      <c r="B48" s="7" t="s">
        <v>39</v>
      </c>
      <c r="C48" s="8">
        <v>2</v>
      </c>
      <c r="D48" s="8" t="s">
        <v>40</v>
      </c>
      <c r="E48" s="8">
        <v>784</v>
      </c>
      <c r="F48" s="8" t="s">
        <v>41</v>
      </c>
      <c r="G48" s="10">
        <f>C48*E48</f>
        <v>1568</v>
      </c>
    </row>
    <row r="49" spans="1:7" ht="12.75">
      <c r="A49" s="6" t="s">
        <v>42</v>
      </c>
      <c r="B49" s="7" t="s">
        <v>43</v>
      </c>
      <c r="C49" s="8">
        <v>2</v>
      </c>
      <c r="D49" s="8" t="s">
        <v>40</v>
      </c>
      <c r="E49" s="8">
        <v>645</v>
      </c>
      <c r="F49" s="8" t="s">
        <v>41</v>
      </c>
      <c r="G49" s="10">
        <f>C49*E49</f>
        <v>1290</v>
      </c>
    </row>
    <row r="50" spans="1:7" ht="12.75">
      <c r="A50" s="15"/>
      <c r="B50" s="7" t="s">
        <v>21</v>
      </c>
      <c r="C50" s="8"/>
      <c r="D50" s="8"/>
      <c r="E50" s="8"/>
      <c r="F50" s="8"/>
      <c r="G50" s="10">
        <f>SUM(G44:G49)</f>
        <v>4425.80</v>
      </c>
    </row>
    <row r="51" spans="1:7" ht="12.75">
      <c r="A51" s="15"/>
      <c r="B51" s="7" t="s">
        <v>22</v>
      </c>
      <c r="C51" s="8"/>
      <c r="D51" s="8"/>
      <c r="E51" s="8"/>
      <c r="F51" s="8"/>
      <c r="G51" s="10">
        <f>G50*0.01</f>
        <v>44.258000000000003</v>
      </c>
    </row>
    <row r="52" spans="1:7" ht="12.75">
      <c r="A52" s="15"/>
      <c r="B52" s="7" t="s">
        <v>23</v>
      </c>
      <c r="C52" s="8"/>
      <c r="D52" s="8"/>
      <c r="E52" s="8"/>
      <c r="F52" s="8"/>
      <c r="G52" s="10">
        <f>SUM(G50:G51)</f>
        <v>4470.058</v>
      </c>
    </row>
    <row r="53" spans="1:7" ht="12.75">
      <c r="A53" s="6" t="s">
        <v>44</v>
      </c>
      <c r="B53" s="7" t="s">
        <v>45</v>
      </c>
      <c r="C53" s="8">
        <v>2</v>
      </c>
      <c r="D53" s="8" t="s">
        <v>40</v>
      </c>
      <c r="E53" s="8">
        <v>806</v>
      </c>
      <c r="F53" s="8" t="s">
        <v>41</v>
      </c>
      <c r="G53" s="10">
        <f>C53*E53</f>
        <v>1612</v>
      </c>
    </row>
    <row r="54" spans="1:7" ht="12.75">
      <c r="A54" s="15"/>
      <c r="B54" s="7" t="s">
        <v>23</v>
      </c>
      <c r="C54" s="8"/>
      <c r="D54" s="8"/>
      <c r="E54" s="8"/>
      <c r="F54" s="8"/>
      <c r="G54" s="10">
        <f>SUM(G52:G53)</f>
        <v>6082.058</v>
      </c>
    </row>
    <row r="55" spans="1:7" ht="12.75">
      <c r="A55" s="15"/>
      <c r="B55" s="7" t="s">
        <v>24</v>
      </c>
      <c r="C55" s="8"/>
      <c r="D55" s="8"/>
      <c r="E55" s="8"/>
      <c r="F55" s="8"/>
      <c r="G55" s="10">
        <f>G54*15%</f>
        <v>912.30870000000004</v>
      </c>
    </row>
    <row r="56" spans="1:7" ht="12.75">
      <c r="A56" s="15"/>
      <c r="B56" s="11" t="s">
        <v>25</v>
      </c>
      <c r="C56" s="8"/>
      <c r="D56" s="8"/>
      <c r="E56" s="8"/>
      <c r="F56" s="8"/>
      <c r="G56" s="12">
        <f>ROUND(SUM(G54:G55),2)</f>
        <v>6994.37</v>
      </c>
    </row>
    <row r="57" spans="1:7" ht="12.75">
      <c r="A57" s="16" t="str">
        <f>CONCATENATE("Say ₹ ",G43," + ",G56," x Cost Index")</f>
        <v>Say ₹ 8393 + 6994.37 x Cost Index</v>
      </c>
      <c r="B57" s="2"/>
      <c r="C57" s="2"/>
      <c r="D57" s="2"/>
      <c r="E57" s="2"/>
      <c r="F57" s="2"/>
      <c r="G57" s="3"/>
    </row>
  </sheetData>
  <mergeCells count="5">
    <mergeCell ref="A1:G1"/>
    <mergeCell ref="B2:G2"/>
    <mergeCell ref="A29:G29"/>
    <mergeCell ref="B30:G30"/>
    <mergeCell ref="A57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