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G3" i="1" l="1"/>
</calcChain>
</file>

<file path=xl/sharedStrings.xml><?xml version="1.0" encoding="utf-8"?>
<sst xmlns="http://schemas.openxmlformats.org/spreadsheetml/2006/main" count="30" uniqueCount="23">
  <si>
    <t>India Mark II Hand Pump Pullout, Repairing and Re-Erection Labour Charges</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</si>
  <si>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</si>
  <si>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</si>
  <si>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0116</t>
  </si>
  <si>
    <t>Fitter (grade I)</t>
  </si>
  <si>
    <t>day</t>
  </si>
  <si>
    <t>/day</t>
  </si>
  <si>
    <t>0117</t>
  </si>
  <si>
    <t>Assistant Fitter or 2nd class Fitter</t>
  </si>
  <si>
    <t>0115</t>
  </si>
  <si>
    <t>Coolie</t>
  </si>
  <si>
    <t>(ii)</t>
  </si>
  <si>
    <t>Hire charges for vehicle for to and fro transportation of tools, tripod with winch machine, etc.</t>
  </si>
  <si>
    <t>0083</t>
  </si>
  <si>
    <t>Hire charges of TATA 407 or equivalent for local shifting.</t>
  </si>
  <si>
    <t>9999</t>
  </si>
  <si>
    <t>Sundries</t>
  </si>
  <si>
    <t>LS</t>
  </si>
  <si>
    <t>/LS</t>
  </si>
  <si>
    <t xml:space="preserve">Total    </t>
  </si>
  <si>
    <t>Water charges 1%</t>
  </si>
  <si>
    <t>Total</t>
  </si>
  <si>
    <t>CPOH 15%</t>
  </si>
</sst>
</file>

<file path=xl/styles.xml><?xml version="1.0" encoding="utf-8"?>
<styleSheet xmlns="http://schemas.openxmlformats.org/spreadsheetml/2006/main">
  <numFmts count="1">
    <numFmt numFmtId="177" formatCode="0.00;[Red]0.00"/>
  </numFmts>
  <fonts count="4">
    <font>
      <sz val="10"/>
      <color theme="1"/>
      <name val="Arial"/>
      <family val="2"/>
    </font>
    <font>
      <sz val="11"/>
      <color rgb="FF000000"/>
      <name val="Calibri"/>
      <family val="2"/>
      <scheme val="minor"/>
    </font>
    <font>
      <b/>
      <sz val="12"/>
      <color theme="1"/>
      <name val="Cambria"/>
      <family val="2"/>
    </font>
    <font>
      <sz val="12"/>
      <color theme="1"/>
      <name val="Cambria"/>
      <family val="2"/>
    </font>
  </fonts>
  <fills count="4">
    <fill>
      <patternFill patternType="none"/>
    </fill>
    <fill>
      <patternFill patternType="gray125"/>
    </fill>
    <fill>
      <patternFill patternType="solid">
        <fgColor rgb="FFFFF2CC"/>
        <bgColor indexed="64"/>
      </patternFill>
    </fill>
    <fill>
      <patternFill patternType="solid">
        <fgColor rgb="FFB4C6E7"/>
        <bgColor indexed="64"/>
      </patternFill>
    </fill>
  </fills>
  <borders count="15">
    <border>
      <left/>
      <right/>
      <top/>
      <bottom/>
      <diagonal/>
    </border>
    <border>
      <left style="medium">
        <color rgb="FF000000"/>
      </left>
      <right/>
      <top style="medium">
        <color rgb="FF000000"/>
      </top>
      <bottom style="thin">
        <color rgb="FF000000"/>
      </bottom>
    </border>
    <border>
      <left/>
      <right/>
      <top style="medium">
        <color rgb="FF000000"/>
      </top>
      <bottom style="thin">
        <color rgb="FF000000"/>
      </bottom>
    </border>
    <border>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right style="medium">
        <color rgb="FF000000"/>
      </right>
      <top style="thin">
        <color rgb="FF000000"/>
      </top>
      <bottom style="thin">
        <color rgb="FF000000"/>
      </bottom>
    </border>
    <border>
      <left style="medium">
        <color rgb="FF000000"/>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border>
    <border>
      <left style="thin">
        <color rgb="FF000000"/>
      </left>
      <right style="medium">
        <color rgb="FF000000"/>
      </right>
      <top style="thin">
        <color rgb="FF000000"/>
      </top>
      <bottom/>
    </border>
    <border>
      <left/>
      <right style="thin">
        <color rgb="FF000000"/>
      </right>
      <top style="thin">
        <color rgb="FF000000"/>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2">
    <xf numFmtId="0" fontId="0" fillId="0" borderId="0" xfId="0"/>
    <xf numFmtId="49" fontId="2" fillId="2" borderId="1" xfId="0" applyNumberFormat="1" applyFont="1" applyBorder="1" applyAlignment="1">
      <alignment horizontal="center" vertical="center" wrapText="1"/>
    </xf>
    <xf numFmtId="0" fontId="1" fillId="0" borderId="2" xfId="0" applyFont="1" applyBorder="1">
      <alignment/>
    </xf>
    <xf numFmtId="0" fontId="1" fillId="0" borderId="3" xfId="0" applyFont="1" applyBorder="1">
      <alignment/>
    </xf>
    <xf numFmtId="49" fontId="2" fillId="2" borderId="4" xfId="0" applyNumberFormat="1" applyFont="1" applyBorder="1" applyAlignment="1">
      <alignment horizontal="center" vertical="center" wrapText="1"/>
    </xf>
    <xf numFmtId="0" fontId="2" fillId="2" borderId="5" xfId="0" applyFont="1" applyBorder="1" applyAlignment="1">
      <alignment horizontal="left" vertical="center" wrapText="1"/>
    </xf>
    <xf numFmtId="0" fontId="1" fillId="0" borderId="6" xfId="0" applyFont="1" applyBorder="1">
      <alignment/>
    </xf>
    <xf numFmtId="0" fontId="1" fillId="0" borderId="7" xfId="0" applyFont="1" applyBorder="1">
      <alignment/>
    </xf>
    <xf numFmtId="49" fontId="2" fillId="2" borderId="8" xfId="0" applyNumberFormat="1" applyFont="1" applyBorder="1" applyAlignment="1">
      <alignment horizontal="left" vertical="center" wrapText="1"/>
    </xf>
    <xf numFmtId="0" fontId="3" fillId="2" borderId="9" xfId="0" applyFont="1" applyBorder="1" applyAlignment="1">
      <alignment vertical="center" wrapText="1"/>
    </xf>
    <xf numFmtId="0" fontId="3" fillId="2" borderId="9" xfId="0" applyFont="1" applyBorder="1" applyAlignment="1">
      <alignment horizontal="center" vertical="center" wrapText="1"/>
    </xf>
    <xf numFmtId="0" fontId="3" fillId="2" borderId="5" xfId="0" applyFont="1" applyBorder="1" applyAlignment="1">
      <alignment horizontal="center" vertical="center" wrapText="1"/>
    </xf>
    <xf numFmtId="177" fontId="3" fillId="2" borderId="10" xfId="0" applyNumberFormat="1" applyFont="1" applyBorder="1" applyAlignment="1">
      <alignment horizontal="center" vertical="center" wrapText="1"/>
    </xf>
    <xf numFmtId="0" fontId="2" fillId="2" borderId="5" xfId="0" applyFont="1" applyBorder="1" applyAlignment="1">
      <alignment vertical="center" wrapText="1"/>
    </xf>
    <xf numFmtId="0" fontId="2" fillId="2" borderId="11" xfId="0" applyFont="1" applyBorder="1" applyAlignment="1">
      <alignment horizontal="right" vertical="center" wrapText="1"/>
    </xf>
    <xf numFmtId="0" fontId="3" fillId="2" borderId="0" xfId="0" applyFont="1" applyAlignment="1">
      <alignment horizontal="center" vertical="center" wrapText="1"/>
    </xf>
    <xf numFmtId="0" fontId="3" fillId="2" borderId="11" xfId="0" applyFont="1" applyBorder="1" applyAlignment="1">
      <alignment horizontal="center" vertical="center" wrapText="1"/>
    </xf>
    <xf numFmtId="0" fontId="3" fillId="2" borderId="12" xfId="0" applyFont="1" applyBorder="1" applyAlignment="1">
      <alignment horizontal="center" vertical="center" wrapText="1"/>
    </xf>
    <xf numFmtId="177" fontId="2" fillId="2" borderId="13" xfId="0" applyNumberFormat="1" applyFont="1" applyBorder="1" applyAlignment="1">
      <alignment horizontal="center" vertical="center" wrapText="1"/>
    </xf>
    <xf numFmtId="0" fontId="3" fillId="2" borderId="9" xfId="0" applyFont="1" applyBorder="1" applyAlignment="1">
      <alignment horizontal="right" vertical="center" wrapText="1"/>
    </xf>
    <xf numFmtId="0" fontId="2" fillId="3" borderId="5" xfId="0" applyFont="1" applyFill="1" applyBorder="1" applyAlignment="1">
      <alignment horizontal="center" vertical="center" wrapText="1"/>
    </xf>
    <xf numFmtId="0" fontId="1" fillId="0" borderId="14" xfId="0" applyFont="1" applyBorder="1">
      <alignment/>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5" Type="http://schemas.openxmlformats.org/officeDocument/2006/relationships/calcChain" Target="calcChain.xml" /><Relationship Id="rId3" Type="http://schemas.openxmlformats.org/officeDocument/2006/relationships/worksheet" Target="worksheets/sheet1.xml" /><Relationship Id="rId2" Type="http://schemas.openxmlformats.org/officeDocument/2006/relationships/styles" Target="styles.xml" /><Relationship Id="rId1" Type="http://schemas.openxmlformats.org/officeDocument/2006/relationships/theme" Target="theme/theme1.xml" /><Relationship Id="rId4"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B09C673A-328D-4ABB-B582-F1CB91E6BAA6}">
  <dimension ref="A1:G14"/>
  <sheetViews>
    <sheetView tabSelected="1" workbookViewId="0" topLeftCell="A1"/>
  </sheetViews>
  <sheetFormatPr defaultRowHeight="12.75"/>
  <sheetData>
    <row r="1" spans="1:7" ht="12.75">
      <c r="A1" s="1" t="s">
        <v>0</v>
      </c>
      <c r="B1" s="2"/>
      <c r="C1" s="2"/>
      <c r="D1" s="2"/>
      <c r="E1" s="2"/>
      <c r="F1" s="2"/>
      <c r="G1" s="3"/>
    </row>
    <row r="2" spans="1:7" ht="12.75">
      <c r="A2" s="4" t="s">
        <v>1</v>
      </c>
      <c r="B2" s="5" t="s">
        <v>2</v>
      </c>
      <c r="C2" s="6"/>
      <c r="D2" s="6"/>
      <c r="E2" s="6"/>
      <c r="F2" s="6"/>
      <c r="G2" s="7"/>
    </row>
    <row r="3" spans="1:7" ht="12.75">
      <c r="A3" s="8" t="s">
        <v>3</v>
      </c>
      <c r="B3" s="9" t="s">
        <v>4</v>
      </c>
      <c r="C3" s="10">
        <v>1</v>
      </c>
      <c r="D3" s="10" t="s">
        <v>5</v>
      </c>
      <c r="E3" s="10">
        <v>784</v>
      </c>
      <c r="F3" s="11" t="s">
        <v>6</v>
      </c>
      <c r="G3" s="12">
        <f>E3*C3</f>
        <v>784</v>
      </c>
    </row>
    <row r="4" spans="1:7" ht="12.75">
      <c r="A4" s="8" t="s">
        <v>7</v>
      </c>
      <c r="B4" s="9" t="s">
        <v>8</v>
      </c>
      <c r="C4" s="10">
        <v>1</v>
      </c>
      <c r="D4" s="10" t="s">
        <v>5</v>
      </c>
      <c r="E4" s="10">
        <v>714</v>
      </c>
      <c r="F4" s="11" t="s">
        <v>6</v>
      </c>
      <c r="G4" s="12">
        <f>E4*C4</f>
        <v>714</v>
      </c>
    </row>
    <row r="5" spans="1:7" ht="12.75">
      <c r="A5" s="8" t="s">
        <v>9</v>
      </c>
      <c r="B5" s="9" t="s">
        <v>10</v>
      </c>
      <c r="C5" s="10">
        <v>4</v>
      </c>
      <c r="D5" s="10" t="s">
        <v>5</v>
      </c>
      <c r="E5" s="10">
        <v>645</v>
      </c>
      <c r="F5" s="11" t="s">
        <v>6</v>
      </c>
      <c r="G5" s="12">
        <f>E5*C5</f>
        <v>2580</v>
      </c>
    </row>
    <row r="6" spans="1:7" ht="12.75">
      <c r="A6" s="8" t="s">
        <v>11</v>
      </c>
      <c r="B6" s="13" t="s">
        <v>12</v>
      </c>
      <c r="C6" s="6"/>
      <c r="D6" s="6"/>
      <c r="E6" s="6"/>
      <c r="F6" s="6"/>
      <c r="G6" s="7"/>
    </row>
    <row r="7" spans="1:7" ht="12.75">
      <c r="A7" s="8" t="s">
        <v>13</v>
      </c>
      <c r="B7" s="9" t="s">
        <v>14</v>
      </c>
      <c r="C7" s="10">
        <v>1</v>
      </c>
      <c r="D7" s="10" t="s">
        <v>5</v>
      </c>
      <c r="E7" s="10">
        <v>1400</v>
      </c>
      <c r="F7" s="11" t="s">
        <v>6</v>
      </c>
      <c r="G7" s="12">
        <f>E7*C7</f>
        <v>1400</v>
      </c>
    </row>
    <row r="8" spans="1:7" ht="12.75">
      <c r="A8" s="8" t="s">
        <v>15</v>
      </c>
      <c r="B8" s="9" t="s">
        <v>16</v>
      </c>
      <c r="C8" s="10">
        <v>50</v>
      </c>
      <c r="D8" s="10" t="s">
        <v>17</v>
      </c>
      <c r="E8" s="10">
        <v>2.12</v>
      </c>
      <c r="F8" s="11" t="s">
        <v>18</v>
      </c>
      <c r="G8" s="12">
        <f>E8*C8</f>
        <v>106</v>
      </c>
    </row>
    <row r="9" spans="1:7" ht="12.75">
      <c r="A9" s="8"/>
      <c r="B9" s="14" t="s">
        <v>19</v>
      </c>
      <c r="C9" s="15"/>
      <c r="D9" s="16"/>
      <c r="E9" s="16"/>
      <c r="F9" s="17"/>
      <c r="G9" s="18">
        <f>(SUM(G3:G5,G7:G8,))</f>
        <v>5584</v>
      </c>
    </row>
    <row r="10" spans="1:7" ht="12.75">
      <c r="A10" s="8"/>
      <c r="B10" s="19" t="s">
        <v>20</v>
      </c>
      <c r="C10" s="10"/>
      <c r="D10" s="10"/>
      <c r="E10" s="10"/>
      <c r="F10" s="11"/>
      <c r="G10" s="12">
        <f>G9*1%</f>
        <v>55.84</v>
      </c>
    </row>
    <row r="11" spans="1:7" ht="12.75">
      <c r="A11" s="8"/>
      <c r="B11" s="19" t="s">
        <v>21</v>
      </c>
      <c r="C11" s="10"/>
      <c r="D11" s="10"/>
      <c r="E11" s="10"/>
      <c r="F11" s="11"/>
      <c r="G11" s="12">
        <f>SUM(G9:G10)</f>
        <v>5639.84</v>
      </c>
    </row>
    <row r="12" spans="1:7" ht="12.75">
      <c r="A12" s="8"/>
      <c r="B12" s="19" t="s">
        <v>22</v>
      </c>
      <c r="C12" s="10"/>
      <c r="D12" s="10"/>
      <c r="E12" s="10"/>
      <c r="F12" s="11"/>
      <c r="G12" s="12">
        <f>G11*15%</f>
        <v>845.976</v>
      </c>
    </row>
    <row r="13" spans="1:7" ht="12.75">
      <c r="A13" s="8"/>
      <c r="B13" s="14" t="s">
        <v>19</v>
      </c>
      <c r="C13" s="15"/>
      <c r="D13" s="16"/>
      <c r="E13" s="16"/>
      <c r="F13" s="17"/>
      <c r="G13" s="18">
        <f>ROUND(SUM(G11:G12),2)</f>
        <v>6485.82</v>
      </c>
    </row>
    <row r="14" spans="1:7" ht="12.75">
      <c r="A14" s="20" t="str">
        <f>CONCATENATE("Say ₹ ",G13," x Cost Index")</f>
        <v>Say ₹ 6485.82 x Cost Index</v>
      </c>
      <c r="B14" s="6"/>
      <c r="C14" s="6"/>
      <c r="D14" s="6"/>
      <c r="E14" s="6"/>
      <c r="F14" s="6"/>
      <c r="G14" s="21"/>
    </row>
  </sheetData>
  <mergeCells count="4">
    <mergeCell ref="A1:G1"/>
    <mergeCell ref="B2:G2"/>
    <mergeCell ref="B6:G6"/>
    <mergeCell ref="A14:G1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