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30" yWindow="610" windowWidth="18880" windowHeight="6490"/>
  </bookViews>
  <sheets>
    <sheet name="GWD DR Abstract" sheetId="1" r:id="rId1"/>
    <sheet name="GWD MR Abstract" sheetId="2" r:id="rId2"/>
    <sheet name="ARS Filter Media" sheetId="3" r:id="rId3"/>
    <sheet name="BW Casing Pipes" sheetId="4" r:id="rId4"/>
    <sheet name="BW Casing Pipe Erection Charge" sheetId="5" r:id="rId5"/>
    <sheet name="Electrical Essentials" sheetId="6" r:id="rId6"/>
    <sheet name="GI on Wall PRICE" sheetId="7" r:id="rId7"/>
    <sheet name="GI wo Trench" sheetId="8" r:id="rId8"/>
    <sheet name="GI With Trench PRICE" sheetId="9" r:id="rId9"/>
    <sheet name="GI Works" sheetId="10" r:id="rId10"/>
    <sheet name="Gravel for TWC" sheetId="11" r:id="rId11"/>
    <sheet name="Gutter&amp;Clamp" sheetId="12" r:id="rId12"/>
    <sheet name="HP Erection and Pullout" sheetId="13" r:id="rId13"/>
    <sheet name="HP Repair Labour" sheetId="14" r:id="rId14"/>
    <sheet name="HP Repair Spares" sheetId="15" r:id="rId15"/>
    <sheet name="Hydrants" sheetId="16" r:id="rId16"/>
    <sheet name="Iron Structure" sheetId="17" r:id="rId17"/>
    <sheet name="Lock" sheetId="18" r:id="rId18"/>
    <sheet name="Metallic PH" sheetId="19" r:id="rId19"/>
    <sheet name="Motor Starter GWD" sheetId="20" r:id="rId20"/>
    <sheet name="Motor Starter Monoblock" sheetId="21" r:id="rId21"/>
    <sheet name="Motor Starter PRICE" sheetId="22" r:id="rId22"/>
    <sheet name="Other Fittings PRICE" sheetId="23" r:id="rId23"/>
    <sheet name="Panel Board" sheetId="24" r:id="rId24"/>
    <sheet name="Pump Cover" sheetId="25" r:id="rId25"/>
    <sheet name="Pump Erection " sheetId="26" r:id="rId26"/>
    <sheet name="Pump Pullout" sheetId="27" r:id="rId27"/>
    <sheet name="PVC Fittings" sheetId="28" r:id="rId28"/>
    <sheet name="PVC Fittings PRICE" sheetId="29" r:id="rId29"/>
    <sheet name="PVC on Wall (Concealed) PRICE" sheetId="30" r:id="rId30"/>
    <sheet name="PVC on Wall PRICE" sheetId="31" r:id="rId31"/>
    <sheet name="PVC on Wall" sheetId="32" r:id="rId32"/>
    <sheet name="PVC wo Trench PRICE" sheetId="33" r:id="rId33"/>
    <sheet name="PVC wo Trench" sheetId="34" r:id="rId34"/>
    <sheet name="PVC With Trench PRICE" sheetId="35" r:id="rId35"/>
    <sheet name="PVC With Trench" sheetId="36" r:id="rId36"/>
    <sheet name="Scaffolding" sheetId="37" r:id="rId37"/>
    <sheet name="Services" sheetId="38" r:id="rId38"/>
    <sheet name="Three Core Cable PRICE" sheetId="39" r:id="rId39"/>
    <sheet name="TW Casing Pipes" sheetId="40" r:id="rId40"/>
    <sheet name="UG Cable PRICE" sheetId="41" r:id="rId41"/>
    <sheet name="Water Meter" sheetId="42" r:id="rId42"/>
    <sheet name="Water Tank" sheetId="43" r:id="rId43"/>
    <sheet name="Well Protection" sheetId="44" r:id="rId44"/>
    <sheet name="WTP" sheetId="45" r:id="rId45"/>
    <sheet name="zCost Index" sheetId="46" r:id="rId46"/>
    <sheet name="zDerived" sheetId="47" r:id="rId47"/>
    <sheet name="zLMR" sheetId="48" r:id="rId48"/>
    <sheet name="zPAMR Gen ID 40" sheetId="49" r:id="rId49"/>
  </sheets>
  <definedNames>
    <definedName name="CostIndex">'zCost Index'!$B$2:$B$16</definedName>
    <definedName name="DerivedCodes">zDerived!$A:$A</definedName>
    <definedName name="DerivedRates">zDerived!$D:$D</definedName>
    <definedName name="District">'zCost Index'!$A$2:$A$16</definedName>
    <definedName name="LMRCodes">zLMR!$A:$A</definedName>
    <definedName name="LMRRates">zLMR!$C:$C</definedName>
    <definedName name="MRCodes">'zPAMR Gen ID 40'!$D:$D</definedName>
    <definedName name="MRRates">'zPAMR Gen ID 40'!$F:$F</definedName>
  </definedNames>
  <calcPr calcId="144525"/>
</workbook>
</file>

<file path=xl/calcChain.xml><?xml version="1.0" encoding="utf-8"?>
<calcChain xmlns="http://schemas.openxmlformats.org/spreadsheetml/2006/main">
  <c r="C29" i="48" l="1" a="1"/>
  <c r="C29" i="48" s="1"/>
  <c r="C28" i="48" a="1"/>
  <c r="C28" i="48" s="1"/>
  <c r="C27" i="48" a="1"/>
  <c r="C27" i="48" s="1"/>
  <c r="L7" i="47" s="1" a="1"/>
  <c r="C26" i="48" a="1"/>
  <c r="C26" i="48" s="1"/>
  <c r="H7" i="47" s="1" a="1"/>
  <c r="C25" i="48" a="1"/>
  <c r="C25" i="48" s="1"/>
  <c r="H5" i="47" s="1" a="1"/>
  <c r="C24" i="48" a="1"/>
  <c r="C24" i="48" s="1"/>
  <c r="C23" i="48" a="1"/>
  <c r="C23" i="48" s="1"/>
  <c r="C22" i="48" a="1"/>
  <c r="C22" i="48" s="1"/>
  <c r="C21" i="48" a="1"/>
  <c r="C21" i="48" s="1"/>
  <c r="C20" i="48" a="1"/>
  <c r="C20" i="48" s="1"/>
  <c r="C19" i="48" a="1"/>
  <c r="C19" i="48" s="1"/>
  <c r="C18" i="48" a="1"/>
  <c r="C18" i="48" s="1"/>
  <c r="C17" i="48" a="1"/>
  <c r="C17" i="48" s="1"/>
  <c r="C16" i="48" a="1"/>
  <c r="C16" i="48" s="1"/>
  <c r="C15" i="48" a="1"/>
  <c r="C15" i="48" s="1"/>
  <c r="C14" i="48" a="1"/>
  <c r="C14" i="48" s="1"/>
  <c r="C13" i="48" a="1"/>
  <c r="C13" i="48" s="1"/>
  <c r="C12" i="48" a="1"/>
  <c r="C12" i="48" s="1"/>
  <c r="C11" i="48" a="1"/>
  <c r="C11" i="48" s="1"/>
  <c r="C10" i="48" a="1"/>
  <c r="C10" i="48" s="1"/>
  <c r="C9" i="48" a="1"/>
  <c r="C9" i="48" s="1"/>
  <c r="C8" i="48" a="1"/>
  <c r="C8" i="48" s="1"/>
  <c r="C7" i="48" a="1"/>
  <c r="C7" i="48" s="1"/>
  <c r="L5" i="47" s="1" a="1"/>
  <c r="C6" i="48" a="1"/>
  <c r="C6" i="48" s="1"/>
  <c r="C5" i="48" a="1"/>
  <c r="C5" i="48" s="1"/>
  <c r="C4" i="48" a="1"/>
  <c r="C4" i="48" s="1"/>
  <c r="C3" i="48" a="1"/>
  <c r="C3" i="48" s="1"/>
  <c r="C2" i="48" a="1"/>
  <c r="C2" i="48" s="1"/>
  <c r="L8" i="47" a="1"/>
  <c r="L8" i="47" s="1"/>
  <c r="H8" i="47" a="1"/>
  <c r="H8" i="47" s="1"/>
  <c r="D8" i="47" s="1"/>
  <c r="L7" i="47"/>
  <c r="H7" i="47"/>
  <c r="L6" i="47" a="1"/>
  <c r="L6" i="47" s="1"/>
  <c r="H6" i="47" a="1"/>
  <c r="H6" i="47" s="1"/>
  <c r="D6" i="47" s="1"/>
  <c r="L5" i="47"/>
  <c r="H5" i="47"/>
  <c r="L4" i="47" a="1"/>
  <c r="L4" i="47" s="1"/>
  <c r="H4" i="47" a="1"/>
  <c r="H4" i="47" s="1"/>
  <c r="D4" i="47" s="1"/>
  <c r="G460" i="45"/>
  <c r="G461" i="45" s="1"/>
  <c r="G459" i="45"/>
  <c r="G458" i="45"/>
  <c r="I465" i="45" s="1"/>
  <c r="G456" i="45"/>
  <c r="G455" i="45"/>
  <c r="G446" i="45"/>
  <c r="G445" i="45"/>
  <c r="G444" i="45"/>
  <c r="G443" i="45"/>
  <c r="G436" i="45"/>
  <c r="G435" i="45"/>
  <c r="G434" i="45"/>
  <c r="G433" i="45"/>
  <c r="E432" i="45" a="1"/>
  <c r="E432" i="45" s="1"/>
  <c r="G432" i="45" s="1"/>
  <c r="G431" i="45"/>
  <c r="G430" i="45"/>
  <c r="G429" i="45"/>
  <c r="G437" i="45" s="1"/>
  <c r="G428" i="45"/>
  <c r="I406" i="45"/>
  <c r="H406" i="45"/>
  <c r="G402" i="45"/>
  <c r="G400" i="45"/>
  <c r="G401" i="45" s="1"/>
  <c r="G396" i="45"/>
  <c r="G395" i="45"/>
  <c r="H393" i="45"/>
  <c r="G387" i="45"/>
  <c r="G388" i="45" s="1"/>
  <c r="G385" i="45"/>
  <c r="G383" i="45"/>
  <c r="G384" i="45" s="1"/>
  <c r="G382" i="45"/>
  <c r="I379" i="45"/>
  <c r="G373" i="45"/>
  <c r="G374" i="45" s="1"/>
  <c r="G369" i="45"/>
  <c r="G368" i="45"/>
  <c r="H379" i="45" s="1"/>
  <c r="I366" i="45"/>
  <c r="G360" i="45"/>
  <c r="G361" i="45" s="1"/>
  <c r="G356" i="45"/>
  <c r="G355" i="45"/>
  <c r="H366" i="45" s="1"/>
  <c r="I353" i="45"/>
  <c r="H353" i="45"/>
  <c r="G347" i="45"/>
  <c r="G348" i="45" s="1"/>
  <c r="G343" i="45"/>
  <c r="G342" i="45"/>
  <c r="G344" i="45" s="1"/>
  <c r="H339" i="45"/>
  <c r="G335" i="45"/>
  <c r="G333" i="45"/>
  <c r="G334" i="45" s="1"/>
  <c r="G329" i="45"/>
  <c r="G330" i="45" s="1"/>
  <c r="G328" i="45"/>
  <c r="I325" i="45"/>
  <c r="G319" i="45"/>
  <c r="G318" i="45"/>
  <c r="G313" i="45"/>
  <c r="H310" i="45"/>
  <c r="G304" i="45"/>
  <c r="G303" i="45"/>
  <c r="I310" i="45" s="1"/>
  <c r="G299" i="45"/>
  <c r="G298" i="45"/>
  <c r="G290" i="45"/>
  <c r="G291" i="45" s="1"/>
  <c r="G289" i="45"/>
  <c r="G284" i="45"/>
  <c r="H282" i="45"/>
  <c r="G277" i="45"/>
  <c r="G278" i="45" s="1"/>
  <c r="G276" i="45"/>
  <c r="G275" i="45"/>
  <c r="I282" i="45" s="1"/>
  <c r="G271" i="45"/>
  <c r="G270" i="45"/>
  <c r="G272" i="45" s="1"/>
  <c r="G261" i="45"/>
  <c r="I267" i="45" s="1"/>
  <c r="G260" i="45"/>
  <c r="G255" i="45"/>
  <c r="H252" i="45"/>
  <c r="G247" i="45"/>
  <c r="G248" i="45" s="1"/>
  <c r="G246" i="45"/>
  <c r="G245" i="45"/>
  <c r="I252" i="45" s="1"/>
  <c r="G241" i="45"/>
  <c r="G240" i="45"/>
  <c r="I238" i="45"/>
  <c r="G232" i="45"/>
  <c r="G231" i="45"/>
  <c r="G233" i="45" s="1"/>
  <c r="G226" i="45"/>
  <c r="H224" i="45"/>
  <c r="G218" i="45"/>
  <c r="G217" i="45"/>
  <c r="I224" i="45" s="1"/>
  <c r="G213" i="45"/>
  <c r="G214" i="45" s="1"/>
  <c r="G212" i="45"/>
  <c r="I209" i="45"/>
  <c r="G203" i="45"/>
  <c r="G202" i="45"/>
  <c r="G197" i="45"/>
  <c r="H195" i="45"/>
  <c r="G189" i="45"/>
  <c r="G188" i="45"/>
  <c r="I195" i="45" s="1"/>
  <c r="G184" i="45"/>
  <c r="G183" i="45"/>
  <c r="G174" i="45"/>
  <c r="G175" i="45" s="1"/>
  <c r="G170" i="45"/>
  <c r="G169" i="45"/>
  <c r="H180" i="45" s="1"/>
  <c r="I167" i="45"/>
  <c r="H167" i="45"/>
  <c r="G163" i="45"/>
  <c r="G161" i="45"/>
  <c r="G162" i="45" s="1"/>
  <c r="G159" i="45"/>
  <c r="G157" i="45"/>
  <c r="G156" i="45"/>
  <c r="G158" i="45" s="1"/>
  <c r="H154" i="45"/>
  <c r="G148" i="45"/>
  <c r="G149" i="45" s="1"/>
  <c r="G144" i="45"/>
  <c r="G145" i="45" s="1"/>
  <c r="G143" i="45"/>
  <c r="G134" i="45"/>
  <c r="G135" i="45" s="1"/>
  <c r="G130" i="45"/>
  <c r="G129" i="45"/>
  <c r="H140" i="45" s="1"/>
  <c r="G121" i="45"/>
  <c r="G122" i="45" s="1"/>
  <c r="G117" i="45"/>
  <c r="G116" i="45"/>
  <c r="H127" i="45" s="1"/>
  <c r="I114" i="45"/>
  <c r="H114" i="45"/>
  <c r="G110" i="45"/>
  <c r="G108" i="45"/>
  <c r="G109" i="45" s="1"/>
  <c r="G104" i="45"/>
  <c r="G103" i="45"/>
  <c r="G105" i="45" s="1"/>
  <c r="G106" i="45" s="1"/>
  <c r="G96" i="45"/>
  <c r="G94" i="45"/>
  <c r="I100" i="45" s="1"/>
  <c r="G93" i="45"/>
  <c r="G95" i="45" s="1"/>
  <c r="G88" i="45"/>
  <c r="H86" i="45"/>
  <c r="G80" i="45"/>
  <c r="G79" i="45"/>
  <c r="I86" i="45" s="1"/>
  <c r="G77" i="45"/>
  <c r="G75" i="45"/>
  <c r="G76" i="45" s="1"/>
  <c r="G74" i="45"/>
  <c r="G66" i="45"/>
  <c r="I72" i="45" s="1"/>
  <c r="G65" i="45"/>
  <c r="G67" i="45" s="1"/>
  <c r="G68" i="45" s="1"/>
  <c r="G60" i="45"/>
  <c r="H58" i="45"/>
  <c r="G53" i="45"/>
  <c r="G54" i="45" s="1"/>
  <c r="G52" i="45"/>
  <c r="G51" i="45"/>
  <c r="I58" i="45" s="1"/>
  <c r="G47" i="45"/>
  <c r="G46" i="45"/>
  <c r="G48" i="45" s="1"/>
  <c r="G40" i="45"/>
  <c r="G38" i="45"/>
  <c r="G39" i="45" s="1"/>
  <c r="G37" i="45"/>
  <c r="G32" i="45"/>
  <c r="H30" i="45"/>
  <c r="G27" i="45"/>
  <c r="G28" i="45" s="1"/>
  <c r="G25" i="45"/>
  <c r="G26" i="45" s="1"/>
  <c r="G24" i="45"/>
  <c r="G23" i="45"/>
  <c r="I30" i="45" s="1"/>
  <c r="G21" i="45"/>
  <c r="G19" i="45"/>
  <c r="G18" i="45"/>
  <c r="G20" i="45" s="1"/>
  <c r="I16" i="45"/>
  <c r="G10" i="45"/>
  <c r="G9" i="45"/>
  <c r="G11" i="45" s="1"/>
  <c r="G4" i="45"/>
  <c r="G27" i="44"/>
  <c r="F27" i="44"/>
  <c r="D27" i="44"/>
  <c r="E26" i="44"/>
  <c r="G26" i="44" s="1"/>
  <c r="D26" i="44"/>
  <c r="G25" i="44"/>
  <c r="E25" i="44"/>
  <c r="G24" i="44"/>
  <c r="D24" i="44"/>
  <c r="G23" i="44"/>
  <c r="G21" i="44"/>
  <c r="J21" i="44" s="1"/>
  <c r="F20" i="44"/>
  <c r="D20" i="44"/>
  <c r="G20" i="44" s="1"/>
  <c r="F18" i="44"/>
  <c r="G18" i="44" s="1"/>
  <c r="J18" i="44" s="1"/>
  <c r="G17" i="44"/>
  <c r="J15" i="44"/>
  <c r="G14" i="44"/>
  <c r="G15" i="44" s="1"/>
  <c r="G12" i="44"/>
  <c r="J12" i="44" s="1"/>
  <c r="G11" i="44"/>
  <c r="G8" i="44"/>
  <c r="G9" i="44" s="1"/>
  <c r="J9" i="44" s="1"/>
  <c r="G7" i="44"/>
  <c r="J5" i="44"/>
  <c r="G4" i="44"/>
  <c r="G5" i="44" s="1"/>
  <c r="F45" i="42"/>
  <c r="F43" i="42"/>
  <c r="I52" i="42" s="1"/>
  <c r="E34" i="42" a="1"/>
  <c r="E34" i="42" s="1"/>
  <c r="F34" i="42" s="1"/>
  <c r="F19" i="42"/>
  <c r="F20" i="42" s="1"/>
  <c r="F21" i="42" s="1"/>
  <c r="F22" i="42" s="1"/>
  <c r="F23" i="42" s="1"/>
  <c r="F24" i="42" s="1"/>
  <c r="F25" i="42" s="1"/>
  <c r="F17" i="42"/>
  <c r="I26" i="42" s="1"/>
  <c r="F8" i="42"/>
  <c r="F9" i="42" s="1"/>
  <c r="F10" i="42" s="1"/>
  <c r="F11" i="42" s="1"/>
  <c r="F12" i="42" s="1"/>
  <c r="F13" i="42" s="1"/>
  <c r="F14" i="42" s="1"/>
  <c r="E8" i="42" a="1"/>
  <c r="E8" i="42"/>
  <c r="I279" i="41"/>
  <c r="F274" i="41"/>
  <c r="F270" i="41"/>
  <c r="F265" i="41"/>
  <c r="E265" i="41"/>
  <c r="F262" i="41"/>
  <c r="F260" i="41"/>
  <c r="F263" i="41" s="1"/>
  <c r="F264" i="41" s="1"/>
  <c r="F266" i="41" s="1"/>
  <c r="F256" i="41"/>
  <c r="F258" i="41" s="1"/>
  <c r="J248" i="41"/>
  <c r="F243" i="41"/>
  <c r="F241" i="41"/>
  <c r="F239" i="41"/>
  <c r="F244" i="41" s="1"/>
  <c r="F245" i="41" s="1"/>
  <c r="F229" i="41"/>
  <c r="F225" i="41"/>
  <c r="I217" i="41"/>
  <c r="F212" i="41"/>
  <c r="F208" i="41"/>
  <c r="F203" i="41"/>
  <c r="E203" i="41"/>
  <c r="F200" i="41"/>
  <c r="F198" i="41"/>
  <c r="F201" i="41" s="1"/>
  <c r="F202" i="41" s="1"/>
  <c r="F204" i="41" s="1"/>
  <c r="F194" i="41"/>
  <c r="F196" i="41" s="1"/>
  <c r="J186" i="41"/>
  <c r="F181" i="41"/>
  <c r="F179" i="41"/>
  <c r="F177" i="41"/>
  <c r="F182" i="41" s="1"/>
  <c r="F183" i="41" s="1"/>
  <c r="F167" i="41"/>
  <c r="F163" i="41"/>
  <c r="I155" i="41"/>
  <c r="F150" i="41"/>
  <c r="F146" i="41"/>
  <c r="F141" i="41"/>
  <c r="E141" i="41"/>
  <c r="F138" i="41"/>
  <c r="F136" i="41"/>
  <c r="F139" i="41" s="1"/>
  <c r="F140" i="41" s="1"/>
  <c r="F142" i="41" s="1"/>
  <c r="F132" i="41"/>
  <c r="F134" i="41" s="1"/>
  <c r="J124" i="41"/>
  <c r="F119" i="41"/>
  <c r="F117" i="41"/>
  <c r="F115" i="41"/>
  <c r="F110" i="41"/>
  <c r="F105" i="41"/>
  <c r="F103" i="41"/>
  <c r="F107" i="41" s="1"/>
  <c r="F101" i="41"/>
  <c r="E110" i="41" s="1"/>
  <c r="I93" i="41"/>
  <c r="F88" i="41"/>
  <c r="F84" i="41"/>
  <c r="E79" i="41"/>
  <c r="F79" i="41" s="1"/>
  <c r="F74" i="41"/>
  <c r="F72" i="41"/>
  <c r="F70" i="41"/>
  <c r="F76" i="41" s="1"/>
  <c r="F77" i="41" s="1"/>
  <c r="F78" i="41" s="1"/>
  <c r="I62" i="41"/>
  <c r="F57" i="41"/>
  <c r="F55" i="41"/>
  <c r="F53" i="41"/>
  <c r="J62" i="41" s="1"/>
  <c r="F43" i="41"/>
  <c r="F41" i="41"/>
  <c r="F39" i="41"/>
  <c r="E48" i="41" s="1"/>
  <c r="F48" i="41" s="1"/>
  <c r="J31" i="41"/>
  <c r="F26" i="41"/>
  <c r="F22" i="41"/>
  <c r="F24" i="41" s="1"/>
  <c r="F12" i="41"/>
  <c r="F8" i="41"/>
  <c r="F10" i="41" s="1"/>
  <c r="F225" i="39"/>
  <c r="I232" i="39" s="1"/>
  <c r="F215" i="39"/>
  <c r="F211" i="39"/>
  <c r="F213" i="39" s="1"/>
  <c r="F196" i="39"/>
  <c r="I203" i="39" s="1"/>
  <c r="F186" i="39"/>
  <c r="F182" i="39"/>
  <c r="F184" i="39" s="1"/>
  <c r="F167" i="39"/>
  <c r="I174" i="39" s="1"/>
  <c r="F157" i="39"/>
  <c r="F153" i="39"/>
  <c r="F155" i="39" s="1"/>
  <c r="F138" i="39"/>
  <c r="I145" i="39" s="1"/>
  <c r="F128" i="39"/>
  <c r="F124" i="39"/>
  <c r="F126" i="39" s="1"/>
  <c r="F109" i="39"/>
  <c r="I116" i="39" s="1"/>
  <c r="F99" i="39"/>
  <c r="F95" i="39"/>
  <c r="F97" i="39" s="1"/>
  <c r="F80" i="39"/>
  <c r="I87" i="39" s="1"/>
  <c r="F70" i="39"/>
  <c r="F66" i="39"/>
  <c r="F68" i="39" s="1"/>
  <c r="H58" i="39"/>
  <c r="F53" i="39"/>
  <c r="F51" i="39"/>
  <c r="I58" i="39" s="1"/>
  <c r="F41" i="39"/>
  <c r="F39" i="39"/>
  <c r="F43" i="39" s="1"/>
  <c r="F37" i="39"/>
  <c r="E46" i="39" s="1"/>
  <c r="F46" i="39" s="1"/>
  <c r="F25" i="39"/>
  <c r="F26" i="39" s="1"/>
  <c r="F22" i="39"/>
  <c r="F24" i="39" s="1"/>
  <c r="E17" i="39"/>
  <c r="F17" i="39" s="1"/>
  <c r="F12" i="39"/>
  <c r="F8" i="39"/>
  <c r="H29" i="39" s="1"/>
  <c r="D24" i="38"/>
  <c r="D23" i="38"/>
  <c r="D22" i="38"/>
  <c r="D21" i="38"/>
  <c r="D18" i="38"/>
  <c r="F95" i="36"/>
  <c r="F93" i="36"/>
  <c r="F92" i="36"/>
  <c r="F90" i="36"/>
  <c r="F89" i="36"/>
  <c r="F94" i="36" s="1"/>
  <c r="E81" i="36" a="1"/>
  <c r="E81" i="36"/>
  <c r="F81" i="36" s="1"/>
  <c r="F68" i="36"/>
  <c r="F67" i="36"/>
  <c r="F69" i="36" s="1"/>
  <c r="F65" i="36"/>
  <c r="F64" i="36"/>
  <c r="F58" i="36"/>
  <c r="E56" i="36" a="1"/>
  <c r="E56" i="36" s="1"/>
  <c r="F56" i="36" s="1"/>
  <c r="F43" i="36"/>
  <c r="F42" i="36"/>
  <c r="F40" i="36"/>
  <c r="F39" i="36"/>
  <c r="F31" i="36"/>
  <c r="F33" i="36" s="1"/>
  <c r="E31" i="36" a="1"/>
  <c r="E31" i="36"/>
  <c r="F18" i="36"/>
  <c r="F17" i="36"/>
  <c r="F15" i="36"/>
  <c r="F14" i="36"/>
  <c r="F19" i="36" s="1"/>
  <c r="E6" i="36" a="1"/>
  <c r="E6" i="36" s="1"/>
  <c r="F6" i="36" s="1"/>
  <c r="H570" i="35"/>
  <c r="F563" i="35"/>
  <c r="F561" i="35"/>
  <c r="I570" i="35" s="1"/>
  <c r="F559" i="35"/>
  <c r="F557" i="35"/>
  <c r="F551" i="35"/>
  <c r="F549" i="35"/>
  <c r="F550" i="35" s="1"/>
  <c r="F548" i="35"/>
  <c r="I540" i="35"/>
  <c r="H540" i="35"/>
  <c r="F533" i="35"/>
  <c r="F531" i="35"/>
  <c r="F534" i="35" s="1"/>
  <c r="F535" i="35" s="1"/>
  <c r="F529" i="35"/>
  <c r="F527" i="35"/>
  <c r="F520" i="35"/>
  <c r="F519" i="35"/>
  <c r="F518" i="35"/>
  <c r="H510" i="35"/>
  <c r="F503" i="35"/>
  <c r="F501" i="35"/>
  <c r="I510" i="35" s="1"/>
  <c r="F499" i="35"/>
  <c r="F497" i="35"/>
  <c r="F491" i="35"/>
  <c r="F490" i="35"/>
  <c r="F489" i="35"/>
  <c r="F488" i="35"/>
  <c r="F473" i="35"/>
  <c r="F474" i="35" s="1"/>
  <c r="F475" i="35" s="1"/>
  <c r="F471" i="35"/>
  <c r="I480" i="35" s="1"/>
  <c r="F469" i="35"/>
  <c r="F467" i="35"/>
  <c r="F458" i="35"/>
  <c r="F459" i="35" s="1"/>
  <c r="F460" i="35" s="1"/>
  <c r="H450" i="35"/>
  <c r="F443" i="35"/>
  <c r="F441" i="35"/>
  <c r="F439" i="35"/>
  <c r="F437" i="35"/>
  <c r="F444" i="35" s="1"/>
  <c r="F445" i="35" s="1"/>
  <c r="F429" i="35"/>
  <c r="F430" i="35" s="1"/>
  <c r="F428" i="35"/>
  <c r="I420" i="35"/>
  <c r="F414" i="35"/>
  <c r="F415" i="35" s="1"/>
  <c r="F413" i="35"/>
  <c r="F411" i="35"/>
  <c r="F409" i="35"/>
  <c r="F407" i="35"/>
  <c r="F398" i="35"/>
  <c r="H420" i="35" s="1"/>
  <c r="H390" i="35"/>
  <c r="F383" i="35"/>
  <c r="F381" i="35"/>
  <c r="F379" i="35"/>
  <c r="F377" i="35"/>
  <c r="I390" i="35" s="1"/>
  <c r="F369" i="35"/>
  <c r="F370" i="35" s="1"/>
  <c r="F368" i="35"/>
  <c r="I360" i="35"/>
  <c r="F354" i="35"/>
  <c r="F355" i="35" s="1"/>
  <c r="F353" i="35"/>
  <c r="F351" i="35"/>
  <c r="F349" i="35"/>
  <c r="F347" i="35"/>
  <c r="F338" i="35"/>
  <c r="H360" i="35" s="1"/>
  <c r="H330" i="35"/>
  <c r="F323" i="35"/>
  <c r="F321" i="35"/>
  <c r="F319" i="35"/>
  <c r="F317" i="35"/>
  <c r="I330" i="35" s="1"/>
  <c r="F309" i="35"/>
  <c r="F310" i="35" s="1"/>
  <c r="F308" i="35"/>
  <c r="I300" i="35"/>
  <c r="F294" i="35"/>
  <c r="F295" i="35" s="1"/>
  <c r="F293" i="35"/>
  <c r="F291" i="35"/>
  <c r="F289" i="35"/>
  <c r="F287" i="35"/>
  <c r="F278" i="35"/>
  <c r="H300" i="35" s="1"/>
  <c r="H270" i="35"/>
  <c r="F263" i="35"/>
  <c r="F261" i="35"/>
  <c r="F259" i="35"/>
  <c r="F257" i="35"/>
  <c r="F249" i="35"/>
  <c r="F250" i="35" s="1"/>
  <c r="F248" i="35"/>
  <c r="I240" i="35"/>
  <c r="F234" i="35"/>
  <c r="F235" i="35" s="1"/>
  <c r="F233" i="35"/>
  <c r="F231" i="35"/>
  <c r="F229" i="35"/>
  <c r="F227" i="35"/>
  <c r="F218" i="35"/>
  <c r="H240" i="35" s="1"/>
  <c r="H210" i="35"/>
  <c r="F203" i="35"/>
  <c r="F201" i="35"/>
  <c r="F199" i="35"/>
  <c r="F197" i="35"/>
  <c r="F189" i="35"/>
  <c r="F190" i="35" s="1"/>
  <c r="F188" i="35"/>
  <c r="I180" i="35"/>
  <c r="F174" i="35"/>
  <c r="F175" i="35" s="1"/>
  <c r="F173" i="35"/>
  <c r="F171" i="35"/>
  <c r="F169" i="35"/>
  <c r="F167" i="35"/>
  <c r="F158" i="35"/>
  <c r="H180" i="35" s="1"/>
  <c r="H150" i="35"/>
  <c r="F143" i="35"/>
  <c r="F141" i="35"/>
  <c r="F139" i="35"/>
  <c r="F137" i="35"/>
  <c r="F129" i="35"/>
  <c r="F130" i="35" s="1"/>
  <c r="F128" i="35"/>
  <c r="I120" i="35"/>
  <c r="F114" i="35"/>
  <c r="F115" i="35" s="1"/>
  <c r="F113" i="35"/>
  <c r="F111" i="35"/>
  <c r="F109" i="35"/>
  <c r="F107" i="35"/>
  <c r="F98" i="35"/>
  <c r="H120" i="35" s="1"/>
  <c r="H90" i="35"/>
  <c r="F83" i="35"/>
  <c r="F81" i="35"/>
  <c r="F79" i="35"/>
  <c r="F77" i="35"/>
  <c r="F69" i="35"/>
  <c r="F70" i="35" s="1"/>
  <c r="F68" i="35"/>
  <c r="I60" i="35"/>
  <c r="F54" i="35"/>
  <c r="F55" i="35" s="1"/>
  <c r="F53" i="35"/>
  <c r="F51" i="35"/>
  <c r="F49" i="35"/>
  <c r="F47" i="35"/>
  <c r="F38" i="35"/>
  <c r="H60" i="35" s="1"/>
  <c r="H30" i="35"/>
  <c r="F23" i="35"/>
  <c r="F21" i="35"/>
  <c r="F19" i="35"/>
  <c r="F17" i="35"/>
  <c r="F9" i="35"/>
  <c r="F10" i="35" s="1"/>
  <c r="F8" i="35"/>
  <c r="F80" i="34"/>
  <c r="F79" i="34"/>
  <c r="E71" i="34" a="1"/>
  <c r="E71" i="34" s="1"/>
  <c r="F71" i="34" s="1"/>
  <c r="F58" i="34"/>
  <c r="F57" i="34"/>
  <c r="F59" i="34" s="1"/>
  <c r="F60" i="34" s="1"/>
  <c r="E49" i="34" a="1"/>
  <c r="E49" i="34" s="1"/>
  <c r="F49" i="34" s="1"/>
  <c r="F36" i="34"/>
  <c r="F37" i="34" s="1"/>
  <c r="F35" i="34"/>
  <c r="E27" i="34" a="1"/>
  <c r="E27" i="34"/>
  <c r="F27" i="34" s="1"/>
  <c r="F29" i="34" s="1"/>
  <c r="F14" i="34"/>
  <c r="F15" i="34" s="1"/>
  <c r="F13" i="34"/>
  <c r="F5" i="34"/>
  <c r="E5" i="34" a="1"/>
  <c r="E5" i="34"/>
  <c r="F257" i="33"/>
  <c r="F258" i="33" s="1"/>
  <c r="F259" i="33" s="1"/>
  <c r="F256" i="33"/>
  <c r="F248" i="33"/>
  <c r="F236" i="33"/>
  <c r="F235" i="33"/>
  <c r="F234" i="33"/>
  <c r="F231" i="33"/>
  <c r="F232" i="33" s="1"/>
  <c r="F233" i="33" s="1"/>
  <c r="F228" i="33"/>
  <c r="F229" i="33" s="1"/>
  <c r="F230" i="33" s="1"/>
  <c r="F226" i="33"/>
  <c r="F213" i="33"/>
  <c r="F214" i="33" s="1"/>
  <c r="F212" i="33"/>
  <c r="F204" i="33"/>
  <c r="F206" i="33" s="1"/>
  <c r="F207" i="33" s="1"/>
  <c r="F191" i="33"/>
  <c r="F190" i="33"/>
  <c r="F192" i="33" s="1"/>
  <c r="F193" i="33" s="1"/>
  <c r="F184" i="33"/>
  <c r="F185" i="33" s="1"/>
  <c r="F182" i="33"/>
  <c r="F169" i="33"/>
  <c r="F168" i="33"/>
  <c r="F160" i="33"/>
  <c r="F147" i="33"/>
  <c r="F148" i="33" s="1"/>
  <c r="F146" i="33"/>
  <c r="F138" i="33"/>
  <c r="F126" i="33"/>
  <c r="F125" i="33"/>
  <c r="F124" i="33"/>
  <c r="F119" i="33"/>
  <c r="F118" i="33"/>
  <c r="F116" i="33"/>
  <c r="F103" i="33"/>
  <c r="F102" i="33"/>
  <c r="F104" i="33" s="1"/>
  <c r="F105" i="33" s="1"/>
  <c r="F106" i="33" s="1"/>
  <c r="F94" i="33"/>
  <c r="F96" i="33" s="1"/>
  <c r="F82" i="33"/>
  <c r="F83" i="33" s="1"/>
  <c r="F81" i="33"/>
  <c r="F80" i="33"/>
  <c r="F74" i="33"/>
  <c r="F72" i="33"/>
  <c r="F60" i="33"/>
  <c r="F59" i="33"/>
  <c r="F58" i="33"/>
  <c r="F50" i="33"/>
  <c r="F37" i="33"/>
  <c r="F38" i="33" s="1"/>
  <c r="F36" i="33"/>
  <c r="F28" i="33"/>
  <c r="F30" i="33" s="1"/>
  <c r="F31" i="33" s="1"/>
  <c r="F16" i="33"/>
  <c r="F15" i="33"/>
  <c r="F14" i="33"/>
  <c r="F10" i="33"/>
  <c r="F11" i="33" s="1"/>
  <c r="F12" i="33" s="1"/>
  <c r="F13" i="33" s="1"/>
  <c r="F9" i="33"/>
  <c r="F8" i="33"/>
  <c r="F6" i="33"/>
  <c r="F63" i="32"/>
  <c r="F61" i="32"/>
  <c r="F59" i="32"/>
  <c r="F56" i="32"/>
  <c r="F54" i="32"/>
  <c r="F52" i="32"/>
  <c r="F64" i="32" s="1"/>
  <c r="F65" i="32" s="1"/>
  <c r="E43" i="32" a="1"/>
  <c r="E43" i="32" s="1"/>
  <c r="F43" i="32" s="1"/>
  <c r="F28" i="32"/>
  <c r="F26" i="32"/>
  <c r="F24" i="32"/>
  <c r="I35" i="32" s="1"/>
  <c r="F21" i="32"/>
  <c r="F19" i="32"/>
  <c r="F17" i="32"/>
  <c r="F29" i="32" s="1"/>
  <c r="F30" i="32" s="1"/>
  <c r="F8" i="32"/>
  <c r="F9" i="32" s="1"/>
  <c r="F10" i="32" s="1"/>
  <c r="E8" i="32" a="1"/>
  <c r="E8" i="32" s="1"/>
  <c r="F940" i="31"/>
  <c r="F938" i="31"/>
  <c r="F936" i="31"/>
  <c r="F933" i="31"/>
  <c r="F931" i="31"/>
  <c r="F929" i="31"/>
  <c r="F941" i="31" s="1"/>
  <c r="F942" i="31" s="1"/>
  <c r="F920" i="31"/>
  <c r="F921" i="31" s="1"/>
  <c r="F922" i="31" s="1"/>
  <c r="F905" i="31"/>
  <c r="F903" i="31"/>
  <c r="F901" i="31"/>
  <c r="F898" i="31"/>
  <c r="F896" i="31"/>
  <c r="F894" i="31"/>
  <c r="F906" i="31" s="1"/>
  <c r="F907" i="31" s="1"/>
  <c r="F885" i="31"/>
  <c r="F870" i="31"/>
  <c r="F868" i="31"/>
  <c r="I877" i="31" s="1"/>
  <c r="F866" i="31"/>
  <c r="F863" i="31"/>
  <c r="F861" i="31"/>
  <c r="F871" i="31" s="1"/>
  <c r="F872" i="31" s="1"/>
  <c r="F859" i="31"/>
  <c r="F850" i="31"/>
  <c r="H877" i="31" s="1"/>
  <c r="H842" i="31"/>
  <c r="F835" i="31"/>
  <c r="F833" i="31"/>
  <c r="F831" i="31"/>
  <c r="F828" i="31"/>
  <c r="F826" i="31"/>
  <c r="F824" i="31"/>
  <c r="F817" i="31"/>
  <c r="F818" i="31" s="1"/>
  <c r="F819" i="31" s="1"/>
  <c r="F816" i="31"/>
  <c r="F815" i="31"/>
  <c r="F800" i="31"/>
  <c r="F798" i="31"/>
  <c r="F796" i="31"/>
  <c r="F793" i="31"/>
  <c r="F791" i="31"/>
  <c r="F789" i="31"/>
  <c r="F801" i="31" s="1"/>
  <c r="F802" i="31" s="1"/>
  <c r="F781" i="31"/>
  <c r="F782" i="31" s="1"/>
  <c r="F780" i="31"/>
  <c r="H807" i="31" s="1"/>
  <c r="F765" i="31"/>
  <c r="F763" i="31"/>
  <c r="F761" i="31"/>
  <c r="F758" i="31"/>
  <c r="F756" i="31"/>
  <c r="F754" i="31"/>
  <c r="I772" i="31" s="1"/>
  <c r="F745" i="31"/>
  <c r="H772" i="31" s="1"/>
  <c r="F730" i="31"/>
  <c r="F728" i="31"/>
  <c r="F725" i="31"/>
  <c r="F723" i="31"/>
  <c r="F721" i="31"/>
  <c r="I737" i="31" s="1"/>
  <c r="F712" i="31"/>
  <c r="H737" i="31" s="1"/>
  <c r="I704" i="31"/>
  <c r="H704" i="31"/>
  <c r="F698" i="31"/>
  <c r="F699" i="31" s="1"/>
  <c r="F697" i="31"/>
  <c r="F695" i="31"/>
  <c r="F692" i="31"/>
  <c r="F690" i="31"/>
  <c r="F688" i="31"/>
  <c r="F681" i="31"/>
  <c r="F682" i="31" s="1"/>
  <c r="F683" i="31" s="1"/>
  <c r="F680" i="31"/>
  <c r="F679" i="31"/>
  <c r="F664" i="31"/>
  <c r="F662" i="31"/>
  <c r="F659" i="31"/>
  <c r="F657" i="31"/>
  <c r="F655" i="31"/>
  <c r="I671" i="31" s="1"/>
  <c r="F647" i="31"/>
  <c r="F648" i="31" s="1"/>
  <c r="F646" i="31"/>
  <c r="H671" i="31" s="1"/>
  <c r="I638" i="31"/>
  <c r="H638" i="31"/>
  <c r="F632" i="31"/>
  <c r="F633" i="31" s="1"/>
  <c r="F631" i="31"/>
  <c r="F629" i="31"/>
  <c r="F626" i="31"/>
  <c r="F624" i="31"/>
  <c r="F622" i="31"/>
  <c r="F614" i="31"/>
  <c r="F615" i="31" s="1"/>
  <c r="F613" i="31"/>
  <c r="H605" i="31"/>
  <c r="F598" i="31"/>
  <c r="F596" i="31"/>
  <c r="F593" i="31"/>
  <c r="F591" i="31"/>
  <c r="I605" i="31" s="1"/>
  <c r="F589" i="31"/>
  <c r="F581" i="31"/>
  <c r="F582" i="31" s="1"/>
  <c r="F580" i="31"/>
  <c r="F565" i="31"/>
  <c r="F563" i="31"/>
  <c r="F560" i="31"/>
  <c r="F558" i="31"/>
  <c r="F556" i="31"/>
  <c r="I572" i="31" s="1"/>
  <c r="F547" i="31"/>
  <c r="F548" i="31" s="1"/>
  <c r="F549" i="31" s="1"/>
  <c r="H539" i="31"/>
  <c r="F532" i="31"/>
  <c r="I539" i="31" s="1"/>
  <c r="F530" i="31"/>
  <c r="F527" i="31"/>
  <c r="F525" i="31"/>
  <c r="F523" i="31"/>
  <c r="F514" i="31"/>
  <c r="F515" i="31" s="1"/>
  <c r="F516" i="31" s="1"/>
  <c r="F499" i="31"/>
  <c r="F497" i="31"/>
  <c r="F494" i="31"/>
  <c r="F492" i="31"/>
  <c r="F490" i="31"/>
  <c r="I506" i="31" s="1"/>
  <c r="F481" i="31"/>
  <c r="H506" i="31" s="1"/>
  <c r="F466" i="31"/>
  <c r="F464" i="31"/>
  <c r="F461" i="31"/>
  <c r="F459" i="31"/>
  <c r="F457" i="31"/>
  <c r="I473" i="31" s="1"/>
  <c r="F448" i="31"/>
  <c r="H473" i="31" s="1"/>
  <c r="I440" i="31"/>
  <c r="H440" i="31"/>
  <c r="F434" i="31"/>
  <c r="F435" i="31" s="1"/>
  <c r="F433" i="31"/>
  <c r="F431" i="31"/>
  <c r="F428" i="31"/>
  <c r="F426" i="31"/>
  <c r="F424" i="31"/>
  <c r="F417" i="31"/>
  <c r="F418" i="31" s="1"/>
  <c r="F419" i="31" s="1"/>
  <c r="F416" i="31"/>
  <c r="F415" i="31"/>
  <c r="F400" i="31"/>
  <c r="F398" i="31"/>
  <c r="F395" i="31"/>
  <c r="F393" i="31"/>
  <c r="F391" i="31"/>
  <c r="I407" i="31" s="1"/>
  <c r="F383" i="31"/>
  <c r="F384" i="31" s="1"/>
  <c r="F382" i="31"/>
  <c r="H407" i="31" s="1"/>
  <c r="I374" i="31"/>
  <c r="H374" i="31"/>
  <c r="F370" i="31"/>
  <c r="F368" i="31"/>
  <c r="F369" i="31" s="1"/>
  <c r="F367" i="31"/>
  <c r="F365" i="31"/>
  <c r="F362" i="31"/>
  <c r="F360" i="31"/>
  <c r="F358" i="31"/>
  <c r="F350" i="31"/>
  <c r="F351" i="31" s="1"/>
  <c r="F349" i="31"/>
  <c r="H341" i="31"/>
  <c r="F334" i="31"/>
  <c r="F331" i="31"/>
  <c r="F329" i="31"/>
  <c r="F327" i="31"/>
  <c r="F318" i="31"/>
  <c r="F319" i="31" s="1"/>
  <c r="F320" i="31" s="1"/>
  <c r="I310" i="31"/>
  <c r="F305" i="31"/>
  <c r="F306" i="31" s="1"/>
  <c r="F307" i="31" s="1"/>
  <c r="F304" i="31"/>
  <c r="F303" i="31"/>
  <c r="F300" i="31"/>
  <c r="F298" i="31"/>
  <c r="F296" i="31"/>
  <c r="F288" i="31"/>
  <c r="F289" i="31" s="1"/>
  <c r="F287" i="31"/>
  <c r="H310" i="31" s="1"/>
  <c r="H279" i="31"/>
  <c r="F272" i="31"/>
  <c r="F269" i="31"/>
  <c r="F267" i="31"/>
  <c r="F265" i="31"/>
  <c r="I279" i="31" s="1"/>
  <c r="F258" i="31"/>
  <c r="F256" i="31"/>
  <c r="F257" i="31" s="1"/>
  <c r="I248" i="31"/>
  <c r="F243" i="31"/>
  <c r="F244" i="31" s="1"/>
  <c r="F245" i="31" s="1"/>
  <c r="F242" i="31"/>
  <c r="F241" i="31"/>
  <c r="F238" i="31"/>
  <c r="F236" i="31"/>
  <c r="F234" i="31"/>
  <c r="F226" i="31"/>
  <c r="F227" i="31" s="1"/>
  <c r="F225" i="31"/>
  <c r="H248" i="31" s="1"/>
  <c r="H217" i="31"/>
  <c r="F210" i="31"/>
  <c r="F207" i="31"/>
  <c r="F205" i="31"/>
  <c r="F203" i="31"/>
  <c r="F196" i="31"/>
  <c r="F194" i="31"/>
  <c r="F195" i="31" s="1"/>
  <c r="I186" i="31"/>
  <c r="F183" i="31"/>
  <c r="F181" i="31"/>
  <c r="F182" i="31" s="1"/>
  <c r="F180" i="31"/>
  <c r="F179" i="31"/>
  <c r="F176" i="31"/>
  <c r="F174" i="31"/>
  <c r="F172" i="31"/>
  <c r="F169" i="31"/>
  <c r="F167" i="31"/>
  <c r="F168" i="31" s="1"/>
  <c r="F164" i="31"/>
  <c r="F165" i="31" s="1"/>
  <c r="F166" i="31" s="1"/>
  <c r="F163" i="31"/>
  <c r="H186" i="31" s="1"/>
  <c r="F148" i="31"/>
  <c r="F145" i="31"/>
  <c r="F143" i="31"/>
  <c r="F141" i="31"/>
  <c r="F132" i="31"/>
  <c r="F133" i="31" s="1"/>
  <c r="F134" i="31" s="1"/>
  <c r="I124" i="31"/>
  <c r="F118" i="31"/>
  <c r="F119" i="31" s="1"/>
  <c r="F117" i="31"/>
  <c r="F114" i="31"/>
  <c r="F112" i="31"/>
  <c r="F110" i="31"/>
  <c r="F104" i="31"/>
  <c r="F102" i="31"/>
  <c r="F103" i="31" s="1"/>
  <c r="F105" i="31" s="1"/>
  <c r="F101" i="31"/>
  <c r="H124" i="31" s="1"/>
  <c r="H93" i="31"/>
  <c r="F86" i="31"/>
  <c r="F83" i="31"/>
  <c r="F81" i="31"/>
  <c r="F79" i="31"/>
  <c r="F72" i="31"/>
  <c r="F71" i="31"/>
  <c r="F70" i="31"/>
  <c r="I62" i="31"/>
  <c r="F58" i="31"/>
  <c r="F57" i="31"/>
  <c r="F59" i="31" s="1"/>
  <c r="F56" i="31"/>
  <c r="F55" i="31"/>
  <c r="F52" i="31"/>
  <c r="F50" i="31"/>
  <c r="F48" i="31"/>
  <c r="F40" i="31"/>
  <c r="F41" i="31" s="1"/>
  <c r="F39" i="31"/>
  <c r="H62" i="31" s="1"/>
  <c r="H31" i="31"/>
  <c r="F24" i="31"/>
  <c r="F21" i="31"/>
  <c r="F19" i="31"/>
  <c r="F17" i="31"/>
  <c r="F9" i="31"/>
  <c r="F10" i="31" s="1"/>
  <c r="F8" i="31"/>
  <c r="I558" i="30"/>
  <c r="F554" i="30"/>
  <c r="F553" i="30"/>
  <c r="F555" i="30" s="1"/>
  <c r="F552" i="30"/>
  <c r="F551" i="30"/>
  <c r="F548" i="30"/>
  <c r="F546" i="30"/>
  <c r="F544" i="30"/>
  <c r="F536" i="30"/>
  <c r="F537" i="30" s="1"/>
  <c r="F535" i="30"/>
  <c r="H558" i="30" s="1"/>
  <c r="H527" i="30"/>
  <c r="F520" i="30"/>
  <c r="F517" i="30"/>
  <c r="F515" i="30"/>
  <c r="F513" i="30"/>
  <c r="F505" i="30"/>
  <c r="F506" i="30" s="1"/>
  <c r="F504" i="30"/>
  <c r="F489" i="30"/>
  <c r="F486" i="30"/>
  <c r="F490" i="30" s="1"/>
  <c r="F491" i="30" s="1"/>
  <c r="F484" i="30"/>
  <c r="F482" i="30"/>
  <c r="F474" i="30"/>
  <c r="F475" i="30" s="1"/>
  <c r="F473" i="30"/>
  <c r="H496" i="30" s="1"/>
  <c r="F458" i="30"/>
  <c r="F455" i="30"/>
  <c r="F453" i="30"/>
  <c r="F451" i="30"/>
  <c r="F443" i="30"/>
  <c r="F444" i="30" s="1"/>
  <c r="F442" i="30"/>
  <c r="H465" i="30" s="1"/>
  <c r="F427" i="30"/>
  <c r="F424" i="30"/>
  <c r="F428" i="30" s="1"/>
  <c r="F429" i="30" s="1"/>
  <c r="F422" i="30"/>
  <c r="F420" i="30"/>
  <c r="F412" i="30"/>
  <c r="F413" i="30" s="1"/>
  <c r="F414" i="30" s="1"/>
  <c r="F415" i="30" s="1"/>
  <c r="F411" i="30"/>
  <c r="H434" i="30" s="1"/>
  <c r="H403" i="30"/>
  <c r="F396" i="30"/>
  <c r="F393" i="30"/>
  <c r="F391" i="30"/>
  <c r="F389" i="30"/>
  <c r="F381" i="30"/>
  <c r="F382" i="30" s="1"/>
  <c r="F380" i="30"/>
  <c r="F366" i="30"/>
  <c r="F367" i="30" s="1"/>
  <c r="F365" i="30"/>
  <c r="F362" i="30"/>
  <c r="I372" i="30" s="1"/>
  <c r="F360" i="30"/>
  <c r="F358" i="30"/>
  <c r="F352" i="30"/>
  <c r="F353" i="30" s="1"/>
  <c r="F350" i="30"/>
  <c r="F351" i="30" s="1"/>
  <c r="F349" i="30"/>
  <c r="H372" i="30" s="1"/>
  <c r="F334" i="30"/>
  <c r="F331" i="30"/>
  <c r="F329" i="30"/>
  <c r="F327" i="30"/>
  <c r="F335" i="30" s="1"/>
  <c r="F336" i="30" s="1"/>
  <c r="F318" i="30"/>
  <c r="F319" i="30" s="1"/>
  <c r="F320" i="30" s="1"/>
  <c r="F303" i="30"/>
  <c r="F300" i="30"/>
  <c r="F298" i="30"/>
  <c r="F296" i="30"/>
  <c r="F304" i="30" s="1"/>
  <c r="F305" i="30" s="1"/>
  <c r="F288" i="30"/>
  <c r="F289" i="30" s="1"/>
  <c r="F290" i="30" s="1"/>
  <c r="F291" i="30" s="1"/>
  <c r="F287" i="30"/>
  <c r="H310" i="30" s="1"/>
  <c r="H279" i="30"/>
  <c r="F272" i="30"/>
  <c r="F269" i="30"/>
  <c r="F267" i="30"/>
  <c r="F273" i="30" s="1"/>
  <c r="F274" i="30" s="1"/>
  <c r="F265" i="30"/>
  <c r="I279" i="30" s="1"/>
  <c r="F257" i="30"/>
  <c r="F258" i="30" s="1"/>
  <c r="F256" i="30"/>
  <c r="F242" i="30"/>
  <c r="F243" i="30" s="1"/>
  <c r="F241" i="30"/>
  <c r="F238" i="30"/>
  <c r="F236" i="30"/>
  <c r="F234" i="30"/>
  <c r="I248" i="30" s="1"/>
  <c r="F228" i="30"/>
  <c r="F226" i="30"/>
  <c r="F227" i="30" s="1"/>
  <c r="F229" i="30" s="1"/>
  <c r="F225" i="30"/>
  <c r="H248" i="30" s="1"/>
  <c r="H217" i="30"/>
  <c r="F210" i="30"/>
  <c r="F207" i="30"/>
  <c r="I217" i="30" s="1"/>
  <c r="F205" i="30"/>
  <c r="F211" i="30" s="1"/>
  <c r="F212" i="30" s="1"/>
  <c r="F203" i="30"/>
  <c r="F196" i="30"/>
  <c r="F195" i="30"/>
  <c r="F194" i="30"/>
  <c r="F179" i="30"/>
  <c r="F176" i="30"/>
  <c r="F180" i="30" s="1"/>
  <c r="F181" i="30" s="1"/>
  <c r="F174" i="30"/>
  <c r="F172" i="30"/>
  <c r="F167" i="30"/>
  <c r="F168" i="30" s="1"/>
  <c r="F169" i="30" s="1"/>
  <c r="F166" i="30"/>
  <c r="F164" i="30"/>
  <c r="F165" i="30" s="1"/>
  <c r="F163" i="30"/>
  <c r="H186" i="30" s="1"/>
  <c r="F148" i="30"/>
  <c r="F145" i="30"/>
  <c r="F143" i="30"/>
  <c r="F141" i="30"/>
  <c r="F132" i="30"/>
  <c r="F117" i="30"/>
  <c r="F114" i="30"/>
  <c r="F112" i="30"/>
  <c r="F110" i="30"/>
  <c r="F118" i="30" s="1"/>
  <c r="F119" i="30" s="1"/>
  <c r="F102" i="30"/>
  <c r="F103" i="30" s="1"/>
  <c r="F101" i="30"/>
  <c r="H124" i="30" s="1"/>
  <c r="H93" i="30"/>
  <c r="F87" i="30"/>
  <c r="F88" i="30" s="1"/>
  <c r="F86" i="30"/>
  <c r="F83" i="30"/>
  <c r="F81" i="30"/>
  <c r="I93" i="30" s="1"/>
  <c r="F79" i="30"/>
  <c r="F71" i="30"/>
  <c r="F72" i="30" s="1"/>
  <c r="F70" i="30"/>
  <c r="F56" i="30"/>
  <c r="F57" i="30" s="1"/>
  <c r="F55" i="30"/>
  <c r="F52" i="30"/>
  <c r="I62" i="30" s="1"/>
  <c r="F50" i="30"/>
  <c r="F48" i="30"/>
  <c r="F42" i="30"/>
  <c r="F40" i="30"/>
  <c r="F41" i="30" s="1"/>
  <c r="F39" i="30"/>
  <c r="H62" i="30" s="1"/>
  <c r="F24" i="30"/>
  <c r="F21" i="30"/>
  <c r="I31" i="30" s="1"/>
  <c r="F19" i="30"/>
  <c r="F17" i="30"/>
  <c r="F25" i="30" s="1"/>
  <c r="F26" i="30" s="1"/>
  <c r="F10" i="30"/>
  <c r="F9" i="30"/>
  <c r="F8" i="30"/>
  <c r="H31" i="30" s="1"/>
  <c r="F721" i="29"/>
  <c r="F719" i="29"/>
  <c r="F722" i="29" s="1"/>
  <c r="F723" i="29" s="1"/>
  <c r="F724" i="29" s="1"/>
  <c r="F725" i="29" s="1"/>
  <c r="F726" i="29" s="1"/>
  <c r="F727" i="29" s="1"/>
  <c r="F711" i="29"/>
  <c r="F712" i="29" s="1"/>
  <c r="F713" i="29" s="1"/>
  <c r="F714" i="29" s="1"/>
  <c r="F715" i="29" s="1"/>
  <c r="F716" i="29" s="1"/>
  <c r="F710" i="29"/>
  <c r="H728" i="29" s="1"/>
  <c r="F696" i="29"/>
  <c r="F697" i="29" s="1"/>
  <c r="F698" i="29" s="1"/>
  <c r="F699" i="29" s="1"/>
  <c r="F700" i="29" s="1"/>
  <c r="F701" i="29" s="1"/>
  <c r="F695" i="29"/>
  <c r="F693" i="29"/>
  <c r="I702" i="29" s="1"/>
  <c r="F688" i="29"/>
  <c r="F689" i="29" s="1"/>
  <c r="F690" i="29" s="1"/>
  <c r="F687" i="29"/>
  <c r="F685" i="29"/>
  <c r="F686" i="29" s="1"/>
  <c r="F684" i="29"/>
  <c r="H702" i="29" s="1"/>
  <c r="F669" i="29"/>
  <c r="F667" i="29"/>
  <c r="I676" i="29" s="1"/>
  <c r="F663" i="29"/>
  <c r="F664" i="29" s="1"/>
  <c r="F659" i="29"/>
  <c r="F660" i="29" s="1"/>
  <c r="F661" i="29" s="1"/>
  <c r="F662" i="29" s="1"/>
  <c r="F658" i="29"/>
  <c r="H676" i="29" s="1"/>
  <c r="F643" i="29"/>
  <c r="F644" i="29" s="1"/>
  <c r="F645" i="29" s="1"/>
  <c r="F646" i="29" s="1"/>
  <c r="F647" i="29" s="1"/>
  <c r="F648" i="29" s="1"/>
  <c r="F649" i="29" s="1"/>
  <c r="F641" i="29"/>
  <c r="I650" i="29" s="1"/>
  <c r="F632" i="29"/>
  <c r="F633" i="29" s="1"/>
  <c r="F634" i="29" s="1"/>
  <c r="F635" i="29" s="1"/>
  <c r="F636" i="29" s="1"/>
  <c r="F637" i="29" s="1"/>
  <c r="F638" i="29" s="1"/>
  <c r="F617" i="29"/>
  <c r="F606" i="29"/>
  <c r="F607" i="29" s="1"/>
  <c r="F608" i="29" s="1"/>
  <c r="F609" i="29" s="1"/>
  <c r="F610" i="29" s="1"/>
  <c r="F611" i="29" s="1"/>
  <c r="F612" i="29" s="1"/>
  <c r="F591" i="29"/>
  <c r="F589" i="29"/>
  <c r="F592" i="29" s="1"/>
  <c r="F593" i="29" s="1"/>
  <c r="F594" i="29" s="1"/>
  <c r="F595" i="29" s="1"/>
  <c r="F596" i="29" s="1"/>
  <c r="F597" i="29" s="1"/>
  <c r="F582" i="29"/>
  <c r="F583" i="29" s="1"/>
  <c r="F584" i="29" s="1"/>
  <c r="F585" i="29" s="1"/>
  <c r="F586" i="29" s="1"/>
  <c r="F581" i="29"/>
  <c r="F580" i="29"/>
  <c r="H598" i="29" s="1"/>
  <c r="F565" i="29"/>
  <c r="F563" i="29"/>
  <c r="F566" i="29" s="1"/>
  <c r="F567" i="29" s="1"/>
  <c r="F568" i="29" s="1"/>
  <c r="F569" i="29" s="1"/>
  <c r="F570" i="29" s="1"/>
  <c r="F571" i="29" s="1"/>
  <c r="F555" i="29"/>
  <c r="F556" i="29" s="1"/>
  <c r="F557" i="29" s="1"/>
  <c r="F558" i="29" s="1"/>
  <c r="F559" i="29" s="1"/>
  <c r="F560" i="29" s="1"/>
  <c r="F554" i="29"/>
  <c r="H572" i="29" s="1"/>
  <c r="H546" i="29"/>
  <c r="F539" i="29"/>
  <c r="F540" i="29" s="1"/>
  <c r="F541" i="29" s="1"/>
  <c r="F542" i="29" s="1"/>
  <c r="F543" i="29" s="1"/>
  <c r="F544" i="29" s="1"/>
  <c r="F545" i="29" s="1"/>
  <c r="F537" i="29"/>
  <c r="F529" i="29"/>
  <c r="F530" i="29" s="1"/>
  <c r="F531" i="29" s="1"/>
  <c r="F532" i="29" s="1"/>
  <c r="F533" i="29" s="1"/>
  <c r="F534" i="29" s="1"/>
  <c r="A546" i="29" s="1"/>
  <c r="F528" i="29"/>
  <c r="H520" i="29"/>
  <c r="F513" i="29"/>
  <c r="I520" i="29" s="1"/>
  <c r="F511" i="29"/>
  <c r="F502" i="29"/>
  <c r="F503" i="29" s="1"/>
  <c r="F504" i="29" s="1"/>
  <c r="F505" i="29" s="1"/>
  <c r="F506" i="29" s="1"/>
  <c r="F507" i="29" s="1"/>
  <c r="F508" i="29" s="1"/>
  <c r="F487" i="29"/>
  <c r="F488" i="29" s="1"/>
  <c r="F489" i="29" s="1"/>
  <c r="F490" i="29" s="1"/>
  <c r="F491" i="29" s="1"/>
  <c r="F492" i="29" s="1"/>
  <c r="F493" i="29" s="1"/>
  <c r="F485" i="29"/>
  <c r="F478" i="29"/>
  <c r="F479" i="29" s="1"/>
  <c r="F480" i="29" s="1"/>
  <c r="F481" i="29" s="1"/>
  <c r="F482" i="29" s="1"/>
  <c r="A494" i="29" s="1"/>
  <c r="F476" i="29"/>
  <c r="F477" i="29" s="1"/>
  <c r="F461" i="29"/>
  <c r="F459" i="29"/>
  <c r="I468" i="29" s="1"/>
  <c r="F452" i="29"/>
  <c r="F453" i="29" s="1"/>
  <c r="F454" i="29" s="1"/>
  <c r="F455" i="29" s="1"/>
  <c r="F456" i="29" s="1"/>
  <c r="F451" i="29"/>
  <c r="F450" i="29"/>
  <c r="H468" i="29" s="1"/>
  <c r="F436" i="29"/>
  <c r="F437" i="29" s="1"/>
  <c r="F438" i="29" s="1"/>
  <c r="F439" i="29" s="1"/>
  <c r="F440" i="29" s="1"/>
  <c r="F441" i="29" s="1"/>
  <c r="F435" i="29"/>
  <c r="F433" i="29"/>
  <c r="I442" i="29" s="1"/>
  <c r="F425" i="29"/>
  <c r="F426" i="29" s="1"/>
  <c r="F427" i="29" s="1"/>
  <c r="F428" i="29" s="1"/>
  <c r="F429" i="29" s="1"/>
  <c r="F430" i="29" s="1"/>
  <c r="F424" i="29"/>
  <c r="H442" i="29" s="1"/>
  <c r="I416" i="29"/>
  <c r="F409" i="29"/>
  <c r="F410" i="29" s="1"/>
  <c r="F411" i="29" s="1"/>
  <c r="F412" i="29" s="1"/>
  <c r="F413" i="29" s="1"/>
  <c r="F414" i="29" s="1"/>
  <c r="F415" i="29" s="1"/>
  <c r="F407" i="29"/>
  <c r="F398" i="29"/>
  <c r="H416" i="29" s="1"/>
  <c r="F383" i="29"/>
  <c r="F384" i="29" s="1"/>
  <c r="F385" i="29" s="1"/>
  <c r="F386" i="29" s="1"/>
  <c r="F387" i="29" s="1"/>
  <c r="F388" i="29" s="1"/>
  <c r="F389" i="29" s="1"/>
  <c r="F381" i="29"/>
  <c r="F372" i="29"/>
  <c r="H390" i="29" s="1"/>
  <c r="F357" i="29"/>
  <c r="F358" i="29" s="1"/>
  <c r="F359" i="29" s="1"/>
  <c r="F360" i="29" s="1"/>
  <c r="F361" i="29" s="1"/>
  <c r="F362" i="29" s="1"/>
  <c r="F363" i="29" s="1"/>
  <c r="F355" i="29"/>
  <c r="I364" i="29" s="1"/>
  <c r="F346" i="29"/>
  <c r="H364" i="29" s="1"/>
  <c r="I338" i="29"/>
  <c r="F332" i="29"/>
  <c r="F333" i="29" s="1"/>
  <c r="F334" i="29" s="1"/>
  <c r="F335" i="29" s="1"/>
  <c r="F336" i="29" s="1"/>
  <c r="F337" i="29" s="1"/>
  <c r="F331" i="29"/>
  <c r="F329" i="29"/>
  <c r="F321" i="29"/>
  <c r="F322" i="29" s="1"/>
  <c r="F323" i="29" s="1"/>
  <c r="F324" i="29" s="1"/>
  <c r="F325" i="29" s="1"/>
  <c r="F326" i="29" s="1"/>
  <c r="F320" i="29"/>
  <c r="H338" i="29" s="1"/>
  <c r="F306" i="29"/>
  <c r="F307" i="29" s="1"/>
  <c r="F308" i="29" s="1"/>
  <c r="F309" i="29" s="1"/>
  <c r="F310" i="29" s="1"/>
  <c r="F311" i="29" s="1"/>
  <c r="F305" i="29"/>
  <c r="F303" i="29"/>
  <c r="I312" i="29" s="1"/>
  <c r="F294" i="29"/>
  <c r="F295" i="29" s="1"/>
  <c r="F296" i="29" s="1"/>
  <c r="F297" i="29" s="1"/>
  <c r="F298" i="29" s="1"/>
  <c r="F299" i="29" s="1"/>
  <c r="F300" i="29" s="1"/>
  <c r="F280" i="29"/>
  <c r="F281" i="29" s="1"/>
  <c r="F282" i="29" s="1"/>
  <c r="F283" i="29" s="1"/>
  <c r="F284" i="29" s="1"/>
  <c r="F285" i="29" s="1"/>
  <c r="F279" i="29"/>
  <c r="F277" i="29"/>
  <c r="I286" i="29" s="1"/>
  <c r="F268" i="29"/>
  <c r="F269" i="29" s="1"/>
  <c r="F270" i="29" s="1"/>
  <c r="F271" i="29" s="1"/>
  <c r="F272" i="29" s="1"/>
  <c r="F273" i="29" s="1"/>
  <c r="F274" i="29" s="1"/>
  <c r="F254" i="29"/>
  <c r="F255" i="29" s="1"/>
  <c r="F256" i="29" s="1"/>
  <c r="F257" i="29" s="1"/>
  <c r="F258" i="29" s="1"/>
  <c r="F259" i="29" s="1"/>
  <c r="F253" i="29"/>
  <c r="F251" i="29"/>
  <c r="I260" i="29" s="1"/>
  <c r="F242" i="29"/>
  <c r="F243" i="29" s="1"/>
  <c r="F244" i="29" s="1"/>
  <c r="F245" i="29" s="1"/>
  <c r="F246" i="29" s="1"/>
  <c r="F247" i="29" s="1"/>
  <c r="F248" i="29" s="1"/>
  <c r="F228" i="29"/>
  <c r="F229" i="29" s="1"/>
  <c r="F230" i="29" s="1"/>
  <c r="F231" i="29" s="1"/>
  <c r="F232" i="29" s="1"/>
  <c r="F233" i="29" s="1"/>
  <c r="F227" i="29"/>
  <c r="F225" i="29"/>
  <c r="I234" i="29" s="1"/>
  <c r="F217" i="29"/>
  <c r="F218" i="29" s="1"/>
  <c r="F219" i="29" s="1"/>
  <c r="F220" i="29" s="1"/>
  <c r="F221" i="29" s="1"/>
  <c r="F222" i="29" s="1"/>
  <c r="F216" i="29"/>
  <c r="H234" i="29" s="1"/>
  <c r="F201" i="29"/>
  <c r="F202" i="29" s="1"/>
  <c r="F203" i="29" s="1"/>
  <c r="F204" i="29" s="1"/>
  <c r="F205" i="29" s="1"/>
  <c r="F206" i="29" s="1"/>
  <c r="F207" i="29" s="1"/>
  <c r="F199" i="29"/>
  <c r="F191" i="29"/>
  <c r="F192" i="29" s="1"/>
  <c r="F193" i="29" s="1"/>
  <c r="F194" i="29" s="1"/>
  <c r="F195" i="29" s="1"/>
  <c r="F196" i="29" s="1"/>
  <c r="A208" i="29" s="1"/>
  <c r="F190" i="29"/>
  <c r="H208" i="29" s="1"/>
  <c r="F175" i="29"/>
  <c r="F176" i="29" s="1"/>
  <c r="F177" i="29" s="1"/>
  <c r="F178" i="29" s="1"/>
  <c r="F179" i="29" s="1"/>
  <c r="F180" i="29" s="1"/>
  <c r="F181" i="29" s="1"/>
  <c r="F173" i="29"/>
  <c r="F165" i="29"/>
  <c r="F166" i="29" s="1"/>
  <c r="F167" i="29" s="1"/>
  <c r="F168" i="29" s="1"/>
  <c r="F169" i="29" s="1"/>
  <c r="F170" i="29" s="1"/>
  <c r="A182" i="29" s="1"/>
  <c r="F164" i="29"/>
  <c r="H182" i="29" s="1"/>
  <c r="F149" i="29"/>
  <c r="F150" i="29" s="1"/>
  <c r="F151" i="29" s="1"/>
  <c r="F152" i="29" s="1"/>
  <c r="F153" i="29" s="1"/>
  <c r="F154" i="29" s="1"/>
  <c r="F155" i="29" s="1"/>
  <c r="F147" i="29"/>
  <c r="F139" i="29"/>
  <c r="F140" i="29" s="1"/>
  <c r="F141" i="29" s="1"/>
  <c r="F142" i="29" s="1"/>
  <c r="F143" i="29" s="1"/>
  <c r="F144" i="29" s="1"/>
  <c r="A156" i="29" s="1"/>
  <c r="F138" i="29"/>
  <c r="H156" i="29" s="1"/>
  <c r="I130" i="29"/>
  <c r="F123" i="29"/>
  <c r="F121" i="29"/>
  <c r="F124" i="29" s="1"/>
  <c r="F125" i="29" s="1"/>
  <c r="F126" i="29" s="1"/>
  <c r="F127" i="29" s="1"/>
  <c r="F128" i="29" s="1"/>
  <c r="F129" i="29" s="1"/>
  <c r="F114" i="29"/>
  <c r="F115" i="29" s="1"/>
  <c r="F116" i="29" s="1"/>
  <c r="F117" i="29" s="1"/>
  <c r="F118" i="29" s="1"/>
  <c r="F113" i="29"/>
  <c r="F112" i="29"/>
  <c r="H130" i="29" s="1"/>
  <c r="H104" i="29"/>
  <c r="F97" i="29"/>
  <c r="F95" i="29"/>
  <c r="F98" i="29" s="1"/>
  <c r="F99" i="29" s="1"/>
  <c r="F100" i="29" s="1"/>
  <c r="F101" i="29" s="1"/>
  <c r="F102" i="29" s="1"/>
  <c r="F103" i="29" s="1"/>
  <c r="F86" i="29"/>
  <c r="F87" i="29" s="1"/>
  <c r="F88" i="29" s="1"/>
  <c r="F89" i="29" s="1"/>
  <c r="F90" i="29" s="1"/>
  <c r="F91" i="29" s="1"/>
  <c r="F92" i="29" s="1"/>
  <c r="A104" i="29" s="1"/>
  <c r="H78" i="29"/>
  <c r="F71" i="29"/>
  <c r="F69" i="29"/>
  <c r="F72" i="29" s="1"/>
  <c r="F73" i="29" s="1"/>
  <c r="F74" i="29" s="1"/>
  <c r="F75" i="29" s="1"/>
  <c r="F76" i="29" s="1"/>
  <c r="F77" i="29" s="1"/>
  <c r="F60" i="29"/>
  <c r="F61" i="29" s="1"/>
  <c r="F62" i="29" s="1"/>
  <c r="F63" i="29" s="1"/>
  <c r="F64" i="29" s="1"/>
  <c r="F65" i="29" s="1"/>
  <c r="F66" i="29" s="1"/>
  <c r="H52" i="29"/>
  <c r="F45" i="29"/>
  <c r="F43" i="29"/>
  <c r="F46" i="29" s="1"/>
  <c r="F47" i="29" s="1"/>
  <c r="F48" i="29" s="1"/>
  <c r="F49" i="29" s="1"/>
  <c r="F50" i="29" s="1"/>
  <c r="F51" i="29" s="1"/>
  <c r="F34" i="29"/>
  <c r="F35" i="29" s="1"/>
  <c r="F36" i="29" s="1"/>
  <c r="F37" i="29" s="1"/>
  <c r="F38" i="29" s="1"/>
  <c r="F39" i="29" s="1"/>
  <c r="F40" i="29" s="1"/>
  <c r="A52" i="29" s="1"/>
  <c r="F19" i="29"/>
  <c r="F17" i="29"/>
  <c r="F20" i="29" s="1"/>
  <c r="F21" i="29" s="1"/>
  <c r="F22" i="29" s="1"/>
  <c r="F23" i="29" s="1"/>
  <c r="F24" i="29" s="1"/>
  <c r="F25" i="29" s="1"/>
  <c r="F9" i="29"/>
  <c r="F10" i="29" s="1"/>
  <c r="F11" i="29" s="1"/>
  <c r="F12" i="29" s="1"/>
  <c r="F13" i="29" s="1"/>
  <c r="F14" i="29" s="1"/>
  <c r="F8" i="29"/>
  <c r="H26" i="29" s="1"/>
  <c r="H234" i="28"/>
  <c r="F227" i="28"/>
  <c r="I234" i="28" s="1"/>
  <c r="F225" i="28"/>
  <c r="F217" i="28"/>
  <c r="F218" i="28" s="1"/>
  <c r="F219" i="28" s="1"/>
  <c r="F220" i="28" s="1"/>
  <c r="F221" i="28" s="1"/>
  <c r="F222" i="28" s="1"/>
  <c r="F216" i="28"/>
  <c r="F201" i="28"/>
  <c r="I208" i="28" s="1"/>
  <c r="F199" i="28"/>
  <c r="F202" i="28" s="1"/>
  <c r="F203" i="28" s="1"/>
  <c r="E190" i="28" a="1"/>
  <c r="E190" i="28" s="1"/>
  <c r="F190" i="28" s="1"/>
  <c r="F175" i="28"/>
  <c r="F173" i="28"/>
  <c r="I182" i="28" s="1"/>
  <c r="E164" i="28" a="1"/>
  <c r="E164" i="28" s="1"/>
  <c r="F164" i="28" s="1"/>
  <c r="F149" i="28"/>
  <c r="F147" i="28"/>
  <c r="I156" i="28" s="1"/>
  <c r="E138" i="28" a="1"/>
  <c r="E138" i="28" s="1"/>
  <c r="F138" i="28" s="1"/>
  <c r="F123" i="28"/>
  <c r="F121" i="28"/>
  <c r="I130" i="28" s="1"/>
  <c r="E112" i="28" a="1"/>
  <c r="E112" i="28" s="1"/>
  <c r="F112" i="28" s="1"/>
  <c r="F97" i="28"/>
  <c r="F95" i="28"/>
  <c r="I104" i="28" s="1"/>
  <c r="E86" i="28" a="1"/>
  <c r="E86" i="28" s="1"/>
  <c r="F86" i="28" s="1"/>
  <c r="F71" i="28"/>
  <c r="F69" i="28"/>
  <c r="E60" i="28" a="1"/>
  <c r="E60" i="28" s="1"/>
  <c r="F60" i="28" s="1"/>
  <c r="F45" i="28"/>
  <c r="F43" i="28"/>
  <c r="E34" i="28" a="1"/>
  <c r="E34" i="28" s="1"/>
  <c r="F34" i="28" s="1"/>
  <c r="F19" i="28"/>
  <c r="F17" i="28"/>
  <c r="F11" i="28"/>
  <c r="F8" i="28"/>
  <c r="F9" i="28" s="1"/>
  <c r="F10" i="28" s="1"/>
  <c r="F57" i="27"/>
  <c r="F56" i="27"/>
  <c r="F55" i="27"/>
  <c r="F58" i="27" s="1"/>
  <c r="F49" i="27"/>
  <c r="F46" i="27"/>
  <c r="F45" i="27"/>
  <c r="F47" i="27" s="1"/>
  <c r="F48" i="27" s="1"/>
  <c r="F44" i="27"/>
  <c r="F41" i="27"/>
  <c r="F39" i="27"/>
  <c r="F40" i="27" s="1"/>
  <c r="F30" i="27"/>
  <c r="F29" i="27"/>
  <c r="F28" i="27"/>
  <c r="F27" i="27"/>
  <c r="F22" i="27"/>
  <c r="F12" i="27"/>
  <c r="F11" i="27"/>
  <c r="F13" i="27" s="1"/>
  <c r="F10" i="27"/>
  <c r="F7" i="27"/>
  <c r="F5" i="27"/>
  <c r="F6" i="27" s="1"/>
  <c r="F58" i="26"/>
  <c r="F57" i="26"/>
  <c r="F56" i="26"/>
  <c r="F55" i="26"/>
  <c r="F46" i="26"/>
  <c r="F45" i="26"/>
  <c r="F44" i="26"/>
  <c r="F47" i="26" s="1"/>
  <c r="F40" i="26"/>
  <c r="F41" i="26" s="1"/>
  <c r="F39" i="26"/>
  <c r="F29" i="26"/>
  <c r="F28" i="26"/>
  <c r="F27" i="26"/>
  <c r="F22" i="26"/>
  <c r="F14" i="26"/>
  <c r="F12" i="26"/>
  <c r="F11" i="26"/>
  <c r="F10" i="26"/>
  <c r="F13" i="26" s="1"/>
  <c r="F6" i="26"/>
  <c r="F5" i="26"/>
  <c r="F7" i="26" s="1"/>
  <c r="G35" i="25"/>
  <c r="J33" i="25"/>
  <c r="G31" i="25"/>
  <c r="J31" i="25" s="1"/>
  <c r="G29" i="25"/>
  <c r="J29" i="25" s="1"/>
  <c r="G26" i="25"/>
  <c r="G27" i="25" s="1"/>
  <c r="J27" i="25" s="1"/>
  <c r="J23" i="25"/>
  <c r="E22" i="25"/>
  <c r="E21" i="25"/>
  <c r="E23" i="25" s="1"/>
  <c r="H23" i="25" s="1"/>
  <c r="E20" i="25"/>
  <c r="E19" i="25"/>
  <c r="E18" i="25"/>
  <c r="G14" i="25"/>
  <c r="G13" i="25"/>
  <c r="G15" i="25" s="1"/>
  <c r="J15" i="25" s="1"/>
  <c r="J11" i="25"/>
  <c r="G10" i="25"/>
  <c r="G11" i="25" s="1"/>
  <c r="G8" i="25"/>
  <c r="J8" i="25" s="1"/>
  <c r="G7" i="25"/>
  <c r="G4" i="25"/>
  <c r="G5" i="25" s="1"/>
  <c r="J5" i="25" s="1"/>
  <c r="G53" i="24"/>
  <c r="G49" i="24"/>
  <c r="G48" i="24"/>
  <c r="G47" i="24"/>
  <c r="G46" i="24"/>
  <c r="G45" i="24"/>
  <c r="G44" i="24"/>
  <c r="G38" i="24"/>
  <c r="G37" i="24"/>
  <c r="G36" i="24"/>
  <c r="G35" i="24"/>
  <c r="G34" i="24"/>
  <c r="G33" i="24"/>
  <c r="G32" i="24"/>
  <c r="H57" i="24" s="1"/>
  <c r="G31" i="24"/>
  <c r="G25" i="24"/>
  <c r="I29" i="24" s="1"/>
  <c r="G21" i="24"/>
  <c r="G20" i="24"/>
  <c r="G19" i="24"/>
  <c r="G18" i="24"/>
  <c r="G17" i="24"/>
  <c r="G16" i="24"/>
  <c r="G10" i="24"/>
  <c r="G9" i="24"/>
  <c r="G8" i="24"/>
  <c r="G7" i="24"/>
  <c r="G6" i="24"/>
  <c r="G5" i="24"/>
  <c r="G4" i="24"/>
  <c r="G3" i="24"/>
  <c r="G11" i="24" s="1"/>
  <c r="G12" i="24" s="1"/>
  <c r="H279" i="22"/>
  <c r="F270" i="22"/>
  <c r="F268" i="22"/>
  <c r="E263" i="22"/>
  <c r="F263" i="22" s="1"/>
  <c r="F258" i="22"/>
  <c r="F256" i="22"/>
  <c r="F260" i="22" s="1"/>
  <c r="F261" i="22" s="1"/>
  <c r="F262" i="22" s="1"/>
  <c r="F264" i="22" s="1"/>
  <c r="I248" i="22"/>
  <c r="E244" i="22"/>
  <c r="F239" i="22"/>
  <c r="F237" i="22"/>
  <c r="F227" i="22"/>
  <c r="F225" i="22"/>
  <c r="H213" i="22"/>
  <c r="E213" i="22"/>
  <c r="F213" i="22" s="1"/>
  <c r="F210" i="22"/>
  <c r="F208" i="22"/>
  <c r="F206" i="22"/>
  <c r="I217" i="22" s="1"/>
  <c r="F201" i="22"/>
  <c r="E201" i="22"/>
  <c r="F196" i="22"/>
  <c r="F194" i="22"/>
  <c r="F179" i="22"/>
  <c r="F177" i="22"/>
  <c r="F175" i="22"/>
  <c r="I186" i="22" s="1"/>
  <c r="F165" i="22"/>
  <c r="F163" i="22"/>
  <c r="F148" i="22"/>
  <c r="F146" i="22"/>
  <c r="F144" i="22"/>
  <c r="I155" i="22" s="1"/>
  <c r="F139" i="22"/>
  <c r="F134" i="22"/>
  <c r="H155" i="22" s="1"/>
  <c r="F132" i="22"/>
  <c r="E139" i="22" s="1"/>
  <c r="F115" i="22"/>
  <c r="F113" i="22"/>
  <c r="F108" i="22"/>
  <c r="F103" i="22"/>
  <c r="F105" i="22" s="1"/>
  <c r="F101" i="22"/>
  <c r="E108" i="22" s="1"/>
  <c r="H93" i="22"/>
  <c r="E89" i="22"/>
  <c r="F89" i="22" s="1"/>
  <c r="F86" i="22"/>
  <c r="F84" i="22"/>
  <c r="F82" i="22"/>
  <c r="F77" i="22"/>
  <c r="E77" i="22"/>
  <c r="F72" i="22"/>
  <c r="F70" i="22"/>
  <c r="F58" i="22"/>
  <c r="E58" i="22"/>
  <c r="F56" i="22"/>
  <c r="F57" i="22" s="1"/>
  <c r="F59" i="22" s="1"/>
  <c r="F53" i="22"/>
  <c r="I62" i="22" s="1"/>
  <c r="F51" i="22"/>
  <c r="F55" i="22" s="1"/>
  <c r="F41" i="22"/>
  <c r="F39" i="22"/>
  <c r="H62" i="22" s="1"/>
  <c r="E27" i="22"/>
  <c r="F27" i="22" s="1"/>
  <c r="F22" i="22"/>
  <c r="F20" i="22"/>
  <c r="E15" i="22"/>
  <c r="F15" i="22" s="1"/>
  <c r="F10" i="22"/>
  <c r="F8" i="22"/>
  <c r="F26" i="21"/>
  <c r="F24" i="21"/>
  <c r="E31" i="21" s="1"/>
  <c r="F31" i="21" s="1"/>
  <c r="F22" i="21"/>
  <c r="E17" i="21"/>
  <c r="F17" i="21" s="1"/>
  <c r="F12" i="21"/>
  <c r="F10" i="21"/>
  <c r="F8" i="21"/>
  <c r="H217" i="20"/>
  <c r="F213" i="20"/>
  <c r="E213" i="20"/>
  <c r="F210" i="20"/>
  <c r="F208" i="20"/>
  <c r="F206" i="20"/>
  <c r="I217" i="20" s="1"/>
  <c r="F196" i="20"/>
  <c r="F194" i="20"/>
  <c r="H186" i="20"/>
  <c r="E182" i="20"/>
  <c r="F182" i="20" s="1"/>
  <c r="F177" i="20"/>
  <c r="I186" i="20" s="1"/>
  <c r="F175" i="20"/>
  <c r="F167" i="20"/>
  <c r="F165" i="20"/>
  <c r="F163" i="20"/>
  <c r="F151" i="20"/>
  <c r="E151" i="20"/>
  <c r="F146" i="20"/>
  <c r="F148" i="20" s="1"/>
  <c r="F144" i="20"/>
  <c r="E139" i="20"/>
  <c r="F139" i="20" s="1"/>
  <c r="F134" i="20"/>
  <c r="H155" i="20" s="1"/>
  <c r="F132" i="20"/>
  <c r="F115" i="20"/>
  <c r="F113" i="20"/>
  <c r="E108" i="20"/>
  <c r="F108" i="20" s="1"/>
  <c r="F106" i="20"/>
  <c r="F107" i="20" s="1"/>
  <c r="F105" i="20"/>
  <c r="F103" i="20"/>
  <c r="F101" i="20"/>
  <c r="H124" i="20" s="1"/>
  <c r="H93" i="20"/>
  <c r="F84" i="20"/>
  <c r="F82" i="20"/>
  <c r="F75" i="20"/>
  <c r="F76" i="20" s="1"/>
  <c r="F74" i="20"/>
  <c r="F72" i="20"/>
  <c r="F70" i="20"/>
  <c r="E77" i="20" s="1"/>
  <c r="F77" i="20" s="1"/>
  <c r="I62" i="20"/>
  <c r="H62" i="20"/>
  <c r="E58" i="20"/>
  <c r="F58" i="20" s="1"/>
  <c r="F53" i="20"/>
  <c r="F55" i="20" s="1"/>
  <c r="F51" i="20"/>
  <c r="E46" i="20"/>
  <c r="F46" i="20" s="1"/>
  <c r="F41" i="20"/>
  <c r="F39" i="20"/>
  <c r="I31" i="20"/>
  <c r="E27" i="20"/>
  <c r="F27" i="20" s="1"/>
  <c r="F25" i="20"/>
  <c r="F26" i="20" s="1"/>
  <c r="F24" i="20"/>
  <c r="F22" i="20"/>
  <c r="F20" i="20"/>
  <c r="F10" i="20"/>
  <c r="F8" i="20"/>
  <c r="J60" i="19"/>
  <c r="J59" i="19"/>
  <c r="E56" i="19"/>
  <c r="E55" i="19"/>
  <c r="E54" i="19"/>
  <c r="E53" i="19"/>
  <c r="E57" i="19" s="1"/>
  <c r="H57" i="19" s="1"/>
  <c r="E49" i="19"/>
  <c r="E48" i="19"/>
  <c r="E47" i="19"/>
  <c r="E46" i="19"/>
  <c r="E45" i="19"/>
  <c r="E44" i="19"/>
  <c r="E43" i="19"/>
  <c r="E42" i="19"/>
  <c r="E41" i="19"/>
  <c r="E40" i="19"/>
  <c r="E38" i="19"/>
  <c r="H38" i="19" s="1"/>
  <c r="J38" i="19" s="1"/>
  <c r="E37" i="19"/>
  <c r="E36" i="19"/>
  <c r="E35" i="19"/>
  <c r="E34" i="19"/>
  <c r="E33" i="19"/>
  <c r="E32" i="19"/>
  <c r="E22" i="19"/>
  <c r="D22" i="19"/>
  <c r="E21" i="19"/>
  <c r="G21" i="19" s="1"/>
  <c r="D19" i="19"/>
  <c r="G19" i="19" s="1"/>
  <c r="F16" i="19"/>
  <c r="G16" i="19" s="1"/>
  <c r="E16" i="19"/>
  <c r="D16" i="19"/>
  <c r="F15" i="19"/>
  <c r="E15" i="19"/>
  <c r="E20" i="19" s="1"/>
  <c r="G12" i="19"/>
  <c r="E12" i="19"/>
  <c r="D12" i="19"/>
  <c r="E11" i="19"/>
  <c r="G9" i="19"/>
  <c r="J9" i="19" s="1"/>
  <c r="G8" i="19"/>
  <c r="G7" i="19"/>
  <c r="D7" i="19"/>
  <c r="D11" i="19" s="1"/>
  <c r="D15" i="19" s="1"/>
  <c r="J5" i="19"/>
  <c r="G5" i="19"/>
  <c r="G4" i="19"/>
  <c r="E22" i="18"/>
  <c r="F22" i="18" s="1"/>
  <c r="F21" i="18"/>
  <c r="F23" i="18" s="1"/>
  <c r="F20" i="18"/>
  <c r="F19" i="18"/>
  <c r="F11" i="18"/>
  <c r="F12" i="18" s="1"/>
  <c r="F10" i="18"/>
  <c r="F8" i="18"/>
  <c r="F6" i="18"/>
  <c r="G127" i="17"/>
  <c r="G126" i="17"/>
  <c r="J125" i="17"/>
  <c r="G125" i="17"/>
  <c r="J124" i="17"/>
  <c r="J120" i="17"/>
  <c r="J119" i="17"/>
  <c r="J117" i="17"/>
  <c r="J116" i="17"/>
  <c r="J115" i="17"/>
  <c r="J114" i="17"/>
  <c r="J113" i="17"/>
  <c r="J110" i="17"/>
  <c r="J109" i="17"/>
  <c r="J108" i="17"/>
  <c r="J107" i="17"/>
  <c r="J105" i="17"/>
  <c r="J104" i="17"/>
  <c r="J102" i="17"/>
  <c r="J101" i="17"/>
  <c r="J99" i="17"/>
  <c r="J98" i="17"/>
  <c r="J97" i="17"/>
  <c r="J96" i="17"/>
  <c r="J95" i="17"/>
  <c r="J94" i="17"/>
  <c r="J93" i="17"/>
  <c r="J92" i="17"/>
  <c r="J91" i="17"/>
  <c r="J90" i="17"/>
  <c r="G39" i="17"/>
  <c r="G38" i="17"/>
  <c r="G37" i="17"/>
  <c r="J37" i="17" s="1"/>
  <c r="J36" i="17"/>
  <c r="J32" i="17"/>
  <c r="J31" i="17"/>
  <c r="J29" i="17"/>
  <c r="J28" i="17"/>
  <c r="J27" i="17"/>
  <c r="J26" i="17"/>
  <c r="J25" i="17"/>
  <c r="J22" i="17"/>
  <c r="J21" i="17"/>
  <c r="J20" i="17"/>
  <c r="J19" i="17"/>
  <c r="J17" i="17"/>
  <c r="J16" i="17"/>
  <c r="J14" i="17"/>
  <c r="J13" i="17"/>
  <c r="J11" i="17"/>
  <c r="J10" i="17"/>
  <c r="J9" i="17"/>
  <c r="J8" i="17"/>
  <c r="J7" i="17"/>
  <c r="J6" i="17"/>
  <c r="J5" i="17"/>
  <c r="J4" i="17"/>
  <c r="G45" i="16"/>
  <c r="G44" i="16"/>
  <c r="G46" i="16" s="1"/>
  <c r="G47" i="16" s="1"/>
  <c r="G43" i="16"/>
  <c r="G42" i="16"/>
  <c r="G41" i="16"/>
  <c r="G40" i="16"/>
  <c r="G34" i="16"/>
  <c r="G33" i="16"/>
  <c r="G32" i="16"/>
  <c r="G31" i="16"/>
  <c r="E30" i="16" a="1"/>
  <c r="E30" i="16"/>
  <c r="G30" i="16" s="1"/>
  <c r="G35" i="16" s="1"/>
  <c r="G29" i="16"/>
  <c r="G28" i="16"/>
  <c r="G19" i="16"/>
  <c r="G18" i="16"/>
  <c r="G20" i="16" s="1"/>
  <c r="G17" i="16"/>
  <c r="C17" i="16"/>
  <c r="G16" i="16"/>
  <c r="C16" i="16"/>
  <c r="G15" i="16"/>
  <c r="G14" i="16"/>
  <c r="G8" i="16"/>
  <c r="G7" i="16"/>
  <c r="G6" i="16"/>
  <c r="G5" i="16"/>
  <c r="E4" i="16" a="1"/>
  <c r="E4" i="16" s="1"/>
  <c r="G4" i="16" s="1"/>
  <c r="G3" i="16"/>
  <c r="G2" i="16"/>
  <c r="D52" i="15"/>
  <c r="G39" i="15" s="1"/>
  <c r="E51" i="15"/>
  <c r="E50" i="15"/>
  <c r="E49" i="15"/>
  <c r="E48" i="15"/>
  <c r="E47" i="15"/>
  <c r="E46" i="15"/>
  <c r="E45" i="15"/>
  <c r="E44" i="15"/>
  <c r="G43" i="15"/>
  <c r="F43" i="15"/>
  <c r="E43" i="15"/>
  <c r="G42" i="15"/>
  <c r="F42" i="15"/>
  <c r="E42" i="15"/>
  <c r="G41" i="15"/>
  <c r="F41" i="15"/>
  <c r="E41" i="15"/>
  <c r="G40" i="15"/>
  <c r="F40" i="15"/>
  <c r="E40" i="15"/>
  <c r="F39" i="15"/>
  <c r="E39" i="15"/>
  <c r="G38" i="15"/>
  <c r="F38" i="15"/>
  <c r="E38" i="15"/>
  <c r="G37" i="15"/>
  <c r="F37" i="15"/>
  <c r="E37" i="15"/>
  <c r="G36" i="15"/>
  <c r="F36" i="15"/>
  <c r="E36" i="15"/>
  <c r="G35" i="15"/>
  <c r="F35" i="15"/>
  <c r="E35" i="15"/>
  <c r="G34" i="15"/>
  <c r="F34" i="15"/>
  <c r="E34" i="15"/>
  <c r="G33" i="15"/>
  <c r="F33" i="15"/>
  <c r="E33" i="15"/>
  <c r="G32" i="15"/>
  <c r="F32" i="15"/>
  <c r="E32" i="15"/>
  <c r="G31" i="15"/>
  <c r="F31" i="15"/>
  <c r="E31" i="15"/>
  <c r="G30" i="15"/>
  <c r="F30" i="15"/>
  <c r="E30" i="15"/>
  <c r="G29" i="15"/>
  <c r="F29" i="15"/>
  <c r="E29" i="15"/>
  <c r="G28" i="15"/>
  <c r="F28" i="15"/>
  <c r="E28" i="15"/>
  <c r="G27" i="15"/>
  <c r="F27" i="15"/>
  <c r="E27" i="15"/>
  <c r="G26" i="15"/>
  <c r="F26" i="15"/>
  <c r="E26" i="15"/>
  <c r="G25" i="15"/>
  <c r="F25" i="15"/>
  <c r="E25" i="15"/>
  <c r="G24" i="15"/>
  <c r="F24" i="15"/>
  <c r="E24" i="15"/>
  <c r="G23" i="15"/>
  <c r="F23" i="15"/>
  <c r="E23" i="15"/>
  <c r="G22" i="15"/>
  <c r="F22" i="15"/>
  <c r="E22" i="15"/>
  <c r="G21" i="15"/>
  <c r="F21" i="15"/>
  <c r="E21" i="15"/>
  <c r="G20" i="15"/>
  <c r="F20" i="15"/>
  <c r="E20" i="15"/>
  <c r="G19" i="15"/>
  <c r="F19" i="15"/>
  <c r="E19" i="15"/>
  <c r="G18" i="15"/>
  <c r="F18" i="15"/>
  <c r="E18" i="15"/>
  <c r="G17" i="15"/>
  <c r="F17" i="15"/>
  <c r="E17" i="15"/>
  <c r="G16" i="15"/>
  <c r="F16" i="15"/>
  <c r="E16" i="15"/>
  <c r="G15" i="15"/>
  <c r="F15" i="15"/>
  <c r="E15" i="15"/>
  <c r="G14" i="15"/>
  <c r="F14" i="15"/>
  <c r="E14" i="15"/>
  <c r="G13" i="15"/>
  <c r="F13" i="15"/>
  <c r="E13" i="15"/>
  <c r="G12" i="15"/>
  <c r="F12" i="15"/>
  <c r="E12" i="15"/>
  <c r="G11" i="15"/>
  <c r="F11" i="15"/>
  <c r="E11" i="15"/>
  <c r="G10" i="15"/>
  <c r="F10" i="15"/>
  <c r="E10" i="15"/>
  <c r="G9" i="15"/>
  <c r="F9" i="15"/>
  <c r="E9" i="15"/>
  <c r="G8" i="15"/>
  <c r="F8" i="15"/>
  <c r="E8" i="15"/>
  <c r="G7" i="15"/>
  <c r="F7" i="15"/>
  <c r="E7" i="15"/>
  <c r="G6" i="15"/>
  <c r="F6" i="15"/>
  <c r="E6" i="15"/>
  <c r="G5" i="15"/>
  <c r="F5" i="15"/>
  <c r="E5" i="15"/>
  <c r="G4" i="15"/>
  <c r="F4" i="15"/>
  <c r="E4" i="15"/>
  <c r="G3" i="15"/>
  <c r="F3" i="15"/>
  <c r="E3" i="15"/>
  <c r="G2" i="15"/>
  <c r="F2" i="15"/>
  <c r="E2" i="15"/>
  <c r="G1" i="15"/>
  <c r="F1" i="15"/>
  <c r="E1" i="15"/>
  <c r="G8" i="14"/>
  <c r="G7" i="14"/>
  <c r="G5" i="14"/>
  <c r="G4" i="14"/>
  <c r="G3" i="14"/>
  <c r="G9" i="14" s="1"/>
  <c r="F61" i="13"/>
  <c r="F60" i="13"/>
  <c r="F59" i="13"/>
  <c r="F62" i="13" s="1"/>
  <c r="F51" i="13"/>
  <c r="F52" i="13" s="1"/>
  <c r="F50" i="13"/>
  <c r="F49" i="13"/>
  <c r="F48" i="13"/>
  <c r="F40" i="13"/>
  <c r="F41" i="13" s="1"/>
  <c r="F42" i="13" s="1"/>
  <c r="F39" i="13"/>
  <c r="F38" i="13"/>
  <c r="F37" i="13"/>
  <c r="F29" i="13"/>
  <c r="F30" i="13" s="1"/>
  <c r="F31" i="13" s="1"/>
  <c r="F28" i="13"/>
  <c r="F27" i="13"/>
  <c r="F26" i="13"/>
  <c r="F17" i="13"/>
  <c r="F16" i="13"/>
  <c r="F15" i="13"/>
  <c r="F6" i="13"/>
  <c r="F5" i="13"/>
  <c r="F4" i="13"/>
  <c r="F7" i="13" s="1"/>
  <c r="F113" i="12"/>
  <c r="F114" i="12" s="1"/>
  <c r="F112" i="12"/>
  <c r="F111" i="12"/>
  <c r="F110" i="12"/>
  <c r="F103" i="12"/>
  <c r="F104" i="12" s="1"/>
  <c r="F105" i="12" s="1"/>
  <c r="F102" i="12"/>
  <c r="F89" i="12"/>
  <c r="F88" i="12"/>
  <c r="F87" i="12"/>
  <c r="F90" i="12" s="1"/>
  <c r="F78" i="12"/>
  <c r="F80" i="12" s="1"/>
  <c r="F66" i="12"/>
  <c r="F65" i="12"/>
  <c r="F64" i="12"/>
  <c r="F63" i="12"/>
  <c r="F56" i="12"/>
  <c r="F57" i="12" s="1"/>
  <c r="F54" i="12"/>
  <c r="F41" i="12"/>
  <c r="F42" i="12" s="1"/>
  <c r="F40" i="12"/>
  <c r="F39" i="12"/>
  <c r="F32" i="12"/>
  <c r="E30" i="12" a="1"/>
  <c r="E30" i="12"/>
  <c r="F30" i="12" s="1"/>
  <c r="F18" i="12"/>
  <c r="F17" i="12"/>
  <c r="F16" i="12"/>
  <c r="F15" i="12"/>
  <c r="E6" i="12" a="1"/>
  <c r="E6" i="12" s="1"/>
  <c r="F6" i="12" s="1"/>
  <c r="F8" i="12" s="1"/>
  <c r="F25" i="11"/>
  <c r="F23" i="11"/>
  <c r="F20" i="11"/>
  <c r="F17" i="11"/>
  <c r="I32" i="11" s="1"/>
  <c r="E8" i="11" a="1"/>
  <c r="E8" i="11"/>
  <c r="F8" i="11" s="1"/>
  <c r="F23" i="10"/>
  <c r="F20" i="10"/>
  <c r="F18" i="10"/>
  <c r="F24" i="10" s="1"/>
  <c r="F25" i="10" s="1"/>
  <c r="F16" i="10"/>
  <c r="F14" i="10"/>
  <c r="F11" i="10"/>
  <c r="F8" i="10"/>
  <c r="F153" i="8"/>
  <c r="F152" i="8"/>
  <c r="F150" i="8"/>
  <c r="F149" i="8"/>
  <c r="F154" i="8" s="1"/>
  <c r="F146" i="8"/>
  <c r="F133" i="8"/>
  <c r="F132" i="8"/>
  <c r="F130" i="8"/>
  <c r="F134" i="8" s="1"/>
  <c r="F129" i="8"/>
  <c r="F126" i="8"/>
  <c r="F115" i="8"/>
  <c r="F113" i="8"/>
  <c r="F112" i="8"/>
  <c r="F110" i="8"/>
  <c r="F109" i="8"/>
  <c r="F106" i="8"/>
  <c r="F114" i="8" s="1"/>
  <c r="F116" i="8" s="1"/>
  <c r="F93" i="8"/>
  <c r="F92" i="8"/>
  <c r="F90" i="8"/>
  <c r="F89" i="8"/>
  <c r="F86" i="8"/>
  <c r="F94" i="8" s="1"/>
  <c r="F74" i="8"/>
  <c r="F73" i="8"/>
  <c r="F72" i="8"/>
  <c r="F70" i="8"/>
  <c r="F69" i="8"/>
  <c r="F66" i="8"/>
  <c r="F53" i="8"/>
  <c r="F52" i="8"/>
  <c r="F50" i="8"/>
  <c r="F49" i="8"/>
  <c r="F46" i="8"/>
  <c r="F54" i="8" s="1"/>
  <c r="F33" i="8"/>
  <c r="F32" i="8"/>
  <c r="F30" i="8"/>
  <c r="F34" i="8" s="1"/>
  <c r="F29" i="8"/>
  <c r="F26" i="8"/>
  <c r="F13" i="8"/>
  <c r="F12" i="8"/>
  <c r="F10" i="8"/>
  <c r="F9" i="8"/>
  <c r="F6" i="8"/>
  <c r="F14" i="8" s="1"/>
  <c r="F10" i="5"/>
  <c r="F9" i="5"/>
  <c r="F8" i="5"/>
  <c r="F7" i="5"/>
  <c r="F6" i="5"/>
  <c r="F278" i="4"/>
  <c r="F277" i="4"/>
  <c r="F276" i="4"/>
  <c r="F275" i="4"/>
  <c r="F279" i="4" s="1"/>
  <c r="F252" i="4"/>
  <c r="F251" i="4"/>
  <c r="F250" i="4"/>
  <c r="F249" i="4"/>
  <c r="F253" i="4" s="1"/>
  <c r="F240" i="4"/>
  <c r="F241" i="4" s="1"/>
  <c r="E240" i="4" a="1"/>
  <c r="E240" i="4"/>
  <c r="F226" i="4"/>
  <c r="F225" i="4"/>
  <c r="F224" i="4"/>
  <c r="F223" i="4"/>
  <c r="F227" i="4" s="1"/>
  <c r="F214" i="4"/>
  <c r="F215" i="4" s="1"/>
  <c r="F201" i="4"/>
  <c r="F200" i="4"/>
  <c r="F199" i="4"/>
  <c r="F198" i="4"/>
  <c r="F197" i="4"/>
  <c r="E188" i="4" a="1"/>
  <c r="E188" i="4" s="1"/>
  <c r="F188" i="4" s="1"/>
  <c r="F189" i="4" s="1"/>
  <c r="F173" i="4"/>
  <c r="F172" i="4"/>
  <c r="F171" i="4"/>
  <c r="F175" i="4" s="1"/>
  <c r="E162" i="4" a="1"/>
  <c r="E162" i="4" s="1"/>
  <c r="F162" i="4" s="1"/>
  <c r="F163" i="4" s="1"/>
  <c r="F147" i="4"/>
  <c r="F146" i="4"/>
  <c r="F145" i="4"/>
  <c r="F149" i="4" s="1"/>
  <c r="F136" i="4"/>
  <c r="F137" i="4" s="1"/>
  <c r="E136" i="4" a="1"/>
  <c r="E136" i="4"/>
  <c r="F123" i="4"/>
  <c r="F124" i="4" s="1"/>
  <c r="F122" i="4"/>
  <c r="F121" i="4"/>
  <c r="F120" i="4"/>
  <c r="F119" i="4"/>
  <c r="E110" i="4" a="1"/>
  <c r="E110" i="4" s="1"/>
  <c r="F110" i="4" s="1"/>
  <c r="F111" i="4" s="1"/>
  <c r="F96" i="4"/>
  <c r="F97" i="4" s="1"/>
  <c r="F95" i="4"/>
  <c r="F94" i="4"/>
  <c r="F93" i="4"/>
  <c r="E84" i="4" a="1"/>
  <c r="E84" i="4"/>
  <c r="F84" i="4" s="1"/>
  <c r="F85" i="4" s="1"/>
  <c r="F70" i="4"/>
  <c r="F69" i="4"/>
  <c r="F68" i="4"/>
  <c r="F67" i="4"/>
  <c r="F71" i="4" s="1"/>
  <c r="E58" i="4" a="1"/>
  <c r="E58" i="4"/>
  <c r="F58" i="4" s="1"/>
  <c r="F59" i="4" s="1"/>
  <c r="F45" i="4"/>
  <c r="F44" i="4"/>
  <c r="F43" i="4"/>
  <c r="F42" i="4"/>
  <c r="F41" i="4"/>
  <c r="E32" i="4" a="1"/>
  <c r="E32" i="4"/>
  <c r="F32" i="4" s="1"/>
  <c r="F33" i="4" s="1"/>
  <c r="F18" i="4"/>
  <c r="F17" i="4"/>
  <c r="F16" i="4"/>
  <c r="F15" i="4"/>
  <c r="F19" i="4" s="1"/>
  <c r="F6" i="4"/>
  <c r="F7" i="4" s="1"/>
  <c r="E6" i="4" a="1"/>
  <c r="E6" i="4"/>
  <c r="F73" i="3"/>
  <c r="F72" i="3"/>
  <c r="F70" i="3"/>
  <c r="F74" i="3" s="1"/>
  <c r="F57" i="3"/>
  <c r="F58" i="3" s="1"/>
  <c r="F56" i="3"/>
  <c r="F54" i="3"/>
  <c r="F41" i="3"/>
  <c r="F40" i="3"/>
  <c r="F38" i="3"/>
  <c r="F42" i="3" s="1"/>
  <c r="F26" i="3"/>
  <c r="F25" i="3"/>
  <c r="F24" i="3"/>
  <c r="F22" i="3"/>
  <c r="F10" i="3"/>
  <c r="F11" i="3" s="1"/>
  <c r="F9" i="3"/>
  <c r="F8" i="3"/>
  <c r="F6" i="3"/>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J139" i="2"/>
  <c r="I139" i="2"/>
  <c r="C139" i="2"/>
  <c r="D139" i="2" s="1"/>
  <c r="J138" i="2"/>
  <c r="I138" i="2"/>
  <c r="C138" i="2"/>
  <c r="D138" i="2" s="1"/>
  <c r="J137" i="2"/>
  <c r="I137" i="2"/>
  <c r="C137" i="2"/>
  <c r="D137" i="2" s="1"/>
  <c r="J136" i="2"/>
  <c r="I136" i="2"/>
  <c r="C136" i="2"/>
  <c r="D136" i="2" s="1"/>
  <c r="J135" i="2"/>
  <c r="I135" i="2"/>
  <c r="C135" i="2"/>
  <c r="D135" i="2" s="1"/>
  <c r="J134" i="2"/>
  <c r="I134" i="2"/>
  <c r="C134" i="2"/>
  <c r="D134" i="2" s="1"/>
  <c r="J133" i="2"/>
  <c r="I133" i="2"/>
  <c r="C133" i="2"/>
  <c r="D133" i="2" s="1"/>
  <c r="J132" i="2"/>
  <c r="I132" i="2"/>
  <c r="C132" i="2"/>
  <c r="D132" i="2" s="1"/>
  <c r="J131" i="2"/>
  <c r="I131" i="2"/>
  <c r="C131" i="2"/>
  <c r="D131" i="2" s="1"/>
  <c r="J130" i="2"/>
  <c r="I130" i="2"/>
  <c r="C130" i="2"/>
  <c r="D130" i="2" s="1"/>
  <c r="J129" i="2"/>
  <c r="I129" i="2"/>
  <c r="C129" i="2"/>
  <c r="D129" i="2" s="1"/>
  <c r="J128" i="2"/>
  <c r="I128" i="2"/>
  <c r="C128" i="2"/>
  <c r="D128" i="2" s="1"/>
  <c r="J127" i="2"/>
  <c r="I127" i="2"/>
  <c r="C127" i="2"/>
  <c r="D127" i="2" s="1"/>
  <c r="J126" i="2"/>
  <c r="I126" i="2"/>
  <c r="C126" i="2"/>
  <c r="D126" i="2" s="1"/>
  <c r="J125" i="2"/>
  <c r="I125" i="2"/>
  <c r="C125" i="2"/>
  <c r="D125" i="2" s="1"/>
  <c r="J124" i="2"/>
  <c r="I124" i="2"/>
  <c r="C124" i="2"/>
  <c r="D124" i="2" s="1"/>
  <c r="J123" i="2"/>
  <c r="I123" i="2"/>
  <c r="C123" i="2"/>
  <c r="D123" i="2" s="1"/>
  <c r="J122" i="2"/>
  <c r="I122" i="2"/>
  <c r="C122" i="2"/>
  <c r="D122" i="2" s="1"/>
  <c r="J121" i="2"/>
  <c r="I121" i="2"/>
  <c r="C121" i="2"/>
  <c r="D121" i="2" s="1"/>
  <c r="J120" i="2"/>
  <c r="I120" i="2"/>
  <c r="C120" i="2"/>
  <c r="D120" i="2" s="1"/>
  <c r="J119" i="2"/>
  <c r="I119" i="2"/>
  <c r="C119" i="2"/>
  <c r="D119" i="2" s="1"/>
  <c r="J118" i="2"/>
  <c r="I118" i="2"/>
  <c r="C118" i="2"/>
  <c r="D118" i="2" s="1"/>
  <c r="J117" i="2"/>
  <c r="I117" i="2"/>
  <c r="C117" i="2"/>
  <c r="D117" i="2" s="1"/>
  <c r="J116" i="2"/>
  <c r="I116" i="2"/>
  <c r="C116" i="2"/>
  <c r="D116" i="2" s="1"/>
  <c r="J115" i="2"/>
  <c r="I115" i="2"/>
  <c r="C115" i="2"/>
  <c r="D115" i="2" s="1"/>
  <c r="J114" i="2"/>
  <c r="I114" i="2"/>
  <c r="C114" i="2"/>
  <c r="D114" i="2" s="1"/>
  <c r="J113" i="2"/>
  <c r="I113" i="2"/>
  <c r="C113" i="2"/>
  <c r="D113" i="2" s="1"/>
  <c r="J112" i="2"/>
  <c r="I112" i="2"/>
  <c r="C112" i="2"/>
  <c r="D112" i="2" s="1"/>
  <c r="J111" i="2"/>
  <c r="I111" i="2"/>
  <c r="C111" i="2"/>
  <c r="D111" i="2" s="1"/>
  <c r="J110" i="2"/>
  <c r="I110" i="2"/>
  <c r="C110" i="2"/>
  <c r="D110" i="2" s="1"/>
  <c r="J109" i="2"/>
  <c r="I109" i="2"/>
  <c r="C109" i="2"/>
  <c r="D109" i="2" s="1"/>
  <c r="J108" i="2"/>
  <c r="I108" i="2"/>
  <c r="C108" i="2"/>
  <c r="D108" i="2" s="1"/>
  <c r="J107" i="2"/>
  <c r="I107" i="2"/>
  <c r="C107" i="2"/>
  <c r="D107" i="2" s="1"/>
  <c r="J106" i="2"/>
  <c r="I106" i="2"/>
  <c r="C106" i="2"/>
  <c r="D106" i="2" s="1"/>
  <c r="J105" i="2"/>
  <c r="I105" i="2"/>
  <c r="C105" i="2"/>
  <c r="D105" i="2" s="1"/>
  <c r="J104" i="2"/>
  <c r="I104" i="2"/>
  <c r="C104" i="2"/>
  <c r="D104" i="2" s="1"/>
  <c r="J103" i="2"/>
  <c r="I103" i="2"/>
  <c r="C103" i="2"/>
  <c r="D103" i="2" s="1"/>
  <c r="J102" i="2"/>
  <c r="I102" i="2"/>
  <c r="C102" i="2"/>
  <c r="D102" i="2" s="1"/>
  <c r="J101" i="2"/>
  <c r="I101" i="2"/>
  <c r="C101" i="2"/>
  <c r="D101" i="2" s="1"/>
  <c r="J100" i="2"/>
  <c r="I100" i="2"/>
  <c r="C100" i="2"/>
  <c r="D100" i="2" s="1"/>
  <c r="J99" i="2"/>
  <c r="I99" i="2"/>
  <c r="C99" i="2"/>
  <c r="D99" i="2" s="1"/>
  <c r="J98" i="2"/>
  <c r="I98" i="2"/>
  <c r="C98" i="2"/>
  <c r="D98" i="2" s="1"/>
  <c r="J97" i="2"/>
  <c r="I97" i="2"/>
  <c r="C97" i="2"/>
  <c r="D97" i="2" s="1"/>
  <c r="D96" i="2"/>
  <c r="D95" i="2"/>
  <c r="D94" i="2"/>
  <c r="D93" i="2"/>
  <c r="D92" i="2"/>
  <c r="D91" i="2"/>
  <c r="D90" i="2"/>
  <c r="D89" i="2"/>
  <c r="D88" i="2"/>
  <c r="D87" i="2"/>
  <c r="D86" i="2"/>
  <c r="D85" i="2"/>
  <c r="D84" i="2"/>
  <c r="D83" i="2"/>
  <c r="D82" i="2"/>
  <c r="I81" i="2" a="1"/>
  <c r="I81" i="2" s="1"/>
  <c r="D81" i="2"/>
  <c r="D80" i="2"/>
  <c r="I79" i="2" a="1"/>
  <c r="I79"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L2" i="2" a="1"/>
  <c r="L2" i="2"/>
  <c r="K124" i="2" s="1"/>
  <c r="D392" i="1"/>
  <c r="C392" i="1"/>
  <c r="I391" i="1"/>
  <c r="C391" i="1"/>
  <c r="D391" i="1" s="1"/>
  <c r="I390" i="1"/>
  <c r="C390" i="1"/>
  <c r="D390" i="1" s="1"/>
  <c r="D389" i="1"/>
  <c r="C389" i="1"/>
  <c r="I388" i="1"/>
  <c r="C388" i="1"/>
  <c r="D388" i="1" s="1"/>
  <c r="I387" i="1"/>
  <c r="C387" i="1"/>
  <c r="D387" i="1" s="1"/>
  <c r="J386" i="1"/>
  <c r="D386" i="1"/>
  <c r="C386" i="1"/>
  <c r="I385" i="1"/>
  <c r="C385" i="1"/>
  <c r="D385" i="1" s="1"/>
  <c r="I384" i="1"/>
  <c r="C384" i="1"/>
  <c r="D384" i="1" s="1"/>
  <c r="I383" i="1"/>
  <c r="D383" i="1"/>
  <c r="C383" i="1"/>
  <c r="C382" i="1"/>
  <c r="D382" i="1" s="1"/>
  <c r="D381" i="1"/>
  <c r="C381" i="1"/>
  <c r="C380" i="1"/>
  <c r="D380" i="1" s="1"/>
  <c r="C379" i="1"/>
  <c r="D379" i="1" s="1"/>
  <c r="D378" i="1"/>
  <c r="C378" i="1"/>
  <c r="C377" i="1"/>
  <c r="D377" i="1" s="1"/>
  <c r="J376" i="1"/>
  <c r="I376" i="1"/>
  <c r="D376" i="1"/>
  <c r="C376" i="1"/>
  <c r="D375" i="1"/>
  <c r="C375" i="1"/>
  <c r="I374" i="1"/>
  <c r="C374" i="1"/>
  <c r="D374" i="1" s="1"/>
  <c r="C373" i="1"/>
  <c r="D373" i="1" s="1"/>
  <c r="C372" i="1"/>
  <c r="D372" i="1" s="1"/>
  <c r="I371" i="1"/>
  <c r="D371" i="1"/>
  <c r="C371" i="1"/>
  <c r="J370" i="1"/>
  <c r="E370" i="1"/>
  <c r="C370" i="1"/>
  <c r="D370" i="1" s="1"/>
  <c r="J369" i="1"/>
  <c r="E369" i="1"/>
  <c r="C369" i="1"/>
  <c r="D369" i="1" s="1"/>
  <c r="J368" i="1"/>
  <c r="E368" i="1"/>
  <c r="C368" i="1"/>
  <c r="D368" i="1" s="1"/>
  <c r="J367" i="1"/>
  <c r="E367" i="1"/>
  <c r="D367" i="1"/>
  <c r="C367" i="1"/>
  <c r="J366" i="1"/>
  <c r="E366" i="1"/>
  <c r="C366" i="1"/>
  <c r="D366" i="1" s="1"/>
  <c r="J365" i="1"/>
  <c r="E365" i="1"/>
  <c r="C365" i="1"/>
  <c r="D365" i="1" s="1"/>
  <c r="J364" i="1"/>
  <c r="E364" i="1"/>
  <c r="C364" i="1"/>
  <c r="D364" i="1" s="1"/>
  <c r="J363" i="1"/>
  <c r="E363" i="1"/>
  <c r="D363" i="1"/>
  <c r="C363" i="1"/>
  <c r="J362" i="1"/>
  <c r="E362" i="1"/>
  <c r="C362" i="1"/>
  <c r="D362" i="1" s="1"/>
  <c r="J361" i="1"/>
  <c r="E361" i="1"/>
  <c r="C361" i="1"/>
  <c r="D361" i="1" s="1"/>
  <c r="J360" i="1"/>
  <c r="E360" i="1"/>
  <c r="C360" i="1"/>
  <c r="D360" i="1" s="1"/>
  <c r="J359" i="1"/>
  <c r="E359" i="1"/>
  <c r="D359" i="1"/>
  <c r="C359" i="1"/>
  <c r="J358" i="1"/>
  <c r="E358" i="1"/>
  <c r="C358" i="1"/>
  <c r="D358" i="1" s="1"/>
  <c r="J357" i="1"/>
  <c r="E357" i="1"/>
  <c r="C357" i="1"/>
  <c r="D357" i="1" s="1"/>
  <c r="J356" i="1"/>
  <c r="E356" i="1"/>
  <c r="C356" i="1"/>
  <c r="D356" i="1" s="1"/>
  <c r="J355" i="1"/>
  <c r="E355" i="1"/>
  <c r="D355" i="1"/>
  <c r="C355" i="1"/>
  <c r="J354" i="1"/>
  <c r="E354" i="1"/>
  <c r="C354" i="1"/>
  <c r="D354" i="1" s="1"/>
  <c r="J353" i="1"/>
  <c r="E353" i="1"/>
  <c r="C353" i="1"/>
  <c r="D353" i="1" s="1"/>
  <c r="J352" i="1"/>
  <c r="E352" i="1"/>
  <c r="C352" i="1"/>
  <c r="D352" i="1" s="1"/>
  <c r="J351" i="1"/>
  <c r="E351" i="1"/>
  <c r="D351" i="1"/>
  <c r="C351" i="1"/>
  <c r="J350" i="1"/>
  <c r="E350" i="1"/>
  <c r="C350" i="1"/>
  <c r="D350" i="1" s="1"/>
  <c r="J349" i="1"/>
  <c r="E349" i="1"/>
  <c r="C349" i="1"/>
  <c r="D349" i="1" s="1"/>
  <c r="J348" i="1"/>
  <c r="E348" i="1"/>
  <c r="C348" i="1"/>
  <c r="D348" i="1" s="1"/>
  <c r="J347" i="1"/>
  <c r="E347" i="1"/>
  <c r="D347" i="1"/>
  <c r="C347" i="1"/>
  <c r="J346" i="1"/>
  <c r="E346" i="1"/>
  <c r="C346" i="1"/>
  <c r="D346" i="1" s="1"/>
  <c r="J345" i="1"/>
  <c r="E345" i="1"/>
  <c r="C345" i="1"/>
  <c r="D345" i="1" s="1"/>
  <c r="J344" i="1"/>
  <c r="E344" i="1"/>
  <c r="C344" i="1"/>
  <c r="D344" i="1" s="1"/>
  <c r="J343" i="1"/>
  <c r="E343" i="1"/>
  <c r="D343" i="1"/>
  <c r="C343" i="1"/>
  <c r="J342" i="1"/>
  <c r="E342" i="1"/>
  <c r="C342" i="1"/>
  <c r="D342" i="1" s="1"/>
  <c r="J341" i="1"/>
  <c r="E341" i="1"/>
  <c r="C341" i="1"/>
  <c r="D341" i="1" s="1"/>
  <c r="J340" i="1"/>
  <c r="E340" i="1"/>
  <c r="C340" i="1"/>
  <c r="D340" i="1" s="1"/>
  <c r="J339" i="1"/>
  <c r="E339" i="1"/>
  <c r="D339" i="1"/>
  <c r="C339" i="1"/>
  <c r="J338" i="1"/>
  <c r="E338" i="1"/>
  <c r="C338" i="1"/>
  <c r="D338" i="1" s="1"/>
  <c r="J337" i="1"/>
  <c r="E337" i="1"/>
  <c r="C337" i="1"/>
  <c r="D337" i="1" s="1"/>
  <c r="J336" i="1"/>
  <c r="E336" i="1"/>
  <c r="C336" i="1"/>
  <c r="D336" i="1" s="1"/>
  <c r="J335" i="1"/>
  <c r="E335" i="1"/>
  <c r="D335" i="1"/>
  <c r="C335" i="1"/>
  <c r="J334" i="1"/>
  <c r="E334" i="1"/>
  <c r="C334" i="1"/>
  <c r="D334" i="1" s="1"/>
  <c r="J333" i="1"/>
  <c r="E333" i="1"/>
  <c r="C333" i="1"/>
  <c r="D333" i="1" s="1"/>
  <c r="J332" i="1"/>
  <c r="E332" i="1"/>
  <c r="C332" i="1"/>
  <c r="D332" i="1" s="1"/>
  <c r="J331" i="1"/>
  <c r="E331" i="1"/>
  <c r="D331" i="1"/>
  <c r="C331" i="1"/>
  <c r="J330" i="1"/>
  <c r="E330" i="1"/>
  <c r="C330" i="1"/>
  <c r="D330" i="1" s="1"/>
  <c r="J329" i="1"/>
  <c r="E329" i="1"/>
  <c r="D329" i="1"/>
  <c r="C329" i="1"/>
  <c r="J328" i="1"/>
  <c r="E328" i="1"/>
  <c r="C328" i="1"/>
  <c r="D328" i="1" s="1"/>
  <c r="J327" i="1"/>
  <c r="E327" i="1"/>
  <c r="D327" i="1"/>
  <c r="C327" i="1"/>
  <c r="J326" i="1"/>
  <c r="E326" i="1"/>
  <c r="C326" i="1"/>
  <c r="D326" i="1" s="1"/>
  <c r="J325" i="1"/>
  <c r="E325" i="1"/>
  <c r="D325" i="1"/>
  <c r="C325" i="1"/>
  <c r="J324" i="1"/>
  <c r="E324" i="1"/>
  <c r="C324" i="1"/>
  <c r="D324" i="1" s="1"/>
  <c r="J323" i="1"/>
  <c r="E323" i="1"/>
  <c r="D323" i="1"/>
  <c r="C323" i="1"/>
  <c r="J322" i="1"/>
  <c r="E322" i="1"/>
  <c r="C322" i="1"/>
  <c r="D322" i="1" s="1"/>
  <c r="J321" i="1"/>
  <c r="E321" i="1"/>
  <c r="C321" i="1"/>
  <c r="D321" i="1" s="1"/>
  <c r="J320" i="1"/>
  <c r="E320" i="1"/>
  <c r="C320" i="1"/>
  <c r="D320" i="1" s="1"/>
  <c r="J319" i="1"/>
  <c r="E319" i="1"/>
  <c r="D319" i="1"/>
  <c r="C319" i="1"/>
  <c r="I318" i="1"/>
  <c r="C318" i="1"/>
  <c r="D318" i="1" s="1"/>
  <c r="I317" i="1"/>
  <c r="C317" i="1"/>
  <c r="D317" i="1" s="1"/>
  <c r="I316" i="1"/>
  <c r="C316" i="1"/>
  <c r="D316" i="1" s="1"/>
  <c r="J315" i="1"/>
  <c r="I315" i="1"/>
  <c r="D315" i="1"/>
  <c r="C315" i="1"/>
  <c r="C314" i="1"/>
  <c r="D314" i="1" s="1"/>
  <c r="I313" i="1"/>
  <c r="C313" i="1"/>
  <c r="D313" i="1" s="1"/>
  <c r="J312" i="1"/>
  <c r="I312" i="1"/>
  <c r="C312" i="1"/>
  <c r="D312" i="1" s="1"/>
  <c r="J311" i="1"/>
  <c r="I311" i="1"/>
  <c r="D311" i="1"/>
  <c r="C311" i="1"/>
  <c r="J310" i="1"/>
  <c r="I310" i="1"/>
  <c r="C310" i="1"/>
  <c r="D310" i="1" s="1"/>
  <c r="I309" i="1"/>
  <c r="C309" i="1"/>
  <c r="D309" i="1" s="1"/>
  <c r="C308" i="1"/>
  <c r="D308" i="1" s="1"/>
  <c r="I307" i="1"/>
  <c r="D307" i="1"/>
  <c r="C307" i="1"/>
  <c r="J306" i="1"/>
  <c r="I306" i="1"/>
  <c r="C306" i="1"/>
  <c r="D306" i="1" s="1"/>
  <c r="J305" i="1"/>
  <c r="I305" i="1"/>
  <c r="C305" i="1"/>
  <c r="D305" i="1" s="1"/>
  <c r="J304" i="1"/>
  <c r="I304" i="1"/>
  <c r="C304" i="1"/>
  <c r="D304" i="1" s="1"/>
  <c r="C303" i="1"/>
  <c r="D303" i="1" s="1"/>
  <c r="C302" i="1"/>
  <c r="D302" i="1" s="1"/>
  <c r="I301" i="1"/>
  <c r="D301" i="1"/>
  <c r="C301" i="1"/>
  <c r="I300" i="1"/>
  <c r="C300" i="1"/>
  <c r="D300" i="1" s="1"/>
  <c r="C299" i="1"/>
  <c r="D299" i="1" s="1"/>
  <c r="D298" i="1"/>
  <c r="C298" i="1"/>
  <c r="D297" i="1"/>
  <c r="C297" i="1"/>
  <c r="C296" i="1"/>
  <c r="D296" i="1" s="1"/>
  <c r="C295" i="1"/>
  <c r="D295" i="1" s="1"/>
  <c r="J294" i="1"/>
  <c r="I294" i="1"/>
  <c r="D294" i="1"/>
  <c r="C294" i="1"/>
  <c r="J293" i="1"/>
  <c r="I293" i="1"/>
  <c r="C293" i="1"/>
  <c r="D293" i="1" s="1"/>
  <c r="I292" i="1"/>
  <c r="D292" i="1"/>
  <c r="C292" i="1"/>
  <c r="I291" i="1"/>
  <c r="D291" i="1"/>
  <c r="C291" i="1"/>
  <c r="I290" i="1"/>
  <c r="C290" i="1"/>
  <c r="D290" i="1" s="1"/>
  <c r="I289" i="1"/>
  <c r="D289" i="1"/>
  <c r="C289" i="1"/>
  <c r="J288" i="1"/>
  <c r="C288" i="1"/>
  <c r="D288" i="1" s="1"/>
  <c r="C287" i="1"/>
  <c r="D287" i="1" s="1"/>
  <c r="C286" i="1"/>
  <c r="D286" i="1" s="1"/>
  <c r="J285" i="1"/>
  <c r="C285" i="1"/>
  <c r="D285" i="1" s="1"/>
  <c r="J284" i="1"/>
  <c r="C284" i="1"/>
  <c r="D284" i="1" s="1"/>
  <c r="J283" i="1"/>
  <c r="D283" i="1"/>
  <c r="C283" i="1"/>
  <c r="J282" i="1"/>
  <c r="C282" i="1"/>
  <c r="D282" i="1" s="1"/>
  <c r="J281" i="1"/>
  <c r="C281" i="1"/>
  <c r="D281" i="1" s="1"/>
  <c r="J280" i="1"/>
  <c r="D280" i="1"/>
  <c r="C280" i="1"/>
  <c r="J279" i="1"/>
  <c r="D279" i="1"/>
  <c r="C279" i="1"/>
  <c r="J278" i="1"/>
  <c r="C278" i="1"/>
  <c r="D278" i="1" s="1"/>
  <c r="J277" i="1"/>
  <c r="C277" i="1"/>
  <c r="D277" i="1" s="1"/>
  <c r="J276" i="1"/>
  <c r="C276" i="1"/>
  <c r="D276" i="1" s="1"/>
  <c r="J275" i="1"/>
  <c r="D275" i="1"/>
  <c r="C275" i="1"/>
  <c r="J274" i="1"/>
  <c r="C274" i="1"/>
  <c r="D274" i="1" s="1"/>
  <c r="J273" i="1"/>
  <c r="C273" i="1"/>
  <c r="D273" i="1" s="1"/>
  <c r="J272" i="1"/>
  <c r="D272" i="1"/>
  <c r="C272" i="1"/>
  <c r="J271" i="1"/>
  <c r="D271" i="1"/>
  <c r="C271" i="1"/>
  <c r="J270" i="1"/>
  <c r="C270" i="1"/>
  <c r="D270" i="1" s="1"/>
  <c r="J269" i="1"/>
  <c r="C269" i="1"/>
  <c r="D269" i="1" s="1"/>
  <c r="J268" i="1"/>
  <c r="C268" i="1"/>
  <c r="D268" i="1" s="1"/>
  <c r="J267" i="1"/>
  <c r="D267" i="1"/>
  <c r="C267" i="1"/>
  <c r="J266" i="1"/>
  <c r="C266" i="1"/>
  <c r="D266" i="1" s="1"/>
  <c r="J265" i="1"/>
  <c r="C265" i="1"/>
  <c r="D265" i="1" s="1"/>
  <c r="J264" i="1"/>
  <c r="D264" i="1"/>
  <c r="C264" i="1"/>
  <c r="J263" i="1"/>
  <c r="D263" i="1"/>
  <c r="C263" i="1"/>
  <c r="J262" i="1"/>
  <c r="C262" i="1"/>
  <c r="D262" i="1" s="1"/>
  <c r="J261" i="1"/>
  <c r="C261" i="1"/>
  <c r="D261" i="1" s="1"/>
  <c r="J260" i="1"/>
  <c r="C260" i="1"/>
  <c r="D260" i="1" s="1"/>
  <c r="J259" i="1"/>
  <c r="D259" i="1"/>
  <c r="C259" i="1"/>
  <c r="J258" i="1"/>
  <c r="C258" i="1"/>
  <c r="D258" i="1" s="1"/>
  <c r="J257" i="1"/>
  <c r="C257" i="1"/>
  <c r="D257" i="1" s="1"/>
  <c r="J256" i="1"/>
  <c r="D256" i="1"/>
  <c r="C256" i="1"/>
  <c r="J255" i="1"/>
  <c r="D255" i="1"/>
  <c r="C255" i="1"/>
  <c r="J254" i="1"/>
  <c r="C254" i="1"/>
  <c r="D254" i="1" s="1"/>
  <c r="J253" i="1"/>
  <c r="C253" i="1"/>
  <c r="D253" i="1" s="1"/>
  <c r="J252" i="1"/>
  <c r="C252" i="1"/>
  <c r="D252" i="1" s="1"/>
  <c r="J251" i="1"/>
  <c r="D251" i="1"/>
  <c r="C251" i="1"/>
  <c r="J250" i="1"/>
  <c r="C250" i="1"/>
  <c r="D250" i="1" s="1"/>
  <c r="J249" i="1"/>
  <c r="C249" i="1"/>
  <c r="D249" i="1" s="1"/>
  <c r="J248" i="1"/>
  <c r="D248" i="1"/>
  <c r="C248" i="1"/>
  <c r="J247" i="1"/>
  <c r="D247" i="1"/>
  <c r="C247" i="1"/>
  <c r="J246" i="1"/>
  <c r="C246" i="1"/>
  <c r="D246" i="1" s="1"/>
  <c r="J245" i="1"/>
  <c r="C245" i="1"/>
  <c r="D245" i="1" s="1"/>
  <c r="J244" i="1"/>
  <c r="C244" i="1"/>
  <c r="D244" i="1" s="1"/>
  <c r="J243" i="1"/>
  <c r="D243" i="1"/>
  <c r="C243" i="1"/>
  <c r="J242" i="1"/>
  <c r="C242" i="1"/>
  <c r="D242" i="1" s="1"/>
  <c r="C241" i="1"/>
  <c r="D241" i="1" s="1"/>
  <c r="J240" i="1"/>
  <c r="D240" i="1"/>
  <c r="C240" i="1"/>
  <c r="I239" i="1"/>
  <c r="C239" i="1"/>
  <c r="D239" i="1" s="1"/>
  <c r="J238" i="1"/>
  <c r="I238" i="1"/>
  <c r="D238" i="1"/>
  <c r="C238" i="1"/>
  <c r="J237" i="1"/>
  <c r="I237" i="1"/>
  <c r="C237" i="1"/>
  <c r="D237" i="1" s="1"/>
  <c r="J236" i="1"/>
  <c r="D236" i="1"/>
  <c r="C236" i="1"/>
  <c r="C235" i="1"/>
  <c r="D235" i="1" s="1"/>
  <c r="I234" i="1"/>
  <c r="D234" i="1"/>
  <c r="C234" i="1"/>
  <c r="I233" i="1"/>
  <c r="C233" i="1"/>
  <c r="D233" i="1" s="1"/>
  <c r="I232" i="1"/>
  <c r="D232" i="1"/>
  <c r="C232" i="1"/>
  <c r="J231" i="1"/>
  <c r="I231" i="1"/>
  <c r="C231" i="1"/>
  <c r="D231" i="1" s="1"/>
  <c r="D230" i="1"/>
  <c r="C230" i="1"/>
  <c r="J229" i="1"/>
  <c r="I229" i="1"/>
  <c r="D229" i="1"/>
  <c r="C229" i="1"/>
  <c r="J228" i="1"/>
  <c r="I228" i="1"/>
  <c r="D228" i="1"/>
  <c r="C228" i="1"/>
  <c r="J227" i="1"/>
  <c r="I227" i="1"/>
  <c r="C227" i="1"/>
  <c r="D227" i="1" s="1"/>
  <c r="I226" i="1"/>
  <c r="D226" i="1"/>
  <c r="C226" i="1"/>
  <c r="J225" i="1"/>
  <c r="I225" i="1"/>
  <c r="D225" i="1"/>
  <c r="C225" i="1"/>
  <c r="J224" i="1"/>
  <c r="I224" i="1"/>
  <c r="D224" i="1"/>
  <c r="C224" i="1"/>
  <c r="J223" i="1"/>
  <c r="C223" i="1"/>
  <c r="D223" i="1" s="1"/>
  <c r="J222" i="1"/>
  <c r="D222" i="1"/>
  <c r="C222" i="1"/>
  <c r="J221" i="1"/>
  <c r="C221" i="1"/>
  <c r="D221" i="1" s="1"/>
  <c r="J220" i="1"/>
  <c r="I220" i="1"/>
  <c r="D220" i="1"/>
  <c r="C220" i="1"/>
  <c r="I219" i="1"/>
  <c r="C219" i="1"/>
  <c r="D219" i="1" s="1"/>
  <c r="I218" i="1"/>
  <c r="D218" i="1"/>
  <c r="C218" i="1"/>
  <c r="I217" i="1"/>
  <c r="C217" i="1"/>
  <c r="D217" i="1" s="1"/>
  <c r="J216" i="1"/>
  <c r="I216" i="1"/>
  <c r="D216" i="1"/>
  <c r="C216" i="1"/>
  <c r="I215" i="1"/>
  <c r="C215" i="1"/>
  <c r="D215" i="1" s="1"/>
  <c r="I214" i="1"/>
  <c r="D214" i="1"/>
  <c r="C214" i="1"/>
  <c r="I213" i="1"/>
  <c r="C213" i="1"/>
  <c r="D213" i="1" s="1"/>
  <c r="I212" i="1"/>
  <c r="D212" i="1"/>
  <c r="C212" i="1"/>
  <c r="J211" i="1"/>
  <c r="K211" i="1" s="1"/>
  <c r="C211" i="1"/>
  <c r="D211" i="1" s="1"/>
  <c r="J210" i="1"/>
  <c r="D210" i="1"/>
  <c r="C210" i="1"/>
  <c r="J209" i="1"/>
  <c r="K209" i="1" s="1"/>
  <c r="D209" i="1"/>
  <c r="C209" i="1"/>
  <c r="J208" i="1"/>
  <c r="D208" i="1"/>
  <c r="C208" i="1"/>
  <c r="J207" i="1"/>
  <c r="C207" i="1"/>
  <c r="D207" i="1" s="1"/>
  <c r="D206" i="1"/>
  <c r="C206" i="1"/>
  <c r="C205" i="1"/>
  <c r="D205" i="1" s="1"/>
  <c r="D204" i="1"/>
  <c r="C204" i="1"/>
  <c r="J203" i="1"/>
  <c r="C203" i="1"/>
  <c r="D203" i="1" s="1"/>
  <c r="J202" i="1"/>
  <c r="I202" i="1"/>
  <c r="D202" i="1"/>
  <c r="C202" i="1"/>
  <c r="J201" i="1"/>
  <c r="I201" i="1"/>
  <c r="C201" i="1"/>
  <c r="D201" i="1" s="1"/>
  <c r="J200" i="1"/>
  <c r="I200" i="1"/>
  <c r="D200" i="1"/>
  <c r="C200" i="1"/>
  <c r="J199" i="1"/>
  <c r="K199" i="1" s="1"/>
  <c r="C199" i="1"/>
  <c r="D199" i="1" s="1"/>
  <c r="I198" i="1"/>
  <c r="C198" i="1"/>
  <c r="D198" i="1" s="1"/>
  <c r="J197" i="1"/>
  <c r="I197" i="1"/>
  <c r="C197" i="1"/>
  <c r="D197" i="1" s="1"/>
  <c r="J196" i="1"/>
  <c r="I196" i="1"/>
  <c r="C196" i="1"/>
  <c r="D196" i="1" s="1"/>
  <c r="J195" i="1"/>
  <c r="I195" i="1"/>
  <c r="C195" i="1"/>
  <c r="D195" i="1" s="1"/>
  <c r="J194" i="1"/>
  <c r="I194" i="1"/>
  <c r="D194" i="1"/>
  <c r="C194" i="1"/>
  <c r="J193" i="1"/>
  <c r="K193" i="1" s="1"/>
  <c r="I193" i="1"/>
  <c r="C193" i="1"/>
  <c r="D193" i="1" s="1"/>
  <c r="I192" i="1"/>
  <c r="C192" i="1"/>
  <c r="D192" i="1" s="1"/>
  <c r="J191" i="1"/>
  <c r="I191" i="1"/>
  <c r="C191" i="1"/>
  <c r="D191" i="1" s="1"/>
  <c r="I190" i="1"/>
  <c r="C190" i="1"/>
  <c r="D190" i="1" s="1"/>
  <c r="J189" i="1"/>
  <c r="I189" i="1"/>
  <c r="C189" i="1"/>
  <c r="D189" i="1" s="1"/>
  <c r="I188" i="1"/>
  <c r="D188" i="1"/>
  <c r="C188" i="1"/>
  <c r="J187" i="1"/>
  <c r="K187" i="1" s="1"/>
  <c r="I187" i="1"/>
  <c r="C187" i="1"/>
  <c r="D187" i="1" s="1"/>
  <c r="I186" i="1"/>
  <c r="D186" i="1"/>
  <c r="C186" i="1"/>
  <c r="J185" i="1"/>
  <c r="K185" i="1" s="1"/>
  <c r="I185" i="1"/>
  <c r="C185" i="1"/>
  <c r="D185" i="1" s="1"/>
  <c r="I184" i="1"/>
  <c r="C184" i="1"/>
  <c r="D184" i="1" s="1"/>
  <c r="J183" i="1"/>
  <c r="D183" i="1"/>
  <c r="C183" i="1"/>
  <c r="J182" i="1"/>
  <c r="C182" i="1"/>
  <c r="D182" i="1" s="1"/>
  <c r="J181" i="1"/>
  <c r="C181" i="1"/>
  <c r="D181" i="1" s="1"/>
  <c r="J180" i="1"/>
  <c r="D180" i="1"/>
  <c r="C180" i="1"/>
  <c r="J179" i="1"/>
  <c r="D179" i="1"/>
  <c r="C179" i="1"/>
  <c r="J178" i="1"/>
  <c r="C178" i="1"/>
  <c r="D178" i="1" s="1"/>
  <c r="D177" i="1"/>
  <c r="C177" i="1"/>
  <c r="C176" i="1"/>
  <c r="D176" i="1" s="1"/>
  <c r="J175" i="1"/>
  <c r="I175" i="1"/>
  <c r="C175" i="1"/>
  <c r="D175" i="1" s="1"/>
  <c r="I174" i="1"/>
  <c r="C174" i="1"/>
  <c r="D174" i="1" s="1"/>
  <c r="I173" i="1"/>
  <c r="D173" i="1"/>
  <c r="C173" i="1"/>
  <c r="J172" i="1"/>
  <c r="I172" i="1"/>
  <c r="C172" i="1"/>
  <c r="D172" i="1" s="1"/>
  <c r="J171" i="1"/>
  <c r="I171" i="1"/>
  <c r="D171" i="1"/>
  <c r="C171" i="1"/>
  <c r="J170" i="1"/>
  <c r="K170" i="1" s="1"/>
  <c r="I170" i="1"/>
  <c r="C170" i="1"/>
  <c r="D170" i="1" s="1"/>
  <c r="J169" i="1"/>
  <c r="I169" i="1"/>
  <c r="C169" i="1"/>
  <c r="D169" i="1" s="1"/>
  <c r="J168" i="1"/>
  <c r="I168" i="1"/>
  <c r="C168" i="1"/>
  <c r="D168" i="1" s="1"/>
  <c r="J167" i="1"/>
  <c r="I167" i="1"/>
  <c r="D167" i="1"/>
  <c r="C167" i="1"/>
  <c r="J166" i="1"/>
  <c r="C166" i="1"/>
  <c r="D166" i="1" s="1"/>
  <c r="J165" i="1"/>
  <c r="I165" i="1"/>
  <c r="D165" i="1"/>
  <c r="C165" i="1"/>
  <c r="J164" i="1"/>
  <c r="I164" i="1"/>
  <c r="C164" i="1"/>
  <c r="D164" i="1" s="1"/>
  <c r="J163" i="1"/>
  <c r="I163" i="1"/>
  <c r="D163" i="1"/>
  <c r="C163" i="1"/>
  <c r="J162" i="1"/>
  <c r="K162" i="1" s="1"/>
  <c r="I162" i="1"/>
  <c r="C162" i="1"/>
  <c r="D162" i="1" s="1"/>
  <c r="J161" i="1"/>
  <c r="I161" i="1"/>
  <c r="C161" i="1"/>
  <c r="D161" i="1" s="1"/>
  <c r="J160" i="1"/>
  <c r="I160" i="1"/>
  <c r="C160" i="1"/>
  <c r="D160" i="1" s="1"/>
  <c r="I159" i="1"/>
  <c r="D159" i="1"/>
  <c r="C159" i="1"/>
  <c r="J158" i="1"/>
  <c r="K158" i="1" s="1"/>
  <c r="I158" i="1"/>
  <c r="C158" i="1"/>
  <c r="D158" i="1" s="1"/>
  <c r="J157" i="1"/>
  <c r="I157" i="1"/>
  <c r="C157" i="1"/>
  <c r="D157" i="1" s="1"/>
  <c r="J156" i="1"/>
  <c r="I156" i="1"/>
  <c r="C156" i="1"/>
  <c r="D156" i="1" s="1"/>
  <c r="I155" i="1"/>
  <c r="C155" i="1"/>
  <c r="D155" i="1" s="1"/>
  <c r="J154" i="1"/>
  <c r="I154" i="1"/>
  <c r="C154" i="1"/>
  <c r="D154" i="1" s="1"/>
  <c r="D153" i="1"/>
  <c r="C153" i="1"/>
  <c r="J152" i="1"/>
  <c r="K152" i="1" s="1"/>
  <c r="I152" i="1"/>
  <c r="C152" i="1"/>
  <c r="D152" i="1" s="1"/>
  <c r="I151" i="1"/>
  <c r="D151" i="1"/>
  <c r="C151" i="1"/>
  <c r="J150" i="1"/>
  <c r="K150" i="1" s="1"/>
  <c r="I150" i="1"/>
  <c r="C150" i="1"/>
  <c r="D150" i="1" s="1"/>
  <c r="I149" i="1"/>
  <c r="C149" i="1"/>
  <c r="D149" i="1" s="1"/>
  <c r="J148" i="1"/>
  <c r="C148" i="1"/>
  <c r="D148" i="1" s="1"/>
  <c r="J147" i="1"/>
  <c r="D147" i="1"/>
  <c r="C147" i="1"/>
  <c r="I146" i="1"/>
  <c r="C146" i="1"/>
  <c r="D146" i="1" s="1"/>
  <c r="I145" i="1"/>
  <c r="D145" i="1"/>
  <c r="C145" i="1"/>
  <c r="I144" i="1"/>
  <c r="C144" i="1"/>
  <c r="D144" i="1" s="1"/>
  <c r="J143" i="1"/>
  <c r="I143" i="1"/>
  <c r="C143" i="1"/>
  <c r="D143" i="1" s="1"/>
  <c r="J142" i="1"/>
  <c r="C142" i="1"/>
  <c r="D142" i="1" s="1"/>
  <c r="I141" i="1"/>
  <c r="D141" i="1"/>
  <c r="C141" i="1"/>
  <c r="J140" i="1"/>
  <c r="C140" i="1"/>
  <c r="D140" i="1" s="1"/>
  <c r="J139" i="1"/>
  <c r="C139" i="1"/>
  <c r="D139" i="1" s="1"/>
  <c r="J138" i="1"/>
  <c r="C138" i="1"/>
  <c r="D138" i="1" s="1"/>
  <c r="J137" i="1"/>
  <c r="I137" i="1"/>
  <c r="D137" i="1"/>
  <c r="C137" i="1"/>
  <c r="C136" i="1"/>
  <c r="D136" i="1" s="1"/>
  <c r="I135" i="1"/>
  <c r="D135" i="1"/>
  <c r="C135" i="1"/>
  <c r="J134" i="1"/>
  <c r="K134" i="1" s="1"/>
  <c r="I134" i="1"/>
  <c r="C134" i="1"/>
  <c r="D134" i="1" s="1"/>
  <c r="C133" i="1"/>
  <c r="D133" i="1" s="1"/>
  <c r="J132" i="1"/>
  <c r="C132" i="1"/>
  <c r="D132" i="1" s="1"/>
  <c r="I131" i="1"/>
  <c r="C131" i="1"/>
  <c r="D131" i="1" s="1"/>
  <c r="J130" i="1"/>
  <c r="C130" i="1"/>
  <c r="D130" i="1" s="1"/>
  <c r="I129" i="1"/>
  <c r="D129" i="1"/>
  <c r="C129" i="1"/>
  <c r="J128" i="1"/>
  <c r="C128" i="1"/>
  <c r="D128" i="1" s="1"/>
  <c r="I127" i="1"/>
  <c r="D127" i="1"/>
  <c r="C127" i="1"/>
  <c r="J126" i="1"/>
  <c r="K126" i="1" s="1"/>
  <c r="I126" i="1"/>
  <c r="C126" i="1"/>
  <c r="D126" i="1" s="1"/>
  <c r="J125" i="1"/>
  <c r="C125" i="1"/>
  <c r="D125" i="1" s="1"/>
  <c r="J124" i="1"/>
  <c r="C124" i="1"/>
  <c r="D124" i="1" s="1"/>
  <c r="J123" i="1"/>
  <c r="D123" i="1"/>
  <c r="C123" i="1"/>
  <c r="J122" i="1"/>
  <c r="K122" i="1" s="1"/>
  <c r="C122" i="1"/>
  <c r="D122" i="1" s="1"/>
  <c r="J121" i="1"/>
  <c r="C121" i="1"/>
  <c r="D121" i="1" s="1"/>
  <c r="J120" i="1"/>
  <c r="C120" i="1"/>
  <c r="D120" i="1" s="1"/>
  <c r="J119" i="1"/>
  <c r="D119" i="1"/>
  <c r="C119" i="1"/>
  <c r="J118" i="1"/>
  <c r="K118" i="1" s="1"/>
  <c r="I118" i="1"/>
  <c r="C118" i="1"/>
  <c r="D118" i="1" s="1"/>
  <c r="I117" i="1"/>
  <c r="D117" i="1"/>
  <c r="C117" i="1"/>
  <c r="D116" i="1"/>
  <c r="C116" i="1"/>
  <c r="C115" i="1"/>
  <c r="D115" i="1" s="1"/>
  <c r="D114" i="1"/>
  <c r="C114" i="1"/>
  <c r="C113" i="1"/>
  <c r="D113" i="1" s="1"/>
  <c r="I112" i="1"/>
  <c r="E112" i="1"/>
  <c r="D112" i="1"/>
  <c r="C112" i="1"/>
  <c r="I111" i="1"/>
  <c r="E111" i="1"/>
  <c r="C111" i="1"/>
  <c r="D111" i="1" s="1"/>
  <c r="I110" i="1"/>
  <c r="E110" i="1"/>
  <c r="D110" i="1"/>
  <c r="C110" i="1"/>
  <c r="I109" i="1"/>
  <c r="E109" i="1"/>
  <c r="C109" i="1"/>
  <c r="D109" i="1" s="1"/>
  <c r="I108" i="1"/>
  <c r="E108" i="1"/>
  <c r="D108" i="1"/>
  <c r="C108" i="1"/>
  <c r="I107" i="1"/>
  <c r="E107" i="1"/>
  <c r="C107" i="1"/>
  <c r="D107" i="1" s="1"/>
  <c r="I106" i="1"/>
  <c r="E106" i="1"/>
  <c r="D106" i="1"/>
  <c r="C106" i="1"/>
  <c r="I105" i="1"/>
  <c r="E105" i="1"/>
  <c r="C105" i="1"/>
  <c r="D105" i="1" s="1"/>
  <c r="I104" i="1"/>
  <c r="E104" i="1"/>
  <c r="D104" i="1"/>
  <c r="C104" i="1"/>
  <c r="I103" i="1"/>
  <c r="E103" i="1"/>
  <c r="C103" i="1"/>
  <c r="D103" i="1" s="1"/>
  <c r="I102" i="1"/>
  <c r="E102" i="1"/>
  <c r="D102" i="1"/>
  <c r="C102" i="1"/>
  <c r="I101" i="1"/>
  <c r="E101" i="1"/>
  <c r="C101" i="1"/>
  <c r="D101" i="1" s="1"/>
  <c r="I100" i="1"/>
  <c r="E100" i="1"/>
  <c r="D100" i="1"/>
  <c r="C100" i="1"/>
  <c r="I99" i="1"/>
  <c r="E99" i="1"/>
  <c r="C99" i="1"/>
  <c r="D99" i="1" s="1"/>
  <c r="D98" i="1"/>
  <c r="C98" i="1"/>
  <c r="J97" i="1"/>
  <c r="K97" i="1" s="1"/>
  <c r="D97" i="1"/>
  <c r="C97" i="1"/>
  <c r="D96" i="1"/>
  <c r="C96" i="1"/>
  <c r="J95" i="1"/>
  <c r="I95" i="1"/>
  <c r="C95" i="1"/>
  <c r="D95" i="1" s="1"/>
  <c r="I94" i="1"/>
  <c r="D94" i="1"/>
  <c r="C94" i="1"/>
  <c r="J93" i="1"/>
  <c r="K93" i="1" s="1"/>
  <c r="I93" i="1"/>
  <c r="D93" i="1"/>
  <c r="C93" i="1"/>
  <c r="J92" i="1"/>
  <c r="I92" i="1"/>
  <c r="D92" i="1"/>
  <c r="C92" i="1"/>
  <c r="J91" i="1"/>
  <c r="I91" i="1"/>
  <c r="C91" i="1"/>
  <c r="D91" i="1" s="1"/>
  <c r="I90" i="1"/>
  <c r="D90" i="1"/>
  <c r="C90" i="1"/>
  <c r="J89" i="1"/>
  <c r="K89" i="1" s="1"/>
  <c r="D89" i="1"/>
  <c r="C89" i="1"/>
  <c r="J88" i="1"/>
  <c r="I88" i="1"/>
  <c r="D88" i="1"/>
  <c r="C88" i="1"/>
  <c r="C87" i="1"/>
  <c r="D87" i="1" s="1"/>
  <c r="J86" i="1"/>
  <c r="K86" i="1" s="1"/>
  <c r="L86" i="1" s="1"/>
  <c r="I86" i="1"/>
  <c r="D86" i="1"/>
  <c r="C86" i="1"/>
  <c r="J85" i="1"/>
  <c r="K85" i="1" s="1"/>
  <c r="D85" i="1"/>
  <c r="C85" i="1"/>
  <c r="J84" i="1"/>
  <c r="I84" i="1"/>
  <c r="D84" i="1"/>
  <c r="C84" i="1"/>
  <c r="J83" i="1"/>
  <c r="K83" i="1" s="1"/>
  <c r="C83" i="1"/>
  <c r="D83" i="1" s="1"/>
  <c r="J82" i="1"/>
  <c r="K82" i="1" s="1"/>
  <c r="L82" i="1" s="1"/>
  <c r="I82" i="1"/>
  <c r="D82" i="1"/>
  <c r="C82" i="1"/>
  <c r="J81" i="1"/>
  <c r="K81" i="1" s="1"/>
  <c r="D81" i="1"/>
  <c r="C81" i="1"/>
  <c r="J80" i="1"/>
  <c r="I80" i="1"/>
  <c r="D80" i="1"/>
  <c r="C80" i="1"/>
  <c r="I79" i="1"/>
  <c r="C79" i="1"/>
  <c r="D79" i="1" s="1"/>
  <c r="J78" i="1"/>
  <c r="K78" i="1" s="1"/>
  <c r="L78" i="1" s="1"/>
  <c r="I78" i="1"/>
  <c r="D78" i="1"/>
  <c r="C78" i="1"/>
  <c r="I77" i="1"/>
  <c r="D77" i="1"/>
  <c r="C77" i="1"/>
  <c r="I76" i="1"/>
  <c r="D76" i="1"/>
  <c r="C76" i="1"/>
  <c r="I75" i="1"/>
  <c r="C75" i="1"/>
  <c r="D75" i="1" s="1"/>
  <c r="J74" i="1"/>
  <c r="K74" i="1" s="1"/>
  <c r="L74" i="1" s="1"/>
  <c r="I74" i="1"/>
  <c r="D74" i="1"/>
  <c r="C74" i="1"/>
  <c r="J73" i="1"/>
  <c r="K73" i="1" s="1"/>
  <c r="D73" i="1"/>
  <c r="C73" i="1"/>
  <c r="J72" i="1"/>
  <c r="I72" i="1"/>
  <c r="D72" i="1"/>
  <c r="C72" i="1"/>
  <c r="J71" i="1"/>
  <c r="K71" i="1" s="1"/>
  <c r="C71" i="1"/>
  <c r="D71" i="1" s="1"/>
  <c r="J70" i="1"/>
  <c r="K70" i="1" s="1"/>
  <c r="L70" i="1" s="1"/>
  <c r="I70" i="1"/>
  <c r="D70" i="1"/>
  <c r="C70" i="1"/>
  <c r="D69" i="1"/>
  <c r="C69" i="1"/>
  <c r="J68" i="1"/>
  <c r="I68" i="1"/>
  <c r="D68" i="1"/>
  <c r="C68" i="1"/>
  <c r="J67" i="1"/>
  <c r="K67" i="1" s="1"/>
  <c r="C67" i="1"/>
  <c r="D67" i="1" s="1"/>
  <c r="I66" i="1"/>
  <c r="D66" i="1"/>
  <c r="C66" i="1"/>
  <c r="D65" i="1"/>
  <c r="C65" i="1"/>
  <c r="D64" i="1"/>
  <c r="C64" i="1"/>
  <c r="C63" i="1"/>
  <c r="D63" i="1" s="1"/>
  <c r="D62" i="1"/>
  <c r="C62" i="1"/>
  <c r="D61" i="1"/>
  <c r="C61" i="1"/>
  <c r="D60" i="1"/>
  <c r="C60" i="1"/>
  <c r="C59" i="1"/>
  <c r="D59" i="1" s="1"/>
  <c r="C58" i="1"/>
  <c r="D58" i="1" s="1"/>
  <c r="D57" i="1"/>
  <c r="C57" i="1"/>
  <c r="D56" i="1"/>
  <c r="C56" i="1"/>
  <c r="D55" i="1"/>
  <c r="C55" i="1"/>
  <c r="D54" i="1"/>
  <c r="C54" i="1"/>
  <c r="C53" i="1"/>
  <c r="D53" i="1" s="1"/>
  <c r="D52" i="1"/>
  <c r="C52" i="1"/>
  <c r="D51" i="1"/>
  <c r="C51" i="1"/>
  <c r="D50" i="1"/>
  <c r="C50" i="1"/>
  <c r="C49" i="1"/>
  <c r="D49" i="1" s="1"/>
  <c r="I48" i="1"/>
  <c r="D48" i="1"/>
  <c r="C48" i="1"/>
  <c r="D47" i="1"/>
  <c r="C47" i="1"/>
  <c r="D46" i="1"/>
  <c r="C46" i="1"/>
  <c r="C45" i="1"/>
  <c r="D45" i="1" s="1"/>
  <c r="D44" i="1"/>
  <c r="C44" i="1"/>
  <c r="D43" i="1"/>
  <c r="C43" i="1"/>
  <c r="D42" i="1"/>
  <c r="C42" i="1"/>
  <c r="C41" i="1"/>
  <c r="D41" i="1" s="1"/>
  <c r="D40" i="1"/>
  <c r="C40" i="1"/>
  <c r="D39" i="1"/>
  <c r="C39" i="1"/>
  <c r="C38" i="1"/>
  <c r="D38" i="1" s="1"/>
  <c r="D37" i="1"/>
  <c r="C37" i="1"/>
  <c r="C36" i="1"/>
  <c r="D36" i="1" s="1"/>
  <c r="C35" i="1"/>
  <c r="D35" i="1" s="1"/>
  <c r="C34" i="1"/>
  <c r="D34" i="1" s="1"/>
  <c r="D33" i="1"/>
  <c r="C33" i="1"/>
  <c r="J32" i="1"/>
  <c r="D32" i="1"/>
  <c r="C32" i="1"/>
  <c r="K31" i="1"/>
  <c r="L31" i="1" s="1"/>
  <c r="J31" i="1"/>
  <c r="D31" i="1"/>
  <c r="C31" i="1"/>
  <c r="J30" i="1"/>
  <c r="C30" i="1"/>
  <c r="D30" i="1" s="1"/>
  <c r="J29" i="1"/>
  <c r="D29" i="1"/>
  <c r="C29" i="1"/>
  <c r="J28" i="1"/>
  <c r="K28" i="1" s="1"/>
  <c r="C28" i="1"/>
  <c r="D28" i="1" s="1"/>
  <c r="J27" i="1"/>
  <c r="C27" i="1"/>
  <c r="D27" i="1" s="1"/>
  <c r="J26" i="1"/>
  <c r="K26" i="1" s="1"/>
  <c r="L26" i="1" s="1"/>
  <c r="C26" i="1"/>
  <c r="D26" i="1" s="1"/>
  <c r="J25" i="1"/>
  <c r="D25" i="1"/>
  <c r="C25" i="1"/>
  <c r="J24" i="1"/>
  <c r="D24" i="1"/>
  <c r="C24" i="1"/>
  <c r="K23" i="1"/>
  <c r="L23" i="1" s="1"/>
  <c r="J23" i="1"/>
  <c r="D23" i="1"/>
  <c r="C23" i="1"/>
  <c r="J22" i="1"/>
  <c r="C22" i="1"/>
  <c r="D22" i="1" s="1"/>
  <c r="J21" i="1"/>
  <c r="D21" i="1"/>
  <c r="C21" i="1"/>
  <c r="D20" i="1"/>
  <c r="C20" i="1"/>
  <c r="D19" i="1"/>
  <c r="C19" i="1"/>
  <c r="C18" i="1"/>
  <c r="D18" i="1" s="1"/>
  <c r="D17" i="1"/>
  <c r="C17" i="1"/>
  <c r="D16" i="1"/>
  <c r="C16" i="1"/>
  <c r="D15" i="1"/>
  <c r="C15" i="1"/>
  <c r="C14" i="1"/>
  <c r="D14" i="1" s="1"/>
  <c r="C13" i="1"/>
  <c r="D13" i="1" s="1"/>
  <c r="D12" i="1"/>
  <c r="C12" i="1"/>
  <c r="D11" i="1"/>
  <c r="C11" i="1"/>
  <c r="C10" i="1"/>
  <c r="D10" i="1" s="1"/>
  <c r="C9" i="1"/>
  <c r="D9" i="1" s="1"/>
  <c r="J8" i="1"/>
  <c r="D8" i="1"/>
  <c r="C8" i="1"/>
  <c r="D7" i="1"/>
  <c r="C7" i="1"/>
  <c r="K6" i="1"/>
  <c r="L6" i="1" s="1"/>
  <c r="J6" i="1"/>
  <c r="D6" i="1"/>
  <c r="C6" i="1"/>
  <c r="C5" i="1"/>
  <c r="D5" i="1" s="1"/>
  <c r="C4" i="1"/>
  <c r="D4" i="1" s="1"/>
  <c r="L2" i="1" a="1"/>
  <c r="L2" i="1"/>
  <c r="K281" i="1" s="1"/>
  <c r="L281" i="1" s="1"/>
  <c r="L27" i="1" l="1"/>
  <c r="L92" i="1"/>
  <c r="L80" i="1"/>
  <c r="L112" i="1"/>
  <c r="L93" i="1"/>
  <c r="L21" i="1"/>
  <c r="L111" i="1"/>
  <c r="K101" i="1"/>
  <c r="L101" i="1" s="1"/>
  <c r="K105" i="1"/>
  <c r="L105" i="1" s="1"/>
  <c r="K109" i="1"/>
  <c r="L109" i="1" s="1"/>
  <c r="K125" i="1"/>
  <c r="K132" i="1"/>
  <c r="K156" i="1"/>
  <c r="L158" i="1"/>
  <c r="K161" i="1"/>
  <c r="L161" i="1" s="1"/>
  <c r="K169" i="1"/>
  <c r="L169" i="1" s="1"/>
  <c r="K183" i="1"/>
  <c r="L187" i="1"/>
  <c r="K197" i="1"/>
  <c r="K228" i="1"/>
  <c r="L228" i="1" s="1"/>
  <c r="K251" i="1"/>
  <c r="L251" i="1" s="1"/>
  <c r="K267" i="1"/>
  <c r="L267" i="1"/>
  <c r="K283" i="1"/>
  <c r="L283" i="1" s="1"/>
  <c r="K312" i="1"/>
  <c r="K320" i="1"/>
  <c r="L320" i="1"/>
  <c r="K322" i="1"/>
  <c r="L322" i="1" s="1"/>
  <c r="K384" i="1"/>
  <c r="L384" i="1" s="1"/>
  <c r="K139" i="1"/>
  <c r="L160" i="1"/>
  <c r="K166" i="1"/>
  <c r="L201" i="1"/>
  <c r="K208" i="1"/>
  <c r="K242" i="1"/>
  <c r="K249" i="1"/>
  <c r="L249" i="1" s="1"/>
  <c r="K256" i="1"/>
  <c r="L256" i="1" s="1"/>
  <c r="K258" i="1"/>
  <c r="L258" i="1" s="1"/>
  <c r="K265" i="1"/>
  <c r="L265" i="1" s="1"/>
  <c r="K272" i="1"/>
  <c r="L272" i="1" s="1"/>
  <c r="K274" i="1"/>
  <c r="L274" i="1" s="1"/>
  <c r="K304" i="1"/>
  <c r="L304" i="1" s="1"/>
  <c r="K306" i="1"/>
  <c r="L306" i="1" s="1"/>
  <c r="K324" i="1"/>
  <c r="L324" i="1"/>
  <c r="K326" i="1"/>
  <c r="L326" i="1" s="1"/>
  <c r="K301" i="1"/>
  <c r="L301" i="1" s="1"/>
  <c r="K388" i="1"/>
  <c r="K385" i="1"/>
  <c r="K376" i="1"/>
  <c r="L376" i="1" s="1"/>
  <c r="K369" i="1"/>
  <c r="L369" i="1" s="1"/>
  <c r="K365" i="1"/>
  <c r="L365" i="1" s="1"/>
  <c r="K361" i="1"/>
  <c r="L361" i="1" s="1"/>
  <c r="K357" i="1"/>
  <c r="L357" i="1" s="1"/>
  <c r="K353" i="1"/>
  <c r="L353" i="1" s="1"/>
  <c r="K349" i="1"/>
  <c r="L349" i="1" s="1"/>
  <c r="K345" i="1"/>
  <c r="L345" i="1" s="1"/>
  <c r="K341" i="1"/>
  <c r="L341" i="1" s="1"/>
  <c r="K337" i="1"/>
  <c r="L337" i="1" s="1"/>
  <c r="K333" i="1"/>
  <c r="L333" i="1" s="1"/>
  <c r="K329" i="1"/>
  <c r="L329" i="1" s="1"/>
  <c r="K325" i="1"/>
  <c r="L325" i="1" s="1"/>
  <c r="K321" i="1"/>
  <c r="L321" i="1" s="1"/>
  <c r="K305" i="1"/>
  <c r="L305" i="1" s="1"/>
  <c r="K383" i="1"/>
  <c r="L383" i="1" s="1"/>
  <c r="K291" i="1"/>
  <c r="L291" i="1" s="1"/>
  <c r="K390" i="1"/>
  <c r="L390" i="1" s="1"/>
  <c r="K292" i="1"/>
  <c r="L292" i="1" s="1"/>
  <c r="K8" i="1"/>
  <c r="L8" i="1" s="1"/>
  <c r="K25" i="1"/>
  <c r="L25" i="1" s="1"/>
  <c r="L28" i="1"/>
  <c r="K100" i="1"/>
  <c r="L100" i="1" s="1"/>
  <c r="K104" i="1"/>
  <c r="L104" i="1" s="1"/>
  <c r="K108" i="1"/>
  <c r="L108" i="1" s="1"/>
  <c r="K112" i="1"/>
  <c r="K119" i="1"/>
  <c r="K163" i="1"/>
  <c r="L163" i="1" s="1"/>
  <c r="K171" i="1"/>
  <c r="L171" i="1" s="1"/>
  <c r="K178" i="1"/>
  <c r="L178" i="1" s="1"/>
  <c r="K180" i="1"/>
  <c r="L180" i="1" s="1"/>
  <c r="K194" i="1"/>
  <c r="L194" i="1" s="1"/>
  <c r="K201" i="1"/>
  <c r="K210" i="1"/>
  <c r="K220" i="1"/>
  <c r="L220" i="1" s="1"/>
  <c r="K225" i="1"/>
  <c r="L225" i="1" s="1"/>
  <c r="K236" i="1"/>
  <c r="K247" i="1"/>
  <c r="L247" i="1" s="1"/>
  <c r="K263" i="1"/>
  <c r="L263" i="1" s="1"/>
  <c r="K279" i="1"/>
  <c r="L279" i="1" s="1"/>
  <c r="K293" i="1"/>
  <c r="L293" i="1" s="1"/>
  <c r="K328" i="1"/>
  <c r="L328" i="1" s="1"/>
  <c r="K330" i="1"/>
  <c r="L330" i="1" s="1"/>
  <c r="K334" i="1"/>
  <c r="L334" i="1" s="1"/>
  <c r="K338" i="1"/>
  <c r="L338" i="1" s="1"/>
  <c r="L342" i="1"/>
  <c r="K342" i="1"/>
  <c r="K346" i="1"/>
  <c r="L346" i="1" s="1"/>
  <c r="K350" i="1"/>
  <c r="L350" i="1" s="1"/>
  <c r="K354" i="1"/>
  <c r="L354" i="1" s="1"/>
  <c r="L358" i="1"/>
  <c r="K358" i="1"/>
  <c r="K362" i="1"/>
  <c r="L362" i="1" s="1"/>
  <c r="K366" i="1"/>
  <c r="L366" i="1" s="1"/>
  <c r="K370" i="1"/>
  <c r="L370" i="1" s="1"/>
  <c r="K387" i="1"/>
  <c r="L387" i="1" s="1"/>
  <c r="K22" i="1"/>
  <c r="L22" i="1" s="1"/>
  <c r="K30" i="1"/>
  <c r="L30" i="1" s="1"/>
  <c r="K68" i="1"/>
  <c r="L68" i="1" s="1"/>
  <c r="K72" i="1"/>
  <c r="L72" i="1" s="1"/>
  <c r="K80" i="1"/>
  <c r="K84" i="1"/>
  <c r="L84" i="1" s="1"/>
  <c r="K88" i="1"/>
  <c r="L88" i="1" s="1"/>
  <c r="K92" i="1"/>
  <c r="L118" i="1"/>
  <c r="K124" i="1"/>
  <c r="L126" i="1"/>
  <c r="L150" i="1"/>
  <c r="K160" i="1"/>
  <c r="L162" i="1"/>
  <c r="K168" i="1"/>
  <c r="L168" i="1" s="1"/>
  <c r="L170" i="1"/>
  <c r="K182" i="1"/>
  <c r="L182" i="1" s="1"/>
  <c r="K189" i="1"/>
  <c r="L189" i="1" s="1"/>
  <c r="L193" i="1"/>
  <c r="K203" i="1"/>
  <c r="L203" i="1" s="1"/>
  <c r="K222" i="1"/>
  <c r="K227" i="1"/>
  <c r="L227" i="1" s="1"/>
  <c r="K238" i="1"/>
  <c r="L238" i="1" s="1"/>
  <c r="K240" i="1"/>
  <c r="L240" i="1"/>
  <c r="K245" i="1"/>
  <c r="L245" i="1" s="1"/>
  <c r="K252" i="1"/>
  <c r="L252" i="1" s="1"/>
  <c r="K254" i="1"/>
  <c r="L254" i="1" s="1"/>
  <c r="K261" i="1"/>
  <c r="L261" i="1" s="1"/>
  <c r="K268" i="1"/>
  <c r="L268" i="1" s="1"/>
  <c r="K270" i="1"/>
  <c r="L270" i="1" s="1"/>
  <c r="K277" i="1"/>
  <c r="L277" i="1" s="1"/>
  <c r="K332" i="1"/>
  <c r="K336" i="1"/>
  <c r="L336" i="1" s="1"/>
  <c r="K340" i="1"/>
  <c r="K344" i="1"/>
  <c r="K348" i="1"/>
  <c r="K352" i="1"/>
  <c r="K356" i="1"/>
  <c r="K360" i="1"/>
  <c r="K364" i="1"/>
  <c r="K368" i="1"/>
  <c r="L368" i="1" s="1"/>
  <c r="L385" i="1"/>
  <c r="K99" i="1"/>
  <c r="L99" i="1" s="1"/>
  <c r="K103" i="1"/>
  <c r="L103" i="1" s="1"/>
  <c r="K107" i="1"/>
  <c r="L107" i="1" s="1"/>
  <c r="K111" i="1"/>
  <c r="K121" i="1"/>
  <c r="K138" i="1"/>
  <c r="K143" i="1"/>
  <c r="L143" i="1" s="1"/>
  <c r="K148" i="1"/>
  <c r="L152" i="1"/>
  <c r="K165" i="1"/>
  <c r="L165" i="1" s="1"/>
  <c r="K191" i="1"/>
  <c r="L191" i="1" s="1"/>
  <c r="K196" i="1"/>
  <c r="L196" i="1" s="1"/>
  <c r="K207" i="1"/>
  <c r="K224" i="1"/>
  <c r="L224" i="1" s="1"/>
  <c r="K243" i="1"/>
  <c r="L243" i="1" s="1"/>
  <c r="K259" i="1"/>
  <c r="L259" i="1" s="1"/>
  <c r="K275" i="1"/>
  <c r="L275" i="1"/>
  <c r="K311" i="1"/>
  <c r="L311" i="1" s="1"/>
  <c r="K315" i="1"/>
  <c r="L315" i="1" s="1"/>
  <c r="K319" i="1"/>
  <c r="L319" i="1" s="1"/>
  <c r="K27" i="1"/>
  <c r="K24" i="1"/>
  <c r="L24" i="1" s="1"/>
  <c r="K32" i="1"/>
  <c r="L32" i="1" s="1"/>
  <c r="K91" i="1"/>
  <c r="L91" i="1" s="1"/>
  <c r="K95" i="1"/>
  <c r="L95" i="1" s="1"/>
  <c r="K157" i="1"/>
  <c r="L157" i="1" s="1"/>
  <c r="K175" i="1"/>
  <c r="L175" i="1" s="1"/>
  <c r="L195" i="1"/>
  <c r="L229" i="1"/>
  <c r="K248" i="1"/>
  <c r="L248" i="1" s="1"/>
  <c r="K250" i="1"/>
  <c r="L250" i="1" s="1"/>
  <c r="K257" i="1"/>
  <c r="L257" i="1" s="1"/>
  <c r="K264" i="1"/>
  <c r="L264" i="1" s="1"/>
  <c r="K266" i="1"/>
  <c r="L266" i="1" s="1"/>
  <c r="K273" i="1"/>
  <c r="L273" i="1" s="1"/>
  <c r="K280" i="1"/>
  <c r="L280" i="1" s="1"/>
  <c r="K282" i="1"/>
  <c r="L282" i="1" s="1"/>
  <c r="K323" i="1"/>
  <c r="L323" i="1" s="1"/>
  <c r="K374" i="1"/>
  <c r="L374" i="1" s="1"/>
  <c r="L388" i="1"/>
  <c r="K102" i="1"/>
  <c r="L102" i="1" s="1"/>
  <c r="K106" i="1"/>
  <c r="L106" i="1" s="1"/>
  <c r="K110" i="1"/>
  <c r="L110" i="1" s="1"/>
  <c r="K123" i="1"/>
  <c r="K128" i="1"/>
  <c r="K140" i="1"/>
  <c r="L156" i="1"/>
  <c r="K167" i="1"/>
  <c r="L167" i="1" s="1"/>
  <c r="K200" i="1"/>
  <c r="L200" i="1" s="1"/>
  <c r="K216" i="1"/>
  <c r="L216" i="1" s="1"/>
  <c r="K229" i="1"/>
  <c r="L246" i="1"/>
  <c r="K255" i="1"/>
  <c r="L255" i="1" s="1"/>
  <c r="L271" i="1"/>
  <c r="K271" i="1"/>
  <c r="K285" i="1"/>
  <c r="L285" i="1" s="1"/>
  <c r="K294" i="1"/>
  <c r="L294" i="1" s="1"/>
  <c r="K300" i="1"/>
  <c r="L300" i="1" s="1"/>
  <c r="L310" i="1"/>
  <c r="K327" i="1"/>
  <c r="L327" i="1" s="1"/>
  <c r="K21" i="1"/>
  <c r="K29" i="1"/>
  <c r="L29" i="1" s="1"/>
  <c r="K120" i="1"/>
  <c r="K130" i="1"/>
  <c r="L134" i="1"/>
  <c r="K137" i="1"/>
  <c r="L137" i="1" s="1"/>
  <c r="K142" i="1"/>
  <c r="K147" i="1"/>
  <c r="K154" i="1"/>
  <c r="L154" i="1" s="1"/>
  <c r="K164" i="1"/>
  <c r="L164" i="1" s="1"/>
  <c r="K172" i="1"/>
  <c r="L172" i="1" s="1"/>
  <c r="K179" i="1"/>
  <c r="L179" i="1" s="1"/>
  <c r="K181" i="1"/>
  <c r="L181" i="1" s="1"/>
  <c r="L183" i="1"/>
  <c r="L185" i="1"/>
  <c r="K195" i="1"/>
  <c r="L197" i="1"/>
  <c r="K202" i="1"/>
  <c r="L202" i="1" s="1"/>
  <c r="K221" i="1"/>
  <c r="K223" i="1"/>
  <c r="K231" i="1"/>
  <c r="L231" i="1" s="1"/>
  <c r="K237" i="1"/>
  <c r="L237" i="1" s="1"/>
  <c r="K244" i="1"/>
  <c r="L244" i="1" s="1"/>
  <c r="K246" i="1"/>
  <c r="K253" i="1"/>
  <c r="L253" i="1" s="1"/>
  <c r="K260" i="1"/>
  <c r="L260" i="1" s="1"/>
  <c r="K262" i="1"/>
  <c r="L262" i="1" s="1"/>
  <c r="K269" i="1"/>
  <c r="L269" i="1" s="1"/>
  <c r="K276" i="1"/>
  <c r="L276" i="1" s="1"/>
  <c r="K278" i="1"/>
  <c r="L278" i="1" s="1"/>
  <c r="K288" i="1"/>
  <c r="K290" i="1"/>
  <c r="L290" i="1" s="1"/>
  <c r="K310" i="1"/>
  <c r="L312" i="1"/>
  <c r="K331" i="1"/>
  <c r="L331" i="1" s="1"/>
  <c r="K335" i="1"/>
  <c r="L335" i="1" s="1"/>
  <c r="K339" i="1"/>
  <c r="L339" i="1" s="1"/>
  <c r="K343" i="1"/>
  <c r="L343" i="1" s="1"/>
  <c r="K347" i="1"/>
  <c r="L347" i="1" s="1"/>
  <c r="K351" i="1"/>
  <c r="L351" i="1" s="1"/>
  <c r="K355" i="1"/>
  <c r="L355" i="1" s="1"/>
  <c r="K359" i="1"/>
  <c r="L359" i="1" s="1"/>
  <c r="K363" i="1"/>
  <c r="L363" i="1" s="1"/>
  <c r="K367" i="1"/>
  <c r="L367" i="1" s="1"/>
  <c r="K386" i="1"/>
  <c r="L332" i="1"/>
  <c r="L340" i="1"/>
  <c r="L344" i="1"/>
  <c r="L348" i="1"/>
  <c r="L352" i="1"/>
  <c r="L356" i="1"/>
  <c r="L360" i="1"/>
  <c r="L364" i="1"/>
  <c r="K9" i="2"/>
  <c r="L9" i="2" s="1"/>
  <c r="K17" i="2"/>
  <c r="L17" i="2" s="1"/>
  <c r="K25" i="2"/>
  <c r="L25" i="2" s="1"/>
  <c r="K33" i="2"/>
  <c r="L33" i="2" s="1"/>
  <c r="K41" i="2"/>
  <c r="L41" i="2" s="1"/>
  <c r="K49" i="2"/>
  <c r="L49" i="2" s="1"/>
  <c r="K57" i="2"/>
  <c r="L57" i="2" s="1"/>
  <c r="K65" i="2"/>
  <c r="L65" i="2" s="1"/>
  <c r="K73" i="2"/>
  <c r="L73" i="2" s="1"/>
  <c r="K90" i="2"/>
  <c r="L90" i="2" s="1"/>
  <c r="K113" i="2"/>
  <c r="K120" i="2"/>
  <c r="L123" i="2"/>
  <c r="F8" i="4"/>
  <c r="F9" i="4" s="1"/>
  <c r="F112" i="4"/>
  <c r="F113" i="4" s="1"/>
  <c r="F138" i="4"/>
  <c r="F139" i="4" s="1"/>
  <c r="F190" i="4"/>
  <c r="F191" i="4" s="1"/>
  <c r="F106" i="12"/>
  <c r="F107" i="12" s="1"/>
  <c r="F108" i="12" s="1"/>
  <c r="F109" i="12" s="1"/>
  <c r="K4" i="2"/>
  <c r="L4" i="2" s="1"/>
  <c r="K12" i="2"/>
  <c r="L12" i="2" s="1"/>
  <c r="K20" i="2"/>
  <c r="L20" i="2" s="1"/>
  <c r="K28" i="2"/>
  <c r="L28" i="2" s="1"/>
  <c r="K36" i="2"/>
  <c r="L36" i="2" s="1"/>
  <c r="K44" i="2"/>
  <c r="L44" i="2" s="1"/>
  <c r="K52" i="2"/>
  <c r="L52" i="2" s="1"/>
  <c r="K60" i="2"/>
  <c r="L60" i="2" s="1"/>
  <c r="K68" i="2"/>
  <c r="L68" i="2" s="1"/>
  <c r="K76" i="2"/>
  <c r="L76" i="2" s="1"/>
  <c r="K80" i="2"/>
  <c r="K82" i="2"/>
  <c r="L82" i="2" s="1"/>
  <c r="K94" i="2"/>
  <c r="L94" i="2" s="1"/>
  <c r="K97" i="2"/>
  <c r="K99" i="2"/>
  <c r="K101" i="2"/>
  <c r="K103" i="2"/>
  <c r="K105" i="2"/>
  <c r="K107" i="2"/>
  <c r="K109" i="2"/>
  <c r="F20" i="4"/>
  <c r="F21" i="4" s="1"/>
  <c r="F150" i="4"/>
  <c r="F151" i="4" s="1"/>
  <c r="F155" i="8"/>
  <c r="F156" i="8" s="1"/>
  <c r="E26" i="10"/>
  <c r="F26" i="10" s="1"/>
  <c r="F27" i="10"/>
  <c r="G37" i="16"/>
  <c r="G36" i="16"/>
  <c r="F13" i="18"/>
  <c r="F14" i="18" s="1"/>
  <c r="E265" i="22"/>
  <c r="F265" i="22" s="1"/>
  <c r="F266" i="22" s="1"/>
  <c r="K7" i="2"/>
  <c r="L7" i="2" s="1"/>
  <c r="K15" i="2"/>
  <c r="L15" i="2" s="1"/>
  <c r="K23" i="2"/>
  <c r="L23" i="2" s="1"/>
  <c r="K31" i="2"/>
  <c r="L31" i="2" s="1"/>
  <c r="K39" i="2"/>
  <c r="L39" i="2" s="1"/>
  <c r="K47" i="2"/>
  <c r="L47" i="2" s="1"/>
  <c r="K55" i="2"/>
  <c r="L55" i="2" s="1"/>
  <c r="K63" i="2"/>
  <c r="L63" i="2" s="1"/>
  <c r="K71" i="2"/>
  <c r="L71" i="2" s="1"/>
  <c r="K85" i="2"/>
  <c r="L85" i="2" s="1"/>
  <c r="K88" i="2"/>
  <c r="L88" i="2" s="1"/>
  <c r="K91" i="2"/>
  <c r="L91" i="2" s="1"/>
  <c r="L114" i="2"/>
  <c r="K139" i="2"/>
  <c r="L139" i="2" s="1"/>
  <c r="F60" i="3"/>
  <c r="F59" i="3"/>
  <c r="F87" i="4"/>
  <c r="F86" i="4"/>
  <c r="F280" i="4"/>
  <c r="F281" i="4" s="1"/>
  <c r="F35" i="8"/>
  <c r="F36" i="8" s="1"/>
  <c r="F9" i="12"/>
  <c r="F10" i="12"/>
  <c r="F43" i="13"/>
  <c r="F44" i="13" s="1"/>
  <c r="G10" i="14"/>
  <c r="G11" i="14"/>
  <c r="K10" i="2"/>
  <c r="L10" i="2" s="1"/>
  <c r="K18" i="2"/>
  <c r="L18" i="2" s="1"/>
  <c r="K26" i="2"/>
  <c r="L26" i="2" s="1"/>
  <c r="K34" i="2"/>
  <c r="L34" i="2" s="1"/>
  <c r="K42" i="2"/>
  <c r="L42" i="2" s="1"/>
  <c r="K50" i="2"/>
  <c r="L50" i="2" s="1"/>
  <c r="K58" i="2"/>
  <c r="L58" i="2" s="1"/>
  <c r="K66" i="2"/>
  <c r="L66" i="2" s="1"/>
  <c r="K74" i="2"/>
  <c r="L74" i="2" s="1"/>
  <c r="L104" i="2"/>
  <c r="L110" i="2"/>
  <c r="K116" i="2"/>
  <c r="L116" i="2" s="1"/>
  <c r="L124" i="2"/>
  <c r="F75" i="3"/>
  <c r="F76" i="3" s="1"/>
  <c r="F47" i="4"/>
  <c r="F15" i="8"/>
  <c r="F16" i="8" s="1"/>
  <c r="F81" i="12"/>
  <c r="F82" i="12"/>
  <c r="K284" i="1"/>
  <c r="L284" i="1" s="1"/>
  <c r="K5" i="2"/>
  <c r="L5" i="2" s="1"/>
  <c r="K13" i="2"/>
  <c r="L13" i="2" s="1"/>
  <c r="K21" i="2"/>
  <c r="L21" i="2" s="1"/>
  <c r="K29" i="2"/>
  <c r="L29" i="2" s="1"/>
  <c r="K37" i="2"/>
  <c r="L37" i="2" s="1"/>
  <c r="K45" i="2"/>
  <c r="L45" i="2" s="1"/>
  <c r="K53" i="2"/>
  <c r="L53" i="2" s="1"/>
  <c r="K61" i="2"/>
  <c r="L61" i="2" s="1"/>
  <c r="K69" i="2"/>
  <c r="L69" i="2" s="1"/>
  <c r="K77" i="2"/>
  <c r="L77" i="2" s="1"/>
  <c r="K79" i="2"/>
  <c r="L79" i="2" s="1"/>
  <c r="K83" i="2"/>
  <c r="L83" i="2" s="1"/>
  <c r="K112" i="2"/>
  <c r="L112" i="2" s="1"/>
  <c r="K114" i="2"/>
  <c r="F60" i="4"/>
  <c r="F61" i="4" s="1"/>
  <c r="F165" i="4"/>
  <c r="F164" i="4"/>
  <c r="H32" i="11"/>
  <c r="I242" i="1" s="1"/>
  <c r="L242" i="1" s="1"/>
  <c r="F9" i="11"/>
  <c r="F10" i="11" s="1"/>
  <c r="F44" i="12"/>
  <c r="F43" i="12"/>
  <c r="F91" i="12"/>
  <c r="F92" i="12" s="1"/>
  <c r="E24" i="18"/>
  <c r="F24" i="18" s="1"/>
  <c r="I36" i="25" s="1"/>
  <c r="J36" i="25" s="1"/>
  <c r="F78" i="20"/>
  <c r="K8" i="2"/>
  <c r="L8" i="2" s="1"/>
  <c r="K16" i="2"/>
  <c r="L16" i="2" s="1"/>
  <c r="K24" i="2"/>
  <c r="L24" i="2" s="1"/>
  <c r="K32" i="2"/>
  <c r="L32" i="2" s="1"/>
  <c r="K40" i="2"/>
  <c r="L40" i="2" s="1"/>
  <c r="K48" i="2"/>
  <c r="L48" i="2" s="1"/>
  <c r="K56" i="2"/>
  <c r="L56" i="2" s="1"/>
  <c r="K64" i="2"/>
  <c r="L64" i="2" s="1"/>
  <c r="K72" i="2"/>
  <c r="L72" i="2" s="1"/>
  <c r="K86" i="2"/>
  <c r="L86" i="2" s="1"/>
  <c r="K89" i="2"/>
  <c r="L89" i="2" s="1"/>
  <c r="K92" i="2"/>
  <c r="L92" i="2" s="1"/>
  <c r="K96" i="2"/>
  <c r="L96" i="2" s="1"/>
  <c r="K98" i="2"/>
  <c r="L98" i="2" s="1"/>
  <c r="K100" i="2"/>
  <c r="L100" i="2" s="1"/>
  <c r="K102" i="2"/>
  <c r="L102" i="2" s="1"/>
  <c r="K104" i="2"/>
  <c r="K106" i="2"/>
  <c r="L106" i="2" s="1"/>
  <c r="K108" i="2"/>
  <c r="L108" i="2" s="1"/>
  <c r="K110" i="2"/>
  <c r="F43" i="3"/>
  <c r="F44" i="3" s="1"/>
  <c r="F34" i="4"/>
  <c r="F35" i="4" s="1"/>
  <c r="F176" i="4"/>
  <c r="F177" i="4" s="1"/>
  <c r="F243" i="4"/>
  <c r="F242" i="4"/>
  <c r="F56" i="8"/>
  <c r="F55" i="8"/>
  <c r="F117" i="8"/>
  <c r="F118" i="8"/>
  <c r="F119" i="8" s="1"/>
  <c r="F120" i="8" s="1"/>
  <c r="F121" i="8" s="1"/>
  <c r="J38" i="1" s="1"/>
  <c r="F135" i="8"/>
  <c r="F136" i="8" s="1"/>
  <c r="F8" i="13"/>
  <c r="F9" i="13" s="1"/>
  <c r="G22" i="16"/>
  <c r="G21" i="16"/>
  <c r="K191" i="2"/>
  <c r="L191" i="2" s="1"/>
  <c r="K183" i="2"/>
  <c r="L183" i="2" s="1"/>
  <c r="K175" i="2"/>
  <c r="L175" i="2" s="1"/>
  <c r="K167" i="2"/>
  <c r="L167" i="2" s="1"/>
  <c r="K159" i="2"/>
  <c r="L159" i="2" s="1"/>
  <c r="K151" i="2"/>
  <c r="L151" i="2" s="1"/>
  <c r="K143" i="2"/>
  <c r="L143" i="2" s="1"/>
  <c r="K137" i="2"/>
  <c r="L137" i="2" s="1"/>
  <c r="K133" i="2"/>
  <c r="K129" i="2"/>
  <c r="L129" i="2" s="1"/>
  <c r="K125" i="2"/>
  <c r="K121" i="2"/>
  <c r="L121" i="2" s="1"/>
  <c r="K117" i="2"/>
  <c r="L117" i="2" s="1"/>
  <c r="K196" i="2"/>
  <c r="L196" i="2" s="1"/>
  <c r="K188" i="2"/>
  <c r="L188" i="2" s="1"/>
  <c r="K180" i="2"/>
  <c r="L180" i="2" s="1"/>
  <c r="K172" i="2"/>
  <c r="L172" i="2" s="1"/>
  <c r="K164" i="2"/>
  <c r="L164" i="2" s="1"/>
  <c r="K156" i="2"/>
  <c r="L156" i="2" s="1"/>
  <c r="K148" i="2"/>
  <c r="L148" i="2" s="1"/>
  <c r="K140" i="2"/>
  <c r="L140" i="2" s="1"/>
  <c r="K95" i="2"/>
  <c r="L95" i="2" s="1"/>
  <c r="K87" i="2"/>
  <c r="L87" i="2" s="1"/>
  <c r="K193" i="2"/>
  <c r="L193" i="2" s="1"/>
  <c r="K185" i="2"/>
  <c r="L185" i="2" s="1"/>
  <c r="K177" i="2"/>
  <c r="L177" i="2" s="1"/>
  <c r="K169" i="2"/>
  <c r="L169" i="2" s="1"/>
  <c r="K161" i="2"/>
  <c r="L161" i="2" s="1"/>
  <c r="K153" i="2"/>
  <c r="L153" i="2" s="1"/>
  <c r="K145" i="2"/>
  <c r="L145" i="2" s="1"/>
  <c r="K138" i="2"/>
  <c r="K134" i="2"/>
  <c r="L134" i="2" s="1"/>
  <c r="K130" i="2"/>
  <c r="K126" i="2"/>
  <c r="L126" i="2" s="1"/>
  <c r="K122" i="2"/>
  <c r="L122" i="2" s="1"/>
  <c r="K118" i="2"/>
  <c r="L118" i="2" s="1"/>
  <c r="K190" i="2"/>
  <c r="L190" i="2" s="1"/>
  <c r="K182" i="2"/>
  <c r="L182" i="2" s="1"/>
  <c r="K174" i="2"/>
  <c r="L174" i="2" s="1"/>
  <c r="K166" i="2"/>
  <c r="L166" i="2" s="1"/>
  <c r="K158" i="2"/>
  <c r="L158" i="2" s="1"/>
  <c r="K150" i="2"/>
  <c r="L150" i="2" s="1"/>
  <c r="K142" i="2"/>
  <c r="L142" i="2" s="1"/>
  <c r="K195" i="2"/>
  <c r="L195" i="2" s="1"/>
  <c r="K187" i="2"/>
  <c r="L187" i="2" s="1"/>
  <c r="K179" i="2"/>
  <c r="L179" i="2" s="1"/>
  <c r="K171" i="2"/>
  <c r="L171" i="2" s="1"/>
  <c r="K163" i="2"/>
  <c r="L163" i="2" s="1"/>
  <c r="K155" i="2"/>
  <c r="L155" i="2" s="1"/>
  <c r="K147" i="2"/>
  <c r="L147" i="2" s="1"/>
  <c r="K135" i="2"/>
  <c r="L135" i="2" s="1"/>
  <c r="K131" i="2"/>
  <c r="L131" i="2" s="1"/>
  <c r="K127" i="2"/>
  <c r="L127" i="2" s="1"/>
  <c r="K123" i="2"/>
  <c r="K119" i="2"/>
  <c r="L119" i="2" s="1"/>
  <c r="K115" i="2"/>
  <c r="K111" i="2"/>
  <c r="K192" i="2"/>
  <c r="L192" i="2" s="1"/>
  <c r="K184" i="2"/>
  <c r="L184" i="2" s="1"/>
  <c r="K176" i="2"/>
  <c r="L176" i="2" s="1"/>
  <c r="K168" i="2"/>
  <c r="L168" i="2" s="1"/>
  <c r="K160" i="2"/>
  <c r="L160" i="2" s="1"/>
  <c r="K152" i="2"/>
  <c r="L152" i="2" s="1"/>
  <c r="K144" i="2"/>
  <c r="L144" i="2" s="1"/>
  <c r="K197" i="2"/>
  <c r="L197" i="2" s="1"/>
  <c r="K189" i="2"/>
  <c r="L189" i="2" s="1"/>
  <c r="K181" i="2"/>
  <c r="L181" i="2" s="1"/>
  <c r="K173" i="2"/>
  <c r="L173" i="2" s="1"/>
  <c r="K165" i="2"/>
  <c r="L165" i="2" s="1"/>
  <c r="K157" i="2"/>
  <c r="L157" i="2" s="1"/>
  <c r="K149" i="2"/>
  <c r="L149" i="2" s="1"/>
  <c r="K141" i="2"/>
  <c r="L141" i="2" s="1"/>
  <c r="K136" i="2"/>
  <c r="L136" i="2" s="1"/>
  <c r="K132" i="2"/>
  <c r="L132" i="2" s="1"/>
  <c r="K128" i="2"/>
  <c r="L128" i="2" s="1"/>
  <c r="K194" i="2"/>
  <c r="L194" i="2" s="1"/>
  <c r="K186" i="2"/>
  <c r="L186" i="2" s="1"/>
  <c r="K178" i="2"/>
  <c r="L178" i="2" s="1"/>
  <c r="K170" i="2"/>
  <c r="L170" i="2" s="1"/>
  <c r="K162" i="2"/>
  <c r="L162" i="2" s="1"/>
  <c r="K154" i="2"/>
  <c r="L154" i="2" s="1"/>
  <c r="K146" i="2"/>
  <c r="L146" i="2" s="1"/>
  <c r="K93" i="2"/>
  <c r="L93" i="2" s="1"/>
  <c r="K11" i="2"/>
  <c r="L11" i="2" s="1"/>
  <c r="K19" i="2"/>
  <c r="L19" i="2" s="1"/>
  <c r="K27" i="2"/>
  <c r="L27" i="2" s="1"/>
  <c r="K35" i="2"/>
  <c r="L35" i="2" s="1"/>
  <c r="K43" i="2"/>
  <c r="L43" i="2" s="1"/>
  <c r="K51" i="2"/>
  <c r="L51" i="2" s="1"/>
  <c r="K59" i="2"/>
  <c r="L59" i="2" s="1"/>
  <c r="K67" i="2"/>
  <c r="L67" i="2" s="1"/>
  <c r="K75" i="2"/>
  <c r="L75" i="2" s="1"/>
  <c r="K81" i="2"/>
  <c r="L81" i="2" s="1"/>
  <c r="L113" i="2"/>
  <c r="L115" i="2"/>
  <c r="L120" i="2"/>
  <c r="L130" i="2"/>
  <c r="L138" i="2"/>
  <c r="F72" i="4"/>
  <c r="F73" i="4" s="1"/>
  <c r="F217" i="4"/>
  <c r="F216" i="4"/>
  <c r="F255" i="4"/>
  <c r="F254" i="4"/>
  <c r="F32" i="13"/>
  <c r="F33" i="13" s="1"/>
  <c r="F199" i="20"/>
  <c r="F200" i="20" s="1"/>
  <c r="F61" i="22"/>
  <c r="K6" i="2"/>
  <c r="L6" i="2" s="1"/>
  <c r="K14" i="2"/>
  <c r="L14" i="2" s="1"/>
  <c r="K22" i="2"/>
  <c r="L22" i="2" s="1"/>
  <c r="K30" i="2"/>
  <c r="L30" i="2" s="1"/>
  <c r="K38" i="2"/>
  <c r="L38" i="2" s="1"/>
  <c r="K46" i="2"/>
  <c r="L46" i="2" s="1"/>
  <c r="K54" i="2"/>
  <c r="L54" i="2" s="1"/>
  <c r="K62" i="2"/>
  <c r="L62" i="2" s="1"/>
  <c r="K70" i="2"/>
  <c r="L70" i="2" s="1"/>
  <c r="K78" i="2"/>
  <c r="L78" i="2" s="1"/>
  <c r="K84" i="2"/>
  <c r="L84" i="2" s="1"/>
  <c r="L97" i="2"/>
  <c r="L99" i="2"/>
  <c r="L101" i="2"/>
  <c r="L103" i="2"/>
  <c r="L105" i="2"/>
  <c r="L107" i="2"/>
  <c r="L109" i="2"/>
  <c r="L111" i="2"/>
  <c r="L125" i="2"/>
  <c r="L133" i="2"/>
  <c r="F98" i="4"/>
  <c r="F99" i="4" s="1"/>
  <c r="F228" i="4"/>
  <c r="F229" i="4" s="1"/>
  <c r="F63" i="13"/>
  <c r="F64" i="13"/>
  <c r="F12" i="3"/>
  <c r="F125" i="4"/>
  <c r="F115" i="12"/>
  <c r="G40" i="17"/>
  <c r="J40" i="17" s="1"/>
  <c r="G128" i="17"/>
  <c r="J128" i="17" s="1"/>
  <c r="I155" i="20"/>
  <c r="J146" i="1" s="1"/>
  <c r="K146" i="1" s="1"/>
  <c r="I35" i="21"/>
  <c r="H31" i="22"/>
  <c r="I133" i="1" s="1"/>
  <c r="F12" i="22"/>
  <c r="F13" i="22" s="1"/>
  <c r="F14" i="22" s="1"/>
  <c r="F16" i="22" s="1"/>
  <c r="F87" i="22"/>
  <c r="F88" i="22" s="1"/>
  <c r="F90" i="22" s="1"/>
  <c r="F198" i="22"/>
  <c r="F211" i="22"/>
  <c r="F212" i="22" s="1"/>
  <c r="F214" i="22" s="1"/>
  <c r="H210" i="22"/>
  <c r="F68" i="12"/>
  <c r="I124" i="20"/>
  <c r="J145" i="1" s="1"/>
  <c r="K145" i="1" s="1"/>
  <c r="E120" i="20"/>
  <c r="F120" i="20" s="1"/>
  <c r="F137" i="20"/>
  <c r="F138" i="20" s="1"/>
  <c r="F140" i="20" s="1"/>
  <c r="F167" i="22"/>
  <c r="H179" i="22" s="1"/>
  <c r="F199" i="22"/>
  <c r="F200" i="22" s="1"/>
  <c r="F202" i="22" s="1"/>
  <c r="F48" i="26"/>
  <c r="F49" i="26" s="1"/>
  <c r="F27" i="3"/>
  <c r="F28" i="3" s="1"/>
  <c r="F46" i="4"/>
  <c r="F202" i="4"/>
  <c r="F203" i="4" s="1"/>
  <c r="F11" i="5"/>
  <c r="F12" i="5" s="1"/>
  <c r="F75" i="8"/>
  <c r="F76" i="8" s="1"/>
  <c r="F19" i="12"/>
  <c r="F20" i="12" s="1"/>
  <c r="F33" i="12"/>
  <c r="F34" i="12" s="1"/>
  <c r="F58" i="12"/>
  <c r="F67" i="12"/>
  <c r="F56" i="20"/>
  <c r="F57" i="20" s="1"/>
  <c r="F59" i="20" s="1"/>
  <c r="I93" i="20"/>
  <c r="J144" i="1" s="1"/>
  <c r="K144" i="1" s="1"/>
  <c r="E89" i="20"/>
  <c r="F89" i="20" s="1"/>
  <c r="F86" i="20"/>
  <c r="F87" i="20" s="1"/>
  <c r="F88" i="20" s="1"/>
  <c r="F90" i="20" s="1"/>
  <c r="E46" i="22"/>
  <c r="F46" i="22" s="1"/>
  <c r="F43" i="22"/>
  <c r="H55" i="22" s="1"/>
  <c r="F61" i="28"/>
  <c r="F62" i="28" s="1"/>
  <c r="H78" i="28"/>
  <c r="I206" i="1" s="1"/>
  <c r="F113" i="28"/>
  <c r="F114" i="28" s="1"/>
  <c r="H130" i="28"/>
  <c r="I208" i="1" s="1"/>
  <c r="L208" i="1" s="1"/>
  <c r="G48" i="16"/>
  <c r="F117" i="20"/>
  <c r="F136" i="20"/>
  <c r="F8" i="26"/>
  <c r="F9" i="26" s="1"/>
  <c r="F31" i="27"/>
  <c r="F32" i="27" s="1"/>
  <c r="I78" i="28"/>
  <c r="J206" i="1" s="1"/>
  <c r="K206" i="1" s="1"/>
  <c r="F72" i="28"/>
  <c r="F73" i="28" s="1"/>
  <c r="F95" i="8"/>
  <c r="F96" i="8" s="1"/>
  <c r="G11" i="19"/>
  <c r="G13" i="19" s="1"/>
  <c r="J13" i="19" s="1"/>
  <c r="G22" i="19"/>
  <c r="E50" i="19"/>
  <c r="H50" i="19" s="1"/>
  <c r="J50" i="19" s="1"/>
  <c r="F43" i="20"/>
  <c r="F44" i="20" s="1"/>
  <c r="F45" i="20" s="1"/>
  <c r="F47" i="20" s="1"/>
  <c r="F118" i="20"/>
  <c r="F119" i="20" s="1"/>
  <c r="F121" i="20" s="1"/>
  <c r="I31" i="22"/>
  <c r="J133" i="1" s="1"/>
  <c r="K133" i="1" s="1"/>
  <c r="F24" i="22"/>
  <c r="H24" i="22" s="1"/>
  <c r="F149" i="22"/>
  <c r="F150" i="22" s="1"/>
  <c r="E170" i="22"/>
  <c r="F170" i="22" s="1"/>
  <c r="H217" i="22"/>
  <c r="I139" i="1" s="1"/>
  <c r="L139" i="1" s="1"/>
  <c r="F14" i="27"/>
  <c r="F15" i="27"/>
  <c r="J118" i="17"/>
  <c r="J121" i="17" s="1"/>
  <c r="G123" i="17" s="1"/>
  <c r="J123" i="17" s="1"/>
  <c r="J130" i="17" s="1"/>
  <c r="J7" i="1" s="1"/>
  <c r="F12" i="20"/>
  <c r="F13" i="20" s="1"/>
  <c r="F14" i="20" s="1"/>
  <c r="F16" i="20" s="1"/>
  <c r="H31" i="20"/>
  <c r="I142" i="1" s="1"/>
  <c r="L142" i="1" s="1"/>
  <c r="F109" i="20"/>
  <c r="E60" i="22"/>
  <c r="F60" i="22" s="1"/>
  <c r="H248" i="22"/>
  <c r="I140" i="1" s="1"/>
  <c r="L140" i="1" s="1"/>
  <c r="F230" i="22"/>
  <c r="F231" i="22" s="1"/>
  <c r="F229" i="22"/>
  <c r="E232" i="22"/>
  <c r="F232" i="22" s="1"/>
  <c r="F35" i="28"/>
  <c r="F36" i="28" s="1"/>
  <c r="H52" i="28"/>
  <c r="I205" i="1" s="1"/>
  <c r="F26" i="11"/>
  <c r="F27" i="11" s="1"/>
  <c r="F18" i="13"/>
  <c r="G9" i="16"/>
  <c r="D20" i="19"/>
  <c r="G20" i="19" s="1"/>
  <c r="G23" i="19" s="1"/>
  <c r="J23" i="19" s="1"/>
  <c r="G15" i="19"/>
  <c r="G17" i="19" s="1"/>
  <c r="J17" i="19" s="1"/>
  <c r="D25" i="19"/>
  <c r="F28" i="20"/>
  <c r="F117" i="22"/>
  <c r="H117" i="22" s="1"/>
  <c r="E120" i="22"/>
  <c r="F120" i="22" s="1"/>
  <c r="I124" i="22"/>
  <c r="J136" i="1" s="1"/>
  <c r="K136" i="1" s="1"/>
  <c r="F24" i="27"/>
  <c r="F23" i="27"/>
  <c r="F42" i="27"/>
  <c r="F43" i="27" s="1"/>
  <c r="I115" i="1" s="1"/>
  <c r="F59" i="27"/>
  <c r="F60" i="27" s="1"/>
  <c r="F53" i="13"/>
  <c r="J30" i="17"/>
  <c r="J33" i="17" s="1"/>
  <c r="G35" i="17" s="1"/>
  <c r="J35" i="17" s="1"/>
  <c r="E25" i="19"/>
  <c r="E28" i="19" s="1"/>
  <c r="E15" i="20"/>
  <c r="F15" i="20" s="1"/>
  <c r="H186" i="22"/>
  <c r="I138" i="1" s="1"/>
  <c r="L138" i="1" s="1"/>
  <c r="G13" i="24"/>
  <c r="F60" i="26"/>
  <c r="F59" i="26"/>
  <c r="F198" i="20"/>
  <c r="F28" i="21"/>
  <c r="F29" i="21" s="1"/>
  <c r="F30" i="21" s="1"/>
  <c r="F32" i="21" s="1"/>
  <c r="F43" i="26"/>
  <c r="F42" i="26"/>
  <c r="F165" i="28"/>
  <c r="F166" i="28" s="1"/>
  <c r="H182" i="28"/>
  <c r="I210" i="1" s="1"/>
  <c r="L210" i="1" s="1"/>
  <c r="A260" i="29"/>
  <c r="A312" i="29"/>
  <c r="F149" i="20"/>
  <c r="F150" i="20" s="1"/>
  <c r="F152" i="20" s="1"/>
  <c r="E201" i="20"/>
  <c r="F201" i="20" s="1"/>
  <c r="F211" i="20"/>
  <c r="F212" i="20" s="1"/>
  <c r="F214" i="20" s="1"/>
  <c r="F106" i="22"/>
  <c r="F107" i="22" s="1"/>
  <c r="F109" i="22" s="1"/>
  <c r="H124" i="22"/>
  <c r="I136" i="1" s="1"/>
  <c r="L136" i="1" s="1"/>
  <c r="E151" i="22"/>
  <c r="F151" i="22" s="1"/>
  <c r="E182" i="22"/>
  <c r="F180" i="22"/>
  <c r="F181" i="22" s="1"/>
  <c r="G22" i="24"/>
  <c r="G39" i="24"/>
  <c r="F30" i="26"/>
  <c r="F12" i="28"/>
  <c r="I52" i="28"/>
  <c r="J205" i="1" s="1"/>
  <c r="K205" i="1" s="1"/>
  <c r="F46" i="28"/>
  <c r="F47" i="28" s="1"/>
  <c r="H208" i="28"/>
  <c r="I211" i="1" s="1"/>
  <c r="L211" i="1" s="1"/>
  <c r="F191" i="28"/>
  <c r="F192" i="28" s="1"/>
  <c r="A78" i="29"/>
  <c r="A598" i="29"/>
  <c r="A702" i="29"/>
  <c r="E170" i="20"/>
  <c r="F170" i="20" s="1"/>
  <c r="F168" i="20"/>
  <c r="F169" i="20" s="1"/>
  <c r="F171" i="20" s="1"/>
  <c r="F14" i="21"/>
  <c r="F15" i="21" s="1"/>
  <c r="F16" i="21" s="1"/>
  <c r="F18" i="21" s="1"/>
  <c r="H35" i="21"/>
  <c r="F74" i="22"/>
  <c r="F75" i="22" s="1"/>
  <c r="F76" i="22" s="1"/>
  <c r="F78" i="22" s="1"/>
  <c r="I93" i="22"/>
  <c r="J135" i="1" s="1"/>
  <c r="K135" i="1" s="1"/>
  <c r="F272" i="22"/>
  <c r="I279" i="22"/>
  <c r="J141" i="1" s="1"/>
  <c r="K141" i="1" s="1"/>
  <c r="E275" i="22"/>
  <c r="I57" i="24"/>
  <c r="J289" i="1" s="1"/>
  <c r="G50" i="24"/>
  <c r="F15" i="26"/>
  <c r="F8" i="27"/>
  <c r="F9" i="27" s="1"/>
  <c r="I113" i="1" s="1"/>
  <c r="F205" i="28"/>
  <c r="F204" i="28"/>
  <c r="A26" i="29"/>
  <c r="F179" i="20"/>
  <c r="F180" i="20" s="1"/>
  <c r="F181" i="20" s="1"/>
  <c r="F183" i="20" s="1"/>
  <c r="F136" i="22"/>
  <c r="F137" i="22" s="1"/>
  <c r="F138" i="22" s="1"/>
  <c r="F140" i="22" s="1"/>
  <c r="J37" i="25"/>
  <c r="L39" i="25" s="1"/>
  <c r="J373" i="1" s="1"/>
  <c r="K373" i="1" s="1"/>
  <c r="F51" i="27"/>
  <c r="F50" i="27"/>
  <c r="I26" i="28"/>
  <c r="J204" i="1" s="1"/>
  <c r="K204" i="1" s="1"/>
  <c r="F20" i="28"/>
  <c r="F21" i="28" s="1"/>
  <c r="F87" i="28"/>
  <c r="F88" i="28" s="1"/>
  <c r="H104" i="28"/>
  <c r="I207" i="1" s="1"/>
  <c r="L207" i="1" s="1"/>
  <c r="F139" i="28"/>
  <c r="F140" i="28" s="1"/>
  <c r="H156" i="28"/>
  <c r="I209" i="1" s="1"/>
  <c r="L209" i="1" s="1"/>
  <c r="A130" i="29"/>
  <c r="A468" i="29"/>
  <c r="A234" i="29"/>
  <c r="A286" i="29"/>
  <c r="A572" i="29"/>
  <c r="A338" i="29"/>
  <c r="A442" i="29"/>
  <c r="F241" i="22"/>
  <c r="H241" i="22" s="1"/>
  <c r="H29" i="24"/>
  <c r="I288" i="1" s="1"/>
  <c r="L288" i="1" s="1"/>
  <c r="F228" i="28"/>
  <c r="F229" i="28" s="1"/>
  <c r="F230" i="28" s="1"/>
  <c r="F231" i="28" s="1"/>
  <c r="F232" i="28" s="1"/>
  <c r="F233" i="28" s="1"/>
  <c r="A234" i="28" s="1"/>
  <c r="I26" i="29"/>
  <c r="J212" i="1" s="1"/>
  <c r="I52" i="29"/>
  <c r="J213" i="1" s="1"/>
  <c r="I78" i="29"/>
  <c r="J214" i="1" s="1"/>
  <c r="K214" i="1" s="1"/>
  <c r="I104" i="29"/>
  <c r="J215" i="1" s="1"/>
  <c r="I390" i="29"/>
  <c r="J226" i="1" s="1"/>
  <c r="F399" i="29"/>
  <c r="F400" i="29" s="1"/>
  <c r="F401" i="29" s="1"/>
  <c r="F402" i="29" s="1"/>
  <c r="F403" i="29" s="1"/>
  <c r="F404" i="29" s="1"/>
  <c r="A416" i="29" s="1"/>
  <c r="F462" i="29"/>
  <c r="F463" i="29" s="1"/>
  <c r="F464" i="29" s="1"/>
  <c r="F465" i="29" s="1"/>
  <c r="F466" i="29" s="1"/>
  <c r="F467" i="29" s="1"/>
  <c r="H494" i="29"/>
  <c r="I230" i="1" s="1"/>
  <c r="F514" i="29"/>
  <c r="F515" i="29" s="1"/>
  <c r="F516" i="29" s="1"/>
  <c r="F517" i="29" s="1"/>
  <c r="F518" i="29" s="1"/>
  <c r="F519" i="29" s="1"/>
  <c r="A520" i="29" s="1"/>
  <c r="H624" i="29"/>
  <c r="I235" i="1" s="1"/>
  <c r="L235" i="1" s="1"/>
  <c r="H650" i="29"/>
  <c r="I236" i="1" s="1"/>
  <c r="L236" i="1" s="1"/>
  <c r="F58" i="30"/>
  <c r="F59" i="30" s="1"/>
  <c r="F90" i="30"/>
  <c r="F89" i="30"/>
  <c r="F133" i="30"/>
  <c r="F134" i="30" s="1"/>
  <c r="H155" i="30"/>
  <c r="I308" i="1" s="1"/>
  <c r="L308" i="1" s="1"/>
  <c r="F276" i="30"/>
  <c r="F275" i="30"/>
  <c r="F383" i="30"/>
  <c r="F384" i="30" s="1"/>
  <c r="F98" i="28"/>
  <c r="F99" i="28" s="1"/>
  <c r="F150" i="28"/>
  <c r="F151" i="28" s="1"/>
  <c r="I156" i="29"/>
  <c r="J217" i="1" s="1"/>
  <c r="I182" i="29"/>
  <c r="J218" i="1" s="1"/>
  <c r="I208" i="29"/>
  <c r="J219" i="1" s="1"/>
  <c r="H260" i="29"/>
  <c r="I221" i="1" s="1"/>
  <c r="L221" i="1" s="1"/>
  <c r="H286" i="29"/>
  <c r="I222" i="1" s="1"/>
  <c r="L222" i="1" s="1"/>
  <c r="H312" i="29"/>
  <c r="I223" i="1" s="1"/>
  <c r="L223" i="1" s="1"/>
  <c r="I572" i="29"/>
  <c r="J233" i="1" s="1"/>
  <c r="F149" i="30"/>
  <c r="F150" i="30" s="1"/>
  <c r="F214" i="30"/>
  <c r="F213" i="30"/>
  <c r="F354" i="30"/>
  <c r="F355" i="30" s="1"/>
  <c r="F507" i="30"/>
  <c r="F508" i="30" s="1"/>
  <c r="F43" i="31"/>
  <c r="F120" i="31"/>
  <c r="F121" i="31" s="1"/>
  <c r="I494" i="29"/>
  <c r="J230" i="1" s="1"/>
  <c r="K230" i="1" s="1"/>
  <c r="I546" i="29"/>
  <c r="J232" i="1" s="1"/>
  <c r="I598" i="29"/>
  <c r="J234" i="1" s="1"/>
  <c r="F12" i="30"/>
  <c r="F11" i="30"/>
  <c r="F43" i="30"/>
  <c r="F321" i="30"/>
  <c r="F322" i="30" s="1"/>
  <c r="F431" i="30"/>
  <c r="F430" i="30"/>
  <c r="F11" i="31"/>
  <c r="F12" i="31" s="1"/>
  <c r="F246" i="31"/>
  <c r="F247" i="31"/>
  <c r="F308" i="31"/>
  <c r="F309" i="31" s="1"/>
  <c r="A728" i="29"/>
  <c r="F74" i="30"/>
  <c r="F73" i="30"/>
  <c r="F104" i="30"/>
  <c r="F105" i="30" s="1"/>
  <c r="F183" i="30"/>
  <c r="F182" i="30"/>
  <c r="F338" i="30"/>
  <c r="F337" i="30"/>
  <c r="F106" i="31"/>
  <c r="F107" i="31" s="1"/>
  <c r="F135" i="31"/>
  <c r="F136" i="31" s="1"/>
  <c r="H26" i="28"/>
  <c r="I204" i="1" s="1"/>
  <c r="L204" i="1" s="1"/>
  <c r="F373" i="29"/>
  <c r="F374" i="29" s="1"/>
  <c r="F375" i="29" s="1"/>
  <c r="F376" i="29" s="1"/>
  <c r="F377" i="29" s="1"/>
  <c r="F378" i="29" s="1"/>
  <c r="A390" i="29" s="1"/>
  <c r="F120" i="30"/>
  <c r="F121" i="30" s="1"/>
  <c r="F244" i="30"/>
  <c r="F245" i="30" s="1"/>
  <c r="F321" i="31"/>
  <c r="F322" i="31" s="1"/>
  <c r="F244" i="22"/>
  <c r="F23" i="26"/>
  <c r="F24" i="26" s="1"/>
  <c r="F124" i="28"/>
  <c r="F125" i="28" s="1"/>
  <c r="F176" i="28"/>
  <c r="F177" i="28" s="1"/>
  <c r="F347" i="29"/>
  <c r="F348" i="29" s="1"/>
  <c r="F349" i="29" s="1"/>
  <c r="F350" i="29" s="1"/>
  <c r="F351" i="29" s="1"/>
  <c r="F352" i="29" s="1"/>
  <c r="A364" i="29" s="1"/>
  <c r="I624" i="29"/>
  <c r="J235" i="1" s="1"/>
  <c r="K235" i="1" s="1"/>
  <c r="F618" i="29"/>
  <c r="F619" i="29" s="1"/>
  <c r="F620" i="29" s="1"/>
  <c r="F621" i="29" s="1"/>
  <c r="F622" i="29" s="1"/>
  <c r="F623" i="29" s="1"/>
  <c r="A624" i="29" s="1"/>
  <c r="F670" i="29"/>
  <c r="F671" i="29" s="1"/>
  <c r="F672" i="29" s="1"/>
  <c r="F673" i="29" s="1"/>
  <c r="F674" i="29" s="1"/>
  <c r="F675" i="29" s="1"/>
  <c r="A676" i="29" s="1"/>
  <c r="F292" i="30"/>
  <c r="F293" i="30" s="1"/>
  <c r="F445" i="30"/>
  <c r="F446" i="30"/>
  <c r="F230" i="30"/>
  <c r="F231" i="30" s="1"/>
  <c r="F260" i="30"/>
  <c r="F259" i="30"/>
  <c r="F306" i="30"/>
  <c r="F307" i="30" s="1"/>
  <c r="F368" i="30"/>
  <c r="F369" i="30" s="1"/>
  <c r="F493" i="30"/>
  <c r="F492" i="30"/>
  <c r="F556" i="30"/>
  <c r="F557" i="30" s="1"/>
  <c r="I728" i="29"/>
  <c r="J239" i="1" s="1"/>
  <c r="F27" i="30"/>
  <c r="F28" i="30" s="1"/>
  <c r="F416" i="30"/>
  <c r="F417" i="30" s="1"/>
  <c r="F60" i="31"/>
  <c r="F61" i="31" s="1"/>
  <c r="I465" i="30"/>
  <c r="J318" i="1" s="1"/>
  <c r="K318" i="1" s="1"/>
  <c r="F459" i="30"/>
  <c r="F460" i="30" s="1"/>
  <c r="I496" i="30"/>
  <c r="F538" i="30"/>
  <c r="F539" i="30" s="1"/>
  <c r="I217" i="31"/>
  <c r="J155" i="1" s="1"/>
  <c r="F290" i="31"/>
  <c r="F291" i="31" s="1"/>
  <c r="H70" i="32"/>
  <c r="I389" i="1" s="1"/>
  <c r="F44" i="32"/>
  <c r="F45" i="32" s="1"/>
  <c r="F40" i="33"/>
  <c r="F39" i="33"/>
  <c r="I124" i="30"/>
  <c r="J307" i="1" s="1"/>
  <c r="I155" i="30"/>
  <c r="J308" i="1" s="1"/>
  <c r="K308" i="1" s="1"/>
  <c r="I31" i="31"/>
  <c r="J149" i="1" s="1"/>
  <c r="F25" i="31"/>
  <c r="F26" i="31" s="1"/>
  <c r="H155" i="31"/>
  <c r="I153" i="1" s="1"/>
  <c r="F259" i="31"/>
  <c r="F260" i="31" s="1"/>
  <c r="F371" i="31"/>
  <c r="F584" i="31"/>
  <c r="F583" i="31"/>
  <c r="F616" i="31"/>
  <c r="F617" i="31" s="1"/>
  <c r="F700" i="31"/>
  <c r="F701" i="31" s="1"/>
  <c r="F923" i="31"/>
  <c r="F924" i="31" s="1"/>
  <c r="F11" i="32"/>
  <c r="F12" i="32" s="1"/>
  <c r="F66" i="32"/>
  <c r="F67" i="32" s="1"/>
  <c r="I186" i="30"/>
  <c r="J309" i="1" s="1"/>
  <c r="F73" i="31"/>
  <c r="F74" i="31" s="1"/>
  <c r="F353" i="31"/>
  <c r="F352" i="31"/>
  <c r="F550" i="31"/>
  <c r="F551" i="31" s="1"/>
  <c r="F783" i="31"/>
  <c r="F784" i="31"/>
  <c r="F944" i="31"/>
  <c r="F943" i="31"/>
  <c r="F32" i="32"/>
  <c r="F31" i="32"/>
  <c r="H341" i="30"/>
  <c r="I314" i="1" s="1"/>
  <c r="I403" i="30"/>
  <c r="J316" i="1" s="1"/>
  <c r="K316" i="1" s="1"/>
  <c r="F397" i="30"/>
  <c r="F398" i="30" s="1"/>
  <c r="I434" i="30"/>
  <c r="J317" i="1" s="1"/>
  <c r="F476" i="30"/>
  <c r="F477" i="30" s="1"/>
  <c r="F42" i="31"/>
  <c r="I93" i="31"/>
  <c r="J151" i="1" s="1"/>
  <c r="K151" i="1" s="1"/>
  <c r="F87" i="31"/>
  <c r="F88" i="31" s="1"/>
  <c r="F517" i="31"/>
  <c r="F518" i="31" s="1"/>
  <c r="F650" i="31"/>
  <c r="F649" i="31"/>
  <c r="F684" i="31"/>
  <c r="F685" i="31" s="1"/>
  <c r="F803" i="31"/>
  <c r="F804" i="31" s="1"/>
  <c r="F820" i="31"/>
  <c r="F821" i="31"/>
  <c r="F909" i="31"/>
  <c r="F908" i="31"/>
  <c r="F108" i="33"/>
  <c r="F109" i="33" s="1"/>
  <c r="F110" i="33" s="1"/>
  <c r="J42" i="1" s="1"/>
  <c r="K42" i="1" s="1"/>
  <c r="F107" i="33"/>
  <c r="I310" i="30"/>
  <c r="J313" i="1" s="1"/>
  <c r="I341" i="30"/>
  <c r="J314" i="1" s="1"/>
  <c r="K314" i="1" s="1"/>
  <c r="I155" i="31"/>
  <c r="J153" i="1" s="1"/>
  <c r="K153" i="1" s="1"/>
  <c r="F184" i="31"/>
  <c r="F185" i="31" s="1"/>
  <c r="A186" i="31" s="1"/>
  <c r="I341" i="31"/>
  <c r="J159" i="1" s="1"/>
  <c r="F437" i="31"/>
  <c r="F436" i="31"/>
  <c r="F198" i="30"/>
  <c r="I527" i="30"/>
  <c r="F521" i="30"/>
  <c r="F522" i="30" s="1"/>
  <c r="F873" i="31"/>
  <c r="F874" i="31" s="1"/>
  <c r="F18" i="33"/>
  <c r="F149" i="33"/>
  <c r="F150" i="33" s="1"/>
  <c r="F208" i="33"/>
  <c r="F209" i="33" s="1"/>
  <c r="F210" i="33" s="1"/>
  <c r="F211" i="33" s="1"/>
  <c r="F17" i="34"/>
  <c r="F16" i="34"/>
  <c r="F73" i="34"/>
  <c r="F74" i="34" s="1"/>
  <c r="F197" i="30"/>
  <c r="F228" i="31"/>
  <c r="F229" i="31" s="1"/>
  <c r="F385" i="31"/>
  <c r="F386" i="31" s="1"/>
  <c r="F420" i="31"/>
  <c r="F421" i="31" s="1"/>
  <c r="F33" i="33"/>
  <c r="F34" i="33" s="1"/>
  <c r="F35" i="33" s="1"/>
  <c r="F32" i="33"/>
  <c r="F197" i="31"/>
  <c r="F198" i="31"/>
  <c r="F634" i="31"/>
  <c r="F635" i="31" s="1"/>
  <c r="F449" i="31"/>
  <c r="F450" i="31" s="1"/>
  <c r="F500" i="31"/>
  <c r="F501" i="31" s="1"/>
  <c r="F713" i="31"/>
  <c r="F714" i="31" s="1"/>
  <c r="I842" i="31"/>
  <c r="J174" i="1" s="1"/>
  <c r="K174" i="1" s="1"/>
  <c r="F836" i="31"/>
  <c r="F837" i="31" s="1"/>
  <c r="I912" i="31"/>
  <c r="J176" i="1" s="1"/>
  <c r="K176" i="1" s="1"/>
  <c r="I70" i="32"/>
  <c r="J389" i="1" s="1"/>
  <c r="K389" i="1" s="1"/>
  <c r="F237" i="33"/>
  <c r="F238" i="33" s="1"/>
  <c r="F260" i="33"/>
  <c r="F61" i="34"/>
  <c r="I30" i="35"/>
  <c r="J184" i="1" s="1"/>
  <c r="K184" i="1" s="1"/>
  <c r="F24" i="35"/>
  <c r="F25" i="35" s="1"/>
  <c r="I90" i="35"/>
  <c r="J186" i="1" s="1"/>
  <c r="K186" i="1" s="1"/>
  <c r="F84" i="35"/>
  <c r="F85" i="35" s="1"/>
  <c r="I150" i="35"/>
  <c r="J188" i="1" s="1"/>
  <c r="F144" i="35"/>
  <c r="F145" i="35" s="1"/>
  <c r="I210" i="35"/>
  <c r="J190" i="1" s="1"/>
  <c r="F204" i="35"/>
  <c r="F205" i="35" s="1"/>
  <c r="I270" i="35"/>
  <c r="J192" i="1" s="1"/>
  <c r="F264" i="35"/>
  <c r="F265" i="35" s="1"/>
  <c r="F417" i="35"/>
  <c r="F416" i="35"/>
  <c r="F9" i="36"/>
  <c r="F8" i="36"/>
  <c r="F70" i="36"/>
  <c r="F71" i="36" s="1"/>
  <c r="F401" i="31"/>
  <c r="F402" i="31" s="1"/>
  <c r="H572" i="31"/>
  <c r="I166" i="1" s="1"/>
  <c r="L166" i="1" s="1"/>
  <c r="F665" i="31"/>
  <c r="F666" i="31" s="1"/>
  <c r="F766" i="31"/>
  <c r="F767" i="31" s="1"/>
  <c r="I807" i="31"/>
  <c r="J173" i="1" s="1"/>
  <c r="H947" i="31"/>
  <c r="I177" i="1" s="1"/>
  <c r="F120" i="33"/>
  <c r="F121" i="33" s="1"/>
  <c r="F122" i="33" s="1"/>
  <c r="F123" i="33" s="1"/>
  <c r="F162" i="33"/>
  <c r="F163" i="33" s="1"/>
  <c r="F39" i="34"/>
  <c r="F461" i="35"/>
  <c r="F462" i="35" s="1"/>
  <c r="F20" i="36"/>
  <c r="F21" i="36" s="1"/>
  <c r="F566" i="31"/>
  <c r="F567" i="31" s="1"/>
  <c r="I947" i="31"/>
  <c r="J177" i="1" s="1"/>
  <c r="K177" i="1" s="1"/>
  <c r="F17" i="33"/>
  <c r="F75" i="33"/>
  <c r="F84" i="33"/>
  <c r="F140" i="33"/>
  <c r="F141" i="33" s="1"/>
  <c r="F186" i="33"/>
  <c r="F187" i="33" s="1"/>
  <c r="F188" i="33" s="1"/>
  <c r="F189" i="33" s="1"/>
  <c r="F38" i="34"/>
  <c r="F356" i="35"/>
  <c r="F357" i="35" s="1"/>
  <c r="F467" i="31"/>
  <c r="F468" i="31" s="1"/>
  <c r="F731" i="31"/>
  <c r="F732" i="31" s="1"/>
  <c r="F170" i="33"/>
  <c r="F250" i="33"/>
  <c r="F251" i="33"/>
  <c r="F81" i="34"/>
  <c r="F431" i="35"/>
  <c r="F432" i="35" s="1"/>
  <c r="H35" i="32"/>
  <c r="I386" i="1" s="1"/>
  <c r="L386" i="1" s="1"/>
  <c r="F62" i="33"/>
  <c r="F52" i="34"/>
  <c r="F51" i="34"/>
  <c r="F57" i="35"/>
  <c r="F56" i="35"/>
  <c r="F116" i="35"/>
  <c r="F117" i="35" s="1"/>
  <c r="F176" i="35"/>
  <c r="F177" i="35" s="1"/>
  <c r="F236" i="35"/>
  <c r="F237" i="35" s="1"/>
  <c r="F297" i="35"/>
  <c r="F296" i="35"/>
  <c r="F446" i="35"/>
  <c r="F447" i="35" s="1"/>
  <c r="F536" i="35"/>
  <c r="F537" i="35" s="1"/>
  <c r="F482" i="31"/>
  <c r="F483" i="31" s="1"/>
  <c r="F533" i="31"/>
  <c r="F534" i="31" s="1"/>
  <c r="F746" i="31"/>
  <c r="F747" i="31" s="1"/>
  <c r="F851" i="31"/>
  <c r="F852" i="31" s="1"/>
  <c r="F61" i="33"/>
  <c r="F128" i="33"/>
  <c r="F372" i="35"/>
  <c r="F371" i="35"/>
  <c r="F476" i="35"/>
  <c r="F477" i="35" s="1"/>
  <c r="F52" i="33"/>
  <c r="F53" i="33" s="1"/>
  <c r="F127" i="33"/>
  <c r="F194" i="33"/>
  <c r="F7" i="34"/>
  <c r="F8" i="34" s="1"/>
  <c r="F30" i="34"/>
  <c r="F149" i="31"/>
  <c r="F150" i="31" s="1"/>
  <c r="F211" i="31"/>
  <c r="F212" i="31" s="1"/>
  <c r="F273" i="31"/>
  <c r="F274" i="31" s="1"/>
  <c r="F335" i="31"/>
  <c r="F336" i="31" s="1"/>
  <c r="F599" i="31"/>
  <c r="F600" i="31" s="1"/>
  <c r="H912" i="31"/>
  <c r="I176" i="1" s="1"/>
  <c r="F886" i="31"/>
  <c r="F887" i="31" s="1"/>
  <c r="F97" i="33"/>
  <c r="F215" i="33"/>
  <c r="F216" i="33" s="1"/>
  <c r="F12" i="35"/>
  <c r="F11" i="35"/>
  <c r="F71" i="35"/>
  <c r="F72" i="35" s="1"/>
  <c r="F131" i="35"/>
  <c r="F132" i="35" s="1"/>
  <c r="F191" i="35"/>
  <c r="F192" i="35" s="1"/>
  <c r="F252" i="35"/>
  <c r="F251" i="35"/>
  <c r="F311" i="35"/>
  <c r="F312" i="35" s="1"/>
  <c r="F39" i="35"/>
  <c r="F40" i="35" s="1"/>
  <c r="F99" i="35"/>
  <c r="F100" i="35" s="1"/>
  <c r="F159" i="35"/>
  <c r="F160" i="35" s="1"/>
  <c r="F219" i="35"/>
  <c r="F220" i="35" s="1"/>
  <c r="F279" i="35"/>
  <c r="F280" i="35" s="1"/>
  <c r="F339" i="35"/>
  <c r="F340" i="35" s="1"/>
  <c r="F399" i="35"/>
  <c r="F400" i="35" s="1"/>
  <c r="F552" i="35"/>
  <c r="F564" i="35"/>
  <c r="F565" i="35" s="1"/>
  <c r="I29" i="39"/>
  <c r="J117" i="1" s="1"/>
  <c r="E184" i="41"/>
  <c r="F492" i="35"/>
  <c r="F504" i="35"/>
  <c r="F505" i="35" s="1"/>
  <c r="F59" i="36"/>
  <c r="G438" i="45"/>
  <c r="G439" i="45"/>
  <c r="F83" i="36"/>
  <c r="F84" i="36" s="1"/>
  <c r="F521" i="35"/>
  <c r="F522" i="35" s="1"/>
  <c r="F44" i="36"/>
  <c r="E267" i="41"/>
  <c r="F267" i="41" s="1"/>
  <c r="F268" i="41"/>
  <c r="A26" i="42"/>
  <c r="I450" i="35"/>
  <c r="J198" i="1" s="1"/>
  <c r="K198" i="1" s="1"/>
  <c r="H480" i="35"/>
  <c r="I199" i="1" s="1"/>
  <c r="L199" i="1" s="1"/>
  <c r="F27" i="41"/>
  <c r="F28" i="41" s="1"/>
  <c r="E205" i="41"/>
  <c r="F205" i="41" s="1"/>
  <c r="F206" i="41"/>
  <c r="F324" i="35"/>
  <c r="F325" i="35" s="1"/>
  <c r="F384" i="35"/>
  <c r="F385" i="35" s="1"/>
  <c r="F96" i="36"/>
  <c r="E27" i="39"/>
  <c r="F27" i="39" s="1"/>
  <c r="F28" i="39"/>
  <c r="E246" i="41"/>
  <c r="F34" i="36"/>
  <c r="F80" i="41"/>
  <c r="E143" i="41"/>
  <c r="F143" i="41" s="1"/>
  <c r="F144" i="41"/>
  <c r="F275" i="41"/>
  <c r="F276" i="41" s="1"/>
  <c r="F35" i="42"/>
  <c r="F36" i="42" s="1"/>
  <c r="F37" i="42" s="1"/>
  <c r="F38" i="42" s="1"/>
  <c r="F39" i="42" s="1"/>
  <c r="F40" i="42" s="1"/>
  <c r="A52" i="42" s="1"/>
  <c r="H52" i="42"/>
  <c r="I148" i="1" s="1"/>
  <c r="L148" i="1" s="1"/>
  <c r="F10" i="39"/>
  <c r="F14" i="39" s="1"/>
  <c r="F72" i="39"/>
  <c r="F101" i="39"/>
  <c r="F130" i="39"/>
  <c r="F131" i="39" s="1"/>
  <c r="F132" i="39" s="1"/>
  <c r="F134" i="39" s="1"/>
  <c r="F159" i="39"/>
  <c r="F188" i="39"/>
  <c r="F217" i="39"/>
  <c r="F218" i="39" s="1"/>
  <c r="F219" i="39" s="1"/>
  <c r="F221" i="39" s="1"/>
  <c r="F14" i="41"/>
  <c r="H24" i="41" s="1"/>
  <c r="H16" i="45"/>
  <c r="I67" i="1" s="1"/>
  <c r="L67" i="1" s="1"/>
  <c r="G5" i="45"/>
  <c r="G29" i="45"/>
  <c r="I154" i="45"/>
  <c r="J77" i="1" s="1"/>
  <c r="K77" i="1" s="1"/>
  <c r="G274" i="45"/>
  <c r="F73" i="39"/>
  <c r="F74" i="39" s="1"/>
  <c r="F76" i="39" s="1"/>
  <c r="F102" i="39"/>
  <c r="F103" i="39" s="1"/>
  <c r="F160" i="39"/>
  <c r="F161" i="39" s="1"/>
  <c r="F189" i="39"/>
  <c r="F190" i="39" s="1"/>
  <c r="F192" i="39" s="1"/>
  <c r="F15" i="41"/>
  <c r="F16" i="41" s="1"/>
  <c r="F45" i="41"/>
  <c r="H55" i="41" s="1"/>
  <c r="J93" i="41"/>
  <c r="J127" i="1" s="1"/>
  <c r="K127" i="1" s="1"/>
  <c r="F169" i="41"/>
  <c r="H179" i="41" s="1"/>
  <c r="G6" i="45"/>
  <c r="G22" i="45"/>
  <c r="A30" i="45" s="1"/>
  <c r="G55" i="45"/>
  <c r="G97" i="45"/>
  <c r="G160" i="45"/>
  <c r="I180" i="45"/>
  <c r="J79" i="1" s="1"/>
  <c r="G219" i="45"/>
  <c r="H296" i="45"/>
  <c r="I87" i="1" s="1"/>
  <c r="L87" i="1" s="1"/>
  <c r="G285" i="45"/>
  <c r="G286" i="45" s="1"/>
  <c r="I296" i="45"/>
  <c r="J87" i="1" s="1"/>
  <c r="K87" i="1" s="1"/>
  <c r="G349" i="45"/>
  <c r="G350" i="45" s="1"/>
  <c r="G390" i="45"/>
  <c r="F44" i="39"/>
  <c r="F45" i="39" s="1"/>
  <c r="F47" i="39" s="1"/>
  <c r="F82" i="39"/>
  <c r="H82" i="39" s="1"/>
  <c r="F111" i="39"/>
  <c r="F140" i="39"/>
  <c r="H140" i="39" s="1"/>
  <c r="F169" i="39"/>
  <c r="H169" i="39" s="1"/>
  <c r="F198" i="39"/>
  <c r="H198" i="39" s="1"/>
  <c r="F227" i="39"/>
  <c r="H227" i="39" s="1"/>
  <c r="F165" i="41"/>
  <c r="F227" i="41"/>
  <c r="H44" i="45"/>
  <c r="I69" i="1" s="1"/>
  <c r="L69" i="1" s="1"/>
  <c r="G33" i="45"/>
  <c r="G34" i="45" s="1"/>
  <c r="I44" i="45"/>
  <c r="J69" i="1" s="1"/>
  <c r="K69" i="1" s="1"/>
  <c r="G81" i="45"/>
  <c r="G111" i="45"/>
  <c r="G146" i="45"/>
  <c r="G147" i="45" s="1"/>
  <c r="G185" i="45"/>
  <c r="G234" i="45"/>
  <c r="G235" i="45" s="1"/>
  <c r="G262" i="45"/>
  <c r="G273" i="45"/>
  <c r="G300" i="45"/>
  <c r="G362" i="45"/>
  <c r="G363" i="45" s="1"/>
  <c r="G375" i="45"/>
  <c r="G376" i="45" s="1"/>
  <c r="G389" i="45"/>
  <c r="G403" i="45"/>
  <c r="D5" i="47"/>
  <c r="E266" i="4" s="1" a="1"/>
  <c r="E266" i="4" s="1"/>
  <c r="F266" i="4" s="1"/>
  <c r="F267" i="4" s="1"/>
  <c r="E75" i="39"/>
  <c r="F75" i="39" s="1"/>
  <c r="H87" i="39"/>
  <c r="I119" i="1" s="1"/>
  <c r="L119" i="1" s="1"/>
  <c r="E104" i="39"/>
  <c r="F104" i="39" s="1"/>
  <c r="H116" i="39"/>
  <c r="I120" i="1" s="1"/>
  <c r="L120" i="1" s="1"/>
  <c r="E133" i="39"/>
  <c r="F133" i="39" s="1"/>
  <c r="H145" i="39"/>
  <c r="I121" i="1" s="1"/>
  <c r="L121" i="1" s="1"/>
  <c r="E162" i="39"/>
  <c r="F162" i="39" s="1"/>
  <c r="H174" i="39"/>
  <c r="I122" i="1" s="1"/>
  <c r="L122" i="1" s="1"/>
  <c r="E191" i="39"/>
  <c r="F191" i="39" s="1"/>
  <c r="H203" i="39"/>
  <c r="I123" i="1" s="1"/>
  <c r="L123" i="1" s="1"/>
  <c r="E220" i="39"/>
  <c r="F220" i="39" s="1"/>
  <c r="H232" i="39"/>
  <c r="I124" i="1" s="1"/>
  <c r="L124" i="1" s="1"/>
  <c r="E17" i="41"/>
  <c r="F17" i="41" s="1"/>
  <c r="G124" i="45"/>
  <c r="G151" i="45"/>
  <c r="G198" i="45"/>
  <c r="H209" i="45"/>
  <c r="I81" i="1" s="1"/>
  <c r="L81" i="1" s="1"/>
  <c r="G314" i="45"/>
  <c r="H325" i="45"/>
  <c r="I89" i="1" s="1"/>
  <c r="L89" i="1" s="1"/>
  <c r="F54" i="39"/>
  <c r="F55" i="39" s="1"/>
  <c r="F83" i="39"/>
  <c r="F84" i="39" s="1"/>
  <c r="F112" i="39"/>
  <c r="F113" i="39" s="1"/>
  <c r="F141" i="39"/>
  <c r="F142" i="39" s="1"/>
  <c r="F170" i="39"/>
  <c r="F171" i="39" s="1"/>
  <c r="F199" i="39"/>
  <c r="F200" i="39" s="1"/>
  <c r="F228" i="39"/>
  <c r="F229" i="39" s="1"/>
  <c r="I31" i="41"/>
  <c r="I125" i="1" s="1"/>
  <c r="L125" i="1" s="1"/>
  <c r="F86" i="41"/>
  <c r="H86" i="41" s="1"/>
  <c r="I124" i="41"/>
  <c r="I128" i="1" s="1"/>
  <c r="L128" i="1" s="1"/>
  <c r="I186" i="41"/>
  <c r="I130" i="1" s="1"/>
  <c r="L130" i="1" s="1"/>
  <c r="I248" i="41"/>
  <c r="I132" i="1" s="1"/>
  <c r="L132" i="1" s="1"/>
  <c r="G61" i="45"/>
  <c r="G62" i="45" s="1"/>
  <c r="H72" i="45"/>
  <c r="I71" i="1" s="1"/>
  <c r="L71" i="1" s="1"/>
  <c r="G123" i="45"/>
  <c r="G136" i="45"/>
  <c r="G137" i="45" s="1"/>
  <c r="G150" i="45"/>
  <c r="G164" i="45"/>
  <c r="G199" i="45"/>
  <c r="G249" i="45"/>
  <c r="G315" i="45"/>
  <c r="I339" i="45"/>
  <c r="J90" i="1" s="1"/>
  <c r="G462" i="45"/>
  <c r="H117" i="41"/>
  <c r="G28" i="44"/>
  <c r="J28" i="44" s="1"/>
  <c r="J30" i="44" s="1"/>
  <c r="J4" i="1" s="1"/>
  <c r="G12" i="45"/>
  <c r="G13" i="45" s="1"/>
  <c r="G49" i="45"/>
  <c r="G50" i="45" s="1"/>
  <c r="G177" i="45"/>
  <c r="G227" i="45"/>
  <c r="G228" i="45" s="1"/>
  <c r="H238" i="45"/>
  <c r="I83" i="1" s="1"/>
  <c r="L83" i="1" s="1"/>
  <c r="G332" i="45"/>
  <c r="F58" i="41"/>
  <c r="F59" i="41" s="1"/>
  <c r="F108" i="41"/>
  <c r="F109" i="41" s="1"/>
  <c r="F111" i="41" s="1"/>
  <c r="E172" i="41"/>
  <c r="F172" i="41" s="1"/>
  <c r="E234" i="41"/>
  <c r="F234" i="41" s="1"/>
  <c r="H26" i="42"/>
  <c r="I147" i="1" s="1"/>
  <c r="L147" i="1" s="1"/>
  <c r="F46" i="42"/>
  <c r="F47" i="42" s="1"/>
  <c r="F48" i="42" s="1"/>
  <c r="F49" i="42" s="1"/>
  <c r="F50" i="42" s="1"/>
  <c r="F51" i="42" s="1"/>
  <c r="G41" i="45"/>
  <c r="G78" i="45"/>
  <c r="G89" i="45"/>
  <c r="G90" i="45" s="1"/>
  <c r="H100" i="45"/>
  <c r="I73" i="1" s="1"/>
  <c r="L73" i="1" s="1"/>
  <c r="G176" i="45"/>
  <c r="G204" i="45"/>
  <c r="G215" i="45"/>
  <c r="G216" i="45" s="1"/>
  <c r="G242" i="45"/>
  <c r="G279" i="45"/>
  <c r="G292" i="45"/>
  <c r="G293" i="45" s="1"/>
  <c r="G320" i="45"/>
  <c r="G331" i="45"/>
  <c r="I393" i="45"/>
  <c r="J94" i="1" s="1"/>
  <c r="F120" i="41"/>
  <c r="F121" i="41" s="1"/>
  <c r="J155" i="41"/>
  <c r="J129" i="1" s="1"/>
  <c r="K129" i="1" s="1"/>
  <c r="F148" i="41"/>
  <c r="H148" i="41" s="1"/>
  <c r="F210" i="41"/>
  <c r="H210" i="41" s="1"/>
  <c r="J217" i="41"/>
  <c r="J131" i="1" s="1"/>
  <c r="J279" i="41"/>
  <c r="J391" i="1" s="1"/>
  <c r="K391" i="1" s="1"/>
  <c r="F272" i="41"/>
  <c r="H272" i="41" s="1"/>
  <c r="G69" i="45"/>
  <c r="G107" i="45"/>
  <c r="I127" i="45"/>
  <c r="J75" i="1" s="1"/>
  <c r="I140" i="45"/>
  <c r="J76" i="1" s="1"/>
  <c r="K76" i="1" s="1"/>
  <c r="G190" i="45"/>
  <c r="H267" i="45"/>
  <c r="I85" i="1" s="1"/>
  <c r="L85" i="1" s="1"/>
  <c r="G256" i="45"/>
  <c r="G257" i="45" s="1"/>
  <c r="G305" i="45"/>
  <c r="G336" i="45"/>
  <c r="G345" i="45"/>
  <c r="G346" i="45" s="1"/>
  <c r="G386" i="45"/>
  <c r="G397" i="45"/>
  <c r="G447" i="45"/>
  <c r="G457" i="45"/>
  <c r="D7" i="47"/>
  <c r="I80" i="2" s="1" a="1"/>
  <c r="I80" i="2" s="1"/>
  <c r="L80" i="2" s="1"/>
  <c r="G131" i="45"/>
  <c r="G370" i="45"/>
  <c r="G118" i="45"/>
  <c r="G171" i="45"/>
  <c r="G357" i="45"/>
  <c r="F85" i="36" l="1"/>
  <c r="F86" i="36" s="1"/>
  <c r="F87" i="36" s="1"/>
  <c r="F88" i="36" s="1"/>
  <c r="F538" i="35"/>
  <c r="F539" i="35" s="1"/>
  <c r="F164" i="33"/>
  <c r="F165" i="33" s="1"/>
  <c r="F166" i="33" s="1"/>
  <c r="F167" i="33" s="1"/>
  <c r="F72" i="36"/>
  <c r="F73" i="36" s="1"/>
  <c r="F74" i="36" s="1"/>
  <c r="F75" i="36" s="1"/>
  <c r="J381" i="1" s="1"/>
  <c r="K381" i="1" s="1"/>
  <c r="F230" i="31"/>
  <c r="F231" i="31" s="1"/>
  <c r="A248" i="31" s="1"/>
  <c r="F875" i="31"/>
  <c r="F876" i="31" s="1"/>
  <c r="F371" i="30"/>
  <c r="A372" i="30" s="1"/>
  <c r="F370" i="30"/>
  <c r="F323" i="31"/>
  <c r="F324" i="31" s="1"/>
  <c r="E48" i="20"/>
  <c r="F48" i="20" s="1"/>
  <c r="F49" i="20" s="1"/>
  <c r="I52" i="1"/>
  <c r="F35" i="12"/>
  <c r="F36" i="12" s="1"/>
  <c r="F37" i="12" s="1"/>
  <c r="F38" i="12" s="1"/>
  <c r="F11" i="13"/>
  <c r="F10" i="13"/>
  <c r="F178" i="4"/>
  <c r="F179" i="4" s="1"/>
  <c r="F180" i="4" s="1"/>
  <c r="F181" i="4" s="1"/>
  <c r="F182" i="4" s="1"/>
  <c r="J16" i="1" s="1"/>
  <c r="K16" i="1" s="1"/>
  <c r="F63" i="4"/>
  <c r="F64" i="4" s="1"/>
  <c r="F65" i="4" s="1"/>
  <c r="F62" i="4"/>
  <c r="F282" i="4"/>
  <c r="F283" i="4"/>
  <c r="F284" i="4" s="1"/>
  <c r="F285" i="4" s="1"/>
  <c r="F286" i="4" s="1"/>
  <c r="J20" i="1" s="1"/>
  <c r="K20" i="1" s="1"/>
  <c r="I63" i="1"/>
  <c r="G351" i="45"/>
  <c r="G352" i="45" s="1"/>
  <c r="A353" i="45" s="1"/>
  <c r="F314" i="35"/>
  <c r="F313" i="35"/>
  <c r="F217" i="33"/>
  <c r="F218" i="33" s="1"/>
  <c r="F219" i="33" s="1"/>
  <c r="F220" i="33" s="1"/>
  <c r="F448" i="35"/>
  <c r="F449" i="35" s="1"/>
  <c r="E414" i="45"/>
  <c r="G414" i="45" s="1"/>
  <c r="I43" i="1"/>
  <c r="F240" i="33"/>
  <c r="F241" i="33" s="1"/>
  <c r="F242" i="33" s="1"/>
  <c r="F239" i="33"/>
  <c r="F636" i="31"/>
  <c r="F637" i="31" s="1"/>
  <c r="F806" i="31"/>
  <c r="F805" i="31"/>
  <c r="F478" i="30"/>
  <c r="F479" i="30" s="1"/>
  <c r="A496" i="30" s="1"/>
  <c r="F69" i="32"/>
  <c r="F68" i="32"/>
  <c r="F261" i="31"/>
  <c r="F262" i="31" s="1"/>
  <c r="F309" i="30"/>
  <c r="F308" i="30"/>
  <c r="F246" i="30"/>
  <c r="F247" i="30" s="1"/>
  <c r="A248" i="30" s="1"/>
  <c r="F22" i="12"/>
  <c r="F23" i="12" s="1"/>
  <c r="F24" i="12" s="1"/>
  <c r="J59" i="1" s="1"/>
  <c r="K59" i="1" s="1"/>
  <c r="F21" i="12"/>
  <c r="F137" i="8"/>
  <c r="F138" i="8"/>
  <c r="F139" i="8" s="1"/>
  <c r="F140" i="8" s="1"/>
  <c r="F141" i="8" s="1"/>
  <c r="J302" i="1" s="1"/>
  <c r="F37" i="4"/>
  <c r="F38" i="4" s="1"/>
  <c r="F39" i="4" s="1"/>
  <c r="F36" i="4"/>
  <c r="F93" i="12"/>
  <c r="F94" i="12" s="1"/>
  <c r="F95" i="12" s="1"/>
  <c r="F96" i="12" s="1"/>
  <c r="J62" i="1" s="1"/>
  <c r="K62" i="1" s="1"/>
  <c r="F157" i="8"/>
  <c r="F158" i="8" s="1"/>
  <c r="F159" i="8" s="1"/>
  <c r="F160" i="8" s="1"/>
  <c r="F161" i="8" s="1"/>
  <c r="J303" i="1" s="1"/>
  <c r="F192" i="4"/>
  <c r="F193" i="4" s="1"/>
  <c r="F194" i="4" s="1"/>
  <c r="F195" i="4" s="1"/>
  <c r="G15" i="45"/>
  <c r="G14" i="45"/>
  <c r="G377" i="45"/>
  <c r="G378" i="45" s="1"/>
  <c r="E222" i="39"/>
  <c r="F222" i="39" s="1"/>
  <c r="F223" i="39" s="1"/>
  <c r="A232" i="39" s="1"/>
  <c r="F75" i="34"/>
  <c r="F76" i="34" s="1"/>
  <c r="F77" i="34" s="1"/>
  <c r="F78" i="34" s="1"/>
  <c r="A704" i="31"/>
  <c r="F13" i="32"/>
  <c r="F14" i="32" s="1"/>
  <c r="A35" i="32" s="1"/>
  <c r="F123" i="30"/>
  <c r="F122" i="30"/>
  <c r="F13" i="31"/>
  <c r="F14" i="31" s="1"/>
  <c r="F92" i="20"/>
  <c r="E91" i="20"/>
  <c r="F91" i="20" s="1"/>
  <c r="F77" i="8"/>
  <c r="F78" i="8" s="1"/>
  <c r="F79" i="8" s="1"/>
  <c r="F80" i="8" s="1"/>
  <c r="F81" i="8" s="1"/>
  <c r="J36" i="1" s="1"/>
  <c r="E17" i="22"/>
  <c r="F17" i="22" s="1"/>
  <c r="F18" i="22" s="1"/>
  <c r="F45" i="3"/>
  <c r="F46" i="3"/>
  <c r="F47" i="3" s="1"/>
  <c r="F48" i="3" s="1"/>
  <c r="F18" i="8"/>
  <c r="F19" i="8" s="1"/>
  <c r="F20" i="8" s="1"/>
  <c r="F21" i="8" s="1"/>
  <c r="J33" i="1" s="1"/>
  <c r="F17" i="8"/>
  <c r="F152" i="4"/>
  <c r="F153" i="4"/>
  <c r="F154" i="4" s="1"/>
  <c r="F155" i="4" s="1"/>
  <c r="F156" i="4" s="1"/>
  <c r="J15" i="1" s="1"/>
  <c r="K15" i="1" s="1"/>
  <c r="F141" i="4"/>
  <c r="F142" i="4" s="1"/>
  <c r="F143" i="4" s="1"/>
  <c r="F140" i="4"/>
  <c r="K4" i="1"/>
  <c r="L4" i="1" s="1"/>
  <c r="G365" i="45"/>
  <c r="G364" i="45"/>
  <c r="G287" i="45"/>
  <c r="G288" i="45"/>
  <c r="F10" i="34"/>
  <c r="F11" i="34" s="1"/>
  <c r="F12" i="34" s="1"/>
  <c r="F9" i="34"/>
  <c r="F925" i="31"/>
  <c r="F926" i="31" s="1"/>
  <c r="F292" i="31"/>
  <c r="F293" i="31" s="1"/>
  <c r="A310" i="31" s="1"/>
  <c r="F29" i="30"/>
  <c r="F30" i="30" s="1"/>
  <c r="F107" i="30"/>
  <c r="A124" i="30" s="1"/>
  <c r="F106" i="30"/>
  <c r="F60" i="30"/>
  <c r="F61" i="30" s="1"/>
  <c r="F185" i="20"/>
  <c r="E184" i="20"/>
  <c r="F184" i="20" s="1"/>
  <c r="F13" i="5"/>
  <c r="F14" i="5" s="1"/>
  <c r="F15" i="5" s="1"/>
  <c r="F16" i="5" s="1"/>
  <c r="F17" i="5" s="1"/>
  <c r="F75" i="4"/>
  <c r="F76" i="4" s="1"/>
  <c r="F77" i="4" s="1"/>
  <c r="F78" i="4" s="1"/>
  <c r="J12" i="1" s="1"/>
  <c r="K12" i="1" s="1"/>
  <c r="F74" i="4"/>
  <c r="F22" i="4"/>
  <c r="F23" i="4" s="1"/>
  <c r="F24" i="4" s="1"/>
  <c r="F25" i="4" s="1"/>
  <c r="F26" i="4" s="1"/>
  <c r="J10" i="1" s="1"/>
  <c r="K10" i="1" s="1"/>
  <c r="F114" i="4"/>
  <c r="F115" i="4" s="1"/>
  <c r="F116" i="4" s="1"/>
  <c r="F117" i="4" s="1"/>
  <c r="G138" i="45"/>
  <c r="G139" i="45" s="1"/>
  <c r="F194" i="35"/>
  <c r="F193" i="35"/>
  <c r="F238" i="35"/>
  <c r="F239" i="35" s="1"/>
  <c r="F358" i="35"/>
  <c r="F359" i="35" s="1"/>
  <c r="F552" i="31"/>
  <c r="F553" i="31" s="1"/>
  <c r="F703" i="31"/>
  <c r="F702" i="31"/>
  <c r="F122" i="31"/>
  <c r="F123" i="31" s="1"/>
  <c r="A124" i="31" s="1"/>
  <c r="F385" i="30"/>
  <c r="F386" i="30" s="1"/>
  <c r="F98" i="8"/>
  <c r="F99" i="8" s="1"/>
  <c r="F100" i="8" s="1"/>
  <c r="F101" i="8" s="1"/>
  <c r="J37" i="1" s="1"/>
  <c r="F97" i="8"/>
  <c r="F204" i="4"/>
  <c r="F205" i="4" s="1"/>
  <c r="F206" i="4" s="1"/>
  <c r="F207" i="4" s="1"/>
  <c r="F208" i="4" s="1"/>
  <c r="J17" i="1" s="1"/>
  <c r="K17" i="1" s="1"/>
  <c r="F78" i="3"/>
  <c r="F79" i="3" s="1"/>
  <c r="F80" i="3" s="1"/>
  <c r="F81" i="3" s="1"/>
  <c r="F82" i="3" s="1"/>
  <c r="F77" i="3"/>
  <c r="A45" i="13"/>
  <c r="J375" i="1"/>
  <c r="F16" i="18"/>
  <c r="F15" i="18"/>
  <c r="F10" i="4"/>
  <c r="F11" i="4" s="1"/>
  <c r="F12" i="4" s="1"/>
  <c r="F13" i="4" s="1"/>
  <c r="G295" i="45"/>
  <c r="G294" i="45"/>
  <c r="E135" i="39"/>
  <c r="F135" i="39" s="1"/>
  <c r="F136" i="39"/>
  <c r="F134" i="35"/>
  <c r="F133" i="35"/>
  <c r="F178" i="35"/>
  <c r="F179" i="35" s="1"/>
  <c r="F434" i="35"/>
  <c r="F433" i="35"/>
  <c r="F22" i="36"/>
  <c r="F23" i="36"/>
  <c r="F24" i="36" s="1"/>
  <c r="F25" i="36" s="1"/>
  <c r="J51" i="1" s="1"/>
  <c r="K51" i="1" s="1"/>
  <c r="I47" i="1"/>
  <c r="F519" i="31"/>
  <c r="F520" i="31" s="1"/>
  <c r="F619" i="31"/>
  <c r="F618" i="31"/>
  <c r="F540" i="30"/>
  <c r="F541" i="30" s="1"/>
  <c r="A558" i="30" s="1"/>
  <c r="F138" i="31"/>
  <c r="F137" i="31"/>
  <c r="F323" i="30"/>
  <c r="F324" i="30" s="1"/>
  <c r="A341" i="30" s="1"/>
  <c r="E33" i="21"/>
  <c r="F33" i="21" s="1"/>
  <c r="F34" i="21" s="1"/>
  <c r="E424" i="45" s="1"/>
  <c r="G424" i="45" s="1"/>
  <c r="F230" i="4"/>
  <c r="F231" i="4" s="1"/>
  <c r="F232" i="4" s="1"/>
  <c r="F233" i="4" s="1"/>
  <c r="F234" i="4" s="1"/>
  <c r="J18" i="1" s="1"/>
  <c r="K18" i="1" s="1"/>
  <c r="F74" i="35"/>
  <c r="F73" i="35"/>
  <c r="F54" i="33"/>
  <c r="F55" i="33"/>
  <c r="F56" i="33" s="1"/>
  <c r="F57" i="33" s="1"/>
  <c r="F119" i="35"/>
  <c r="F118" i="35"/>
  <c r="I46" i="1"/>
  <c r="F464" i="35"/>
  <c r="A480" i="35" s="1"/>
  <c r="F463" i="35"/>
  <c r="F151" i="33"/>
  <c r="F152" i="33"/>
  <c r="F153" i="33" s="1"/>
  <c r="F154" i="33" s="1"/>
  <c r="J44" i="1" s="1"/>
  <c r="K44" i="1" s="1"/>
  <c r="F25" i="26"/>
  <c r="F26" i="26" s="1"/>
  <c r="F510" i="30"/>
  <c r="F509" i="30"/>
  <c r="E17" i="20"/>
  <c r="F17" i="20" s="1"/>
  <c r="F18" i="20" s="1"/>
  <c r="A31" i="20" s="1"/>
  <c r="F30" i="3"/>
  <c r="F31" i="3" s="1"/>
  <c r="F32" i="3" s="1"/>
  <c r="F29" i="3"/>
  <c r="F100" i="4"/>
  <c r="F101" i="4" s="1"/>
  <c r="F102" i="4" s="1"/>
  <c r="F103" i="4" s="1"/>
  <c r="F104" i="4" s="1"/>
  <c r="J13" i="1" s="1"/>
  <c r="K13" i="1" s="1"/>
  <c r="A34" i="13"/>
  <c r="J57" i="1"/>
  <c r="G229" i="45"/>
  <c r="G230" i="45"/>
  <c r="G237" i="45"/>
  <c r="G236" i="45"/>
  <c r="F523" i="35"/>
  <c r="F524" i="35" s="1"/>
  <c r="F479" i="35"/>
  <c r="F478" i="35"/>
  <c r="F142" i="33"/>
  <c r="F143" i="33" s="1"/>
  <c r="F144" i="33" s="1"/>
  <c r="F145" i="33" s="1"/>
  <c r="F387" i="31"/>
  <c r="F388" i="31" s="1"/>
  <c r="F75" i="31"/>
  <c r="F76" i="31" s="1"/>
  <c r="A310" i="30"/>
  <c r="F62" i="27"/>
  <c r="F61" i="27"/>
  <c r="F33" i="27"/>
  <c r="F34" i="27"/>
  <c r="F51" i="26"/>
  <c r="J54" i="1" s="1"/>
  <c r="K54" i="1" s="1"/>
  <c r="F50" i="26"/>
  <c r="F37" i="8"/>
  <c r="F38" i="8" s="1"/>
  <c r="F39" i="8" s="1"/>
  <c r="F40" i="8" s="1"/>
  <c r="F41" i="8" s="1"/>
  <c r="J34" i="1" s="1"/>
  <c r="G173" i="45"/>
  <c r="G172" i="45"/>
  <c r="K75" i="1"/>
  <c r="L75" i="1" s="1"/>
  <c r="F170" i="41"/>
  <c r="F171" i="41" s="1"/>
  <c r="F173" i="41" s="1"/>
  <c r="E114" i="39"/>
  <c r="F114" i="39" s="1"/>
  <c r="F115" i="39"/>
  <c r="G35" i="45"/>
  <c r="G36" i="45" s="1"/>
  <c r="H111" i="39"/>
  <c r="G56" i="45"/>
  <c r="G57" i="45"/>
  <c r="A58" i="45" s="1"/>
  <c r="F46" i="36"/>
  <c r="F45" i="36"/>
  <c r="F566" i="35"/>
  <c r="F567" i="35" s="1"/>
  <c r="F41" i="35"/>
  <c r="F42" i="35" s="1"/>
  <c r="L176" i="1"/>
  <c r="F470" i="31"/>
  <c r="F469" i="31"/>
  <c r="F768" i="31"/>
  <c r="F769" i="31" s="1"/>
  <c r="F87" i="35"/>
  <c r="F86" i="35"/>
  <c r="F523" i="30"/>
  <c r="F524" i="30" s="1"/>
  <c r="L314" i="1"/>
  <c r="L153" i="1"/>
  <c r="L389" i="1"/>
  <c r="F31" i="26"/>
  <c r="F32" i="26" s="1"/>
  <c r="E110" i="22"/>
  <c r="F110" i="22" s="1"/>
  <c r="F111" i="22" s="1"/>
  <c r="F25" i="22"/>
  <c r="F26" i="22" s="1"/>
  <c r="F28" i="22" s="1"/>
  <c r="L206" i="1"/>
  <c r="E60" i="20"/>
  <c r="F60" i="20" s="1"/>
  <c r="F61" i="20" s="1"/>
  <c r="F168" i="22"/>
  <c r="F169" i="22" s="1"/>
  <c r="F171" i="22" s="1"/>
  <c r="F242" i="22"/>
  <c r="F243" i="22" s="1"/>
  <c r="F245" i="22" s="1"/>
  <c r="H86" i="22"/>
  <c r="L127" i="1"/>
  <c r="L186" i="1"/>
  <c r="G120" i="45"/>
  <c r="G119" i="45"/>
  <c r="E122" i="41"/>
  <c r="F122" i="41" s="1"/>
  <c r="F123" i="41"/>
  <c r="E85" i="39"/>
  <c r="F85" i="39" s="1"/>
  <c r="F86" i="39"/>
  <c r="G125" i="45"/>
  <c r="G126" i="45" s="1"/>
  <c r="F269" i="4"/>
  <c r="F268" i="4"/>
  <c r="G263" i="45"/>
  <c r="G264" i="45" s="1"/>
  <c r="E193" i="39"/>
  <c r="F193" i="39" s="1"/>
  <c r="F194" i="39"/>
  <c r="F98" i="36"/>
  <c r="F99" i="36" s="1"/>
  <c r="F100" i="36" s="1"/>
  <c r="J382" i="1" s="1"/>
  <c r="K382" i="1" s="1"/>
  <c r="F97" i="36"/>
  <c r="F46" i="41"/>
  <c r="F47" i="41" s="1"/>
  <c r="F49" i="41" s="1"/>
  <c r="F553" i="35"/>
  <c r="F554" i="35" s="1"/>
  <c r="F601" i="31"/>
  <c r="F602" i="31" s="1"/>
  <c r="F195" i="33"/>
  <c r="F196" i="33"/>
  <c r="F197" i="33" s="1"/>
  <c r="F198" i="33" s="1"/>
  <c r="J46" i="1" s="1"/>
  <c r="K46" i="1" s="1"/>
  <c r="F130" i="33"/>
  <c r="F131" i="33" s="1"/>
  <c r="F132" i="33" s="1"/>
  <c r="A133" i="33" s="1"/>
  <c r="F129" i="33"/>
  <c r="F667" i="31"/>
  <c r="F668" i="31" s="1"/>
  <c r="F418" i="35"/>
  <c r="F419" i="35" s="1"/>
  <c r="F199" i="31"/>
  <c r="F200" i="31" s="1"/>
  <c r="F90" i="31"/>
  <c r="F89" i="31"/>
  <c r="F27" i="31"/>
  <c r="F28" i="31" s="1"/>
  <c r="F494" i="30"/>
  <c r="F495" i="30"/>
  <c r="F13" i="30"/>
  <c r="F14" i="30" s="1"/>
  <c r="A31" i="30" s="1"/>
  <c r="F92" i="30"/>
  <c r="F91" i="30"/>
  <c r="F206" i="28"/>
  <c r="F207" i="28" s="1"/>
  <c r="H272" i="22"/>
  <c r="F273" i="22"/>
  <c r="F274" i="22" s="1"/>
  <c r="G40" i="24"/>
  <c r="G41" i="24" s="1"/>
  <c r="F216" i="20"/>
  <c r="E215" i="20"/>
  <c r="F215" i="20" s="1"/>
  <c r="I54" i="1"/>
  <c r="L54" i="1" s="1"/>
  <c r="F25" i="27"/>
  <c r="F26" i="27"/>
  <c r="I114" i="1" s="1"/>
  <c r="F233" i="22"/>
  <c r="L7" i="1"/>
  <c r="K7" i="1"/>
  <c r="H148" i="22"/>
  <c r="F63" i="28"/>
  <c r="F64" i="28" s="1"/>
  <c r="E141" i="20"/>
  <c r="F141" i="20" s="1"/>
  <c r="F142" i="20"/>
  <c r="L144" i="1"/>
  <c r="L151" i="1"/>
  <c r="L198" i="1"/>
  <c r="G371" i="45"/>
  <c r="G372" i="45" s="1"/>
  <c r="A379" i="45" s="1"/>
  <c r="G338" i="45"/>
  <c r="A339" i="45" s="1"/>
  <c r="G337" i="45"/>
  <c r="G70" i="45"/>
  <c r="G71" i="45" s="1"/>
  <c r="K94" i="1"/>
  <c r="L94" i="1" s="1"/>
  <c r="G205" i="45"/>
  <c r="G206" i="45" s="1"/>
  <c r="G463" i="45"/>
  <c r="G464" i="45" s="1"/>
  <c r="A465" i="45" s="1"/>
  <c r="E56" i="39"/>
  <c r="F56" i="39" s="1"/>
  <c r="F57" i="39" s="1"/>
  <c r="I57" i="39" s="1"/>
  <c r="G405" i="45"/>
  <c r="G404" i="45"/>
  <c r="E48" i="39"/>
  <c r="F48" i="39" s="1"/>
  <c r="F49" i="39"/>
  <c r="G7" i="45"/>
  <c r="G8" i="45" s="1"/>
  <c r="A16" i="45" s="1"/>
  <c r="F163" i="39"/>
  <c r="F386" i="35"/>
  <c r="F387" i="35" s="1"/>
  <c r="F61" i="36"/>
  <c r="F62" i="36" s="1"/>
  <c r="F63" i="36" s="1"/>
  <c r="F60" i="36"/>
  <c r="F401" i="35"/>
  <c r="F402" i="35" s="1"/>
  <c r="F337" i="31"/>
  <c r="F338" i="31" s="1"/>
  <c r="F568" i="31"/>
  <c r="F569" i="31" s="1"/>
  <c r="F267" i="35"/>
  <c r="F266" i="35"/>
  <c r="F26" i="35"/>
  <c r="F27" i="35" s="1"/>
  <c r="F838" i="31"/>
  <c r="F839" i="31" s="1"/>
  <c r="F199" i="30"/>
  <c r="F200" i="30" s="1"/>
  <c r="A217" i="30" s="1"/>
  <c r="K313" i="1"/>
  <c r="L313" i="1" s="1"/>
  <c r="K149" i="1"/>
  <c r="L149" i="1" s="1"/>
  <c r="F447" i="30"/>
  <c r="F448" i="30" s="1"/>
  <c r="F178" i="28"/>
  <c r="F179" i="28"/>
  <c r="F76" i="30"/>
  <c r="A93" i="30" s="1"/>
  <c r="F75" i="30"/>
  <c r="K234" i="1"/>
  <c r="L234" i="1"/>
  <c r="K226" i="1"/>
  <c r="L226" i="1"/>
  <c r="A52" i="27"/>
  <c r="J115" i="1"/>
  <c r="K115" i="1" s="1"/>
  <c r="G24" i="24"/>
  <c r="G26" i="24" s="1"/>
  <c r="G23" i="24"/>
  <c r="G10" i="16"/>
  <c r="G11" i="16"/>
  <c r="F16" i="27"/>
  <c r="F17" i="27" s="1"/>
  <c r="E122" i="20"/>
  <c r="F122" i="20" s="1"/>
  <c r="F123" i="20" s="1"/>
  <c r="F75" i="28"/>
  <c r="F74" i="28"/>
  <c r="F59" i="12"/>
  <c r="F60" i="12" s="1"/>
  <c r="F61" i="12" s="1"/>
  <c r="F62" i="12" s="1"/>
  <c r="E215" i="22"/>
  <c r="F65" i="13"/>
  <c r="F66" i="13" s="1"/>
  <c r="F257" i="4"/>
  <c r="F258" i="4" s="1"/>
  <c r="F259" i="4" s="1"/>
  <c r="F260" i="4" s="1"/>
  <c r="J19" i="1" s="1"/>
  <c r="K19" i="1" s="1"/>
  <c r="F256" i="4"/>
  <c r="G23" i="16"/>
  <c r="G24" i="16" s="1"/>
  <c r="G25" i="16" s="1"/>
  <c r="J64" i="1" s="1"/>
  <c r="K64" i="1" s="1"/>
  <c r="F57" i="8"/>
  <c r="F58" i="8" s="1"/>
  <c r="F59" i="8" s="1"/>
  <c r="F60" i="8" s="1"/>
  <c r="F61" i="8" s="1"/>
  <c r="J35" i="1" s="1"/>
  <c r="F45" i="12"/>
  <c r="F46" i="12" s="1"/>
  <c r="F47" i="12" s="1"/>
  <c r="F48" i="12" s="1"/>
  <c r="J60" i="1" s="1"/>
  <c r="K60" i="1" s="1"/>
  <c r="F84" i="12"/>
  <c r="F85" i="12" s="1"/>
  <c r="F86" i="12" s="1"/>
  <c r="F83" i="12"/>
  <c r="F11" i="12"/>
  <c r="F12" i="12" s="1"/>
  <c r="F13" i="12" s="1"/>
  <c r="F14" i="12" s="1"/>
  <c r="F88" i="4"/>
  <c r="F89" i="4"/>
  <c r="F90" i="4" s="1"/>
  <c r="F91" i="4" s="1"/>
  <c r="L145" i="1"/>
  <c r="L76" i="1"/>
  <c r="G133" i="45"/>
  <c r="G132" i="45"/>
  <c r="G306" i="45"/>
  <c r="G307" i="45"/>
  <c r="K90" i="1"/>
  <c r="L90" i="1"/>
  <c r="G186" i="45"/>
  <c r="G187" i="45" s="1"/>
  <c r="G220" i="45"/>
  <c r="G221" i="45" s="1"/>
  <c r="F231" i="41"/>
  <c r="H241" i="41" s="1"/>
  <c r="F82" i="41"/>
  <c r="E81" i="41"/>
  <c r="F81" i="41" s="1"/>
  <c r="F326" i="35"/>
  <c r="F327" i="35" s="1"/>
  <c r="F507" i="35"/>
  <c r="F506" i="35"/>
  <c r="F341" i="35"/>
  <c r="F342" i="35" s="1"/>
  <c r="F276" i="31"/>
  <c r="F275" i="31"/>
  <c r="F853" i="31"/>
  <c r="F854" i="31" s="1"/>
  <c r="F83" i="34"/>
  <c r="F82" i="34"/>
  <c r="F403" i="31"/>
  <c r="F404" i="31" s="1"/>
  <c r="L192" i="1"/>
  <c r="K192" i="1"/>
  <c r="K155" i="1"/>
  <c r="L155" i="1" s="1"/>
  <c r="F126" i="28"/>
  <c r="F127" i="28" s="1"/>
  <c r="K232" i="1"/>
  <c r="L232" i="1"/>
  <c r="L219" i="1"/>
  <c r="K219" i="1"/>
  <c r="K215" i="1"/>
  <c r="L215" i="1" s="1"/>
  <c r="F80" i="22"/>
  <c r="E79" i="22"/>
  <c r="F79" i="22" s="1"/>
  <c r="F193" i="28"/>
  <c r="F194" i="28" s="1"/>
  <c r="H244" i="22"/>
  <c r="E153" i="20"/>
  <c r="F153" i="20" s="1"/>
  <c r="F154" i="20"/>
  <c r="J42" i="17"/>
  <c r="J5" i="1" s="1"/>
  <c r="F20" i="13"/>
  <c r="F19" i="13"/>
  <c r="F44" i="22"/>
  <c r="F45" i="22" s="1"/>
  <c r="F47" i="22" s="1"/>
  <c r="E11" i="11"/>
  <c r="F11" i="11" s="1"/>
  <c r="F12" i="11" s="1"/>
  <c r="L318" i="1"/>
  <c r="L146" i="1"/>
  <c r="L135" i="1"/>
  <c r="L129" i="1"/>
  <c r="G258" i="45"/>
  <c r="G259" i="45" s="1"/>
  <c r="G321" i="45"/>
  <c r="G322" i="45" s="1"/>
  <c r="E112" i="41"/>
  <c r="F112" i="41" s="1"/>
  <c r="F113" i="41" s="1"/>
  <c r="A124" i="41" s="1"/>
  <c r="G178" i="45"/>
  <c r="G179" i="45" s="1"/>
  <c r="G316" i="45"/>
  <c r="G317" i="45" s="1"/>
  <c r="G63" i="45"/>
  <c r="G64" i="45"/>
  <c r="E230" i="39"/>
  <c r="F230" i="39" s="1"/>
  <c r="F231" i="39"/>
  <c r="G391" i="45"/>
  <c r="G392" i="45" s="1"/>
  <c r="A393" i="45" s="1"/>
  <c r="L79" i="1"/>
  <c r="K79" i="1"/>
  <c r="F105" i="39"/>
  <c r="F15" i="39"/>
  <c r="F16" i="39" s="1"/>
  <c r="F18" i="39" s="1"/>
  <c r="F35" i="36"/>
  <c r="F36" i="36"/>
  <c r="F37" i="36" s="1"/>
  <c r="F38" i="36" s="1"/>
  <c r="F494" i="35"/>
  <c r="F493" i="35"/>
  <c r="F281" i="35"/>
  <c r="F282" i="35" s="1"/>
  <c r="F253" i="35"/>
  <c r="F254" i="35" s="1"/>
  <c r="F13" i="35"/>
  <c r="F14" i="35" s="1"/>
  <c r="F214" i="31"/>
  <c r="F213" i="31"/>
  <c r="F748" i="31"/>
  <c r="F749" i="31"/>
  <c r="F298" i="35"/>
  <c r="F299" i="35" s="1"/>
  <c r="F58" i="35"/>
  <c r="F59" i="35" s="1"/>
  <c r="F253" i="33"/>
  <c r="F254" i="33" s="1"/>
  <c r="F255" i="33" s="1"/>
  <c r="F252" i="33"/>
  <c r="F206" i="35"/>
  <c r="F207" i="35" s="1"/>
  <c r="F62" i="34"/>
  <c r="F63" i="34" s="1"/>
  <c r="F64" i="34" s="1"/>
  <c r="F65" i="34" s="1"/>
  <c r="J379" i="1" s="1"/>
  <c r="K379" i="1" s="1"/>
  <c r="F715" i="31"/>
  <c r="F716" i="31" s="1"/>
  <c r="E420" i="45"/>
  <c r="G420" i="45" s="1"/>
  <c r="I39" i="1"/>
  <c r="F20" i="33"/>
  <c r="F21" i="33" s="1"/>
  <c r="F22" i="33" s="1"/>
  <c r="F19" i="33"/>
  <c r="F438" i="31"/>
  <c r="F439" i="31" s="1"/>
  <c r="A440" i="31" s="1"/>
  <c r="F34" i="32"/>
  <c r="F33" i="32"/>
  <c r="F354" i="31"/>
  <c r="F355" i="31"/>
  <c r="F586" i="31"/>
  <c r="F585" i="31"/>
  <c r="K307" i="1"/>
  <c r="L307" i="1" s="1"/>
  <c r="F340" i="30"/>
  <c r="F339" i="30"/>
  <c r="F432" i="30"/>
  <c r="F433" i="30"/>
  <c r="A434" i="30" s="1"/>
  <c r="K218" i="1"/>
  <c r="L218" i="1" s="1"/>
  <c r="F277" i="30"/>
  <c r="F278" i="30"/>
  <c r="F142" i="28"/>
  <c r="F141" i="28"/>
  <c r="E141" i="22"/>
  <c r="F141" i="22" s="1"/>
  <c r="F142" i="22" s="1"/>
  <c r="F17" i="26"/>
  <c r="J52" i="1" s="1"/>
  <c r="K52" i="1" s="1"/>
  <c r="F16" i="26"/>
  <c r="F183" i="22"/>
  <c r="F54" i="13"/>
  <c r="F55" i="13" s="1"/>
  <c r="E28" i="11"/>
  <c r="F28" i="11" s="1"/>
  <c r="F29" i="11" s="1"/>
  <c r="E110" i="20"/>
  <c r="F110" i="20" s="1"/>
  <c r="F111" i="20"/>
  <c r="E91" i="22"/>
  <c r="F91" i="22" s="1"/>
  <c r="F92" i="22" s="1"/>
  <c r="I92" i="22" s="1"/>
  <c r="F218" i="4"/>
  <c r="F219" i="4" s="1"/>
  <c r="F220" i="4" s="1"/>
  <c r="F221" i="4" s="1"/>
  <c r="F245" i="4"/>
  <c r="F246" i="4" s="1"/>
  <c r="F247" i="4" s="1"/>
  <c r="F244" i="4"/>
  <c r="E79" i="20"/>
  <c r="F79" i="20" s="1"/>
  <c r="F80" i="20" s="1"/>
  <c r="A93" i="20" s="1"/>
  <c r="F61" i="3"/>
  <c r="F62" i="3" s="1"/>
  <c r="F63" i="3" s="1"/>
  <c r="F64" i="3" s="1"/>
  <c r="G38" i="16"/>
  <c r="G39" i="16" s="1"/>
  <c r="L214" i="1"/>
  <c r="L77" i="1"/>
  <c r="H465" i="45"/>
  <c r="I97" i="1" s="1"/>
  <c r="L97" i="1" s="1"/>
  <c r="K131" i="1"/>
  <c r="L131" i="1" s="1"/>
  <c r="G91" i="45"/>
  <c r="G92" i="45"/>
  <c r="F61" i="41"/>
  <c r="E60" i="41"/>
  <c r="F60" i="41" s="1"/>
  <c r="G250" i="45"/>
  <c r="G251" i="45"/>
  <c r="E201" i="39"/>
  <c r="F201" i="39" s="1"/>
  <c r="F202" i="39"/>
  <c r="I202" i="39" s="1"/>
  <c r="G112" i="45"/>
  <c r="G113" i="45" s="1"/>
  <c r="A114" i="45" s="1"/>
  <c r="E77" i="39"/>
  <c r="F77" i="39" s="1"/>
  <c r="F78" i="39"/>
  <c r="A87" i="39" s="1"/>
  <c r="F246" i="41"/>
  <c r="F247" i="41" s="1"/>
  <c r="G440" i="45"/>
  <c r="G441" i="45"/>
  <c r="F184" i="41"/>
  <c r="F185" i="41" s="1"/>
  <c r="F221" i="35"/>
  <c r="F222" i="35" s="1"/>
  <c r="F152" i="31"/>
  <c r="F151" i="31"/>
  <c r="F535" i="31"/>
  <c r="F536" i="31"/>
  <c r="K190" i="1"/>
  <c r="L190" i="1" s="1"/>
  <c r="F261" i="33"/>
  <c r="F262" i="33" s="1"/>
  <c r="F263" i="33" s="1"/>
  <c r="F264" i="33" s="1"/>
  <c r="J49" i="1" s="1"/>
  <c r="K49" i="1" s="1"/>
  <c r="F503" i="31"/>
  <c r="F502" i="31"/>
  <c r="K159" i="1"/>
  <c r="L159" i="1" s="1"/>
  <c r="K317" i="1"/>
  <c r="L317" i="1" s="1"/>
  <c r="F372" i="31"/>
  <c r="F373" i="31" s="1"/>
  <c r="L239" i="1"/>
  <c r="K239" i="1"/>
  <c r="F215" i="30"/>
  <c r="F216" i="30" s="1"/>
  <c r="L217" i="1"/>
  <c r="K217" i="1"/>
  <c r="K213" i="1"/>
  <c r="L213" i="1" s="1"/>
  <c r="G51" i="24"/>
  <c r="G52" i="24" s="1"/>
  <c r="G54" i="24" s="1"/>
  <c r="E19" i="21"/>
  <c r="F19" i="21" s="1"/>
  <c r="F20" i="21" s="1"/>
  <c r="F49" i="28"/>
  <c r="F48" i="28"/>
  <c r="F182" i="22"/>
  <c r="H182" i="22"/>
  <c r="F118" i="22"/>
  <c r="F119" i="22" s="1"/>
  <c r="F121" i="22" s="1"/>
  <c r="L205" i="1"/>
  <c r="G49" i="16"/>
  <c r="G50" i="16" s="1"/>
  <c r="G51" i="16" s="1"/>
  <c r="J65" i="1" s="1"/>
  <c r="K65" i="1" s="1"/>
  <c r="F70" i="12"/>
  <c r="F71" i="12" s="1"/>
  <c r="F72" i="12" s="1"/>
  <c r="J61" i="1" s="1"/>
  <c r="K61" i="1" s="1"/>
  <c r="F69" i="12"/>
  <c r="F116" i="12"/>
  <c r="F117" i="12" s="1"/>
  <c r="F118" i="12" s="1"/>
  <c r="F119" i="12" s="1"/>
  <c r="L316" i="1"/>
  <c r="L174" i="1"/>
  <c r="G448" i="45"/>
  <c r="G449" i="45" s="1"/>
  <c r="G191" i="45"/>
  <c r="G192" i="45" s="1"/>
  <c r="G280" i="45"/>
  <c r="G281" i="45"/>
  <c r="G200" i="45"/>
  <c r="G201" i="45"/>
  <c r="E172" i="39"/>
  <c r="F172" i="39" s="1"/>
  <c r="F173" i="39" s="1"/>
  <c r="G301" i="45"/>
  <c r="G302" i="45" s="1"/>
  <c r="G82" i="45"/>
  <c r="G83" i="45" s="1"/>
  <c r="F151" i="41"/>
  <c r="F152" i="41" s="1"/>
  <c r="F161" i="35"/>
  <c r="F162" i="35" s="1"/>
  <c r="F99" i="33"/>
  <c r="F100" i="33" s="1"/>
  <c r="F101" i="33" s="1"/>
  <c r="F98" i="33"/>
  <c r="F31" i="34"/>
  <c r="F32" i="34"/>
  <c r="F33" i="34" s="1"/>
  <c r="F34" i="34" s="1"/>
  <c r="F484" i="31"/>
  <c r="F485" i="31"/>
  <c r="F53" i="34"/>
  <c r="F54" i="34" s="1"/>
  <c r="F55" i="34" s="1"/>
  <c r="F56" i="34" s="1"/>
  <c r="F172" i="33"/>
  <c r="F171" i="33"/>
  <c r="F85" i="33"/>
  <c r="F86" i="33" s="1"/>
  <c r="F87" i="33" s="1"/>
  <c r="F88" i="33" s="1"/>
  <c r="J41" i="1" s="1"/>
  <c r="K41" i="1" s="1"/>
  <c r="L177" i="1"/>
  <c r="F146" i="35"/>
  <c r="F147" i="35" s="1"/>
  <c r="F452" i="31"/>
  <c r="F451" i="31"/>
  <c r="F910" i="31"/>
  <c r="F911" i="31"/>
  <c r="F652" i="31"/>
  <c r="F651" i="31"/>
  <c r="F399" i="30"/>
  <c r="F400" i="30" s="1"/>
  <c r="F945" i="31"/>
  <c r="F946" i="31" s="1"/>
  <c r="F41" i="33"/>
  <c r="F42" i="33"/>
  <c r="F43" i="33" s="1"/>
  <c r="F44" i="33" s="1"/>
  <c r="F462" i="30"/>
  <c r="F461" i="30"/>
  <c r="F184" i="30"/>
  <c r="F185" i="30" s="1"/>
  <c r="A186" i="30" s="1"/>
  <c r="F152" i="30"/>
  <c r="F151" i="30"/>
  <c r="F152" i="28"/>
  <c r="F153" i="28" s="1"/>
  <c r="K212" i="1"/>
  <c r="L212" i="1" s="1"/>
  <c r="F89" i="28"/>
  <c r="F90" i="28" s="1"/>
  <c r="L289" i="1"/>
  <c r="K289" i="1"/>
  <c r="E172" i="20"/>
  <c r="F172" i="20" s="1"/>
  <c r="F173" i="20" s="1"/>
  <c r="A186" i="20" s="1"/>
  <c r="F61" i="26"/>
  <c r="F62" i="26" s="1"/>
  <c r="E29" i="20"/>
  <c r="F29" i="20" s="1"/>
  <c r="F30" i="20"/>
  <c r="F38" i="28"/>
  <c r="F37" i="28"/>
  <c r="F152" i="22"/>
  <c r="E203" i="22"/>
  <c r="F203" i="22" s="1"/>
  <c r="F204" i="22"/>
  <c r="F126" i="4"/>
  <c r="F127" i="4" s="1"/>
  <c r="F128" i="4" s="1"/>
  <c r="F129" i="4" s="1"/>
  <c r="F130" i="4" s="1"/>
  <c r="J14" i="1" s="1"/>
  <c r="K14" i="1" s="1"/>
  <c r="F202" i="20"/>
  <c r="F25" i="18"/>
  <c r="H26" i="18" s="1"/>
  <c r="J372" i="1" s="1"/>
  <c r="K372" i="1" s="1"/>
  <c r="F167" i="4"/>
  <c r="F168" i="4" s="1"/>
  <c r="F169" i="4" s="1"/>
  <c r="F166" i="4"/>
  <c r="F48" i="4"/>
  <c r="F49" i="4" s="1"/>
  <c r="F50" i="4" s="1"/>
  <c r="F51" i="4" s="1"/>
  <c r="F52" i="4" s="1"/>
  <c r="J11" i="1" s="1"/>
  <c r="K11" i="1" s="1"/>
  <c r="G12" i="14"/>
  <c r="G13" i="14" s="1"/>
  <c r="E28" i="10"/>
  <c r="F28" i="10" s="1"/>
  <c r="F29" i="10" s="1"/>
  <c r="L391" i="1"/>
  <c r="G358" i="45"/>
  <c r="G359" i="45" s="1"/>
  <c r="A366" i="45" s="1"/>
  <c r="G399" i="45"/>
  <c r="A406" i="45" s="1"/>
  <c r="G398" i="45"/>
  <c r="G243" i="45"/>
  <c r="G244" i="45" s="1"/>
  <c r="A252" i="45" s="1"/>
  <c r="G42" i="45"/>
  <c r="G43" i="45" s="1"/>
  <c r="G165" i="45"/>
  <c r="G166" i="45" s="1"/>
  <c r="A167" i="45" s="1"/>
  <c r="E143" i="39"/>
  <c r="F143" i="39" s="1"/>
  <c r="F144" i="39"/>
  <c r="I144" i="39" s="1"/>
  <c r="G152" i="45"/>
  <c r="G153" i="45" s="1"/>
  <c r="A154" i="45" s="1"/>
  <c r="G99" i="45"/>
  <c r="G98" i="45"/>
  <c r="F18" i="41"/>
  <c r="A282" i="45"/>
  <c r="E277" i="41"/>
  <c r="E29" i="41"/>
  <c r="F29" i="41" s="1"/>
  <c r="F30" i="41"/>
  <c r="F89" i="41"/>
  <c r="F90" i="41" s="1"/>
  <c r="F213" i="41"/>
  <c r="F214" i="41" s="1"/>
  <c r="K117" i="1"/>
  <c r="L117" i="1" s="1"/>
  <c r="F101" i="35"/>
  <c r="F102" i="35" s="1"/>
  <c r="F888" i="31"/>
  <c r="F889" i="31" s="1"/>
  <c r="F373" i="35"/>
  <c r="F374" i="35" s="1"/>
  <c r="F64" i="33"/>
  <c r="F65" i="33" s="1"/>
  <c r="F66" i="33" s="1"/>
  <c r="F63" i="33"/>
  <c r="F733" i="31"/>
  <c r="F734" i="31" s="1"/>
  <c r="F76" i="33"/>
  <c r="F77" i="33" s="1"/>
  <c r="F78" i="33" s="1"/>
  <c r="F79" i="33" s="1"/>
  <c r="F40" i="34"/>
  <c r="F41" i="34" s="1"/>
  <c r="F42" i="34" s="1"/>
  <c r="F43" i="34" s="1"/>
  <c r="J287" i="1" s="1"/>
  <c r="K287" i="1" s="1"/>
  <c r="L173" i="1"/>
  <c r="K173" i="1"/>
  <c r="F10" i="36"/>
  <c r="F11" i="36" s="1"/>
  <c r="F12" i="36" s="1"/>
  <c r="F13" i="36" s="1"/>
  <c r="K188" i="1"/>
  <c r="L188" i="1" s="1"/>
  <c r="F18" i="34"/>
  <c r="F19" i="34"/>
  <c r="F20" i="34" s="1"/>
  <c r="F21" i="34" s="1"/>
  <c r="J50" i="1" s="1"/>
  <c r="K50" i="1" s="1"/>
  <c r="F785" i="31"/>
  <c r="F786" i="31" s="1"/>
  <c r="A807" i="31" s="1"/>
  <c r="K309" i="1"/>
  <c r="L309" i="1"/>
  <c r="F46" i="32"/>
  <c r="F47" i="32" s="1"/>
  <c r="F261" i="30"/>
  <c r="F262" i="30" s="1"/>
  <c r="A279" i="30" s="1"/>
  <c r="F44" i="30"/>
  <c r="F45" i="30" s="1"/>
  <c r="A62" i="30" s="1"/>
  <c r="F44" i="31"/>
  <c r="F45" i="31" s="1"/>
  <c r="A62" i="31" s="1"/>
  <c r="L233" i="1"/>
  <c r="K233" i="1"/>
  <c r="F100" i="28"/>
  <c r="F101" i="28" s="1"/>
  <c r="F135" i="30"/>
  <c r="F136" i="30" s="1"/>
  <c r="L230" i="1"/>
  <c r="F22" i="28"/>
  <c r="F23" i="28" s="1"/>
  <c r="F275" i="22"/>
  <c r="H275" i="22"/>
  <c r="F14" i="28"/>
  <c r="F13" i="28"/>
  <c r="F167" i="28"/>
  <c r="F168" i="28"/>
  <c r="G14" i="24"/>
  <c r="G15" i="24" s="1"/>
  <c r="D28" i="19"/>
  <c r="G28" i="19" s="1"/>
  <c r="G29" i="19" s="1"/>
  <c r="J29" i="19" s="1"/>
  <c r="G25" i="19"/>
  <c r="G26" i="19" s="1"/>
  <c r="J26" i="19" s="1"/>
  <c r="F115" i="28"/>
  <c r="F116" i="28" s="1"/>
  <c r="L133" i="1"/>
  <c r="F13" i="3"/>
  <c r="F14" i="3" s="1"/>
  <c r="F15" i="3" s="1"/>
  <c r="F16" i="3" s="1"/>
  <c r="L38" i="1"/>
  <c r="K38" i="1"/>
  <c r="L141" i="1"/>
  <c r="L184" i="1"/>
  <c r="F25" i="28" l="1"/>
  <c r="F24" i="28"/>
  <c r="A66" i="34"/>
  <c r="I379" i="1"/>
  <c r="L379" i="1" s="1"/>
  <c r="A18" i="27"/>
  <c r="J113" i="1"/>
  <c r="F339" i="31"/>
  <c r="F340" i="31" s="1"/>
  <c r="A341" i="31" s="1"/>
  <c r="F66" i="28"/>
  <c r="F65" i="28"/>
  <c r="F670" i="31"/>
  <c r="A671" i="31" s="1"/>
  <c r="F669" i="31"/>
  <c r="F138" i="30"/>
  <c r="F137" i="30"/>
  <c r="F103" i="35"/>
  <c r="F104" i="35" s="1"/>
  <c r="A120" i="35" s="1"/>
  <c r="F91" i="28"/>
  <c r="F92" i="28" s="1"/>
  <c r="G84" i="45"/>
  <c r="G85" i="45" s="1"/>
  <c r="A86" i="45" s="1"/>
  <c r="G451" i="45"/>
  <c r="G450" i="45"/>
  <c r="F223" i="35"/>
  <c r="F224" i="35" s="1"/>
  <c r="A240" i="35" s="1"/>
  <c r="F717" i="31"/>
  <c r="F718" i="31" s="1"/>
  <c r="F406" i="31"/>
  <c r="F405" i="31"/>
  <c r="F404" i="35"/>
  <c r="A420" i="35" s="1"/>
  <c r="F403" i="35"/>
  <c r="A44" i="45"/>
  <c r="A407" i="31"/>
  <c r="A209" i="4"/>
  <c r="I17" i="1"/>
  <c r="L17" i="1" s="1"/>
  <c r="J47" i="1"/>
  <c r="K47" i="1" s="1"/>
  <c r="A221" i="33"/>
  <c r="F102" i="28"/>
  <c r="F103" i="28" s="1"/>
  <c r="F329" i="35"/>
  <c r="F328" i="35"/>
  <c r="A67" i="13"/>
  <c r="J378" i="1"/>
  <c r="G42" i="24"/>
  <c r="G43" i="24" s="1"/>
  <c r="A57" i="24" s="1"/>
  <c r="F43" i="35"/>
  <c r="F44" i="35" s="1"/>
  <c r="A60" i="35" s="1"/>
  <c r="A155" i="33"/>
  <c r="I44" i="1"/>
  <c r="L44" i="1" s="1"/>
  <c r="I53" i="1"/>
  <c r="K303" i="1"/>
  <c r="L303" i="1" s="1"/>
  <c r="A25" i="12"/>
  <c r="I59" i="1"/>
  <c r="L59" i="1" s="1"/>
  <c r="F208" i="35"/>
  <c r="F209" i="35" s="1"/>
  <c r="A210" i="35" s="1"/>
  <c r="F841" i="31"/>
  <c r="A842" i="31" s="1"/>
  <c r="F840" i="31"/>
  <c r="F30" i="31"/>
  <c r="F29" i="31"/>
  <c r="F525" i="30"/>
  <c r="F526" i="30" s="1"/>
  <c r="A527" i="30" s="1"/>
  <c r="F568" i="35"/>
  <c r="F569" i="35" s="1"/>
  <c r="A570" i="35" s="1"/>
  <c r="A27" i="4"/>
  <c r="I10" i="1"/>
  <c r="L10" i="1" s="1"/>
  <c r="A18" i="5"/>
  <c r="J392" i="1"/>
  <c r="A947" i="31"/>
  <c r="A17" i="3"/>
  <c r="J295" i="1"/>
  <c r="A89" i="33"/>
  <c r="I41" i="1"/>
  <c r="L41" i="1" s="1"/>
  <c r="F389" i="35"/>
  <c r="A390" i="35" s="1"/>
  <c r="F388" i="35"/>
  <c r="I380" i="1"/>
  <c r="A235" i="4"/>
  <c r="I18" i="1"/>
  <c r="L18" i="1" s="1"/>
  <c r="F154" i="28"/>
  <c r="F155" i="28" s="1"/>
  <c r="F149" i="35"/>
  <c r="A150" i="35" s="1"/>
  <c r="F148" i="35"/>
  <c r="F735" i="31"/>
  <c r="F736" i="31" s="1"/>
  <c r="F401" i="30"/>
  <c r="F402" i="30" s="1"/>
  <c r="A403" i="30" s="1"/>
  <c r="J63" i="1"/>
  <c r="K63" i="1" s="1"/>
  <c r="A120" i="12"/>
  <c r="F856" i="31"/>
  <c r="A877" i="31" s="1"/>
  <c r="F855" i="31"/>
  <c r="A73" i="12"/>
  <c r="I61" i="1"/>
  <c r="L61" i="1" s="1"/>
  <c r="F28" i="35"/>
  <c r="F29" i="35" s="1"/>
  <c r="A30" i="35" s="1"/>
  <c r="G266" i="45"/>
  <c r="A267" i="45" s="1"/>
  <c r="G265" i="45"/>
  <c r="L36" i="1"/>
  <c r="K36" i="1"/>
  <c r="F117" i="28"/>
  <c r="F118" i="28" s="1"/>
  <c r="A130" i="28" s="1"/>
  <c r="A63" i="26"/>
  <c r="J58" i="1"/>
  <c r="A52" i="16"/>
  <c r="I65" i="1"/>
  <c r="L65" i="1" s="1"/>
  <c r="F14" i="11"/>
  <c r="E13" i="11"/>
  <c r="F13" i="11" s="1"/>
  <c r="F196" i="28"/>
  <c r="A208" i="28" s="1"/>
  <c r="F195" i="28"/>
  <c r="F128" i="28"/>
  <c r="F129" i="28" s="1"/>
  <c r="G207" i="45"/>
  <c r="G208" i="45" s="1"/>
  <c r="A209" i="45" s="1"/>
  <c r="F604" i="31"/>
  <c r="A605" i="31" s="1"/>
  <c r="F603" i="31"/>
  <c r="A540" i="35"/>
  <c r="A49" i="12"/>
  <c r="I60" i="1"/>
  <c r="L60" i="1" s="1"/>
  <c r="E423" i="45"/>
  <c r="G423" i="45" s="1"/>
  <c r="A35" i="21"/>
  <c r="A65" i="3"/>
  <c r="J298" i="1"/>
  <c r="E30" i="11"/>
  <c r="F30" i="11" s="1"/>
  <c r="F31" i="11" s="1"/>
  <c r="F284" i="35"/>
  <c r="A300" i="35" s="1"/>
  <c r="F283" i="35"/>
  <c r="G222" i="45"/>
  <c r="G223" i="45" s="1"/>
  <c r="A224" i="45" s="1"/>
  <c r="K35" i="1"/>
  <c r="L35" i="1" s="1"/>
  <c r="F770" i="31"/>
  <c r="F771" i="31"/>
  <c r="E411" i="45"/>
  <c r="G411" i="45" s="1"/>
  <c r="I45" i="1"/>
  <c r="I58" i="19"/>
  <c r="J58" i="19" s="1"/>
  <c r="J62" i="19" s="1"/>
  <c r="J9" i="1" s="1"/>
  <c r="F30" i="10"/>
  <c r="J241" i="1" s="1"/>
  <c r="J98" i="1"/>
  <c r="A26" i="36"/>
  <c r="I51" i="1"/>
  <c r="L51" i="1" s="1"/>
  <c r="I14" i="14"/>
  <c r="J66" i="1" s="1"/>
  <c r="A14" i="14"/>
  <c r="F163" i="35"/>
  <c r="F164" i="35" s="1"/>
  <c r="A180" i="35" s="1"/>
  <c r="G55" i="24"/>
  <c r="G56" i="24"/>
  <c r="A56" i="13"/>
  <c r="J377" i="1"/>
  <c r="G324" i="45"/>
  <c r="A325" i="45" s="1"/>
  <c r="G323" i="45"/>
  <c r="F343" i="35"/>
  <c r="F344" i="35" s="1"/>
  <c r="A360" i="35" s="1"/>
  <c r="F571" i="31"/>
  <c r="A572" i="31" s="1"/>
  <c r="F570" i="31"/>
  <c r="F33" i="26"/>
  <c r="F34" i="26" s="1"/>
  <c r="A131" i="4"/>
  <c r="I14" i="1"/>
  <c r="L14" i="1" s="1"/>
  <c r="A31" i="31"/>
  <c r="A62" i="20"/>
  <c r="F49" i="32"/>
  <c r="A70" i="32" s="1"/>
  <c r="F48" i="32"/>
  <c r="F890" i="31"/>
  <c r="F891" i="31" s="1"/>
  <c r="A912" i="31" s="1"/>
  <c r="G193" i="45"/>
  <c r="G194" i="45"/>
  <c r="A195" i="45" s="1"/>
  <c r="K34" i="1"/>
  <c r="L34" i="1" s="1"/>
  <c r="A101" i="36"/>
  <c r="I382" i="1"/>
  <c r="L382" i="1" s="1"/>
  <c r="F454" i="31"/>
  <c r="F453" i="31"/>
  <c r="F50" i="28"/>
  <c r="F51" i="28" s="1"/>
  <c r="H277" i="41"/>
  <c r="F277" i="41"/>
  <c r="F278" i="41" s="1"/>
  <c r="F487" i="31"/>
  <c r="F486" i="31"/>
  <c r="I286" i="1"/>
  <c r="A105" i="4"/>
  <c r="I13" i="1"/>
  <c r="L13" i="1" s="1"/>
  <c r="H215" i="22"/>
  <c r="F215" i="22"/>
  <c r="F216" i="22" s="1"/>
  <c r="I216" i="22" s="1"/>
  <c r="E164" i="39"/>
  <c r="F164" i="39" s="1"/>
  <c r="F165" i="39" s="1"/>
  <c r="A155" i="20"/>
  <c r="F276" i="22"/>
  <c r="A203" i="39"/>
  <c r="I86" i="39"/>
  <c r="F232" i="41"/>
  <c r="F233" i="41" s="1"/>
  <c r="F235" i="41" s="1"/>
  <c r="A199" i="33"/>
  <c r="F169" i="28"/>
  <c r="F170" i="28" s="1"/>
  <c r="E203" i="20"/>
  <c r="F203" i="20" s="1"/>
  <c r="F204" i="20" s="1"/>
  <c r="A217" i="20" s="1"/>
  <c r="E153" i="41"/>
  <c r="E184" i="22"/>
  <c r="I231" i="39"/>
  <c r="L52" i="1"/>
  <c r="E418" i="45"/>
  <c r="G418" i="45" s="1"/>
  <c r="J40" i="1"/>
  <c r="K40" i="1" s="1"/>
  <c r="A217" i="22"/>
  <c r="A44" i="34"/>
  <c r="I287" i="1"/>
  <c r="L287" i="1" s="1"/>
  <c r="F751" i="31"/>
  <c r="A772" i="31" s="1"/>
  <c r="F750" i="31"/>
  <c r="E19" i="39"/>
  <c r="F19" i="39" s="1"/>
  <c r="F20" i="39" s="1"/>
  <c r="A72" i="45"/>
  <c r="F278" i="31"/>
  <c r="A279" i="31" s="1"/>
  <c r="F277" i="31"/>
  <c r="G308" i="45"/>
  <c r="G309" i="45" s="1"/>
  <c r="A310" i="45" s="1"/>
  <c r="G12" i="16"/>
  <c r="G13" i="16" s="1"/>
  <c r="H123" i="41"/>
  <c r="E246" i="22"/>
  <c r="F88" i="35"/>
  <c r="F89" i="35" s="1"/>
  <c r="A90" i="35" s="1"/>
  <c r="A180" i="45"/>
  <c r="A63" i="27"/>
  <c r="J116" i="1"/>
  <c r="A33" i="3"/>
  <c r="J296" i="1"/>
  <c r="A638" i="31"/>
  <c r="A450" i="35"/>
  <c r="A83" i="3"/>
  <c r="J299" i="1"/>
  <c r="K33" i="1"/>
  <c r="L33" i="1" s="1"/>
  <c r="A53" i="4"/>
  <c r="I11" i="1"/>
  <c r="L11" i="1" s="1"/>
  <c r="A79" i="4"/>
  <c r="I12" i="1"/>
  <c r="L12" i="1" s="1"/>
  <c r="A18" i="26"/>
  <c r="F463" i="30"/>
  <c r="F464" i="30" s="1"/>
  <c r="A465" i="30" s="1"/>
  <c r="E122" i="22"/>
  <c r="F122" i="22" s="1"/>
  <c r="F123" i="22" s="1"/>
  <c r="J371" i="1"/>
  <c r="A23" i="33"/>
  <c r="E215" i="41"/>
  <c r="E421" i="45"/>
  <c r="G421" i="45" s="1"/>
  <c r="J39" i="1"/>
  <c r="K39" i="1" s="1"/>
  <c r="A374" i="31"/>
  <c r="A58" i="39"/>
  <c r="A52" i="26"/>
  <c r="F173" i="22"/>
  <c r="E172" i="22"/>
  <c r="F172" i="22" s="1"/>
  <c r="A238" i="45"/>
  <c r="E417" i="45"/>
  <c r="G417" i="45" s="1"/>
  <c r="A67" i="33"/>
  <c r="I40" i="1"/>
  <c r="A49" i="3"/>
  <c r="J297" i="1"/>
  <c r="K302" i="1"/>
  <c r="L302" i="1" s="1"/>
  <c r="F504" i="31"/>
  <c r="F505" i="31" s="1"/>
  <c r="F153" i="31"/>
  <c r="F154" i="31"/>
  <c r="A124" i="20"/>
  <c r="E19" i="41"/>
  <c r="F19" i="41" s="1"/>
  <c r="F20" i="41"/>
  <c r="A31" i="41" s="1"/>
  <c r="E106" i="39"/>
  <c r="F106" i="39" s="1"/>
  <c r="F107" i="39"/>
  <c r="A116" i="39" s="1"/>
  <c r="E91" i="41"/>
  <c r="F91" i="41" s="1"/>
  <c r="H91" i="41" s="1"/>
  <c r="H90" i="41"/>
  <c r="E153" i="22"/>
  <c r="F153" i="22" s="1"/>
  <c r="F154" i="22"/>
  <c r="I154" i="22" s="1"/>
  <c r="A45" i="33"/>
  <c r="E48" i="22"/>
  <c r="F48" i="22" s="1"/>
  <c r="F49" i="22"/>
  <c r="E50" i="41"/>
  <c r="F50" i="41" s="1"/>
  <c r="F51" i="41"/>
  <c r="A62" i="41" s="1"/>
  <c r="A26" i="28"/>
  <c r="A183" i="4"/>
  <c r="I16" i="1"/>
  <c r="L16" i="1" s="1"/>
  <c r="F173" i="33"/>
  <c r="F174" i="33" s="1"/>
  <c r="F175" i="33" s="1"/>
  <c r="F176" i="33" s="1"/>
  <c r="A111" i="33"/>
  <c r="I42" i="1"/>
  <c r="L42" i="1" s="1"/>
  <c r="A261" i="4"/>
  <c r="I19" i="1"/>
  <c r="L19" i="1" s="1"/>
  <c r="A265" i="33"/>
  <c r="I49" i="1"/>
  <c r="L49" i="1" s="1"/>
  <c r="F216" i="31"/>
  <c r="A217" i="31" s="1"/>
  <c r="F215" i="31"/>
  <c r="A140" i="45"/>
  <c r="A97" i="12"/>
  <c r="I62" i="1"/>
  <c r="L62" i="1" s="1"/>
  <c r="F76" i="28"/>
  <c r="F77" i="28" s="1"/>
  <c r="G28" i="24"/>
  <c r="A29" i="24" s="1"/>
  <c r="G27" i="24"/>
  <c r="F269" i="35"/>
  <c r="A270" i="35" s="1"/>
  <c r="F268" i="35"/>
  <c r="A76" i="36"/>
  <c r="I381" i="1"/>
  <c r="L381" i="1" s="1"/>
  <c r="F91" i="31"/>
  <c r="F92" i="31"/>
  <c r="A93" i="31" s="1"/>
  <c r="E415" i="45"/>
  <c r="G415" i="45" s="1"/>
  <c r="J43" i="1"/>
  <c r="K43" i="1" s="1"/>
  <c r="F271" i="4"/>
  <c r="F272" i="4" s="1"/>
  <c r="F273" i="4" s="1"/>
  <c r="F270" i="4"/>
  <c r="F47" i="36"/>
  <c r="F48" i="36" s="1"/>
  <c r="F49" i="36" s="1"/>
  <c r="F50" i="36" s="1"/>
  <c r="E174" i="41"/>
  <c r="L57" i="1"/>
  <c r="K57" i="1"/>
  <c r="L47" i="1"/>
  <c r="L63" i="1"/>
  <c r="F40" i="28"/>
  <c r="F39" i="28"/>
  <c r="A100" i="45"/>
  <c r="F144" i="28"/>
  <c r="F143" i="28"/>
  <c r="F22" i="13"/>
  <c r="F21" i="13"/>
  <c r="A93" i="22"/>
  <c r="F85" i="34"/>
  <c r="F86" i="34" s="1"/>
  <c r="F87" i="34" s="1"/>
  <c r="J380" i="1" s="1"/>
  <c r="K380" i="1" s="1"/>
  <c r="F84" i="34"/>
  <c r="F508" i="35"/>
  <c r="F509" i="35" s="1"/>
  <c r="A510" i="35" s="1"/>
  <c r="F180" i="28"/>
  <c r="F181" i="28" s="1"/>
  <c r="A127" i="45"/>
  <c r="F471" i="31"/>
  <c r="F472" i="31"/>
  <c r="A155" i="31"/>
  <c r="I35" i="25"/>
  <c r="J35" i="25" s="1"/>
  <c r="J38" i="25" s="1"/>
  <c r="A26" i="18"/>
  <c r="G26" i="18"/>
  <c r="I372" i="1" s="1"/>
  <c r="L372" i="1" s="1"/>
  <c r="L37" i="1"/>
  <c r="K37" i="1"/>
  <c r="A22" i="34"/>
  <c r="I50" i="1"/>
  <c r="L50" i="1" s="1"/>
  <c r="A157" i="4"/>
  <c r="I15" i="1"/>
  <c r="L15" i="1" s="1"/>
  <c r="J48" i="1"/>
  <c r="A243" i="33"/>
  <c r="A12" i="13"/>
  <c r="J55" i="1"/>
  <c r="L115" i="1"/>
  <c r="F154" i="30"/>
  <c r="F153" i="30"/>
  <c r="F537" i="31"/>
  <c r="F538" i="31" s="1"/>
  <c r="A539" i="31" s="1"/>
  <c r="K5" i="1"/>
  <c r="L5" i="1" s="1"/>
  <c r="F235" i="22"/>
  <c r="E234" i="22"/>
  <c r="F234" i="22" s="1"/>
  <c r="F30" i="22"/>
  <c r="I30" i="22" s="1"/>
  <c r="E29" i="22"/>
  <c r="F29" i="22" s="1"/>
  <c r="A35" i="27"/>
  <c r="J114" i="1"/>
  <c r="K114" i="1" s="1"/>
  <c r="L46" i="1"/>
  <c r="A145" i="39"/>
  <c r="K375" i="1"/>
  <c r="L375" i="1" s="1"/>
  <c r="A296" i="45"/>
  <c r="L43" i="1"/>
  <c r="A330" i="35"/>
  <c r="A174" i="39" l="1"/>
  <c r="I173" i="39"/>
  <c r="A182" i="28"/>
  <c r="J53" i="1"/>
  <c r="K53" i="1" s="1"/>
  <c r="A35" i="26"/>
  <c r="A104" i="28"/>
  <c r="K9" i="1"/>
  <c r="L9" i="1" s="1"/>
  <c r="I123" i="22"/>
  <c r="A124" i="22"/>
  <c r="J286" i="1"/>
  <c r="K286" i="1" s="1"/>
  <c r="A51" i="36"/>
  <c r="A29" i="39"/>
  <c r="I28" i="39"/>
  <c r="A737" i="31"/>
  <c r="E412" i="45"/>
  <c r="G412" i="45" s="1"/>
  <c r="J45" i="1"/>
  <c r="K45" i="1" s="1"/>
  <c r="A177" i="33"/>
  <c r="A26" i="16"/>
  <c r="I64" i="1"/>
  <c r="L64" i="1" s="1"/>
  <c r="H30" i="41"/>
  <c r="K377" i="1"/>
  <c r="L377" i="1" s="1"/>
  <c r="G425" i="45"/>
  <c r="H452" i="45"/>
  <c r="I96" i="1" s="1"/>
  <c r="L295" i="1"/>
  <c r="K295" i="1"/>
  <c r="K48" i="1"/>
  <c r="L48" i="1"/>
  <c r="H61" i="41"/>
  <c r="L297" i="1"/>
  <c r="K297" i="1"/>
  <c r="A186" i="22"/>
  <c r="H184" i="22"/>
  <c r="F184" i="22"/>
  <c r="F185" i="22" s="1"/>
  <c r="I185" i="22" s="1"/>
  <c r="A506" i="31"/>
  <c r="A32" i="11"/>
  <c r="L380" i="1"/>
  <c r="L53" i="1"/>
  <c r="K378" i="1"/>
  <c r="L378" i="1"/>
  <c r="K39" i="25"/>
  <c r="I373" i="1" s="1"/>
  <c r="L373" i="1" s="1"/>
  <c r="A39" i="25"/>
  <c r="A23" i="13"/>
  <c r="J56" i="1"/>
  <c r="A287" i="4"/>
  <c r="I20" i="1"/>
  <c r="L20" i="1" s="1"/>
  <c r="K371" i="1"/>
  <c r="L371" i="1" s="1"/>
  <c r="L296" i="1"/>
  <c r="K296" i="1"/>
  <c r="H246" i="22"/>
  <c r="F246" i="22"/>
  <c r="F247" i="22" s="1"/>
  <c r="I247" i="22" s="1"/>
  <c r="E236" i="41"/>
  <c r="H278" i="41"/>
  <c r="A279" i="41"/>
  <c r="A88" i="34"/>
  <c r="F92" i="41"/>
  <c r="L40" i="1"/>
  <c r="H153" i="41"/>
  <c r="F153" i="41"/>
  <c r="F154" i="41" s="1"/>
  <c r="L98" i="1"/>
  <c r="K98" i="1"/>
  <c r="A248" i="22"/>
  <c r="A156" i="28"/>
  <c r="A62" i="22"/>
  <c r="I61" i="22"/>
  <c r="K116" i="1"/>
  <c r="L116" i="1" s="1"/>
  <c r="K241" i="1"/>
  <c r="L241" i="1" s="1"/>
  <c r="A31" i="22"/>
  <c r="A155" i="22"/>
  <c r="A78" i="28"/>
  <c r="F174" i="41"/>
  <c r="F175" i="41" s="1"/>
  <c r="H184" i="41"/>
  <c r="E277" i="22"/>
  <c r="K58" i="1"/>
  <c r="L58" i="1"/>
  <c r="L55" i="1"/>
  <c r="K55" i="1"/>
  <c r="L39" i="1"/>
  <c r="K299" i="1"/>
  <c r="L299" i="1"/>
  <c r="L114" i="1"/>
  <c r="L286" i="1"/>
  <c r="L45" i="1"/>
  <c r="L392" i="1"/>
  <c r="K392" i="1"/>
  <c r="A52" i="28"/>
  <c r="I115" i="39"/>
  <c r="H215" i="41"/>
  <c r="F215" i="41"/>
  <c r="F216" i="41" s="1"/>
  <c r="A473" i="31"/>
  <c r="K66" i="1"/>
  <c r="L66" i="1"/>
  <c r="K298" i="1"/>
  <c r="L298" i="1" s="1"/>
  <c r="A155" i="30"/>
  <c r="K113" i="1"/>
  <c r="L113" i="1"/>
  <c r="I452" i="45" l="1"/>
  <c r="J96" i="1" s="1"/>
  <c r="K96" i="1" s="1"/>
  <c r="G426" i="45"/>
  <c r="A452" i="45" s="1"/>
  <c r="H154" i="41"/>
  <c r="A155" i="41"/>
  <c r="K56" i="1"/>
  <c r="L56" i="1" s="1"/>
  <c r="F277" i="22"/>
  <c r="F278" i="22" s="1"/>
  <c r="H277" i="22"/>
  <c r="A186" i="41"/>
  <c r="H185" i="41"/>
  <c r="H216" i="41"/>
  <c r="A217" i="41"/>
  <c r="F236" i="41"/>
  <c r="F237" i="41" s="1"/>
  <c r="H246" i="41"/>
  <c r="H92" i="41"/>
  <c r="A93" i="41"/>
  <c r="L96" i="1"/>
  <c r="I278" i="22" l="1"/>
  <c r="A279" i="22"/>
  <c r="A248" i="41"/>
  <c r="H247" i="41"/>
</calcChain>
</file>

<file path=xl/sharedStrings.xml><?xml version="1.0" encoding="utf-8"?>
<sst xmlns="http://schemas.openxmlformats.org/spreadsheetml/2006/main" count="26719" uniqueCount="5616">
  <si>
    <t>Filter Media for ARS</t>
  </si>
  <si>
    <t>Supply and filling of 40mm metal as filter medium</t>
  </si>
  <si>
    <t>Casing Pipe For Borewell , Tube Well And Filterpoint Well</t>
  </si>
  <si>
    <t>Code</t>
  </si>
  <si>
    <t>Description</t>
  </si>
  <si>
    <t>Unit</t>
  </si>
  <si>
    <t>Quantity</t>
  </si>
  <si>
    <t>Rate</t>
  </si>
  <si>
    <t>Amount</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</si>
  <si>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</si>
  <si>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GWD Revised Market Rates Based on DSR 21/PRICE (Gen ID 40)</t>
  </si>
  <si>
    <t>GWD Revised Derived Rates Based on DSR 21/PRICE (Gen ID 40)</t>
  </si>
  <si>
    <t>Details of cost for 1 cum</t>
  </si>
  <si>
    <t>Details of cost for 100 metre</t>
  </si>
  <si>
    <t>MATERIAL:</t>
  </si>
  <si>
    <t>Select Distrct</t>
  </si>
  <si>
    <t>Stone Aggregate (Single size) : 40 mm nominal size</t>
  </si>
  <si>
    <t>m3</t>
  </si>
  <si>
    <t>Index</t>
  </si>
  <si>
    <t>MR10215</t>
  </si>
  <si>
    <t>PVC Pipe, 6kg/cm2, 140mm Dia</t>
  </si>
  <si>
    <t>metre</t>
  </si>
  <si>
    <t>LABOUR:</t>
  </si>
  <si>
    <t>Carriage of Stone aggregate 40 mm nominal size and above</t>
  </si>
  <si>
    <t>ADMIN</t>
  </si>
  <si>
    <t>Coolie</t>
  </si>
  <si>
    <t>Day</t>
  </si>
  <si>
    <t>TOTAL  </t>
  </si>
  <si>
    <t>Add Water Charges @ 1%</t>
  </si>
  <si>
    <t>Sl No</t>
  </si>
  <si>
    <t>TOTAL</t>
  </si>
  <si>
    <t>Item Name</t>
  </si>
  <si>
    <t>Item Name With Code</t>
  </si>
  <si>
    <t>Main Category</t>
  </si>
  <si>
    <t>Sub Category 1</t>
  </si>
  <si>
    <t>Sub Category 2</t>
  </si>
  <si>
    <t>Add CPOH @ 15%</t>
  </si>
  <si>
    <t>C1</t>
  </si>
  <si>
    <t>C2</t>
  </si>
  <si>
    <t>Indexed</t>
  </si>
  <si>
    <t>Total</t>
  </si>
  <si>
    <t>GWDDR001</t>
  </si>
  <si>
    <t>GWDMR001</t>
  </si>
  <si>
    <t>S&amp;F PVC Bend 90 mm (DG)</t>
  </si>
  <si>
    <t>Cost per 1 cum</t>
  </si>
  <si>
    <t>Cost of 100 metre</t>
  </si>
  <si>
    <t>each</t>
  </si>
  <si>
    <t>GWD MR</t>
  </si>
  <si>
    <t>Say</t>
  </si>
  <si>
    <t>PVC Fittings</t>
  </si>
  <si>
    <t>PVC Bend</t>
  </si>
  <si>
    <t>GWD DR</t>
  </si>
  <si>
    <t>MWSS</t>
  </si>
  <si>
    <t>MWSS Accessories</t>
  </si>
  <si>
    <t>Cost per metre</t>
  </si>
  <si>
    <t>GWDMR002</t>
  </si>
  <si>
    <t>S&amp;F PVC Bend 140 mm (DG)</t>
  </si>
  <si>
    <t>Carriage of Spun iron S &amp; S pipes 150 mm dia</t>
  </si>
  <si>
    <t>100 meter</t>
  </si>
  <si>
    <t>Beldar</t>
  </si>
  <si>
    <t>Supply and filling of 25mm metal as filter medium</t>
  </si>
  <si>
    <t>Sundries-(Adhesive etc.)</t>
  </si>
  <si>
    <t>L.S</t>
  </si>
  <si>
    <t>GWDDR002</t>
  </si>
  <si>
    <t>GWDMR003</t>
  </si>
  <si>
    <t>PVC End cap 140 mm (DG)</t>
  </si>
  <si>
    <t>Iron Structure</t>
  </si>
  <si>
    <t>PVC End Cap</t>
  </si>
  <si>
    <t>GWDDR003</t>
  </si>
  <si>
    <t>GWDMR004</t>
  </si>
  <si>
    <t>PVC End cap 150 mm (DG)</t>
  </si>
  <si>
    <t>GWDMR005</t>
  </si>
  <si>
    <t>PVC End Cap 180 mm (DG)</t>
  </si>
  <si>
    <t>Cost of 100.0 metre</t>
  </si>
  <si>
    <t>GWDDR004</t>
  </si>
  <si>
    <t>GWDMR006</t>
  </si>
  <si>
    <t>PVC End Cap 200 mm (DG)</t>
  </si>
  <si>
    <t>GWDMR007</t>
  </si>
  <si>
    <t>PVC Square End Cap 140 mm</t>
  </si>
  <si>
    <t>Stone Aggregate (Single size) : 25 mm nominal size</t>
  </si>
  <si>
    <t>ARS</t>
  </si>
  <si>
    <t>GWDDR005</t>
  </si>
  <si>
    <t>ARS Fittings</t>
  </si>
  <si>
    <t>GWDMR008</t>
  </si>
  <si>
    <t>PVC Square End Cap 160 mm</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</si>
  <si>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</si>
  <si>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Carriage of Stone aggregate below 40 mm nominal size</t>
  </si>
  <si>
    <t>GWDDR006</t>
  </si>
  <si>
    <t>GWDMR009</t>
  </si>
  <si>
    <t>PVC Half  End Cap 140 mm</t>
  </si>
  <si>
    <t>GWDMR010</t>
  </si>
  <si>
    <t>PVC Half  End Cap 160 mm</t>
  </si>
  <si>
    <t>GWDMR011</t>
  </si>
  <si>
    <t>PVC Half Square End Cap 140 mm</t>
  </si>
  <si>
    <t>MR10225</t>
  </si>
  <si>
    <t>PVC Pipe, 8kg/cm2, 140mm Dia.</t>
  </si>
  <si>
    <t>GWDMR012</t>
  </si>
  <si>
    <t>PVC Half Square End Cap 160 mm</t>
  </si>
  <si>
    <t>GWDDR007</t>
  </si>
  <si>
    <t>GWDMR013</t>
  </si>
  <si>
    <t>S&amp;F PVC Tee 90 mm (DG)</t>
  </si>
  <si>
    <t>PVC Tee</t>
  </si>
  <si>
    <t>Borewell</t>
  </si>
  <si>
    <t>PVC Casing Pipe (BW/FPW)</t>
  </si>
  <si>
    <t>GWDMR014</t>
  </si>
  <si>
    <t>S&amp;F PVC Tee 140 mm (DG)</t>
  </si>
  <si>
    <t>GWDMR015</t>
  </si>
  <si>
    <t>S&amp;F PVC Tee 160 mm (DG)</t>
  </si>
  <si>
    <t>GWDDR008</t>
  </si>
  <si>
    <t>GWDMR016</t>
  </si>
  <si>
    <t>PVC Reducer 90X75 mm</t>
  </si>
  <si>
    <t>PVC Reducer</t>
  </si>
  <si>
    <t>GWDMR017</t>
  </si>
  <si>
    <t>PVC Reducer 110X90 mm</t>
  </si>
  <si>
    <t>GWDDR009</t>
  </si>
  <si>
    <t>GWDMR018</t>
  </si>
  <si>
    <t>PVC Reducer 140X90 mm</t>
  </si>
  <si>
    <t>Supply and filling of 20mm/6mm metal as filter medium</t>
  </si>
  <si>
    <t>GWDMR019</t>
  </si>
  <si>
    <t>PVC Reducer 160X140 mm</t>
  </si>
  <si>
    <t>GWDDR010</t>
  </si>
  <si>
    <t>GWDMR020</t>
  </si>
  <si>
    <t>PVC Reducer 160X110 mm</t>
  </si>
  <si>
    <t>20A</t>
  </si>
  <si>
    <t>GWDMR020A</t>
  </si>
  <si>
    <t>PVC Reducer 140X110 mm</t>
  </si>
  <si>
    <t>0295/0298</t>
  </si>
  <si>
    <t>Stone Aggregate (Single size) : 20 mm / 6 mm nominal size</t>
  </si>
  <si>
    <t>GWDMR021</t>
  </si>
  <si>
    <t>PVC Runner Drop 140 mm</t>
  </si>
  <si>
    <t>GWDDR011</t>
  </si>
  <si>
    <t>GWDMR022</t>
  </si>
  <si>
    <t>PVC Runner Drop 160 mm</t>
  </si>
  <si>
    <t>GWDMR023</t>
  </si>
  <si>
    <t>PVC  End Drop 140 mm</t>
  </si>
  <si>
    <t>GWDMR024</t>
  </si>
  <si>
    <t>PVC End Drop 160 mm</t>
  </si>
  <si>
    <t>GWDMR025</t>
  </si>
  <si>
    <t>PVC Half End Drop 140 mm</t>
  </si>
  <si>
    <t>GWDDR012</t>
  </si>
  <si>
    <t>GWDMR026</t>
  </si>
  <si>
    <t>PVC Half End Drop 160 mm</t>
  </si>
  <si>
    <t>GWDMR027</t>
  </si>
  <si>
    <t>PVC Square End Drop 140 mm</t>
  </si>
  <si>
    <t>GWDMR028</t>
  </si>
  <si>
    <t>PVC Square End Drop 160 mm</t>
  </si>
  <si>
    <t>GWDDR013</t>
  </si>
  <si>
    <t>GWDMR029</t>
  </si>
  <si>
    <t>PVC Square Half End Drop 140 mm</t>
  </si>
  <si>
    <t>GWDMR030</t>
  </si>
  <si>
    <t>PVC Square Half End Drop 160 mm</t>
  </si>
  <si>
    <t>GWDDR014</t>
  </si>
  <si>
    <t>GWDMR031</t>
  </si>
  <si>
    <t>S&amp;F PVC 45o Elbow 90 mm (DG)</t>
  </si>
  <si>
    <t>PVC Elbow</t>
  </si>
  <si>
    <t>GWDMR032</t>
  </si>
  <si>
    <t>S&amp;F PVC 45o Elbow 140 mm (DG)</t>
  </si>
  <si>
    <t>GWDMR033</t>
  </si>
  <si>
    <t>GWDDR015</t>
  </si>
  <si>
    <t>S&amp;F PVC 45o Elbow 160 mm (DG)</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</si>
  <si>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</si>
  <si>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GWDMR034</t>
  </si>
  <si>
    <t>PVC Tank connector 32 mm</t>
  </si>
  <si>
    <t>Supply and filling of Coarse Sand as filter medium</t>
  </si>
  <si>
    <t>Tank Connector</t>
  </si>
  <si>
    <t>GWDMR035</t>
  </si>
  <si>
    <t>PVC Tank connector 40 mm</t>
  </si>
  <si>
    <t>GWDMR036</t>
  </si>
  <si>
    <t>PVC Tank connector 50 mm</t>
  </si>
  <si>
    <t>GWDDR016</t>
  </si>
  <si>
    <t>GWDMR037</t>
  </si>
  <si>
    <t>Coarse sand (zone III)</t>
  </si>
  <si>
    <t>PVC Tank connector 63 mm</t>
  </si>
  <si>
    <t>MR10216</t>
  </si>
  <si>
    <t>PVC Pipe, 6kg/cm2, 160mm Dia</t>
  </si>
  <si>
    <t>GWDMR038</t>
  </si>
  <si>
    <t>PVC Tank connector 75 mm</t>
  </si>
  <si>
    <t>Carriage of Coarse sand</t>
  </si>
  <si>
    <t>GWDMR039</t>
  </si>
  <si>
    <t>PVC Tank connector 90 mm</t>
  </si>
  <si>
    <t>GWDDR017</t>
  </si>
  <si>
    <t>GWDMR040</t>
  </si>
  <si>
    <t>PVC Ball valve 25 mm</t>
  </si>
  <si>
    <t>PVC Ball Valve</t>
  </si>
  <si>
    <t>GWDMR041</t>
  </si>
  <si>
    <t>PVC Ball valve 32 mm</t>
  </si>
  <si>
    <t>GWDDR018</t>
  </si>
  <si>
    <t>GWDMR042</t>
  </si>
  <si>
    <t>PVC Ball valve 40 mm</t>
  </si>
  <si>
    <t>GWDMR043</t>
  </si>
  <si>
    <t>PVC Ball valve 50 mm</t>
  </si>
  <si>
    <t>Tubewell</t>
  </si>
  <si>
    <t>UPVC Casing Pipe (TW)</t>
  </si>
  <si>
    <t>GWDMR044</t>
  </si>
  <si>
    <t>PVC Ball valve 63 mm</t>
  </si>
  <si>
    <t>GWDDR019</t>
  </si>
  <si>
    <t>GWDMR045</t>
  </si>
  <si>
    <t>PVC Ball valve 75 mm</t>
  </si>
  <si>
    <t>Supply and filling of Charcoal as filter medium</t>
  </si>
  <si>
    <t>GWDMR046</t>
  </si>
  <si>
    <t>PVC Ball valve 90 mm</t>
  </si>
  <si>
    <t>Details of cost for 1 quintal</t>
  </si>
  <si>
    <t>GWDMR047</t>
  </si>
  <si>
    <t>GWDDR020</t>
  </si>
  <si>
    <t>PVC Ball valve 110 mm</t>
  </si>
  <si>
    <t>MR1266</t>
  </si>
  <si>
    <t>Tubewell Fittings</t>
  </si>
  <si>
    <t>GWDMR048</t>
  </si>
  <si>
    <t>Charcoal</t>
  </si>
  <si>
    <t>quintal</t>
  </si>
  <si>
    <t>S&amp;F PVC Coupling 32 mm (DG)</t>
  </si>
  <si>
    <t>PVC Coupling</t>
  </si>
  <si>
    <t>GWDDR021</t>
  </si>
  <si>
    <t>GWDMR049</t>
  </si>
  <si>
    <t>S&amp;F PVC Coupling 40 mm (DG)</t>
  </si>
  <si>
    <t>GWDMR050</t>
  </si>
  <si>
    <t>S&amp;F PVC Coupling 50 mm (DG)</t>
  </si>
  <si>
    <t>Carriage of Steam coal</t>
  </si>
  <si>
    <t>tonne</t>
  </si>
  <si>
    <t>GWDDR022</t>
  </si>
  <si>
    <t>GWDMR052</t>
  </si>
  <si>
    <t>GI Bend 32 mm</t>
  </si>
  <si>
    <t>GI Fittings</t>
  </si>
  <si>
    <t>GWDMR053</t>
  </si>
  <si>
    <t>GI Bend 40 mm</t>
  </si>
  <si>
    <t>GWDDR023</t>
  </si>
  <si>
    <t>GWDMR054</t>
  </si>
  <si>
    <t>GI Bend 50 mm</t>
  </si>
  <si>
    <t>GWDMR055</t>
  </si>
  <si>
    <t>GI Bend 65 mm</t>
  </si>
  <si>
    <t>GWDDR024</t>
  </si>
  <si>
    <t>GWDMR056</t>
  </si>
  <si>
    <t>GI Socket 32 mm</t>
  </si>
  <si>
    <t>GWDMR057</t>
  </si>
  <si>
    <t>GI Socket 40 mm</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</si>
  <si>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</si>
  <si>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Cost per 100 kg</t>
  </si>
  <si>
    <t>GWDDR025</t>
  </si>
  <si>
    <t>Cost per 1 kg</t>
  </si>
  <si>
    <t>GWDMR058</t>
  </si>
  <si>
    <t>GI Socket 50 mm</t>
  </si>
  <si>
    <t>Cost per 1 cum (200 kg)</t>
  </si>
  <si>
    <t>GWDMR059</t>
  </si>
  <si>
    <t>GI Socket 65 mm</t>
  </si>
  <si>
    <t>GWDDR026</t>
  </si>
  <si>
    <t>GWDMR060</t>
  </si>
  <si>
    <t>GI Tee 32 mm</t>
  </si>
  <si>
    <t>DL1</t>
  </si>
  <si>
    <t>PVC Pipe, 6kg/cm2, 180mm Dia.</t>
  </si>
  <si>
    <t>GWDMR061</t>
  </si>
  <si>
    <t>GI Tee 40 mm</t>
  </si>
  <si>
    <t>GWDDR027</t>
  </si>
  <si>
    <t>GWDMR062</t>
  </si>
  <si>
    <t>GI Tee 50 mm</t>
  </si>
  <si>
    <t>GWDMR063</t>
  </si>
  <si>
    <t>GI Tee 65 mm</t>
  </si>
  <si>
    <t>GWDMR064</t>
  </si>
  <si>
    <t>Compressor pump 1.5 HP single phase</t>
  </si>
  <si>
    <t>GWDDR028</t>
  </si>
  <si>
    <t>Compressor Pump</t>
  </si>
  <si>
    <t>GWDMR065</t>
  </si>
  <si>
    <t>Compressor pump 2 HP single phase</t>
  </si>
  <si>
    <t>GWDMR066</t>
  </si>
  <si>
    <t>GWDDR029</t>
  </si>
  <si>
    <t>Compressor pump 5 HP three phase</t>
  </si>
  <si>
    <t>GWDMR067</t>
  </si>
  <si>
    <t>Compressor pump 7.5 HP three phase</t>
  </si>
  <si>
    <t>GWDMR068</t>
  </si>
  <si>
    <t>12 mm thick nylon rope</t>
  </si>
  <si>
    <t>GWDDR030</t>
  </si>
  <si>
    <t>Pump Accessories</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</si>
  <si>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</si>
  <si>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GWDMR069</t>
  </si>
  <si>
    <t>14 mm thick nylon rope</t>
  </si>
  <si>
    <t>GI Pipes Without Trenching</t>
  </si>
  <si>
    <t>GWDMR070</t>
  </si>
  <si>
    <t>16 mm thick nylon rope</t>
  </si>
  <si>
    <t>GWDDR031</t>
  </si>
  <si>
    <t>GWDMR071</t>
  </si>
  <si>
    <t>Steel rope</t>
  </si>
  <si>
    <t>GWDMR072</t>
  </si>
  <si>
    <t>32 mm dia UPVC pipe</t>
  </si>
  <si>
    <t>GWDDR032</t>
  </si>
  <si>
    <t>GWDMR073</t>
  </si>
  <si>
    <t>40 mm dia UPVC pipe</t>
  </si>
  <si>
    <t>GWDMR074</t>
  </si>
  <si>
    <t>50 mm dia UPVC pipe</t>
  </si>
  <si>
    <t>GWDDR033</t>
  </si>
  <si>
    <t>GWDMR075</t>
  </si>
  <si>
    <t>63 mm dia UPVC pipe</t>
  </si>
  <si>
    <t>GWDMR076</t>
  </si>
  <si>
    <t>20 mm dia HDPE pipe (DG) (8kg)</t>
  </si>
  <si>
    <t>GWDDR034</t>
  </si>
  <si>
    <t>GWDDR035</t>
  </si>
  <si>
    <t>GWDMR077</t>
  </si>
  <si>
    <t>32 mm dia HDPE pipe (DG) (8kg)</t>
  </si>
  <si>
    <t>GWDDR036</t>
  </si>
  <si>
    <t>GWDMR078</t>
  </si>
  <si>
    <t>40 mm dia HDPE pipe (DG) (8kg)</t>
  </si>
  <si>
    <t>PVC Pipes Without Trenching</t>
  </si>
  <si>
    <t>GWDMR079</t>
  </si>
  <si>
    <t>32 mm SS Adapter</t>
  </si>
  <si>
    <t>GWDDR037</t>
  </si>
  <si>
    <t>GWDMR080</t>
  </si>
  <si>
    <t>40 mm SS Adapter</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</si>
  <si>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</si>
  <si>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GWDMR081</t>
  </si>
  <si>
    <t>50 mm SS Adapter</t>
  </si>
  <si>
    <t>GWDDR038</t>
  </si>
  <si>
    <t>GWDMR082</t>
  </si>
  <si>
    <t>50 mm UPVC Union</t>
  </si>
  <si>
    <t>MR10228</t>
  </si>
  <si>
    <t>GWDMR083</t>
  </si>
  <si>
    <t>PVC Pipe, 8kg/cm2, 180mm Dia.</t>
  </si>
  <si>
    <t>63 mm UPVC Union</t>
  </si>
  <si>
    <t>GWDDR039</t>
  </si>
  <si>
    <t>GWDMR084</t>
  </si>
  <si>
    <t>75 mm UPVC Union</t>
  </si>
  <si>
    <t>GWDMR085</t>
  </si>
  <si>
    <t>Sodium Bentonite (ordinary)</t>
  </si>
  <si>
    <t>Tubewell Consumables</t>
  </si>
  <si>
    <t>GWDMR086</t>
  </si>
  <si>
    <t>Sodium Bentonite (Super)</t>
  </si>
  <si>
    <t>GWDDR040</t>
  </si>
  <si>
    <t>GWDMR087</t>
  </si>
  <si>
    <t>MS Casing pipe 450 mm dia, 6 mm thickness</t>
  </si>
  <si>
    <t>GWDMR088</t>
  </si>
  <si>
    <t>Fibre mesh for placing inside filter tank (for recharge schemes)</t>
  </si>
  <si>
    <t>sqm</t>
  </si>
  <si>
    <t>GWDMR089</t>
  </si>
  <si>
    <t>Coated mesh for placing inside filter tank (for recharge schemes)</t>
  </si>
  <si>
    <t>GWDDR041</t>
  </si>
  <si>
    <t>Spec Code</t>
  </si>
  <si>
    <t>GWDMR090</t>
  </si>
  <si>
    <t>Sieve mesh 110 mm (inside inspection chamber) (for recharge schemes)</t>
  </si>
  <si>
    <t>Specification</t>
  </si>
  <si>
    <t>Rate (₹)</t>
  </si>
  <si>
    <t>2.10.1</t>
  </si>
  <si>
    <t>GWDMR091</t>
  </si>
  <si>
    <t>Sieve mesh 140 mm (inside inspection chamber) (for recharge schemes)</t>
  </si>
  <si>
    <t>GWDDR042</t>
  </si>
  <si>
    <t>Supplying and fixing 5 amps to 32 amps rating, 240/415 volts, "C" curve, miniature circuit breaker suitable for inductive load of following poles in the existing MCB DB complete with connections, testing and commissioning etc. as required. Single pole (2.10.1)</t>
  </si>
  <si>
    <t>2.10.2</t>
  </si>
  <si>
    <t>GWDMR092</t>
  </si>
  <si>
    <t>Plastic net for covering pipe (for recharge schemes)</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</si>
  <si>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</si>
  <si>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</si>
  <si>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</si>
  <si>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</si>
  <si>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</si>
  <si>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</si>
  <si>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</si>
  <si>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</si>
  <si>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GWDDR043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</si>
  <si>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</si>
  <si>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GWDMR093</t>
  </si>
  <si>
    <t>PVC Wiring Pipe</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</si>
  <si>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</si>
  <si>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</si>
  <si>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</si>
  <si>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</si>
  <si>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</si>
  <si>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GWDMR094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</si>
  <si>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</si>
  <si>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</si>
  <si>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</si>
  <si>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</si>
  <si>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</si>
  <si>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</si>
  <si>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</si>
  <si>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GWDDR044</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</si>
  <si>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</si>
  <si>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</si>
  <si>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Hand Pump</t>
  </si>
  <si>
    <t>Spares</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</si>
  <si>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</si>
  <si>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</si>
  <si>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</si>
  <si>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</si>
  <si>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1.17.1</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</si>
  <si>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</si>
  <si>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</si>
  <si>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</si>
  <si>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GWDMR095</t>
  </si>
  <si>
    <t>1.17.3</t>
  </si>
  <si>
    <t>Supplying and drawing following sizes of FRLS PVC insulated copper conductor, single core cable in the existing surface / recessed steel/ PVC conduit as required.3 X 1.5 sq.mm(1.17.3)</t>
  </si>
  <si>
    <t>GWDDR045</t>
  </si>
  <si>
    <t>1.17.4</t>
  </si>
  <si>
    <t>Supplying and drawing following sizes of FRLS PVC insulated copper conductor, single core cable in the existing surface / recessed steel/ PVC conduit as required.4 x 1.5 sq. mm(1.17.4)</t>
  </si>
  <si>
    <t>1.17.5</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</si>
  <si>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</si>
  <si>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</si>
  <si>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</si>
  <si>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</si>
  <si>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Supplying and drawing following sizes of FRLS PVC insulated copper conductor, single core cable in the existing surface / recessed steel/ PVC conduit as required.7 x 1.5 sq. mm(1.17.7)</t>
  </si>
  <si>
    <t>1.17.8</t>
  </si>
  <si>
    <t>GWDMR096</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</si>
  <si>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</si>
  <si>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</si>
  <si>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</si>
  <si>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</si>
  <si>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</si>
  <si>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</si>
  <si>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</si>
  <si>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GWDDR046</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</si>
  <si>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</si>
  <si>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</si>
  <si>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</si>
  <si>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</si>
  <si>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</si>
  <si>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</si>
  <si>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GWDMR097</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</si>
  <si>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</si>
  <si>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</si>
  <si>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</si>
  <si>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</si>
  <si>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</si>
  <si>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</si>
  <si>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</si>
  <si>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</si>
  <si>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</si>
  <si>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</si>
  <si>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</si>
  <si>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</si>
  <si>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GWDDR047</t>
  </si>
  <si>
    <t>1.17.21</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</si>
  <si>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</si>
  <si>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Supplying and drawing following sizes of FRLS PVC insulated copper conductor, single core cable in the existing surface / recessed steel/ PVC conduit as required.3 x 4 sq. mm(1.17.21)</t>
  </si>
  <si>
    <t>GWDMR098</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</si>
  <si>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</si>
  <si>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</si>
  <si>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</si>
  <si>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</si>
  <si>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1.17.24</t>
  </si>
  <si>
    <t>GWDMR099</t>
  </si>
  <si>
    <t>GWDDR048</t>
  </si>
  <si>
    <t>MR10227</t>
  </si>
  <si>
    <t>PVC Pipe, 8kg/cm2, 200mm Dia.</t>
  </si>
  <si>
    <t>Supplying and drawing following sizes of FRLS PVC insulated copper conductor, single core cable in the existing surface / recessed steel/ PVC conduit as required.6 x 4 sq. mm(1.17.24)</t>
  </si>
  <si>
    <t>1.17.25</t>
  </si>
  <si>
    <t>PVC Pipes With Trenching</t>
  </si>
  <si>
    <t>Supplying and drawing following sizes of FRLS PVC insulated copper conductor, single core cable in the existing surface / recessed steel/ PVC conduit as required.7 x 4 sq. mm(1.17.25)</t>
  </si>
  <si>
    <t>1.17.26</t>
  </si>
  <si>
    <t>Supplying and drawing following sizes of FRLS PVC insulated copper conductor, single core cable in the existing surface / recessed steel/ PVC conduit as required.8 x 4 sq. mm(1.17.26)</t>
  </si>
  <si>
    <t>GWDMR100</t>
  </si>
  <si>
    <t>GWDDR049</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</si>
  <si>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</si>
  <si>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</si>
  <si>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</si>
  <si>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</si>
  <si>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</si>
  <si>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Pump Erection</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</si>
  <si>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</si>
  <si>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</si>
  <si>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</si>
  <si>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</si>
  <si>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</si>
  <si>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GWDMR101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</si>
  <si>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</si>
  <si>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</si>
  <si>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</si>
  <si>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</si>
  <si>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</si>
  <si>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</si>
  <si>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GWDDR050</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</si>
  <si>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</si>
  <si>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</si>
  <si>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</si>
  <si>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</si>
  <si>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</si>
  <si>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</si>
  <si>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GWDMR102</t>
  </si>
  <si>
    <t>GWDDR051</t>
  </si>
  <si>
    <t>GWDMR103</t>
  </si>
  <si>
    <t>GWDMR104</t>
  </si>
  <si>
    <t>GWDDR052</t>
  </si>
  <si>
    <t>HP Erection</t>
  </si>
  <si>
    <t>GWDDR053</t>
  </si>
  <si>
    <t>GWDMR105</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</si>
  <si>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</si>
  <si>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</si>
  <si>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</si>
  <si>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</si>
  <si>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</si>
  <si>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</si>
  <si>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</si>
  <si>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18.10.4</t>
  </si>
  <si>
    <t>GWDDR054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</si>
  <si>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</si>
  <si>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</si>
  <si>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</si>
  <si>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</si>
  <si>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</si>
  <si>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GWDMR106</t>
  </si>
  <si>
    <t>HP Pullout</t>
  </si>
  <si>
    <t>GWDMR107</t>
  </si>
  <si>
    <t>GWDDR055</t>
  </si>
  <si>
    <t>GWDMR108</t>
  </si>
  <si>
    <t>GWDMR109</t>
  </si>
  <si>
    <t>GWDDR056</t>
  </si>
  <si>
    <t>ARS Pipes</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</si>
  <si>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</si>
  <si>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GWDMR110</t>
  </si>
  <si>
    <t>GWDDR057</t>
  </si>
  <si>
    <t>GI Pipe Without Trenching</t>
  </si>
  <si>
    <t>MR10240</t>
  </si>
  <si>
    <t>PVC Pipe, 10kg/cm2, 200mm Dia.</t>
  </si>
  <si>
    <t>GWDMR111</t>
  </si>
  <si>
    <t>Providing and fixing G.I. pipes complete with G.I fittings: 25 mm dia nominal bore</t>
  </si>
  <si>
    <t>GWDDR058</t>
  </si>
  <si>
    <t>GWDMR112</t>
  </si>
  <si>
    <t>GWDDR059</t>
  </si>
  <si>
    <t>Details of cost for 10 metre</t>
  </si>
  <si>
    <t>GWDMR113</t>
  </si>
  <si>
    <t>G.I. pipes 25 mm dia</t>
  </si>
  <si>
    <t>GWDDR060</t>
  </si>
  <si>
    <t>GWDMR114</t>
  </si>
  <si>
    <t>GWDMR115</t>
  </si>
  <si>
    <t>GWDDR061</t>
  </si>
  <si>
    <t>Weight for carriage = pipe weight + 2% for fittings =</t>
  </si>
  <si>
    <t>1.02 x 24.60 = 25.092 kg = 0.025092 tonne</t>
  </si>
  <si>
    <t>Carriage of G.I. pipes below 100 mm dia</t>
  </si>
  <si>
    <t>Hydrants</t>
  </si>
  <si>
    <t>GWDMR116</t>
  </si>
  <si>
    <t>Sundries-White lead, hemp, oil etc</t>
  </si>
  <si>
    <t>GWDDR062</t>
  </si>
  <si>
    <t>GWDMR117</t>
  </si>
  <si>
    <t>Fitter(grade1)</t>
  </si>
  <si>
    <t>GWDDR063</t>
  </si>
  <si>
    <t>GWDMR118</t>
  </si>
  <si>
    <t>Hand Pump Repair</t>
  </si>
  <si>
    <t>GWDMR119</t>
  </si>
  <si>
    <t>GWDDR064</t>
  </si>
  <si>
    <t>GWDMR120</t>
  </si>
  <si>
    <t>WTP</t>
  </si>
  <si>
    <t>WTP FRP Vessel</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</si>
  <si>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</si>
  <si>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GWDDR065</t>
  </si>
  <si>
    <t>GWDMR121</t>
  </si>
  <si>
    <t>Cost of 10.0 metre</t>
  </si>
  <si>
    <t>GWDMR122</t>
  </si>
  <si>
    <t>MR10214</t>
  </si>
  <si>
    <t>PVC Pipe, 6kg/cm2, 110mm Dia.</t>
  </si>
  <si>
    <t>GWDDR066</t>
  </si>
  <si>
    <t>Providing and fixing G.I. pipes complete with G.I fittings: 32 mm dia nominal bore</t>
  </si>
  <si>
    <t>GWDDR067</t>
  </si>
  <si>
    <t>GWDMR123</t>
  </si>
  <si>
    <t>G.I. pipes 32 mm dia</t>
  </si>
  <si>
    <t>GWDDR068</t>
  </si>
  <si>
    <t>GWDMR124</t>
  </si>
  <si>
    <t>GWDDR069</t>
  </si>
  <si>
    <t>GWDMR125</t>
  </si>
  <si>
    <t>1.02 x 31.70 = 32.334 kg = 0.032334 tonne</t>
  </si>
  <si>
    <t>GWDDR070</t>
  </si>
  <si>
    <t>Sundries-White lead, hemp, oil etc.</t>
  </si>
  <si>
    <t>GWDMR126</t>
  </si>
  <si>
    <t>GWDDR071</t>
  </si>
  <si>
    <t>GWDMR127</t>
  </si>
  <si>
    <t>WTP Multi Port Valve</t>
  </si>
  <si>
    <t>GWDDR072</t>
  </si>
  <si>
    <t>GWDMR128</t>
  </si>
  <si>
    <t>GWDMR129</t>
  </si>
  <si>
    <t>GWDDR073</t>
  </si>
  <si>
    <t>GWDMR130</t>
  </si>
  <si>
    <t>GWDDR074</t>
  </si>
  <si>
    <t>WTP Distributer</t>
  </si>
  <si>
    <t>GWDMR131</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</si>
  <si>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</si>
  <si>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GWDDR075</t>
  </si>
  <si>
    <t>Providing and fixing G.I. pipes complete with G.I fittings: 40 mm dia nominal bore</t>
  </si>
  <si>
    <t>GWDMR132</t>
  </si>
  <si>
    <t>MR55</t>
  </si>
  <si>
    <t>PVC pipe 110 mm outer dia. 4kgf/cm2</t>
  </si>
  <si>
    <t>G.I. pipes 40 mm dia</t>
  </si>
  <si>
    <t>GWDMR133</t>
  </si>
  <si>
    <t>GWDDR076</t>
  </si>
  <si>
    <t>GWDMR134</t>
  </si>
  <si>
    <t>1.02x36.50 = 37.23 kg = 0.03723tonne</t>
  </si>
  <si>
    <t>GWDDR077</t>
  </si>
  <si>
    <t>Sundries-White lead, hemp, oil etc,</t>
  </si>
  <si>
    <t>GWDMR135</t>
  </si>
  <si>
    <t>WTP Dosing Pump</t>
  </si>
  <si>
    <t>GWDDR078</t>
  </si>
  <si>
    <t>GWDMR136</t>
  </si>
  <si>
    <t>GWDMR137</t>
  </si>
  <si>
    <t>Supply of Single Phase Submersible Pump 1 HP, Discharge 2500-6000 lph, Head 49-17m without Panel Board</t>
  </si>
  <si>
    <t>Submersible Pump</t>
  </si>
  <si>
    <t>GWDDR079</t>
  </si>
  <si>
    <t>WTP Feed Pump</t>
  </si>
  <si>
    <t>GWDMR138</t>
  </si>
  <si>
    <t>Supply of Single Phase Submersible Pump 1 HP, Discharge 2500-6000 lph, Head 57-14m without Panel Board</t>
  </si>
  <si>
    <t>GWDMR139</t>
  </si>
  <si>
    <t>Supply of Single Phase Submersible Pump 1 HP, Discharge 1800-4320 lph, Head 65-39m without Panel Board</t>
  </si>
  <si>
    <t>GWDDR080</t>
  </si>
  <si>
    <t>GWDMR140</t>
  </si>
  <si>
    <t>Supply of Single Phase Submersible Pump 1 HP, Discharge 2500-6000 lph, Head 69-17m without Panel Board</t>
  </si>
  <si>
    <t>GWDMR141</t>
  </si>
  <si>
    <t>Supply of Single Phase Submersible Pump 1 HP, Discharge 1080-2880 lph, Head 91-50m without Panel Board</t>
  </si>
  <si>
    <t>GWDDR081</t>
  </si>
  <si>
    <t>GWDMR142</t>
  </si>
  <si>
    <t>Supply of Single Phase Submersible Pump 1.5 HP, Discharge 3000-7500 lph, Head 65-32m without Panel Board</t>
  </si>
  <si>
    <t>Providing and fixing G.I. pipes complete with G.I fittings: 50 mm dia nominal bore</t>
  </si>
  <si>
    <t>GWDMR143</t>
  </si>
  <si>
    <t>Supply of Single Phase Submersible Pump 1.5 HP, Discharge 1800-4320 lph, Head 83-52m without Panel Board</t>
  </si>
  <si>
    <t>GWDDR082</t>
  </si>
  <si>
    <t>GWDMR144</t>
  </si>
  <si>
    <t>Supply of Single Phase Submersible Pump 1.5 HP, Discharge 1800-4320 lph, Head 105-57m without Panel Board</t>
  </si>
  <si>
    <t>WTP Sludge Pump</t>
  </si>
  <si>
    <t>G.I pipes 50 mm dia</t>
  </si>
  <si>
    <t>GWDMR145</t>
  </si>
  <si>
    <t>Supply of Single Phase Submersible Pump 1.5 HP, Discharge 500-3000 lph, Head 126-43m without Panel Board</t>
  </si>
  <si>
    <t>GWDDR083</t>
  </si>
  <si>
    <t>GWDMR146</t>
  </si>
  <si>
    <t>Supply of Single Phase Submersible Pump 1.5 HP, Discharge 1080-2880 lph, Head 137-75m without Panel Board</t>
  </si>
  <si>
    <t>1.02 x 51.70 = 52.73 kg = 0.05273 tonne</t>
  </si>
  <si>
    <t>WTP UV Plant</t>
  </si>
  <si>
    <t>GWDMR147</t>
  </si>
  <si>
    <t>Supply of Single Phase Submersible Pump 1.5 HP, Discharge 500-3000 lph, Head 148-50m without Panel Board</t>
  </si>
  <si>
    <t>GWDDR084</t>
  </si>
  <si>
    <t>GWDMR148</t>
  </si>
  <si>
    <t>Supply of Single Phase Submersible Pump 1.5 HP, Discharge 300-2100 lph, Head 180-51m without Panel Board</t>
  </si>
  <si>
    <t>GWDMR149</t>
  </si>
  <si>
    <t>Supply of Single Phase Submersible Pump 2 HP, Discharge 5200-10600 lph, Head 57-18m without Panel Board</t>
  </si>
  <si>
    <t>GWDDR085</t>
  </si>
  <si>
    <t>GWDMR150</t>
  </si>
  <si>
    <t>Supply of Single Phase Submersible Pump 2 HP, Discharge 3000-7500 lph, Head 87-42m without Panel Board</t>
  </si>
  <si>
    <t>GWDMR151</t>
  </si>
  <si>
    <t>Supply of Single Phase Submersible Pump 2 HP, Discharge 2100-5400 lph, Head 116-33m without Panel Board</t>
  </si>
  <si>
    <t>GWDMR152</t>
  </si>
  <si>
    <t>Supply of Single Phase Submersible Pump 2 HP, Discharge 600-3600 lph, Head 161-18m without Panel Board</t>
  </si>
  <si>
    <t>GWDDR086</t>
  </si>
  <si>
    <t>GWDMR153</t>
  </si>
  <si>
    <t>WTP Plant Controller</t>
  </si>
  <si>
    <t>Supply of Single Phase Submersible Pump 2 HP, Discharge 500-3000 lph, Head 194-65m without Panel Board</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</si>
  <si>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</si>
  <si>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GWDMR154</t>
  </si>
  <si>
    <t>Supply of Single Phase Submersible Pump 2 HP, Discharge 500-1800 lph, Head 220-92m without Panel Board</t>
  </si>
  <si>
    <t>GWDDR087</t>
  </si>
  <si>
    <t>WTP Pressure Gauge</t>
  </si>
  <si>
    <t>MR10238</t>
  </si>
  <si>
    <t>PVC Pipe, 10kg/cm2, 140mm Dia.</t>
  </si>
  <si>
    <t>GWDDR088</t>
  </si>
  <si>
    <t>100 kg</t>
  </si>
  <si>
    <t>WTP Filter Media</t>
  </si>
  <si>
    <t>Providing and fixing G.I. pipes complete with G.I fittings: 65 mm dia nominal bore</t>
  </si>
  <si>
    <t>GWDMR155</t>
  </si>
  <si>
    <t>Supply of Single Phase Submersible Pump 2 HP, Discharge 500-1800 lph, Head 247-104m without Panel Board</t>
  </si>
  <si>
    <t>GWDDR089</t>
  </si>
  <si>
    <t>GWDMR156</t>
  </si>
  <si>
    <t>Supply of Single Phase Submersible Pump 2 HP, Discharge 500-1800 lph, Head 275-115m without Panel Board</t>
  </si>
  <si>
    <t>G.I. pipes 65 mm dia</t>
  </si>
  <si>
    <t>GWDMR157</t>
  </si>
  <si>
    <t>Supply of Single Phase Submersible Pump 3 HP, Discharge 3240-7200 lph, Head 110-42m without Panel Board</t>
  </si>
  <si>
    <t>GWDDR090</t>
  </si>
  <si>
    <t>GWDMR158</t>
  </si>
  <si>
    <t>Supply of Single Phase Submersible Pump 3 HP, Discharge 1800-4320 lph, Head 194-114m without Panel Board</t>
  </si>
  <si>
    <t>1.02 x 66.30 = 67.626 kg = 0.067626 tonne</t>
  </si>
  <si>
    <t>GWDMR159</t>
  </si>
  <si>
    <t>Supply of Single Phase Submersible Pump 5 HP, Discharge 4320-10080 lph, Head 150-82m without Panel Board</t>
  </si>
  <si>
    <t>GWDDR091</t>
  </si>
  <si>
    <t>GWDMR160</t>
  </si>
  <si>
    <t>Supply of Single Phase Submersible Pump 6 HP, Discharge 1800-4320 lph, Head 318-210m without Panel Board</t>
  </si>
  <si>
    <t>25 kg</t>
  </si>
  <si>
    <t>WTP Dosing Chemicals</t>
  </si>
  <si>
    <t>GWDMR161</t>
  </si>
  <si>
    <t>Supply of Three Phase Submersible Pump 10 HP, Discharge 6000-18000 lph, Head 146-90m without Panel Board</t>
  </si>
  <si>
    <t>GWDMR162</t>
  </si>
  <si>
    <t>Supply of Three Phase Submersible Pump 10 HP, Discharge 3600-21600 lph, Head 162-27m without Panel Board</t>
  </si>
  <si>
    <t>GWDMR163</t>
  </si>
  <si>
    <t>GWDDR092</t>
  </si>
  <si>
    <t>Supply of Three Phase Submersible Pump 10 HP, Discharge 5000-14000 lph, Head 205-110m without Panel Board</t>
  </si>
  <si>
    <t>GWDMR164</t>
  </si>
  <si>
    <t>Supply of Three Phase Submersible Pump 10 HP, Discharge 3000-9000 lph, Head 279-144m without Panel Board</t>
  </si>
  <si>
    <t>GWDMR165</t>
  </si>
  <si>
    <t>Supply of Three Phase Submersible Pump 12.5 HP, Discharge 3600-25200 lph, Head 157-41m without Panel Board</t>
  </si>
  <si>
    <t>GWDDR093</t>
  </si>
  <si>
    <t>GWDMR166</t>
  </si>
  <si>
    <t>Supply of Three Phase Submersible Pump 12.5 HP, Discharge 6000-18000 lph, Head 179-110m without Panel Board</t>
  </si>
  <si>
    <t>WTP Plant Installation</t>
  </si>
  <si>
    <t>GWDMR167</t>
  </si>
  <si>
    <t>Supply of Three Phase Submersible Pump 12.5 HP, Discharge 5000-14000 lph, Head 242-129m without Panel Board</t>
  </si>
  <si>
    <t>GWDDR094</t>
  </si>
  <si>
    <t>GWDMR168</t>
  </si>
  <si>
    <t>Supply of Three Phase Submersible Pump 12.5 HP, Discharge 3000-9000 lph, Head 335-177m without Panel Board</t>
  </si>
  <si>
    <t>each visit</t>
  </si>
  <si>
    <t>WTP Plant Visit</t>
  </si>
  <si>
    <t>GWDMR169</t>
  </si>
  <si>
    <t>Supply of Three Phase Submersible Pump 3 HP, Discharge 5200-10600 lph, Head 86-27m without Panel Board</t>
  </si>
  <si>
    <t>GWDMR170</t>
  </si>
  <si>
    <t>GWDDR095</t>
  </si>
  <si>
    <t>Supply of Three Phase Submersible Pump 3 HP, Discharge 3000-7500 lph, Head 125-60m without Panel Board</t>
  </si>
  <si>
    <t>kg</t>
  </si>
  <si>
    <t>GI Works</t>
  </si>
  <si>
    <t>GWDMR171</t>
  </si>
  <si>
    <t>Supply of Three Phase Submersible Pump 3 HP, Discharge 2500-6000 lph, Head 147-51m without Panel Board</t>
  </si>
  <si>
    <t>Providing and fixing G.I. pipes complete with G.I fittings: 80 mm dia nominal bore</t>
  </si>
  <si>
    <t>GWDMR172</t>
  </si>
  <si>
    <t>Supply of Three Phase Submersible Pump 3 HP, Discharge 1000-5000 lph, Head 163-66m without Panel Board</t>
  </si>
  <si>
    <t>GWDDR096</t>
  </si>
  <si>
    <t>GWDMR173</t>
  </si>
  <si>
    <t>Supply of Three Phase Submersible Pump 3 HP, Discharge 1200-2800 lph, Head 184-86m without Panel Board</t>
  </si>
  <si>
    <t>GWDMR174</t>
  </si>
  <si>
    <t>Supply of Three Phase Submersible Pump 3 HP, Discharge 1200-2800 lph, Head 207-83m without Panel Board</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</si>
  <si>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</si>
  <si>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G.I. pipes 80 mm dia</t>
  </si>
  <si>
    <t>Investigation &amp; Logging</t>
  </si>
  <si>
    <t>GWDMR175</t>
  </si>
  <si>
    <t>Supply of Three Phase Submersible Pump 3 HP, Discharge 1200-2800 lph, Head 245-98m without Panel Board</t>
  </si>
  <si>
    <t>1.02 x 86.40 = 88.128 kg = 0.088128 tonne</t>
  </si>
  <si>
    <t>GWDMR176</t>
  </si>
  <si>
    <t>Supply of Three Phase Submersible Pump 5 HP, Discharge 9000-24000 lph, Head 70-23m without Panel Board</t>
  </si>
  <si>
    <t>GWDDR097</t>
  </si>
  <si>
    <t>GWDMR177</t>
  </si>
  <si>
    <t>Supply of Three Phase Submersible Pump 5 HP, Discharge 7200-15000 lph, Head 78-41m without Panel Board</t>
  </si>
  <si>
    <t>DL2</t>
  </si>
  <si>
    <t>PVC Pipe, 10kg/cm2, 180mm Dia.</t>
  </si>
  <si>
    <t>GWDMR178</t>
  </si>
  <si>
    <t>Supply of Three Phase Submersible Pump 5 HP, Discharge 5000-14000 lph, Head 93-50m without Panel Board</t>
  </si>
  <si>
    <t>GWDDR098</t>
  </si>
  <si>
    <t>GWDMR179</t>
  </si>
  <si>
    <t>Supply of Three Phase Submersible Pump 5 HP, Discharge 5000-14000 lph, Head 102-55m without Panel Board</t>
  </si>
  <si>
    <t>GWDMR180</t>
  </si>
  <si>
    <t>Supply of Three Phase Submersible Pump 5 HP, Discharge 3900-10800 lph, Head 111-49m without Panel Board</t>
  </si>
  <si>
    <t>GWDDR099</t>
  </si>
  <si>
    <t>GWDMR181</t>
  </si>
  <si>
    <t>Supply of Three Phase Submersible Pump 5 HP, Discharge 3000-9000 lph, Head 140-72m without Panel Board</t>
  </si>
  <si>
    <t>GWDMR182</t>
  </si>
  <si>
    <t>Supply of Three Phase Submersible Pump 5 HP, Discharge 4000-10000 lph, Head 163-62m without Panel Board</t>
  </si>
  <si>
    <t>GWDMR183</t>
  </si>
  <si>
    <t>Supply of Three Phase Submersible Pump 5 HP, Discharge 2000-6000 lph, Head 195-120m without Panel Board</t>
  </si>
  <si>
    <t>GWDDR100</t>
  </si>
  <si>
    <t>GWDMR184</t>
  </si>
  <si>
    <t>Supply of Three Phase Submersible Pump 5 HP, Discharge 2500-6000 lph, Head 245-85m without Panel Board</t>
  </si>
  <si>
    <t>Borewell Drilling</t>
  </si>
  <si>
    <t>GWDMR185</t>
  </si>
  <si>
    <t>Supply of Three Phase Submersible Pump 5 HP, Discharge 2500-6000 lph, Head 285-70m without Panel Board</t>
  </si>
  <si>
    <t>GWDDR101</t>
  </si>
  <si>
    <t>GWDMR186</t>
  </si>
  <si>
    <t>Supply of Three Phase Submersible Pump 5 HP, Discharge 1000-3000 lph, Head 333-183m without Panel Board</t>
  </si>
  <si>
    <t>GWDMR187</t>
  </si>
  <si>
    <t>Supply of Three Phase Submersible Pump 7.5 HP, Discharge 12000-30000 lph, Head 74-29m without Panel Board</t>
  </si>
  <si>
    <t>GWDDR102</t>
  </si>
  <si>
    <t>GWDMR188</t>
  </si>
  <si>
    <t>Supply of Three Phase Submersible Pump 7.5 HP, Discharge 7200-18000 lph, Head 94-65m without Panel Board</t>
  </si>
  <si>
    <t>Tubewell Drilling</t>
  </si>
  <si>
    <t>Providing and fixing G.I. pipes complete with G.I fittings: 15 mm dia nominal bore</t>
  </si>
  <si>
    <t>GWDMR189</t>
  </si>
  <si>
    <t>Supply of Three Phase Submersible Pump 7.5 HP, Discharge 6000-18000 lph, Head 112-69m without Panel Board</t>
  </si>
  <si>
    <t>GWDDR103</t>
  </si>
  <si>
    <t>G.I. pipes 15 mm dia</t>
  </si>
  <si>
    <t>GWDDR104</t>
  </si>
  <si>
    <t>Filterpoint Well</t>
  </si>
  <si>
    <t>Filterpoint Well Drilling</t>
  </si>
  <si>
    <t>GWDMR190</t>
  </si>
  <si>
    <t>Supply of Three Phase Submersible Pump 7.5 HP, Discharge 5000-14000 lph, Head 140-75m without Panel Board</t>
  </si>
  <si>
    <t>GWDDR105</t>
  </si>
  <si>
    <t>GWDMR191</t>
  </si>
  <si>
    <t>Supply of Three Phase Submersible Pump 7.5 HP, Discharge 5000-14000 lph, Head 158-85m without Panel Board</t>
  </si>
  <si>
    <t>Flushing/Developing</t>
  </si>
  <si>
    <t>GWDMR192</t>
  </si>
  <si>
    <t>Supply of Three Phase Submersible Pump 7.5 HP, Discharge 3000-9000 lph, Head 214-110m without Panel Board</t>
  </si>
  <si>
    <t>GWDDR106</t>
  </si>
  <si>
    <t>GWDMR193</t>
  </si>
  <si>
    <t>32 A DP switch with indicator modular (MR1017)</t>
  </si>
  <si>
    <t>GWDMR194</t>
  </si>
  <si>
    <t>S&amp;F Digital Timer Switch</t>
  </si>
  <si>
    <t>Motor Starter</t>
  </si>
  <si>
    <t>GWDDR107</t>
  </si>
  <si>
    <t>GWDDR108</t>
  </si>
  <si>
    <t>Water Quality Analysis</t>
  </si>
  <si>
    <t>GWDDR109</t>
  </si>
  <si>
    <t>Sor/Spec Code</t>
  </si>
  <si>
    <t>18.12.1</t>
  </si>
  <si>
    <t>Providing and fixing G.I. pipes complete with G.I fittings including trenching and refilling etc. External work 15 mm dia nominal bore (18.12.1)</t>
  </si>
  <si>
    <t>Providing and fixing G.I. pipes complete with G.I fittings: 20 mm dia nominal bore</t>
  </si>
  <si>
    <t>18.12.2</t>
  </si>
  <si>
    <t>MR Code</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</si>
  <si>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</si>
  <si>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</si>
  <si>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</si>
  <si>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18.12.4</t>
  </si>
  <si>
    <t>Providing and fixing G.I. pipes complete with G.I fittings including trenching and refilling etc. External work 32 mm dia nominal bore (18.12.4)</t>
  </si>
  <si>
    <t>GWDDR110</t>
  </si>
  <si>
    <t>18.12.5</t>
  </si>
  <si>
    <t>Providing and fixing G.I. pipes complete with G.I fittings including trenching and refilling etc. External work 40 mm dia nominal bore (18.12.5)</t>
  </si>
  <si>
    <t>Remarks</t>
  </si>
  <si>
    <t>18.12.6</t>
  </si>
  <si>
    <t>Providing and fixing G.I. pipes complete with G.I fittings including trenching and refilling etc. External work 50 mm dia nominal bore (18.12.6)</t>
  </si>
  <si>
    <t>G.I. pipes 20 mm dia</t>
  </si>
  <si>
    <t>Label</t>
  </si>
  <si>
    <t>GI work in single section, fixed with or without connecting plate, including cutting, hoisting, fixing in position and applying a priming coat of approved steel primer all complete.</t>
  </si>
  <si>
    <t>Pump Pullout</t>
  </si>
  <si>
    <t>18.12.7</t>
  </si>
  <si>
    <t>Providing and fixing G.I. pipes complete with G.I fittings including trenching and refilling etc. External work 65 mm dia nominal bore (18.12.7)</t>
  </si>
  <si>
    <t>18.12.8</t>
  </si>
  <si>
    <t>Header Unit</t>
  </si>
  <si>
    <t>Providing and fixing G.I. pipes complete with G.I fittings including trenching and refilling etc. External work 80 mm dia nominal bore (18.12.8)</t>
  </si>
  <si>
    <t>kilogram</t>
  </si>
  <si>
    <t>Header Quantity</t>
  </si>
  <si>
    <t>GWDDR111</t>
  </si>
  <si>
    <t>Header Details</t>
  </si>
  <si>
    <t>Details of cost for one quintal</t>
  </si>
  <si>
    <t>Material</t>
  </si>
  <si>
    <t>M</t>
  </si>
  <si>
    <t>GWDDR112</t>
  </si>
  <si>
    <t>GI sheet: 1.00q Add wastage @ 5% = 0.05q Total+ 1.05q
GI sheet 0.8 mm thick confirming to IS 277:1992</t>
  </si>
  <si>
    <t>q</t>
  </si>
  <si>
    <t>GWDDR114</t>
  </si>
  <si>
    <t>M1</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</si>
  <si>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</si>
  <si>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Carriage</t>
  </si>
  <si>
    <t>C</t>
  </si>
  <si>
    <t>cum</t>
  </si>
  <si>
    <t>Carriage of Steel</t>
  </si>
  <si>
    <t>GWDDR115</t>
  </si>
  <si>
    <t>3 Core Cable</t>
  </si>
  <si>
    <t>GWDDR116</t>
  </si>
  <si>
    <t>MR10044</t>
  </si>
  <si>
    <t>Cost of pebble 2 mm to 6 mm / 6mm to 12mm.</t>
  </si>
  <si>
    <t>Labour</t>
  </si>
  <si>
    <t>L</t>
  </si>
  <si>
    <t>GWDDR117</t>
  </si>
  <si>
    <t>L1</t>
  </si>
  <si>
    <t>Blacksmith 1st class</t>
  </si>
  <si>
    <t>GWDDR118</t>
  </si>
  <si>
    <t>L2</t>
  </si>
  <si>
    <t>UNIT TOTAL</t>
  </si>
  <si>
    <t>Blacksmith 2nd class</t>
  </si>
  <si>
    <t>GWDDR119</t>
  </si>
  <si>
    <t>Water Charge@ 1.00 %</t>
  </si>
  <si>
    <t>Gutter &amp; Clamp</t>
  </si>
  <si>
    <t>1214/1215</t>
  </si>
  <si>
    <t>Welding by electric/gas plant</t>
  </si>
  <si>
    <t>Providing and fixing PVC full pipe as gutter pipes includes laying jointing of pipes complete as per direction of Engineer in Charge for 140 mm dia 6 KGF/cm2</t>
  </si>
  <si>
    <t>GWDDR120</t>
  </si>
  <si>
    <t>cm</t>
  </si>
  <si>
    <t>Contractors Profit &amp; Overhead@ 15.00 %</t>
  </si>
  <si>
    <t>L3</t>
  </si>
  <si>
    <t>Subdata</t>
  </si>
  <si>
    <t>13.50.3</t>
  </si>
  <si>
    <t>GWDDR121</t>
  </si>
  <si>
    <t>Finishing : With ready mixed red oxide zinc chromate primer of approved brand and manufacture on steel galvanised iron /steel works</t>
  </si>
  <si>
    <t>MATERIALS:</t>
  </si>
  <si>
    <t>GWDDR122</t>
  </si>
  <si>
    <t>S1</t>
  </si>
  <si>
    <t>Coolie
For spreading.</t>
  </si>
  <si>
    <t>Add 5% for fittings and wastage etc. on (A)</t>
  </si>
  <si>
    <t>Tools &amp; Plants</t>
  </si>
  <si>
    <t>GWDDR123</t>
  </si>
  <si>
    <t>Sundries
Hire for tools.</t>
  </si>
  <si>
    <t>UG Cable</t>
  </si>
  <si>
    <t>T1</t>
  </si>
  <si>
    <t>Sundries
Charges for testing.</t>
  </si>
  <si>
    <t>GWDDR124</t>
  </si>
  <si>
    <t>T2</t>
  </si>
  <si>
    <t>GWDDR125</t>
  </si>
  <si>
    <t>GWDDR126</t>
  </si>
  <si>
    <t>Grand Total</t>
  </si>
  <si>
    <t>Assistant Fitter or 2nd class fitter</t>
  </si>
  <si>
    <t>GWDDR127</t>
  </si>
  <si>
    <t>/kg</t>
  </si>
  <si>
    <t>GWDDR128</t>
  </si>
  <si>
    <t>GWDDR129</t>
  </si>
  <si>
    <t>India Mark II Hand Pump Pullout, Repairing and Re-Erection Labour Charges</t>
  </si>
  <si>
    <t>Hand Pump Erection and Pullout</t>
  </si>
  <si>
    <t>0</t>
  </si>
  <si>
    <t>GWDDR130</t>
  </si>
  <si>
    <t>Hand pump erection (deep well)</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</si>
  <si>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</si>
  <si>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</si>
  <si>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GWDDR131</t>
  </si>
  <si>
    <t>0116</t>
  </si>
  <si>
    <t>Providing and fixing PVC gutter pipes includes laying jointing of pipes, complete as per direction of Engineer in Charge.for 160 mm dia 6 KGF/cm2</t>
  </si>
  <si>
    <t>Tools hire charge (DSR 0015)</t>
  </si>
  <si>
    <t>Fitter (grade I)</t>
  </si>
  <si>
    <t>day</t>
  </si>
  <si>
    <t>/day</t>
  </si>
  <si>
    <t>116</t>
  </si>
  <si>
    <t>Fitter, Plumber, Electrician</t>
  </si>
  <si>
    <t>GWDDR132</t>
  </si>
  <si>
    <t>114</t>
  </si>
  <si>
    <t>0117</t>
  </si>
  <si>
    <t>Assistant Fitter or 2nd class Fitter</t>
  </si>
  <si>
    <t>0115</t>
  </si>
  <si>
    <t>(ii)</t>
  </si>
  <si>
    <t>Hire charges for vehicle for to and fro transportation of tools, tripod with winch machine, etc.</t>
  </si>
  <si>
    <t>0083</t>
  </si>
  <si>
    <t>Hire charges of TATA 407 or equivalent for local shifting.</t>
  </si>
  <si>
    <t>GWDDR133</t>
  </si>
  <si>
    <t>9999</t>
  </si>
  <si>
    <t>Sundries</t>
  </si>
  <si>
    <t>LS</t>
  </si>
  <si>
    <t>/LS</t>
  </si>
  <si>
    <t xml:space="preserve">Total    </t>
  </si>
  <si>
    <t>GWDDR134</t>
  </si>
  <si>
    <t>GWDDR135</t>
  </si>
  <si>
    <t>Water charges 1%</t>
  </si>
  <si>
    <t>GWDDR136</t>
  </si>
  <si>
    <t>CPOH 15%</t>
  </si>
  <si>
    <t>Hand pump erection (extra deep well)</t>
  </si>
  <si>
    <t>GWDDR137</t>
  </si>
  <si>
    <t>0015</t>
  </si>
  <si>
    <t>GWDDR138</t>
  </si>
  <si>
    <t>0114</t>
  </si>
  <si>
    <t>GROUND WATER DEPARTMENT</t>
  </si>
  <si>
    <t>GWDDR139</t>
  </si>
  <si>
    <t xml:space="preserve">REVISED RATES 2021 FOR REPAIR AND SPARE PARTS OF INDIA MARK II </t>
  </si>
  <si>
    <t>DEEP WELL HAND PUMPS CONFIRMING TO IS: 15500 (Part II) 2004</t>
  </si>
  <si>
    <t>GWDDR140</t>
  </si>
  <si>
    <t>(MR)</t>
  </si>
  <si>
    <t xml:space="preserve">Price list for Spare Parts </t>
  </si>
  <si>
    <t>Providing and fixing 140mm square PVC gutter pipes includes laying jointing of pipes including clamp, complete as per direction of Engineer in Charge</t>
  </si>
  <si>
    <t>GWDDR141</t>
  </si>
  <si>
    <t xml:space="preserve"> Conversion Head Assembly</t>
  </si>
  <si>
    <t>Head Assembly complete (with Head, Handle, Ball Bearings and  Chain Assembly)</t>
  </si>
  <si>
    <t xml:space="preserve">PVC pipe 140 mm square </t>
  </si>
  <si>
    <t>GWDDR142</t>
  </si>
  <si>
    <t>Hand pump pullout (deep well)</t>
  </si>
  <si>
    <t>Head with welded components only without cover</t>
  </si>
  <si>
    <t>Handle (welded components only)</t>
  </si>
  <si>
    <t>Additional Plate</t>
  </si>
  <si>
    <t>GWDDR143</t>
  </si>
  <si>
    <t>Front Cover</t>
  </si>
  <si>
    <t>Axle (Stainless Steel)</t>
  </si>
  <si>
    <t>Ball Bearing 6204 Z</t>
  </si>
  <si>
    <t>Chain with coupling</t>
  </si>
  <si>
    <t>GWDDR144</t>
  </si>
  <si>
    <t>Spacer for Axle Pin</t>
  </si>
  <si>
    <t>M 12 x 20 Hex Bolt for Top Head Cover</t>
  </si>
  <si>
    <t>M 12 x 40 Hex Bolt</t>
  </si>
  <si>
    <t>M 12 Nut</t>
  </si>
  <si>
    <t>GWDDR145</t>
  </si>
  <si>
    <t>M.12 Washer</t>
  </si>
  <si>
    <t>Water Meter</t>
  </si>
  <si>
    <t>M 10 x 40 H.T Bolt</t>
  </si>
  <si>
    <t>M.10 Nylon Nut</t>
  </si>
  <si>
    <t>GWDDR146</t>
  </si>
  <si>
    <t>Special Washer for Axle</t>
  </si>
  <si>
    <t>Hand pump pullout (extra deep well)</t>
  </si>
  <si>
    <t>Cylinder Assembly</t>
  </si>
  <si>
    <t>GWDDR147</t>
  </si>
  <si>
    <t>Cylinder Assembly Complete</t>
  </si>
  <si>
    <t>C.I.Cylinder Body with liner</t>
  </si>
  <si>
    <t>PVC Pipes Exposed on Wall</t>
  </si>
  <si>
    <t>Plunger Rod S.S</t>
  </si>
  <si>
    <t>Reducer cap</t>
  </si>
  <si>
    <t>GWDDR148</t>
  </si>
  <si>
    <t>Plunger Yoke body</t>
  </si>
  <si>
    <t>Spacer</t>
  </si>
  <si>
    <t>Follower</t>
  </si>
  <si>
    <t>Providing and fixing 160mm square PVC gutter pipes includes laying jointing of pipes including clamp, complete as per direction of Engineer in Charge</t>
  </si>
  <si>
    <t>GWDDR149</t>
  </si>
  <si>
    <t>Upper Valve ( one piece)</t>
  </si>
  <si>
    <t>Check valve guide</t>
  </si>
  <si>
    <t>Check valve seat</t>
  </si>
  <si>
    <t xml:space="preserve">PVC pipe 160 mm square </t>
  </si>
  <si>
    <t>GWDDR150</t>
  </si>
  <si>
    <t>Rubber seat Retainer</t>
  </si>
  <si>
    <t>Add 15% for fittings and wastage etc. on (A)</t>
  </si>
  <si>
    <t>Sealing ring (Nitrile Rubber)</t>
  </si>
  <si>
    <t>Hand pump pullout and re-erection (deep well)</t>
  </si>
  <si>
    <t>Rubber seating upper valve</t>
  </si>
  <si>
    <t>GWDDR151</t>
  </si>
  <si>
    <t>Rubber seating check valve</t>
  </si>
  <si>
    <t>Pump Bucket (Nitrile Rubber)</t>
  </si>
  <si>
    <t>Upper valve Assembly comprising of SS Plunger rod, Plunger Yoke body, 2 spacer &amp; 2 bucket washers</t>
  </si>
  <si>
    <t>GWDDR152</t>
  </si>
  <si>
    <t>Same as above but without plunger rod</t>
  </si>
  <si>
    <t>Lower Valve Assembly comprising of Rubber Seat Retainer, Check valve guide and rubber seating</t>
  </si>
  <si>
    <t>GWDDR153</t>
  </si>
  <si>
    <t>Water Tank</t>
  </si>
  <si>
    <t>GWDDR154</t>
  </si>
  <si>
    <t>Pipe Sockets</t>
  </si>
  <si>
    <t>Pedestal</t>
  </si>
  <si>
    <t>Pedestal (Ordinary)</t>
  </si>
  <si>
    <t>Connecting Rods</t>
  </si>
  <si>
    <t>12 mm dia x 3 m electro galvanized</t>
  </si>
  <si>
    <t>GWDDR155</t>
  </si>
  <si>
    <t>Hand pump pullout and re-erection (extra deep well)</t>
  </si>
  <si>
    <t>Hex. Coupler 12 x 50 mm</t>
  </si>
  <si>
    <t>Hex. Coupler 12 x 20 mm</t>
  </si>
  <si>
    <t>Riser Pipe</t>
  </si>
  <si>
    <t>GI Riser pipe (B class) 3 m long 32mm bore size both end threaded with one end socket (Code: 1548 - Including Water Charge and CPOH)</t>
  </si>
  <si>
    <t>GWDDR156</t>
  </si>
  <si>
    <t>Additional Spares</t>
  </si>
  <si>
    <t>Providing and fixing MS Clamp for gutter pipe as per direction of Engineer in Charge.</t>
  </si>
  <si>
    <t>Cylinder Extra deep well hand pump</t>
  </si>
  <si>
    <t>Head Assembly for extra deep well pump with T</t>
  </si>
  <si>
    <t>New Hand Pump Rate</t>
  </si>
  <si>
    <t>GWDDR157</t>
  </si>
  <si>
    <t>Details of cost for 10 Nos</t>
  </si>
  <si>
    <t xml:space="preserve"> ISI marked India Mark II (Standard) Deep well hand pumps confirming to IS: 15500 (Part II) 2004 complete with 10 Nos. GI pipe (B class) 3m long  32mm bore both end threaded with one end socket and 10 Nos connecting rods</t>
  </si>
  <si>
    <t xml:space="preserve"> ISI marked India Mark II (Standard) Extra Deep well hand pumps confirming to IS: 15500 (Part II) 2004 complete with 20 Nos. GI pipe (B class) 3m long  32mm bore both end threaded with one end socket and 20 Nos connecting rods</t>
  </si>
  <si>
    <t>GWDDR158</t>
  </si>
  <si>
    <t>MR118</t>
  </si>
  <si>
    <t>Clamp using Galvanized MS flat clamp</t>
  </si>
  <si>
    <t>Nos</t>
  </si>
  <si>
    <t>GWDDR159</t>
  </si>
  <si>
    <t>Hydrants with tap (for common use of size 0.8 x 0.5 m platform)</t>
  </si>
  <si>
    <r>
      <rPr>
        <sz val="12"/>
        <color theme="1"/>
        <rFont val="Cambria"/>
      </rPr>
      <t>110 mm 4kg/cm</t>
    </r>
    <r>
      <rPr>
        <vertAlign val="superscript"/>
        <sz val="12"/>
        <color theme="1"/>
        <rFont val="Cambria"/>
      </rPr>
      <t>2</t>
    </r>
    <r>
      <rPr>
        <sz val="12"/>
        <color theme="1"/>
        <rFont val="Cambria"/>
      </rPr>
      <t xml:space="preserve"> PVC Pipe (MR55)</t>
    </r>
  </si>
  <si>
    <t>/m</t>
  </si>
  <si>
    <t>GWDDR160</t>
  </si>
  <si>
    <r>
      <rPr>
        <sz val="12"/>
        <color theme="1"/>
        <rFont val="Cambria"/>
      </rPr>
      <t>32mm 10kg/cm</t>
    </r>
    <r>
      <rPr>
        <vertAlign val="superscript"/>
        <sz val="12"/>
        <color theme="1"/>
        <rFont val="Cambria"/>
      </rPr>
      <t>2</t>
    </r>
    <r>
      <rPr>
        <sz val="12"/>
        <color theme="1"/>
        <rFont val="Cambria"/>
      </rPr>
      <t xml:space="preserve"> PVC Pipe (MR44)</t>
    </r>
  </si>
  <si>
    <t>GWDDR161</t>
  </si>
  <si>
    <t>PVC tap</t>
  </si>
  <si>
    <t>No</t>
  </si>
  <si>
    <t>Cost of 10 Nos</t>
  </si>
  <si>
    <t>/E</t>
  </si>
  <si>
    <t>GWDDR162</t>
  </si>
  <si>
    <t>MR10048</t>
  </si>
  <si>
    <t>25mm GI Nipple</t>
  </si>
  <si>
    <t>Cost per each</t>
  </si>
  <si>
    <t>25mm GI elbow</t>
  </si>
  <si>
    <t>GWDDR163</t>
  </si>
  <si>
    <t>Angle Iron Structure To Support 5000 Litres Capacity Water Tank At 4 m Height</t>
  </si>
  <si>
    <t>¾" X ½" GI Reducer</t>
  </si>
  <si>
    <t>1" X ¾" GI Reducer</t>
  </si>
  <si>
    <t xml:space="preserve"> Sub Total</t>
  </si>
  <si>
    <t>Quantity of angle iron, flats, M.S. sheets etc</t>
  </si>
  <si>
    <t>Blacksmith</t>
  </si>
  <si>
    <t>GWDDR164</t>
  </si>
  <si>
    <t>Item</t>
  </si>
  <si>
    <t>No.</t>
  </si>
  <si>
    <t>Columns</t>
  </si>
  <si>
    <r>
      <rPr>
        <sz val="12"/>
        <color theme="1"/>
        <rFont val="Cambria"/>
      </rPr>
      <t>75</t>
    </r>
    <r>
      <rPr>
        <vertAlign val="superscript"/>
        <sz val="12"/>
        <color theme="1"/>
        <rFont val="Cambria"/>
      </rPr>
      <t>2</t>
    </r>
    <r>
      <rPr>
        <sz val="12"/>
        <color theme="1"/>
        <rFont val="Cambria"/>
      </rPr>
      <t xml:space="preserve"> x 6</t>
    </r>
  </si>
  <si>
    <t xml:space="preserve">Total  </t>
  </si>
  <si>
    <t>m</t>
  </si>
  <si>
    <t>GWDDR165</t>
  </si>
  <si>
    <t>Columns (extra in foundation)</t>
  </si>
  <si>
    <r>
      <rPr>
        <sz val="12"/>
        <color theme="1"/>
        <rFont val="Cambria"/>
      </rPr>
      <t>75</t>
    </r>
    <r>
      <rPr>
        <vertAlign val="superscript"/>
        <sz val="12"/>
        <color theme="1"/>
        <rFont val="Cambria"/>
      </rPr>
      <t>2</t>
    </r>
    <r>
      <rPr>
        <sz val="12"/>
        <color theme="1"/>
        <rFont val="Cambria"/>
      </rPr>
      <t xml:space="preserve"> x 6</t>
    </r>
  </si>
  <si>
    <t>Earth work excavation as per DSR item 2.8.1</t>
  </si>
  <si>
    <r>
      <rPr>
        <sz val="12"/>
        <color theme="1"/>
        <rFont val="Cambria"/>
      </rPr>
      <t>m</t>
    </r>
    <r>
      <rPr>
        <vertAlign val="superscript"/>
        <sz val="12"/>
        <color theme="1"/>
        <rFont val="Cambria"/>
      </rPr>
      <t>3</t>
    </r>
  </si>
  <si>
    <t>/m3</t>
  </si>
  <si>
    <r>
      <rPr>
        <sz val="12"/>
        <color theme="1"/>
        <rFont val="Cambria"/>
      </rPr>
      <t>Horizontal bracing (1</t>
    </r>
    <r>
      <rPr>
        <vertAlign val="superscript"/>
        <sz val="12"/>
        <color theme="1"/>
        <rFont val="Cambria"/>
      </rPr>
      <t>st</t>
    </r>
    <r>
      <rPr>
        <sz val="12"/>
        <color theme="1"/>
        <rFont val="Cambria"/>
      </rPr>
      <t xml:space="preserve"> portion)</t>
    </r>
  </si>
  <si>
    <t>GWDDR166</t>
  </si>
  <si>
    <r>
      <rPr>
        <sz val="12"/>
        <color theme="1"/>
        <rFont val="Cambria"/>
      </rPr>
      <t>50</t>
    </r>
    <r>
      <rPr>
        <vertAlign val="superscript"/>
        <sz val="12"/>
        <color theme="1"/>
        <rFont val="Cambria"/>
      </rPr>
      <t>2</t>
    </r>
    <r>
      <rPr>
        <sz val="12"/>
        <color theme="1"/>
        <rFont val="Cambria"/>
      </rPr>
      <t xml:space="preserve"> x 6</t>
    </r>
  </si>
  <si>
    <r>
      <rPr>
        <sz val="12"/>
        <color theme="1"/>
        <rFont val="Cambria"/>
      </rPr>
      <t>Horizontal bracing (2</t>
    </r>
    <r>
      <rPr>
        <vertAlign val="superscript"/>
        <sz val="12"/>
        <color theme="1"/>
        <rFont val="Cambria"/>
      </rPr>
      <t>nd</t>
    </r>
    <r>
      <rPr>
        <sz val="12"/>
        <color theme="1"/>
        <rFont val="Cambria"/>
      </rPr>
      <t xml:space="preserve"> portion)</t>
    </r>
  </si>
  <si>
    <r>
      <rPr>
        <sz val="12"/>
        <color theme="1"/>
        <rFont val="Cambria"/>
      </rPr>
      <t>50</t>
    </r>
    <r>
      <rPr>
        <vertAlign val="superscript"/>
        <sz val="12"/>
        <color theme="1"/>
        <rFont val="Cambria"/>
      </rPr>
      <t>2</t>
    </r>
    <r>
      <rPr>
        <sz val="12"/>
        <color theme="1"/>
        <rFont val="Cambria"/>
      </rPr>
      <t xml:space="preserve"> x 6</t>
    </r>
  </si>
  <si>
    <t>Cement concrete 1:2:4, 20mm with nominal size graded stone, for filling the PVC Pipe and platform construction as per DSR item 4.1.3</t>
  </si>
  <si>
    <r>
      <rPr>
        <sz val="12"/>
        <color theme="1"/>
        <rFont val="Cambria"/>
      </rPr>
      <t>m</t>
    </r>
    <r>
      <rPr>
        <vertAlign val="superscript"/>
        <sz val="12"/>
        <color theme="1"/>
        <rFont val="Cambria"/>
      </rPr>
      <t>3</t>
    </r>
  </si>
  <si>
    <r>
      <rPr>
        <sz val="12"/>
        <color theme="1"/>
        <rFont val="Cambria"/>
      </rPr>
      <t>Horizontal bracing (3</t>
    </r>
    <r>
      <rPr>
        <vertAlign val="superscript"/>
        <sz val="12"/>
        <color theme="1"/>
        <rFont val="Cambria"/>
      </rPr>
      <t>rd</t>
    </r>
    <r>
      <rPr>
        <sz val="12"/>
        <color theme="1"/>
        <rFont val="Cambria"/>
      </rPr>
      <t xml:space="preserve"> portion)</t>
    </r>
  </si>
  <si>
    <r>
      <rPr>
        <sz val="12"/>
        <color theme="1"/>
        <rFont val="Cambria"/>
      </rPr>
      <t>50</t>
    </r>
    <r>
      <rPr>
        <vertAlign val="superscript"/>
        <sz val="12"/>
        <color theme="1"/>
        <rFont val="Cambria"/>
      </rPr>
      <t>2</t>
    </r>
    <r>
      <rPr>
        <sz val="12"/>
        <color theme="1"/>
        <rFont val="Cambria"/>
      </rPr>
      <t xml:space="preserve"> x 6</t>
    </r>
  </si>
  <si>
    <t>Form work as per DSR item 5.9.1</t>
  </si>
  <si>
    <r>
      <rPr>
        <sz val="12"/>
        <color theme="1"/>
        <rFont val="Cambria"/>
      </rPr>
      <t>Diagonal bracing (1</t>
    </r>
    <r>
      <rPr>
        <vertAlign val="superscript"/>
        <sz val="12"/>
        <color theme="1"/>
        <rFont val="Cambria"/>
      </rPr>
      <t>st</t>
    </r>
    <r>
      <rPr>
        <sz val="12"/>
        <color theme="1"/>
        <rFont val="Cambria"/>
      </rPr>
      <t xml:space="preserve">  portion)</t>
    </r>
  </si>
  <si>
    <t>GWDDR167</t>
  </si>
  <si>
    <r>
      <rPr>
        <sz val="12"/>
        <color theme="1"/>
        <rFont val="Cambria"/>
      </rPr>
      <t>35</t>
    </r>
    <r>
      <rPr>
        <vertAlign val="superscript"/>
        <sz val="12"/>
        <color theme="1"/>
        <rFont val="Cambria"/>
      </rPr>
      <t>2</t>
    </r>
    <r>
      <rPr>
        <sz val="12"/>
        <color theme="1"/>
        <rFont val="Cambria"/>
      </rPr>
      <t xml:space="preserve"> x 5</t>
    </r>
  </si>
  <si>
    <r>
      <rPr>
        <sz val="12"/>
        <color theme="1"/>
        <rFont val="Cambria"/>
      </rPr>
      <t>Diagonal bracing (2</t>
    </r>
    <r>
      <rPr>
        <vertAlign val="superscript"/>
        <sz val="12"/>
        <color theme="1"/>
        <rFont val="Cambria"/>
      </rPr>
      <t>nd</t>
    </r>
    <r>
      <rPr>
        <sz val="12"/>
        <color theme="1"/>
        <rFont val="Cambria"/>
      </rPr>
      <t xml:space="preserve"> portion)</t>
    </r>
  </si>
  <si>
    <r>
      <rPr>
        <sz val="12"/>
        <color theme="1"/>
        <rFont val="Cambria"/>
      </rPr>
      <t>35</t>
    </r>
    <r>
      <rPr>
        <vertAlign val="superscript"/>
        <sz val="12"/>
        <color theme="1"/>
        <rFont val="Cambria"/>
      </rPr>
      <t>2</t>
    </r>
    <r>
      <rPr>
        <sz val="12"/>
        <color theme="1"/>
        <rFont val="Cambria"/>
      </rPr>
      <t xml:space="preserve"> x 5</t>
    </r>
  </si>
  <si>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</si>
  <si>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</si>
  <si>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Vertical bracing (top section)</t>
  </si>
  <si>
    <r>
      <rPr>
        <sz val="12"/>
        <color theme="1"/>
        <rFont val="Cambria"/>
      </rPr>
      <t>50</t>
    </r>
    <r>
      <rPr>
        <vertAlign val="superscript"/>
        <sz val="12"/>
        <color theme="1"/>
        <rFont val="Cambria"/>
      </rPr>
      <t>2</t>
    </r>
    <r>
      <rPr>
        <sz val="12"/>
        <color theme="1"/>
        <rFont val="Cambria"/>
      </rPr>
      <t xml:space="preserve"> x 6</t>
    </r>
  </si>
  <si>
    <t>Plastering with CM 1:4 12cm thick with for platform base as per DSR item 13.1.1</t>
  </si>
  <si>
    <t>GWDDR168</t>
  </si>
  <si>
    <t>Platform</t>
  </si>
  <si>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</si>
  <si>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</si>
  <si>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Top bracing</t>
  </si>
  <si>
    <r>
      <rPr>
        <sz val="12"/>
        <color theme="1"/>
        <rFont val="Cambria"/>
      </rPr>
      <t>75</t>
    </r>
    <r>
      <rPr>
        <vertAlign val="superscript"/>
        <sz val="12"/>
        <color theme="1"/>
        <rFont val="Cambria"/>
      </rPr>
      <t>2</t>
    </r>
    <r>
      <rPr>
        <sz val="12"/>
        <color theme="1"/>
        <rFont val="Cambria"/>
      </rPr>
      <t xml:space="preserve"> x 6</t>
    </r>
  </si>
  <si>
    <t xml:space="preserve">Labour charge for Hydrants for all fittings
Fitter (0116)
</t>
  </si>
  <si>
    <t>Beldar (0114)</t>
  </si>
  <si>
    <t>GWDDR169</t>
  </si>
  <si>
    <t>Cross bracing (Top Middle)</t>
  </si>
  <si>
    <r>
      <rPr>
        <sz val="12"/>
        <color theme="1"/>
        <rFont val="Cambria"/>
      </rPr>
      <t>50</t>
    </r>
    <r>
      <rPr>
        <vertAlign val="superscript"/>
        <sz val="12"/>
        <color theme="1"/>
        <rFont val="Cambria"/>
      </rPr>
      <t>2</t>
    </r>
    <r>
      <rPr>
        <sz val="12"/>
        <color theme="1"/>
        <rFont val="Cambria"/>
      </rPr>
      <t xml:space="preserve"> x 6</t>
    </r>
  </si>
  <si>
    <t>Sub Total</t>
  </si>
  <si>
    <t>Platform Parapet</t>
  </si>
  <si>
    <t>Vertical post</t>
  </si>
  <si>
    <r>
      <rPr>
        <sz val="12"/>
        <color theme="1"/>
        <rFont val="Cambria"/>
      </rPr>
      <t>25</t>
    </r>
    <r>
      <rPr>
        <vertAlign val="superscript"/>
        <sz val="12"/>
        <color theme="1"/>
        <rFont val="Cambria"/>
      </rPr>
      <t>2</t>
    </r>
    <r>
      <rPr>
        <sz val="12"/>
        <color theme="1"/>
        <rFont val="Cambria"/>
      </rPr>
      <t xml:space="preserve"> x 5</t>
    </r>
  </si>
  <si>
    <t>GWDDR170</t>
  </si>
  <si>
    <t>Horizontal post</t>
  </si>
  <si>
    <r>
      <rPr>
        <sz val="12"/>
        <color theme="1"/>
        <rFont val="Cambria"/>
      </rPr>
      <t>35</t>
    </r>
    <r>
      <rPr>
        <vertAlign val="superscript"/>
        <sz val="12"/>
        <color theme="1"/>
        <rFont val="Cambria"/>
      </rPr>
      <t>2</t>
    </r>
    <r>
      <rPr>
        <sz val="12"/>
        <color theme="1"/>
        <rFont val="Cambria"/>
      </rPr>
      <t xml:space="preserve"> x 5</t>
    </r>
  </si>
  <si>
    <t>Locking Arrangements - Supplying and Fixing lock and locking arrangements with suitable chain hooks,and padlock of 65mm size. (60.4)</t>
  </si>
  <si>
    <t xml:space="preserve">Total for labour </t>
  </si>
  <si>
    <t>Ladder</t>
  </si>
  <si>
    <t>Ladder Post (flat)</t>
  </si>
  <si>
    <t>35 x 6</t>
  </si>
  <si>
    <t>GWDDR171</t>
  </si>
  <si>
    <t xml:space="preserve">Ladder steps </t>
  </si>
  <si>
    <t>M. S. Sheet 16 gauge thick</t>
  </si>
  <si>
    <r>
      <rPr>
        <sz val="12"/>
        <color theme="1"/>
        <rFont val="Cambria"/>
      </rPr>
      <t>m</t>
    </r>
    <r>
      <rPr>
        <vertAlign val="superscript"/>
        <sz val="12"/>
        <color theme="1"/>
        <rFont val="Cambria"/>
      </rPr>
      <t>2</t>
    </r>
  </si>
  <si>
    <t>M. S. plate  15 mm thick</t>
  </si>
  <si>
    <r>
      <rPr>
        <sz val="12"/>
        <color theme="1"/>
        <rFont val="Cambria"/>
      </rPr>
      <t>m</t>
    </r>
    <r>
      <rPr>
        <vertAlign val="superscript"/>
        <sz val="12"/>
        <color theme="1"/>
        <rFont val="Cambria"/>
      </rPr>
      <t>2</t>
    </r>
  </si>
  <si>
    <t>GWDDR172</t>
  </si>
  <si>
    <t>MR302</t>
  </si>
  <si>
    <t>Hooks for locking arrangements</t>
  </si>
  <si>
    <t>Abstract</t>
  </si>
  <si>
    <t>Hydrants with tap ( for individual families of size 0.6 X 0.3 M platform)</t>
  </si>
  <si>
    <t>Weight</t>
  </si>
  <si>
    <t>Total (Kg)</t>
  </si>
  <si>
    <t>M. S. Angles</t>
  </si>
  <si>
    <r>
      <rPr>
        <sz val="12"/>
        <color theme="1"/>
        <rFont val="Cambria"/>
      </rPr>
      <t>75</t>
    </r>
    <r>
      <rPr>
        <vertAlign val="superscript"/>
        <sz val="12"/>
        <color theme="1"/>
        <rFont val="Cambria"/>
      </rPr>
      <t>2</t>
    </r>
    <r>
      <rPr>
        <sz val="12"/>
        <color theme="1"/>
        <rFont val="Cambria"/>
      </rPr>
      <t xml:space="preserve"> x 6</t>
    </r>
  </si>
  <si>
    <t>Kg/m</t>
  </si>
  <si>
    <t>GWDDR173</t>
  </si>
  <si>
    <r>
      <rPr>
        <sz val="12"/>
        <color theme="1"/>
        <rFont val="Cambria"/>
      </rPr>
      <t>110 mm 4kg/cm</t>
    </r>
    <r>
      <rPr>
        <vertAlign val="superscript"/>
        <sz val="12"/>
        <color theme="1"/>
        <rFont val="Cambria"/>
      </rPr>
      <t>2</t>
    </r>
    <r>
      <rPr>
        <sz val="12"/>
        <color theme="1"/>
        <rFont val="Cambria"/>
      </rPr>
      <t xml:space="preserve"> PVC Pipe (MR55)</t>
    </r>
  </si>
  <si>
    <t>MR303</t>
  </si>
  <si>
    <r>
      <rPr>
        <sz val="12"/>
        <color theme="1"/>
        <rFont val="Cambria"/>
      </rPr>
      <t>50</t>
    </r>
    <r>
      <rPr>
        <vertAlign val="superscript"/>
        <sz val="12"/>
        <color theme="1"/>
        <rFont val="Cambria"/>
      </rPr>
      <t>2</t>
    </r>
    <r>
      <rPr>
        <sz val="12"/>
        <color theme="1"/>
        <rFont val="Cambria"/>
      </rPr>
      <t xml:space="preserve"> x 6</t>
    </r>
  </si>
  <si>
    <t>Chain for locking arrangemet</t>
  </si>
  <si>
    <r>
      <rPr>
        <sz val="12"/>
        <color theme="1"/>
        <rFont val="Cambria"/>
      </rPr>
      <t>35</t>
    </r>
    <r>
      <rPr>
        <vertAlign val="superscript"/>
        <sz val="12"/>
        <color theme="1"/>
        <rFont val="Cambria"/>
      </rPr>
      <t>2</t>
    </r>
    <r>
      <rPr>
        <sz val="12"/>
        <color theme="1"/>
        <rFont val="Cambria"/>
      </rPr>
      <t xml:space="preserve"> x 5</t>
    </r>
  </si>
  <si>
    <r>
      <rPr>
        <sz val="12"/>
        <color theme="1"/>
        <rFont val="Cambria"/>
      </rPr>
      <t>25</t>
    </r>
    <r>
      <rPr>
        <vertAlign val="superscript"/>
        <sz val="12"/>
        <color theme="1"/>
        <rFont val="Cambria"/>
      </rPr>
      <t>2</t>
    </r>
    <r>
      <rPr>
        <sz val="12"/>
        <color theme="1"/>
        <rFont val="Cambria"/>
      </rPr>
      <t xml:space="preserve"> x 5</t>
    </r>
  </si>
  <si>
    <r>
      <rPr>
        <sz val="12"/>
        <color theme="1"/>
        <rFont val="Cambria"/>
      </rPr>
      <t>32mm 10kg/cm</t>
    </r>
    <r>
      <rPr>
        <vertAlign val="superscript"/>
        <sz val="12"/>
        <color theme="1"/>
        <rFont val="Cambria"/>
      </rPr>
      <t>2</t>
    </r>
    <r>
      <rPr>
        <sz val="12"/>
        <color theme="1"/>
        <rFont val="Cambria"/>
      </rPr>
      <t xml:space="preserve"> PVC Pipe (MR44)</t>
    </r>
  </si>
  <si>
    <t>M. S. Flats</t>
  </si>
  <si>
    <t>MR304</t>
  </si>
  <si>
    <t>Padlock 65mm</t>
  </si>
  <si>
    <t>GWDDR174</t>
  </si>
  <si>
    <r>
      <rPr>
        <sz val="12"/>
        <color theme="1"/>
        <rFont val="Cambria"/>
      </rPr>
      <t>Kg/m</t>
    </r>
    <r>
      <rPr>
        <vertAlign val="superscript"/>
        <sz val="12"/>
        <color theme="1"/>
        <rFont val="Cambria"/>
      </rPr>
      <t>2</t>
    </r>
  </si>
  <si>
    <t>TOTAL (Material)</t>
  </si>
  <si>
    <r>
      <rPr>
        <sz val="12"/>
        <color theme="1"/>
        <rFont val="Cambria"/>
      </rPr>
      <t>Kg/m</t>
    </r>
    <r>
      <rPr>
        <vertAlign val="superscript"/>
        <sz val="12"/>
        <color theme="1"/>
        <rFont val="Cambria"/>
      </rPr>
      <t>2</t>
    </r>
  </si>
  <si>
    <t>no</t>
  </si>
  <si>
    <r>
      <rPr>
        <sz val="12"/>
        <color theme="1"/>
        <rFont val="Cambria"/>
      </rPr>
      <t xml:space="preserve">¾" </t>
    </r>
    <r>
      <rPr>
        <sz val="12"/>
        <color theme="1"/>
        <rFont val="Cambria"/>
      </rPr>
      <t xml:space="preserve">X </t>
    </r>
    <r>
      <rPr>
        <sz val="12"/>
        <color theme="1"/>
        <rFont val="Cambria"/>
      </rPr>
      <t>½" GI Reducer</t>
    </r>
  </si>
  <si>
    <t>GWDDR175</t>
  </si>
  <si>
    <t>Description of work</t>
  </si>
  <si>
    <t>B</t>
  </si>
  <si>
    <t>H</t>
  </si>
  <si>
    <t>GWDDR176</t>
  </si>
  <si>
    <t>Structural steel work  including wastage, cutting, hoisting, fixing in position and applying a priming coat of approved steel primer all complete as per DSR 10.1</t>
  </si>
  <si>
    <t>GI Pipes Exposed on Wall</t>
  </si>
  <si>
    <t>/Kg</t>
  </si>
  <si>
    <t>Providing and fixing bolts including nuts and washers complete as per DSR item 10.20</t>
  </si>
  <si>
    <t>GWDDR177</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</si>
  <si>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</si>
  <si>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Providing and laying in position cement concrete of specified grade excluding the cost of centering and shuttering - All work up to plinth level: 1:2:4 as per DSR item 4.1.3</t>
  </si>
  <si>
    <t>GWDDR178</t>
  </si>
  <si>
    <t>GWDDR179</t>
  </si>
  <si>
    <t>Carpenter 2nd class</t>
  </si>
  <si>
    <t>Unforeseen items</t>
  </si>
  <si>
    <r>
      <rPr>
        <sz val="12"/>
        <color theme="1"/>
        <rFont val="Cambria"/>
      </rPr>
      <t>m</t>
    </r>
    <r>
      <rPr>
        <vertAlign val="superscript"/>
        <sz val="12"/>
        <color theme="1"/>
        <rFont val="Cambria"/>
      </rPr>
      <t>3</t>
    </r>
  </si>
  <si>
    <r>
      <rPr>
        <sz val="12"/>
        <color theme="1"/>
        <rFont val="Cambria"/>
      </rPr>
      <t>m</t>
    </r>
    <r>
      <rPr>
        <vertAlign val="superscript"/>
        <sz val="12"/>
        <color theme="1"/>
        <rFont val="Cambria"/>
      </rPr>
      <t>3</t>
    </r>
  </si>
  <si>
    <t>GWDDR180</t>
  </si>
  <si>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</si>
  <si>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</si>
  <si>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Say Rs. 71000 x Index</t>
  </si>
  <si>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</si>
  <si>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</si>
  <si>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Angle Iron Structure To Support 3000 Litres Capacity Water Tank At 4 m Height</t>
  </si>
  <si>
    <t>GWDDR181</t>
  </si>
  <si>
    <t>GWDDR182</t>
  </si>
  <si>
    <t>652 x 6</t>
  </si>
  <si>
    <t>Horizontal bracing (1st portion)</t>
  </si>
  <si>
    <t>502 x 6</t>
  </si>
  <si>
    <t xml:space="preserve">Total  for labour </t>
  </si>
  <si>
    <t>Horizontal bracing (2nd portion)</t>
  </si>
  <si>
    <t>GWDDR183</t>
  </si>
  <si>
    <t>Horizontal bracing (3rd portion)</t>
  </si>
  <si>
    <t>Diagonal bracing (1st portion)</t>
  </si>
  <si>
    <t>352 x 5</t>
  </si>
  <si>
    <t>Diagonal bracing (2nd portion)</t>
  </si>
  <si>
    <t>GWDDR184</t>
  </si>
  <si>
    <t>252 x 5</t>
  </si>
  <si>
    <t>GWDDR185</t>
  </si>
  <si>
    <t>Ladder steps</t>
  </si>
  <si>
    <t>m2</t>
  </si>
  <si>
    <t>M. S. plate 15 mm thick</t>
  </si>
  <si>
    <t>Metallic Pump House of size 1.2 x 0.9 x 2 m</t>
  </si>
  <si>
    <t>GWDDR186</t>
  </si>
  <si>
    <t>Sl. No.</t>
  </si>
  <si>
    <t>D</t>
  </si>
  <si>
    <t xml:space="preserve">Unit </t>
  </si>
  <si>
    <t>Surface dressing of the ground including removing vegetation and in-equalities not exceeding 15 cm deep and disposal of rubbish, lead up to 50 m and lift up to 1.5 m.
All kinds of soil as per DSR item 2.28.1</t>
  </si>
  <si>
    <t>GWDDR187</t>
  </si>
  <si>
    <t>Area</t>
  </si>
  <si>
    <t>Kg/m2</t>
  </si>
  <si>
    <t>GWDDR188</t>
  </si>
  <si>
    <r>
      <rPr>
        <sz val="12"/>
        <color theme="1"/>
        <rFont val="Cambria"/>
      </rPr>
      <t>m</t>
    </r>
    <r>
      <rPr>
        <vertAlign val="superscript"/>
        <sz val="12"/>
        <color theme="1"/>
        <rFont val="Cambria"/>
      </rPr>
      <t>2</t>
    </r>
  </si>
  <si>
    <t>Structural steel work including wastage, cutting, hoisting, fixing in position and applying a priming coat of approved steel primer all complete as per DSR 10.1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</si>
  <si>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</si>
  <si>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GWDDR189</t>
  </si>
  <si>
    <t>Foundation</t>
  </si>
  <si>
    <t>S &amp; F Motor starters of the following ratings Submersible pump controllers with ammeter,DPMCB for single phase 2.5HP submersible motor pumps (DOL)</t>
  </si>
  <si>
    <t>COST FOR 1 EACH A1 MATERIALS</t>
  </si>
  <si>
    <t>GWDDR190</t>
  </si>
  <si>
    <t>Step</t>
  </si>
  <si>
    <t>Material (M), Labour (L), Additional Charges (A)</t>
  </si>
  <si>
    <r>
      <rPr>
        <sz val="12"/>
        <color theme="1"/>
        <rFont val="Cambria"/>
      </rPr>
      <t>m</t>
    </r>
    <r>
      <rPr>
        <vertAlign val="superscript"/>
        <sz val="12"/>
        <color theme="1"/>
        <rFont val="Cambria"/>
      </rPr>
      <t>3</t>
    </r>
  </si>
  <si>
    <t>GWDDR191</t>
  </si>
  <si>
    <t>Submersible pump controllers with ammeter,DPMCB for single phase 2.5HP submersible motor pumps (DOL)</t>
  </si>
  <si>
    <t>Providing and laying in position cement concrete of specified grade excluding the cost of centering and shuttering - All work up to plinth level: 1:4:8 as per DSR item 4.1.8</t>
  </si>
  <si>
    <t>Say Rs. 62000 x Index</t>
  </si>
  <si>
    <t>GWDDR192</t>
  </si>
  <si>
    <t>MR704</t>
  </si>
  <si>
    <t>Man Mazdoor</t>
  </si>
  <si>
    <t>Angle Iron Structure To Support 5000 Litres Capacity Water Tank At 6 m Height</t>
  </si>
  <si>
    <t>tcode</t>
  </si>
  <si>
    <t>Other Charge @ .5% of :(M1+L2)
 Add Hire charges for T&amp;P @ 0.5%</t>
  </si>
  <si>
    <t>GWDDR193</t>
  </si>
  <si>
    <t>A1</t>
  </si>
  <si>
    <r>
      <rPr>
        <sz val="12"/>
        <color theme="1"/>
        <rFont val="Cambria"/>
      </rPr>
      <t>75</t>
    </r>
    <r>
      <rPr>
        <vertAlign val="superscript"/>
        <sz val="12"/>
        <color theme="1"/>
        <rFont val="Cambria"/>
      </rPr>
      <t>2</t>
    </r>
    <r>
      <rPr>
        <sz val="12"/>
        <color theme="1"/>
        <rFont val="Cambria"/>
      </rPr>
      <t xml:space="preserve"> x 6</t>
    </r>
  </si>
  <si>
    <t>GWDDR194</t>
  </si>
  <si>
    <t>Cartage@ 1.00 % (for material)</t>
  </si>
  <si>
    <r>
      <rPr>
        <sz val="12"/>
        <color theme="1"/>
        <rFont val="Cambria"/>
      </rPr>
      <t>75</t>
    </r>
    <r>
      <rPr>
        <vertAlign val="superscript"/>
        <sz val="12"/>
        <color theme="1"/>
        <rFont val="Cambria"/>
      </rPr>
      <t>2</t>
    </r>
    <r>
      <rPr>
        <sz val="12"/>
        <color theme="1"/>
        <rFont val="Cambria"/>
      </rPr>
      <t xml:space="preserve"> x 6</t>
    </r>
  </si>
  <si>
    <r>
      <rPr>
        <sz val="12"/>
        <color theme="1"/>
        <rFont val="Cambria"/>
      </rPr>
      <t>Horizontal bracing (1</t>
    </r>
    <r>
      <rPr>
        <vertAlign val="superscript"/>
        <sz val="12"/>
        <color theme="1"/>
        <rFont val="Cambria"/>
      </rPr>
      <t>st</t>
    </r>
    <r>
      <rPr>
        <sz val="12"/>
        <color theme="1"/>
        <rFont val="Cambria"/>
      </rPr>
      <t xml:space="preserve"> portion)</t>
    </r>
  </si>
  <si>
    <t>GWDDR195</t>
  </si>
  <si>
    <r>
      <rPr>
        <sz val="12"/>
        <color theme="1"/>
        <rFont val="Cambria"/>
      </rPr>
      <t>50</t>
    </r>
    <r>
      <rPr>
        <vertAlign val="superscript"/>
        <sz val="12"/>
        <color theme="1"/>
        <rFont val="Cambria"/>
      </rPr>
      <t>2</t>
    </r>
    <r>
      <rPr>
        <sz val="12"/>
        <color theme="1"/>
        <rFont val="Cambria"/>
      </rPr>
      <t xml:space="preserve"> x 6</t>
    </r>
  </si>
  <si>
    <r>
      <rPr>
        <sz val="12"/>
        <color theme="1"/>
        <rFont val="Cambria"/>
      </rPr>
      <t>m</t>
    </r>
    <r>
      <rPr>
        <vertAlign val="superscript"/>
        <sz val="12"/>
        <color theme="1"/>
        <rFont val="Cambria"/>
      </rPr>
      <t>3</t>
    </r>
  </si>
  <si>
    <t>Coursed rubble masonry (first sort) with hard stone in foundation and plinth with Cement mortar 1:6 as per DSR item 7.6.1</t>
  </si>
  <si>
    <t>GWDDR196</t>
  </si>
  <si>
    <r>
      <rPr>
        <sz val="12"/>
        <color theme="1"/>
        <rFont val="Cambria"/>
      </rPr>
      <t>Horizontal bracing (2</t>
    </r>
    <r>
      <rPr>
        <vertAlign val="superscript"/>
        <sz val="12"/>
        <color theme="1"/>
        <rFont val="Cambria"/>
      </rPr>
      <t>nd</t>
    </r>
    <r>
      <rPr>
        <sz val="12"/>
        <color theme="1"/>
        <rFont val="Cambria"/>
      </rPr>
      <t xml:space="preserve"> portion)</t>
    </r>
  </si>
  <si>
    <r>
      <rPr>
        <sz val="12"/>
        <color theme="1"/>
        <rFont val="Cambria"/>
      </rPr>
      <t>50</t>
    </r>
    <r>
      <rPr>
        <vertAlign val="superscript"/>
        <sz val="12"/>
        <color theme="1"/>
        <rFont val="Cambria"/>
      </rPr>
      <t>2</t>
    </r>
    <r>
      <rPr>
        <sz val="12"/>
        <color theme="1"/>
        <rFont val="Cambria"/>
      </rPr>
      <t xml:space="preserve"> x 6</t>
    </r>
  </si>
  <si>
    <t>Foundation &amp; Basement</t>
  </si>
  <si>
    <r>
      <rPr>
        <sz val="12"/>
        <color theme="1"/>
        <rFont val="Cambria"/>
      </rPr>
      <t>Horizontal bracing (3</t>
    </r>
    <r>
      <rPr>
        <vertAlign val="superscript"/>
        <sz val="12"/>
        <color theme="1"/>
        <rFont val="Cambria"/>
      </rPr>
      <t>rd</t>
    </r>
    <r>
      <rPr>
        <sz val="12"/>
        <color theme="1"/>
        <rFont val="Cambria"/>
      </rPr>
      <t xml:space="preserve"> portion)</t>
    </r>
  </si>
  <si>
    <r>
      <rPr>
        <sz val="12"/>
        <color theme="1"/>
        <rFont val="Cambria"/>
      </rPr>
      <t>50</t>
    </r>
    <r>
      <rPr>
        <vertAlign val="superscript"/>
        <sz val="12"/>
        <color theme="1"/>
        <rFont val="Cambria"/>
      </rPr>
      <t>2</t>
    </r>
    <r>
      <rPr>
        <sz val="12"/>
        <color theme="1"/>
        <rFont val="Cambria"/>
      </rPr>
      <t xml:space="preserve"> x 6</t>
    </r>
  </si>
  <si>
    <t>GWDDR197</t>
  </si>
  <si>
    <r>
      <rPr>
        <sz val="12"/>
        <color theme="1"/>
        <rFont val="Cambria"/>
      </rPr>
      <t>Horizontal bracing (4</t>
    </r>
    <r>
      <rPr>
        <vertAlign val="superscript"/>
        <sz val="12"/>
        <color theme="1"/>
        <rFont val="Cambria"/>
      </rPr>
      <t>th</t>
    </r>
    <r>
      <rPr>
        <sz val="12"/>
        <color theme="1"/>
        <rFont val="Cambria"/>
      </rPr>
      <t xml:space="preserve"> portion)</t>
    </r>
  </si>
  <si>
    <r>
      <rPr>
        <sz val="12"/>
        <color theme="1"/>
        <rFont val="Cambria"/>
      </rPr>
      <t>50</t>
    </r>
    <r>
      <rPr>
        <vertAlign val="superscript"/>
        <sz val="12"/>
        <color theme="1"/>
        <rFont val="Cambria"/>
      </rPr>
      <t>2</t>
    </r>
    <r>
      <rPr>
        <sz val="12"/>
        <color theme="1"/>
        <rFont val="Cambria"/>
      </rPr>
      <t xml:space="preserve"> x 6</t>
    </r>
  </si>
  <si>
    <t>Iron screws, 35 mm X 6 mm</t>
  </si>
  <si>
    <r>
      <rPr>
        <sz val="12"/>
        <color theme="1"/>
        <rFont val="Cambria"/>
      </rPr>
      <t>Diagonal bracing (1</t>
    </r>
    <r>
      <rPr>
        <vertAlign val="superscript"/>
        <sz val="12"/>
        <color theme="1"/>
        <rFont val="Cambria"/>
      </rPr>
      <t>st</t>
    </r>
    <r>
      <rPr>
        <sz val="12"/>
        <color theme="1"/>
        <rFont val="Cambria"/>
      </rPr>
      <t xml:space="preserve">  portion)</t>
    </r>
  </si>
  <si>
    <r>
      <rPr>
        <sz val="12"/>
        <color theme="1"/>
        <rFont val="Cambria"/>
      </rPr>
      <t>35</t>
    </r>
    <r>
      <rPr>
        <vertAlign val="superscript"/>
        <sz val="12"/>
        <color theme="1"/>
        <rFont val="Cambria"/>
      </rPr>
      <t>2</t>
    </r>
    <r>
      <rPr>
        <sz val="12"/>
        <color theme="1"/>
        <rFont val="Cambria"/>
      </rPr>
      <t xml:space="preserve"> x 5</t>
    </r>
  </si>
  <si>
    <t>GWDDR198</t>
  </si>
  <si>
    <t>M2</t>
  </si>
  <si>
    <t>Fitter, Grade 2</t>
  </si>
  <si>
    <r>
      <rPr>
        <sz val="12"/>
        <color theme="1"/>
        <rFont val="Cambria"/>
      </rPr>
      <t>Diagonal bracing (2</t>
    </r>
    <r>
      <rPr>
        <vertAlign val="superscript"/>
        <sz val="12"/>
        <color theme="1"/>
        <rFont val="Cambria"/>
      </rPr>
      <t>nd</t>
    </r>
    <r>
      <rPr>
        <sz val="12"/>
        <color theme="1"/>
        <rFont val="Cambria"/>
      </rPr>
      <t xml:space="preserve"> portion)</t>
    </r>
  </si>
  <si>
    <r>
      <rPr>
        <sz val="12"/>
        <color theme="1"/>
        <rFont val="Cambria"/>
      </rPr>
      <t>35</t>
    </r>
    <r>
      <rPr>
        <vertAlign val="superscript"/>
        <sz val="12"/>
        <color theme="1"/>
        <rFont val="Cambria"/>
      </rPr>
      <t>2</t>
    </r>
    <r>
      <rPr>
        <sz val="12"/>
        <color theme="1"/>
        <rFont val="Cambria"/>
      </rPr>
      <t xml:space="preserve"> x 5</t>
    </r>
  </si>
  <si>
    <r>
      <rPr>
        <sz val="12"/>
        <color theme="1"/>
        <rFont val="Cambria"/>
      </rPr>
      <t>Diagonal bracing (3</t>
    </r>
    <r>
      <rPr>
        <vertAlign val="superscript"/>
        <sz val="12"/>
        <color theme="1"/>
        <rFont val="Cambria"/>
      </rPr>
      <t>rd</t>
    </r>
    <r>
      <rPr>
        <sz val="12"/>
        <color theme="1"/>
        <rFont val="Cambria"/>
      </rPr>
      <t xml:space="preserve"> portion)</t>
    </r>
  </si>
  <si>
    <r>
      <rPr>
        <sz val="12"/>
        <color theme="1"/>
        <rFont val="Cambria"/>
      </rPr>
      <t>35</t>
    </r>
    <r>
      <rPr>
        <vertAlign val="superscript"/>
        <sz val="12"/>
        <color theme="1"/>
        <rFont val="Cambria"/>
      </rPr>
      <t>2</t>
    </r>
    <r>
      <rPr>
        <sz val="12"/>
        <color theme="1"/>
        <rFont val="Cambria"/>
      </rPr>
      <t xml:space="preserve"> x 5</t>
    </r>
  </si>
  <si>
    <r>
      <rPr>
        <sz val="12"/>
        <color theme="1"/>
        <rFont val="Cambria"/>
      </rPr>
      <t>m</t>
    </r>
    <r>
      <rPr>
        <vertAlign val="superscript"/>
        <sz val="12"/>
        <color theme="1"/>
        <rFont val="Cambria"/>
      </rPr>
      <t>3</t>
    </r>
  </si>
  <si>
    <t>GWDDR199</t>
  </si>
  <si>
    <r>
      <rPr>
        <sz val="12"/>
        <color theme="1"/>
        <rFont val="Cambria"/>
      </rPr>
      <t>50</t>
    </r>
    <r>
      <rPr>
        <vertAlign val="superscript"/>
        <sz val="12"/>
        <color theme="1"/>
        <rFont val="Cambria"/>
      </rPr>
      <t>2</t>
    </r>
    <r>
      <rPr>
        <sz val="12"/>
        <color theme="1"/>
        <rFont val="Cambria"/>
      </rPr>
      <t xml:space="preserve"> x 6</t>
    </r>
  </si>
  <si>
    <t>Other Charge @ .5% of :(M2+L1)
 Add Hire charges for T&amp;P @ 0.5%</t>
  </si>
  <si>
    <t>12 mm cement plaster of mix 1:4 as per DSR item 13.1.1</t>
  </si>
  <si>
    <t>A2</t>
  </si>
  <si>
    <t xml:space="preserve">Outside </t>
  </si>
  <si>
    <r>
      <rPr>
        <sz val="12"/>
        <color theme="1"/>
        <rFont val="Cambria"/>
      </rPr>
      <t>75</t>
    </r>
    <r>
      <rPr>
        <vertAlign val="superscript"/>
        <sz val="12"/>
        <color theme="1"/>
        <rFont val="Cambria"/>
      </rPr>
      <t>2</t>
    </r>
    <r>
      <rPr>
        <sz val="12"/>
        <color theme="1"/>
        <rFont val="Cambria"/>
      </rPr>
      <t xml:space="preserve"> x 6</t>
    </r>
  </si>
  <si>
    <t>GWDDR200</t>
  </si>
  <si>
    <r>
      <rPr>
        <sz val="12"/>
        <color theme="1"/>
        <rFont val="Cambria"/>
      </rPr>
      <t>50</t>
    </r>
    <r>
      <rPr>
        <vertAlign val="superscript"/>
        <sz val="12"/>
        <color theme="1"/>
        <rFont val="Cambria"/>
      </rPr>
      <t>2</t>
    </r>
    <r>
      <rPr>
        <sz val="12"/>
        <color theme="1"/>
        <rFont val="Cambria"/>
      </rPr>
      <t xml:space="preserve"> x 6</t>
    </r>
  </si>
  <si>
    <t>GWDDR201</t>
  </si>
  <si>
    <t xml:space="preserve">Top </t>
  </si>
  <si>
    <t>litre</t>
  </si>
  <si>
    <r>
      <rPr>
        <sz val="12"/>
        <color theme="1"/>
        <rFont val="Cambria"/>
      </rPr>
      <t>25</t>
    </r>
    <r>
      <rPr>
        <vertAlign val="superscript"/>
        <sz val="12"/>
        <color theme="1"/>
        <rFont val="Cambria"/>
      </rPr>
      <t>2</t>
    </r>
    <r>
      <rPr>
        <sz val="12"/>
        <color theme="1"/>
        <rFont val="Cambria"/>
      </rPr>
      <t xml:space="preserve"> x 5</t>
    </r>
  </si>
  <si>
    <t>Step sides</t>
  </si>
  <si>
    <t>GWDDR202</t>
  </si>
  <si>
    <t>Step top</t>
  </si>
  <si>
    <r>
      <rPr>
        <sz val="12"/>
        <color theme="1"/>
        <rFont val="Cambria"/>
      </rPr>
      <t>35</t>
    </r>
    <r>
      <rPr>
        <vertAlign val="superscript"/>
        <sz val="12"/>
        <color theme="1"/>
        <rFont val="Cambria"/>
      </rPr>
      <t>2</t>
    </r>
    <r>
      <rPr>
        <sz val="12"/>
        <color theme="1"/>
        <rFont val="Cambria"/>
      </rPr>
      <t xml:space="preserve"> x 5</t>
    </r>
  </si>
  <si>
    <t>GWDDR203</t>
  </si>
  <si>
    <r>
      <rPr>
        <sz val="12"/>
        <color theme="1"/>
        <rFont val="Cambria"/>
      </rPr>
      <t>m</t>
    </r>
    <r>
      <rPr>
        <vertAlign val="superscript"/>
        <sz val="12"/>
        <color theme="1"/>
        <rFont val="Cambria"/>
      </rPr>
      <t>2</t>
    </r>
  </si>
  <si>
    <t>Filling available excavated earth (excluding rock) in trenches, plinth, sides of foundations etc. in layers not exceeding 20 cm in depth, consolidating each deposited layer by ramming and watering, lead up to 50 m and lift up to 1.5 m as per DSR item  2.25</t>
  </si>
  <si>
    <t>GWDDR204</t>
  </si>
  <si>
    <t>Inside Area of Basement</t>
  </si>
  <si>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</si>
  <si>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</si>
  <si>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GWDDR205</t>
  </si>
  <si>
    <t>S &amp; F Motor starters of the following ratings Submersible pump controllers with ammeter,DPMCB for single phase 3HP submersible motor pumps (DOL)</t>
  </si>
  <si>
    <r>
      <rPr>
        <sz val="12"/>
        <color theme="1"/>
        <rFont val="Cambria"/>
      </rPr>
      <t>m</t>
    </r>
    <r>
      <rPr>
        <vertAlign val="superscript"/>
        <sz val="12"/>
        <color theme="1"/>
        <rFont val="Cambria"/>
      </rPr>
      <t>3</t>
    </r>
  </si>
  <si>
    <t>GWDDR206</t>
  </si>
  <si>
    <r>
      <rPr>
        <sz val="12"/>
        <color theme="1"/>
        <rFont val="Cambria"/>
      </rPr>
      <t>75</t>
    </r>
    <r>
      <rPr>
        <vertAlign val="superscript"/>
        <sz val="12"/>
        <color theme="1"/>
        <rFont val="Cambria"/>
      </rPr>
      <t>2</t>
    </r>
    <r>
      <rPr>
        <sz val="12"/>
        <color theme="1"/>
        <rFont val="Cambria"/>
      </rPr>
      <t xml:space="preserve"> x 6</t>
    </r>
  </si>
  <si>
    <t>Cement concrete flooring 1:2:4 finished with a floating coat of neat cement, including cement slurry complete (40 mm thick with 20 mm nominal size stone aggregate) as per DSR item  11.3.1</t>
  </si>
  <si>
    <t>Submersible pump controllers with ammeter,DPMCB for single phase 3HP submersible motor pumps (DOL)</t>
  </si>
  <si>
    <r>
      <rPr>
        <sz val="12"/>
        <color theme="1"/>
        <rFont val="Cambria"/>
      </rPr>
      <t>50</t>
    </r>
    <r>
      <rPr>
        <vertAlign val="superscript"/>
        <sz val="12"/>
        <color theme="1"/>
        <rFont val="Cambria"/>
      </rPr>
      <t>2</t>
    </r>
    <r>
      <rPr>
        <sz val="12"/>
        <color theme="1"/>
        <rFont val="Cambria"/>
      </rPr>
      <t xml:space="preserve"> x 6</t>
    </r>
  </si>
  <si>
    <t>GWDDR207</t>
  </si>
  <si>
    <t>Inside Area</t>
  </si>
  <si>
    <r>
      <rPr>
        <sz val="12"/>
        <color theme="1"/>
        <rFont val="Cambria"/>
      </rPr>
      <t>35</t>
    </r>
    <r>
      <rPr>
        <vertAlign val="superscript"/>
        <sz val="12"/>
        <color theme="1"/>
        <rFont val="Cambria"/>
      </rPr>
      <t>2</t>
    </r>
    <r>
      <rPr>
        <sz val="12"/>
        <color theme="1"/>
        <rFont val="Cambria"/>
      </rPr>
      <t xml:space="preserve"> x 5</t>
    </r>
  </si>
  <si>
    <t>GWDDR208</t>
  </si>
  <si>
    <r>
      <rPr>
        <sz val="12"/>
        <color theme="1"/>
        <rFont val="Cambria"/>
      </rPr>
      <t>25</t>
    </r>
    <r>
      <rPr>
        <vertAlign val="superscript"/>
        <sz val="12"/>
        <color theme="1"/>
        <rFont val="Cambria"/>
      </rPr>
      <t>2</t>
    </r>
    <r>
      <rPr>
        <sz val="12"/>
        <color theme="1"/>
        <rFont val="Cambria"/>
      </rPr>
      <t xml:space="preserve"> x 5</t>
    </r>
  </si>
  <si>
    <r>
      <rPr>
        <sz val="12"/>
        <color theme="1"/>
        <rFont val="Cambria"/>
      </rPr>
      <t>m</t>
    </r>
    <r>
      <rPr>
        <vertAlign val="superscript"/>
        <sz val="12"/>
        <color theme="1"/>
        <rFont val="Cambria"/>
      </rPr>
      <t>2</t>
    </r>
  </si>
  <si>
    <t>GWDDR209</t>
  </si>
  <si>
    <t>MS angle 35 x 35 x 5mm</t>
  </si>
  <si>
    <t>Total
L</t>
  </si>
  <si>
    <t>Total Weight</t>
  </si>
  <si>
    <r>
      <rPr>
        <sz val="12"/>
        <color theme="1"/>
        <rFont val="Cambria"/>
      </rPr>
      <t>Kg/m</t>
    </r>
    <r>
      <rPr>
        <vertAlign val="superscript"/>
        <sz val="12"/>
        <color theme="1"/>
        <rFont val="Cambria"/>
      </rPr>
      <t>2</t>
    </r>
  </si>
  <si>
    <t>Front side corner</t>
  </si>
  <si>
    <t>GWDDR210</t>
  </si>
  <si>
    <t>Back side corner</t>
  </si>
  <si>
    <r>
      <rPr>
        <sz val="12"/>
        <color theme="1"/>
        <rFont val="Cambria"/>
      </rPr>
      <t>Kg/m</t>
    </r>
    <r>
      <rPr>
        <vertAlign val="superscript"/>
        <sz val="12"/>
        <color theme="1"/>
        <rFont val="Cambria"/>
      </rPr>
      <t>2</t>
    </r>
  </si>
  <si>
    <t>Top edge front &amp; back</t>
  </si>
  <si>
    <t>GWDDR211</t>
  </si>
  <si>
    <t>Top edge sides</t>
  </si>
  <si>
    <t>Door vertical</t>
  </si>
  <si>
    <t>Door Horizontal</t>
  </si>
  <si>
    <t>GWDDR212</t>
  </si>
  <si>
    <t>Total Length</t>
  </si>
  <si>
    <t>GWDDR213</t>
  </si>
  <si>
    <t>MS Flat 35 x 6mm</t>
  </si>
  <si>
    <t>Back side  vertical</t>
  </si>
  <si>
    <t>Back side Horizontal</t>
  </si>
  <si>
    <t>GWDDR214</t>
  </si>
  <si>
    <t>Front side  vertical</t>
  </si>
  <si>
    <t>Front side Horizontal</t>
  </si>
  <si>
    <t>side  vertical</t>
  </si>
  <si>
    <t>GWDDR215</t>
  </si>
  <si>
    <t>side Horizontal</t>
  </si>
  <si>
    <t>GWDDR216</t>
  </si>
  <si>
    <t>Roof</t>
  </si>
  <si>
    <t>Say Rs. 94000 x Index</t>
  </si>
  <si>
    <t>GWDDR217</t>
  </si>
  <si>
    <t>Angle Iron Structure To Support 3000 Litres Capacity Water Tank At 6 m Height</t>
  </si>
  <si>
    <t>GI Sheet work  including wastage, cutting, hoisting, fixing in position, welding and applying a priming coat of approved steel primer all complete</t>
  </si>
  <si>
    <t>GWDDR218</t>
  </si>
  <si>
    <t>GI sheet 0.8 mm thick 8019</t>
  </si>
  <si>
    <t>Front side</t>
  </si>
  <si>
    <t>752 x 6</t>
  </si>
  <si>
    <t>GWDDR219</t>
  </si>
  <si>
    <t>Back side</t>
  </si>
  <si>
    <t>Sides</t>
  </si>
  <si>
    <t>roof</t>
  </si>
  <si>
    <t>S &amp; F Motor starters of the following ratings Submersible pump controllers with ammeter,DPMCB for single phase 3.5HP submersible motor pumps (DOL)</t>
  </si>
  <si>
    <t>Total Area</t>
  </si>
  <si>
    <t>GWDDR220</t>
  </si>
  <si>
    <t>Horizontal bracing (4th portion)</t>
  </si>
  <si>
    <r>
      <rPr>
        <sz val="12"/>
        <color theme="1"/>
        <rFont val="Cambria"/>
      </rPr>
      <t>Kg/m</t>
    </r>
    <r>
      <rPr>
        <vertAlign val="superscript"/>
        <sz val="12"/>
        <color theme="1"/>
        <rFont val="Cambria"/>
      </rPr>
      <t>2</t>
    </r>
  </si>
  <si>
    <t>Submersible pump controllers with ammeter,DPMCB for single phase 3.5 HP submersible motor pumps (DOL)</t>
  </si>
  <si>
    <t>Diagonal bracing (3rd portion)</t>
  </si>
  <si>
    <t>GWDDR221</t>
  </si>
  <si>
    <t>Locking arrangements  and handles 14.41</t>
  </si>
  <si>
    <t>GWDDR222</t>
  </si>
  <si>
    <t>Supplying and fixing Hinges for doors 14.40.2</t>
  </si>
  <si>
    <t>Unforeseen if any</t>
  </si>
  <si>
    <t>GWDDR223</t>
  </si>
  <si>
    <t>Say Rs.26000 x Cost Index</t>
  </si>
  <si>
    <t>GWDDR224</t>
  </si>
  <si>
    <t>GWDDR225</t>
  </si>
  <si>
    <t>GWDDR226</t>
  </si>
  <si>
    <t>GWDDR227</t>
  </si>
  <si>
    <t>S &amp; F Motor starters of the following ratings Single phase DOL starters for 0.25HP to 3HP motor (90.14.28.1)</t>
  </si>
  <si>
    <t>GWDDR228</t>
  </si>
  <si>
    <t>MR1980</t>
  </si>
  <si>
    <t>Single Phase DOL starters for 0.25 to 3 HP motor</t>
  </si>
  <si>
    <t>GWDDR229</t>
  </si>
  <si>
    <t>GWDDR230</t>
  </si>
  <si>
    <t>MR2112</t>
  </si>
  <si>
    <t>Spring washer for M8 nut</t>
  </si>
  <si>
    <t>M4</t>
  </si>
  <si>
    <t>Say Rs.83000 x Index</t>
  </si>
  <si>
    <t>GWDDR231</t>
  </si>
  <si>
    <t>Other Charge @ .5% of :(M1+M4+L2)
 Add Hire charges for T&amp;P @ 0.5%</t>
  </si>
  <si>
    <t>GWDDR232</t>
  </si>
  <si>
    <t>GWDDR233</t>
  </si>
  <si>
    <t>S &amp; F Motor starters of the following ratings Submersible pump controllers with ammeter,TPMCB for three phase 2 to 4.5 HP submersible motor pumps (DOL)</t>
  </si>
  <si>
    <t>GWDDR234</t>
  </si>
  <si>
    <t>Submersible pump controllers with ammeter,TPMCB for three phase 2 to 4.5 HP submersible motor pumps (DOL)</t>
  </si>
  <si>
    <t>GWDDR235</t>
  </si>
  <si>
    <t>GWDDR236</t>
  </si>
  <si>
    <t>GWDDR237</t>
  </si>
  <si>
    <t>32mm X 8mm bolts &amp; nuts</t>
  </si>
  <si>
    <t>GWDDR238</t>
  </si>
  <si>
    <t>ARS Civil</t>
  </si>
  <si>
    <t>Washers</t>
  </si>
  <si>
    <t>GWDDR239</t>
  </si>
  <si>
    <t>S &amp; F Motor starters of the following ratings Submersible pump controllers with ammeter,DPMCB for single phase 0.5HP submersible motor pumps (DOL) (90.14.28.10)</t>
  </si>
  <si>
    <t>GWDDR240</t>
  </si>
  <si>
    <t>M3</t>
  </si>
  <si>
    <t>MR2001</t>
  </si>
  <si>
    <t>Submersible pump controllers with ammeter,DPMCB for single phase 0.5HP submersible motor pumps (DOL)</t>
  </si>
  <si>
    <t>GWDDR241</t>
  </si>
  <si>
    <t>Other Charge @ .5% of :(M2+M3+L1)
 Add Hire charges for T&amp;P @ 0.5%</t>
  </si>
  <si>
    <t>GI Pipe With Trenching</t>
  </si>
  <si>
    <t>GWDDR242</t>
  </si>
  <si>
    <t>GWDDR243</t>
  </si>
  <si>
    <t>GWDDR244</t>
  </si>
  <si>
    <t>GWDDR245</t>
  </si>
  <si>
    <t>GWDDR246</t>
  </si>
  <si>
    <t>GWDDR247</t>
  </si>
  <si>
    <t>GWDDR248</t>
  </si>
  <si>
    <t>S &amp; F Motor starters of the following ratings Submersible pump controllers with ammeter, TPMCB for three phase 8 to 9.5 HP submersible motor pumps (DOL)</t>
  </si>
  <si>
    <t>GWDDR249</t>
  </si>
  <si>
    <t>GM Gate Valve</t>
  </si>
  <si>
    <t>Submersible pump controllers with ammeter,TPMCB for three phase 8 to 9.5 HP motor pumps (DOL)</t>
  </si>
  <si>
    <t>GWDDR250</t>
  </si>
  <si>
    <t>GWDDR251</t>
  </si>
  <si>
    <t>GWDDR252</t>
  </si>
  <si>
    <t>GWDDR253</t>
  </si>
  <si>
    <t>GWDDR254</t>
  </si>
  <si>
    <t>GWDDR255</t>
  </si>
  <si>
    <t>GWDDR256</t>
  </si>
  <si>
    <t>GM Non Return Valve</t>
  </si>
  <si>
    <t xml:space="preserve"> 18.17.1</t>
  </si>
  <si>
    <t>Providing and fixing gun metal gate valve with C.I. wheel of approved quality (screwed end) : 25 mm nominal bore (18.17.1)</t>
  </si>
  <si>
    <t xml:space="preserve"> 18.17.2</t>
  </si>
  <si>
    <t>GWDDR257</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</si>
  <si>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</si>
  <si>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</si>
  <si>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</si>
  <si>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</si>
  <si>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</si>
  <si>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</si>
  <si>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</si>
  <si>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 xml:space="preserve"> 18.17.6</t>
  </si>
  <si>
    <t>Providing and fixing gun metal gate valve with C.I. wheel of approved quality (screwed end) : 80 mm nominal bore (18.17.6)</t>
  </si>
  <si>
    <t>GWDDR258</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</si>
  <si>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</si>
  <si>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</si>
  <si>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</si>
  <si>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</si>
  <si>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</si>
  <si>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</si>
  <si>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</si>
  <si>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</si>
  <si>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 xml:space="preserve"> 18.19.2.2</t>
  </si>
  <si>
    <t>GWDDR259</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</si>
  <si>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</si>
  <si>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</si>
  <si>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</si>
  <si>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</si>
  <si>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</si>
  <si>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</si>
  <si>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</si>
  <si>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</si>
  <si>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</si>
  <si>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GWDDR260</t>
  </si>
  <si>
    <t xml:space="preserve"> 18.19.5.1</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</si>
  <si>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</si>
  <si>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</si>
  <si>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</si>
  <si>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</si>
  <si>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</si>
  <si>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</si>
  <si>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</si>
  <si>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GWDDR261</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</si>
  <si>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</si>
  <si>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</si>
  <si>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</si>
  <si>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</si>
  <si>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</si>
  <si>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</si>
  <si>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</si>
  <si>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</si>
  <si>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</si>
  <si>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</si>
  <si>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GWDDR262</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</si>
  <si>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</si>
  <si>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</si>
  <si>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</si>
  <si>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</si>
  <si>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</si>
  <si>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</si>
  <si>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</si>
  <si>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</si>
  <si>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</si>
  <si>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</si>
  <si>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GWDDR263</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</si>
  <si>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</si>
  <si>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</si>
  <si>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</si>
  <si>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</si>
  <si>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</si>
  <si>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</si>
  <si>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</si>
  <si>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</si>
  <si>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</si>
  <si>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GWDDR264</t>
  </si>
  <si>
    <t>Providing and fixing G.I Union in existing G.I pipe line, cutting and threading the pipe and making long screws, including excavation, refilling the earth or cutting of wall and making good the same complete wherever required: 65 mm nominal bore (18.47.7)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</si>
  <si>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</si>
  <si>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</si>
  <si>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GWDDR265</t>
  </si>
  <si>
    <t>GWDDR266</t>
  </si>
  <si>
    <t>Panel Board</t>
  </si>
  <si>
    <t>S &amp; F Single phase starters suitable for Compressor pump upto 2HP</t>
  </si>
  <si>
    <t>GWDDR267</t>
  </si>
  <si>
    <t>GWDDR268</t>
  </si>
  <si>
    <t>GI Union</t>
  </si>
  <si>
    <t>Installation of Single Phase Panel board where new electricity connection is required (Excluding Motor Starter)</t>
  </si>
  <si>
    <t>Compressor pump controllers with DPMCB for single phase Compressor pumps upto 2 HP</t>
  </si>
  <si>
    <t>GWDDR269</t>
  </si>
  <si>
    <t>MR</t>
  </si>
  <si>
    <t>75x75 cm Metal Box</t>
  </si>
  <si>
    <t>S &amp; F Motor starters of the following ratings Submersible pump controllers with ammeter,DPMCB for single phase 1 HP submersible motor pumps (DOL) (90.14.28.11)</t>
  </si>
  <si>
    <t>GWDDR270</t>
  </si>
  <si>
    <t>GWDDR271</t>
  </si>
  <si>
    <t>/each</t>
  </si>
  <si>
    <t>GWDDR272</t>
  </si>
  <si>
    <t>MR1428 (PRICE Electrical)</t>
  </si>
  <si>
    <t>MR2002</t>
  </si>
  <si>
    <t>32A, 4 pole On-Load Change Over Switches In Open Execution (ICDP)</t>
  </si>
  <si>
    <t>Submersible pump controllers with ammeter,DPMCB for single phase 1 HP submersible motor pumps (DOL)</t>
  </si>
  <si>
    <t>MR1717 (PRICE Electrical)</t>
  </si>
  <si>
    <t>CT for 3P and 4P circuit breakers for neutral overload and ground fault protection for 630 - 1600 A, ACBs. (ELCB)</t>
  </si>
  <si>
    <t>MR1459 (PRICE Electrical)</t>
  </si>
  <si>
    <t>32, HRC Fuse Base with HRC Fuse link</t>
  </si>
  <si>
    <t>GWDDR273</t>
  </si>
  <si>
    <t>MR1467 (PRICE Electrical)</t>
  </si>
  <si>
    <t>32 A, 2 Way neutral links mounted on DMC/SMC base</t>
  </si>
  <si>
    <t>MR1638 (PRICE Electrical)</t>
  </si>
  <si>
    <t>3 Pole Capacitor duty contactors for switching capacitor banks 4 - 7 kVAR with AC Coil</t>
  </si>
  <si>
    <t>Nut &amp; Bolt</t>
  </si>
  <si>
    <t>GWDDR274</t>
  </si>
  <si>
    <t>Metal Box for Meter</t>
  </si>
  <si>
    <t>GWDDR275</t>
  </si>
  <si>
    <t>Water charges/Cartage 1%</t>
  </si>
  <si>
    <t>GWDDR276</t>
  </si>
  <si>
    <t>GWDDR277</t>
  </si>
  <si>
    <t>GWDDR278</t>
  </si>
  <si>
    <t>2826 (DSR 2022 Electrical)</t>
  </si>
  <si>
    <t>40 mm dia. G.I. pipe (medium class) for earthing</t>
  </si>
  <si>
    <t>GWDDR279</t>
  </si>
  <si>
    <t>/meter</t>
  </si>
  <si>
    <t>2838 (DSR 2022 Electrical)</t>
  </si>
  <si>
    <t>40 mm dia. G.I. bend (medium class) for earthing</t>
  </si>
  <si>
    <t>2902 (DSR 2022 Electrical)</t>
  </si>
  <si>
    <t>25 mm X 5 mm copper tape (1.15 kg/mtr) for earthing</t>
  </si>
  <si>
    <t>GWDDR280</t>
  </si>
  <si>
    <t>1102 (DSR 2022 Electrical)</t>
  </si>
  <si>
    <t>2.5 sq. mm ISI marked, FRLS PVC insulated, single core copper conductor cable</t>
  </si>
  <si>
    <t>GWDDR281</t>
  </si>
  <si>
    <t>GWDDR282</t>
  </si>
  <si>
    <t>GWDDR283</t>
  </si>
  <si>
    <t>1001  (DSR 2022 Electrical)</t>
  </si>
  <si>
    <t>Wireman</t>
  </si>
  <si>
    <t>GWDDR361</t>
  </si>
  <si>
    <t>GWDDR362</t>
  </si>
  <si>
    <t>S &amp; F Single phase starters suitable for 3HP Compressor pump</t>
  </si>
  <si>
    <t>GWDDR363</t>
  </si>
  <si>
    <t>Compressor pump controllers with DPMCB for single phase 3 HP Compressor pumps</t>
  </si>
  <si>
    <t>Installation of Three Phase Panel board where new electricity connection is required (Excluding Motor Starter)</t>
  </si>
  <si>
    <t>GWDDR364</t>
  </si>
  <si>
    <t>GWDDR365</t>
  </si>
  <si>
    <t>each sample</t>
  </si>
  <si>
    <t>GWDDR366</t>
  </si>
  <si>
    <t>GWDDR367</t>
  </si>
  <si>
    <t xml:space="preserve"> Borewell</t>
  </si>
  <si>
    <t>GWDDR368</t>
  </si>
  <si>
    <t>GWDDR369</t>
  </si>
  <si>
    <t>GWDDR370</t>
  </si>
  <si>
    <t>ARS Filter Media</t>
  </si>
  <si>
    <t>GWDDR371</t>
  </si>
  <si>
    <t>S &amp; F Motor starters of the following ratings Submersible pump controllers with ammeter,DPMCB for single phase 1.5 HP submersible motor pumps (DOL) (90.14.28.12)</t>
  </si>
  <si>
    <t>GWDDR372</t>
  </si>
  <si>
    <t>GWDDR373</t>
  </si>
  <si>
    <t>MR2003</t>
  </si>
  <si>
    <t>GWDDR374</t>
  </si>
  <si>
    <t>Submersible pump controllers with ammeter,DPMCB for single phase 1.5HP submersible motor pumps (DOL)</t>
  </si>
  <si>
    <t>GWDDR375</t>
  </si>
  <si>
    <t>GWDDR376</t>
  </si>
  <si>
    <t>5 hrs</t>
  </si>
  <si>
    <t>Pumping Test</t>
  </si>
  <si>
    <t>GWDDR377</t>
  </si>
  <si>
    <t>GWDDR378</t>
  </si>
  <si>
    <t>GWDDR379</t>
  </si>
  <si>
    <t>PVC Pipes Concealed Work</t>
  </si>
  <si>
    <t>GWDDR380</t>
  </si>
  <si>
    <t xml:space="preserve">Pump Erection </t>
  </si>
  <si>
    <t>Metallic Pump Cover of size 1 x 1 x 0.7 m</t>
  </si>
  <si>
    <t>Borewell submersible pump erection charges upto 3 HP</t>
  </si>
  <si>
    <t>GWDDR381</t>
  </si>
  <si>
    <t>GWDDR382</t>
  </si>
  <si>
    <t xml:space="preserve">40mm Cast Iron Clamp </t>
  </si>
  <si>
    <t>set</t>
  </si>
  <si>
    <t>Surface dressing of the ground including removing vegetation and in-equalities not exceeding 15 cm deep and disposal of rubbish, lead up to 50 m and lift up to 1.5 m. All kinds of soil (Code: 2.28.1)</t>
  </si>
  <si>
    <t>GWDDR383</t>
  </si>
  <si>
    <t>GWDDR384</t>
  </si>
  <si>
    <r>
      <rPr>
        <sz val="11"/>
        <color theme="1"/>
        <rFont val="Cambria"/>
      </rPr>
      <t>m</t>
    </r>
    <r>
      <rPr>
        <vertAlign val="superscript"/>
        <sz val="11"/>
        <color theme="1"/>
        <rFont val="Cambria"/>
      </rPr>
      <t>2</t>
    </r>
  </si>
  <si>
    <t>GWDDR385</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</si>
  <si>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</si>
  <si>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GWDDR386</t>
  </si>
  <si>
    <r>
      <rPr>
        <sz val="11"/>
        <color theme="1"/>
        <rFont val="Cambria"/>
      </rPr>
      <t>m</t>
    </r>
    <r>
      <rPr>
        <vertAlign val="superscript"/>
        <sz val="11"/>
        <color theme="1"/>
        <rFont val="Cambria"/>
      </rPr>
      <t>3</t>
    </r>
  </si>
  <si>
    <t>Providing and laying in position cement concrete of specified grade excluding the cost of centering and shuttering - All work up to plinth level: 1:4:8 (1 cement : 4 coarse sand : 8 graded stone aggregate 40 nominal size) (Code: 4.1.8)</t>
  </si>
  <si>
    <t>GWDDR387</t>
  </si>
  <si>
    <r>
      <rPr>
        <sz val="11"/>
        <color theme="1"/>
        <rFont val="Cambria"/>
      </rPr>
      <t>m</t>
    </r>
    <r>
      <rPr>
        <vertAlign val="superscript"/>
        <sz val="11"/>
        <color theme="1"/>
        <rFont val="Cambria"/>
      </rPr>
      <t>3</t>
    </r>
  </si>
  <si>
    <t>GWDDR388</t>
  </si>
  <si>
    <t>GWDDR389</t>
  </si>
  <si>
    <t>12 mm cement plaster of mix: 1:4 ( 1 cement : 4 fine sand) (Code: 13.1.1)</t>
  </si>
  <si>
    <t>Borewell submersible pump erection charges above 3 h.P. To 7.5 H.P.</t>
  </si>
  <si>
    <t>Basement</t>
  </si>
  <si>
    <t>GWDDR390</t>
  </si>
  <si>
    <t xml:space="preserve">40mm Cast iron Clamp </t>
  </si>
  <si>
    <t>Floor</t>
  </si>
  <si>
    <t>GWDDR391</t>
  </si>
  <si>
    <t>Structural steel work in single section, fixed with or without connecting plate, including cutting, hoisting, fixing in position and applying a priming coat of approved steel primer all complete. (Code: 10.1)</t>
  </si>
  <si>
    <t>S &amp; F Motor starters of the following ratings Submersible pump controllers with ammeter,DPMCB for single phase 2 HP submersible motor pumps (DOL) (90.14.28.13)</t>
  </si>
  <si>
    <t>GWDDR392</t>
  </si>
  <si>
    <t>MS Sq Tube 25mm</t>
  </si>
  <si>
    <t>Front &amp; Back bottom &amp; Top</t>
  </si>
  <si>
    <t>Side top &amp; bottom</t>
  </si>
  <si>
    <t>GWDDR393</t>
  </si>
  <si>
    <t>Front &amp; Back corner vertical</t>
  </si>
  <si>
    <t>MR2004</t>
  </si>
  <si>
    <t>Submersible pump controllers with ammeter,DPMCB for single phase 2 HP submersible motor pumps (DOL)</t>
  </si>
  <si>
    <t>GWDDR394</t>
  </si>
  <si>
    <t>kg/m</t>
  </si>
  <si>
    <t>Electrical Components</t>
  </si>
  <si>
    <t>M.S. Wire mesh (rabbit) (Code: 1220 - Water Charge and CPOH Added)</t>
  </si>
  <si>
    <t>MS Weld Mesh</t>
  </si>
  <si>
    <t>GWDDR395</t>
  </si>
  <si>
    <t>GWDDR396</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</si>
  <si>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</si>
  <si>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GWDDR397</t>
  </si>
  <si>
    <t>Borewell submersible pump erection charges above 7.5 H.P.</t>
  </si>
  <si>
    <t>GWDDR398</t>
  </si>
  <si>
    <t>Providing and fixing bright finished brass butt hinges with necessary screws etc. complete: 50x40x2.5 mm (ordinary type) (Code: 9.72.7)</t>
  </si>
  <si>
    <t>GWDDR399</t>
  </si>
  <si>
    <t>Fitter (grade 1) (Code: 0116 - Water Charge and CPOH Added)</t>
  </si>
  <si>
    <t>GWDDR400</t>
  </si>
  <si>
    <t>Locking Arrangements - Supplying and Fixing lock and locking arrangements with suitable chain hooks,and padlock of 65mm size. (Code: 60.4)</t>
  </si>
  <si>
    <t>GWDDR401</t>
  </si>
  <si>
    <t>Non Index</t>
  </si>
  <si>
    <t>GWDDR402</t>
  </si>
  <si>
    <t>GWDDR403</t>
  </si>
  <si>
    <t>Index TOTAL</t>
  </si>
  <si>
    <t>GWDDR404</t>
  </si>
  <si>
    <t>Compressor pump fitting charge</t>
  </si>
  <si>
    <t>Non Index TOTAL</t>
  </si>
  <si>
    <t>GWDDR405</t>
  </si>
  <si>
    <t>GWDDR406</t>
  </si>
  <si>
    <t>GWDDR407</t>
  </si>
  <si>
    <t>GWDDR408</t>
  </si>
  <si>
    <t>GWDDR409</t>
  </si>
  <si>
    <t>GWDDR410</t>
  </si>
  <si>
    <t>S &amp; F Motor starters of the following ratings Submersible pump controllers with ammeter,TPMCB for three phase 5 to 7.5HP submersible motor pumps (DOL) (90.14.28.14)</t>
  </si>
  <si>
    <t>Borewell submersible pump pullout charges upto 3 HP</t>
  </si>
  <si>
    <t>GWDDR411</t>
  </si>
  <si>
    <t>MR2005</t>
  </si>
  <si>
    <t>Submersible pump controllers with ammeter,DPMCB for single phase 5 - 7.5 HP submersible motor pumps (DOL)</t>
  </si>
  <si>
    <t>GWDDR412</t>
  </si>
  <si>
    <t>GWDDR413</t>
  </si>
  <si>
    <t>GWDDR414</t>
  </si>
  <si>
    <t>GWDDR415</t>
  </si>
  <si>
    <t>GWDDR416</t>
  </si>
  <si>
    <t>GWDDR417</t>
  </si>
  <si>
    <t>GWDDR418</t>
  </si>
  <si>
    <t>GWDDR419</t>
  </si>
  <si>
    <r>
      <rPr>
        <b/>
        <sz val="12"/>
        <color rgb="FF000000"/>
        <rFont val="Cambria"/>
      </rPr>
      <t xml:space="preserve">Providing and fixing PVC moulded fittings/ accessories for Rigid PVC pipes, including jointing with PVC solvent cement - </t>
    </r>
    <r>
      <rPr>
        <b/>
        <sz val="12"/>
        <color rgb="FF000000"/>
        <rFont val="Cambria"/>
      </rPr>
      <t>150</t>
    </r>
    <r>
      <rPr>
        <b/>
        <sz val="12"/>
        <color rgb="FF000000"/>
        <rFont val="Cambria"/>
      </rPr>
      <t xml:space="preserve"> mm dia Bend</t>
    </r>
  </si>
  <si>
    <t>GWDDR420</t>
  </si>
  <si>
    <t>Borewell submersible pump pullout charges above 3 H.P. To 7.5 H.P.</t>
  </si>
  <si>
    <t>Details of cost for one no.</t>
  </si>
  <si>
    <t>GWDDR421</t>
  </si>
  <si>
    <t>GWDDR422</t>
  </si>
  <si>
    <t>MR89</t>
  </si>
  <si>
    <t>PVC bend 150 mm dia</t>
  </si>
  <si>
    <t>GWDDR423</t>
  </si>
  <si>
    <t>GWDDR424</t>
  </si>
  <si>
    <t>GWDDR425</t>
  </si>
  <si>
    <t>GWDDR426</t>
  </si>
  <si>
    <t>GWDDR427</t>
  </si>
  <si>
    <t>GWDDR428</t>
  </si>
  <si>
    <t>GWDDR429</t>
  </si>
  <si>
    <t>Borewell submersible pump pullout charges above 7.5 H.P.</t>
  </si>
  <si>
    <t>S &amp; F Motor starters of the following ratings Submersible pump controllers with ammeter,TPMCB for three phase 10 to 12.5HP submersible motor pumps (DOL) (90.14.28.15)</t>
  </si>
  <si>
    <t>GWDDR430</t>
  </si>
  <si>
    <t>Sundries
Adhesive, and sundries etc.</t>
  </si>
  <si>
    <t>MR2006</t>
  </si>
  <si>
    <t>Submersible pump controllers with ammeter,DPMCB for single phase 10- 12.5 HP submersible motor pumps (DOL)</t>
  </si>
  <si>
    <t>GWDDR431</t>
  </si>
  <si>
    <t>Sundries
Carriage and fixing charges</t>
  </si>
  <si>
    <t>GWDDR432</t>
  </si>
  <si>
    <t>TOTAL (Tools &amp; Plants)</t>
  </si>
  <si>
    <t>GWDDR433</t>
  </si>
  <si>
    <t>GWDDR434</t>
  </si>
  <si>
    <t>GWDDR435</t>
  </si>
  <si>
    <t>GWDDR436</t>
  </si>
  <si>
    <t>GWDDR437</t>
  </si>
  <si>
    <t>Compressor pump detaching charge</t>
  </si>
  <si>
    <t>GWDDR438</t>
  </si>
  <si>
    <t>GWDDR439</t>
  </si>
  <si>
    <t>GWDDR440</t>
  </si>
  <si>
    <t>GWDDR441</t>
  </si>
  <si>
    <r>
      <rPr>
        <b/>
        <sz val="12"/>
        <color rgb="FF000000"/>
        <rFont val="Cambria"/>
      </rPr>
      <t xml:space="preserve">Providing and fixing PVC moulded fittings/accessories for Rigid PVC pipes,including jointing with PVC solvent cement - </t>
    </r>
    <r>
      <rPr>
        <b/>
        <sz val="12"/>
        <color rgb="FF000000"/>
        <rFont val="Cambria"/>
      </rPr>
      <t>90</t>
    </r>
    <r>
      <rPr>
        <b/>
        <sz val="12"/>
        <color rgb="FF000000"/>
        <rFont val="Cambria"/>
      </rPr>
      <t xml:space="preserve"> mm dia Socket/ coupling</t>
    </r>
  </si>
  <si>
    <t>GWDDR442</t>
  </si>
  <si>
    <t>Details of cost for 1.00 no.</t>
  </si>
  <si>
    <t>GWDDR443</t>
  </si>
  <si>
    <t>MR10023</t>
  </si>
  <si>
    <t>PVC Coupling 90mm, 8 kg/cm2</t>
  </si>
  <si>
    <t>GWDDR444</t>
  </si>
  <si>
    <t>GWDDR445</t>
  </si>
  <si>
    <t>GWDDR446</t>
  </si>
  <si>
    <t>GWDDR447</t>
  </si>
  <si>
    <t>Others</t>
  </si>
  <si>
    <t>GWDDR448</t>
  </si>
  <si>
    <t>GWDDR449</t>
  </si>
  <si>
    <t>GWDDR450</t>
  </si>
  <si>
    <t>Sundries
Adhesive, and sundries etc,</t>
  </si>
  <si>
    <t>GWDDR451</t>
  </si>
  <si>
    <t>S &amp; F Motor starters of the following ratings Fully automatic star delta pump starter for three phase 25-30HP Submersible motor (90.14.28.16)</t>
  </si>
  <si>
    <t>GWDDR452</t>
  </si>
  <si>
    <t>HP Erection &amp; Pullout</t>
  </si>
  <si>
    <t>GWDDR453</t>
  </si>
  <si>
    <t>MR2009</t>
  </si>
  <si>
    <t>Fully automatic Star Delta Pump starters for Three phase 25- 30 HP Submersible motor pumps</t>
  </si>
  <si>
    <t>GWDDR454</t>
  </si>
  <si>
    <t>GWDDR455</t>
  </si>
  <si>
    <t>GWDDR456</t>
  </si>
  <si>
    <t>GWDDR457</t>
  </si>
  <si>
    <t>Providing and fixing PVC moulded fitting / accessories for Rigid PVC pipes, including jointing with PVC solvent cement-63 mm dia Socket /coupling (50.18.9.20.9)</t>
  </si>
  <si>
    <t>GWDDR458</t>
  </si>
  <si>
    <t>GWDDR459</t>
  </si>
  <si>
    <t>GWDDR460</t>
  </si>
  <si>
    <r>
      <rPr>
        <b/>
        <sz val="12"/>
        <color rgb="FF000000"/>
        <rFont val="Cambria"/>
      </rPr>
      <t xml:space="preserve">Providing and fixing PVC moulded fittings/accessories for Rigid PVC pipes,including jointing with PVC solvent cement - </t>
    </r>
    <r>
      <rPr>
        <b/>
        <sz val="12"/>
        <color rgb="FF000000"/>
        <rFont val="Cambria"/>
      </rPr>
      <t>140</t>
    </r>
    <r>
      <rPr>
        <b/>
        <sz val="12"/>
        <color rgb="FF000000"/>
        <rFont val="Cambria"/>
      </rPr>
      <t xml:space="preserve"> mm dia Socket/ coupling</t>
    </r>
  </si>
  <si>
    <t>MR65</t>
  </si>
  <si>
    <t>PVC Socket/coupling 63 mm dia</t>
  </si>
  <si>
    <t>GWDDR461</t>
  </si>
  <si>
    <t>MR10025</t>
  </si>
  <si>
    <t>GWDDR462</t>
  </si>
  <si>
    <t>PVC Coupling 140mm, 8 kg/cm2</t>
  </si>
  <si>
    <t>GWDDR463</t>
  </si>
  <si>
    <t>GWDDR464</t>
  </si>
  <si>
    <t>GWDDR465</t>
  </si>
  <si>
    <t>GWDDR466</t>
  </si>
  <si>
    <t>GWDDR467</t>
  </si>
  <si>
    <t>S &amp; F Motor starters of the following ratings Fully automatic star delta pump starter for three phase 15HP Submersible motor (90.14.28.17)</t>
  </si>
  <si>
    <t>MR2007</t>
  </si>
  <si>
    <t>Submersible pump controllers with ammeter,DPMCB for single phase 15 HP submersible motor pumps (DOL)</t>
  </si>
  <si>
    <t>Providing and fixing PVC moulded fittings/ accessories for Rigid PVC pipes, including jointing with PVC solvent cement - 75 mm dia Socket /coupling (50.18.9.21.9)</t>
  </si>
  <si>
    <t>MR75</t>
  </si>
  <si>
    <t>PVC Socket/coupling 75 mm dia</t>
  </si>
  <si>
    <r>
      <rPr>
        <b/>
        <sz val="12"/>
        <color rgb="FF000000"/>
        <rFont val="Cambria"/>
      </rPr>
      <t xml:space="preserve">Providing and fixing PVC moulded fittings/accessories for Rigid PVC pipes,including jointing with PVC solvent cement - </t>
    </r>
    <r>
      <rPr>
        <b/>
        <sz val="12"/>
        <color rgb="FF000000"/>
        <rFont val="Cambria"/>
      </rPr>
      <t>160</t>
    </r>
    <r>
      <rPr>
        <b/>
        <sz val="12"/>
        <color rgb="FF000000"/>
        <rFont val="Cambria"/>
      </rPr>
      <t xml:space="preserve"> mm dia Socket/ coupling</t>
    </r>
  </si>
  <si>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</si>
  <si>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MR10026</t>
  </si>
  <si>
    <t>PVC Coupling 160mm, 8 kg/cm2</t>
  </si>
  <si>
    <t>Details of cost for 10 meter</t>
  </si>
  <si>
    <t>MR38</t>
  </si>
  <si>
    <t>PVC pipe 15 mm outer dia. 12kgf/cm2 
(Adding 30% for fittings and wastage)</t>
  </si>
  <si>
    <t>Providing and fixing PVC moulded fittings/accessories for Rigid PVC pipes,including jointing with PVC solvent cement - 110 mm dia Socket/ coupling (50.18.9.22.11)</t>
  </si>
  <si>
    <t>MR87</t>
  </si>
  <si>
    <t>PVC Socket/coupling 110 mm dia</t>
  </si>
  <si>
    <t>Rate as per item Number 18.78 of SH: Water Supply
Water Supply : Making chases up to 7.5x7.5 cm in walls including making good and finishing with matching surface after housing G.Il pipe etc.
Making chases up to 7.5x7.5 cm in walls</t>
  </si>
  <si>
    <t>S &amp; F Motor starters of the following ratings Fully automatic star delta pump starter for three phase 20HP Submersible motor (90.14.28.18)</t>
  </si>
  <si>
    <t>MR2008</t>
  </si>
  <si>
    <t>Fully automatic Star Delta Pump starters for Three phase 20 HP Submersible motor pumps</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</si>
  <si>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</si>
  <si>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</si>
  <si>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</si>
  <si>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Providing and fixing PVC moulded fittings/ accessories for Rigid PVC pipes, including jointing with PVC solvent cement - 63 mm dia Bend (50.18.9.20.4)</t>
  </si>
  <si>
    <r>
      <rPr>
        <b/>
        <sz val="12"/>
        <color rgb="FF000000"/>
        <rFont val="Cambria"/>
      </rPr>
      <t xml:space="preserve">Providing and fixing PVC moulded fittings/accessories for Rigid PVC pipes,including jointing with PVC solvent cement - </t>
    </r>
    <r>
      <rPr>
        <b/>
        <sz val="12"/>
        <color rgb="FF000000"/>
        <rFont val="Cambria"/>
      </rPr>
      <t>180</t>
    </r>
    <r>
      <rPr>
        <b/>
        <sz val="12"/>
        <color rgb="FF000000"/>
        <rFont val="Cambria"/>
      </rPr>
      <t xml:space="preserve"> mm dia Socket/ coupling</t>
    </r>
  </si>
  <si>
    <t>MR60</t>
  </si>
  <si>
    <t>PVC bend 63 mm dia</t>
  </si>
  <si>
    <t>MR10027</t>
  </si>
  <si>
    <t>PVC Coupling 180mm, 8 kg/cm2</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</si>
  <si>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</si>
  <si>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Providing and fixing PVC moulded fittings/ accessories for Rigid PVC pipes, including jointing with PVC solvent cement - 75 mm dia Bend (50.18.9.21.4)</t>
  </si>
  <si>
    <t>MR40</t>
  </si>
  <si>
    <t>PVC pipe 20 mm outer dia 12 kgf/cm2
(Adding 30% for fittings wastage)</t>
  </si>
  <si>
    <t>MR70</t>
  </si>
  <si>
    <t>PVC bend 75 mm dia</t>
  </si>
  <si>
    <r>
      <rPr>
        <b/>
        <sz val="12"/>
        <color rgb="FF000000"/>
        <rFont val="Cambria"/>
      </rPr>
      <t xml:space="preserve">Providing and fixing PVC moulded fittings/accessories for Rigid PVC pipes,including jointing with PVC solvent cement - </t>
    </r>
    <r>
      <rPr>
        <b/>
        <sz val="12"/>
        <color rgb="FF000000"/>
        <rFont val="Cambria"/>
      </rPr>
      <t>200</t>
    </r>
    <r>
      <rPr>
        <b/>
        <sz val="12"/>
        <color rgb="FF000000"/>
        <rFont val="Cambria"/>
      </rPr>
      <t xml:space="preserve"> mm dia Socket/ coupling</t>
    </r>
  </si>
  <si>
    <t>MR10028</t>
  </si>
  <si>
    <t>PVC Coupling 200mm, 8 kg/cm2</t>
  </si>
  <si>
    <t>Providing and fixing PVC moulded fittings/ accessories for Rigid PVC pipes, including jointing with PVC solvent cement- 110 mm dia Bend (50.18.9.22.4)</t>
  </si>
  <si>
    <t>MR80</t>
  </si>
  <si>
    <t>PVC bend 110 mm dia</t>
  </si>
  <si>
    <r>
      <rPr>
        <b/>
        <sz val="12"/>
        <color rgb="FF000000"/>
        <rFont val="Cambria"/>
      </rPr>
      <t xml:space="preserve">Providing and fixing PVC moulded fittings/accessories for Rigid PVC pipes,including jointing with PVC solvent cement - </t>
    </r>
    <r>
      <rPr>
        <b/>
        <sz val="12"/>
        <color rgb="FF000000"/>
        <rFont val="Cambria"/>
      </rPr>
      <t>250</t>
    </r>
    <r>
      <rPr>
        <b/>
        <sz val="12"/>
        <color rgb="FF000000"/>
        <rFont val="Cambria"/>
      </rPr>
      <t xml:space="preserve"> mm dia Socket/ coupling</t>
    </r>
  </si>
  <si>
    <t>MR10029</t>
  </si>
  <si>
    <t>PVC Coupling 250mm, 8 kg/cm2</t>
  </si>
  <si>
    <t>Providing and fixing PVC moulded fittings/ accessories for Rigid PVC pipes, including jointing with PVC solvent cement -63x63x63 mm dia Tee (50.18.9.20.5)</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</si>
  <si>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</si>
  <si>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MR61</t>
  </si>
  <si>
    <t>PVC Tee 63x63x63 mm dia</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</si>
  <si>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</si>
  <si>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MR41</t>
  </si>
  <si>
    <t>PVC pipe 20 mm outer dia 10 kgf/cm2
(Adding 30% for fittings wastage)</t>
  </si>
  <si>
    <t>PVC pipe 15 mm outer dia. 12kgf/cm2</t>
  </si>
  <si>
    <r>
      <rPr>
        <b/>
        <sz val="12"/>
        <color rgb="FF000000"/>
        <rFont val="Cambria"/>
      </rPr>
      <t xml:space="preserve">Providing and fixing PVC moulded fittings/accessories for Rigid PVC pipes,including jointing with PVC solvent cement - </t>
    </r>
    <r>
      <rPr>
        <b/>
        <sz val="12"/>
        <color rgb="FF000000"/>
        <rFont val="Cambria"/>
      </rPr>
      <t>280</t>
    </r>
    <r>
      <rPr>
        <b/>
        <sz val="12"/>
        <color rgb="FF000000"/>
        <rFont val="Cambria"/>
      </rPr>
      <t xml:space="preserve"> mm dia Socket/ coupling</t>
    </r>
  </si>
  <si>
    <t>Sundries
Adhesive, and sundries etc</t>
  </si>
  <si>
    <t>MR10030</t>
  </si>
  <si>
    <t>PVC Coupling 280mm, 8 kg/cm2</t>
  </si>
  <si>
    <t>Providing and fixing PVC moulded fittings/ accessories for Rigid PVC pipes, including jointing with PVC solvent cement -75x75x75 mm dia Tee (50.18.9.21.5)</t>
  </si>
  <si>
    <t>MR71</t>
  </si>
  <si>
    <t>PVC Tee 75x75x75 mm dia</t>
  </si>
  <si>
    <t>Sundries
Adhesive and sundries etc.</t>
  </si>
  <si>
    <t>Providing and fixing PVC moulded fittings / accessories for Rigid PVC pipes, including jointing with PVC solvent cement - 140 mm dia Elbow</t>
  </si>
  <si>
    <t>PVC Elbow 140 mm dia</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</si>
  <si>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</si>
  <si>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Providing and fixing PVC moulded fittings/ accessories for Rigid PVC pipes including jointing with PVC solvent cement 110x110x110 mm dia Tee (50.18.9.22.5)</t>
  </si>
  <si>
    <t>Details of cost for 1 no.</t>
  </si>
  <si>
    <t>MR81</t>
  </si>
  <si>
    <t>PVC Tee 110x110x110mm dia</t>
  </si>
  <si>
    <t>PVC pipe 15 mm outer dia 10kgf/cm2
(Adding 15%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</si>
  <si>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</si>
  <si>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</si>
  <si>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</si>
  <si>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</si>
  <si>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moulded fittings/ accessories for Rigid PVC pipes, including jointing with PVC solvent cement -63x63x63 mm dia Door Tee (50.18.9.20.6)</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</si>
  <si>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</si>
  <si>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Details of cost for 10.00 meter</t>
  </si>
  <si>
    <t>Sundries
Adhesive and sundries etc</t>
  </si>
  <si>
    <t>MR62</t>
  </si>
  <si>
    <t>PVC Door Tee 63x63x63 mm dia</t>
  </si>
  <si>
    <t>PVC pipe 140 mm outer dia 6kgf/cm2
(5% added for wastage etc)</t>
  </si>
  <si>
    <t>Bandhani</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</si>
  <si>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</si>
  <si>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Sundries
Carriage of materials</t>
  </si>
  <si>
    <t>Sundries
Scaffolding etc.</t>
  </si>
  <si>
    <t>Providing and fixing PVC moulded fittings/ accessories for Rigid PVC pipes, including jointing with PVC solvent cement -75x75x75 mm dia Door Tee (50.18.9.21.6)</t>
  </si>
  <si>
    <t>PVC pipe 20 mm outer dia 12 kgf/cm2
(Adding 15% for fittings wastage)</t>
  </si>
  <si>
    <t>T3</t>
  </si>
  <si>
    <t>MR72</t>
  </si>
  <si>
    <t>PVC Door Tee 75x75x75 mm dia</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</si>
  <si>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</si>
  <si>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MR10213</t>
  </si>
  <si>
    <t>PVC pipe 90 mm outer dia 6kgf/cm2
(5% added for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</si>
  <si>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</si>
  <si>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Providing and fixing PVC moulded fittings/ accessories for Rigid PVC pipes including jointing with PVC solvent cement 110x110x110 mm dia Door Tee (50.18.9.22.6)</t>
  </si>
  <si>
    <t>MR82</t>
  </si>
  <si>
    <t>PVC Door Tee 110x110x110mm dia</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</si>
  <si>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</si>
  <si>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</si>
  <si>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</si>
  <si>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20 mm outer dia 10 kgf/cm2
(Adding 15% for fittings wastage)</t>
  </si>
  <si>
    <t>Providing and fixing PVC moulded fittings/ accessories for Rigid PVC pipes including jointing with PVC solvent cement 110x110x75 mm dia Door Tee (50.18.9.22.7)</t>
  </si>
  <si>
    <t>MR83</t>
  </si>
  <si>
    <t>PVC Door Tee 110x110x75mm dia</t>
  </si>
  <si>
    <t>PVC Pipe Without Trenching</t>
  </si>
  <si>
    <t>Providing and fixing PVC pipes includes jointing of pipes with one step PVC solvent cement &amp; testing of joints complete as per direction of Engineer in Charge. 20 mm dia 10KGF/cm2</t>
  </si>
  <si>
    <t>PVC pipe 20 mm outer dia. 10kgf cm2</t>
  </si>
  <si>
    <t>Providing and fixing PVC moulded fittings/accessories for Rigid PVC pipes, including jointing with PVC solvent cement -63 mm dia Elbow (50.18.9.20.1)</t>
  </si>
  <si>
    <t>Details of cost for 1. no</t>
  </si>
  <si>
    <t>MR57</t>
  </si>
  <si>
    <t>PVC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</si>
  <si>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</si>
  <si>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</si>
  <si>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</si>
  <si>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</si>
  <si>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</si>
  <si>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pipes includes jointing of pipes with one step PVC solvent cement &amp; testing of joints complete as per direction of Engineer in Charge. 25 mm dia 10KGF/cm2</t>
  </si>
  <si>
    <t>PVC pipe 25 mm outer dia. 10kgf cm2</t>
  </si>
  <si>
    <t>Providing and fixing PVC moulded fittings/accessories for Rigid PVC pipes, including jointing with PVC solvent cement -63 mm dia 45 degree Elbow (50.18.9.20.2)</t>
  </si>
  <si>
    <t>MR58</t>
  </si>
  <si>
    <t>PVC 45 degree Elbow 63 mm dia</t>
  </si>
  <si>
    <t>Providing and fixing PVC pipes includes jointing of pipes with one step PVC solvent cement &amp; testing of joints complete as per direction of Engineer in Charge. 32 mm dia 10KGF/cm2</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</si>
  <si>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</si>
  <si>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</si>
  <si>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Providing and fixing PVC moulded fittings/accessories for Rigid PVC pipes, including jointing with PVC solvent cement -63 mm dia Door Elbow (50.18.9.20.3)</t>
  </si>
  <si>
    <t>PVC pipe 25 mm outer dia. 10kgf cm2
(Adding 15% for fittings and wastage)</t>
  </si>
  <si>
    <t>MR59</t>
  </si>
  <si>
    <t>PVC Door Elbow 63 mm dia</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</si>
  <si>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</si>
  <si>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</si>
  <si>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</si>
  <si>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</si>
  <si>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</si>
  <si>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includes jointing of pipes with one step PVC solvent cement &amp; testing of joints complete as per direction of Engineer in Charge. 40 mm dia 6 KGF/cm2</t>
  </si>
  <si>
    <t>Providing and fixing PVC moulded fittings/accessories for Rigid PVC pipes, including jointing with PVC solvent cement -75 mm dia Elbow (50.18.9.21.1)</t>
  </si>
  <si>
    <t>MR47</t>
  </si>
  <si>
    <t>PVC pipe 40 mm outer dia. 6kgf cm2</t>
  </si>
  <si>
    <t>MR67</t>
  </si>
  <si>
    <t>PVC Elbow 75 mm dia</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</si>
  <si>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</si>
  <si>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Providing and fixing PVC pipes includes jointing of pipes with one step PVC solvent cement &amp; testing of joints complete as per direction of Engineer in Charge. 40 mm dia 10 KGF/cm2</t>
  </si>
  <si>
    <t>PVC pipe 32 mm outer dia. 10Kgf/cm2
Add 15% for fittings and wastage etc</t>
  </si>
  <si>
    <t>MR46</t>
  </si>
  <si>
    <t>PVC pipe 40 mm outer dia. 10kgf cm2</t>
  </si>
  <si>
    <t>Providing and fixing PVC moulded fittings/accessories for Rigid PVC pipes, including jointing with PVC solvent cement -75 mm dia 45 degree Elbow (50.18.9.21.2)</t>
  </si>
  <si>
    <t>MR68</t>
  </si>
  <si>
    <t>PVC 45 degree Elbow 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</si>
  <si>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</si>
  <si>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</si>
  <si>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PVC pipe 40 mm outer dia. 10kgf/cm2
Add 30% for fitting and wastage etc on (A)</t>
  </si>
  <si>
    <t>Providing and fixing PVC pipes includes jointing of pipes with one step PVC solvent cement &amp; testing of joints complete as per direction of Engineer in Charge. 50 mm dia 6 KGF/cm2</t>
  </si>
  <si>
    <t>MR49</t>
  </si>
  <si>
    <t>PVC pipe 50 mm outer dia. 6kgf cm2</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</si>
  <si>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</si>
  <si>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</si>
  <si>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</si>
  <si>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 50 mm dia 10 KGF/cm2</t>
  </si>
  <si>
    <t>MR48</t>
  </si>
  <si>
    <t>PVC pipe 50mm outer dia.10kgf cm2</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</si>
  <si>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</si>
  <si>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Providing and fixing PVC moulded fittings / accessories for Rigid PVC pipes, including jointing with PVC solvent cement - 110 mm dia Elbow (50.18.9.22.1)</t>
  </si>
  <si>
    <t>PVC pipe 40 mm outer dia. 10kgf/cm2
Add 15% for fitting and wastage etc on (A)</t>
  </si>
  <si>
    <t>MR77</t>
  </si>
  <si>
    <t>PVC Elbow 110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</si>
  <si>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</si>
  <si>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PVC pipe 40 mm outer dia. 6kgf/cm2
Add 30% for fitting and wastage etc on (A)</t>
  </si>
  <si>
    <t>Providing and fixing PVC pipes includes jointing of pipes with one step PVC solvent cement &amp; testing of joints complete as per direction of Engineer in Charge.63 mm dia 6 KGF/cm2</t>
  </si>
  <si>
    <t>MR50</t>
  </si>
  <si>
    <t>PVC pipe 63 mm outer dia. 6kgf cm2</t>
  </si>
  <si>
    <t>Providing and fixing PVC moulded fittings / accessories for Rigid PVC pipes, including jointing with PVC solvent cement - 110 mm dia 45 degree Elbow (50.18.9.22.2)</t>
  </si>
  <si>
    <t>MR78</t>
  </si>
  <si>
    <t>PVC 45 degree Elbow 110 mm dia</t>
  </si>
  <si>
    <t>Providing and fixing PVC pipes includes jointing of pipes with one step PVC solvent cement &amp; testing of joints complete as per direction of Engineer in Charge.75 mm dia 6 KGF/cm2</t>
  </si>
  <si>
    <t>MR52</t>
  </si>
  <si>
    <t>PVC pipe 75 mm outer dia. 6kgf 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</si>
  <si>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</si>
  <si>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</si>
  <si>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PVC pipe 40 mm outer dia. 6kgf/cm2
Add 15% for fitting and wastage etc on (A)</t>
  </si>
  <si>
    <t>PVC pipe 50 mm outer dia. 10 kgf/cm2
(Adding 30% for fittings and wastage)</t>
  </si>
  <si>
    <t>Providing and fixing PVC moulded fittings / accessories for Rigid PVC pipes, including jointing with PVC solvent cement - 110 mm Door Elbow (50.18.9.22.3)</t>
  </si>
  <si>
    <t>MR79</t>
  </si>
  <si>
    <t>PVC Door Elbow 110 mm dia</t>
  </si>
  <si>
    <t>Providing and fixing PVC pipes includes jointing of pipes with one step PVC solvent cement &amp; testing of joints complete as per direction of Engineer in Charge.110 mm dia 6 KGF/cm2</t>
  </si>
  <si>
    <t>MR54</t>
  </si>
  <si>
    <t>PVC pipe 110 mm outer dia. 6kgf cm2</t>
  </si>
  <si>
    <t>Providing and fixing PVC moulded fittings/ accessories for Rigid PVC pipes, including jointing with PVC solvent cement - 63 mm dia End cap (50.18.9.20.8)</t>
  </si>
  <si>
    <t>Providing and fixing PVC pipes includes jointing of pipes with one step PVC solvent cement &amp; testing of joints complete as per direction of Engineer in Charge.150 mm dia 6 KGF/cm2</t>
  </si>
  <si>
    <t>MR64</t>
  </si>
  <si>
    <t>PVC end cap 63 mm dia</t>
  </si>
  <si>
    <t>MR56</t>
  </si>
  <si>
    <t>PVC pipe 150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</si>
  <si>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</si>
  <si>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PVC pipe 50 mm outer dia.6kgf/cm2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</si>
  <si>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</si>
  <si>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PVC pipe 50 mm outer dia. 10 kgf/cm2
(15% added for fittings and wastage etc)</t>
  </si>
  <si>
    <t>Providing and fixing PVC moulded fittings/ accessories for Rigid PVC pipes, including jointing with PVC solvent cement -75 mm dia End cap (50.18.9.21.8)</t>
  </si>
  <si>
    <t>Providing and fixing PVC pipes includes jointing of pipes with one step PVC solvent cement &amp; testing of joints complete as per direction of Engineer in Charge. 140 mm dia 6 KGF/cm2</t>
  </si>
  <si>
    <t>MR74</t>
  </si>
  <si>
    <t>PVC end cap 75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</si>
  <si>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</si>
  <si>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pipe 63 mm outer dia 6kgf/cm2
(Adding 5% for wastage, etc)</t>
  </si>
  <si>
    <t>Providing and fixing PVC pipes includes jointing of pipes with one step PVC solvent cement &amp; testing of joints complete as per direction of Engineer in Charge.63 mm dia 10 KGF/cm2</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</si>
  <si>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</si>
  <si>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</si>
  <si>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</si>
  <si>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PVC pipe 50 mm outer dia.6kgf/cm2
(15% added for fittings and wastage etc)</t>
  </si>
  <si>
    <t>MR10234</t>
  </si>
  <si>
    <t>Providing and fixing PVC moulded fittings/accessories for Rigid PVC pipes, including jointing with PVC solvent cement -110 mm dia End Cap (50.18.9.22.10)</t>
  </si>
  <si>
    <t>PVC Pipe, 10kg/cm2, 63mm Dia.</t>
  </si>
  <si>
    <t>MR86</t>
  </si>
  <si>
    <t>PVC end cap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</si>
  <si>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</si>
  <si>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</si>
  <si>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</si>
  <si>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includes jointing of pipes with one step PVC solvent cement &amp; testing of joints complete as per direction of Engineer in Charge.90 mm dia 10 KGF/cm2</t>
  </si>
  <si>
    <t>₹65.81 no</t>
  </si>
  <si>
    <t>MR10236</t>
  </si>
  <si>
    <t>PVC Pipe, 10kg/cm2, 90mm Dia.</t>
  </si>
  <si>
    <t>Providing and fixing PVC moulded fittings/ accessories for Rigid PVC pipes, including jointing with PVC solvent cement - 63x50 mm dia Reducer (50.18.9.20.10)</t>
  </si>
  <si>
    <t>MR66</t>
  </si>
  <si>
    <t>PVC Reducer 63x50 mm dia</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</si>
  <si>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</si>
  <si>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</si>
  <si>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</si>
  <si>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PVC pipe 15 mm outer dia. 12kgf/cm2
(Adding 15% for fittings and wastage)</t>
  </si>
  <si>
    <t>PVC pipe 75 mm outer dia 6kgf/cm2
(Adding 5% for wastage, etc)</t>
  </si>
  <si>
    <t>Providing and fixing PVC pipes includes jointing of pipes with one step PVC solvent cement &amp; testing of joints complete as per direction of Engineer in Charge.90 mm dia 6 KGF/cm2</t>
  </si>
  <si>
    <t>PVC Pipe, 6kg/cm2, 90mm Dia.</t>
  </si>
  <si>
    <t>Providing and fixing PVC moulded fittings/ accessories for Rigid PVC pipes, including jointing with PVC solvent cement - 75x63 mm dia Reducer (50.18.9.21.10)</t>
  </si>
  <si>
    <t>MR76</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</si>
  <si>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</si>
  <si>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PVC Reducer 75x63 mm dia</t>
  </si>
  <si>
    <t>MR53</t>
  </si>
  <si>
    <t>PVC pipe 75 mm outer dia 4 kgf/cm2
(Adding 5% for wastage, etc)</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</si>
  <si>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</si>
  <si>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</si>
  <si>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</si>
  <si>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pipes including jointing of pipes with one step PVC solvent cement, trenching, refilling &amp; testing of joints complete as per direction of Engineer in Charge 15 mm dia 12kgf/cm2 (50.18.9.1.1)</t>
  </si>
  <si>
    <t>Providing and fixing PVC moulded fittings/ accessories for Rigid PVC pipes, including jointing with PVC solvent cement - 110x75 mm dia Reducer (50.18.9.22.12)</t>
  </si>
  <si>
    <t>Details of cost for 10.00 m</t>
  </si>
  <si>
    <t>MR88</t>
  </si>
  <si>
    <t>PVC Reducer 110x75 mm dia</t>
  </si>
  <si>
    <t>PVC pipe 15 mm outer dia. 12kgf/cm2
Add 15% for fittings and wastage etc.on (A)</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</si>
  <si>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</si>
  <si>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Beldar
Trenching and refilling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</si>
  <si>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</si>
  <si>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L4</t>
  </si>
  <si>
    <t>TOTAL (Labour)</t>
  </si>
  <si>
    <t>PVC pipe 110 mm outer dia. 4kgf/cm2
(Adding 5% for wastage, etc)</t>
  </si>
  <si>
    <t>PVC Pipe With Trenching</t>
  </si>
  <si>
    <t>Providing and fixing PVC pipes includes jointing of pipes with one step PVC solvent cement, trenching, refilling &amp; testing of joints complete as per direction of Engineer in Charge. 140 mm dia 6 KGF/cm2</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</si>
  <si>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</si>
  <si>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</si>
  <si>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</si>
  <si>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Trenching and refilling etc.</t>
  </si>
  <si>
    <t>Beldar
Trenching and refilling etc</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</si>
  <si>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</si>
  <si>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</si>
  <si>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</si>
  <si>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</si>
  <si>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</si>
  <si>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</si>
  <si>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</si>
  <si>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</si>
  <si>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</si>
  <si>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4</t>
  </si>
  <si>
    <t>Geophysical Logging</t>
  </si>
  <si>
    <t>5</t>
  </si>
  <si>
    <t>110mm (4.5") Borewell Drilling</t>
  </si>
  <si>
    <t>6</t>
  </si>
  <si>
    <t>150mm (6") Borewell Drilling</t>
  </si>
  <si>
    <t>7</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</si>
  <si>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</si>
  <si>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</si>
  <si>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</si>
  <si>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</si>
  <si>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</si>
  <si>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</si>
  <si>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</si>
  <si>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</si>
  <si>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</si>
  <si>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</si>
  <si>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</si>
  <si>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</si>
  <si>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</si>
  <si>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</si>
  <si>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</si>
  <si>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</si>
  <si>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</si>
  <si>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</si>
  <si>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</si>
  <si>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</si>
  <si>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</si>
  <si>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</si>
  <si>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</si>
  <si>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</si>
  <si>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</si>
  <si>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</si>
  <si>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21</t>
  </si>
  <si>
    <t>150mm (6") Borewell Drilling with Subsidy</t>
  </si>
  <si>
    <t>22</t>
  </si>
  <si>
    <t>150mm (6") Tubewell Drilling with Subsidy</t>
  </si>
  <si>
    <t>23</t>
  </si>
  <si>
    <t>Tubewell Drilling 200mm (8") with Subsidy</t>
  </si>
  <si>
    <t>24</t>
  </si>
  <si>
    <t>Water Quality Testing</t>
  </si>
  <si>
    <t>25</t>
  </si>
  <si>
    <t>Water Quality Testing Including Bacteriology</t>
  </si>
  <si>
    <t>Providing and fixing PVC pipes includes jointing of pipes with one step PVC solvent cement, trenching, refilling &amp; testing of joints complete as per direction of Engineer in Charge. 63 mm dia 10 KGF/cm2</t>
  </si>
  <si>
    <t>26</t>
  </si>
  <si>
    <t>Slotting charge for 3m pipe, net, rope, pipe fittings and sundries for Filter Point Well Construction</t>
  </si>
  <si>
    <t>Providing and fixing PVC pipes including jointing of pipes with one step PVC solvent cement, trenching, refilling &amp; testing of joints as per direction of Engineer in Charge.20 mm dia 12 Kgf/cm2 (50.18.9.2.1)</t>
  </si>
  <si>
    <t>Sundries
Adhesive and sundries</t>
  </si>
  <si>
    <t>PVC pipe 20 mm outer dia 12 kgf/cm2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</si>
  <si>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</si>
  <si>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</si>
  <si>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MR750</t>
  </si>
  <si>
    <t>22/0.30 sqmm three core ISI Marked FR LS PVC sheathed flat copper conductor cable</t>
  </si>
  <si>
    <t>Wastage @ 5% of :(M1)</t>
  </si>
  <si>
    <t>MR719</t>
  </si>
  <si>
    <t>Wireman Helper</t>
  </si>
  <si>
    <t>Hire charges for T &amp; P @ 2% of :(M1+L2+A1)</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</si>
  <si>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</si>
  <si>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</si>
  <si>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pipes includes jointing of pipes with one step PVC solvent cement, trenching, refilling &amp; testing of joints complete as per direction of Engineer in Charge. 90 mm dia 10 KGF/cm2</t>
  </si>
  <si>
    <t>Hire charges for T &amp; P @ 2% of :(L1)</t>
  </si>
  <si>
    <t>A3</t>
  </si>
  <si>
    <t>PVC Pipe, 10kg/cm2, 90mm Dia</t>
  </si>
  <si>
    <t>Providing and fixing PVC pipes including of pipes with one step PVC solvent cement, trenching, refilling &amp; testing of joints complete as per direction of Engineer in Charge. 20 mm dia 10 Kgf/cm2 (50.18.9.2.2)</t>
  </si>
  <si>
    <t>Supply and drawing FRLS PVC insulated &amp; sheathed 650/1100 V grade 3 core copper conductor flat cable for submersible pump motor conforming to IS 694 part I 1990 as required including giving necessary connections of the following sizes. 2.50 sq mm (90.6.6.2)</t>
  </si>
  <si>
    <t>PVC pipe 20 mm outer dia 10 kgf/cm2
Add 15% for fittings and wastage etc. on (A)</t>
  </si>
  <si>
    <t>MR751</t>
  </si>
  <si>
    <t>36/0.30 sqmm three core ISI Marked FR LS PVC sheathed flat copper conductor cable</t>
  </si>
  <si>
    <t>Providing and fixing PVC pipes includes jointing of pipes with one step PVC solvent cement, trenching, refilling &amp; testing of joints complete as per direction of Engineer in Charge. 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</si>
  <si>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</si>
  <si>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</si>
  <si>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Providing and fixing PVC pipes including jointing of pipes with one step PVC solvent cement, trenching, refilling &amp; testing of joints complete as per direction of Engineer in Charge 25 mm dia 12kgf/cm2 (50.18.9.3.1)</t>
  </si>
  <si>
    <t>PVC pipe 25 mm outer dia . 12 kgf/cm2
Add 15% for fittings and wastage etc.on(A)</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</si>
  <si>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</si>
  <si>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</si>
  <si>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</si>
  <si>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Sundries
Scaffolding etc</t>
  </si>
  <si>
    <t>Providing and fixing PVC pipes includes jointing of pipes with one step PVC solvent cement, trenching, refilling &amp; testing of joints complete as per direction of Engineer in Charge. 25 mm dia 10KGF/cm2 (50.18.9.3.2)</t>
  </si>
  <si>
    <t>PVC pipe 25 mm outer dia. 10kgf cm2
Add 15% for fittings and wastage etc. on (A)</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</si>
  <si>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</si>
  <si>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</si>
  <si>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</si>
  <si>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</si>
  <si>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</si>
  <si>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</si>
  <si>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</si>
  <si>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</si>
  <si>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</si>
  <si>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</si>
  <si>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</si>
  <si>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</si>
  <si>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</si>
  <si>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</si>
  <si>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</si>
  <si>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</si>
  <si>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</si>
  <si>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</si>
  <si>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</si>
  <si>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</si>
  <si>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</si>
  <si>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Supply and drawing FRLS PVC insulated &amp; sheathed 650/1100 V grade 3 core copper conductor flat cable for submersible pump motor conforming to IS 694 part I 1990 as required including giving necessary connections of the following sizes. 6 sq mm (90.6.6.4)</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</si>
  <si>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</si>
  <si>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MR753</t>
  </si>
  <si>
    <t>85/0.30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</si>
  <si>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</si>
  <si>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</si>
  <si>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</si>
  <si>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</si>
  <si>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</si>
  <si>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Hire charges for T &amp; P @ 1% of :(M1+L2+A1)</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</si>
  <si>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</si>
  <si>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</si>
  <si>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Providing and fixing PVC pipes including jointing of pipes with one step PVC solvent cement, trenching, refilling &amp; testing of joints complete as per direction of Engineer in Charge.32 mm dia 10.Kgf/cm2 (50.18.9.4.1)</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</si>
  <si>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</si>
  <si>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 .00 metre.</t>
  </si>
  <si>
    <t>Details of cost for 10.00 metre.</t>
  </si>
  <si>
    <t>PVC pipe 32 mm outer dia. 10Kgf/cm2
Add 15% for fittings and wastage etc. on (A)</t>
  </si>
  <si>
    <t>PVC pipe 32 mm outer dia 6Kgf/cm2
Add 15% for fitting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</si>
  <si>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</si>
  <si>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MR827</t>
  </si>
  <si>
    <t>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</si>
  <si>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</si>
  <si>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</si>
  <si>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</si>
  <si>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</si>
  <si>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MR828</t>
  </si>
  <si>
    <t>10 sqmm 2 core PVC/XLPE insulated armoured cable with copper conductors for working Voltages up to and including 1100 volts conforming IS 1584/part I/ 1988 for PVC IS 7098 part I for XLPE</t>
  </si>
  <si>
    <t>Providing and fixing PVC pipes including joints of pipes with one step PVC solvent cement, trenching, refilling &amp; testing of joints complete as per direction of Engineer in Charge. 32 mm dia 6 Kgf/cm2 (50.18.9.4.2)</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</si>
  <si>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</si>
  <si>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Details of cost for 10.00 metre</t>
  </si>
  <si>
    <t>PVC pipe 32 mm outer dia 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</si>
  <si>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</si>
  <si>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</si>
  <si>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</si>
  <si>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16 sq mm (90.6.6.6)</t>
  </si>
  <si>
    <t>MR755</t>
  </si>
  <si>
    <t>225/0.30 sqmm three core ISI Marked FR LS PVC sheathed flat copper conductor cable</t>
  </si>
  <si>
    <t>Providing and fixing PVC pipes including jointing of pipes with one step PVC solvent cement, trenching refilling &amp; testing of joints complete as per direction of Engineer in Charge 40 mm dia 10Kgf/cm2 (50.18.9.5.1)</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</si>
  <si>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</si>
  <si>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PVC pipe 40 mm outer dia. 10kgf/cm2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</si>
  <si>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</si>
  <si>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</si>
  <si>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4 sqmm 3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</si>
  <si>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25 sq mm (90.6.6.7)</t>
  </si>
  <si>
    <t>MR756</t>
  </si>
  <si>
    <t>354/.300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</si>
  <si>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</si>
  <si>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</si>
  <si>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</si>
  <si>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compete as per direction of Engineer in Charge. 40 mm dia 6 Kgf/cm2 (50.18.9.5.2)</t>
  </si>
  <si>
    <t>PVC pipe 40 mm outer dia. 6kgf/cm2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</si>
  <si>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</si>
  <si>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Supply and drawing FRLS PVC insulated &amp; sheathed 650/1100 V grade 3 core copper conductor flat cable for submersible pump motor conforming to IS 694 part I 1990 as required including giving necessary connections of the following sizes. 35 sq mm (90.6.6.8)</t>
  </si>
  <si>
    <t>MR757</t>
  </si>
  <si>
    <t>495/0.30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</si>
  <si>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</si>
  <si>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</si>
  <si>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</si>
  <si>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</si>
  <si>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</si>
  <si>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</si>
  <si>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</si>
  <si>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Providing and fixing Water meter for Rigid PVC pipes, including jointing with PVC solvent cement-15 mm water meter</t>
  </si>
  <si>
    <t>MR833</t>
  </si>
  <si>
    <t>16 sqmm 3 core PVC/XLPE insulated armoured cable with copper conductors for working Voltages up to and including 1100 volts conforming IS 1584/part I/ 1988 for PVC IS 7098 part I for XLPE</t>
  </si>
  <si>
    <t>MR11005</t>
  </si>
  <si>
    <t>Water Meter, Indian Standard, Class B, Multijet, 15mm ( ½")</t>
  </si>
  <si>
    <t>Providing and fixing PVC pipes including jointing of pipes with one step PVC solvent cement, trenching, refilling &amp; testing of joints complete as per direction of Engineer in Charge. 50 mm dia 6 Kgf/cm2 (50.18.9.6.2)</t>
  </si>
  <si>
    <t>PVC pipe 50 mm outer dia.6kgf/cm2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</si>
  <si>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</si>
  <si>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</si>
  <si>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</si>
  <si>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</si>
  <si>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</si>
  <si>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Providing and fixing Water meter for Rigid PVC pipes, including jointing with PVC solvent cement-20 mm water meter</t>
  </si>
  <si>
    <t>MR11006</t>
  </si>
  <si>
    <t>Water Meter, Indian Standard, Class B, Multijet, 20mm ( ¾" )</t>
  </si>
  <si>
    <t>Providing and fixing PVC pipes including of pipes with one step PVC solvent cement, trenching refilling &amp; testing of joints complete as per direction of Engineer in Charge. 63 mm dia 6Kgf/cm2 (50.18.9.7.1)</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</si>
  <si>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</si>
  <si>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PVC pipe 63 mm outer dia . 6kgf/cm2</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</si>
  <si>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</si>
  <si>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</si>
  <si>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</si>
  <si>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Deduction for Borewell</t>
  </si>
  <si>
    <r>
      <rPr>
        <sz val="12"/>
        <color theme="1"/>
        <rFont val="Cambria"/>
      </rPr>
      <t>m</t>
    </r>
    <r>
      <rPr>
        <vertAlign val="superscript"/>
        <sz val="12"/>
        <color theme="1"/>
        <rFont val="Cambria"/>
      </rPr>
      <t>3</t>
    </r>
  </si>
  <si>
    <t>Brick work with common burnt clay F.P.S. (non modular) bricks of class designation 7.5 in Cement mortar 1:6 as per DSR item 6.4.2</t>
  </si>
  <si>
    <t xml:space="preserve"> Side Wall</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</si>
  <si>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</si>
  <si>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r>
      <rPr>
        <sz val="12"/>
        <color theme="1"/>
        <rFont val="Cambria"/>
      </rPr>
      <t>m</t>
    </r>
    <r>
      <rPr>
        <vertAlign val="superscript"/>
        <sz val="12"/>
        <color theme="1"/>
        <rFont val="Cambria"/>
      </rPr>
      <t>3</t>
    </r>
  </si>
  <si>
    <t>Providing and laying in position specified grade of reinforced cement concrete, excluding the cost of centering, shuttering, finishing and reinforcement - All work up to plinth level: 1:2:4 as per DSR item 5.1.3</t>
  </si>
  <si>
    <t>Slab</t>
  </si>
  <si>
    <t>GROUND WATER DEPARTMENT REVISED RATES FOR WATER TREATMENT PLANTS</t>
  </si>
  <si>
    <r>
      <rPr>
        <sz val="12"/>
        <color theme="1"/>
        <rFont val="Cambria"/>
      </rPr>
      <t>m</t>
    </r>
    <r>
      <rPr>
        <vertAlign val="superscript"/>
        <sz val="12"/>
        <color theme="1"/>
        <rFont val="Cambria"/>
      </rPr>
      <t>3</t>
    </r>
  </si>
  <si>
    <t>Steel reinforcement for R.C.C. work including straightening, cutting, bending, placing in position and binding all complete above plinth level (Mild and Medium Tensile steel bars) as per DSR item 5.22.1</t>
  </si>
  <si>
    <t>I. FRP VESSEL - (Fibre Reinforced Polymer Vessel)</t>
  </si>
  <si>
    <t>Quantity as item 4</t>
  </si>
  <si>
    <t>PVC pipe 63 mm outer dia. 4 kgf/cm2
(5% added for wastage etc)</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</si>
  <si>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</si>
  <si>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r>
      <rPr>
        <sz val="12"/>
        <color theme="1"/>
        <rFont val="Cambria"/>
      </rPr>
      <t>m</t>
    </r>
    <r>
      <rPr>
        <vertAlign val="superscript"/>
        <sz val="12"/>
        <color theme="1"/>
        <rFont val="Cambria"/>
      </rPr>
      <t>3</t>
    </r>
  </si>
  <si>
    <t>at  80 kg/m3</t>
  </si>
  <si>
    <t>FRP-1465 vessel</t>
  </si>
  <si>
    <t>/e</t>
  </si>
  <si>
    <t>Centering and shuttering including strutting, propping etc. and removal of form for roofs etc. for mass concrete as per DSR item 5.9.3</t>
  </si>
  <si>
    <r>
      <rPr>
        <sz val="12"/>
        <color theme="1"/>
        <rFont val="Cambria"/>
      </rPr>
      <t>m</t>
    </r>
    <r>
      <rPr>
        <vertAlign val="superscript"/>
        <sz val="12"/>
        <color theme="1"/>
        <rFont val="Cambria"/>
      </rPr>
      <t>2</t>
    </r>
  </si>
  <si>
    <r>
      <rPr>
        <sz val="12"/>
        <color theme="1"/>
        <rFont val="Cambria"/>
      </rPr>
      <t>m</t>
    </r>
    <r>
      <rPr>
        <vertAlign val="superscript"/>
        <sz val="12"/>
        <color theme="1"/>
        <rFont val="Cambria"/>
      </rPr>
      <t>2</t>
    </r>
  </si>
  <si>
    <t>12 mm cement plaster of mix 1:4 as per DSR item  13.1.1</t>
  </si>
  <si>
    <t xml:space="preserve">Outside wall </t>
  </si>
  <si>
    <t xml:space="preserve">Total </t>
  </si>
  <si>
    <t xml:space="preserve">Inside wall </t>
  </si>
  <si>
    <t>Top of wall</t>
  </si>
  <si>
    <t>Providing and fixing PVC pipes including jointing of pipes with one step PVC solvent cement, trenching, refilling &amp; testing of joints complete as per direction of Engineer in Charge.63 mm dia 4 Kgf/cm2 (50.18.9.7.2)</t>
  </si>
  <si>
    <t>Slab top and bottom</t>
  </si>
  <si>
    <t>Side of slab</t>
  </si>
  <si>
    <t>PVC pipe 63 mm outer dia. 4 kgf/cm2
Add 5% for wastage etc. on (A)</t>
  </si>
  <si>
    <r>
      <rPr>
        <sz val="12"/>
        <color theme="1"/>
        <rFont val="Cambria"/>
      </rPr>
      <t>m</t>
    </r>
    <r>
      <rPr>
        <vertAlign val="superscript"/>
        <sz val="12"/>
        <color theme="1"/>
        <rFont val="Cambria"/>
      </rPr>
      <t>2</t>
    </r>
  </si>
  <si>
    <t>Say Rs. 3800 x Index</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</si>
  <si>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</si>
  <si>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FRP-1665 vessel</t>
  </si>
  <si>
    <t>District</t>
  </si>
  <si>
    <t>TVM</t>
  </si>
  <si>
    <t>KLM</t>
  </si>
  <si>
    <t>PTA</t>
  </si>
  <si>
    <t>ALP</t>
  </si>
  <si>
    <t>KTM</t>
  </si>
  <si>
    <t>IDK</t>
  </si>
  <si>
    <t>EKM</t>
  </si>
  <si>
    <t>TSR</t>
  </si>
  <si>
    <t>PKD</t>
  </si>
  <si>
    <t>MLP</t>
  </si>
  <si>
    <t>KKD</t>
  </si>
  <si>
    <t>WYD</t>
  </si>
  <si>
    <t>KNR</t>
  </si>
  <si>
    <t>KGD</t>
  </si>
  <si>
    <t>LMR Based Derived Items</t>
  </si>
  <si>
    <t>Derived Code</t>
  </si>
  <si>
    <t>Spec</t>
  </si>
  <si>
    <t>Dia</t>
  </si>
  <si>
    <t>Rate (min 20)</t>
  </si>
  <si>
    <t>Support Data 1</t>
  </si>
  <si>
    <t>Support Data 2</t>
  </si>
  <si>
    <t>LMR Code</t>
  </si>
  <si>
    <t>LMR Price</t>
  </si>
  <si>
    <t>(iii)</t>
  </si>
  <si>
    <t>PVC Pipe, 6kg/cm2, 160mm Dia.</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</si>
  <si>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</si>
  <si>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</si>
  <si>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MR10217</t>
  </si>
  <si>
    <t>PVC Pipe, 6kg/cm2, 200mm Dia.</t>
  </si>
  <si>
    <t>MR10239</t>
  </si>
  <si>
    <t>PVC Pipe, 10kg/cm2, 160mm Dia.</t>
  </si>
  <si>
    <t>MR10131</t>
  </si>
  <si>
    <t>HDPE Pipe PE 100 (IS
4984/1995), 8kg, 50mm Outer Dia.</t>
  </si>
  <si>
    <t>MR10132</t>
  </si>
  <si>
    <t>HDPE Pipe PE 100 (IS
4984/1995), 8kg, 63mm Outer Dia.</t>
  </si>
  <si>
    <t>Providing and fixing PVC pipes including jointing of pipes with one step PVC solvent cement, trenching, refilling &amp; testing of joints complete as per direction of Engineer in Charge. 75 mm dia 6 Kgf/ cm2 50.18.9.8.1)</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</si>
  <si>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</si>
  <si>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PVC pipe 75 mm outer dia 6kgf/cm2
Add 5% for wastage etc. on (A)</t>
  </si>
  <si>
    <t>PVC pipe 75 mm outer dia 6kgf/cm2
(5% added for wastage etc)</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</si>
  <si>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</si>
  <si>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</si>
  <si>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</si>
  <si>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PVC Pipe, 6kg/cm2, 140mm Dia.</t>
  </si>
  <si>
    <t>MR10045</t>
  </si>
  <si>
    <t>Cost of pebble 12 mm to 20 mm.</t>
  </si>
  <si>
    <t>PVC Tap</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</si>
  <si>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</si>
  <si>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</si>
  <si>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</si>
  <si>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Water Meter, Indian Standard, Class B, Multijet, 15mm ( ½? )</t>
  </si>
  <si>
    <t>Water Meter, Indian Standard, Class B, Multijet, 20mm ( ¾? )</t>
  </si>
  <si>
    <t>MR11045</t>
  </si>
  <si>
    <t>Air Valve, GM, Indian Standard, Class 2, 20mm ( ¾? )</t>
  </si>
  <si>
    <t>Providing and fixing PVC pipes including of pipes with one step PVC solvent cement, trenching and refilling &amp; testing of joints complete as per direction of Engineer in Charge. 75 mm dia 4 Kgf/cm2 50.18.9.8.2)</t>
  </si>
  <si>
    <t>PVC pipe 75 mm outer dia 4 kgf/cm2
Add 5% for wastage etc. on (A)</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</si>
  <si>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</si>
  <si>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</si>
  <si>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FRP-3072 vessel</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</si>
  <si>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</si>
  <si>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</si>
  <si>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FRP-3672 vessel</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</si>
  <si>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</si>
  <si>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PVC pipe 75 mm outer dia 4 kgf/cm2
(5% added for wastage etc)</t>
  </si>
  <si>
    <t>Providing and fixing PVC pipes including jointing of pipes with one step PVC solvent cement, trenching, refilling &amp; testing of Joints complete as per direction of engineer in charge.110 mm dia 6Kgf/cm2 (50.18.9.9.1)</t>
  </si>
  <si>
    <t>Details of cost for 10. meter</t>
  </si>
  <si>
    <t xml:space="preserve">II. MPV- (Multi port valve) </t>
  </si>
  <si>
    <t>Supplying, assembling, manually operated multi port valve 40 NB Material -PVC, Max pressure - 4kg/cm2, including hire &amp; labour charges, fittings &amp; accessories etc. all complete, as per direction of Engineer-in-charge</t>
  </si>
  <si>
    <t>PVC pipe 110 mm outer dia 6kgf/cm2
Add 5% for wastage etc.on (A)</t>
  </si>
  <si>
    <t>MPV-40 NB</t>
  </si>
  <si>
    <t>9988</t>
  </si>
  <si>
    <t xml:space="preserve">Carriage and sundries of materials and fixing charge </t>
  </si>
  <si>
    <t>Sundries
carriage of materials</t>
  </si>
  <si>
    <t>Sundries
Adhesive,and sundries etc.</t>
  </si>
  <si>
    <t>Supplying, assembling, manually operated multi port valve flower type 50NB Material -PVC, Max pressure - 4kg/cm2, including hire &amp; labour charges, fittings &amp; accessories etc. all complete, as per direction of Engineer-in-charge</t>
  </si>
  <si>
    <t>MPV-50 NB</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</si>
  <si>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</si>
  <si>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MPV-65 NB</t>
  </si>
  <si>
    <t>Providing and fixing PVC pipes includes joints of pipes with one step PVC solvent cement, trenching, refilling &amp; testing of joints complete as per direction of Engineer in CHarge. 110 mm dia 4 Kg/cm2 (50.18.9.9.2)</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</si>
  <si>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</si>
  <si>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pipe 110 mm outer dia. 4kgf/cm2
Add 5% for wastage etc. on (A)</t>
  </si>
  <si>
    <t>PVC pipe 110 mm outer dia 6kgf/cm2
(5% added for wastage etc)</t>
  </si>
  <si>
    <t>Core Type</t>
  </si>
  <si>
    <t>III. Distributer</t>
  </si>
  <si>
    <t>Misc Type</t>
  </si>
  <si>
    <t>Valid From</t>
  </si>
  <si>
    <t>Valid To</t>
  </si>
  <si>
    <t>Published On</t>
  </si>
  <si>
    <t>Supplying, assembling, distributer 40 NB including hire &amp; labour charges, fittings &amp; accessories etc. all complete, as per direction of Engineer-in-charge</t>
  </si>
  <si>
    <t>MATERIAL</t>
  </si>
  <si>
    <t>OTHERMATERIALS</t>
  </si>
  <si>
    <t>MR1</t>
  </si>
  <si>
    <t>Solid blocks of size 40x20x20cm</t>
  </si>
  <si>
    <t>01-08-
2026</t>
  </si>
  <si>
    <t>01-01-
2060</t>
  </si>
  <si>
    <t>Distributer-40 NB</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</si>
  <si>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</si>
  <si>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</si>
  <si>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</si>
  <si>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</si>
  <si>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</si>
  <si>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</si>
  <si>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</si>
  <si>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</si>
  <si>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</si>
  <si>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</si>
  <si>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</si>
  <si>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</si>
  <si>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</si>
  <si>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</si>
  <si>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</si>
  <si>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</si>
  <si>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</si>
  <si>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</si>
  <si>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</si>
  <si>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</si>
  <si>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</si>
  <si>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</si>
  <si>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</si>
  <si>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</si>
  <si>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</si>
  <si>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</si>
  <si>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</si>
  <si>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</si>
  <si>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</si>
  <si>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</si>
  <si>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</si>
  <si>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</si>
  <si>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</si>
  <si>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</si>
  <si>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</si>
  <si>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</si>
  <si>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</si>
  <si>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</si>
  <si>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</si>
  <si>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Supplying, assembling, distributer 50 NB including hire &amp; labour charges, fittings &amp; accessories etc. all complete, as per direction of Engineer-in-charge</t>
  </si>
  <si>
    <t>MR21</t>
  </si>
  <si>
    <t>iron hooks &amp; eyes 150 mm</t>
  </si>
  <si>
    <t>MR22</t>
  </si>
  <si>
    <t>Distributer-50 NB</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</si>
  <si>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</si>
  <si>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</si>
  <si>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</si>
  <si>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</si>
  <si>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</si>
  <si>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</si>
  <si>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</si>
  <si>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</si>
  <si>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</si>
  <si>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</si>
  <si>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</si>
  <si>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</si>
  <si>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</si>
  <si>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</si>
  <si>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</si>
  <si>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</si>
  <si>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</si>
  <si>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</si>
  <si>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</si>
  <si>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</si>
  <si>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</si>
  <si>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</si>
  <si>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</si>
  <si>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</si>
  <si>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</si>
  <si>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</si>
  <si>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</si>
  <si>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</si>
  <si>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</si>
  <si>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</si>
  <si>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</si>
  <si>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</si>
  <si>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</si>
  <si>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</si>
  <si>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Providing and fixing PVC pipes including jointing of pipes with one step pvc solvent cement, trenching , refilling &amp; testing of joints complete as per direction of Engineer in Charge. 150 mm dia 6 Kgf/cm2 (50.18.9.10.1)</t>
  </si>
  <si>
    <t>PVC pipe 20 mm outer dia 10 kfg/cm2</t>
  </si>
  <si>
    <t>Supplying, assembling, distributer 65 NB including hire &amp; labour charges, fittings &amp; accessories etc. all complete, as per direction of Engineer-in-charge</t>
  </si>
  <si>
    <t>PVC pipe 25 mm outer dia . 12 kgf/cm2</t>
  </si>
  <si>
    <t>Distributer-65 NB</t>
  </si>
  <si>
    <t>PVC pipe 150 mm outer dia 6kgf/cm2
Add 5% for wastage etc. on (A)</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</si>
  <si>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</si>
  <si>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</si>
  <si>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</si>
  <si>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</si>
  <si>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</si>
  <si>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</si>
  <si>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</si>
  <si>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</si>
  <si>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</si>
  <si>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</si>
  <si>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PVC pipe 110 mm outer dia 6kgf/cm2</t>
  </si>
  <si>
    <t>PVC pipe 110 mm outer dia.
4kgf/cm2</t>
  </si>
  <si>
    <t>PVC pipe 150 mm outer dia 6kgf/cm2</t>
  </si>
  <si>
    <t>PVC door Elbow 63 mm dia</t>
  </si>
  <si>
    <t>IV. Dosing pump</t>
  </si>
  <si>
    <t>Supplying, assembling, and fixing Electrically operated Diaphragm type dosing pump 10 lph including hire &amp; labour charges, fittings &amp; accessories etc. all complete, as per direction of Engineer-in-charge</t>
  </si>
  <si>
    <t>PVC door Tee 63 x63x63mm dia</t>
  </si>
  <si>
    <t>Dosing pump-10 lph</t>
  </si>
  <si>
    <t>MR63</t>
  </si>
  <si>
    <t>PVC vent cowl 63 mm dia</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</si>
  <si>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</si>
  <si>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PVC door Elbow 75 mm dia</t>
  </si>
  <si>
    <t>PVC door Tee 75x75x75 mm dia</t>
  </si>
  <si>
    <t>PVC pipe 110 mm outer dia. 4kgf/cm2
(5% added for wastage etc)</t>
  </si>
  <si>
    <t>MR73</t>
  </si>
  <si>
    <t>PVC vent cowl 75 mm dia</t>
  </si>
  <si>
    <t>PVC door Elbow 110 mm dia</t>
  </si>
  <si>
    <t>PVC door Tee 110x110x110 mm dia</t>
  </si>
  <si>
    <t>PVC door Tee 110x110x75 mm dia</t>
  </si>
  <si>
    <t>MR84</t>
  </si>
  <si>
    <t>PVC vent cowl 110 mm dia</t>
  </si>
  <si>
    <t>MR85</t>
  </si>
  <si>
    <t>PVC offset 110 mm dia</t>
  </si>
  <si>
    <t>Supplying, assembling, and fixing Electrically operated Diaphragm type dosing pump 40 lph including hire &amp; labour charges, fittings &amp; accessories etc. all complete, as per direction of Engineer-in-charge</t>
  </si>
  <si>
    <t>Dosing pump-40 lph</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</si>
  <si>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</si>
  <si>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</si>
  <si>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</si>
  <si>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</si>
  <si>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</si>
  <si>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</si>
  <si>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</si>
  <si>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</si>
  <si>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</si>
  <si>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</si>
  <si>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</si>
  <si>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</si>
  <si>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</si>
  <si>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</si>
  <si>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</si>
  <si>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</si>
  <si>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</si>
  <si>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</si>
  <si>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</si>
  <si>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</si>
  <si>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</si>
  <si>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</si>
  <si>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</si>
  <si>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</si>
  <si>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</si>
  <si>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</si>
  <si>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</si>
  <si>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</si>
  <si>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</si>
  <si>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</si>
  <si>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</si>
  <si>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</si>
  <si>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</si>
  <si>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</si>
  <si>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</si>
  <si>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</si>
  <si>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V. Feed pump</t>
  </si>
  <si>
    <t>MR112</t>
  </si>
  <si>
    <t>Connectors/ Staples</t>
  </si>
  <si>
    <t>Supplying, assembling, and fixing single Phase Pure Copper , Self priming monoblock feed pump 1Hp including hire &amp; labour charges, fittings &amp; accessories etc. all complete, as per direction of Engineer-in-charge</t>
  </si>
  <si>
    <t>MR113</t>
  </si>
  <si>
    <t>Elastomeric slab seal expansion joint assembly manufactured by using chloroprene, elastomer for elastomeric slab unit conforming to clause 915.1 of IRC: 83 (part II),</t>
  </si>
  <si>
    <t>1 HP monoblock feed pump (ISI)</t>
  </si>
  <si>
    <t>MR114</t>
  </si>
  <si>
    <t>Epoxy primer</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</si>
  <si>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</si>
  <si>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</si>
  <si>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</si>
  <si>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</si>
  <si>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</si>
  <si>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</si>
  <si>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</si>
  <si>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</si>
  <si>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</si>
  <si>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</si>
  <si>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</si>
  <si>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</si>
  <si>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</si>
  <si>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</si>
  <si>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</si>
  <si>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</si>
  <si>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</si>
  <si>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</si>
  <si>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</si>
  <si>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</si>
  <si>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</si>
  <si>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</si>
  <si>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</si>
  <si>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</si>
  <si>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</si>
  <si>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</si>
  <si>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</si>
  <si>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</si>
  <si>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</si>
  <si>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</si>
  <si>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</si>
  <si>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</si>
  <si>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</si>
  <si>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</si>
  <si>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</si>
  <si>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</si>
  <si>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</si>
  <si>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</si>
  <si>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</si>
  <si>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</si>
  <si>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</si>
  <si>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</si>
  <si>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</si>
  <si>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</si>
  <si>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</si>
  <si>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</si>
  <si>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</si>
  <si>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</si>
  <si>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</si>
  <si>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</si>
  <si>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</si>
  <si>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</si>
  <si>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</si>
  <si>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</si>
  <si>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</si>
  <si>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</si>
  <si>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</si>
  <si>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</si>
  <si>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</si>
  <si>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</si>
  <si>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</si>
  <si>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</si>
  <si>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</si>
  <si>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</si>
  <si>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</si>
  <si>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</si>
  <si>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</si>
  <si>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</si>
  <si>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</si>
  <si>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</si>
  <si>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</si>
  <si>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</si>
  <si>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</si>
  <si>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</si>
  <si>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</si>
  <si>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</si>
  <si>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</si>
  <si>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</si>
  <si>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</si>
  <si>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</si>
  <si>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</si>
  <si>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</si>
  <si>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</si>
  <si>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</si>
  <si>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</si>
  <si>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</si>
  <si>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</si>
  <si>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</si>
  <si>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Supplying, assembling, and fixing single Phase Pure Copper , Self priming monoblock feed pump 1.5Hp including hire &amp; labour charges, fittings &amp; accessories etc. all complete, as per direction of Engineer-in-charge</t>
  </si>
  <si>
    <t>MR164</t>
  </si>
  <si>
    <t>Sludge / Farm yard manure @ 0.18 cum per 100 sqm at site of work for turfing</t>
  </si>
  <si>
    <t>1.5 HP monoblock feed pump (ISI)</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</si>
  <si>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</si>
  <si>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</si>
  <si>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</si>
  <si>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</si>
  <si>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</si>
  <si>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</si>
  <si>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</si>
  <si>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</si>
  <si>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</si>
  <si>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</si>
  <si>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</si>
  <si>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</si>
  <si>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</si>
  <si>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</si>
  <si>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</si>
  <si>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</si>
  <si>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</si>
  <si>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</si>
  <si>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</si>
  <si>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</si>
  <si>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</si>
  <si>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</si>
  <si>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</si>
  <si>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</si>
  <si>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</si>
  <si>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</si>
  <si>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</si>
  <si>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</si>
  <si>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</si>
  <si>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</si>
  <si>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</si>
  <si>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</si>
  <si>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</si>
  <si>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</si>
  <si>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</si>
  <si>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</si>
  <si>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</si>
  <si>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</si>
  <si>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Supplying, assembling, and fixing single Phase Pure Copper , Self priming monoblock feed pump 2Hp including hire &amp; labour charges, fittings &amp; accessories etc. all complete, as per direction of Engineer-in-charge</t>
  </si>
  <si>
    <t>MR189</t>
  </si>
  <si>
    <t>G.I Pipe - 100 m dia</t>
  </si>
  <si>
    <t>MR196</t>
  </si>
  <si>
    <t>2 HP monoblock feed pump (ISI)</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</si>
  <si>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</si>
  <si>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</si>
  <si>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</si>
  <si>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</si>
  <si>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</si>
  <si>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</si>
  <si>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</si>
  <si>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</si>
  <si>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</si>
  <si>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</si>
  <si>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</si>
  <si>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</si>
  <si>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</si>
  <si>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</si>
  <si>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</si>
  <si>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</si>
  <si>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</si>
  <si>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</si>
  <si>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MR207</t>
  </si>
  <si>
    <t>Concrete Bucket</t>
  </si>
  <si>
    <t>MR208</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</si>
  <si>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</si>
  <si>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</si>
  <si>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</si>
  <si>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</si>
  <si>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</si>
  <si>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</si>
  <si>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</si>
  <si>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</si>
  <si>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</si>
  <si>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</si>
  <si>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</si>
  <si>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</si>
  <si>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</si>
  <si>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</si>
  <si>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</si>
  <si>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</si>
  <si>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</si>
  <si>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</si>
  <si>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</si>
  <si>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</si>
  <si>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</si>
  <si>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</si>
  <si>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</si>
  <si>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</si>
  <si>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</si>
  <si>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</si>
  <si>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</si>
  <si>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</si>
  <si>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</si>
  <si>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</si>
  <si>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</si>
  <si>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</si>
  <si>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</si>
  <si>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</si>
  <si>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</si>
  <si>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</si>
  <si>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</si>
  <si>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</si>
  <si>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</si>
  <si>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VI. Sludge pump</t>
  </si>
  <si>
    <t>MR228</t>
  </si>
  <si>
    <t>Kerb Casting Machine</t>
  </si>
  <si>
    <t>MR229</t>
  </si>
  <si>
    <t>Mastic Cooker</t>
  </si>
  <si>
    <t>Supplying, assembling, and fixing sludge pump 1Hp, 220v, Max head 20m , 750W, Max flw 15000 lph including hire &amp; labour charges, fittings &amp; accessories etc. all complete, as per direction of Engineer-in-charge</t>
  </si>
  <si>
    <t>MR230</t>
  </si>
  <si>
    <t>Mechanical Broom Hydraulic</t>
  </si>
  <si>
    <t>1 HP sludge pump(ISI)</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</si>
  <si>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</si>
  <si>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</si>
  <si>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</si>
  <si>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</si>
  <si>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</si>
  <si>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</si>
  <si>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</si>
  <si>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</si>
  <si>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</si>
  <si>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</si>
  <si>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</si>
  <si>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</si>
  <si>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</si>
  <si>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</si>
  <si>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</si>
  <si>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</si>
  <si>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</si>
  <si>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</si>
  <si>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</si>
  <si>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</si>
  <si>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</si>
  <si>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</si>
  <si>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</si>
  <si>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</si>
  <si>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</si>
  <si>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</si>
  <si>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</si>
  <si>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</si>
  <si>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</si>
  <si>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</si>
  <si>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</si>
  <si>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</si>
  <si>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</si>
  <si>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</si>
  <si>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</si>
  <si>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</si>
  <si>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</si>
  <si>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</si>
  <si>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</si>
  <si>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</si>
  <si>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</si>
  <si>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</si>
  <si>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</si>
  <si>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</si>
  <si>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</si>
  <si>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</si>
  <si>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</si>
  <si>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</si>
  <si>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</si>
  <si>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</si>
  <si>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VII. UV Plant</t>
  </si>
  <si>
    <t>MR261</t>
  </si>
  <si>
    <t>Wet Mix Plant 60 TPH</t>
  </si>
  <si>
    <t>MR262</t>
  </si>
  <si>
    <t>Air compressor with pneumatic chisel attachment for cutting hard clay</t>
  </si>
  <si>
    <t>Supplying, assembling, and fixing 5000 lph Stainless Steel UV Plant including hire &amp; labour charges, fittings &amp; accessories etc. all complete, as per direction of Engineer-in-charge</t>
  </si>
  <si>
    <t>MR269</t>
  </si>
  <si>
    <t>Crane 5 tonne capacity</t>
  </si>
  <si>
    <t>UV plant- 5000 lph</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</si>
  <si>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</si>
  <si>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</si>
  <si>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</si>
  <si>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</si>
  <si>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</si>
  <si>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</si>
  <si>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</si>
  <si>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</si>
  <si>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</si>
  <si>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</si>
  <si>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</si>
  <si>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</si>
  <si>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</si>
  <si>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</si>
  <si>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</si>
  <si>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</si>
  <si>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</si>
  <si>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</si>
  <si>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</si>
  <si>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</si>
  <si>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</si>
  <si>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</si>
  <si>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</si>
  <si>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</si>
  <si>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</si>
  <si>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</si>
  <si>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</si>
  <si>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</si>
  <si>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</si>
  <si>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</si>
  <si>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</si>
  <si>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</si>
  <si>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</si>
  <si>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</si>
  <si>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</si>
  <si>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</si>
  <si>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</si>
  <si>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</si>
  <si>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</si>
  <si>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</si>
  <si>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</si>
  <si>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</si>
  <si>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</si>
  <si>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</si>
  <si>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</si>
  <si>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</si>
  <si>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</si>
  <si>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</si>
  <si>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</si>
  <si>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Supplying, assembling, and fixing 10000 lph UV Plant including hire &amp; labour charges, fittings &amp; accessories etc. all complete, as per direction of Engineer-in-charge</t>
  </si>
  <si>
    <t>UV plant- 10000 lph</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</si>
  <si>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</si>
  <si>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</si>
  <si>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</si>
  <si>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</si>
  <si>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</si>
  <si>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</si>
  <si>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</si>
  <si>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</si>
  <si>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</si>
  <si>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</si>
  <si>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</si>
  <si>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</si>
  <si>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</si>
  <si>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</si>
  <si>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</si>
  <si>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</si>
  <si>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</si>
  <si>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</si>
  <si>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</si>
  <si>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</si>
  <si>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</si>
  <si>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</si>
  <si>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</si>
  <si>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</si>
  <si>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</si>
  <si>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</si>
  <si>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</si>
  <si>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</si>
  <si>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</si>
  <si>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</si>
  <si>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</si>
  <si>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</si>
  <si>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</si>
  <si>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</si>
  <si>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</si>
  <si>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</si>
  <si>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</si>
  <si>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</si>
  <si>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</si>
  <si>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</si>
  <si>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</si>
  <si>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</si>
  <si>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</si>
  <si>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Supplying, assembling, and fixing 15000 lph UV Plant including hire &amp; labour charges, fittings &amp; accessories etc. all complete, as per direction of Engineer-in-charge</t>
  </si>
  <si>
    <t>Granite stones of size 300 to 400kg for ASE work -Alleppey</t>
  </si>
  <si>
    <t>MR344</t>
  </si>
  <si>
    <t>UV plant- 15000 lph</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</si>
  <si>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</si>
  <si>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</si>
  <si>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</si>
  <si>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</si>
  <si>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</si>
  <si>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</si>
  <si>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</si>
  <si>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</si>
  <si>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</si>
  <si>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</si>
  <si>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</si>
  <si>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</si>
  <si>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</si>
  <si>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</si>
  <si>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</si>
  <si>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</si>
  <si>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</si>
  <si>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</si>
  <si>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</si>
  <si>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</si>
  <si>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</si>
  <si>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</si>
  <si>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</si>
  <si>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</si>
  <si>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</si>
  <si>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</si>
  <si>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</si>
  <si>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</si>
  <si>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</si>
  <si>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</si>
  <si>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</si>
  <si>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</si>
  <si>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</si>
  <si>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</si>
  <si>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</si>
  <si>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</si>
  <si>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</si>
  <si>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</si>
  <si>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VIII. Automatic plant controller</t>
  </si>
  <si>
    <t>Supplying, assembling, and fixing automatic treatment plant controller including automation of plant, hire &amp; labour charges, fittings &amp; accessories etc. all complete, as per direction of Engineer-in-charge</t>
  </si>
  <si>
    <t>MR364</t>
  </si>
  <si>
    <t>Quarry run for ASE work - Ernakulam</t>
  </si>
  <si>
    <t>Full automatic controller kit</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</si>
  <si>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</si>
  <si>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</si>
  <si>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</si>
  <si>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</si>
  <si>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</si>
  <si>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</si>
  <si>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</si>
  <si>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</si>
  <si>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</si>
  <si>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</si>
  <si>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</si>
  <si>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</si>
  <si>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</si>
  <si>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</si>
  <si>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</si>
  <si>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</si>
  <si>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</si>
  <si>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</si>
  <si>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</si>
  <si>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</si>
  <si>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</si>
  <si>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</si>
  <si>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</si>
  <si>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</si>
  <si>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</si>
  <si>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</si>
  <si>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</si>
  <si>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</si>
  <si>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</si>
  <si>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</si>
  <si>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</si>
  <si>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</si>
  <si>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IX. Pressure Gauge</t>
  </si>
  <si>
    <t>MR385</t>
  </si>
  <si>
    <t>Batch mix HMP 100-120 TPH @ 75 tonne per hour actual output</t>
  </si>
  <si>
    <t>Supplying, assembling, and fixing 63mm pressure gauge including hire &amp; labour charges, fittings &amp; accessories etc. all complete, as per direction of Engineer-in-charge</t>
  </si>
  <si>
    <t>MR386</t>
  </si>
  <si>
    <t>Tipper 5.5 cum capacity for carriage of aggregate from stockpile on road side to slurry equipment, bitumen emulsion and filler.</t>
  </si>
  <si>
    <t>Pressure gauge- 63mm</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</si>
  <si>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</si>
  <si>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</si>
  <si>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</si>
  <si>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</si>
  <si>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</si>
  <si>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</si>
  <si>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</si>
  <si>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</si>
  <si>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</si>
  <si>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</si>
  <si>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</si>
  <si>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</si>
  <si>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</si>
  <si>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</si>
  <si>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</si>
  <si>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</si>
  <si>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</si>
  <si>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</si>
  <si>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</si>
  <si>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</si>
  <si>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</si>
  <si>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</si>
  <si>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</si>
  <si>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</si>
  <si>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</si>
  <si>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</si>
  <si>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</si>
  <si>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</si>
  <si>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</si>
  <si>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</si>
  <si>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</si>
  <si>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</si>
  <si>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</si>
  <si>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</si>
  <si>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</si>
  <si>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</si>
  <si>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</si>
  <si>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</si>
  <si>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</si>
  <si>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</si>
  <si>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</si>
  <si>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</si>
  <si>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</si>
  <si>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</si>
  <si>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</si>
  <si>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</si>
  <si>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X. Filter Medium (MR)</t>
  </si>
  <si>
    <t>MR419</t>
  </si>
  <si>
    <t>Aluminium sheeting fixed with ASTM Type IV retroreflective sheeting</t>
  </si>
  <si>
    <t>MR420</t>
  </si>
  <si>
    <t>AC pipe 100 mm dia</t>
  </si>
  <si>
    <t>MR421</t>
  </si>
  <si>
    <t>Acrylic polymer bonding coat</t>
  </si>
  <si>
    <t>Supplying and filling, Silex, Fine sand and Pressure sand including hire &amp; labour charges, carriage etc complete, as per direction of Engineer-in-charge</t>
  </si>
  <si>
    <t>MR422</t>
  </si>
  <si>
    <t>Alluminium Paint</t>
  </si>
  <si>
    <t>Silex, Fine sand and Pressure sand</t>
  </si>
  <si>
    <t>Kg</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</si>
  <si>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</si>
  <si>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</si>
  <si>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</si>
  <si>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</si>
  <si>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</si>
  <si>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</si>
  <si>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</si>
  <si>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</si>
  <si>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</si>
  <si>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</si>
  <si>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</si>
  <si>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</si>
  <si>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</si>
  <si>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</si>
  <si>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</si>
  <si>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</si>
  <si>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</si>
  <si>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</si>
  <si>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</si>
  <si>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</si>
  <si>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</si>
  <si>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</si>
  <si>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</si>
  <si>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</si>
  <si>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</si>
  <si>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</si>
  <si>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</si>
  <si>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</si>
  <si>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</si>
  <si>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</si>
  <si>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</si>
  <si>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</si>
  <si>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</si>
  <si>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</si>
  <si>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</si>
  <si>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</si>
  <si>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Supplying and filling, Katalox iron remover including hire &amp; labour charges, carriage etc. all complete, as per direction of Engineer-in-charge</t>
  </si>
  <si>
    <t>MR451</t>
  </si>
  <si>
    <t>Motor Grader for grading</t>
  </si>
  <si>
    <t>MR453</t>
  </si>
  <si>
    <t>Crane 15 tonne capacity</t>
  </si>
  <si>
    <t>Katalox iron remover</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</si>
  <si>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</si>
  <si>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</si>
  <si>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</si>
  <si>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</si>
  <si>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</si>
  <si>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</si>
  <si>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</si>
  <si>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</si>
  <si>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</si>
  <si>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</si>
  <si>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</si>
  <si>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</si>
  <si>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</si>
  <si>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</si>
  <si>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</si>
  <si>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</si>
  <si>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</si>
  <si>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</si>
  <si>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</si>
  <si>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</si>
  <si>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</si>
  <si>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</si>
  <si>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</si>
  <si>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</si>
  <si>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</si>
  <si>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</si>
  <si>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</si>
  <si>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</si>
  <si>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</si>
  <si>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</si>
  <si>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</si>
  <si>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</si>
  <si>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</si>
  <si>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</si>
  <si>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</si>
  <si>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Supplying and filling, Activated carbon IV 1050 including hire &amp; labour charges, carriage etc. all complete, as per direction of Engineer-in-charge</t>
  </si>
  <si>
    <t>MR475</t>
  </si>
  <si>
    <t>HMP of appropriate capacity</t>
  </si>
  <si>
    <t>MR476</t>
  </si>
  <si>
    <t>Activated carbon IV 1050</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</si>
  <si>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</si>
  <si>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</si>
  <si>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</si>
  <si>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</si>
  <si>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</si>
  <si>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</si>
  <si>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</si>
  <si>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</si>
  <si>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</si>
  <si>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</si>
  <si>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</si>
  <si>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</si>
  <si>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</si>
  <si>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</si>
  <si>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</si>
  <si>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</si>
  <si>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</si>
  <si>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</si>
  <si>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</si>
  <si>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</si>
  <si>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</si>
  <si>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</si>
  <si>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</si>
  <si>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</si>
  <si>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</si>
  <si>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</si>
  <si>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</si>
  <si>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</si>
  <si>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</si>
  <si>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MR494</t>
  </si>
  <si>
    <t>Preformed continuous Chlorprene Elastomer</t>
  </si>
  <si>
    <t>MR495</t>
  </si>
  <si>
    <t>Compressible fibre board</t>
  </si>
  <si>
    <t>MR497</t>
  </si>
  <si>
    <t>Shredded waste plastic</t>
  </si>
  <si>
    <t>XI. Dosing Chemicals</t>
  </si>
  <si>
    <t>MR501</t>
  </si>
  <si>
    <t>Blasted Granite stones 1to 10kg for Groynes -Thiruvananthapuram</t>
  </si>
  <si>
    <t>MR502</t>
  </si>
  <si>
    <t>Supplying and filling, liquid chlorine including hire &amp; labour charges, carriage etc. all complete, as per direction of Engineer-in-charge</t>
  </si>
  <si>
    <t>Blasted Granite stone 1to 10Kg for Groynes - Kollam</t>
  </si>
  <si>
    <t>MR503</t>
  </si>
  <si>
    <t>Liquid chlorine</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</si>
  <si>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</si>
  <si>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</si>
  <si>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</si>
  <si>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</si>
  <si>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</si>
  <si>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</si>
  <si>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</si>
  <si>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</si>
  <si>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</si>
  <si>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</si>
  <si>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</si>
  <si>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</si>
  <si>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</si>
  <si>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</si>
  <si>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</si>
  <si>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</si>
  <si>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</si>
  <si>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</si>
  <si>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</si>
  <si>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</si>
  <si>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</si>
  <si>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</si>
  <si>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</si>
  <si>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Supplying and filling, liquid alum including hire &amp; labour charges, fittings &amp; accessories etc. all complete, as per direction of Engineer-in-charge</t>
  </si>
  <si>
    <t>MR515</t>
  </si>
  <si>
    <t>Blasted Granite stone 10 to 300Kg for Groynes - Thrissur</t>
  </si>
  <si>
    <t>MR516</t>
  </si>
  <si>
    <t>Blasted Granite stone 10 to 300 Kg for Groynes - Malappuram</t>
  </si>
  <si>
    <t>Liquid alum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</si>
  <si>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</si>
  <si>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</si>
  <si>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</si>
  <si>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</si>
  <si>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</si>
  <si>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</si>
  <si>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</si>
  <si>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</si>
  <si>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</si>
  <si>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</si>
  <si>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MR522</t>
  </si>
  <si>
    <t>Blasted Granite stone 300Kg and above for Groynes - Kollam</t>
  </si>
  <si>
    <t>MR523</t>
  </si>
  <si>
    <t>Blasted Granite stones 300Kg and above for Groynes - Aleppey</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</si>
  <si>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</si>
  <si>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</si>
  <si>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</si>
  <si>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</si>
  <si>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</si>
  <si>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</si>
  <si>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</si>
  <si>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</si>
  <si>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</si>
  <si>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</si>
  <si>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</si>
  <si>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</si>
  <si>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</si>
  <si>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</si>
  <si>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</si>
  <si>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</si>
  <si>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</si>
  <si>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</si>
  <si>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</si>
  <si>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</si>
  <si>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</si>
  <si>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</si>
  <si>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</si>
  <si>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</si>
  <si>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</si>
  <si>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</si>
  <si>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</si>
  <si>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</si>
  <si>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</si>
  <si>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</si>
  <si>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</si>
  <si>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</si>
  <si>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</si>
  <si>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</si>
  <si>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</si>
  <si>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</si>
  <si>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</si>
  <si>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</si>
  <si>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</si>
  <si>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</si>
  <si>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</si>
  <si>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</si>
  <si>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XII. Plant Installation</t>
  </si>
  <si>
    <t>MR569</t>
  </si>
  <si>
    <t>Granite stones 45 dm3 - Kasaragod</t>
  </si>
  <si>
    <t>Plant installation charges including labour and materials for supports, stand, PVC connection pipes, PVC valves, air valves etc complete. all complete</t>
  </si>
  <si>
    <t>MR571</t>
  </si>
  <si>
    <t>200 dm3 granite rubble - Thiruvananthapurm</t>
  </si>
  <si>
    <t>MR572</t>
  </si>
  <si>
    <t>200 dm3 granite rubble- Kollam</t>
  </si>
  <si>
    <t>MR573</t>
  </si>
  <si>
    <t>200 dm3 granite rubble- Alleppey</t>
  </si>
  <si>
    <t>Materials 1</t>
  </si>
  <si>
    <t>MR574</t>
  </si>
  <si>
    <t>200dm3 granite rubble- Ernakulam</t>
  </si>
  <si>
    <t>MR575</t>
  </si>
  <si>
    <t>200dm3 granite rubble - Thrissur</t>
  </si>
  <si>
    <t>Providing and fixing PVC pipes includes jointing of pipes with one step PVC solvent cement &amp; testing of joints complete as per direction of Engineer in Charge. 
50 mm dia 10 KGF/cm2</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</si>
  <si>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</si>
  <si>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</si>
  <si>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</si>
  <si>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</si>
  <si>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</si>
  <si>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</si>
  <si>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</si>
  <si>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</si>
  <si>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</si>
  <si>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</si>
  <si>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</si>
  <si>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</si>
  <si>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</si>
  <si>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</si>
  <si>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</si>
  <si>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</si>
  <si>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</si>
  <si>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</si>
  <si>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</si>
  <si>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Providing and fixing PVC pipes includes jointing of pipes with one step PVC solvent cement &amp; testing of joints complete as per direction of Engineer in Charge. 
40 mm dia 10 KGF/cm2</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</si>
  <si>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</si>
  <si>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</si>
  <si>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</si>
  <si>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</si>
  <si>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</si>
  <si>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</si>
  <si>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</si>
  <si>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</si>
  <si>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</si>
  <si>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</si>
  <si>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</si>
  <si>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Providing and fixing PVC pipes includes jointing of pipes with one step PVC solvent cement &amp; testing of joints complete as per direction of Engineer in Charge. 
32 mm dia 10 KGF/cm2</t>
  </si>
  <si>
    <t>MR616</t>
  </si>
  <si>
    <t>Debonding strips</t>
  </si>
  <si>
    <t>MR617</t>
  </si>
  <si>
    <t>Polythene sheathing</t>
  </si>
  <si>
    <t>MR618</t>
  </si>
  <si>
    <t>Plasticizer</t>
  </si>
  <si>
    <t>MR619</t>
  </si>
  <si>
    <t>curing compound</t>
  </si>
  <si>
    <t>Providing and fixing PVC pipes includes jointing of pipes with one step PVC solvent cement &amp; testing of joints complete as per direction of Engineer in Charge. 
25 mm dia 10 KGF/cm2</t>
  </si>
  <si>
    <t>MR621</t>
  </si>
  <si>
    <t>M.S. shoes @ 35 Kg per pile of 15 m</t>
  </si>
  <si>
    <t>MR622</t>
  </si>
  <si>
    <t>Acrylic polymer paint</t>
  </si>
  <si>
    <t>MR623</t>
  </si>
  <si>
    <t>Acrylic polymer primer</t>
  </si>
  <si>
    <t>MR624</t>
  </si>
  <si>
    <t>Coir Geo-Textile H2 M5 740 GSM</t>
  </si>
  <si>
    <t>90.14.28.1</t>
  </si>
  <si>
    <t>MR625</t>
  </si>
  <si>
    <t>S &amp; F Motor starters of the following ratings Single phase DOL starters for 0.25HP to 3HP motor</t>
  </si>
  <si>
    <t>Pugmill</t>
  </si>
  <si>
    <t>MR626</t>
  </si>
  <si>
    <t>Cement,Sand,Brick,Boulders etc</t>
  </si>
  <si>
    <t>MR627</t>
  </si>
  <si>
    <t>Cement,Sand,Bricks,Stone Boulders etc</t>
  </si>
  <si>
    <t>MR628</t>
  </si>
  <si>
    <t>Supply of Cement,Paint, Sand,Aggregate, Boulders etc</t>
  </si>
  <si>
    <t>MR629</t>
  </si>
  <si>
    <t>Synthetic Enamel Paint, Engineering grade tape, welding machine etc.</t>
  </si>
  <si>
    <t>Total Material</t>
  </si>
  <si>
    <t>MR630</t>
  </si>
  <si>
    <t>Geocell of size 150X356 including all transportation</t>
  </si>
  <si>
    <t>MR631</t>
  </si>
  <si>
    <t>MR632</t>
  </si>
  <si>
    <t>Jute netting, open weave, 2.5 cm square opening</t>
  </si>
  <si>
    <t>Total Labour</t>
  </si>
  <si>
    <t>MR633</t>
  </si>
  <si>
    <t>Pre-cast RCC M-35 facing elements of size as per the design and 18 cm thick for 75 sqm</t>
  </si>
  <si>
    <t>Materials 2</t>
  </si>
  <si>
    <t>MR634</t>
  </si>
  <si>
    <t>Non-Woven geotextile behind the fascia element to avoid leaching out of backfill material</t>
  </si>
  <si>
    <t>MR636</t>
  </si>
  <si>
    <t>Centralizer</t>
  </si>
  <si>
    <t>MR638</t>
  </si>
  <si>
    <t>Spherical Dome Nut</t>
  </si>
  <si>
    <t>10% for fittings</t>
  </si>
  <si>
    <t>MR639</t>
  </si>
  <si>
    <t>Mobile slurry seal/ Microsurfacing equipment</t>
  </si>
  <si>
    <t>MR640</t>
  </si>
  <si>
    <t>Cement spreader</t>
  </si>
  <si>
    <t>MR641</t>
  </si>
  <si>
    <t>Pulveriser/stabilizer</t>
  </si>
  <si>
    <t>MR642</t>
  </si>
  <si>
    <t>Stabilizer (Stabil road)</t>
  </si>
  <si>
    <t>Air Valve, GM, Indian Standard, Class 2, 20mm ( ¾" )</t>
  </si>
  <si>
    <t>MR643</t>
  </si>
  <si>
    <t>Trailer 30 tonne capacity</t>
  </si>
  <si>
    <t>MR644</t>
  </si>
  <si>
    <t>Addititves @ 2% of Aggregate</t>
  </si>
  <si>
    <t>MR645</t>
  </si>
  <si>
    <t>Welding Set</t>
  </si>
  <si>
    <t>MR646</t>
  </si>
  <si>
    <t>Screw, nail, Nut &amp; Bolt etc</t>
  </si>
  <si>
    <t>Cost of quarry muck</t>
  </si>
  <si>
    <t>Wire 4 mm</t>
  </si>
  <si>
    <t>MR647</t>
  </si>
  <si>
    <t>Hire and labour for GI pipes-for hanging staging platform</t>
  </si>
  <si>
    <t>20 W LED tube light</t>
  </si>
  <si>
    <t>252x 5 MS angle for support and stand (20m)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</si>
  <si>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</si>
  <si>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</si>
  <si>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</si>
  <si>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</si>
  <si>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</si>
  <si>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</si>
  <si>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</si>
  <si>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</si>
  <si>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</si>
  <si>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</si>
  <si>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</si>
  <si>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</si>
  <si>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</si>
  <si>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</si>
  <si>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</si>
  <si>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</si>
  <si>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</si>
  <si>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</si>
  <si>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 xml:space="preserve">0160 </t>
  </si>
  <si>
    <t>Technician</t>
  </si>
  <si>
    <t>MR1207</t>
  </si>
  <si>
    <t>Divers without diving set</t>
  </si>
  <si>
    <t>MR1208</t>
  </si>
  <si>
    <t>Divers using diving set</t>
  </si>
  <si>
    <t>MR1209</t>
  </si>
  <si>
    <t>MR1210</t>
  </si>
  <si>
    <t>Cost of crane hook</t>
  </si>
  <si>
    <t xml:space="preserve"> 0114</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</si>
  <si>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</si>
  <si>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</si>
  <si>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</si>
  <si>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</si>
  <si>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</si>
  <si>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</si>
  <si>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</si>
  <si>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</si>
  <si>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</si>
  <si>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</si>
  <si>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</si>
  <si>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</si>
  <si>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</si>
  <si>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</si>
  <si>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</si>
  <si>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</si>
  <si>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</si>
  <si>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</si>
  <si>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</si>
  <si>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</si>
  <si>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</si>
  <si>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</si>
  <si>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</si>
  <si>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</si>
  <si>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</si>
  <si>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</si>
  <si>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</si>
  <si>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</si>
  <si>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</si>
  <si>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</si>
  <si>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MR1226</t>
  </si>
  <si>
    <t>XIII. Plant Maintenance/ AMC</t>
  </si>
  <si>
    <t>Hire for wire rope 16mm dia (1/4 of the cost market rate)</t>
  </si>
  <si>
    <t>MR1227</t>
  </si>
  <si>
    <t>Boring machine operator</t>
  </si>
  <si>
    <t>Plant inspection, maintenance, cleaning, back wash, sludge removal, sample collection and correction of Dosing etc complete, and water quality checking (except filling chemicals)</t>
  </si>
  <si>
    <t>MR1228</t>
  </si>
  <si>
    <t>Royalty of stone</t>
  </si>
  <si>
    <t>Water quality checking (Govt. Approved lab)</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</si>
  <si>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</si>
  <si>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</si>
  <si>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</si>
  <si>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</si>
  <si>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Conveyance and carriage charges</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</si>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</sst>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mc="http://schemas.openxmlformats.org/markup-compatibility/2006" xmlns:x14ac="http://schemas.microsoft.com/office/spreadsheetml/2009/9/ac" mc:Ignorable="x14ac">
  <numFmts count="11">
    <numFmt numFmtId="164" formatCode="#,##0.0000"/>
    <numFmt numFmtId="165" formatCode="0.000"/>
    <numFmt numFmtId="166" formatCode="#,##0.000"/>
    <numFmt numFmtId="167" formatCode="0.00;[Red]0.00"/>
    <numFmt numFmtId="168" formatCode="0.0;[Red]\-0.0"/>
    <numFmt numFmtId="169" formatCode="0.000;[Red]0.000"/>
    <numFmt numFmtId="170" formatCode="0.00000"/>
    <numFmt numFmtId="171" formatCode="0.0000;[Red]0.0000"/>
    <numFmt numFmtId="172" formatCode="0.0000;[Red]\-0.0000"/>
    <numFmt numFmtId="173" formatCode="0.000;[Red]\-0.000"/>
    <numFmt numFmtId="174" formatCode="dd\-mm\-yyyy"/>
  </numFmts>
  <fonts count="33">
    <font>
      <sz val="11"/>
      <color rgb="FF000000"/>
      <name val="Calibri"/>
      <scheme val="minor"/>
    </font>
    <font>
      <b/>
      <sz val="12"/>
      <color theme="1"/>
      <name val="Cambria"/>
    </font>
    <font>
      <sz val="11"/>
      <name val="Calibri"/>
    </font>
    <font>
      <sz val="12"/>
      <color theme="1"/>
      <name val="Cambria"/>
    </font>
    <font>
      <b/>
      <sz val="12"/>
      <color rgb="FFFFFFFF"/>
      <name val="Cambria"/>
    </font>
    <font>
      <b/>
      <i/>
      <sz val="12"/>
      <color rgb="FFFFFFFF"/>
      <name val="Cambria"/>
    </font>
    <font>
      <b/>
      <sz val="13"/>
      <color rgb="FFFFFFFF"/>
      <name val="Cambria"/>
    </font>
    <font>
      <b/>
      <sz val="13"/>
      <color rgb="FF212529"/>
      <name val="Cambria"/>
    </font>
    <font>
      <sz val="13"/>
      <color rgb="FF212529"/>
      <name val="Cambria"/>
    </font>
    <font>
      <b/>
      <sz val="12"/>
      <color rgb="FF212529"/>
      <name val="Cambria"/>
    </font>
    <font>
      <sz val="12"/>
      <color rgb="FF212529"/>
      <name val="Cambria"/>
    </font>
    <font>
      <sz val="13"/>
      <color theme="1"/>
      <name val="Cambria"/>
    </font>
    <font>
      <b/>
      <sz val="13"/>
      <color rgb="FF000000"/>
      <name val="Cambria"/>
    </font>
    <font>
      <sz val="12"/>
      <color rgb="FFFF0000"/>
      <name val="Cambria"/>
    </font>
    <font>
      <sz val="11"/>
      <color theme="1"/>
      <name val="Cambria"/>
    </font>
    <font>
      <b/>
      <sz val="13"/>
      <color theme="1"/>
      <name val="Cambria"/>
    </font>
    <font>
      <sz val="12"/>
      <color rgb="FF000000"/>
      <name val="Cambria"/>
    </font>
    <font>
      <b/>
      <sz val="12"/>
      <color rgb="FF000000"/>
      <name val="Cambria"/>
    </font>
    <font>
      <b/>
      <sz val="11"/>
      <color theme="1"/>
      <name val="Cambria"/>
    </font>
    <font>
      <b/>
      <sz val="11"/>
      <color theme="0"/>
      <name val="Cambria"/>
    </font>
    <font>
      <sz val="11"/>
      <color theme="1"/>
      <name val="Cambria"/>
    </font>
    <font>
      <sz val="11"/>
      <color rgb="FF000000"/>
      <name val="Cambria"/>
    </font>
    <font>
      <sz val="13"/>
      <color rgb="FF000000"/>
      <name val="Cambria"/>
    </font>
    <font>
      <b/>
      <u/>
      <sz val="12"/>
      <color theme="1"/>
      <name val="Cambria"/>
    </font>
    <font>
      <b/>
      <sz val="11"/>
      <color rgb="FFFF0000"/>
      <name val="Cambria"/>
    </font>
    <font>
      <sz val="11"/>
      <color rgb="FFFF0000"/>
      <name val="Cambria"/>
    </font>
    <font>
      <b/>
      <sz val="12"/>
      <color rgb="FFFF0000"/>
      <name val="Cambria"/>
    </font>
    <font>
      <b/>
      <sz val="11"/>
      <color theme="1"/>
      <name val="Cambria"/>
    </font>
    <font>
      <b/>
      <i/>
      <sz val="11"/>
      <color theme="1"/>
      <name val="Cambria"/>
    </font>
    <font>
      <i/>
      <sz val="11"/>
      <color theme="1"/>
      <name val="Cambria"/>
    </font>
    <font>
      <sz val="11"/>
      <color theme="1"/>
      <name val="Calibri"/>
      <scheme val="minor"/>
    </font>
    <font>
      <vertAlign val="superscript"/>
      <sz val="12"/>
      <color theme="1"/>
      <name val="Cambria"/>
    </font>
    <font>
      <vertAlign val="superscript"/>
      <sz val="11"/>
      <color theme="1"/>
      <name val="Cambria"/>
    </font>
  </fonts>
  <fills count="23">
    <fill>
      <patternFill patternType="none"/>
    </fill>
    <fill>
      <patternFill patternType="gray125"/>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E0F7FA"/>
        <bgColor rgb="FFE0F7FA"/>
      </patternFill>
    </fill>
    <fill>
      <patternFill patternType="solid">
        <fgColor rgb="FFC9DAF8"/>
        <bgColor rgb="FFC9DAF8"/>
      </patternFill>
    </fill>
    <fill>
      <patternFill patternType="solid">
        <fgColor rgb="FFDEE2E6"/>
        <bgColor rgb="FFDEE2E6"/>
      </patternFill>
    </fill>
    <fill>
      <patternFill patternType="solid">
        <fgColor rgb="FFFFF2CC"/>
        <bgColor rgb="FFFFF2CC"/>
      </patternFill>
    </fill>
    <fill>
      <patternFill patternType="solid">
        <fgColor rgb="FFCFE2F3"/>
        <bgColor rgb="FFCFE2F3"/>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3D3D3D"/>
      </left>
      <right style="thin">
        <color rgb="FF3D3D3D"/>
      </right>
      <top style="thin">
        <color rgb="FF3D3D3D"/>
      </top>
      <bottom style="thin">
        <color rgb="FF3D3D3D"/>
      </bottom>
      <diagonal/>
    </border>
    <border>
      <left style="thin">
        <color rgb="FF3D3D3D"/>
      </left>
      <right/>
      <top style="thin">
        <color rgb="FF3D3D3D"/>
      </top>
      <bottom style="thin">
        <color rgb="FF3D3D3D"/>
      </bottom>
      <diagonal/>
    </border>
    <border>
      <left/>
      <right/>
      <top style="thin">
        <color rgb="FF3D3D3D"/>
      </top>
      <bottom style="thin">
        <color rgb="FF3D3D3D"/>
      </bottom>
      <diagonal/>
    </border>
    <border>
      <left/>
      <right style="thin">
        <color rgb="FF3D3D3D"/>
      </right>
      <top style="thin">
        <color rgb="FF3D3D3D"/>
      </top>
      <bottom style="thin">
        <color rgb="FF3D3D3D"/>
      </bottom>
      <diagonal/>
    </border>
    <border>
      <left style="thin">
        <color rgb="FF3D3D3D"/>
      </left>
      <right style="thin">
        <color rgb="FF3D3D3D"/>
      </right>
      <top style="thin">
        <color rgb="FF3D3D3D"/>
      </top>
      <bottom/>
      <diagonal/>
    </border>
    <border>
      <left style="thin">
        <color rgb="FF3D3D3D"/>
      </left>
      <right style="thin">
        <color rgb="FF3D3D3D"/>
      </right>
      <top/>
      <bottom style="thin">
        <color rgb="FF3D3D3D"/>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3D3D3D"/>
      </left>
      <right style="thin">
        <color rgb="FF3D3D3D"/>
      </right>
      <top/>
      <bottom/>
      <diagonal/>
    </border>
    <border>
      <left/>
      <right style="thin">
        <color rgb="FF3D3D3D"/>
      </right>
      <top/>
      <bottom style="thin">
        <color rgb="FF3D3D3D"/>
      </bottom>
      <diagonal/>
    </border>
    <border>
      <left style="thin">
        <color rgb="FF3D3D3D"/>
      </left>
      <right style="thin">
        <color rgb="FF000000"/>
      </right>
      <top style="thin">
        <color rgb="FF3D3D3D"/>
      </top>
      <bottom/>
      <diagonal/>
    </border>
    <border>
      <left style="thin">
        <color rgb="FF3D3D3D"/>
      </left>
      <right style="thin">
        <color rgb="FF000000"/>
      </right>
      <top/>
      <bottom/>
      <diagonal/>
    </border>
    <border>
      <left style="thin">
        <color rgb="FF000000"/>
      </left>
      <right/>
      <top style="thin">
        <color rgb="FF000000"/>
      </top>
      <bottom style="thin">
        <color rgb="FFDEE2E6"/>
      </bottom>
      <diagonal/>
    </border>
    <border>
      <left/>
      <right/>
      <top style="thin">
        <color rgb="FF000000"/>
      </top>
      <bottom style="thin">
        <color rgb="FFDEE2E6"/>
      </bottom>
      <diagonal/>
    </border>
    <border>
      <left/>
      <right style="thin">
        <color rgb="FFDEE2E6"/>
      </right>
      <top style="thin">
        <color rgb="FF000000"/>
      </top>
      <bottom style="thin">
        <color rgb="FFDEE2E6"/>
      </bottom>
      <diagonal/>
    </border>
    <border>
      <left style="thin">
        <color rgb="FF3D3D3D"/>
      </left>
      <right style="thin">
        <color rgb="FF000000"/>
      </right>
      <top/>
      <bottom style="thin">
        <color rgb="FF000000"/>
      </bottom>
      <diagonal/>
    </border>
    <border>
      <left style="medium">
        <color rgb="FF3D3D3D"/>
      </left>
      <right style="thin">
        <color rgb="FF3D3D3D"/>
      </right>
      <top style="thin">
        <color rgb="FF3D3D3D"/>
      </top>
      <bottom style="thin">
        <color rgb="FF3D3D3D"/>
      </bottom>
      <diagonal/>
    </border>
  </borders>
  <cellStyleXfs count="1">
    <xf numFmtId="0" fontId="0" fillId="0" borderId="0"/>
  </cellStyleXfs>
  <cellXfs count="644">
    <xf numFmtId="0" fontId="0" fillId="0" borderId="0" xfId="0" applyFont="1" applyAlignment="1"/>
    <xf numFmtId="0" fontId="1" fillId="3" borderId="4" xfId="0" applyFont="1" applyFill="1" applyBorder="1" applyAlignment="1">
      <alignment horizontal="center" vertical="center" wrapText="1"/>
    </xf>
    <xf numFmtId="4" fontId="1" fillId="3" borderId="4" xfId="0" applyNumberFormat="1" applyFont="1" applyFill="1" applyBorder="1" applyAlignment="1">
      <alignment horizontal="center" vertical="center" wrapText="1"/>
    </xf>
    <xf numFmtId="0" fontId="3" fillId="3" borderId="4" xfId="0" applyFont="1" applyFill="1" applyBorder="1" applyAlignment="1">
      <alignment vertical="center" wrapText="1"/>
    </xf>
    <xf numFmtId="0" fontId="3" fillId="3" borderId="4" xfId="0" applyFont="1" applyFill="1" applyBorder="1" applyAlignment="1">
      <alignment vertical="center" wrapText="1"/>
    </xf>
    <xf numFmtId="0" fontId="3" fillId="3" borderId="4" xfId="0" applyFont="1" applyFill="1" applyBorder="1" applyAlignment="1">
      <alignment horizontal="center" vertical="center" wrapText="1"/>
    </xf>
    <xf numFmtId="4" fontId="1" fillId="3" borderId="4" xfId="0" applyNumberFormat="1" applyFont="1" applyFill="1" applyBorder="1" applyAlignment="1">
      <alignment horizontal="center" vertical="center" wrapText="1"/>
    </xf>
    <xf numFmtId="0" fontId="3" fillId="3" borderId="4" xfId="0" applyFont="1" applyFill="1" applyBorder="1" applyAlignment="1">
      <alignment horizontal="center" vertical="center" wrapText="1"/>
    </xf>
    <xf numFmtId="4" fontId="3" fillId="3" borderId="4" xfId="0" applyNumberFormat="1" applyFont="1" applyFill="1" applyBorder="1" applyAlignment="1">
      <alignment horizontal="center" vertical="center" wrapText="1"/>
    </xf>
    <xf numFmtId="0" fontId="3" fillId="3" borderId="4" xfId="0" applyFont="1" applyFill="1" applyBorder="1" applyAlignment="1">
      <alignment horizontal="right" vertical="center" wrapText="1"/>
    </xf>
    <xf numFmtId="164" fontId="3" fillId="3" borderId="4" xfId="0" applyNumberFormat="1" applyFont="1" applyFill="1" applyBorder="1" applyAlignment="1">
      <alignment horizontal="center" vertical="center" wrapText="1"/>
    </xf>
    <xf numFmtId="0" fontId="1" fillId="0" borderId="4" xfId="0" applyFont="1" applyBorder="1" applyAlignment="1">
      <alignment horizontal="center" vertical="center" wrapText="1"/>
    </xf>
    <xf numFmtId="4" fontId="1" fillId="0" borderId="4" xfId="0" applyNumberFormat="1"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horizontal="left" vertical="center" wrapText="1"/>
    </xf>
    <xf numFmtId="0" fontId="3" fillId="3" borderId="4" xfId="0" applyFont="1" applyFill="1" applyBorder="1" applyAlignment="1">
      <alignment horizontal="right" vertical="center" wrapText="1"/>
    </xf>
    <xf numFmtId="0" fontId="3" fillId="0" borderId="4" xfId="0" applyFont="1" applyBorder="1" applyAlignment="1">
      <alignment horizontal="left" vertical="center" wrapText="1"/>
    </xf>
    <xf numFmtId="4" fontId="3" fillId="0" borderId="4" xfId="0" applyNumberFormat="1" applyFont="1" applyBorder="1" applyAlignment="1">
      <alignment horizontal="center" vertical="center" wrapText="1"/>
    </xf>
    <xf numFmtId="4" fontId="3" fillId="3" borderId="4" xfId="0" applyNumberFormat="1" applyFont="1" applyFill="1" applyBorder="1" applyAlignment="1">
      <alignment horizontal="center" vertical="center" wrapText="1"/>
    </xf>
    <xf numFmtId="4" fontId="3" fillId="0" borderId="4" xfId="0" applyNumberFormat="1" applyFont="1" applyBorder="1" applyAlignment="1">
      <alignment horizontal="center" vertical="center" wrapText="1"/>
    </xf>
    <xf numFmtId="0" fontId="1" fillId="2" borderId="4" xfId="0" applyFont="1" applyFill="1" applyBorder="1" applyAlignment="1">
      <alignment horizontal="center" vertical="center" wrapText="1"/>
    </xf>
    <xf numFmtId="4" fontId="1" fillId="2" borderId="4" xfId="0" applyNumberFormat="1" applyFont="1" applyFill="1" applyBorder="1" applyAlignment="1">
      <alignment horizontal="center" vertical="center" wrapText="1"/>
    </xf>
    <xf numFmtId="0" fontId="3" fillId="2" borderId="4" xfId="0" applyFont="1" applyFill="1" applyBorder="1" applyAlignment="1">
      <alignment vertical="center" wrapText="1"/>
    </xf>
    <xf numFmtId="0" fontId="3" fillId="2" borderId="4" xfId="0" applyFont="1" applyFill="1" applyBorder="1" applyAlignment="1">
      <alignment vertical="center" wrapText="1"/>
    </xf>
    <xf numFmtId="0" fontId="3" fillId="2" borderId="4" xfId="0" applyFont="1" applyFill="1" applyBorder="1" applyAlignment="1">
      <alignment horizontal="center" vertical="center" wrapText="1"/>
    </xf>
    <xf numFmtId="0" fontId="3" fillId="0" borderId="4" xfId="0" applyFont="1" applyBorder="1" applyAlignment="1">
      <alignment horizontal="center" vertical="center" wrapText="1"/>
    </xf>
    <xf numFmtId="4" fontId="3" fillId="2" borderId="4" xfId="0" applyNumberFormat="1"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4" xfId="0" applyFont="1" applyFill="1" applyBorder="1" applyAlignment="1">
      <alignment horizontal="right" vertical="center" wrapText="1"/>
    </xf>
    <xf numFmtId="0" fontId="3" fillId="2" borderId="4" xfId="0" applyFont="1" applyFill="1" applyBorder="1" applyAlignment="1">
      <alignment horizontal="right" vertical="center" wrapText="1"/>
    </xf>
    <xf numFmtId="0" fontId="3" fillId="0" borderId="4" xfId="0" applyFont="1" applyBorder="1" applyAlignment="1">
      <alignment horizontal="left" vertical="center" wrapText="1"/>
    </xf>
    <xf numFmtId="4" fontId="3" fillId="2" borderId="4" xfId="0" applyNumberFormat="1" applyFont="1" applyFill="1" applyBorder="1" applyAlignment="1">
      <alignment horizontal="center" vertical="center" wrapText="1"/>
    </xf>
    <xf numFmtId="0" fontId="3" fillId="0" borderId="4" xfId="0" applyFont="1" applyBorder="1" applyAlignment="1">
      <alignment horizontal="left" vertical="center" wrapText="1"/>
    </xf>
    <xf numFmtId="0" fontId="3" fillId="0" borderId="4" xfId="0" applyFont="1" applyBorder="1" applyAlignment="1">
      <alignment horizontal="left" vertical="center" wrapText="1"/>
    </xf>
    <xf numFmtId="0" fontId="1" fillId="5" borderId="4"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7" borderId="4" xfId="0" applyFont="1" applyFill="1" applyBorder="1" applyAlignment="1">
      <alignment horizontal="left" vertical="center" wrapText="1"/>
    </xf>
    <xf numFmtId="0" fontId="3" fillId="7" borderId="4" xfId="0" applyFont="1" applyFill="1" applyBorder="1" applyAlignment="1">
      <alignment horizontal="center" vertical="center" wrapText="1"/>
    </xf>
    <xf numFmtId="0" fontId="3" fillId="6" borderId="4" xfId="0" applyFont="1" applyFill="1" applyBorder="1" applyAlignment="1">
      <alignment horizontal="left" vertical="center" wrapText="1"/>
    </xf>
    <xf numFmtId="4" fontId="3" fillId="8" borderId="4" xfId="0" applyNumberFormat="1"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3" fillId="9" borderId="4" xfId="0" applyFont="1" applyFill="1" applyBorder="1" applyAlignment="1">
      <alignment vertical="center" wrapText="1"/>
    </xf>
    <xf numFmtId="0" fontId="3" fillId="9" borderId="4" xfId="0" applyFont="1" applyFill="1" applyBorder="1" applyAlignment="1">
      <alignment horizontal="center" vertical="center" wrapText="1"/>
    </xf>
    <xf numFmtId="0" fontId="3" fillId="9" borderId="4" xfId="0" applyFont="1" applyFill="1" applyBorder="1" applyAlignment="1">
      <alignment horizontal="center" vertical="center" wrapText="1"/>
    </xf>
    <xf numFmtId="49" fontId="3" fillId="0" borderId="4" xfId="0" applyNumberFormat="1" applyFont="1" applyBorder="1" applyAlignment="1">
      <alignment horizontal="left" vertical="center" wrapText="1"/>
    </xf>
    <xf numFmtId="0" fontId="3" fillId="8" borderId="4" xfId="0" applyFont="1" applyFill="1" applyBorder="1" applyAlignment="1">
      <alignment horizontal="center" vertical="center" wrapText="1"/>
    </xf>
    <xf numFmtId="165" fontId="3" fillId="9" borderId="4" xfId="0" applyNumberFormat="1" applyFont="1" applyFill="1" applyBorder="1" applyAlignment="1">
      <alignment horizontal="center" vertical="center" wrapText="1"/>
    </xf>
    <xf numFmtId="4" fontId="3" fillId="9" borderId="4" xfId="0" applyNumberFormat="1" applyFont="1" applyFill="1" applyBorder="1" applyAlignment="1">
      <alignment horizontal="center" vertical="center" wrapText="1"/>
    </xf>
    <xf numFmtId="165" fontId="3" fillId="3" borderId="4" xfId="0" applyNumberFormat="1" applyFont="1" applyFill="1" applyBorder="1" applyAlignment="1">
      <alignment horizontal="center" vertical="center" wrapText="1"/>
    </xf>
    <xf numFmtId="4" fontId="3" fillId="0" borderId="4" xfId="0" applyNumberFormat="1" applyFont="1" applyBorder="1" applyAlignment="1">
      <alignment horizontal="center" vertical="center" wrapText="1"/>
    </xf>
    <xf numFmtId="49" fontId="3" fillId="0" borderId="4" xfId="0" applyNumberFormat="1" applyFont="1" applyBorder="1" applyAlignment="1">
      <alignment horizontal="center" vertical="center" wrapText="1"/>
    </xf>
    <xf numFmtId="0" fontId="3" fillId="0" borderId="4" xfId="0" applyFont="1" applyBorder="1" applyAlignment="1">
      <alignment horizontal="center" vertical="center" wrapText="1"/>
    </xf>
    <xf numFmtId="0" fontId="3" fillId="9" borderId="4" xfId="0" applyFont="1" applyFill="1" applyBorder="1" applyAlignment="1">
      <alignment vertical="center" wrapText="1"/>
    </xf>
    <xf numFmtId="0" fontId="6" fillId="5" borderId="4" xfId="0" applyFont="1" applyFill="1" applyBorder="1" applyAlignment="1">
      <alignment vertical="center" wrapText="1"/>
    </xf>
    <xf numFmtId="4" fontId="6" fillId="5" borderId="4" xfId="0" applyNumberFormat="1" applyFont="1" applyFill="1" applyBorder="1" applyAlignment="1">
      <alignment vertical="center" wrapText="1"/>
    </xf>
    <xf numFmtId="0" fontId="8" fillId="7" borderId="4" xfId="0" applyFont="1" applyFill="1" applyBorder="1" applyAlignment="1">
      <alignment horizontal="center" vertical="center" wrapText="1"/>
    </xf>
    <xf numFmtId="0" fontId="8" fillId="7" borderId="4" xfId="0" applyFont="1" applyFill="1" applyBorder="1" applyAlignment="1">
      <alignment horizontal="center" vertical="center" wrapText="1"/>
    </xf>
    <xf numFmtId="2" fontId="3" fillId="0" borderId="4" xfId="0" applyNumberFormat="1" applyFont="1" applyBorder="1" applyAlignment="1">
      <alignment horizontal="center" vertical="center" wrapText="1"/>
    </xf>
    <xf numFmtId="0" fontId="8" fillId="7" borderId="4" xfId="0" applyFont="1" applyFill="1" applyBorder="1" applyAlignment="1">
      <alignment horizontal="right" vertical="center" wrapText="1"/>
    </xf>
    <xf numFmtId="0" fontId="8" fillId="10" borderId="4" xfId="0" applyFont="1" applyFill="1" applyBorder="1" applyAlignment="1">
      <alignment horizontal="center" vertical="center" wrapText="1"/>
    </xf>
    <xf numFmtId="2" fontId="3" fillId="0" borderId="0" xfId="0" applyNumberFormat="1" applyFont="1"/>
    <xf numFmtId="0" fontId="4" fillId="5" borderId="4" xfId="0" applyFont="1" applyFill="1" applyBorder="1" applyAlignment="1">
      <alignment vertical="center" wrapText="1"/>
    </xf>
    <xf numFmtId="2" fontId="4" fillId="5" borderId="4" xfId="0" applyNumberFormat="1" applyFont="1" applyFill="1" applyBorder="1" applyAlignment="1">
      <alignment vertical="center" wrapText="1"/>
    </xf>
    <xf numFmtId="4" fontId="8" fillId="7" borderId="4" xfId="0" applyNumberFormat="1" applyFont="1" applyFill="1" applyBorder="1" applyAlignment="1">
      <alignment horizontal="right" vertical="center" wrapText="1"/>
    </xf>
    <xf numFmtId="0" fontId="10" fillId="7"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7" borderId="4" xfId="0" applyFont="1" applyFill="1" applyBorder="1" applyAlignment="1">
      <alignment horizontal="right" vertical="center" wrapText="1"/>
    </xf>
    <xf numFmtId="0" fontId="10" fillId="10" borderId="4" xfId="0" applyFont="1" applyFill="1" applyBorder="1" applyAlignment="1">
      <alignment horizontal="center" vertical="center" wrapText="1"/>
    </xf>
    <xf numFmtId="2" fontId="10" fillId="7" borderId="4" xfId="0" applyNumberFormat="1" applyFont="1" applyFill="1" applyBorder="1" applyAlignment="1">
      <alignment horizontal="right" vertical="center" wrapText="1"/>
    </xf>
    <xf numFmtId="0" fontId="10" fillId="7" borderId="4" xfId="0" applyFont="1" applyFill="1" applyBorder="1" applyAlignment="1">
      <alignment horizontal="left" vertical="center" wrapText="1"/>
    </xf>
    <xf numFmtId="0" fontId="10" fillId="7" borderId="4" xfId="0" applyFont="1" applyFill="1" applyBorder="1" applyAlignment="1">
      <alignment horizontal="left" vertical="center" wrapText="1"/>
    </xf>
    <xf numFmtId="2" fontId="9" fillId="7" borderId="4" xfId="0" applyNumberFormat="1" applyFont="1" applyFill="1" applyBorder="1" applyAlignment="1">
      <alignment horizontal="right" vertical="center" wrapText="1"/>
    </xf>
    <xf numFmtId="0" fontId="1" fillId="3" borderId="14" xfId="0" applyFont="1" applyFill="1" applyBorder="1" applyAlignment="1">
      <alignment horizontal="center" vertical="center" wrapText="1"/>
    </xf>
    <xf numFmtId="0" fontId="3" fillId="3" borderId="18" xfId="0" applyFont="1" applyFill="1" applyBorder="1" applyAlignment="1">
      <alignment vertical="center" wrapText="1"/>
    </xf>
    <xf numFmtId="0" fontId="3" fillId="3" borderId="14" xfId="0" applyFont="1" applyFill="1" applyBorder="1" applyAlignment="1">
      <alignment vertical="center" wrapText="1"/>
    </xf>
    <xf numFmtId="0" fontId="3" fillId="3" borderId="14" xfId="0" applyFont="1" applyFill="1" applyBorder="1" applyAlignment="1">
      <alignment vertical="center" wrapText="1"/>
    </xf>
    <xf numFmtId="0" fontId="3" fillId="3" borderId="18"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8" fillId="7" borderId="4" xfId="0" applyFont="1" applyFill="1" applyBorder="1" applyAlignment="1">
      <alignment horizontal="left" vertical="center" wrapText="1"/>
    </xf>
    <xf numFmtId="0" fontId="3" fillId="3" borderId="14" xfId="0" applyFont="1" applyFill="1" applyBorder="1" applyAlignment="1">
      <alignment horizontal="center" vertical="center" wrapText="1"/>
    </xf>
    <xf numFmtId="166" fontId="8" fillId="7" borderId="4" xfId="0" applyNumberFormat="1" applyFont="1" applyFill="1" applyBorder="1" applyAlignment="1">
      <alignment horizontal="right" vertical="center" wrapText="1"/>
    </xf>
    <xf numFmtId="0" fontId="8" fillId="7" borderId="4" xfId="0" applyFont="1" applyFill="1" applyBorder="1" applyAlignment="1">
      <alignment horizontal="left" vertical="center" wrapText="1"/>
    </xf>
    <xf numFmtId="165" fontId="3" fillId="3" borderId="14" xfId="0" applyNumberFormat="1" applyFont="1" applyFill="1" applyBorder="1" applyAlignment="1">
      <alignment horizontal="right" vertical="center" wrapText="1"/>
    </xf>
    <xf numFmtId="2" fontId="3" fillId="3" borderId="14" xfId="0" applyNumberFormat="1" applyFont="1" applyFill="1" applyBorder="1" applyAlignment="1">
      <alignment horizontal="right" vertical="center" wrapText="1"/>
    </xf>
    <xf numFmtId="0" fontId="3" fillId="3" borderId="14" xfId="0" applyFont="1" applyFill="1" applyBorder="1" applyAlignment="1">
      <alignment horizontal="center" vertical="center" wrapText="1"/>
    </xf>
    <xf numFmtId="0" fontId="8" fillId="10" borderId="4" xfId="0" applyFont="1" applyFill="1" applyBorder="1" applyAlignment="1">
      <alignment horizontal="left" vertical="center" wrapText="1"/>
    </xf>
    <xf numFmtId="0" fontId="3" fillId="3" borderId="14" xfId="0" applyFont="1" applyFill="1" applyBorder="1" applyAlignment="1">
      <alignment horizontal="right" vertical="center" wrapText="1"/>
    </xf>
    <xf numFmtId="2" fontId="12" fillId="10" borderId="4" xfId="0" applyNumberFormat="1" applyFont="1" applyFill="1" applyBorder="1" applyAlignment="1">
      <alignment horizontal="right" vertical="top" wrapText="1"/>
    </xf>
    <xf numFmtId="0" fontId="8" fillId="10" borderId="4" xfId="0" applyFont="1" applyFill="1" applyBorder="1" applyAlignment="1">
      <alignment horizontal="left" vertical="top" wrapText="1"/>
    </xf>
    <xf numFmtId="0" fontId="3" fillId="3" borderId="14" xfId="0" applyFont="1" applyFill="1" applyBorder="1" applyAlignment="1">
      <alignment vertical="center"/>
    </xf>
    <xf numFmtId="2" fontId="13" fillId="0" borderId="0" xfId="0" applyNumberFormat="1" applyFont="1" applyAlignment="1">
      <alignment horizontal="center"/>
    </xf>
    <xf numFmtId="49" fontId="1" fillId="3" borderId="14" xfId="0" applyNumberFormat="1" applyFont="1" applyFill="1" applyBorder="1" applyAlignment="1">
      <alignment horizontal="center" vertical="center" wrapText="1"/>
    </xf>
    <xf numFmtId="49" fontId="1" fillId="11" borderId="0" xfId="0" applyNumberFormat="1" applyFont="1" applyFill="1" applyAlignment="1">
      <alignment horizontal="center" vertical="center" wrapText="1"/>
    </xf>
    <xf numFmtId="49" fontId="1" fillId="11" borderId="23" xfId="0" applyNumberFormat="1" applyFont="1" applyFill="1" applyBorder="1" applyAlignment="1">
      <alignment horizontal="center" vertical="center" wrapText="1"/>
    </xf>
    <xf numFmtId="2" fontId="1" fillId="3" borderId="14" xfId="0" applyNumberFormat="1" applyFont="1" applyFill="1" applyBorder="1" applyAlignment="1">
      <alignment horizontal="center" vertical="center" wrapText="1"/>
    </xf>
    <xf numFmtId="0" fontId="1" fillId="11" borderId="0" xfId="0" applyFont="1" applyFill="1" applyAlignment="1">
      <alignment horizontal="left" vertical="center" wrapText="1"/>
    </xf>
    <xf numFmtId="49" fontId="3" fillId="3" borderId="14" xfId="0" applyNumberFormat="1" applyFont="1" applyFill="1" applyBorder="1" applyAlignment="1">
      <alignment horizontal="center" vertical="center" wrapText="1"/>
    </xf>
    <xf numFmtId="0" fontId="1" fillId="11" borderId="14" xfId="0" applyFont="1" applyFill="1" applyBorder="1" applyAlignment="1">
      <alignment horizontal="center" vertical="center" wrapText="1"/>
    </xf>
    <xf numFmtId="49" fontId="1" fillId="11" borderId="25" xfId="0" applyNumberFormat="1" applyFont="1" applyFill="1" applyBorder="1" applyAlignment="1">
      <alignment horizontal="left" vertical="center" wrapText="1"/>
    </xf>
    <xf numFmtId="0" fontId="3" fillId="11" borderId="4" xfId="0" applyFont="1" applyFill="1" applyBorder="1" applyAlignment="1">
      <alignment vertical="center" wrapText="1"/>
    </xf>
    <xf numFmtId="0" fontId="3" fillId="11" borderId="15" xfId="0" applyFont="1" applyFill="1" applyBorder="1" applyAlignment="1">
      <alignment vertical="center" wrapText="1"/>
    </xf>
    <xf numFmtId="0" fontId="3" fillId="11" borderId="4" xfId="0" applyFont="1" applyFill="1" applyBorder="1" applyAlignment="1">
      <alignment horizontal="center" vertical="center" wrapText="1"/>
    </xf>
    <xf numFmtId="0" fontId="3" fillId="11" borderId="4"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1" borderId="18" xfId="0" applyFont="1" applyFill="1" applyBorder="1" applyAlignment="1">
      <alignment vertical="center" wrapText="1"/>
    </xf>
    <xf numFmtId="0" fontId="3" fillId="11" borderId="14" xfId="0" applyFont="1" applyFill="1" applyBorder="1" applyAlignment="1">
      <alignment vertical="center" wrapText="1"/>
    </xf>
    <xf numFmtId="167" fontId="3" fillId="11" borderId="26" xfId="0" applyNumberFormat="1" applyFont="1" applyFill="1" applyBorder="1" applyAlignment="1">
      <alignment horizontal="center" vertical="center" wrapText="1"/>
    </xf>
    <xf numFmtId="167" fontId="3" fillId="11" borderId="0" xfId="0" applyNumberFormat="1" applyFont="1" applyFill="1" applyAlignment="1">
      <alignment horizontal="center" vertical="center" wrapText="1"/>
    </xf>
    <xf numFmtId="0" fontId="3" fillId="11" borderId="4" xfId="0" applyFont="1" applyFill="1" applyBorder="1" applyAlignment="1">
      <alignment vertical="center" wrapText="1"/>
    </xf>
    <xf numFmtId="49" fontId="3" fillId="3" borderId="14" xfId="0" applyNumberFormat="1" applyFont="1" applyFill="1" applyBorder="1" applyAlignment="1">
      <alignment vertical="center"/>
    </xf>
    <xf numFmtId="0" fontId="3" fillId="11" borderId="14" xfId="0" applyFont="1" applyFill="1" applyBorder="1" applyAlignment="1">
      <alignment vertical="center" wrapText="1"/>
    </xf>
    <xf numFmtId="0" fontId="3" fillId="11" borderId="18" xfId="0" applyFont="1" applyFill="1" applyBorder="1" applyAlignment="1">
      <alignment horizontal="center" vertical="center" wrapText="1"/>
    </xf>
    <xf numFmtId="0" fontId="3" fillId="11" borderId="18" xfId="0" applyFont="1" applyFill="1" applyBorder="1" applyAlignment="1">
      <alignment horizontal="center" vertical="center" wrapText="1"/>
    </xf>
    <xf numFmtId="0" fontId="1" fillId="11" borderId="0" xfId="0" applyFont="1" applyFill="1" applyAlignment="1">
      <alignment vertical="center" wrapText="1"/>
    </xf>
    <xf numFmtId="49" fontId="1" fillId="11" borderId="25" xfId="0" applyNumberFormat="1" applyFont="1" applyFill="1" applyBorder="1" applyAlignment="1">
      <alignment horizontal="left" vertical="center" wrapText="1"/>
    </xf>
    <xf numFmtId="0" fontId="1" fillId="11" borderId="5" xfId="0" applyFont="1" applyFill="1" applyBorder="1" applyAlignment="1">
      <alignment horizontal="right" vertical="center" wrapText="1"/>
    </xf>
    <xf numFmtId="0" fontId="3" fillId="11" borderId="0" xfId="0" applyFont="1" applyFill="1" applyAlignment="1">
      <alignment horizontal="center" vertical="center" wrapText="1"/>
    </xf>
    <xf numFmtId="0" fontId="3" fillId="11" borderId="14" xfId="0" applyFont="1" applyFill="1" applyBorder="1" applyAlignment="1">
      <alignment horizontal="center" vertical="center" wrapText="1"/>
    </xf>
    <xf numFmtId="0" fontId="3" fillId="11" borderId="5" xfId="0" applyFont="1" applyFill="1" applyBorder="1" applyAlignment="1">
      <alignment horizontal="center" vertical="center" wrapText="1"/>
    </xf>
    <xf numFmtId="0" fontId="3" fillId="11" borderId="6" xfId="0" applyFont="1" applyFill="1" applyBorder="1" applyAlignment="1">
      <alignment horizontal="center" vertical="center" wrapText="1"/>
    </xf>
    <xf numFmtId="165" fontId="3" fillId="11" borderId="14" xfId="0" applyNumberFormat="1" applyFont="1" applyFill="1" applyBorder="1" applyAlignment="1">
      <alignment horizontal="right" vertical="center" wrapText="1"/>
    </xf>
    <xf numFmtId="167" fontId="1" fillId="11" borderId="27" xfId="0" applyNumberFormat="1" applyFont="1" applyFill="1" applyBorder="1" applyAlignment="1">
      <alignment horizontal="center" vertical="center" wrapText="1"/>
    </xf>
    <xf numFmtId="167" fontId="1" fillId="11" borderId="0" xfId="0" applyNumberFormat="1" applyFont="1" applyFill="1" applyAlignment="1">
      <alignment horizontal="center" vertical="center" wrapText="1"/>
    </xf>
    <xf numFmtId="0" fontId="3" fillId="11" borderId="4" xfId="0" applyFont="1" applyFill="1" applyBorder="1" applyAlignment="1">
      <alignment horizontal="right" vertical="center" wrapText="1"/>
    </xf>
    <xf numFmtId="0" fontId="3" fillId="11" borderId="1" xfId="0" applyFont="1" applyFill="1" applyBorder="1" applyAlignment="1">
      <alignment horizontal="center" vertical="center" wrapText="1"/>
    </xf>
    <xf numFmtId="49" fontId="1" fillId="12" borderId="14" xfId="0" applyNumberFormat="1" applyFont="1" applyFill="1" applyBorder="1" applyAlignment="1">
      <alignment horizontal="center" vertical="center" wrapText="1"/>
    </xf>
    <xf numFmtId="2" fontId="3" fillId="11" borderId="14" xfId="0" applyNumberFormat="1" applyFont="1" applyFill="1" applyBorder="1" applyAlignment="1">
      <alignment horizontal="right" vertical="center" wrapText="1"/>
    </xf>
    <xf numFmtId="0" fontId="1" fillId="12" borderId="14" xfId="0" applyFont="1" applyFill="1" applyBorder="1" applyAlignment="1">
      <alignment horizontal="center" vertical="center" wrapText="1"/>
    </xf>
    <xf numFmtId="0" fontId="3" fillId="11" borderId="14" xfId="0" applyFont="1" applyFill="1" applyBorder="1" applyAlignment="1">
      <alignment horizontal="center" vertical="center" wrapText="1"/>
    </xf>
    <xf numFmtId="2" fontId="1" fillId="12" borderId="14" xfId="0" applyNumberFormat="1" applyFont="1" applyFill="1" applyBorder="1" applyAlignment="1">
      <alignment horizontal="center" vertical="center" wrapText="1"/>
    </xf>
    <xf numFmtId="0" fontId="1" fillId="13" borderId="0" xfId="0" applyFont="1" applyFill="1" applyAlignment="1">
      <alignment horizontal="center" vertical="center" wrapText="1"/>
    </xf>
    <xf numFmtId="0" fontId="3" fillId="11" borderId="14" xfId="0" applyFont="1" applyFill="1" applyBorder="1" applyAlignment="1">
      <alignment horizontal="right" vertical="center" wrapText="1"/>
    </xf>
    <xf numFmtId="49" fontId="3" fillId="12" borderId="14" xfId="0" applyNumberFormat="1" applyFont="1" applyFill="1" applyBorder="1" applyAlignment="1">
      <alignment horizontal="center" vertical="center" wrapText="1"/>
    </xf>
    <xf numFmtId="0" fontId="3" fillId="12" borderId="14" xfId="0" applyFont="1" applyFill="1" applyBorder="1" applyAlignment="1">
      <alignment vertical="center" wrapText="1"/>
    </xf>
    <xf numFmtId="167" fontId="1" fillId="13" borderId="0" xfId="0" applyNumberFormat="1" applyFont="1" applyFill="1" applyAlignment="1">
      <alignment horizontal="center" vertical="center" wrapText="1"/>
    </xf>
    <xf numFmtId="0" fontId="3" fillId="12" borderId="14"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1" borderId="14" xfId="0" applyFont="1" applyFill="1" applyBorder="1" applyAlignment="1">
      <alignment vertical="center"/>
    </xf>
    <xf numFmtId="2" fontId="3" fillId="12" borderId="14" xfId="0" applyNumberFormat="1" applyFont="1" applyFill="1" applyBorder="1" applyAlignment="1">
      <alignment horizontal="right" vertical="center" wrapText="1"/>
    </xf>
    <xf numFmtId="49" fontId="3" fillId="12" borderId="14" xfId="0" applyNumberFormat="1" applyFont="1" applyFill="1" applyBorder="1" applyAlignment="1">
      <alignment vertical="center"/>
    </xf>
    <xf numFmtId="0" fontId="14" fillId="0" borderId="0" xfId="0" applyFont="1" applyAlignment="1">
      <alignment horizontal="center" vertical="center"/>
    </xf>
    <xf numFmtId="0" fontId="3"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vertical="center" wrapText="1"/>
    </xf>
    <xf numFmtId="49" fontId="3" fillId="12" borderId="14" xfId="0" applyNumberFormat="1" applyFont="1" applyFill="1" applyBorder="1" applyAlignment="1">
      <alignment horizontal="center" vertical="center" wrapText="1"/>
    </xf>
    <xf numFmtId="49" fontId="1" fillId="2" borderId="14" xfId="0" applyNumberFormat="1" applyFont="1" applyFill="1" applyBorder="1" applyAlignment="1">
      <alignment horizontal="center" vertical="center" wrapText="1"/>
    </xf>
    <xf numFmtId="0" fontId="1" fillId="2" borderId="14" xfId="0" applyFont="1" applyFill="1" applyBorder="1" applyAlignment="1">
      <alignment horizontal="center" vertical="center" wrapText="1"/>
    </xf>
    <xf numFmtId="2" fontId="1" fillId="2" borderId="14" xfId="0" applyNumberFormat="1" applyFont="1" applyFill="1" applyBorder="1" applyAlignment="1">
      <alignment horizontal="center" vertical="center" wrapText="1"/>
    </xf>
    <xf numFmtId="49" fontId="3" fillId="2" borderId="14" xfId="0" applyNumberFormat="1" applyFont="1" applyFill="1" applyBorder="1" applyAlignment="1">
      <alignment horizontal="center" vertical="center" wrapText="1"/>
    </xf>
    <xf numFmtId="0" fontId="3" fillId="2" borderId="14" xfId="0" applyFont="1" applyFill="1" applyBorder="1" applyAlignment="1">
      <alignment vertical="center" wrapText="1"/>
    </xf>
    <xf numFmtId="0" fontId="3" fillId="2" borderId="14" xfId="0" applyFont="1" applyFill="1" applyBorder="1" applyAlignment="1">
      <alignment horizontal="center" vertical="center" wrapText="1"/>
    </xf>
    <xf numFmtId="0" fontId="14" fillId="0" borderId="0" xfId="0" applyFont="1" applyAlignment="1">
      <alignment horizontal="center" vertical="center"/>
    </xf>
    <xf numFmtId="0" fontId="3" fillId="2" borderId="14" xfId="0" applyFont="1" applyFill="1" applyBorder="1" applyAlignment="1">
      <alignment horizontal="center" vertical="center" wrapText="1"/>
    </xf>
    <xf numFmtId="2" fontId="3" fillId="2" borderId="14" xfId="0" applyNumberFormat="1" applyFont="1" applyFill="1" applyBorder="1" applyAlignment="1">
      <alignment horizontal="right" vertical="center" wrapText="1"/>
    </xf>
    <xf numFmtId="49" fontId="3" fillId="2" borderId="14" xfId="0" applyNumberFormat="1" applyFont="1" applyFill="1" applyBorder="1" applyAlignment="1">
      <alignment vertical="center"/>
    </xf>
    <xf numFmtId="0" fontId="3" fillId="0" borderId="4" xfId="0" applyFont="1" applyBorder="1" applyAlignment="1">
      <alignment horizontal="center" vertical="center" wrapText="1"/>
    </xf>
    <xf numFmtId="0" fontId="1" fillId="3" borderId="4" xfId="0" applyFont="1" applyFill="1" applyBorder="1" applyAlignment="1">
      <alignment horizontal="center" vertical="center" wrapText="1"/>
    </xf>
    <xf numFmtId="167" fontId="3" fillId="3" borderId="4" xfId="0" applyNumberFormat="1" applyFont="1" applyFill="1" applyBorder="1" applyAlignment="1">
      <alignment horizontal="center" vertical="center" wrapText="1"/>
    </xf>
    <xf numFmtId="167" fontId="3" fillId="3" borderId="4" xfId="0" applyNumberFormat="1" applyFont="1" applyFill="1" applyBorder="1" applyAlignment="1">
      <alignment horizontal="center" vertical="center" wrapText="1"/>
    </xf>
    <xf numFmtId="0" fontId="3" fillId="11" borderId="18" xfId="0" applyFont="1" applyFill="1" applyBorder="1" applyAlignment="1">
      <alignment horizontal="center" vertical="center"/>
    </xf>
    <xf numFmtId="0" fontId="1" fillId="11" borderId="14" xfId="0" applyFont="1" applyFill="1" applyBorder="1" applyAlignment="1">
      <alignment horizontal="center" vertical="center"/>
    </xf>
    <xf numFmtId="167" fontId="1" fillId="11" borderId="14" xfId="0" applyNumberFormat="1" applyFont="1" applyFill="1" applyBorder="1" applyAlignment="1">
      <alignment horizontal="center" vertical="center"/>
    </xf>
    <xf numFmtId="0" fontId="3" fillId="11" borderId="14" xfId="0" applyFont="1" applyFill="1" applyBorder="1" applyAlignment="1">
      <alignment horizontal="center" vertical="center"/>
    </xf>
    <xf numFmtId="167" fontId="3" fillId="11" borderId="14" xfId="0" applyNumberFormat="1" applyFont="1" applyFill="1" applyBorder="1" applyAlignment="1">
      <alignment horizontal="center" vertical="center"/>
    </xf>
    <xf numFmtId="167" fontId="1" fillId="3" borderId="4" xfId="0" applyNumberFormat="1" applyFont="1" applyFill="1" applyBorder="1" applyAlignment="1">
      <alignment horizontal="center" vertical="center" wrapText="1"/>
    </xf>
    <xf numFmtId="2" fontId="3" fillId="3" borderId="4" xfId="0" applyNumberFormat="1" applyFont="1" applyFill="1" applyBorder="1" applyAlignment="1">
      <alignment horizontal="center" vertical="center" wrapText="1"/>
    </xf>
    <xf numFmtId="0" fontId="14" fillId="0" borderId="0" xfId="0" applyFont="1"/>
    <xf numFmtId="0" fontId="10" fillId="7" borderId="4" xfId="0" applyFont="1" applyFill="1" applyBorder="1" applyAlignment="1">
      <alignment vertical="top"/>
    </xf>
    <xf numFmtId="0" fontId="10" fillId="7" borderId="4" xfId="0" applyFont="1" applyFill="1" applyBorder="1" applyAlignment="1">
      <alignment vertical="top"/>
    </xf>
    <xf numFmtId="0" fontId="10" fillId="7" borderId="4" xfId="0" applyFont="1" applyFill="1" applyBorder="1" applyAlignment="1">
      <alignment horizontal="left" vertical="top"/>
    </xf>
    <xf numFmtId="0" fontId="3" fillId="11" borderId="14" xfId="0" applyFont="1" applyFill="1" applyBorder="1" applyAlignment="1">
      <alignment vertical="center"/>
    </xf>
    <xf numFmtId="0" fontId="1" fillId="15" borderId="4" xfId="0" applyFont="1" applyFill="1" applyBorder="1" applyAlignment="1">
      <alignment horizontal="center" vertical="center" wrapText="1"/>
    </xf>
    <xf numFmtId="0" fontId="3" fillId="15" borderId="4" xfId="0" applyFont="1" applyFill="1" applyBorder="1" applyAlignment="1">
      <alignment horizontal="center" vertical="center" wrapText="1"/>
    </xf>
    <xf numFmtId="0" fontId="3" fillId="15" borderId="4" xfId="0" applyFont="1" applyFill="1" applyBorder="1" applyAlignment="1">
      <alignment vertical="center" wrapText="1"/>
    </xf>
    <xf numFmtId="167" fontId="3" fillId="15" borderId="4" xfId="0" applyNumberFormat="1" applyFont="1" applyFill="1" applyBorder="1" applyAlignment="1">
      <alignment horizontal="center" vertical="center" wrapText="1"/>
    </xf>
    <xf numFmtId="0" fontId="3" fillId="15" borderId="4" xfId="0" applyFont="1" applyFill="1" applyBorder="1" applyAlignment="1">
      <alignment vertical="center" wrapText="1"/>
    </xf>
    <xf numFmtId="0" fontId="3" fillId="15" borderId="4" xfId="0" applyFont="1" applyFill="1" applyBorder="1" applyAlignment="1">
      <alignment horizontal="center" vertical="center" wrapText="1"/>
    </xf>
    <xf numFmtId="167" fontId="3" fillId="15" borderId="4" xfId="0" applyNumberFormat="1" applyFont="1" applyFill="1" applyBorder="1" applyAlignment="1">
      <alignment horizontal="center" vertical="center" wrapText="1"/>
    </xf>
    <xf numFmtId="0" fontId="3" fillId="11" borderId="18" xfId="0" applyFont="1" applyFill="1" applyBorder="1" applyAlignment="1">
      <alignment vertical="center"/>
    </xf>
    <xf numFmtId="167" fontId="3" fillId="11" borderId="18" xfId="0" applyNumberFormat="1" applyFont="1" applyFill="1" applyBorder="1" applyAlignment="1">
      <alignment horizontal="center" vertical="center"/>
    </xf>
    <xf numFmtId="2" fontId="10" fillId="0" borderId="0" xfId="0" applyNumberFormat="1" applyFont="1" applyAlignment="1">
      <alignment horizontal="center" vertical="center" wrapText="1"/>
    </xf>
    <xf numFmtId="167" fontId="1" fillId="11" borderId="4" xfId="0" applyNumberFormat="1" applyFont="1" applyFill="1" applyBorder="1" applyAlignment="1">
      <alignment horizontal="center" vertical="center"/>
    </xf>
    <xf numFmtId="0" fontId="3" fillId="11" borderId="4" xfId="0" applyFont="1" applyFill="1" applyBorder="1" applyAlignment="1">
      <alignment horizontal="center" vertical="center"/>
    </xf>
    <xf numFmtId="0" fontId="1" fillId="11" borderId="29" xfId="0" applyFont="1" applyFill="1" applyBorder="1" applyAlignment="1">
      <alignment horizontal="center" vertical="center"/>
    </xf>
    <xf numFmtId="0" fontId="1" fillId="11" borderId="19" xfId="0" applyFont="1" applyFill="1" applyBorder="1" applyAlignment="1">
      <alignment horizontal="center" vertical="center"/>
    </xf>
    <xf numFmtId="167" fontId="1" fillId="11" borderId="19" xfId="0" applyNumberFormat="1" applyFont="1" applyFill="1" applyBorder="1" applyAlignment="1">
      <alignment horizontal="center" vertical="center"/>
    </xf>
    <xf numFmtId="0" fontId="3" fillId="11" borderId="19" xfId="0" applyFont="1" applyFill="1" applyBorder="1" applyAlignment="1">
      <alignment horizontal="center" vertical="center"/>
    </xf>
    <xf numFmtId="0" fontId="3" fillId="11" borderId="14" xfId="0" applyFont="1" applyFill="1" applyBorder="1" applyAlignment="1">
      <alignment horizontal="center" vertical="center"/>
    </xf>
    <xf numFmtId="0" fontId="9" fillId="7" borderId="4" xfId="0" applyFont="1" applyFill="1" applyBorder="1" applyAlignment="1">
      <alignment horizontal="right" vertical="center" wrapText="1"/>
    </xf>
    <xf numFmtId="167" fontId="1" fillId="15" borderId="4" xfId="0" applyNumberFormat="1" applyFont="1" applyFill="1" applyBorder="1" applyAlignment="1">
      <alignment horizontal="center" vertical="center" wrapText="1"/>
    </xf>
    <xf numFmtId="167" fontId="3" fillId="11" borderId="14" xfId="0" applyNumberFormat="1" applyFont="1" applyFill="1" applyBorder="1" applyAlignment="1">
      <alignment horizontal="center" vertical="center"/>
    </xf>
    <xf numFmtId="2" fontId="3" fillId="15" borderId="4" xfId="0" applyNumberFormat="1" applyFont="1" applyFill="1" applyBorder="1" applyAlignment="1">
      <alignment horizontal="center" vertical="center" wrapText="1"/>
    </xf>
    <xf numFmtId="0" fontId="10" fillId="7" borderId="4" xfId="0" applyFont="1" applyFill="1" applyBorder="1" applyAlignment="1">
      <alignment horizontal="left" vertical="top"/>
    </xf>
    <xf numFmtId="168" fontId="3" fillId="15" borderId="4" xfId="0" applyNumberFormat="1" applyFont="1" applyFill="1" applyBorder="1" applyAlignment="1">
      <alignment horizontal="center" vertical="center" wrapText="1"/>
    </xf>
    <xf numFmtId="0" fontId="17" fillId="12" borderId="14" xfId="0" applyFont="1" applyFill="1" applyBorder="1" applyAlignment="1">
      <alignment horizontal="center" vertical="center"/>
    </xf>
    <xf numFmtId="167" fontId="17" fillId="12" borderId="14" xfId="0" applyNumberFormat="1" applyFont="1" applyFill="1" applyBorder="1" applyAlignment="1">
      <alignment horizontal="center" vertical="center"/>
    </xf>
    <xf numFmtId="0" fontId="17" fillId="12" borderId="14" xfId="0" applyFont="1" applyFill="1" applyBorder="1" applyAlignment="1">
      <alignment vertical="center"/>
    </xf>
    <xf numFmtId="0" fontId="16" fillId="12" borderId="14" xfId="0" applyFont="1" applyFill="1" applyBorder="1" applyAlignment="1">
      <alignment horizontal="center" vertical="center"/>
    </xf>
    <xf numFmtId="167" fontId="16" fillId="12" borderId="14" xfId="0" applyNumberFormat="1" applyFont="1" applyFill="1" applyBorder="1" applyAlignment="1">
      <alignment horizontal="center" vertical="center"/>
    </xf>
    <xf numFmtId="0" fontId="16" fillId="12" borderId="14" xfId="0" applyFont="1" applyFill="1" applyBorder="1" applyAlignment="1">
      <alignment vertical="center"/>
    </xf>
    <xf numFmtId="2" fontId="3" fillId="0" borderId="4" xfId="0" applyNumberFormat="1" applyFont="1" applyBorder="1" applyAlignment="1">
      <alignment horizontal="left" vertical="center" wrapText="1"/>
    </xf>
    <xf numFmtId="0" fontId="9" fillId="7" borderId="4" xfId="0" applyFont="1" applyFill="1" applyBorder="1" applyAlignment="1">
      <alignment vertical="top"/>
    </xf>
    <xf numFmtId="167" fontId="3" fillId="11" borderId="14" xfId="0" applyNumberFormat="1" applyFont="1" applyFill="1" applyBorder="1" applyAlignment="1">
      <alignment horizontal="center" vertical="center" wrapText="1"/>
    </xf>
    <xf numFmtId="2" fontId="3" fillId="11" borderId="14" xfId="0" applyNumberFormat="1" applyFont="1" applyFill="1" applyBorder="1" applyAlignment="1">
      <alignment horizontal="center" vertical="center" wrapText="1"/>
    </xf>
    <xf numFmtId="0" fontId="3" fillId="11" borderId="14" xfId="0" applyFont="1" applyFill="1" applyBorder="1" applyAlignment="1">
      <alignment horizontal="left" vertical="center" wrapText="1"/>
    </xf>
    <xf numFmtId="0" fontId="16" fillId="12" borderId="14" xfId="0" applyFont="1" applyFill="1" applyBorder="1" applyAlignment="1">
      <alignment horizontal="center" vertical="center"/>
    </xf>
    <xf numFmtId="169" fontId="3" fillId="11" borderId="14" xfId="0" applyNumberFormat="1" applyFont="1" applyFill="1" applyBorder="1" applyAlignment="1">
      <alignment horizontal="center" vertical="center" wrapText="1"/>
    </xf>
    <xf numFmtId="167" fontId="17" fillId="12" borderId="4" xfId="0" applyNumberFormat="1" applyFont="1" applyFill="1" applyBorder="1" applyAlignment="1">
      <alignment horizontal="center" vertical="center"/>
    </xf>
    <xf numFmtId="0" fontId="17" fillId="12" borderId="14" xfId="0" applyFont="1" applyFill="1" applyBorder="1" applyAlignment="1">
      <alignment horizontal="center" vertical="center"/>
    </xf>
    <xf numFmtId="0" fontId="16" fillId="12" borderId="14" xfId="0" applyFont="1" applyFill="1" applyBorder="1" applyAlignment="1">
      <alignment vertical="center"/>
    </xf>
    <xf numFmtId="0" fontId="16" fillId="12" borderId="14" xfId="0" applyFont="1" applyFill="1" applyBorder="1" applyAlignment="1">
      <alignment horizontal="center" vertical="center"/>
    </xf>
    <xf numFmtId="0" fontId="16" fillId="12" borderId="14" xfId="0" applyFont="1" applyFill="1" applyBorder="1" applyAlignment="1">
      <alignment horizontal="center" vertical="center"/>
    </xf>
    <xf numFmtId="2" fontId="13" fillId="0" borderId="0" xfId="0" applyNumberFormat="1" applyFont="1" applyAlignment="1">
      <alignment horizontal="center" vertical="center" wrapText="1"/>
    </xf>
    <xf numFmtId="0" fontId="19" fillId="6" borderId="4" xfId="0" applyFont="1" applyFill="1" applyBorder="1" applyAlignment="1">
      <alignment horizontal="center" vertical="center" wrapText="1"/>
    </xf>
    <xf numFmtId="0" fontId="20" fillId="0" borderId="4" xfId="0" applyFont="1" applyBorder="1" applyAlignment="1">
      <alignment vertical="center" wrapText="1"/>
    </xf>
    <xf numFmtId="167" fontId="16" fillId="12" borderId="14" xfId="0" applyNumberFormat="1" applyFont="1" applyFill="1" applyBorder="1" applyAlignment="1">
      <alignment horizontal="center" vertical="center"/>
    </xf>
    <xf numFmtId="0" fontId="20" fillId="16" borderId="4" xfId="0" applyFont="1" applyFill="1" applyBorder="1" applyAlignment="1">
      <alignment vertical="center" wrapText="1"/>
    </xf>
    <xf numFmtId="0" fontId="3" fillId="12" borderId="14" xfId="0" applyFont="1" applyFill="1" applyBorder="1" applyAlignment="1">
      <alignment horizontal="center" vertical="center"/>
    </xf>
    <xf numFmtId="0" fontId="20" fillId="16" borderId="4" xfId="0" applyFont="1" applyFill="1" applyBorder="1" applyAlignment="1">
      <alignment vertical="center" wrapText="1"/>
    </xf>
    <xf numFmtId="0" fontId="20" fillId="0" borderId="4" xfId="0" applyFont="1" applyBorder="1" applyAlignment="1">
      <alignment vertical="center" wrapText="1"/>
    </xf>
    <xf numFmtId="0" fontId="1" fillId="11" borderId="14" xfId="0" applyFont="1" applyFill="1" applyBorder="1" applyAlignment="1">
      <alignment vertical="center"/>
    </xf>
    <xf numFmtId="170" fontId="20" fillId="0" borderId="4" xfId="0" applyNumberFormat="1" applyFont="1" applyBorder="1" applyAlignment="1">
      <alignment vertical="center" wrapText="1"/>
    </xf>
    <xf numFmtId="0" fontId="20" fillId="0" borderId="4" xfId="0" applyFont="1" applyBorder="1" applyAlignment="1">
      <alignment vertical="center" wrapText="1"/>
    </xf>
    <xf numFmtId="0" fontId="18" fillId="0" borderId="4" xfId="0" applyFont="1" applyBorder="1" applyAlignment="1">
      <alignment vertical="center" wrapText="1"/>
    </xf>
    <xf numFmtId="0" fontId="14" fillId="11" borderId="0" xfId="0" applyFont="1" applyFill="1"/>
    <xf numFmtId="0" fontId="18" fillId="3" borderId="4" xfId="0" applyFont="1" applyFill="1" applyBorder="1" applyAlignment="1">
      <alignment vertical="center" wrapText="1"/>
    </xf>
    <xf numFmtId="2" fontId="13" fillId="10" borderId="0" xfId="0" applyNumberFormat="1" applyFont="1" applyFill="1" applyAlignment="1">
      <alignment horizontal="center" vertical="center" wrapText="1"/>
    </xf>
    <xf numFmtId="0" fontId="3" fillId="11" borderId="14" xfId="0" applyFont="1" applyFill="1" applyBorder="1" applyAlignment="1">
      <alignment horizontal="left" vertical="center" wrapText="1"/>
    </xf>
    <xf numFmtId="167" fontId="3" fillId="11" borderId="14" xfId="0" applyNumberFormat="1" applyFont="1" applyFill="1" applyBorder="1" applyAlignment="1">
      <alignment horizontal="center" vertical="center" wrapText="1"/>
    </xf>
    <xf numFmtId="2" fontId="1" fillId="11" borderId="14" xfId="0" applyNumberFormat="1" applyFont="1" applyFill="1" applyBorder="1" applyAlignment="1">
      <alignment horizontal="center" vertical="center" wrapText="1"/>
    </xf>
    <xf numFmtId="2" fontId="13" fillId="0" borderId="0" xfId="0" applyNumberFormat="1" applyFont="1" applyAlignment="1">
      <alignment vertical="center" wrapText="1"/>
    </xf>
    <xf numFmtId="0" fontId="20" fillId="16" borderId="4" xfId="0" applyFont="1" applyFill="1" applyBorder="1" applyAlignment="1">
      <alignment vertical="center" wrapText="1"/>
    </xf>
    <xf numFmtId="2" fontId="14" fillId="0" borderId="0" xfId="0" applyNumberFormat="1" applyFont="1" applyAlignment="1">
      <alignment horizontal="center"/>
    </xf>
    <xf numFmtId="49" fontId="15" fillId="2" borderId="4" xfId="0" applyNumberFormat="1" applyFont="1" applyFill="1" applyBorder="1" applyAlignment="1">
      <alignment horizontal="center" vertical="center" wrapText="1"/>
    </xf>
    <xf numFmtId="49" fontId="11" fillId="0" borderId="4" xfId="0" applyNumberFormat="1" applyFont="1" applyBorder="1" applyAlignment="1">
      <alignment horizontal="center" vertical="center" wrapText="1"/>
    </xf>
    <xf numFmtId="0" fontId="11" fillId="0" borderId="4" xfId="0" applyFont="1" applyBorder="1" applyAlignment="1">
      <alignment horizontal="left" vertical="center" wrapText="1"/>
    </xf>
    <xf numFmtId="0" fontId="11" fillId="0" borderId="4" xfId="0" applyFont="1" applyBorder="1" applyAlignment="1">
      <alignment horizontal="center" vertical="center" wrapText="1"/>
    </xf>
    <xf numFmtId="3" fontId="11" fillId="0" borderId="4" xfId="0" applyNumberFormat="1" applyFont="1" applyBorder="1" applyAlignment="1">
      <alignment horizontal="center" vertical="center" wrapText="1"/>
    </xf>
    <xf numFmtId="167" fontId="11" fillId="0" borderId="4" xfId="0" applyNumberFormat="1" applyFont="1" applyBorder="1" applyAlignment="1">
      <alignment horizontal="center" vertical="center" wrapText="1"/>
    </xf>
    <xf numFmtId="49" fontId="11" fillId="0" borderId="4" xfId="0" applyNumberFormat="1" applyFont="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left" vertical="center" wrapText="1"/>
    </xf>
    <xf numFmtId="0" fontId="15" fillId="0" borderId="4" xfId="0" applyFont="1" applyBorder="1" applyAlignment="1">
      <alignment horizontal="left" vertical="center" wrapText="1"/>
    </xf>
    <xf numFmtId="167" fontId="15" fillId="0" borderId="4" xfId="0" applyNumberFormat="1" applyFont="1" applyBorder="1" applyAlignment="1">
      <alignment horizontal="center" vertical="center" wrapText="1"/>
    </xf>
    <xf numFmtId="49" fontId="11" fillId="0" borderId="4" xfId="0" applyNumberFormat="1" applyFont="1" applyBorder="1" applyAlignment="1">
      <alignment horizontal="left" vertical="center" wrapText="1"/>
    </xf>
    <xf numFmtId="0" fontId="22" fillId="0" borderId="4" xfId="0" applyFont="1" applyBorder="1" applyAlignment="1">
      <alignment horizontal="center" vertical="center" wrapText="1"/>
    </xf>
    <xf numFmtId="49" fontId="15" fillId="0" borderId="4" xfId="0" applyNumberFormat="1" applyFont="1" applyBorder="1" applyAlignment="1">
      <alignment horizontal="center" vertical="center" wrapText="1"/>
    </xf>
    <xf numFmtId="2" fontId="3" fillId="0" borderId="4" xfId="0" applyNumberFormat="1" applyFont="1" applyBorder="1" applyAlignment="1">
      <alignment horizontal="center" vertical="center" wrapText="1"/>
    </xf>
    <xf numFmtId="4" fontId="3" fillId="8" borderId="4" xfId="0" applyNumberFormat="1" applyFont="1" applyFill="1" applyBorder="1" applyAlignment="1">
      <alignment horizontal="center" vertical="center" wrapText="1"/>
    </xf>
    <xf numFmtId="0" fontId="23" fillId="0" borderId="0" xfId="0" applyFont="1" applyAlignment="1">
      <alignment horizontal="center" vertical="center" wrapText="1"/>
    </xf>
    <xf numFmtId="0" fontId="20" fillId="11" borderId="4" xfId="0" applyFont="1" applyFill="1" applyBorder="1" applyAlignment="1">
      <alignment horizontal="center" vertical="center" wrapText="1"/>
    </xf>
    <xf numFmtId="0" fontId="20" fillId="11" borderId="4" xfId="0" applyFont="1" applyFill="1" applyBorder="1" applyAlignment="1">
      <alignment horizontal="left" vertical="center" wrapText="1"/>
    </xf>
    <xf numFmtId="49" fontId="3" fillId="12" borderId="14" xfId="0" applyNumberFormat="1" applyFont="1" applyFill="1" applyBorder="1" applyAlignment="1">
      <alignment vertical="center" wrapText="1"/>
    </xf>
    <xf numFmtId="167" fontId="20" fillId="11" borderId="4" xfId="0" applyNumberFormat="1" applyFont="1" applyFill="1" applyBorder="1" applyAlignment="1">
      <alignment horizontal="center" vertical="center" wrapText="1"/>
    </xf>
    <xf numFmtId="0" fontId="3" fillId="12" borderId="14" xfId="0" applyFont="1" applyFill="1" applyBorder="1" applyAlignment="1">
      <alignment vertical="center" wrapText="1"/>
    </xf>
    <xf numFmtId="2" fontId="20" fillId="11" borderId="4" xfId="0" applyNumberFormat="1" applyFont="1" applyFill="1" applyBorder="1" applyAlignment="1">
      <alignment horizontal="center" vertical="center" wrapText="1"/>
    </xf>
    <xf numFmtId="2" fontId="20" fillId="0" borderId="0" xfId="0" applyNumberFormat="1" applyFont="1" applyAlignment="1">
      <alignment horizontal="center" vertical="center" wrapText="1"/>
    </xf>
    <xf numFmtId="0" fontId="3" fillId="12" borderId="14" xfId="0" applyFont="1" applyFill="1" applyBorder="1" applyAlignment="1">
      <alignment horizontal="right" vertical="center" wrapText="1"/>
    </xf>
    <xf numFmtId="0" fontId="20" fillId="0" borderId="0" xfId="0" applyFont="1" applyAlignment="1">
      <alignment horizontal="center" vertical="center" wrapText="1"/>
    </xf>
    <xf numFmtId="0" fontId="20" fillId="11" borderId="4" xfId="0" applyFont="1" applyFill="1" applyBorder="1" applyAlignment="1">
      <alignment horizontal="center" vertical="center" wrapText="1"/>
    </xf>
    <xf numFmtId="0" fontId="20" fillId="11" borderId="4" xfId="0" applyFont="1" applyFill="1" applyBorder="1" applyAlignment="1">
      <alignment horizontal="left" vertical="center" wrapText="1"/>
    </xf>
    <xf numFmtId="49" fontId="3" fillId="3" borderId="14" xfId="0" applyNumberFormat="1" applyFont="1" applyFill="1" applyBorder="1" applyAlignment="1">
      <alignment vertical="center" wrapText="1"/>
    </xf>
    <xf numFmtId="49" fontId="3" fillId="3" borderId="14" xfId="0" applyNumberFormat="1" applyFont="1" applyFill="1" applyBorder="1" applyAlignment="1">
      <alignment horizontal="center" vertical="center" wrapText="1"/>
    </xf>
    <xf numFmtId="167" fontId="20" fillId="11" borderId="4" xfId="0" applyNumberFormat="1" applyFont="1" applyFill="1" applyBorder="1" applyAlignment="1">
      <alignment horizontal="center" vertical="center" wrapText="1"/>
    </xf>
    <xf numFmtId="0" fontId="14" fillId="11" borderId="4" xfId="0" applyFont="1" applyFill="1" applyBorder="1"/>
    <xf numFmtId="2" fontId="20" fillId="11" borderId="4" xfId="0" applyNumberFormat="1" applyFont="1" applyFill="1" applyBorder="1" applyAlignment="1">
      <alignment horizontal="center" vertical="center" wrapText="1"/>
    </xf>
    <xf numFmtId="0" fontId="20" fillId="0" borderId="0" xfId="0" applyFont="1" applyAlignment="1">
      <alignment horizontal="left" vertical="center" wrapText="1"/>
    </xf>
    <xf numFmtId="0" fontId="14" fillId="11" borderId="4" xfId="0" applyFont="1" applyFill="1" applyBorder="1" applyAlignment="1"/>
    <xf numFmtId="2" fontId="18" fillId="11" borderId="4" xfId="0" applyNumberFormat="1" applyFont="1" applyFill="1" applyBorder="1" applyAlignment="1">
      <alignment horizontal="center" vertical="center" wrapText="1"/>
    </xf>
    <xf numFmtId="2" fontId="18" fillId="0" borderId="0" xfId="0" applyNumberFormat="1" applyFont="1" applyAlignment="1">
      <alignment horizontal="center" vertical="center" wrapText="1"/>
    </xf>
    <xf numFmtId="2" fontId="18" fillId="0" borderId="0" xfId="0" applyNumberFormat="1" applyFont="1" applyAlignment="1">
      <alignment horizontal="center" vertical="center" wrapText="1"/>
    </xf>
    <xf numFmtId="2" fontId="3" fillId="12" borderId="14" xfId="0" applyNumberFormat="1" applyFont="1" applyFill="1" applyBorder="1" applyAlignment="1">
      <alignment vertical="center" wrapText="1"/>
    </xf>
    <xf numFmtId="2" fontId="4" fillId="5" borderId="0" xfId="0" applyNumberFormat="1" applyFont="1" applyFill="1" applyAlignment="1">
      <alignment wrapText="1"/>
    </xf>
    <xf numFmtId="2" fontId="17" fillId="7" borderId="0" xfId="0" applyNumberFormat="1" applyFont="1" applyFill="1" applyAlignment="1">
      <alignment vertical="top" wrapText="1"/>
    </xf>
    <xf numFmtId="2" fontId="10" fillId="7" borderId="0" xfId="0" applyNumberFormat="1" applyFont="1" applyFill="1" applyAlignment="1">
      <alignment horizontal="left" vertical="top" wrapText="1"/>
    </xf>
    <xf numFmtId="2" fontId="10" fillId="7" borderId="0" xfId="0" applyNumberFormat="1" applyFont="1" applyFill="1" applyAlignment="1">
      <alignment horizontal="left" vertical="top" wrapText="1"/>
    </xf>
    <xf numFmtId="2" fontId="3" fillId="3" borderId="14" xfId="0" applyNumberFormat="1" applyFont="1" applyFill="1" applyBorder="1" applyAlignment="1">
      <alignment vertical="center" wrapText="1"/>
    </xf>
    <xf numFmtId="2" fontId="10" fillId="10" borderId="0" xfId="0" applyNumberFormat="1" applyFont="1" applyFill="1" applyAlignment="1">
      <alignment horizontal="center" vertical="top" wrapText="1"/>
    </xf>
    <xf numFmtId="2" fontId="16" fillId="7" borderId="0" xfId="0" applyNumberFormat="1" applyFont="1" applyFill="1" applyAlignment="1">
      <alignment horizontal="left" vertical="top" wrapText="1"/>
    </xf>
    <xf numFmtId="0" fontId="16" fillId="7" borderId="4" xfId="0" applyFont="1" applyFill="1" applyBorder="1" applyAlignment="1">
      <alignment horizontal="center" vertical="center" wrapText="1"/>
    </xf>
    <xf numFmtId="0" fontId="16" fillId="7" borderId="4" xfId="0" applyFont="1" applyFill="1" applyBorder="1" applyAlignment="1">
      <alignment horizontal="right" vertical="center" wrapText="1"/>
    </xf>
    <xf numFmtId="165" fontId="16" fillId="7" borderId="4" xfId="0" applyNumberFormat="1" applyFont="1" applyFill="1" applyBorder="1" applyAlignment="1">
      <alignment horizontal="right" vertical="center" wrapText="1"/>
    </xf>
    <xf numFmtId="2" fontId="16" fillId="7" borderId="0" xfId="0" applyNumberFormat="1" applyFont="1" applyFill="1" applyAlignment="1">
      <alignment horizontal="center" vertical="top" wrapText="1"/>
    </xf>
    <xf numFmtId="165" fontId="10" fillId="7" borderId="4" xfId="0" applyNumberFormat="1" applyFont="1" applyFill="1" applyBorder="1" applyAlignment="1">
      <alignment horizontal="right" vertical="center" wrapText="1"/>
    </xf>
    <xf numFmtId="165" fontId="10" fillId="7" borderId="4" xfId="0" applyNumberFormat="1" applyFont="1" applyFill="1" applyBorder="1" applyAlignment="1">
      <alignment horizontal="center" vertical="center" wrapText="1"/>
    </xf>
    <xf numFmtId="2" fontId="10" fillId="7" borderId="0" xfId="0" applyNumberFormat="1" applyFont="1" applyFill="1" applyAlignment="1">
      <alignment horizontal="center" vertical="top" wrapText="1"/>
    </xf>
    <xf numFmtId="165" fontId="10" fillId="7" borderId="4" xfId="0" applyNumberFormat="1" applyFont="1" applyFill="1" applyBorder="1" applyAlignment="1">
      <alignment horizontal="left" vertical="center" wrapText="1"/>
    </xf>
    <xf numFmtId="0" fontId="16" fillId="7" borderId="4" xfId="0" applyFont="1" applyFill="1" applyBorder="1" applyAlignment="1">
      <alignment horizontal="center" vertical="center" wrapText="1"/>
    </xf>
    <xf numFmtId="2" fontId="16" fillId="7" borderId="0" xfId="0" applyNumberFormat="1" applyFont="1" applyFill="1" applyAlignment="1">
      <alignment horizontal="left" vertical="top" wrapText="1"/>
    </xf>
    <xf numFmtId="0" fontId="16" fillId="10" borderId="4" xfId="0" applyFont="1" applyFill="1" applyBorder="1" applyAlignment="1">
      <alignment horizontal="center" vertical="center" wrapText="1"/>
    </xf>
    <xf numFmtId="2" fontId="16" fillId="10" borderId="0" xfId="0" applyNumberFormat="1" applyFont="1" applyFill="1" applyAlignment="1">
      <alignment horizontal="center" vertical="top" wrapText="1"/>
    </xf>
    <xf numFmtId="2" fontId="16" fillId="7" borderId="4" xfId="0" applyNumberFormat="1" applyFont="1" applyFill="1" applyBorder="1" applyAlignment="1">
      <alignment horizontal="right" vertical="center" wrapText="1"/>
    </xf>
    <xf numFmtId="0" fontId="3" fillId="8" borderId="4" xfId="0" applyFont="1" applyFill="1" applyBorder="1" applyAlignment="1">
      <alignment horizontal="center" vertical="center" wrapText="1"/>
    </xf>
    <xf numFmtId="0" fontId="3" fillId="0" borderId="4" xfId="0" applyFont="1" applyBorder="1" applyAlignment="1">
      <alignment vertical="center" wrapText="1"/>
    </xf>
    <xf numFmtId="2" fontId="13" fillId="0" borderId="4" xfId="0" applyNumberFormat="1" applyFont="1" applyBorder="1" applyAlignment="1">
      <alignment horizontal="center" vertical="center" wrapText="1"/>
    </xf>
    <xf numFmtId="2" fontId="14" fillId="0" borderId="0" xfId="0" applyNumberFormat="1" applyFont="1" applyAlignment="1">
      <alignment horizontal="center" vertical="center" wrapText="1"/>
    </xf>
    <xf numFmtId="0" fontId="10" fillId="0" borderId="4" xfId="0" applyFont="1" applyBorder="1" applyAlignment="1">
      <alignment horizontal="right" vertical="center" wrapText="1"/>
    </xf>
    <xf numFmtId="0" fontId="9" fillId="10" borderId="4" xfId="0" applyFont="1" applyFill="1" applyBorder="1" applyAlignment="1">
      <alignment horizontal="left" vertical="center" wrapText="1"/>
    </xf>
    <xf numFmtId="2" fontId="13" fillId="0" borderId="0" xfId="0" applyNumberFormat="1" applyFont="1" applyAlignment="1">
      <alignment horizontal="center" vertical="center" wrapText="1"/>
    </xf>
    <xf numFmtId="0" fontId="10" fillId="0" borderId="4" xfId="0" applyFont="1" applyBorder="1" applyAlignment="1">
      <alignment horizontal="center" vertical="center" wrapText="1"/>
    </xf>
    <xf numFmtId="0" fontId="10" fillId="0" borderId="4" xfId="0" applyFont="1" applyBorder="1" applyAlignment="1">
      <alignment horizontal="center" vertical="center" wrapText="1"/>
    </xf>
    <xf numFmtId="2" fontId="20" fillId="0" borderId="0" xfId="0" applyNumberFormat="1" applyFont="1"/>
    <xf numFmtId="0" fontId="10" fillId="7" borderId="4" xfId="0" applyFont="1" applyFill="1" applyBorder="1" applyAlignment="1">
      <alignment horizontal="center" wrapText="1"/>
    </xf>
    <xf numFmtId="0" fontId="10" fillId="7" borderId="4" xfId="0" applyFont="1" applyFill="1" applyBorder="1" applyAlignment="1">
      <alignment horizontal="right" wrapText="1"/>
    </xf>
    <xf numFmtId="0" fontId="10" fillId="7" borderId="4" xfId="0" applyFont="1" applyFill="1" applyBorder="1" applyAlignment="1">
      <alignment horizontal="center" wrapText="1"/>
    </xf>
    <xf numFmtId="2" fontId="20" fillId="0" borderId="4" xfId="0" applyNumberFormat="1" applyFont="1" applyBorder="1" applyAlignment="1"/>
    <xf numFmtId="0" fontId="4" fillId="5" borderId="4" xfId="0" applyFont="1" applyFill="1" applyBorder="1" applyAlignment="1">
      <alignment wrapText="1"/>
    </xf>
    <xf numFmtId="0" fontId="20" fillId="7" borderId="4" xfId="0" applyFont="1" applyFill="1" applyBorder="1" applyAlignment="1"/>
    <xf numFmtId="0" fontId="10" fillId="7" borderId="4" xfId="0" applyFont="1" applyFill="1" applyBorder="1" applyAlignment="1">
      <alignment horizontal="center" wrapText="1"/>
    </xf>
    <xf numFmtId="0" fontId="10" fillId="7" borderId="4" xfId="0" applyFont="1" applyFill="1" applyBorder="1" applyAlignment="1">
      <alignment horizontal="right" wrapText="1"/>
    </xf>
    <xf numFmtId="0" fontId="10" fillId="10" borderId="4" xfId="0" applyFont="1" applyFill="1" applyBorder="1" applyAlignment="1">
      <alignment horizontal="center" wrapText="1"/>
    </xf>
    <xf numFmtId="0" fontId="10" fillId="7" borderId="4" xfId="0" applyFont="1" applyFill="1" applyBorder="1" applyAlignment="1">
      <alignment horizontal="right" wrapText="1"/>
    </xf>
    <xf numFmtId="0" fontId="10" fillId="7" borderId="4" xfId="0" applyFont="1" applyFill="1" applyBorder="1" applyAlignment="1">
      <alignment wrapText="1"/>
    </xf>
    <xf numFmtId="0" fontId="9" fillId="7" borderId="4" xfId="0" applyFont="1" applyFill="1" applyBorder="1" applyAlignment="1">
      <alignment horizontal="right" wrapText="1"/>
    </xf>
    <xf numFmtId="2" fontId="13" fillId="0" borderId="4" xfId="0" applyNumberFormat="1" applyFont="1" applyBorder="1" applyAlignment="1">
      <alignment horizontal="center" wrapText="1"/>
    </xf>
    <xf numFmtId="0" fontId="1" fillId="11" borderId="4" xfId="0" applyFont="1" applyFill="1" applyBorder="1" applyAlignment="1">
      <alignment horizontal="center" vertical="center" wrapText="1"/>
    </xf>
    <xf numFmtId="0" fontId="1" fillId="11" borderId="4" xfId="0" applyFont="1" applyFill="1" applyBorder="1" applyAlignment="1">
      <alignment horizontal="center" vertical="center" wrapText="1"/>
    </xf>
    <xf numFmtId="165" fontId="3" fillId="11" borderId="4" xfId="0" applyNumberFormat="1" applyFont="1" applyFill="1" applyBorder="1" applyAlignment="1">
      <alignment horizontal="right" vertical="center" wrapText="1"/>
    </xf>
    <xf numFmtId="2" fontId="3" fillId="11" borderId="4" xfId="0" applyNumberFormat="1" applyFont="1" applyFill="1" applyBorder="1" applyAlignment="1">
      <alignment horizontal="right" vertical="center" wrapText="1"/>
    </xf>
    <xf numFmtId="165" fontId="3" fillId="3" borderId="4" xfId="0" applyNumberFormat="1" applyFont="1" applyFill="1" applyBorder="1" applyAlignment="1">
      <alignment horizontal="right" vertical="center" wrapText="1"/>
    </xf>
    <xf numFmtId="2" fontId="3" fillId="3" borderId="4" xfId="0" applyNumberFormat="1" applyFont="1" applyFill="1" applyBorder="1" applyAlignment="1">
      <alignment horizontal="right" vertical="center" wrapText="1"/>
    </xf>
    <xf numFmtId="2" fontId="20" fillId="0" borderId="4" xfId="0" applyNumberFormat="1" applyFont="1" applyBorder="1"/>
    <xf numFmtId="0" fontId="4" fillId="5" borderId="4" xfId="0" applyFont="1" applyFill="1" applyBorder="1" applyAlignment="1">
      <alignment wrapText="1"/>
    </xf>
    <xf numFmtId="0" fontId="20" fillId="7" borderId="4" xfId="0" applyFont="1" applyFill="1" applyBorder="1"/>
    <xf numFmtId="0" fontId="10" fillId="10" borderId="4" xfId="0" applyFont="1" applyFill="1" applyBorder="1" applyAlignment="1">
      <alignment horizontal="center" wrapText="1"/>
    </xf>
    <xf numFmtId="0" fontId="10" fillId="7" borderId="4" xfId="0" applyFont="1" applyFill="1" applyBorder="1" applyAlignment="1">
      <alignment wrapText="1"/>
    </xf>
    <xf numFmtId="0" fontId="1" fillId="17" borderId="4" xfId="0" applyFont="1" applyFill="1" applyBorder="1" applyAlignment="1">
      <alignment horizontal="center" vertical="center" wrapText="1"/>
    </xf>
    <xf numFmtId="0" fontId="1" fillId="17" borderId="4" xfId="0" applyFont="1" applyFill="1" applyBorder="1" applyAlignment="1">
      <alignment horizontal="center" vertical="center" wrapText="1"/>
    </xf>
    <xf numFmtId="0" fontId="3" fillId="17" borderId="4" xfId="0" applyFont="1" applyFill="1" applyBorder="1" applyAlignment="1">
      <alignment vertical="center" wrapText="1"/>
    </xf>
    <xf numFmtId="0" fontId="9" fillId="7" borderId="4" xfId="0" applyFont="1" applyFill="1" applyBorder="1" applyAlignment="1">
      <alignment horizontal="right" wrapText="1"/>
    </xf>
    <xf numFmtId="165" fontId="3" fillId="17" borderId="4" xfId="0" applyNumberFormat="1" applyFont="1" applyFill="1" applyBorder="1" applyAlignment="1">
      <alignment horizontal="right" vertical="center" wrapText="1"/>
    </xf>
    <xf numFmtId="2" fontId="3" fillId="17" borderId="4" xfId="0" applyNumberFormat="1" applyFont="1" applyFill="1" applyBorder="1" applyAlignment="1">
      <alignment horizontal="right" vertical="center" wrapText="1"/>
    </xf>
    <xf numFmtId="0" fontId="3" fillId="17" borderId="4" xfId="0" applyFont="1" applyFill="1" applyBorder="1" applyAlignment="1">
      <alignment horizontal="center" vertical="center" wrapText="1"/>
    </xf>
    <xf numFmtId="0" fontId="3" fillId="17" borderId="4" xfId="0" applyFont="1" applyFill="1" applyBorder="1" applyAlignment="1">
      <alignment horizontal="center" vertical="center" wrapText="1"/>
    </xf>
    <xf numFmtId="2" fontId="13" fillId="0" borderId="4" xfId="0" applyNumberFormat="1" applyFont="1" applyBorder="1" applyAlignment="1">
      <alignment horizontal="center" wrapText="1"/>
    </xf>
    <xf numFmtId="0" fontId="10" fillId="7" borderId="4" xfId="0" applyFont="1" applyFill="1" applyBorder="1" applyAlignment="1">
      <alignment horizontal="right" wrapText="1"/>
    </xf>
    <xf numFmtId="0" fontId="20" fillId="0" borderId="4" xfId="0" applyFont="1" applyBorder="1"/>
    <xf numFmtId="0" fontId="10" fillId="7" borderId="4"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3" fillId="17" borderId="4" xfId="0" applyFont="1" applyFill="1" applyBorder="1" applyAlignment="1">
      <alignment vertical="center" wrapText="1"/>
    </xf>
    <xf numFmtId="0" fontId="10" fillId="10" borderId="4" xfId="0" applyFont="1" applyFill="1" applyBorder="1" applyAlignment="1">
      <alignment horizontal="left" vertical="center" wrapText="1"/>
    </xf>
    <xf numFmtId="0" fontId="10" fillId="10" borderId="4" xfId="0" applyFont="1" applyFill="1" applyBorder="1" applyAlignment="1">
      <alignment horizontal="right" vertical="center" wrapText="1"/>
    </xf>
    <xf numFmtId="2" fontId="14" fillId="0" borderId="0" xfId="0" applyNumberFormat="1" applyFont="1" applyAlignment="1">
      <alignment horizontal="center" vertical="center" wrapText="1"/>
    </xf>
    <xf numFmtId="2" fontId="4" fillId="5" borderId="0" xfId="0" applyNumberFormat="1" applyFont="1" applyFill="1" applyAlignment="1">
      <alignment vertical="center" wrapText="1"/>
    </xf>
    <xf numFmtId="2" fontId="9" fillId="7" borderId="0" xfId="0" applyNumberFormat="1" applyFont="1" applyFill="1" applyAlignment="1">
      <alignment vertical="center" wrapText="1"/>
    </xf>
    <xf numFmtId="2" fontId="10" fillId="7" borderId="0" xfId="0" applyNumberFormat="1" applyFont="1" applyFill="1" applyAlignment="1">
      <alignment horizontal="left" vertical="center" wrapText="1"/>
    </xf>
    <xf numFmtId="2" fontId="10" fillId="7" borderId="0" xfId="0" applyNumberFormat="1" applyFont="1" applyFill="1" applyAlignment="1">
      <alignment horizontal="left" vertical="center" wrapText="1"/>
    </xf>
    <xf numFmtId="2" fontId="10" fillId="10" borderId="0" xfId="0" applyNumberFormat="1" applyFont="1" applyFill="1" applyAlignment="1">
      <alignment horizontal="center" vertical="center" wrapText="1"/>
    </xf>
    <xf numFmtId="2" fontId="10" fillId="7" borderId="0" xfId="0" applyNumberFormat="1" applyFont="1" applyFill="1" applyAlignment="1">
      <alignment horizontal="center" vertical="center" wrapText="1"/>
    </xf>
    <xf numFmtId="165" fontId="3" fillId="11" borderId="18" xfId="0" applyNumberFormat="1" applyFont="1" applyFill="1" applyBorder="1" applyAlignment="1">
      <alignment horizontal="right" vertical="center" wrapText="1"/>
    </xf>
    <xf numFmtId="0" fontId="3" fillId="11" borderId="4" xfId="0" applyFont="1" applyFill="1" applyBorder="1" applyAlignment="1">
      <alignment horizontal="center" vertical="center" wrapText="1"/>
    </xf>
    <xf numFmtId="0" fontId="3" fillId="11" borderId="4" xfId="0" applyFont="1" applyFill="1" applyBorder="1" applyAlignment="1">
      <alignment vertical="center" wrapText="1"/>
    </xf>
    <xf numFmtId="0" fontId="3" fillId="11" borderId="4" xfId="0" applyFont="1" applyFill="1" applyBorder="1" applyAlignment="1">
      <alignment horizontal="center" vertical="center" wrapText="1"/>
    </xf>
    <xf numFmtId="165" fontId="3" fillId="11" borderId="4" xfId="0" applyNumberFormat="1" applyFont="1" applyFill="1" applyBorder="1" applyAlignment="1">
      <alignment horizontal="right" vertical="center" wrapText="1"/>
    </xf>
    <xf numFmtId="49" fontId="1" fillId="0" borderId="4" xfId="0" applyNumberFormat="1" applyFont="1" applyBorder="1" applyAlignment="1">
      <alignment horizontal="center"/>
    </xf>
    <xf numFmtId="49" fontId="1" fillId="0" borderId="4" xfId="0" applyNumberFormat="1" applyFont="1" applyBorder="1" applyAlignment="1">
      <alignment horizontal="center"/>
    </xf>
    <xf numFmtId="0" fontId="1" fillId="0" borderId="4" xfId="0" applyFont="1" applyBorder="1" applyAlignment="1">
      <alignment horizontal="center"/>
    </xf>
    <xf numFmtId="49" fontId="3" fillId="0" borderId="4" xfId="0" applyNumberFormat="1" applyFont="1" applyBorder="1" applyAlignment="1">
      <alignment horizontal="center"/>
    </xf>
    <xf numFmtId="49" fontId="3" fillId="0" borderId="4" xfId="0" applyNumberFormat="1" applyFont="1" applyBorder="1" applyAlignment="1"/>
    <xf numFmtId="0" fontId="3" fillId="0" borderId="4" xfId="0" applyFont="1" applyBorder="1" applyAlignment="1">
      <alignment horizontal="center"/>
    </xf>
    <xf numFmtId="0" fontId="3" fillId="0" borderId="4" xfId="0" applyFont="1" applyBorder="1" applyAlignment="1"/>
    <xf numFmtId="165" fontId="3" fillId="3" borderId="18" xfId="0" applyNumberFormat="1" applyFont="1" applyFill="1" applyBorder="1" applyAlignment="1">
      <alignment horizontal="right" vertical="center" wrapText="1"/>
    </xf>
    <xf numFmtId="0" fontId="3" fillId="3" borderId="4" xfId="0" applyFont="1" applyFill="1" applyBorder="1" applyAlignment="1">
      <alignment horizontal="center" vertical="center" wrapText="1"/>
    </xf>
    <xf numFmtId="0" fontId="3" fillId="3" borderId="4" xfId="0" applyFont="1" applyFill="1" applyBorder="1" applyAlignment="1">
      <alignment vertical="center" wrapText="1"/>
    </xf>
    <xf numFmtId="0" fontId="3" fillId="3" borderId="4" xfId="0" applyFont="1" applyFill="1" applyBorder="1" applyAlignment="1">
      <alignment horizontal="center" vertical="center" wrapText="1"/>
    </xf>
    <xf numFmtId="165" fontId="3" fillId="3" borderId="4" xfId="0" applyNumberFormat="1" applyFont="1" applyFill="1" applyBorder="1" applyAlignment="1">
      <alignment horizontal="right" vertical="center" wrapText="1"/>
    </xf>
    <xf numFmtId="0" fontId="24" fillId="6" borderId="0" xfId="0" applyFont="1" applyFill="1" applyAlignment="1">
      <alignment horizontal="center" vertical="center" wrapText="1"/>
    </xf>
    <xf numFmtId="0" fontId="24" fillId="0" borderId="0" xfId="0" applyFont="1" applyAlignment="1">
      <alignment horizontal="left" vertical="center" wrapText="1"/>
    </xf>
    <xf numFmtId="0" fontId="25" fillId="0" borderId="0" xfId="0" applyFont="1" applyAlignment="1">
      <alignment vertical="center" wrapText="1"/>
    </xf>
    <xf numFmtId="0" fontId="25" fillId="0" borderId="0" xfId="0" applyFont="1" applyAlignment="1">
      <alignment vertical="center" wrapText="1"/>
    </xf>
    <xf numFmtId="0" fontId="25" fillId="16" borderId="0" xfId="0" applyFont="1" applyFill="1" applyAlignment="1">
      <alignment vertical="center" wrapText="1"/>
    </xf>
    <xf numFmtId="0" fontId="25" fillId="16" borderId="0" xfId="0" applyFont="1" applyFill="1" applyAlignment="1">
      <alignment vertical="center" wrapText="1"/>
    </xf>
    <xf numFmtId="0" fontId="25" fillId="16" borderId="0" xfId="0" applyFont="1" applyFill="1" applyAlignment="1">
      <alignment vertical="center" wrapText="1"/>
    </xf>
    <xf numFmtId="0" fontId="25" fillId="0" borderId="0" xfId="0" applyFont="1" applyAlignment="1">
      <alignment vertical="center" wrapText="1"/>
    </xf>
    <xf numFmtId="0" fontId="24" fillId="0" borderId="0" xfId="0" applyFont="1" applyAlignment="1">
      <alignment vertical="center" wrapText="1"/>
    </xf>
    <xf numFmtId="2" fontId="9" fillId="0" borderId="0" xfId="0" applyNumberFormat="1" applyFont="1" applyAlignment="1">
      <alignment vertical="center" wrapText="1"/>
    </xf>
    <xf numFmtId="2" fontId="10" fillId="0" borderId="0" xfId="0" applyNumberFormat="1" applyFont="1" applyAlignment="1">
      <alignment horizontal="left" vertical="center" wrapText="1"/>
    </xf>
    <xf numFmtId="2" fontId="10" fillId="0" borderId="0" xfId="0" applyNumberFormat="1" applyFont="1" applyAlignment="1">
      <alignment horizontal="left" vertical="center" wrapText="1"/>
    </xf>
    <xf numFmtId="2" fontId="13" fillId="0" borderId="0" xfId="0" applyNumberFormat="1" applyFont="1" applyAlignment="1">
      <alignment horizontal="center" vertical="center"/>
    </xf>
    <xf numFmtId="0" fontId="18" fillId="0" borderId="5" xfId="0" applyFont="1" applyBorder="1" applyAlignment="1">
      <alignment vertical="center" wrapText="1"/>
    </xf>
    <xf numFmtId="0" fontId="16" fillId="0" borderId="36" xfId="0" applyFont="1" applyBorder="1" applyAlignment="1">
      <alignment horizontal="center" vertical="center" wrapText="1"/>
    </xf>
    <xf numFmtId="0" fontId="16" fillId="0" borderId="14" xfId="0" applyFont="1" applyBorder="1" applyAlignment="1">
      <alignment vertical="center" wrapText="1"/>
    </xf>
    <xf numFmtId="0" fontId="16" fillId="0" borderId="14" xfId="0" applyFont="1" applyBorder="1" applyAlignment="1">
      <alignment horizontal="center" vertical="center" wrapText="1"/>
    </xf>
    <xf numFmtId="171" fontId="3" fillId="11" borderId="14" xfId="0" applyNumberFormat="1" applyFont="1" applyFill="1" applyBorder="1" applyAlignment="1">
      <alignment horizontal="center" vertical="center" wrapText="1"/>
    </xf>
    <xf numFmtId="172" fontId="3" fillId="11" borderId="14" xfId="0" applyNumberFormat="1" applyFont="1" applyFill="1" applyBorder="1" applyAlignment="1">
      <alignment horizontal="center" vertical="center" wrapText="1"/>
    </xf>
    <xf numFmtId="173" fontId="3" fillId="11" borderId="14" xfId="0" applyNumberFormat="1" applyFont="1" applyFill="1" applyBorder="1" applyAlignment="1">
      <alignment horizontal="center" vertical="center" wrapText="1"/>
    </xf>
    <xf numFmtId="2" fontId="26" fillId="0" borderId="0" xfId="0" applyNumberFormat="1" applyFont="1" applyAlignment="1">
      <alignment horizontal="center" vertical="center" wrapText="1"/>
    </xf>
    <xf numFmtId="2" fontId="26" fillId="0" borderId="0" xfId="0" applyNumberFormat="1" applyFont="1" applyAlignment="1">
      <alignment horizontal="center" vertical="center" wrapText="1"/>
    </xf>
    <xf numFmtId="49" fontId="1" fillId="0" borderId="23" xfId="0" applyNumberFormat="1" applyFont="1" applyBorder="1" applyAlignment="1">
      <alignment horizontal="center" vertical="center" wrapText="1"/>
    </xf>
    <xf numFmtId="2" fontId="26" fillId="0" borderId="0" xfId="0" applyNumberFormat="1" applyFont="1" applyAlignment="1">
      <alignment horizontal="left" vertical="center" wrapText="1"/>
    </xf>
    <xf numFmtId="49" fontId="1" fillId="0" borderId="25" xfId="0" applyNumberFormat="1" applyFont="1" applyBorder="1" applyAlignment="1">
      <alignment horizontal="center" vertical="center" wrapText="1"/>
    </xf>
    <xf numFmtId="0" fontId="3" fillId="0" borderId="4" xfId="0" applyFont="1" applyBorder="1" applyAlignment="1">
      <alignment vertical="center" wrapText="1"/>
    </xf>
    <xf numFmtId="165" fontId="3" fillId="11" borderId="14" xfId="0" applyNumberFormat="1" applyFont="1" applyFill="1" applyBorder="1" applyAlignment="1">
      <alignment horizontal="center"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167" fontId="3" fillId="0" borderId="26" xfId="0" applyNumberFormat="1" applyFont="1" applyBorder="1" applyAlignment="1">
      <alignment horizontal="center" vertical="center" wrapText="1"/>
    </xf>
    <xf numFmtId="49" fontId="1" fillId="0" borderId="25" xfId="0" applyNumberFormat="1" applyFont="1" applyBorder="1" applyAlignment="1">
      <alignment horizontal="center" vertical="center" wrapText="1"/>
    </xf>
    <xf numFmtId="0" fontId="3" fillId="0" borderId="4" xfId="0" applyFont="1" applyBorder="1" applyAlignment="1">
      <alignment horizontal="right" vertical="center" wrapText="1"/>
    </xf>
    <xf numFmtId="0" fontId="1" fillId="0" borderId="5" xfId="0" applyFont="1" applyBorder="1" applyAlignment="1">
      <alignment horizontal="right"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167" fontId="1" fillId="0" borderId="27" xfId="0" applyNumberFormat="1" applyFont="1" applyBorder="1" applyAlignment="1">
      <alignment horizontal="center" vertical="center" wrapText="1"/>
    </xf>
    <xf numFmtId="2" fontId="26" fillId="0" borderId="0" xfId="0" applyNumberFormat="1" applyFont="1" applyAlignment="1">
      <alignment horizontal="center" vertical="center" wrapText="1"/>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2" fontId="3" fillId="11" borderId="14" xfId="0" applyNumberFormat="1" applyFont="1" applyFill="1" applyBorder="1" applyAlignment="1">
      <alignment horizontal="center" vertical="center" wrapText="1"/>
    </xf>
    <xf numFmtId="49" fontId="1" fillId="0" borderId="23" xfId="0" applyNumberFormat="1" applyFont="1" applyBorder="1" applyAlignment="1">
      <alignment horizontal="center" vertical="center" wrapText="1"/>
    </xf>
    <xf numFmtId="0" fontId="3" fillId="0" borderId="4" xfId="0" applyFont="1" applyBorder="1" applyAlignment="1">
      <alignment horizontal="center" vertical="center"/>
    </xf>
    <xf numFmtId="0" fontId="3" fillId="0" borderId="4" xfId="0" applyFont="1" applyBorder="1" applyAlignment="1">
      <alignment horizontal="center" vertical="center"/>
    </xf>
    <xf numFmtId="0" fontId="28" fillId="21" borderId="4" xfId="0" applyFont="1" applyFill="1" applyBorder="1" applyAlignment="1">
      <alignment horizontal="center" vertical="center" wrapText="1"/>
    </xf>
    <xf numFmtId="0" fontId="14" fillId="7" borderId="4" xfId="0" applyFont="1" applyFill="1" applyBorder="1" applyAlignment="1">
      <alignment horizontal="center" vertical="center"/>
    </xf>
    <xf numFmtId="0" fontId="14" fillId="7" borderId="4" xfId="0" applyFont="1" applyFill="1" applyBorder="1" applyAlignment="1">
      <alignment horizontal="center" vertical="center"/>
    </xf>
    <xf numFmtId="0" fontId="29" fillId="7" borderId="4" xfId="0" applyFont="1" applyFill="1" applyBorder="1" applyAlignment="1">
      <alignment horizontal="center" vertical="center"/>
    </xf>
    <xf numFmtId="0" fontId="14" fillId="8" borderId="4" xfId="0" applyFont="1" applyFill="1" applyBorder="1" applyAlignment="1">
      <alignment horizontal="center" vertical="center"/>
    </xf>
    <xf numFmtId="0" fontId="14" fillId="8" borderId="4" xfId="0" applyFont="1" applyFill="1" applyBorder="1" applyAlignment="1">
      <alignment horizontal="center" vertical="center"/>
    </xf>
    <xf numFmtId="0" fontId="29" fillId="8" borderId="4" xfId="0" applyFont="1" applyFill="1" applyBorder="1" applyAlignment="1">
      <alignment horizontal="center" vertical="center"/>
    </xf>
    <xf numFmtId="0" fontId="18" fillId="0" borderId="4" xfId="0" applyFont="1" applyBorder="1" applyAlignment="1">
      <alignment horizontal="center" vertical="center"/>
    </xf>
    <xf numFmtId="0" fontId="20" fillId="0" borderId="4" xfId="0" applyFont="1" applyBorder="1" applyAlignment="1">
      <alignment horizontal="center" vertical="center"/>
    </xf>
    <xf numFmtId="0" fontId="20" fillId="0" borderId="4" xfId="0" applyFont="1" applyBorder="1" applyAlignment="1">
      <alignment horizontal="left" vertical="center" wrapText="1"/>
    </xf>
    <xf numFmtId="167" fontId="20" fillId="0" borderId="4" xfId="0" applyNumberFormat="1" applyFont="1" applyBorder="1" applyAlignment="1">
      <alignment horizontal="center" vertical="center"/>
    </xf>
    <xf numFmtId="49" fontId="20" fillId="0" borderId="4" xfId="0" applyNumberFormat="1" applyFont="1" applyBorder="1" applyAlignment="1">
      <alignment horizontal="center" vertical="center"/>
    </xf>
    <xf numFmtId="0" fontId="20" fillId="0" borderId="4" xfId="0" applyFont="1" applyBorder="1" applyAlignment="1">
      <alignment vertical="center"/>
    </xf>
    <xf numFmtId="0" fontId="20" fillId="0" borderId="4" xfId="0" applyFont="1" applyBorder="1" applyAlignment="1">
      <alignment horizontal="left" vertical="center" wrapText="1"/>
    </xf>
    <xf numFmtId="0" fontId="30" fillId="0" borderId="0" xfId="0" applyFont="1" applyAlignment="1">
      <alignment horizontal="center" vertical="center"/>
    </xf>
    <xf numFmtId="2" fontId="26" fillId="0" borderId="0" xfId="0" applyNumberFormat="1" applyFont="1" applyAlignment="1">
      <alignment horizontal="left" vertical="center" wrapText="1"/>
    </xf>
    <xf numFmtId="0" fontId="18" fillId="0" borderId="4" xfId="0" applyFont="1" applyBorder="1" applyAlignment="1">
      <alignment horizontal="center" vertical="center" wrapText="1"/>
    </xf>
    <xf numFmtId="0" fontId="20" fillId="0" borderId="4" xfId="0" applyFont="1" applyBorder="1" applyAlignment="1">
      <alignment horizontal="center" vertical="center" wrapText="1"/>
    </xf>
    <xf numFmtId="174" fontId="20" fillId="0" borderId="4" xfId="0" applyNumberFormat="1" applyFont="1" applyBorder="1" applyAlignment="1">
      <alignment horizontal="center" vertical="center" wrapText="1"/>
    </xf>
    <xf numFmtId="0" fontId="20" fillId="0" borderId="4" xfId="0" applyFont="1" applyBorder="1" applyAlignment="1">
      <alignment horizontal="center" vertical="center"/>
    </xf>
    <xf numFmtId="49" fontId="1" fillId="11" borderId="23" xfId="0" applyNumberFormat="1" applyFont="1" applyFill="1" applyBorder="1" applyAlignment="1">
      <alignment horizontal="center" vertical="center" wrapText="1"/>
    </xf>
    <xf numFmtId="2" fontId="13" fillId="0" borderId="0" xfId="0" applyNumberFormat="1" applyFont="1" applyAlignment="1">
      <alignment vertical="center" wrapText="1"/>
    </xf>
    <xf numFmtId="0" fontId="3" fillId="0" borderId="4" xfId="0" applyFont="1" applyBorder="1" applyAlignment="1">
      <alignment horizontal="right" vertical="center" wrapText="1"/>
    </xf>
    <xf numFmtId="2" fontId="3" fillId="0" borderId="4" xfId="0" applyNumberFormat="1" applyFont="1" applyBorder="1" applyAlignment="1">
      <alignment horizontal="center" vertical="center" wrapText="1"/>
    </xf>
    <xf numFmtId="167" fontId="1" fillId="0" borderId="26" xfId="0" applyNumberFormat="1" applyFont="1" applyBorder="1" applyAlignment="1">
      <alignment horizontal="center" vertical="center" wrapText="1"/>
    </xf>
    <xf numFmtId="0" fontId="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1" fillId="0" borderId="4" xfId="0" applyFont="1" applyBorder="1" applyAlignment="1">
      <alignment vertical="center" wrapText="1"/>
    </xf>
    <xf numFmtId="0" fontId="5" fillId="4" borderId="6" xfId="0" applyFont="1" applyFill="1" applyBorder="1" applyAlignment="1">
      <alignment horizontal="center" vertical="center" wrapText="1"/>
    </xf>
    <xf numFmtId="0" fontId="2" fillId="0" borderId="7" xfId="0" applyFont="1" applyBorder="1"/>
    <xf numFmtId="0" fontId="2" fillId="0" borderId="9" xfId="0" applyFont="1" applyBorder="1"/>
    <xf numFmtId="0" fontId="2" fillId="0" borderId="10" xfId="0" applyFont="1" applyBorder="1"/>
    <xf numFmtId="0" fontId="2" fillId="0" borderId="11" xfId="0" applyFont="1" applyBorder="1"/>
    <xf numFmtId="0" fontId="2" fillId="0" borderId="12" xfId="0" applyFont="1" applyBorder="1"/>
    <xf numFmtId="4" fontId="1" fillId="3" borderId="1" xfId="0" applyNumberFormat="1" applyFont="1" applyFill="1" applyBorder="1" applyAlignment="1">
      <alignment horizontal="center" vertical="center" wrapText="1"/>
    </xf>
    <xf numFmtId="0" fontId="2" fillId="0" borderId="3" xfId="0" applyFont="1" applyBorder="1"/>
    <xf numFmtId="4" fontId="3" fillId="3" borderId="1" xfId="0" applyNumberFormat="1" applyFont="1" applyFill="1" applyBorder="1" applyAlignment="1">
      <alignment horizontal="center" vertical="center" wrapText="1"/>
    </xf>
    <xf numFmtId="0" fontId="4" fillId="4" borderId="6"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0" borderId="2" xfId="0" applyFont="1" applyBorder="1"/>
    <xf numFmtId="0" fontId="3" fillId="3" borderId="1" xfId="0" applyFont="1" applyFill="1" applyBorder="1" applyAlignment="1">
      <alignment vertical="center" wrapText="1"/>
    </xf>
    <xf numFmtId="0" fontId="3" fillId="3" borderId="5" xfId="0" applyFont="1" applyFill="1" applyBorder="1" applyAlignment="1">
      <alignment horizontal="center" vertical="center" wrapText="1"/>
    </xf>
    <xf numFmtId="0" fontId="2" fillId="0" borderId="8" xfId="0" applyFont="1" applyBorder="1"/>
    <xf numFmtId="4" fontId="3" fillId="3" borderId="5"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2" borderId="1" xfId="0" applyFont="1" applyFill="1" applyBorder="1" applyAlignment="1">
      <alignment vertical="center" wrapText="1"/>
    </xf>
    <xf numFmtId="0" fontId="3" fillId="2" borderId="5" xfId="0" applyFont="1" applyFill="1" applyBorder="1" applyAlignment="1">
      <alignment horizontal="center" vertical="center" wrapText="1"/>
    </xf>
    <xf numFmtId="4" fontId="3" fillId="2" borderId="5" xfId="0" applyNumberFormat="1" applyFont="1" applyFill="1" applyBorder="1" applyAlignment="1">
      <alignment horizontal="center" vertical="center" wrapText="1"/>
    </xf>
    <xf numFmtId="0" fontId="3" fillId="9" borderId="5" xfId="0" applyFont="1" applyFill="1" applyBorder="1" applyAlignment="1">
      <alignment horizontal="center" vertical="center" wrapText="1"/>
    </xf>
    <xf numFmtId="0" fontId="2" fillId="0" borderId="13" xfId="0" applyFont="1" applyBorder="1"/>
    <xf numFmtId="0" fontId="3" fillId="9" borderId="5" xfId="0" applyFont="1" applyFill="1" applyBorder="1" applyAlignment="1">
      <alignment horizontal="center" vertical="center"/>
    </xf>
    <xf numFmtId="0" fontId="3" fillId="3" borderId="5" xfId="0" applyFont="1" applyFill="1" applyBorder="1" applyAlignment="1">
      <alignment horizontal="center" vertical="center"/>
    </xf>
    <xf numFmtId="0" fontId="3" fillId="9" borderId="1" xfId="0" applyFont="1" applyFill="1" applyBorder="1" applyAlignment="1">
      <alignment vertical="center" wrapText="1"/>
    </xf>
    <xf numFmtId="0" fontId="3" fillId="9" borderId="1" xfId="0" applyFont="1" applyFill="1" applyBorder="1" applyAlignment="1">
      <alignment horizontal="right" vertical="center"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right" vertical="center" wrapText="1"/>
    </xf>
    <xf numFmtId="0" fontId="3" fillId="9" borderId="1" xfId="0" applyFont="1" applyFill="1" applyBorder="1" applyAlignment="1">
      <alignment horizontal="center" vertical="center" wrapText="1"/>
    </xf>
    <xf numFmtId="0" fontId="8" fillId="7" borderId="1" xfId="0" applyFont="1" applyFill="1" applyBorder="1" applyAlignment="1">
      <alignment horizontal="left" vertical="center" wrapText="1"/>
    </xf>
    <xf numFmtId="4" fontId="8" fillId="7" borderId="1" xfId="0" applyNumberFormat="1" applyFont="1" applyFill="1" applyBorder="1" applyAlignment="1">
      <alignment horizontal="left" vertical="center" wrapText="1"/>
    </xf>
    <xf numFmtId="0" fontId="8" fillId="10" borderId="1" xfId="0" applyFont="1" applyFill="1" applyBorder="1" applyAlignment="1">
      <alignment horizontal="left" vertical="center" wrapText="1"/>
    </xf>
    <xf numFmtId="0" fontId="6" fillId="5" borderId="5" xfId="0" applyFont="1" applyFill="1" applyBorder="1" applyAlignment="1">
      <alignment vertical="center" wrapText="1"/>
    </xf>
    <xf numFmtId="0" fontId="6" fillId="5" borderId="1" xfId="0" applyFont="1" applyFill="1" applyBorder="1" applyAlignment="1">
      <alignment vertical="center" wrapText="1"/>
    </xf>
    <xf numFmtId="4" fontId="6" fillId="5" borderId="1" xfId="0" applyNumberFormat="1" applyFont="1" applyFill="1" applyBorder="1" applyAlignment="1">
      <alignment vertical="center" wrapText="1"/>
    </xf>
    <xf numFmtId="0" fontId="7" fillId="7" borderId="1" xfId="0" applyFont="1" applyFill="1" applyBorder="1" applyAlignment="1">
      <alignment vertical="center" wrapText="1"/>
    </xf>
    <xf numFmtId="0" fontId="8" fillId="7" borderId="5"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1" fillId="0" borderId="5" xfId="0" applyFont="1" applyBorder="1" applyAlignment="1">
      <alignment horizontal="center" vertical="center" wrapText="1"/>
    </xf>
    <xf numFmtId="0" fontId="10" fillId="7" borderId="1" xfId="0" applyFont="1" applyFill="1" applyBorder="1" applyAlignment="1">
      <alignment horizontal="left" vertical="center" wrapText="1"/>
    </xf>
    <xf numFmtId="2" fontId="10" fillId="7" borderId="1"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5" borderId="1" xfId="0" applyFont="1" applyFill="1" applyBorder="1" applyAlignment="1">
      <alignment vertical="center" wrapText="1"/>
    </xf>
    <xf numFmtId="2" fontId="4" fillId="5" borderId="1" xfId="0" applyNumberFormat="1" applyFont="1" applyFill="1" applyBorder="1" applyAlignment="1">
      <alignment vertical="center" wrapText="1"/>
    </xf>
    <xf numFmtId="0" fontId="9" fillId="7" borderId="1" xfId="0" applyFont="1" applyFill="1" applyBorder="1" applyAlignment="1">
      <alignment vertical="center" wrapText="1"/>
    </xf>
    <xf numFmtId="0" fontId="10" fillId="10" borderId="1" xfId="0" applyFont="1" applyFill="1" applyBorder="1" applyAlignment="1">
      <alignment horizontal="left" vertical="center" wrapText="1"/>
    </xf>
    <xf numFmtId="0" fontId="10" fillId="7" borderId="5"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3" fillId="3" borderId="18" xfId="0" applyFont="1" applyFill="1" applyBorder="1" applyAlignment="1">
      <alignment vertical="center" wrapText="1"/>
    </xf>
    <xf numFmtId="0" fontId="2" fillId="0" borderId="19" xfId="0" applyFont="1" applyBorder="1"/>
    <xf numFmtId="0" fontId="3" fillId="3" borderId="18" xfId="0" applyFont="1" applyFill="1" applyBorder="1" applyAlignment="1">
      <alignment horizontal="center" vertical="center" wrapText="1"/>
    </xf>
    <xf numFmtId="0" fontId="3" fillId="3" borderId="15" xfId="0" applyFont="1" applyFill="1" applyBorder="1" applyAlignment="1">
      <alignment vertical="center" wrapText="1"/>
    </xf>
    <xf numFmtId="0" fontId="2" fillId="0" borderId="16" xfId="0" applyFont="1" applyBorder="1"/>
    <xf numFmtId="0" fontId="2" fillId="0" borderId="17" xfId="0" applyFont="1" applyBorder="1"/>
    <xf numFmtId="0" fontId="3" fillId="3" borderId="18" xfId="0" applyFont="1" applyFill="1" applyBorder="1" applyAlignment="1">
      <alignment horizontal="right" vertical="center" wrapText="1"/>
    </xf>
    <xf numFmtId="0" fontId="3" fillId="3" borderId="15" xfId="0" applyFont="1" applyFill="1" applyBorder="1" applyAlignment="1">
      <alignment horizontal="right" vertical="center" wrapText="1"/>
    </xf>
    <xf numFmtId="0" fontId="1" fillId="3" borderId="15" xfId="0" applyFont="1" applyFill="1" applyBorder="1" applyAlignment="1">
      <alignment horizontal="center" vertical="center" wrapText="1"/>
    </xf>
    <xf numFmtId="0" fontId="3" fillId="11" borderId="15" xfId="0" applyFont="1" applyFill="1" applyBorder="1" applyAlignment="1">
      <alignment vertical="center" wrapText="1"/>
    </xf>
    <xf numFmtId="0" fontId="3" fillId="11" borderId="18" xfId="0" applyFont="1" applyFill="1" applyBorder="1" applyAlignment="1">
      <alignment vertical="center" wrapText="1"/>
    </xf>
    <xf numFmtId="0" fontId="3" fillId="11" borderId="5" xfId="0" applyFont="1" applyFill="1" applyBorder="1" applyAlignment="1">
      <alignment horizontal="center" vertical="center" wrapText="1"/>
    </xf>
    <xf numFmtId="0" fontId="3" fillId="11" borderId="18" xfId="0" applyFont="1" applyFill="1" applyBorder="1" applyAlignment="1">
      <alignment horizontal="center" vertical="center" wrapText="1"/>
    </xf>
    <xf numFmtId="0" fontId="3" fillId="11" borderId="18" xfId="0" applyFont="1" applyFill="1" applyBorder="1" applyAlignment="1">
      <alignment horizontal="right" vertical="center" wrapText="1"/>
    </xf>
    <xf numFmtId="0" fontId="3" fillId="11" borderId="15" xfId="0" applyFont="1" applyFill="1" applyBorder="1" applyAlignment="1">
      <alignment horizontal="right" vertical="center" wrapText="1"/>
    </xf>
    <xf numFmtId="0" fontId="1" fillId="11" borderId="15" xfId="0" applyFont="1" applyFill="1" applyBorder="1" applyAlignment="1">
      <alignment horizontal="center" vertical="center" wrapText="1"/>
    </xf>
    <xf numFmtId="0" fontId="3" fillId="12" borderId="15" xfId="0" applyFont="1" applyFill="1" applyBorder="1" applyAlignment="1">
      <alignment vertical="center" wrapText="1"/>
    </xf>
    <xf numFmtId="0" fontId="3" fillId="12" borderId="15" xfId="0" applyFont="1" applyFill="1" applyBorder="1" applyAlignment="1">
      <alignment horizontal="right" vertical="center" wrapText="1"/>
    </xf>
    <xf numFmtId="49" fontId="1" fillId="12" borderId="15" xfId="0" applyNumberFormat="1" applyFont="1" applyFill="1" applyBorder="1" applyAlignment="1">
      <alignment horizontal="center" vertical="center" wrapText="1"/>
    </xf>
    <xf numFmtId="49" fontId="1" fillId="3" borderId="15" xfId="0" applyNumberFormat="1" applyFont="1" applyFill="1" applyBorder="1" applyAlignment="1">
      <alignment horizontal="center" vertical="center" wrapText="1"/>
    </xf>
    <xf numFmtId="0" fontId="3" fillId="2" borderId="15" xfId="0" applyFont="1" applyFill="1" applyBorder="1" applyAlignment="1">
      <alignment vertical="center" wrapText="1"/>
    </xf>
    <xf numFmtId="0" fontId="3" fillId="2" borderId="15" xfId="0" applyFont="1" applyFill="1" applyBorder="1" applyAlignment="1">
      <alignment horizontal="right" vertical="center" wrapText="1"/>
    </xf>
    <xf numFmtId="49" fontId="1" fillId="2" borderId="15" xfId="0" applyNumberFormat="1" applyFont="1" applyFill="1" applyBorder="1" applyAlignment="1">
      <alignment horizontal="center" vertical="center" wrapText="1"/>
    </xf>
    <xf numFmtId="49" fontId="1" fillId="11" borderId="20" xfId="0" applyNumberFormat="1" applyFont="1" applyFill="1" applyBorder="1" applyAlignment="1">
      <alignment horizontal="center" vertical="center" wrapText="1"/>
    </xf>
    <xf numFmtId="0" fontId="2" fillId="0" borderId="21" xfId="0" applyFont="1" applyBorder="1"/>
    <xf numFmtId="0" fontId="2" fillId="0" borderId="22" xfId="0" applyFont="1" applyBorder="1"/>
    <xf numFmtId="0" fontId="1" fillId="11" borderId="1" xfId="0" applyFont="1" applyFill="1" applyBorder="1" applyAlignment="1">
      <alignment horizontal="left" vertical="center" wrapText="1"/>
    </xf>
    <xf numFmtId="0" fontId="2" fillId="0" borderId="24" xfId="0" applyFont="1" applyBorder="1"/>
    <xf numFmtId="0" fontId="1" fillId="11" borderId="1" xfId="0" applyFont="1" applyFill="1" applyBorder="1" applyAlignment="1">
      <alignment vertical="center"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15" borderId="1" xfId="0" applyFont="1" applyFill="1" applyBorder="1" applyAlignment="1">
      <alignment horizontal="center" vertical="center" wrapText="1"/>
    </xf>
    <xf numFmtId="0" fontId="3" fillId="15" borderId="5" xfId="0" applyFont="1" applyFill="1" applyBorder="1" applyAlignment="1">
      <alignment horizontal="center" vertical="center" wrapText="1"/>
    </xf>
    <xf numFmtId="0" fontId="3" fillId="11" borderId="15" xfId="0" applyFont="1" applyFill="1" applyBorder="1" applyAlignment="1">
      <alignment horizontal="center" vertical="center"/>
    </xf>
    <xf numFmtId="0" fontId="1" fillId="11" borderId="15" xfId="0" applyFont="1" applyFill="1" applyBorder="1" applyAlignment="1">
      <alignment horizontal="left" vertical="center"/>
    </xf>
    <xf numFmtId="0" fontId="3" fillId="11" borderId="30" xfId="0" applyFont="1" applyFill="1" applyBorder="1" applyAlignment="1">
      <alignment horizontal="center" vertical="center"/>
    </xf>
    <xf numFmtId="0" fontId="2" fillId="0" borderId="31" xfId="0" applyFont="1" applyBorder="1"/>
    <xf numFmtId="0" fontId="2" fillId="0" borderId="35" xfId="0" applyFont="1" applyBorder="1"/>
    <xf numFmtId="0" fontId="3" fillId="11" borderId="18" xfId="0" applyFont="1" applyFill="1" applyBorder="1" applyAlignment="1">
      <alignment horizontal="center" vertical="center"/>
    </xf>
    <xf numFmtId="0" fontId="2" fillId="0" borderId="28" xfId="0" applyFont="1" applyBorder="1"/>
    <xf numFmtId="0" fontId="3" fillId="11" borderId="18" xfId="0" applyFont="1" applyFill="1" applyBorder="1" applyAlignment="1">
      <alignment horizontal="left" vertical="center" wrapText="1"/>
    </xf>
    <xf numFmtId="0" fontId="16" fillId="12" borderId="30" xfId="0" applyFont="1" applyFill="1" applyBorder="1" applyAlignment="1">
      <alignment horizontal="center" vertical="center"/>
    </xf>
    <xf numFmtId="0" fontId="16" fillId="12" borderId="28" xfId="0" applyFont="1" applyFill="1" applyBorder="1" applyAlignment="1">
      <alignment horizontal="center" vertical="center"/>
    </xf>
    <xf numFmtId="0" fontId="16" fillId="12" borderId="28" xfId="0" applyFont="1" applyFill="1" applyBorder="1" applyAlignment="1">
      <alignment vertical="center"/>
    </xf>
    <xf numFmtId="0" fontId="16" fillId="12" borderId="16" xfId="0" applyFont="1" applyFill="1" applyBorder="1" applyAlignment="1">
      <alignment horizontal="center" vertical="center"/>
    </xf>
    <xf numFmtId="0" fontId="16" fillId="12" borderId="16" xfId="0" applyFont="1" applyFill="1" applyBorder="1" applyAlignment="1">
      <alignment horizontal="left" vertical="center"/>
    </xf>
    <xf numFmtId="0" fontId="17" fillId="12" borderId="16" xfId="0" applyFont="1" applyFill="1" applyBorder="1" applyAlignment="1">
      <alignment horizontal="left" vertical="center"/>
    </xf>
    <xf numFmtId="0" fontId="1" fillId="12" borderId="16" xfId="0" applyFont="1" applyFill="1" applyBorder="1" applyAlignment="1">
      <alignment horizontal="center" vertical="center"/>
    </xf>
    <xf numFmtId="0" fontId="15" fillId="11" borderId="0" xfId="0" applyFont="1" applyFill="1" applyAlignment="1">
      <alignment horizontal="center" vertical="center" wrapText="1"/>
    </xf>
    <xf numFmtId="0" fontId="0" fillId="0" borderId="0" xfId="0" applyFont="1" applyAlignment="1"/>
    <xf numFmtId="0" fontId="3" fillId="11" borderId="15" xfId="0" applyFont="1" applyFill="1" applyBorder="1" applyAlignment="1">
      <alignment horizontal="left" vertical="center"/>
    </xf>
    <xf numFmtId="0" fontId="1" fillId="11" borderId="1" xfId="0" applyFont="1" applyFill="1" applyBorder="1" applyAlignment="1">
      <alignment horizontal="center" vertical="center"/>
    </xf>
    <xf numFmtId="0" fontId="3" fillId="11" borderId="15" xfId="0" applyFont="1" applyFill="1" applyBorder="1" applyAlignment="1">
      <alignment horizontal="center" vertical="center" wrapText="1"/>
    </xf>
    <xf numFmtId="0" fontId="3" fillId="11" borderId="15" xfId="0" applyFont="1" applyFill="1" applyBorder="1" applyAlignment="1">
      <alignment vertical="center"/>
    </xf>
    <xf numFmtId="0" fontId="1" fillId="11" borderId="15" xfId="0" applyFont="1" applyFill="1" applyBorder="1" applyAlignment="1">
      <alignment horizontal="center" vertical="center"/>
    </xf>
    <xf numFmtId="0" fontId="12" fillId="12" borderId="0" xfId="0" applyFont="1" applyFill="1" applyAlignment="1">
      <alignment horizontal="center" vertical="center"/>
    </xf>
    <xf numFmtId="0" fontId="16" fillId="12" borderId="15" xfId="0" applyFont="1" applyFill="1" applyBorder="1" applyAlignment="1">
      <alignment horizontal="left" vertical="center"/>
    </xf>
    <xf numFmtId="0" fontId="17" fillId="12" borderId="15" xfId="0" applyFont="1" applyFill="1" applyBorder="1" applyAlignment="1">
      <alignment horizontal="center" vertical="center"/>
    </xf>
    <xf numFmtId="0" fontId="17" fillId="12" borderId="15" xfId="0" applyFont="1" applyFill="1" applyBorder="1" applyAlignment="1">
      <alignment horizontal="left" vertical="center"/>
    </xf>
    <xf numFmtId="0" fontId="16" fillId="12" borderId="15" xfId="0" applyFont="1" applyFill="1" applyBorder="1" applyAlignment="1">
      <alignment horizontal="center" vertical="center"/>
    </xf>
    <xf numFmtId="0" fontId="1"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6" fillId="12" borderId="16" xfId="0" applyFont="1" applyFill="1" applyBorder="1" applyAlignment="1">
      <alignment vertical="center"/>
    </xf>
    <xf numFmtId="0" fontId="1" fillId="12" borderId="15" xfId="0" applyFont="1" applyFill="1" applyBorder="1" applyAlignment="1">
      <alignment horizontal="center" vertical="center"/>
    </xf>
    <xf numFmtId="0" fontId="10" fillId="7" borderId="5" xfId="0" applyFont="1" applyFill="1" applyBorder="1" applyAlignment="1">
      <alignment vertical="top"/>
    </xf>
    <xf numFmtId="0" fontId="10" fillId="7" borderId="1" xfId="0" applyFont="1" applyFill="1" applyBorder="1" applyAlignment="1">
      <alignment horizontal="left" vertical="top"/>
    </xf>
    <xf numFmtId="0" fontId="9" fillId="7" borderId="1" xfId="0" applyFont="1" applyFill="1" applyBorder="1" applyAlignment="1">
      <alignment vertical="top" wrapText="1"/>
    </xf>
    <xf numFmtId="0" fontId="10" fillId="0" borderId="1" xfId="0" applyFont="1" applyBorder="1" applyAlignment="1">
      <alignment horizontal="left" vertical="top"/>
    </xf>
    <xf numFmtId="0" fontId="10" fillId="7" borderId="1" xfId="0" applyFont="1" applyFill="1" applyBorder="1" applyAlignment="1">
      <alignment vertical="top"/>
    </xf>
    <xf numFmtId="0" fontId="18" fillId="0" borderId="32" xfId="0" applyFont="1" applyBorder="1" applyAlignment="1">
      <alignment horizontal="center" vertical="center" wrapText="1"/>
    </xf>
    <xf numFmtId="0" fontId="2" fillId="0" borderId="33" xfId="0" applyFont="1" applyBorder="1"/>
    <xf numFmtId="0" fontId="2" fillId="0" borderId="34" xfId="0" applyFont="1" applyBorder="1"/>
    <xf numFmtId="0" fontId="9" fillId="7" borderId="1" xfId="0" applyFont="1" applyFill="1" applyBorder="1" applyAlignment="1">
      <alignment vertical="top"/>
    </xf>
    <xf numFmtId="0" fontId="3" fillId="11" borderId="15" xfId="0" applyFont="1" applyFill="1" applyBorder="1" applyAlignment="1">
      <alignment horizontal="left" vertical="center" wrapText="1"/>
    </xf>
    <xf numFmtId="0" fontId="1" fillId="11" borderId="15" xfId="0" applyFont="1" applyFill="1" applyBorder="1" applyAlignment="1">
      <alignment vertical="center" wrapText="1"/>
    </xf>
    <xf numFmtId="0" fontId="19" fillId="6" borderId="5"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8" fillId="0" borderId="1" xfId="0" applyFont="1" applyBorder="1" applyAlignment="1">
      <alignment horizontal="left" vertical="center" wrapText="1"/>
    </xf>
    <xf numFmtId="0" fontId="20" fillId="0" borderId="1" xfId="0" applyFont="1" applyBorder="1" applyAlignment="1">
      <alignment vertical="center" wrapText="1"/>
    </xf>
    <xf numFmtId="0" fontId="21" fillId="16" borderId="1" xfId="0" applyFont="1" applyFill="1" applyBorder="1" applyAlignment="1">
      <alignment vertical="center" wrapText="1"/>
    </xf>
    <xf numFmtId="0" fontId="20" fillId="16" borderId="1" xfId="0" applyFont="1" applyFill="1" applyBorder="1" applyAlignment="1">
      <alignment vertical="center" wrapText="1"/>
    </xf>
    <xf numFmtId="0" fontId="20" fillId="16" borderId="5" xfId="0" applyFont="1" applyFill="1" applyBorder="1" applyAlignment="1">
      <alignment vertical="center" wrapText="1"/>
    </xf>
    <xf numFmtId="0" fontId="18" fillId="0" borderId="1" xfId="0" applyFont="1" applyBorder="1" applyAlignment="1">
      <alignment vertical="center" wrapText="1"/>
    </xf>
    <xf numFmtId="0" fontId="18" fillId="3" borderId="1" xfId="0" applyFont="1" applyFill="1" applyBorder="1" applyAlignment="1">
      <alignment horizontal="center" vertical="center" wrapText="1"/>
    </xf>
    <xf numFmtId="0" fontId="20" fillId="16" borderId="5" xfId="0" applyFont="1" applyFill="1" applyBorder="1" applyAlignment="1">
      <alignment horizontal="left" vertical="center" wrapText="1"/>
    </xf>
    <xf numFmtId="49" fontId="15" fillId="17" borderId="1" xfId="0" applyNumberFormat="1" applyFont="1" applyFill="1" applyBorder="1" applyAlignment="1">
      <alignment horizontal="center" vertical="center" wrapText="1"/>
    </xf>
    <xf numFmtId="0" fontId="15" fillId="2" borderId="1" xfId="0" applyFont="1" applyFill="1" applyBorder="1" applyAlignment="1">
      <alignment horizontal="left" vertical="center" wrapText="1"/>
    </xf>
    <xf numFmtId="0" fontId="15" fillId="13" borderId="1" xfId="0" applyFont="1" applyFill="1" applyBorder="1" applyAlignment="1">
      <alignment horizontal="center" vertical="center" wrapText="1"/>
    </xf>
    <xf numFmtId="0" fontId="20" fillId="11" borderId="1"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18" fillId="11" borderId="1" xfId="0" applyFont="1" applyFill="1" applyBorder="1" applyAlignment="1">
      <alignment horizontal="center" vertical="center" wrapText="1"/>
    </xf>
    <xf numFmtId="0" fontId="3" fillId="12" borderId="15" xfId="0" applyFont="1" applyFill="1" applyBorder="1" applyAlignment="1">
      <alignment horizontal="left" vertical="center" wrapText="1"/>
    </xf>
    <xf numFmtId="0" fontId="17" fillId="19" borderId="1" xfId="0" applyFont="1" applyFill="1" applyBorder="1" applyAlignment="1">
      <alignment vertical="center" wrapText="1"/>
    </xf>
    <xf numFmtId="2" fontId="16" fillId="7" borderId="1" xfId="0" applyNumberFormat="1" applyFont="1" applyFill="1" applyBorder="1" applyAlignment="1">
      <alignment horizontal="left" vertical="center" wrapText="1"/>
    </xf>
    <xf numFmtId="0" fontId="16" fillId="7" borderId="1" xfId="0" applyFont="1" applyFill="1" applyBorder="1" applyAlignment="1">
      <alignment horizontal="left" vertical="center" wrapText="1"/>
    </xf>
    <xf numFmtId="0" fontId="16" fillId="10" borderId="1" xfId="0" applyFont="1" applyFill="1" applyBorder="1" applyAlignment="1">
      <alignment horizontal="left" vertical="center" wrapText="1"/>
    </xf>
    <xf numFmtId="0" fontId="16" fillId="7" borderId="5" xfId="0" applyFont="1" applyFill="1" applyBorder="1" applyAlignment="1">
      <alignment horizontal="center" vertical="center" wrapText="1"/>
    </xf>
    <xf numFmtId="0" fontId="17" fillId="10" borderId="1" xfId="0" applyFont="1" applyFill="1" applyBorder="1" applyAlignment="1">
      <alignment horizontal="center" vertical="center" wrapText="1"/>
    </xf>
    <xf numFmtId="0" fontId="4" fillId="5" borderId="5" xfId="0" applyFont="1" applyFill="1" applyBorder="1" applyAlignment="1">
      <alignment wrapText="1"/>
    </xf>
    <xf numFmtId="0" fontId="4" fillId="5" borderId="1" xfId="0" applyFont="1" applyFill="1" applyBorder="1" applyAlignment="1">
      <alignment wrapText="1"/>
    </xf>
    <xf numFmtId="0" fontId="9" fillId="19" borderId="1" xfId="0" applyFont="1" applyFill="1" applyBorder="1" applyAlignment="1">
      <alignment wrapText="1"/>
    </xf>
    <xf numFmtId="0" fontId="20" fillId="7" borderId="1" xfId="0" applyFont="1" applyFill="1" applyBorder="1" applyAlignment="1"/>
    <xf numFmtId="0" fontId="10" fillId="7" borderId="1" xfId="0" applyFont="1" applyFill="1" applyBorder="1" applyAlignment="1">
      <alignment wrapText="1"/>
    </xf>
    <xf numFmtId="0" fontId="10" fillId="10" borderId="1" xfId="0" applyFont="1" applyFill="1" applyBorder="1" applyAlignment="1">
      <alignment wrapText="1"/>
    </xf>
    <xf numFmtId="0" fontId="20" fillId="7" borderId="5" xfId="0" applyFont="1" applyFill="1" applyBorder="1" applyAlignment="1"/>
    <xf numFmtId="0" fontId="9" fillId="7" borderId="1" xfId="0" applyFont="1" applyFill="1" applyBorder="1" applyAlignment="1">
      <alignment horizontal="center" wrapText="1"/>
    </xf>
    <xf numFmtId="0" fontId="10" fillId="7" borderId="1" xfId="0" applyFont="1" applyFill="1" applyBorder="1" applyAlignment="1">
      <alignment horizontal="center" wrapText="1"/>
    </xf>
    <xf numFmtId="0" fontId="1" fillId="10" borderId="1" xfId="0" applyFont="1" applyFill="1" applyBorder="1" applyAlignment="1">
      <alignment horizontal="center" wrapText="1"/>
    </xf>
    <xf numFmtId="0" fontId="10" fillId="7" borderId="5" xfId="0" applyFont="1" applyFill="1" applyBorder="1" applyAlignment="1">
      <alignment horizontal="center" wrapText="1"/>
    </xf>
    <xf numFmtId="0" fontId="17" fillId="18" borderId="1" xfId="0" applyFont="1" applyFill="1" applyBorder="1" applyAlignment="1">
      <alignment vertical="center" wrapText="1"/>
    </xf>
    <xf numFmtId="165" fontId="10" fillId="7" borderId="1" xfId="0" applyNumberFormat="1" applyFont="1" applyFill="1" applyBorder="1" applyAlignment="1">
      <alignment horizontal="left" vertical="center" wrapText="1"/>
    </xf>
    <xf numFmtId="0" fontId="9" fillId="19" borderId="1" xfId="0" applyFont="1" applyFill="1" applyBorder="1" applyAlignment="1">
      <alignment vertical="center" wrapText="1"/>
    </xf>
    <xf numFmtId="0" fontId="9" fillId="18" borderId="1" xfId="0" applyFont="1" applyFill="1" applyBorder="1" applyAlignment="1">
      <alignment vertical="center" wrapText="1"/>
    </xf>
    <xf numFmtId="0" fontId="10" fillId="0" borderId="1" xfId="0" applyFont="1" applyBorder="1" applyAlignment="1">
      <alignment horizontal="left" vertical="center" wrapText="1"/>
    </xf>
    <xf numFmtId="0" fontId="10" fillId="0" borderId="5" xfId="0" applyFont="1" applyBorder="1" applyAlignment="1">
      <alignment horizontal="center" vertical="center" wrapText="1"/>
    </xf>
    <xf numFmtId="0" fontId="9" fillId="14" borderId="1" xfId="0" applyFont="1" applyFill="1" applyBorder="1" applyAlignment="1">
      <alignment vertical="center" wrapText="1"/>
    </xf>
    <xf numFmtId="0" fontId="20" fillId="7" borderId="1" xfId="0" applyFont="1" applyFill="1" applyBorder="1"/>
    <xf numFmtId="0" fontId="20" fillId="7" borderId="5" xfId="0" applyFont="1" applyFill="1" applyBorder="1"/>
    <xf numFmtId="0" fontId="9" fillId="20" borderId="1" xfId="0" applyFont="1" applyFill="1" applyBorder="1" applyAlignment="1">
      <alignment vertical="center" wrapText="1"/>
    </xf>
    <xf numFmtId="0" fontId="9" fillId="10" borderId="1" xfId="0" applyFont="1" applyFill="1" applyBorder="1" applyAlignment="1">
      <alignment horizontal="center" vertical="center" wrapText="1"/>
    </xf>
    <xf numFmtId="0" fontId="9" fillId="0" borderId="1" xfId="0" applyFont="1" applyBorder="1" applyAlignment="1">
      <alignment vertical="center" wrapText="1"/>
    </xf>
    <xf numFmtId="0" fontId="3" fillId="17" borderId="1" xfId="0" applyFont="1" applyFill="1" applyBorder="1" applyAlignment="1">
      <alignment vertical="center" wrapText="1"/>
    </xf>
    <xf numFmtId="0" fontId="3" fillId="17" borderId="5" xfId="0" applyFont="1" applyFill="1" applyBorder="1" applyAlignment="1">
      <alignment horizontal="center" vertical="center" wrapText="1"/>
    </xf>
    <xf numFmtId="0" fontId="3" fillId="17" borderId="5" xfId="0" applyFont="1" applyFill="1" applyBorder="1" applyAlignment="1">
      <alignment vertical="center" wrapText="1"/>
    </xf>
    <xf numFmtId="0" fontId="3" fillId="17" borderId="5" xfId="0" applyFont="1" applyFill="1" applyBorder="1" applyAlignment="1">
      <alignment horizontal="right" vertical="center" wrapText="1"/>
    </xf>
    <xf numFmtId="0" fontId="3" fillId="17" borderId="1" xfId="0" applyFont="1" applyFill="1" applyBorder="1" applyAlignment="1">
      <alignment horizontal="right" vertical="center" wrapText="1"/>
    </xf>
    <xf numFmtId="0" fontId="3" fillId="3" borderId="5" xfId="0" applyFont="1" applyFill="1" applyBorder="1" applyAlignment="1">
      <alignment vertical="center" wrapText="1"/>
    </xf>
    <xf numFmtId="0" fontId="1" fillId="17" borderId="1" xfId="0" applyFont="1" applyFill="1" applyBorder="1" applyAlignment="1">
      <alignment horizontal="center" vertical="center" wrapText="1"/>
    </xf>
    <xf numFmtId="0" fontId="3" fillId="3" borderId="5" xfId="0" applyFont="1" applyFill="1" applyBorder="1" applyAlignment="1">
      <alignment horizontal="right" vertical="center" wrapText="1"/>
    </xf>
    <xf numFmtId="0" fontId="3" fillId="11" borderId="5" xfId="0" applyFont="1" applyFill="1" applyBorder="1" applyAlignment="1">
      <alignment vertical="center" wrapText="1"/>
    </xf>
    <xf numFmtId="0" fontId="3" fillId="11" borderId="1" xfId="0" applyFont="1" applyFill="1" applyBorder="1" applyAlignment="1">
      <alignment vertical="center" wrapText="1"/>
    </xf>
    <xf numFmtId="0" fontId="3" fillId="11" borderId="5" xfId="0" applyFont="1" applyFill="1" applyBorder="1" applyAlignment="1">
      <alignment horizontal="right" vertical="center" wrapText="1"/>
    </xf>
    <xf numFmtId="0" fontId="3" fillId="11" borderId="1" xfId="0" applyFont="1" applyFill="1" applyBorder="1" applyAlignment="1">
      <alignment horizontal="right" vertical="center" wrapText="1"/>
    </xf>
    <xf numFmtId="165" fontId="3" fillId="17" borderId="5" xfId="0" applyNumberFormat="1" applyFont="1" applyFill="1" applyBorder="1" applyAlignment="1">
      <alignment horizontal="right" vertical="center" wrapText="1"/>
    </xf>
    <xf numFmtId="165" fontId="3" fillId="11" borderId="18" xfId="0" applyNumberFormat="1" applyFont="1" applyFill="1" applyBorder="1" applyAlignment="1">
      <alignment horizontal="right" vertical="center" wrapText="1"/>
    </xf>
    <xf numFmtId="165" fontId="3" fillId="3" borderId="18" xfId="0" applyNumberFormat="1" applyFont="1" applyFill="1" applyBorder="1" applyAlignment="1">
      <alignment horizontal="right" vertical="center" wrapText="1"/>
    </xf>
    <xf numFmtId="0" fontId="18" fillId="0" borderId="1" xfId="0" applyFont="1" applyBorder="1" applyAlignment="1">
      <alignment horizontal="center" vertical="center" wrapText="1"/>
    </xf>
    <xf numFmtId="0" fontId="18" fillId="0" borderId="6" xfId="0" applyFont="1" applyBorder="1" applyAlignment="1">
      <alignment horizontal="center" vertical="center" wrapText="1"/>
    </xf>
    <xf numFmtId="0" fontId="1" fillId="11" borderId="0" xfId="0" applyFont="1" applyFill="1" applyAlignment="1">
      <alignment horizontal="center" vertical="center" wrapText="1"/>
    </xf>
    <xf numFmtId="0" fontId="1" fillId="0" borderId="1" xfId="0" applyFont="1" applyBorder="1" applyAlignment="1">
      <alignment horizontal="left" vertical="center" wrapText="1"/>
    </xf>
    <xf numFmtId="49" fontId="1" fillId="3" borderId="25" xfId="0" applyNumberFormat="1" applyFont="1" applyFill="1" applyBorder="1" applyAlignment="1">
      <alignment horizontal="center" vertical="center" wrapText="1"/>
    </xf>
    <xf numFmtId="0" fontId="17" fillId="13" borderId="1" xfId="0" applyFont="1" applyFill="1" applyBorder="1" applyAlignment="1">
      <alignment horizontal="center" vertical="center" wrapText="1"/>
    </xf>
    <xf numFmtId="49" fontId="1" fillId="0" borderId="20" xfId="0" applyNumberFormat="1" applyFont="1" applyBorder="1" applyAlignment="1">
      <alignment horizontal="center" vertical="center" wrapText="1"/>
    </xf>
    <xf numFmtId="0" fontId="27" fillId="21" borderId="0" xfId="0" applyFont="1" applyFill="1" applyAlignment="1">
      <alignment horizontal="center" vertical="center" wrapText="1"/>
    </xf>
    <xf numFmtId="0" fontId="27" fillId="21" borderId="5" xfId="0" applyFont="1" applyFill="1" applyBorder="1" applyAlignment="1">
      <alignment horizontal="center" vertical="center" wrapText="1"/>
    </xf>
    <xf numFmtId="0" fontId="2" fillId="22" borderId="8" xfId="0" applyFont="1" applyFill="1" applyBorder="1"/>
    <xf numFmtId="0" fontId="28" fillId="21" borderId="1" xfId="0" applyFont="1" applyFill="1" applyBorder="1" applyAlignment="1">
      <alignment horizontal="center" vertical="center" wrapText="1"/>
    </xf>
  </cellXfs>
  <cellStyles count="1">
    <cellStyle name="Normal" xfId="0" builtinId="0"/>
  </cellStyles>
  <dxfs count="43">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FFFFFF"/>
          <bgColor rgb="FFFFFFFF"/>
        </patternFill>
      </fill>
    </dxf>
    <dxf>
      <fill>
        <patternFill patternType="solid">
          <fgColor rgb="FFE0F7FA"/>
          <bgColor rgb="FFE0F7FA"/>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15">
    <tableStyle name="GWD MR Abstract-style" pivot="0" count="3">
      <tableStyleElement type="headerRow" dxfId="42"/>
      <tableStyleElement type="firstRowStripe" dxfId="41"/>
      <tableStyleElement type="secondRowStripe" dxfId="40"/>
    </tableStyle>
    <tableStyle name="GWD DR Abstract-style" pivot="0" count="3">
      <tableStyleElement type="headerRow" dxfId="39"/>
      <tableStyleElement type="firstRowStripe" dxfId="38"/>
      <tableStyleElement type="secondRowStripe" dxfId="37"/>
    </tableStyle>
    <tableStyle name="Electrical Essentials-style" pivot="0" count="3">
      <tableStyleElement type="headerRow" dxfId="36"/>
      <tableStyleElement type="firstRowStripe" dxfId="35"/>
      <tableStyleElement type="secondRowStripe" dxfId="34"/>
    </tableStyle>
    <tableStyle name="GI on Wall PRICE-style" pivot="0" count="3">
      <tableStyleElement type="headerRow" dxfId="33"/>
      <tableStyleElement type="firstRowStripe" dxfId="32"/>
      <tableStyleElement type="secondRowStripe" dxfId="31"/>
    </tableStyle>
    <tableStyle name="GI With Trench PRICE-style" pivot="0" count="3">
      <tableStyleElement type="headerRow" dxfId="30"/>
      <tableStyleElement type="firstRowStripe" dxfId="29"/>
      <tableStyleElement type="secondRowStripe" dxfId="28"/>
    </tableStyle>
    <tableStyle name="Other Fittings PRICE-style" pivot="0" count="3">
      <tableStyleElement type="headerRow" dxfId="27"/>
      <tableStyleElement type="firstRowStripe" dxfId="26"/>
      <tableStyleElement type="secondRowStripe" dxfId="25"/>
    </tableStyle>
    <tableStyle name="Scaffolding-style" pivot="0" count="3">
      <tableStyleElement type="headerRow" dxfId="24"/>
      <tableStyleElement type="firstRowStripe" dxfId="23"/>
      <tableStyleElement type="secondRowStripe" dxfId="22"/>
    </tableStyle>
    <tableStyle name="Services-style" pivot="0" count="3">
      <tableStyleElement type="headerRow" dxfId="21"/>
      <tableStyleElement type="firstRowStripe" dxfId="20"/>
      <tableStyleElement type="secondRowStripe" dxfId="19"/>
    </tableStyle>
    <tableStyle name="TW Casing Pipes-style" pivot="0" count="3">
      <tableStyleElement type="headerRow" dxfId="18"/>
      <tableStyleElement type="firstRowStripe" dxfId="17"/>
      <tableStyleElement type="secondRowStripe" dxfId="16"/>
    </tableStyle>
    <tableStyle name="TW Casing Pipes-style 2" pivot="0" count="2">
      <tableStyleElement type="firstRowStripe" dxfId="15"/>
      <tableStyleElement type="secondRowStripe" dxfId="14"/>
    </tableStyle>
    <tableStyle name="TW Casing Pipes-style 3" pivot="0" count="2">
      <tableStyleElement type="firstRowStripe" dxfId="13"/>
      <tableStyleElement type="secondRowStripe" dxfId="12"/>
    </tableStyle>
    <tableStyle name="Water Tank-style" pivot="0" count="3">
      <tableStyleElement type="headerRow" dxfId="11"/>
      <tableStyleElement type="firstRowStripe" dxfId="10"/>
      <tableStyleElement type="secondRowStripe" dxfId="9"/>
    </tableStyle>
    <tableStyle name="zCost Index-style" pivot="0" count="3">
      <tableStyleElement type="headerRow" dxfId="8"/>
      <tableStyleElement type="firstRowStripe" dxfId="7"/>
      <tableStyleElement type="secondRowStripe" dxfId="6"/>
    </tableStyle>
    <tableStyle name="zLMR-style" pivot="0" count="3">
      <tableStyleElement type="headerRow" dxfId="5"/>
      <tableStyleElement type="firstRowStripe" dxfId="4"/>
      <tableStyleElement type="secondRowStripe" dxfId="3"/>
    </tableStyle>
    <tableStyle name="zPAMR Gen ID 40-style" pivot="0" count="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2" name="Table_2" displayName="Table_2" ref="A3:L392">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ables/table2.xml><?xml version="1.0" encoding="utf-8"?>
<table xmlns="http://schemas.openxmlformats.org/spreadsheetml/2006/main" id="1" name="Table_1" displayName="Table_1" ref="A3:L197">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MR Abstract-style" showFirstColumn="1" showLastColumn="1" showRowStripes="1" showColumnStripes="0"/>
</table>
</file>

<file path=xl/tables/table3.xml><?xml version="1.0" encoding="utf-8"?>
<table xmlns="http://schemas.openxmlformats.org/spreadsheetml/2006/main" id="3" name="Table_3" displayName="Table_3" ref="A1:D53">
  <tableColumns count="4">
    <tableColumn id="1" name="Spec Code"/>
    <tableColumn id="2" name="Specification"/>
    <tableColumn id="3" name="Rate (₹)"/>
    <tableColumn id="4" name="Unit"/>
  </tableColumns>
  <tableStyleInfo name="Electrical Essentials-style" showFirstColumn="1" showLastColumn="1" showRowStripes="1" showColumnStripes="0"/>
</table>
</file>

<file path=xl/tables/table4.xml><?xml version="1.0" encoding="utf-8"?>
<table xmlns="http://schemas.openxmlformats.org/spreadsheetml/2006/main" id="4" name="Table_4" displayName="Table_4" ref="A1:D7">
  <tableColumns count="4">
    <tableColumn id="1" name="Spec Code"/>
    <tableColumn id="2" name="Specification"/>
    <tableColumn id="3" name="Rate (₹)"/>
    <tableColumn id="4" name="Unit"/>
  </tableColumns>
  <tableStyleInfo name="GI on Wall PRICE-style" showFirstColumn="1" showLastColumn="1" showRowStripes="1" showColumnStripes="0"/>
</table>
</file>

<file path=xl/tables/table5.xml><?xml version="1.0" encoding="utf-8"?>
<table xmlns="http://schemas.openxmlformats.org/spreadsheetml/2006/main" id="5" name="Table_5" displayName="Table_5" ref="A1:D9">
  <tableColumns count="4">
    <tableColumn id="1" name="Spec Code"/>
    <tableColumn id="2" name="Specification"/>
    <tableColumn id="3" name="Rate (₹)"/>
    <tableColumn id="4" name="Unit"/>
  </tableColumns>
  <tableStyleInfo name="GI With Trench PRICE-style" showFirstColumn="1" showLastColumn="1" showRowStripes="1" showColumnStripes="0"/>
</table>
</file>

<file path=xl/tables/table6.xml><?xml version="1.0" encoding="utf-8"?>
<table xmlns="http://schemas.openxmlformats.org/spreadsheetml/2006/main" id="6" name="Table_6" displayName="Table_6" ref="A1:D36">
  <tableColumns count="4">
    <tableColumn id="1" name="Spec Code"/>
    <tableColumn id="2" name="Specification"/>
    <tableColumn id="3" name="Rate (₹)"/>
    <tableColumn id="4" name="Unit"/>
  </tableColumns>
  <tableStyleInfo name="Other Fittings PRICE-style" showFirstColumn="1" showLastColumn="1" showRowStripes="1" showColumnStripes="0"/>
</table>
</file>

<file path=xl/tables/table7.xml><?xml version="1.0" encoding="utf-8"?>
<table xmlns="http://schemas.openxmlformats.org/spreadsheetml/2006/main" id="7" name="Table_7" displayName="Table_7" ref="A1:D2">
  <tableColumns count="4">
    <tableColumn id="1" name="Spec Code"/>
    <tableColumn id="2" name="Specification"/>
    <tableColumn id="3" name="Rate (₹)"/>
    <tableColumn id="4" name="Unit"/>
  </tableColumns>
  <tableStyleInfo name="Scaffolding-style" showFirstColumn="1" showLastColumn="1" showRowStripes="1" showColumnStripes="0"/>
</table>
</file>

<file path=xl/tables/table8.xml><?xml version="1.0" encoding="utf-8"?>
<table xmlns="http://schemas.openxmlformats.org/spreadsheetml/2006/main" id="8" name="Table_8" displayName="Table_8" ref="A1:D27">
  <tableColumns count="4">
    <tableColumn id="1" name="Sl. No"/>
    <tableColumn id="2" name="Item Name"/>
    <tableColumn id="3" name="Unit"/>
    <tableColumn id="4" name="Rate"/>
  </tableColumns>
  <tableStyleInfo name="Services-style" showFirstColumn="1" showLastColumn="1" showRowStripes="1" showColumnStripes="0"/>
</table>
</file>

<file path=xl/tables/table9.xml><?xml version="1.0" encoding="utf-8"?>
<table xmlns="http://schemas.openxmlformats.org/spreadsheetml/2006/main" id="9" name="Table_9" displayName="Table_9" ref="A1:D7">
  <tableColumns count="4">
    <tableColumn id="1" name="Spec Code"/>
    <tableColumn id="2" name="Specification"/>
    <tableColumn id="3" name="Rate (₹)"/>
    <tableColumn id="4" name="Unit"/>
  </tableColumns>
  <tableStyleInfo name="TW Casing Pipes-style" showFirstColumn="1" showLastColumn="1" showRowStripes="1" showColumnStripes="0"/>
</table>
</file>

<file path=xl/tables/table10.xml><?xml version="1.0" encoding="utf-8"?>
<table xmlns="http://schemas.openxmlformats.org/spreadsheetml/2006/main" id="10" name="Table_10" displayName="Table_10" ref="A9:D11" headerRowCount="0">
  <tableColumns count="4">
    <tableColumn id="1" name="Column1"/>
    <tableColumn id="2" name="Column2"/>
    <tableColumn id="3" name="Column3"/>
    <tableColumn id="4" name="Column4"/>
  </tableColumns>
  <tableStyleInfo name="TW Casing Pipes-style 2" showFirstColumn="1" showLastColumn="1" showRowStripes="1" showColumnStripes="0"/>
</table>
</file>

<file path=xl/tables/table11.xml><?xml version="1.0" encoding="utf-8"?>
<table xmlns="http://schemas.openxmlformats.org/spreadsheetml/2006/main" id="11" name="Table_11" displayName="Table_11" ref="A12:D13" headerRowCount="0">
  <tableColumns count="4">
    <tableColumn id="1" name="Column1"/>
    <tableColumn id="2" name="Column2"/>
    <tableColumn id="3" name="Column3"/>
    <tableColumn id="4" name="Column4"/>
  </tableColumns>
  <tableStyleInfo name="TW Casing Pipes-style 3" showFirstColumn="1" showLastColumn="1" showRowStripes="1" showColumnStripes="0"/>
</table>
</file>

<file path=xl/tables/table12.xml><?xml version="1.0" encoding="utf-8"?>
<table xmlns="http://schemas.openxmlformats.org/spreadsheetml/2006/main" id="12" name="Table_12" displayName="Table_12" ref="A1:D1" headerRowCount="0">
  <tableColumns count="4">
    <tableColumn id="1" name="Column1"/>
    <tableColumn id="2" name="Column2"/>
    <tableColumn id="3" name="Column3"/>
    <tableColumn id="4" name="Column4"/>
  </tableColumns>
  <tableStyleInfo name="Water Tank-style" showFirstColumn="1" showLastColumn="1" showRowStripes="1" showColumnStripes="0"/>
  <extLst>
    <ext uri="GoogleSheetsCustomDataVersion1">
      <go:sheetsCustomData xmlns:go="http://customooxmlschemas.google.com/" headerRowCount="1"/>
    </ext>
  </extLst>
</table>
</file>

<file path=xl/tables/table13.xml><?xml version="1.0" encoding="utf-8"?>
<table xmlns="http://schemas.openxmlformats.org/spreadsheetml/2006/main" id="13" name="Table_13" displayName="Table_13" ref="A1:B16">
  <tableColumns count="2">
    <tableColumn id="1" name="District"/>
    <tableColumn id="2" name="Index"/>
  </tableColumns>
  <tableStyleInfo name="zCost Index-style" showFirstColumn="1" showLastColumn="1" showRowStripes="1" showColumnStripes="0"/>
</table>
</file>

<file path=xl/tables/table14.xml><?xml version="1.0" encoding="utf-8"?>
<table xmlns="http://schemas.openxmlformats.org/spreadsheetml/2006/main" id="14" name="Table_14" displayName="Table_14" ref="A1:C29">
  <tableColumns count="3">
    <tableColumn id="1" name="LMR Code"/>
    <tableColumn id="2" name="Spec"/>
    <tableColumn id="3" name="Rate"/>
  </tableColumns>
  <tableStyleInfo name="zLMR-style" showFirstColumn="1" showLastColumn="1" showRowStripes="1" showColumnStripes="0"/>
</table>
</file>

<file path=xl/tables/table15.xml><?xml version="1.0" encoding="utf-8"?>
<table xmlns="http://schemas.openxmlformats.org/spreadsheetml/2006/main" id="15" name="Table_15" displayName="Table_15" ref="A1:J1709">
  <tableColumns count="10">
    <tableColumn id="1" name="No"/>
    <tableColumn id="2" name="Core Type"/>
    <tableColumn id="3" name="Misc Type"/>
    <tableColumn id="4" name="Code"/>
    <tableColumn id="5" name="Description"/>
    <tableColumn id="6" name="Rate (₹)"/>
    <tableColumn id="7" name="Unit"/>
    <tableColumn id="8" name="Valid From"/>
    <tableColumn id="9" name="Valid To"/>
    <tableColumn id="10" name="Published On"/>
  </tableColumns>
  <tableStyleInfo name="zPAMR Gen ID 40-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pageSetUpPr fitToPage="1"/>
  </sheetPr>
  <dimension ref="A1:L392"/>
  <sheetViews>
    <sheetView tabSelected="1" workbookViewId="0">
      <pane ySplit="3" topLeftCell="A88" activePane="bottomLeft" state="frozen"/>
      <selection pane="bottomLeft" activeCell="E102" sqref="E102"/>
    </sheetView>
  </sheetViews>
  <sheetFormatPr defaultColWidth="14.453125" defaultRowHeight="15" customHeight="1"/>
  <cols>
    <col min="1" max="1" width="6.81640625" customWidth="1"/>
    <col min="2" max="2" width="20.81640625" customWidth="1"/>
    <col min="3" max="4" width="50.453125" customWidth="1"/>
    <col min="5" max="5" width="14.81640625" customWidth="1"/>
    <col min="6" max="7" width="30.54296875" customWidth="1"/>
    <col min="8" max="8" width="26.7265625" customWidth="1"/>
    <col min="11" max="11" width="13" customWidth="1"/>
  </cols>
  <sheetData>
    <row r="1" spans="1:12">
      <c r="A1" s="443" t="s">
        <v>11</v>
      </c>
      <c r="B1" s="444"/>
      <c r="C1" s="444"/>
      <c r="D1" s="444"/>
      <c r="E1" s="444"/>
      <c r="F1" s="444"/>
      <c r="G1" s="444"/>
      <c r="H1" s="444"/>
      <c r="I1" s="445"/>
      <c r="J1" s="449" t="s">
        <v>15</v>
      </c>
      <c r="K1" s="450"/>
      <c r="L1" s="6" t="s">
        <v>18</v>
      </c>
    </row>
    <row r="2" spans="1:12">
      <c r="A2" s="446"/>
      <c r="B2" s="447"/>
      <c r="C2" s="447"/>
      <c r="D2" s="447"/>
      <c r="E2" s="447"/>
      <c r="F2" s="447"/>
      <c r="G2" s="447"/>
      <c r="H2" s="447"/>
      <c r="I2" s="448"/>
      <c r="J2" s="451" t="s">
        <v>24</v>
      </c>
      <c r="K2" s="450"/>
      <c r="L2" s="10">
        <f t="array" ref="L2">((IFERROR(INDEX(CostIndex,MATCH(J2,District,0), ), )))</f>
        <v>1</v>
      </c>
    </row>
    <row r="3" spans="1:12">
      <c r="A3" s="11" t="s">
        <v>29</v>
      </c>
      <c r="B3" s="11" t="s">
        <v>3</v>
      </c>
      <c r="C3" s="11" t="s">
        <v>31</v>
      </c>
      <c r="D3" s="11" t="s">
        <v>32</v>
      </c>
      <c r="E3" s="11" t="s">
        <v>5</v>
      </c>
      <c r="F3" s="12" t="s">
        <v>33</v>
      </c>
      <c r="G3" s="12" t="s">
        <v>34</v>
      </c>
      <c r="H3" s="12" t="s">
        <v>35</v>
      </c>
      <c r="I3" s="12" t="s">
        <v>37</v>
      </c>
      <c r="J3" s="12" t="s">
        <v>38</v>
      </c>
      <c r="K3" s="12" t="s">
        <v>39</v>
      </c>
      <c r="L3" s="12" t="s">
        <v>40</v>
      </c>
    </row>
    <row r="4" spans="1:12">
      <c r="A4" s="13">
        <v>1</v>
      </c>
      <c r="B4" s="14" t="s">
        <v>41</v>
      </c>
      <c r="C4" s="16" t="str">
        <f>'Well Protection'!A1</f>
        <v>Well Protection Cover</v>
      </c>
      <c r="D4" s="16" t="str">
        <f t="shared" ref="D4:D392" si="0">CONCATENATE(C4," (Code: ",B4,")")</f>
        <v>Well Protection Cover (Code: GWDDR001)</v>
      </c>
      <c r="E4" s="13" t="s">
        <v>46</v>
      </c>
      <c r="F4" s="17" t="s">
        <v>51</v>
      </c>
      <c r="G4" s="17" t="s">
        <v>52</v>
      </c>
      <c r="H4" s="17" t="s">
        <v>53</v>
      </c>
      <c r="I4" s="17">
        <v>0</v>
      </c>
      <c r="J4" s="19">
        <f>'Well Protection'!J30</f>
        <v>3800.0025544059999</v>
      </c>
      <c r="K4" s="19">
        <f t="shared" ref="K4:K392" si="1">J4*($L$2-1)</f>
        <v>0</v>
      </c>
      <c r="L4" s="19">
        <f t="shared" ref="L4:L392" si="2">SUM(I4:K4)</f>
        <v>3800.0025544059999</v>
      </c>
    </row>
    <row r="5" spans="1:12">
      <c r="A5" s="13">
        <v>2</v>
      </c>
      <c r="B5" s="14" t="s">
        <v>63</v>
      </c>
      <c r="C5" s="16" t="str">
        <f>'Iron Structure'!A1</f>
        <v>Angle Iron Structure To Support 5000 Litres Capacity Water Tank At 4 m Height</v>
      </c>
      <c r="D5" s="16" t="str">
        <f t="shared" si="0"/>
        <v>Angle Iron Structure To Support 5000 Litres Capacity Water Tank At 4 m Height (Code: GWDDR002)</v>
      </c>
      <c r="E5" s="13" t="s">
        <v>46</v>
      </c>
      <c r="F5" s="17" t="s">
        <v>51</v>
      </c>
      <c r="G5" s="17" t="s">
        <v>52</v>
      </c>
      <c r="H5" s="17" t="s">
        <v>66</v>
      </c>
      <c r="I5" s="17">
        <v>0</v>
      </c>
      <c r="J5" s="19">
        <f>'Iron Structure'!J42</f>
        <v>71000.003332000008</v>
      </c>
      <c r="K5" s="19">
        <f t="shared" si="1"/>
        <v>0</v>
      </c>
      <c r="L5" s="19">
        <f t="shared" si="2"/>
        <v>71000.003332000008</v>
      </c>
    </row>
    <row r="6" spans="1:12">
      <c r="A6" s="13">
        <v>3</v>
      </c>
      <c r="B6" s="14" t="s">
        <v>68</v>
      </c>
      <c r="C6" s="16" t="str">
        <f>'Iron Structure'!A44</f>
        <v>Angle Iron Structure To Support 3000 Litres Capacity Water Tank At 4 m Height</v>
      </c>
      <c r="D6" s="16" t="str">
        <f t="shared" si="0"/>
        <v>Angle Iron Structure To Support 3000 Litres Capacity Water Tank At 4 m Height (Code: GWDDR003)</v>
      </c>
      <c r="E6" s="13" t="s">
        <v>46</v>
      </c>
      <c r="F6" s="17" t="s">
        <v>51</v>
      </c>
      <c r="G6" s="17" t="s">
        <v>52</v>
      </c>
      <c r="H6" s="17" t="s">
        <v>66</v>
      </c>
      <c r="I6" s="17">
        <v>0</v>
      </c>
      <c r="J6" s="19">
        <f>'Iron Structure'!J85</f>
        <v>62000</v>
      </c>
      <c r="K6" s="19">
        <f t="shared" si="1"/>
        <v>0</v>
      </c>
      <c r="L6" s="19">
        <f t="shared" si="2"/>
        <v>62000</v>
      </c>
    </row>
    <row r="7" spans="1:12">
      <c r="A7" s="13">
        <v>4</v>
      </c>
      <c r="B7" s="14" t="s">
        <v>74</v>
      </c>
      <c r="C7" s="16" t="str">
        <f>'Iron Structure'!A87</f>
        <v>Angle Iron Structure To Support 5000 Litres Capacity Water Tank At 6 m Height</v>
      </c>
      <c r="D7" s="16" t="str">
        <f t="shared" si="0"/>
        <v>Angle Iron Structure To Support 5000 Litres Capacity Water Tank At 6 m Height (Code: GWDDR004)</v>
      </c>
      <c r="E7" s="13" t="s">
        <v>46</v>
      </c>
      <c r="F7" s="17" t="s">
        <v>51</v>
      </c>
      <c r="G7" s="17" t="s">
        <v>52</v>
      </c>
      <c r="H7" s="17" t="s">
        <v>66</v>
      </c>
      <c r="I7" s="17">
        <v>0</v>
      </c>
      <c r="J7" s="19">
        <f>'Iron Structure'!J130</f>
        <v>93999.997092000005</v>
      </c>
      <c r="K7" s="19">
        <f t="shared" si="1"/>
        <v>0</v>
      </c>
      <c r="L7" s="19">
        <f t="shared" si="2"/>
        <v>93999.997092000005</v>
      </c>
    </row>
    <row r="8" spans="1:12">
      <c r="A8" s="13">
        <v>5</v>
      </c>
      <c r="B8" s="14" t="s">
        <v>81</v>
      </c>
      <c r="C8" s="16" t="str">
        <f>'Iron Structure'!A132</f>
        <v>Angle Iron Structure To Support 3000 Litres Capacity Water Tank At 6 m Height</v>
      </c>
      <c r="D8" s="16" t="str">
        <f t="shared" si="0"/>
        <v>Angle Iron Structure To Support 3000 Litres Capacity Water Tank At 6 m Height (Code: GWDDR005)</v>
      </c>
      <c r="E8" s="13" t="s">
        <v>46</v>
      </c>
      <c r="F8" s="17" t="s">
        <v>51</v>
      </c>
      <c r="G8" s="17" t="s">
        <v>52</v>
      </c>
      <c r="H8" s="17" t="s">
        <v>66</v>
      </c>
      <c r="I8" s="17">
        <v>0</v>
      </c>
      <c r="J8" s="19">
        <f>'Iron Structure'!J175</f>
        <v>83000</v>
      </c>
      <c r="K8" s="19">
        <f t="shared" si="1"/>
        <v>0</v>
      </c>
      <c r="L8" s="19">
        <f t="shared" si="2"/>
        <v>83000</v>
      </c>
    </row>
    <row r="9" spans="1:12">
      <c r="A9" s="13">
        <v>6</v>
      </c>
      <c r="B9" s="14" t="s">
        <v>87</v>
      </c>
      <c r="C9" s="16" t="str">
        <f>'Metallic PH'!A1</f>
        <v>Metallic Pump House of size 1.2 x 0.9 x 2 m</v>
      </c>
      <c r="D9" s="16" t="str">
        <f t="shared" si="0"/>
        <v>Metallic Pump House of size 1.2 x 0.9 x 2 m (Code: GWDDR006)</v>
      </c>
      <c r="E9" s="13" t="s">
        <v>46</v>
      </c>
      <c r="F9" s="17" t="s">
        <v>51</v>
      </c>
      <c r="G9" s="17" t="s">
        <v>52</v>
      </c>
      <c r="H9" s="17" t="s">
        <v>53</v>
      </c>
      <c r="I9" s="17">
        <v>0</v>
      </c>
      <c r="J9" s="19">
        <f>'Metallic PH'!J62</f>
        <v>25999.995676864219</v>
      </c>
      <c r="K9" s="19">
        <f t="shared" si="1"/>
        <v>0</v>
      </c>
      <c r="L9" s="19">
        <f t="shared" si="2"/>
        <v>25999.995676864219</v>
      </c>
    </row>
    <row r="10" spans="1:12">
      <c r="A10" s="13">
        <v>7</v>
      </c>
      <c r="B10" s="14" t="s">
        <v>98</v>
      </c>
      <c r="C10" s="16"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6" t="str">
        <f t="shared" si="0"/>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3" t="s">
        <v>21</v>
      </c>
      <c r="F10" s="17" t="s">
        <v>51</v>
      </c>
      <c r="G10" s="17" t="s">
        <v>102</v>
      </c>
      <c r="H10" s="17" t="s">
        <v>103</v>
      </c>
      <c r="I10" s="19">
        <f>'BW Casing Pipes'!F13</f>
        <v>326.40000000000003</v>
      </c>
      <c r="J10" s="19">
        <f>'BW Casing Pipes'!F26</f>
        <v>11.200000000000001</v>
      </c>
      <c r="K10" s="19">
        <f t="shared" si="1"/>
        <v>0</v>
      </c>
      <c r="L10" s="19">
        <f t="shared" si="2"/>
        <v>337.6</v>
      </c>
    </row>
    <row r="11" spans="1:12">
      <c r="A11" s="13">
        <v>8</v>
      </c>
      <c r="B11" s="14" t="s">
        <v>108</v>
      </c>
      <c r="C11" s="16"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6" t="str">
        <f t="shared" si="0"/>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3" t="s">
        <v>21</v>
      </c>
      <c r="F11" s="17" t="s">
        <v>51</v>
      </c>
      <c r="G11" s="17" t="s">
        <v>102</v>
      </c>
      <c r="H11" s="17" t="s">
        <v>103</v>
      </c>
      <c r="I11" s="19">
        <f>'BW Casing Pipes'!F39</f>
        <v>462.3</v>
      </c>
      <c r="J11" s="19">
        <f>'BW Casing Pipes'!F52</f>
        <v>11.200000000000001</v>
      </c>
      <c r="K11" s="19">
        <f t="shared" si="1"/>
        <v>0</v>
      </c>
      <c r="L11" s="19">
        <f t="shared" si="2"/>
        <v>473.5</v>
      </c>
    </row>
    <row r="12" spans="1:12">
      <c r="A12" s="13">
        <v>9</v>
      </c>
      <c r="B12" s="14" t="s">
        <v>114</v>
      </c>
      <c r="C12" s="16"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6" t="str">
        <f t="shared" si="0"/>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3" t="s">
        <v>21</v>
      </c>
      <c r="F12" s="17" t="s">
        <v>51</v>
      </c>
      <c r="G12" s="17" t="s">
        <v>102</v>
      </c>
      <c r="H12" s="17" t="s">
        <v>103</v>
      </c>
      <c r="I12" s="19">
        <f>'BW Casing Pipes'!F65</f>
        <v>449.5</v>
      </c>
      <c r="J12" s="19">
        <f>'BW Casing Pipes'!F78</f>
        <v>11.200000000000001</v>
      </c>
      <c r="K12" s="19">
        <f t="shared" si="1"/>
        <v>0</v>
      </c>
      <c r="L12" s="19">
        <f t="shared" si="2"/>
        <v>460.7</v>
      </c>
    </row>
    <row r="13" spans="1:12">
      <c r="A13" s="13">
        <v>10</v>
      </c>
      <c r="B13" s="14" t="s">
        <v>120</v>
      </c>
      <c r="C13" s="16"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6" t="str">
        <f t="shared" si="0"/>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3" t="s">
        <v>21</v>
      </c>
      <c r="F13" s="17" t="s">
        <v>51</v>
      </c>
      <c r="G13" s="17" t="s">
        <v>102</v>
      </c>
      <c r="H13" s="17" t="s">
        <v>103</v>
      </c>
      <c r="I13" s="19">
        <f>'BW Casing Pipes'!F91</f>
        <v>565.65</v>
      </c>
      <c r="J13" s="19">
        <f>'BW Casing Pipes'!F104</f>
        <v>11.200000000000001</v>
      </c>
      <c r="K13" s="19">
        <f t="shared" si="1"/>
        <v>0</v>
      </c>
      <c r="L13" s="19">
        <f t="shared" si="2"/>
        <v>576.85</v>
      </c>
    </row>
    <row r="14" spans="1:12">
      <c r="A14" s="13">
        <v>11</v>
      </c>
      <c r="B14" s="14" t="s">
        <v>130</v>
      </c>
      <c r="C14" s="16"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6" t="str">
        <f t="shared" si="0"/>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3" t="s">
        <v>21</v>
      </c>
      <c r="F14" s="17" t="s">
        <v>51</v>
      </c>
      <c r="G14" s="17" t="s">
        <v>102</v>
      </c>
      <c r="H14" s="17" t="s">
        <v>103</v>
      </c>
      <c r="I14" s="19">
        <f>'BW Casing Pipes'!F117</f>
        <v>759.6</v>
      </c>
      <c r="J14" s="19">
        <f>'BW Casing Pipes'!F130</f>
        <v>11.200000000000001</v>
      </c>
      <c r="K14" s="19">
        <f t="shared" si="1"/>
        <v>0</v>
      </c>
      <c r="L14" s="19">
        <f t="shared" si="2"/>
        <v>770.80000000000007</v>
      </c>
    </row>
    <row r="15" spans="1:12">
      <c r="A15" s="13">
        <v>12</v>
      </c>
      <c r="B15" s="14" t="s">
        <v>139</v>
      </c>
      <c r="C15" s="16"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6" t="str">
        <f t="shared" si="0"/>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3" t="s">
        <v>21</v>
      </c>
      <c r="F15" s="17" t="s">
        <v>51</v>
      </c>
      <c r="G15" s="17" t="s">
        <v>102</v>
      </c>
      <c r="H15" s="17" t="s">
        <v>103</v>
      </c>
      <c r="I15" s="19">
        <f>'BW Casing Pipes'!F143</f>
        <v>944.30000000000007</v>
      </c>
      <c r="J15" s="19">
        <f>'BW Casing Pipes'!F156</f>
        <v>11.200000000000001</v>
      </c>
      <c r="K15" s="19">
        <f t="shared" si="1"/>
        <v>0</v>
      </c>
      <c r="L15" s="19">
        <f t="shared" si="2"/>
        <v>955.50000000000011</v>
      </c>
    </row>
    <row r="16" spans="1:12">
      <c r="A16" s="13">
        <v>13</v>
      </c>
      <c r="B16" s="14" t="s">
        <v>146</v>
      </c>
      <c r="C16" s="16"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6" t="str">
        <f t="shared" si="0"/>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3" t="s">
        <v>21</v>
      </c>
      <c r="F16" s="17" t="s">
        <v>51</v>
      </c>
      <c r="G16" s="17" t="s">
        <v>102</v>
      </c>
      <c r="H16" s="17" t="s">
        <v>103</v>
      </c>
      <c r="I16" s="19">
        <f>'BW Casing Pipes'!F169</f>
        <v>1111.55</v>
      </c>
      <c r="J16" s="19">
        <f>'BW Casing Pipes'!F182</f>
        <v>11.200000000000001</v>
      </c>
      <c r="K16" s="19">
        <f t="shared" si="1"/>
        <v>0</v>
      </c>
      <c r="L16" s="19">
        <f t="shared" si="2"/>
        <v>1122.75</v>
      </c>
    </row>
    <row r="17" spans="1:12">
      <c r="A17" s="13">
        <v>14</v>
      </c>
      <c r="B17" s="14" t="s">
        <v>151</v>
      </c>
      <c r="C17" s="16"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6" t="str">
        <f t="shared" si="0"/>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3" t="s">
        <v>21</v>
      </c>
      <c r="F17" s="17" t="s">
        <v>51</v>
      </c>
      <c r="G17" s="17" t="s">
        <v>102</v>
      </c>
      <c r="H17" s="17" t="s">
        <v>103</v>
      </c>
      <c r="I17" s="19">
        <f>'BW Casing Pipes'!F195</f>
        <v>209.05</v>
      </c>
      <c r="J17" s="19">
        <f>'BW Casing Pipes'!F208</f>
        <v>11.200000000000001</v>
      </c>
      <c r="K17" s="19">
        <f t="shared" si="1"/>
        <v>0</v>
      </c>
      <c r="L17" s="19">
        <f t="shared" si="2"/>
        <v>220.25</v>
      </c>
    </row>
    <row r="18" spans="1:12">
      <c r="A18" s="13">
        <v>15</v>
      </c>
      <c r="B18" s="14" t="s">
        <v>158</v>
      </c>
      <c r="C18" s="16"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6" t="str">
        <f t="shared" si="0"/>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3" t="s">
        <v>21</v>
      </c>
      <c r="F18" s="17" t="s">
        <v>51</v>
      </c>
      <c r="G18" s="17" t="s">
        <v>102</v>
      </c>
      <c r="H18" s="17" t="s">
        <v>103</v>
      </c>
      <c r="I18" s="19">
        <f>'BW Casing Pipes'!F221</f>
        <v>197.45000000000002</v>
      </c>
      <c r="J18" s="19">
        <f>'BW Casing Pipes'!F234</f>
        <v>11.200000000000001</v>
      </c>
      <c r="K18" s="19">
        <f t="shared" si="1"/>
        <v>0</v>
      </c>
      <c r="L18" s="19">
        <f t="shared" si="2"/>
        <v>208.65</v>
      </c>
    </row>
    <row r="19" spans="1:12">
      <c r="A19" s="13">
        <v>16</v>
      </c>
      <c r="B19" s="14" t="s">
        <v>169</v>
      </c>
      <c r="C19" s="16"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6" t="str">
        <f t="shared" si="0"/>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3" t="s">
        <v>21</v>
      </c>
      <c r="F19" s="17" t="s">
        <v>51</v>
      </c>
      <c r="G19" s="17" t="s">
        <v>102</v>
      </c>
      <c r="H19" s="17" t="s">
        <v>103</v>
      </c>
      <c r="I19" s="19">
        <f>'BW Casing Pipes'!F247</f>
        <v>557.5</v>
      </c>
      <c r="J19" s="19">
        <f>'BW Casing Pipes'!F260</f>
        <v>11.200000000000001</v>
      </c>
      <c r="K19" s="19">
        <f t="shared" si="1"/>
        <v>0</v>
      </c>
      <c r="L19" s="19">
        <f t="shared" si="2"/>
        <v>568.70000000000005</v>
      </c>
    </row>
    <row r="20" spans="1:12">
      <c r="A20" s="13">
        <v>17</v>
      </c>
      <c r="B20" s="14" t="s">
        <v>180</v>
      </c>
      <c r="C20" s="16"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6" t="str">
        <f t="shared" si="0"/>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3" t="s">
        <v>21</v>
      </c>
      <c r="F20" s="17" t="s">
        <v>51</v>
      </c>
      <c r="G20" s="17" t="s">
        <v>102</v>
      </c>
      <c r="H20" s="17" t="s">
        <v>103</v>
      </c>
      <c r="I20" s="19">
        <f>'BW Casing Pipes'!F273</f>
        <v>914.1</v>
      </c>
      <c r="J20" s="19">
        <f>'BW Casing Pipes'!F286</f>
        <v>11.200000000000001</v>
      </c>
      <c r="K20" s="19">
        <f t="shared" si="1"/>
        <v>0</v>
      </c>
      <c r="L20" s="19">
        <f t="shared" si="2"/>
        <v>925.30000000000007</v>
      </c>
    </row>
    <row r="21" spans="1:12">
      <c r="A21" s="13">
        <v>18</v>
      </c>
      <c r="B21" s="14" t="s">
        <v>186</v>
      </c>
      <c r="C21" s="32"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6"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3" t="s">
        <v>21</v>
      </c>
      <c r="F21" s="17" t="s">
        <v>51</v>
      </c>
      <c r="G21" s="17" t="s">
        <v>191</v>
      </c>
      <c r="H21" s="17" t="s">
        <v>192</v>
      </c>
      <c r="I21" s="17">
        <v>0</v>
      </c>
      <c r="J21" s="19">
        <f>'TW Casing Pipes'!C2</f>
        <v>826.44</v>
      </c>
      <c r="K21" s="19">
        <f t="shared" si="1"/>
        <v>0</v>
      </c>
      <c r="L21" s="19">
        <f t="shared" si="2"/>
        <v>826.44</v>
      </c>
    </row>
    <row r="22" spans="1:12">
      <c r="A22" s="13">
        <v>19</v>
      </c>
      <c r="B22" s="14" t="s">
        <v>195</v>
      </c>
      <c r="C22" s="16"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6"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3" t="s">
        <v>21</v>
      </c>
      <c r="F22" s="17" t="s">
        <v>51</v>
      </c>
      <c r="G22" s="17" t="s">
        <v>191</v>
      </c>
      <c r="H22" s="17" t="s">
        <v>192</v>
      </c>
      <c r="I22" s="17">
        <v>0</v>
      </c>
      <c r="J22" s="19">
        <f>'TW Casing Pipes'!C3</f>
        <v>954.28</v>
      </c>
      <c r="K22" s="19">
        <f t="shared" si="1"/>
        <v>0</v>
      </c>
      <c r="L22" s="19">
        <f t="shared" si="2"/>
        <v>954.28</v>
      </c>
    </row>
    <row r="23" spans="1:12">
      <c r="A23" s="13">
        <v>20</v>
      </c>
      <c r="B23" s="14" t="s">
        <v>203</v>
      </c>
      <c r="C23" s="16" t="str">
        <f>'TW Casing Pipes'!B4</f>
        <v>M.S. cap 200 mm dia (7748 - Water Charge and CPOH Added)</v>
      </c>
      <c r="D23" s="16" t="str">
        <f t="shared" si="0"/>
        <v>M.S. cap 200 mm dia (7748 - Water Charge and CPOH Added) (Code: GWDDR020)</v>
      </c>
      <c r="E23" s="13" t="s">
        <v>46</v>
      </c>
      <c r="F23" s="17" t="s">
        <v>51</v>
      </c>
      <c r="G23" s="17" t="s">
        <v>191</v>
      </c>
      <c r="H23" s="17" t="s">
        <v>206</v>
      </c>
      <c r="I23" s="17">
        <v>0</v>
      </c>
      <c r="J23" s="19">
        <f>'TW Casing Pipes'!C4</f>
        <v>232.29999999999998</v>
      </c>
      <c r="K23" s="19">
        <f t="shared" si="1"/>
        <v>0</v>
      </c>
      <c r="L23" s="19">
        <f t="shared" si="2"/>
        <v>232.29999999999998</v>
      </c>
    </row>
    <row r="24" spans="1:12">
      <c r="A24" s="13">
        <v>21</v>
      </c>
      <c r="B24" s="14" t="s">
        <v>212</v>
      </c>
      <c r="C24" s="16" t="str">
        <f>'TW Casing Pipes'!B5</f>
        <v>Providing and fixing Bail plug / Bottom plug of required dia to the bottom of pipe assembly of tubewell as per IS : 2800 (part I). 200 mm dia (23.15.3)</v>
      </c>
      <c r="D24" s="16" t="str">
        <f t="shared" si="0"/>
        <v>Providing and fixing Bail plug / Bottom plug of required dia to the bottom of pipe assembly of tubewell as per IS : 2800 (part I). 200 mm dia (23.15.3) (Code: GWDDR021)</v>
      </c>
      <c r="E24" s="13" t="s">
        <v>46</v>
      </c>
      <c r="F24" s="17" t="s">
        <v>51</v>
      </c>
      <c r="G24" s="17" t="s">
        <v>191</v>
      </c>
      <c r="H24" s="17" t="s">
        <v>206</v>
      </c>
      <c r="I24" s="17">
        <v>0</v>
      </c>
      <c r="J24" s="19">
        <f>'TW Casing Pipes'!C5</f>
        <v>267.85000000000002</v>
      </c>
      <c r="K24" s="19">
        <f t="shared" si="1"/>
        <v>0</v>
      </c>
      <c r="L24" s="19">
        <f t="shared" si="2"/>
        <v>267.85000000000002</v>
      </c>
    </row>
    <row r="25" spans="1:12">
      <c r="A25" s="13">
        <v>22</v>
      </c>
      <c r="B25" s="14" t="s">
        <v>219</v>
      </c>
      <c r="C25" s="16"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6"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3" t="s">
        <v>21</v>
      </c>
      <c r="F25" s="17" t="s">
        <v>51</v>
      </c>
      <c r="G25" s="17" t="s">
        <v>191</v>
      </c>
      <c r="H25" s="17" t="s">
        <v>192</v>
      </c>
      <c r="I25" s="17">
        <v>0</v>
      </c>
      <c r="J25" s="19">
        <f>'TW Casing Pipes'!C6</f>
        <v>580.35</v>
      </c>
      <c r="K25" s="19">
        <f t="shared" si="1"/>
        <v>0</v>
      </c>
      <c r="L25" s="19">
        <f t="shared" si="2"/>
        <v>580.35</v>
      </c>
    </row>
    <row r="26" spans="1:12">
      <c r="A26" s="13">
        <v>23</v>
      </c>
      <c r="B26" s="14" t="s">
        <v>225</v>
      </c>
      <c r="C26" s="16"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6"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3" t="s">
        <v>21</v>
      </c>
      <c r="F26" s="17" t="s">
        <v>51</v>
      </c>
      <c r="G26" s="17" t="s">
        <v>191</v>
      </c>
      <c r="H26" s="17" t="s">
        <v>192</v>
      </c>
      <c r="I26" s="17">
        <v>0</v>
      </c>
      <c r="J26" s="19">
        <f>'TW Casing Pipes'!C7</f>
        <v>591.96</v>
      </c>
      <c r="K26" s="19">
        <f t="shared" si="1"/>
        <v>0</v>
      </c>
      <c r="L26" s="19">
        <f t="shared" si="2"/>
        <v>591.96</v>
      </c>
    </row>
    <row r="27" spans="1:12">
      <c r="A27" s="13">
        <v>24</v>
      </c>
      <c r="B27" s="14" t="s">
        <v>230</v>
      </c>
      <c r="C27" s="16" t="str">
        <f>'TW Casing Pipes'!B8</f>
        <v>M.S. cap 150 mm dia (7747 - Water Charge and CPOH Added)</v>
      </c>
      <c r="D27" s="16" t="str">
        <f t="shared" si="0"/>
        <v>M.S. cap 150 mm dia (7747 - Water Charge and CPOH Added) (Code: GWDDR024)</v>
      </c>
      <c r="E27" s="13" t="s">
        <v>46</v>
      </c>
      <c r="F27" s="17" t="s">
        <v>51</v>
      </c>
      <c r="G27" s="17" t="s">
        <v>191</v>
      </c>
      <c r="H27" s="17" t="s">
        <v>206</v>
      </c>
      <c r="I27" s="17">
        <v>0</v>
      </c>
      <c r="J27" s="19">
        <f>'TW Casing Pipes'!C8</f>
        <v>174.22499999999999</v>
      </c>
      <c r="K27" s="19">
        <f t="shared" si="1"/>
        <v>0</v>
      </c>
      <c r="L27" s="19">
        <f t="shared" si="2"/>
        <v>174.22499999999999</v>
      </c>
    </row>
    <row r="28" spans="1:12">
      <c r="A28" s="13">
        <v>25</v>
      </c>
      <c r="B28" s="14" t="s">
        <v>237</v>
      </c>
      <c r="C28" s="16" t="str">
        <f>'TW Casing Pipes'!B9</f>
        <v>Providing and fixing Bail plug / Bottom plug of required dia to the bottom of pipe assembly of tubewell as per IS : 2800 (part I). 150 mm dia (23.15.2)</v>
      </c>
      <c r="D28" s="16" t="str">
        <f t="shared" si="0"/>
        <v>Providing and fixing Bail plug / Bottom plug of required dia to the bottom of pipe assembly of tubewell as per IS : 2800 (part I). 150 mm dia (23.15.2) (Code: GWDDR025)</v>
      </c>
      <c r="E28" s="13" t="s">
        <v>46</v>
      </c>
      <c r="F28" s="17" t="s">
        <v>51</v>
      </c>
      <c r="G28" s="17" t="s">
        <v>191</v>
      </c>
      <c r="H28" s="17" t="s">
        <v>206</v>
      </c>
      <c r="I28" s="17">
        <v>0</v>
      </c>
      <c r="J28" s="19">
        <f>'TW Casing Pipes'!C9</f>
        <v>244.62</v>
      </c>
      <c r="K28" s="19">
        <f t="shared" si="1"/>
        <v>0</v>
      </c>
      <c r="L28" s="19">
        <f t="shared" si="2"/>
        <v>244.62</v>
      </c>
    </row>
    <row r="29" spans="1:12">
      <c r="A29" s="13">
        <v>26</v>
      </c>
      <c r="B29" s="14" t="s">
        <v>244</v>
      </c>
      <c r="C29" s="16"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6"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3" t="s">
        <v>21</v>
      </c>
      <c r="F29" s="17" t="s">
        <v>51</v>
      </c>
      <c r="G29" s="17" t="s">
        <v>191</v>
      </c>
      <c r="H29" s="17" t="s">
        <v>192</v>
      </c>
      <c r="I29" s="17">
        <v>0</v>
      </c>
      <c r="J29" s="19">
        <f>'TW Casing Pipes'!C10</f>
        <v>480.23</v>
      </c>
      <c r="K29" s="19">
        <f t="shared" si="1"/>
        <v>0</v>
      </c>
      <c r="L29" s="19">
        <f t="shared" si="2"/>
        <v>480.23</v>
      </c>
    </row>
    <row r="30" spans="1:12">
      <c r="A30" s="13">
        <v>27</v>
      </c>
      <c r="B30" s="14" t="s">
        <v>251</v>
      </c>
      <c r="C30" s="16"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6"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3" t="s">
        <v>21</v>
      </c>
      <c r="F30" s="17" t="s">
        <v>51</v>
      </c>
      <c r="G30" s="17" t="s">
        <v>191</v>
      </c>
      <c r="H30" s="17" t="s">
        <v>192</v>
      </c>
      <c r="I30" s="17">
        <v>0</v>
      </c>
      <c r="J30" s="19">
        <f>'TW Casing Pipes'!C11</f>
        <v>503.46</v>
      </c>
      <c r="K30" s="19">
        <f t="shared" si="1"/>
        <v>0</v>
      </c>
      <c r="L30" s="19">
        <f t="shared" si="2"/>
        <v>503.46</v>
      </c>
    </row>
    <row r="31" spans="1:12">
      <c r="A31" s="13">
        <v>28</v>
      </c>
      <c r="B31" s="14" t="s">
        <v>258</v>
      </c>
      <c r="C31" s="16" t="str">
        <f>'TW Casing Pipes'!B12</f>
        <v>M.S. cap 100 mm dia (7760 - Water Charge and CPOH Added)</v>
      </c>
      <c r="D31" s="16" t="str">
        <f t="shared" si="0"/>
        <v>M.S. cap 100 mm dia (7760 - Water Charge and CPOH Added) (Code: GWDDR028)</v>
      </c>
      <c r="E31" s="13" t="s">
        <v>46</v>
      </c>
      <c r="F31" s="17" t="s">
        <v>51</v>
      </c>
      <c r="G31" s="17" t="s">
        <v>191</v>
      </c>
      <c r="H31" s="17" t="s">
        <v>206</v>
      </c>
      <c r="I31" s="17">
        <v>0</v>
      </c>
      <c r="J31" s="19">
        <f>'TW Casing Pipes'!C12</f>
        <v>156.80249999999998</v>
      </c>
      <c r="K31" s="19">
        <f t="shared" si="1"/>
        <v>0</v>
      </c>
      <c r="L31" s="19">
        <f t="shared" si="2"/>
        <v>156.80249999999998</v>
      </c>
    </row>
    <row r="32" spans="1:12">
      <c r="A32" s="13">
        <v>29</v>
      </c>
      <c r="B32" s="14" t="s">
        <v>263</v>
      </c>
      <c r="C32" s="16" t="str">
        <f>'TW Casing Pipes'!B13</f>
        <v>Providing and fixing Bail plug / Bottom plug of required dia to the bottom of pipe assembly of tubewell as per IS : 2800 (part I). 100 mm dia (23.15.1)</v>
      </c>
      <c r="D32" s="16" t="str">
        <f t="shared" si="0"/>
        <v>Providing and fixing Bail plug / Bottom plug of required dia to the bottom of pipe assembly of tubewell as per IS : 2800 (part I). 100 mm dia (23.15.1) (Code: GWDDR029)</v>
      </c>
      <c r="E32" s="13" t="s">
        <v>46</v>
      </c>
      <c r="F32" s="17" t="s">
        <v>51</v>
      </c>
      <c r="G32" s="17" t="s">
        <v>191</v>
      </c>
      <c r="H32" s="17" t="s">
        <v>206</v>
      </c>
      <c r="I32" s="17">
        <v>0</v>
      </c>
      <c r="J32" s="19">
        <f>'TW Casing Pipes'!C13</f>
        <v>198.15</v>
      </c>
      <c r="K32" s="19">
        <f t="shared" si="1"/>
        <v>0</v>
      </c>
      <c r="L32" s="19">
        <f t="shared" si="2"/>
        <v>198.15</v>
      </c>
    </row>
    <row r="33" spans="1:12">
      <c r="A33" s="13">
        <v>30</v>
      </c>
      <c r="B33" s="14" t="s">
        <v>269</v>
      </c>
      <c r="C33" s="16" t="str">
        <f>'GI wo Trench'!B2</f>
        <v>Providing and fixing G.I. pipes complete with G.I fittings: 25 mm dia nominal bore</v>
      </c>
      <c r="D33" s="16" t="str">
        <f t="shared" si="0"/>
        <v>Providing and fixing G.I. pipes complete with G.I fittings: 25 mm dia nominal bore (Code: GWDDR030)</v>
      </c>
      <c r="E33" s="13" t="s">
        <v>21</v>
      </c>
      <c r="F33" s="17" t="s">
        <v>51</v>
      </c>
      <c r="G33" s="17" t="s">
        <v>52</v>
      </c>
      <c r="H33" s="17" t="s">
        <v>274</v>
      </c>
      <c r="I33" s="17">
        <v>0</v>
      </c>
      <c r="J33" s="19">
        <f>'GI wo Trench'!F21</f>
        <v>263.95</v>
      </c>
      <c r="K33" s="19">
        <f t="shared" si="1"/>
        <v>0</v>
      </c>
      <c r="L33" s="19">
        <f t="shared" si="2"/>
        <v>263.95</v>
      </c>
    </row>
    <row r="34" spans="1:12">
      <c r="A34" s="13">
        <v>31</v>
      </c>
      <c r="B34" s="14" t="s">
        <v>277</v>
      </c>
      <c r="C34" s="16" t="str">
        <f>'GI wo Trench'!B22</f>
        <v>Providing and fixing G.I. pipes complete with G.I fittings: 32 mm dia nominal bore</v>
      </c>
      <c r="D34" s="16" t="str">
        <f t="shared" si="0"/>
        <v>Providing and fixing G.I. pipes complete with G.I fittings: 32 mm dia nominal bore (Code: GWDDR031)</v>
      </c>
      <c r="E34" s="13" t="s">
        <v>21</v>
      </c>
      <c r="F34" s="17" t="s">
        <v>51</v>
      </c>
      <c r="G34" s="17" t="s">
        <v>52</v>
      </c>
      <c r="H34" s="17" t="s">
        <v>274</v>
      </c>
      <c r="I34" s="17">
        <v>0</v>
      </c>
      <c r="J34" s="19">
        <f>'GI wo Trench'!F41</f>
        <v>298.45</v>
      </c>
      <c r="K34" s="19">
        <f t="shared" si="1"/>
        <v>0</v>
      </c>
      <c r="L34" s="19">
        <f t="shared" si="2"/>
        <v>298.45</v>
      </c>
    </row>
    <row r="35" spans="1:12">
      <c r="A35" s="13">
        <v>32</v>
      </c>
      <c r="B35" s="14" t="s">
        <v>282</v>
      </c>
      <c r="C35" s="16" t="str">
        <f>'GI wo Trench'!B42</f>
        <v>Providing and fixing G.I. pipes complete with G.I fittings: 40 mm dia nominal bore</v>
      </c>
      <c r="D35" s="16" t="str">
        <f t="shared" si="0"/>
        <v>Providing and fixing G.I. pipes complete with G.I fittings: 40 mm dia nominal bore (Code: GWDDR032)</v>
      </c>
      <c r="E35" s="13" t="s">
        <v>21</v>
      </c>
      <c r="F35" s="17" t="s">
        <v>51</v>
      </c>
      <c r="G35" s="17" t="s">
        <v>52</v>
      </c>
      <c r="H35" s="17" t="s">
        <v>274</v>
      </c>
      <c r="I35" s="17">
        <v>0</v>
      </c>
      <c r="J35" s="19">
        <f>'GI wo Trench'!F61</f>
        <v>385.85</v>
      </c>
      <c r="K35" s="19">
        <f t="shared" si="1"/>
        <v>0</v>
      </c>
      <c r="L35" s="19">
        <f t="shared" si="2"/>
        <v>385.85</v>
      </c>
    </row>
    <row r="36" spans="1:12">
      <c r="A36" s="13">
        <v>33</v>
      </c>
      <c r="B36" s="14" t="s">
        <v>287</v>
      </c>
      <c r="C36" s="16" t="str">
        <f>'GI wo Trench'!B62</f>
        <v>Providing and fixing G.I. pipes complete with G.I fittings: 50 mm dia nominal bore</v>
      </c>
      <c r="D36" s="16" t="str">
        <f t="shared" si="0"/>
        <v>Providing and fixing G.I. pipes complete with G.I fittings: 50 mm dia nominal bore (Code: GWDDR033)</v>
      </c>
      <c r="E36" s="13" t="s">
        <v>21</v>
      </c>
      <c r="F36" s="17" t="s">
        <v>51</v>
      </c>
      <c r="G36" s="17" t="s">
        <v>52</v>
      </c>
      <c r="H36" s="17" t="s">
        <v>274</v>
      </c>
      <c r="I36" s="17">
        <v>0</v>
      </c>
      <c r="J36" s="19">
        <f>'GI wo Trench'!F81</f>
        <v>469</v>
      </c>
      <c r="K36" s="19">
        <f t="shared" si="1"/>
        <v>0</v>
      </c>
      <c r="L36" s="19">
        <f t="shared" si="2"/>
        <v>469</v>
      </c>
    </row>
    <row r="37" spans="1:12">
      <c r="A37" s="13">
        <v>34</v>
      </c>
      <c r="B37" s="14" t="s">
        <v>292</v>
      </c>
      <c r="C37" s="16" t="str">
        <f>'GI wo Trench'!B82</f>
        <v>Providing and fixing G.I. pipes complete with G.I fittings: 65 mm dia nominal bore</v>
      </c>
      <c r="D37" s="16" t="str">
        <f t="shared" si="0"/>
        <v>Providing and fixing G.I. pipes complete with G.I fittings: 65 mm dia nominal bore (Code: GWDDR034)</v>
      </c>
      <c r="E37" s="13" t="s">
        <v>21</v>
      </c>
      <c r="F37" s="17" t="s">
        <v>51</v>
      </c>
      <c r="G37" s="17" t="s">
        <v>52</v>
      </c>
      <c r="H37" s="17" t="s">
        <v>274</v>
      </c>
      <c r="I37" s="17">
        <v>0</v>
      </c>
      <c r="J37" s="19">
        <f>'GI wo Trench'!F101</f>
        <v>568.35</v>
      </c>
      <c r="K37" s="19">
        <f t="shared" si="1"/>
        <v>0</v>
      </c>
      <c r="L37" s="19">
        <f t="shared" si="2"/>
        <v>568.35</v>
      </c>
    </row>
    <row r="38" spans="1:12">
      <c r="A38" s="13">
        <v>35</v>
      </c>
      <c r="B38" s="14" t="s">
        <v>293</v>
      </c>
      <c r="C38" s="16" t="str">
        <f>'GI wo Trench'!B102</f>
        <v>Providing and fixing G.I. pipes complete with G.I fittings: 80 mm dia nominal bore</v>
      </c>
      <c r="D38" s="16" t="str">
        <f t="shared" si="0"/>
        <v>Providing and fixing G.I. pipes complete with G.I fittings: 80 mm dia nominal bore (Code: GWDDR035)</v>
      </c>
      <c r="E38" s="13" t="s">
        <v>21</v>
      </c>
      <c r="F38" s="17" t="s">
        <v>51</v>
      </c>
      <c r="G38" s="17" t="s">
        <v>52</v>
      </c>
      <c r="H38" s="17" t="s">
        <v>274</v>
      </c>
      <c r="I38" s="17">
        <v>0</v>
      </c>
      <c r="J38" s="19">
        <f>'GI wo Trench'!F121</f>
        <v>699</v>
      </c>
      <c r="K38" s="19">
        <f t="shared" si="1"/>
        <v>0</v>
      </c>
      <c r="L38" s="19">
        <f t="shared" si="2"/>
        <v>699</v>
      </c>
    </row>
    <row r="39" spans="1:12">
      <c r="A39" s="13">
        <v>36</v>
      </c>
      <c r="B39" s="14" t="s">
        <v>296</v>
      </c>
      <c r="C39" s="16" t="str">
        <f>'PVC wo Trench PRICE'!B24</f>
        <v>Providing and fixing PVC pipes includes jointing of pipes with one step PVC solvent cement &amp; testing of joints complete as per direction of Engineer in Charge. 25 mm dia 10KGF/cm2</v>
      </c>
      <c r="D39" s="16" t="str">
        <f t="shared" si="0"/>
        <v>Providing and fixing PVC pipes includes jointing of pipes with one step PVC solvent cement &amp; testing of joints complete as per direction of Engineer in Charge. 25 mm dia 10KGF/cm2 (Code: GWDDR036)</v>
      </c>
      <c r="E39" s="13" t="s">
        <v>21</v>
      </c>
      <c r="F39" s="17" t="s">
        <v>51</v>
      </c>
      <c r="G39" s="17" t="s">
        <v>52</v>
      </c>
      <c r="H39" s="17" t="s">
        <v>299</v>
      </c>
      <c r="I39" s="19">
        <f>'PVC wo Trench PRICE'!F35</f>
        <v>64.11</v>
      </c>
      <c r="J39" s="19">
        <f>'PVC wo Trench PRICE'!F44</f>
        <v>29.66</v>
      </c>
      <c r="K39" s="19">
        <f t="shared" si="1"/>
        <v>0</v>
      </c>
      <c r="L39" s="19">
        <f t="shared" si="2"/>
        <v>93.77</v>
      </c>
    </row>
    <row r="40" spans="1:12">
      <c r="A40" s="13">
        <v>37</v>
      </c>
      <c r="B40" s="14" t="s">
        <v>302</v>
      </c>
      <c r="C40" s="16" t="str">
        <f>'PVC wo Trench PRICE'!B46</f>
        <v>Providing and fixing PVC pipes includes jointing of pipes with one step PVC solvent cement &amp; testing of joints complete as per direction of Engineer in Charge. 32 mm dia 10KGF/cm2</v>
      </c>
      <c r="D40" s="16" t="str">
        <f t="shared" si="0"/>
        <v>Providing and fixing PVC pipes includes jointing of pipes with one step PVC solvent cement &amp; testing of joints complete as per direction of Engineer in Charge. 32 mm dia 10KGF/cm2 (Code: GWDDR037)</v>
      </c>
      <c r="E40" s="13" t="s">
        <v>21</v>
      </c>
      <c r="F40" s="17" t="s">
        <v>51</v>
      </c>
      <c r="G40" s="17" t="s">
        <v>52</v>
      </c>
      <c r="H40" s="17" t="s">
        <v>299</v>
      </c>
      <c r="I40" s="19">
        <f>'PVC wo Trench PRICE'!F57</f>
        <v>86.82</v>
      </c>
      <c r="J40" s="19">
        <f>'PVC wo Trench PRICE'!F66</f>
        <v>29.66</v>
      </c>
      <c r="K40" s="19">
        <f t="shared" si="1"/>
        <v>0</v>
      </c>
      <c r="L40" s="19">
        <f t="shared" si="2"/>
        <v>116.47999999999999</v>
      </c>
    </row>
    <row r="41" spans="1:12">
      <c r="A41" s="13">
        <v>38</v>
      </c>
      <c r="B41" s="14" t="s">
        <v>308</v>
      </c>
      <c r="C41" s="16" t="str">
        <f>'PVC wo Trench PRICE'!B68</f>
        <v>Providing and fixing PVC pipes includes jointing of pipes with one step PVC solvent cement &amp; testing of joints complete as per direction of Engineer in Charge. 32 mm dia 6 KGF/cm2</v>
      </c>
      <c r="D41" s="16" t="str">
        <f t="shared" si="0"/>
        <v>Providing and fixing PVC pipes includes jointing of pipes with one step PVC solvent cement &amp; testing of joints complete as per direction of Engineer in Charge. 32 mm dia 6 KGF/cm2 (Code: GWDDR038)</v>
      </c>
      <c r="E41" s="13" t="s">
        <v>21</v>
      </c>
      <c r="F41" s="17" t="s">
        <v>51</v>
      </c>
      <c r="G41" s="17" t="s">
        <v>52</v>
      </c>
      <c r="H41" s="17" t="s">
        <v>299</v>
      </c>
      <c r="I41" s="19">
        <f>'PVC wo Trench PRICE'!F79</f>
        <v>69.459999999999994</v>
      </c>
      <c r="J41" s="19">
        <f>'PVC wo Trench PRICE'!F88</f>
        <v>29.66</v>
      </c>
      <c r="K41" s="19">
        <f t="shared" si="1"/>
        <v>0</v>
      </c>
      <c r="L41" s="19">
        <f t="shared" si="2"/>
        <v>99.11999999999999</v>
      </c>
    </row>
    <row r="42" spans="1:12">
      <c r="A42" s="13">
        <v>39</v>
      </c>
      <c r="B42" s="14" t="s">
        <v>315</v>
      </c>
      <c r="C42" s="16" t="str">
        <f>'PVC wo Trench PRICE'!B90</f>
        <v>Providing and fixing PVC pipes includes jointing of pipes with one step PVC solvent cement &amp; testing of joints complete as per direction of Engineer in Charge. 40 mm dia 6 KGF/cm2</v>
      </c>
      <c r="D42" s="16" t="str">
        <f t="shared" si="0"/>
        <v>Providing and fixing PVC pipes includes jointing of pipes with one step PVC solvent cement &amp; testing of joints complete as per direction of Engineer in Charge. 40 mm dia 6 KGF/cm2 (Code: GWDDR039)</v>
      </c>
      <c r="E42" s="13" t="s">
        <v>21</v>
      </c>
      <c r="F42" s="17" t="s">
        <v>51</v>
      </c>
      <c r="G42" s="17" t="s">
        <v>52</v>
      </c>
      <c r="H42" s="17" t="s">
        <v>299</v>
      </c>
      <c r="I42" s="19">
        <f>'PVC wo Trench PRICE'!F101</f>
        <v>70.790000000000006</v>
      </c>
      <c r="J42" s="19">
        <f>'PVC wo Trench PRICE'!F110</f>
        <v>29.66</v>
      </c>
      <c r="K42" s="19">
        <f t="shared" si="1"/>
        <v>0</v>
      </c>
      <c r="L42" s="19">
        <f t="shared" si="2"/>
        <v>100.45</v>
      </c>
    </row>
    <row r="43" spans="1:12">
      <c r="A43" s="13">
        <v>40</v>
      </c>
      <c r="B43" s="14" t="s">
        <v>323</v>
      </c>
      <c r="C43" s="16" t="str">
        <f>'PVC wo Trench PRICE'!B112</f>
        <v>Providing and fixing PVC pipes includes jointing of pipes with one step PVC solvent cement &amp; testing of joints complete as per direction of Engineer in Charge. 40 mm dia 10 KGF/cm2</v>
      </c>
      <c r="D43" s="16" t="str">
        <f t="shared" si="0"/>
        <v>Providing and fixing PVC pipes includes jointing of pipes with one step PVC solvent cement &amp; testing of joints complete as per direction of Engineer in Charge. 40 mm dia 10 KGF/cm2 (Code: GWDDR040)</v>
      </c>
      <c r="E43" s="13" t="s">
        <v>21</v>
      </c>
      <c r="F43" s="17" t="s">
        <v>51</v>
      </c>
      <c r="G43" s="17" t="s">
        <v>52</v>
      </c>
      <c r="H43" s="17" t="s">
        <v>299</v>
      </c>
      <c r="I43" s="19">
        <f>'PVC wo Trench PRICE'!F123</f>
        <v>112.2</v>
      </c>
      <c r="J43" s="19">
        <f>'PVC wo Trench PRICE'!F132</f>
        <v>29.66</v>
      </c>
      <c r="K43" s="19">
        <f t="shared" si="1"/>
        <v>0</v>
      </c>
      <c r="L43" s="19">
        <f t="shared" si="2"/>
        <v>141.86000000000001</v>
      </c>
    </row>
    <row r="44" spans="1:12">
      <c r="A44" s="13">
        <v>41</v>
      </c>
      <c r="B44" s="14" t="s">
        <v>331</v>
      </c>
      <c r="C44" s="16" t="str">
        <f>'PVC wo Trench PRICE'!B134</f>
        <v>Providing and fixing PVC pipes includes jointing of pipes with one step PVC solvent cement &amp; testing of joints complete as per direction of Engineer in Charge. 50 mm dia 6 KGF/cm2</v>
      </c>
      <c r="D44" s="16" t="str">
        <f t="shared" si="0"/>
        <v>Providing and fixing PVC pipes includes jointing of pipes with one step PVC solvent cement &amp; testing of joints complete as per direction of Engineer in Charge. 50 mm dia 6 KGF/cm2 (Code: GWDDR041)</v>
      </c>
      <c r="E44" s="13" t="s">
        <v>21</v>
      </c>
      <c r="F44" s="17" t="s">
        <v>51</v>
      </c>
      <c r="G44" s="17" t="s">
        <v>52</v>
      </c>
      <c r="H44" s="17" t="s">
        <v>299</v>
      </c>
      <c r="I44" s="19">
        <f>'PVC wo Trench PRICE'!F145</f>
        <v>80.14</v>
      </c>
      <c r="J44" s="19">
        <f>'PVC wo Trench PRICE'!F154</f>
        <v>29.66</v>
      </c>
      <c r="K44" s="19">
        <f t="shared" si="1"/>
        <v>0</v>
      </c>
      <c r="L44" s="19">
        <f t="shared" si="2"/>
        <v>109.8</v>
      </c>
    </row>
    <row r="45" spans="1:12">
      <c r="A45" s="13">
        <v>42</v>
      </c>
      <c r="B45" s="14" t="s">
        <v>340</v>
      </c>
      <c r="C45" s="16" t="str">
        <f>'PVC wo Trench PRICE'!B156</f>
        <v>Providing and fixing PVC pipes includes jointing of pipes with one step PVC solvent cement &amp; testing of joints complete as per direction of Engineer in Charge. 50 mm dia 10 KGF/cm2</v>
      </c>
      <c r="D45" s="16" t="str">
        <f t="shared" si="0"/>
        <v>Providing and fixing PVC pipes includes jointing of pipes with one step PVC solvent cement &amp; testing of joints complete as per direction of Engineer in Charge. 50 mm dia 10 KGF/cm2 (Code: GWDDR042)</v>
      </c>
      <c r="E45" s="13" t="s">
        <v>21</v>
      </c>
      <c r="F45" s="17" t="s">
        <v>51</v>
      </c>
      <c r="G45" s="17" t="s">
        <v>52</v>
      </c>
      <c r="H45" s="17" t="s">
        <v>299</v>
      </c>
      <c r="I45" s="19">
        <f>'PVC wo Trench PRICE'!F167</f>
        <v>120.22</v>
      </c>
      <c r="J45" s="19">
        <f>'PVC wo Trench PRICE'!F176</f>
        <v>29.66</v>
      </c>
      <c r="K45" s="19">
        <f t="shared" si="1"/>
        <v>0</v>
      </c>
      <c r="L45" s="19">
        <f t="shared" si="2"/>
        <v>149.88</v>
      </c>
    </row>
    <row r="46" spans="1:12">
      <c r="A46" s="13">
        <v>43</v>
      </c>
      <c r="B46" s="14" t="s">
        <v>353</v>
      </c>
      <c r="C46" s="16" t="str">
        <f>'PVC wo Trench PRICE'!B178</f>
        <v>Providing and fixing PVC pipes includes jointing of pipes with one step PVC solvent cement &amp; testing of joints complete as per direction of Engineer in Charge.63 mm dia 6 KGF/cm2</v>
      </c>
      <c r="D46" s="16" t="str">
        <f t="shared" si="0"/>
        <v>Providing and fixing PVC pipes includes jointing of pipes with one step PVC solvent cement &amp; testing of joints complete as per direction of Engineer in Charge.63 mm dia 6 KGF/cm2 (Code: GWDDR043)</v>
      </c>
      <c r="E46" s="13" t="s">
        <v>21</v>
      </c>
      <c r="F46" s="17" t="s">
        <v>51</v>
      </c>
      <c r="G46" s="17" t="s">
        <v>52</v>
      </c>
      <c r="H46" s="17" t="s">
        <v>299</v>
      </c>
      <c r="I46" s="19">
        <f>'PVC wo Trench PRICE'!F189</f>
        <v>157.62</v>
      </c>
      <c r="J46" s="19">
        <f>'PVC wo Trench PRICE'!F198</f>
        <v>29.66</v>
      </c>
      <c r="K46" s="19">
        <f t="shared" si="1"/>
        <v>0</v>
      </c>
      <c r="L46" s="19">
        <f t="shared" si="2"/>
        <v>187.28</v>
      </c>
    </row>
    <row r="47" spans="1:12">
      <c r="A47" s="13">
        <v>44</v>
      </c>
      <c r="B47" s="14" t="s">
        <v>370</v>
      </c>
      <c r="C47" s="16" t="str">
        <f>'PVC wo Trench PRICE'!B200</f>
        <v>Providing and fixing PVC pipes includes jointing of pipes with one step PVC solvent cement &amp; testing of joints complete as per direction of Engineer in Charge.75 mm dia 6 KGF/cm2</v>
      </c>
      <c r="D47" s="16" t="str">
        <f t="shared" si="0"/>
        <v>Providing and fixing PVC pipes includes jointing of pipes with one step PVC solvent cement &amp; testing of joints complete as per direction of Engineer in Charge.75 mm dia 6 KGF/cm2 (Code: GWDDR044)</v>
      </c>
      <c r="E47" s="13" t="s">
        <v>21</v>
      </c>
      <c r="F47" s="17" t="s">
        <v>51</v>
      </c>
      <c r="G47" s="17" t="s">
        <v>52</v>
      </c>
      <c r="H47" s="17" t="s">
        <v>299</v>
      </c>
      <c r="I47" s="19">
        <f>'PVC wo Trench PRICE'!F211</f>
        <v>172.31</v>
      </c>
      <c r="J47" s="19">
        <f>'PVC wo Trench PRICE'!F220</f>
        <v>29.66</v>
      </c>
      <c r="K47" s="19">
        <f t="shared" si="1"/>
        <v>0</v>
      </c>
      <c r="L47" s="19">
        <f t="shared" si="2"/>
        <v>201.97</v>
      </c>
    </row>
    <row r="48" spans="1:12">
      <c r="A48" s="13">
        <v>45</v>
      </c>
      <c r="B48" s="14" t="s">
        <v>386</v>
      </c>
      <c r="C48" s="16" t="str">
        <f>'PVC wo Trench PRICE'!B222</f>
        <v>Providing and fixing PVC pipes includes jointing of pipes with one step PVC solvent cement &amp; testing of joints complete as per direction of Engineer in Charge.110 mm dia 6 KGF/cm2</v>
      </c>
      <c r="D48" s="16" t="str">
        <f t="shared" si="0"/>
        <v>Providing and fixing PVC pipes includes jointing of pipes with one step PVC solvent cement &amp; testing of joints complete as per direction of Engineer in Charge.110 mm dia 6 KGF/cm2 (Code: GWDDR045)</v>
      </c>
      <c r="E48" s="13" t="s">
        <v>21</v>
      </c>
      <c r="F48" s="17" t="s">
        <v>51</v>
      </c>
      <c r="G48" s="17" t="s">
        <v>52</v>
      </c>
      <c r="H48" s="17" t="s">
        <v>299</v>
      </c>
      <c r="I48" s="19">
        <f>'PVC wo Trench PRICE'!F233</f>
        <v>281.83999999999997</v>
      </c>
      <c r="J48" s="19">
        <f>'PVC wo Trench PRICE'!F242</f>
        <v>29.66</v>
      </c>
      <c r="K48" s="19">
        <f t="shared" si="1"/>
        <v>0</v>
      </c>
      <c r="L48" s="19">
        <f t="shared" si="2"/>
        <v>311.5</v>
      </c>
    </row>
    <row r="49" spans="1:12">
      <c r="A49" s="13">
        <v>46</v>
      </c>
      <c r="B49" s="14" t="s">
        <v>404</v>
      </c>
      <c r="C49" s="16" t="str">
        <f>'PVC wo Trench PRICE'!B244</f>
        <v>Providing and fixing PVC pipes includes jointing of pipes with one step PVC solvent cement &amp; testing of joints complete as per direction of Engineer in Charge.150 mm dia 6 KGF/cm2</v>
      </c>
      <c r="D49" s="16" t="str">
        <f t="shared" si="0"/>
        <v>Providing and fixing PVC pipes includes jointing of pipes with one step PVC solvent cement &amp; testing of joints complete as per direction of Engineer in Charge.150 mm dia 6 KGF/cm2 (Code: GWDDR046)</v>
      </c>
      <c r="E49" s="13" t="s">
        <v>21</v>
      </c>
      <c r="F49" s="17" t="s">
        <v>51</v>
      </c>
      <c r="G49" s="17" t="s">
        <v>52</v>
      </c>
      <c r="H49" s="17" t="s">
        <v>299</v>
      </c>
      <c r="I49" s="19">
        <f>'PVC wo Trench PRICE'!F255</f>
        <v>694.58</v>
      </c>
      <c r="J49" s="19">
        <f>'PVC wo Trench PRICE'!F264</f>
        <v>29.66</v>
      </c>
      <c r="K49" s="19">
        <f t="shared" si="1"/>
        <v>0</v>
      </c>
      <c r="L49" s="19">
        <f t="shared" si="2"/>
        <v>724.24</v>
      </c>
    </row>
    <row r="50" spans="1:12">
      <c r="A50" s="13">
        <v>47</v>
      </c>
      <c r="B50" s="14" t="s">
        <v>424</v>
      </c>
      <c r="C50" s="16" t="str">
        <f>'PVC wo Trench'!B1</f>
        <v>Providing and fixing PVC pipes includes jointing of pipes with one step PVC solvent cement &amp; testing of joints complete as per direction of Engineer in Charge. 140 mm dia 6 KGF/cm2</v>
      </c>
      <c r="D50" s="16" t="str">
        <f t="shared" si="0"/>
        <v>Providing and fixing PVC pipes includes jointing of pipes with one step PVC solvent cement &amp; testing of joints complete as per direction of Engineer in Charge. 140 mm dia 6 KGF/cm2 (Code: GWDDR047)</v>
      </c>
      <c r="E50" s="13" t="s">
        <v>21</v>
      </c>
      <c r="F50" s="17" t="s">
        <v>51</v>
      </c>
      <c r="G50" s="17" t="s">
        <v>52</v>
      </c>
      <c r="H50" s="17" t="s">
        <v>299</v>
      </c>
      <c r="I50" s="19">
        <f>'PVC wo Trench'!F12</f>
        <v>375.34</v>
      </c>
      <c r="J50" s="19">
        <f>'PVC wo Trench'!F21</f>
        <v>93.63</v>
      </c>
      <c r="K50" s="19">
        <f t="shared" si="1"/>
        <v>0</v>
      </c>
      <c r="L50" s="19">
        <f t="shared" si="2"/>
        <v>468.96999999999997</v>
      </c>
    </row>
    <row r="51" spans="1:12">
      <c r="A51" s="13">
        <v>48</v>
      </c>
      <c r="B51" s="14" t="s">
        <v>435</v>
      </c>
      <c r="C51" s="16" t="str">
        <f>'PVC With Trench'!B2</f>
        <v>Providing and fixing PVC pipes includes jointing of pipes with one step PVC solvent cement, trenching, refilling &amp; testing of joints complete as per direction of Engineer in Charge. 140 mm dia 6 KGF/cm2</v>
      </c>
      <c r="D51" s="16" t="str">
        <f t="shared" si="0"/>
        <v>Providing and fixing PVC pipes includes jointing of pipes with one step PVC solvent cement, trenching, refilling &amp; testing of joints complete as per direction of Engineer in Charge. 140 mm dia 6 KGF/cm2 (Code: GWDDR048)</v>
      </c>
      <c r="E51" s="13" t="s">
        <v>21</v>
      </c>
      <c r="F51" s="17" t="s">
        <v>51</v>
      </c>
      <c r="G51" s="17" t="s">
        <v>52</v>
      </c>
      <c r="H51" s="17" t="s">
        <v>440</v>
      </c>
      <c r="I51" s="19">
        <f>'PVC With Trench'!F13</f>
        <v>375.34</v>
      </c>
      <c r="J51" s="19">
        <f>'PVC With Trench'!F25</f>
        <v>226.23</v>
      </c>
      <c r="K51" s="19">
        <f t="shared" si="1"/>
        <v>0</v>
      </c>
      <c r="L51" s="19">
        <f t="shared" si="2"/>
        <v>601.56999999999994</v>
      </c>
    </row>
    <row r="52" spans="1:12">
      <c r="A52" s="13">
        <v>49</v>
      </c>
      <c r="B52" s="14" t="s">
        <v>445</v>
      </c>
      <c r="C52" s="16" t="str">
        <f>'Pump Erection '!B2</f>
        <v>Borewell submersible pump erection charges upto 3 HP</v>
      </c>
      <c r="D52" s="16" t="str">
        <f t="shared" si="0"/>
        <v>Borewell submersible pump erection charges upto 3 HP (Code: GWDDR049)</v>
      </c>
      <c r="E52" s="13" t="s">
        <v>46</v>
      </c>
      <c r="F52" s="17" t="s">
        <v>51</v>
      </c>
      <c r="G52" s="17" t="s">
        <v>52</v>
      </c>
      <c r="H52" s="17" t="s">
        <v>451</v>
      </c>
      <c r="I52" s="19">
        <f>'Pump Erection '!F9</f>
        <v>1086.0025000000001</v>
      </c>
      <c r="J52" s="19">
        <f>'Pump Erection '!F17</f>
        <v>5972.433</v>
      </c>
      <c r="K52" s="19">
        <f t="shared" si="1"/>
        <v>0</v>
      </c>
      <c r="L52" s="19">
        <f t="shared" si="2"/>
        <v>7058.4354999999996</v>
      </c>
    </row>
    <row r="53" spans="1:12">
      <c r="A53" s="13">
        <v>50</v>
      </c>
      <c r="B53" s="14" t="s">
        <v>464</v>
      </c>
      <c r="C53" s="16" t="str">
        <f>'Pump Erection '!B19</f>
        <v>Borewell submersible pump erection charges above 3 h.P. To 7.5 H.P.</v>
      </c>
      <c r="D53" s="16" t="str">
        <f t="shared" si="0"/>
        <v>Borewell submersible pump erection charges above 3 h.P. To 7.5 H.P. (Code: GWDDR050)</v>
      </c>
      <c r="E53" s="13" t="s">
        <v>46</v>
      </c>
      <c r="F53" s="17" t="s">
        <v>51</v>
      </c>
      <c r="G53" s="17" t="s">
        <v>52</v>
      </c>
      <c r="H53" s="17" t="s">
        <v>451</v>
      </c>
      <c r="I53" s="19">
        <f>'Pump Erection '!F26</f>
        <v>1086.0025000000001</v>
      </c>
      <c r="J53" s="19">
        <f>'Pump Erection '!F34</f>
        <v>7592.7254999999996</v>
      </c>
      <c r="K53" s="19">
        <f t="shared" si="1"/>
        <v>0</v>
      </c>
      <c r="L53" s="19">
        <f t="shared" si="2"/>
        <v>8678.7279999999992</v>
      </c>
    </row>
    <row r="54" spans="1:12">
      <c r="A54" s="13">
        <v>51</v>
      </c>
      <c r="B54" s="14" t="s">
        <v>472</v>
      </c>
      <c r="C54" s="16" t="str">
        <f>'Pump Erection '!B36</f>
        <v>Borewell submersible pump erection charges above 7.5 H.P.</v>
      </c>
      <c r="D54" s="16" t="str">
        <f t="shared" si="0"/>
        <v>Borewell submersible pump erection charges above 7.5 H.P. (Code: GWDDR051)</v>
      </c>
      <c r="E54" s="13" t="s">
        <v>46</v>
      </c>
      <c r="F54" s="17" t="s">
        <v>51</v>
      </c>
      <c r="G54" s="17" t="s">
        <v>52</v>
      </c>
      <c r="H54" s="17" t="s">
        <v>451</v>
      </c>
      <c r="I54" s="19">
        <f>'Pump Erection '!F43</f>
        <v>1086.0025000000001</v>
      </c>
      <c r="J54" s="19">
        <f>'Pump Erection '!F51</f>
        <v>9213.018</v>
      </c>
      <c r="K54" s="19">
        <f t="shared" si="1"/>
        <v>0</v>
      </c>
      <c r="L54" s="19">
        <f t="shared" si="2"/>
        <v>10299.020500000001</v>
      </c>
    </row>
    <row r="55" spans="1:12">
      <c r="A55" s="13">
        <v>52</v>
      </c>
      <c r="B55" s="14" t="s">
        <v>475</v>
      </c>
      <c r="C55" s="16" t="str">
        <f>'HP Erection and Pullout'!B2</f>
        <v>Hand pump erection (deep well)</v>
      </c>
      <c r="D55" s="16" t="str">
        <f t="shared" si="0"/>
        <v>Hand pump erection (deep well) (Code: GWDDR052)</v>
      </c>
      <c r="E55" s="13" t="s">
        <v>46</v>
      </c>
      <c r="F55" s="17" t="s">
        <v>51</v>
      </c>
      <c r="G55" s="17" t="s">
        <v>373</v>
      </c>
      <c r="H55" s="17" t="s">
        <v>476</v>
      </c>
      <c r="I55" s="17">
        <v>0</v>
      </c>
      <c r="J55" s="19">
        <f>'HP Erection and Pullout'!F11</f>
        <v>4310</v>
      </c>
      <c r="K55" s="19">
        <f t="shared" si="1"/>
        <v>0</v>
      </c>
      <c r="L55" s="19">
        <f t="shared" si="2"/>
        <v>4310</v>
      </c>
    </row>
    <row r="56" spans="1:12">
      <c r="A56" s="13">
        <v>53</v>
      </c>
      <c r="B56" s="14" t="s">
        <v>477</v>
      </c>
      <c r="C56" s="16" t="str">
        <f>'HP Erection and Pullout'!B13</f>
        <v>Hand pump erection (extra deep well)</v>
      </c>
      <c r="D56" s="16" t="str">
        <f t="shared" si="0"/>
        <v>Hand pump erection (extra deep well) (Code: GWDDR053)</v>
      </c>
      <c r="E56" s="13" t="s">
        <v>46</v>
      </c>
      <c r="F56" s="17" t="s">
        <v>51</v>
      </c>
      <c r="G56" s="17" t="s">
        <v>373</v>
      </c>
      <c r="H56" s="17" t="s">
        <v>476</v>
      </c>
      <c r="I56" s="17">
        <v>0</v>
      </c>
      <c r="J56" s="19">
        <f>'HP Erection and Pullout'!F22</f>
        <v>5569</v>
      </c>
      <c r="K56" s="19">
        <f t="shared" si="1"/>
        <v>0</v>
      </c>
      <c r="L56" s="19">
        <f t="shared" si="2"/>
        <v>5569</v>
      </c>
    </row>
    <row r="57" spans="1:12">
      <c r="A57" s="13">
        <v>54</v>
      </c>
      <c r="B57" s="14" t="s">
        <v>487</v>
      </c>
      <c r="C57" s="16" t="str">
        <f>'HP Erection and Pullout'!B24</f>
        <v>Hand pump pullout (deep well)</v>
      </c>
      <c r="D57" s="16" t="str">
        <f t="shared" si="0"/>
        <v>Hand pump pullout (deep well) (Code: GWDDR054)</v>
      </c>
      <c r="E57" s="13" t="s">
        <v>46</v>
      </c>
      <c r="F57" s="17" t="s">
        <v>51</v>
      </c>
      <c r="G57" s="17" t="s">
        <v>373</v>
      </c>
      <c r="H57" s="39" t="s">
        <v>494</v>
      </c>
      <c r="I57" s="17">
        <v>0</v>
      </c>
      <c r="J57" s="19">
        <f>'HP Erection and Pullout'!F33</f>
        <v>2155</v>
      </c>
      <c r="K57" s="19">
        <f t="shared" si="1"/>
        <v>0</v>
      </c>
      <c r="L57" s="19">
        <f t="shared" si="2"/>
        <v>2155</v>
      </c>
    </row>
    <row r="58" spans="1:12">
      <c r="A58" s="13">
        <v>55</v>
      </c>
      <c r="B58" s="14" t="s">
        <v>496</v>
      </c>
      <c r="C58" s="16" t="str">
        <f>'Pump Erection '!B53</f>
        <v>Compressor pump fitting charge</v>
      </c>
      <c r="D58" s="16" t="str">
        <f t="shared" si="0"/>
        <v>Compressor pump fitting charge (Code: GWDDR055)</v>
      </c>
      <c r="E58" s="13" t="s">
        <v>46</v>
      </c>
      <c r="F58" s="17" t="s">
        <v>51</v>
      </c>
      <c r="G58" s="17" t="s">
        <v>52</v>
      </c>
      <c r="H58" s="17" t="s">
        <v>451</v>
      </c>
      <c r="I58" s="17">
        <v>0</v>
      </c>
      <c r="J58" s="19">
        <f>'Pump Erection '!F62</f>
        <v>3615.7494999999999</v>
      </c>
      <c r="K58" s="19">
        <f t="shared" si="1"/>
        <v>0</v>
      </c>
      <c r="L58" s="19">
        <f t="shared" si="2"/>
        <v>3615.7494999999999</v>
      </c>
    </row>
    <row r="59" spans="1:12">
      <c r="A59" s="13">
        <v>56</v>
      </c>
      <c r="B59" s="14" t="s">
        <v>499</v>
      </c>
      <c r="C59" s="16" t="str">
        <f>'Gutter&amp;Clamp'!B2</f>
        <v>Providing and fixing PVC full pipe as gutter pipes includes laying jointing of pipes complete as per direction of Engineer in Charge for 140 mm dia 6 KGF/cm2</v>
      </c>
      <c r="D59" s="16" t="str">
        <f t="shared" si="0"/>
        <v>Providing and fixing PVC full pipe as gutter pipes includes laying jointing of pipes complete as per direction of Engineer in Charge for 140 mm dia 6 KGF/cm2 (Code: GWDDR056)</v>
      </c>
      <c r="E59" s="13" t="s">
        <v>21</v>
      </c>
      <c r="F59" s="17" t="s">
        <v>51</v>
      </c>
      <c r="G59" s="17" t="s">
        <v>80</v>
      </c>
      <c r="H59" s="17" t="s">
        <v>500</v>
      </c>
      <c r="I59" s="19">
        <f>'Gutter&amp;Clamp'!F14</f>
        <v>342.7</v>
      </c>
      <c r="J59" s="19">
        <f>'Gutter&amp;Clamp'!F24</f>
        <v>93.19</v>
      </c>
      <c r="K59" s="19">
        <f t="shared" si="1"/>
        <v>0</v>
      </c>
      <c r="L59" s="19">
        <f t="shared" si="2"/>
        <v>435.89</v>
      </c>
    </row>
    <row r="60" spans="1:12">
      <c r="A60" s="13">
        <v>57</v>
      </c>
      <c r="B60" s="14" t="s">
        <v>503</v>
      </c>
      <c r="C60" s="16" t="str">
        <f>'Gutter&amp;Clamp'!B26</f>
        <v>Providing and fixing PVC gutter pipes includes laying jointing of pipes, complete as per direction of Engineer in Charge.for 160 mm dia 6 KGF/cm2</v>
      </c>
      <c r="D60" s="16" t="str">
        <f t="shared" si="0"/>
        <v>Providing and fixing PVC gutter pipes includes laying jointing of pipes, complete as per direction of Engineer in Charge.for 160 mm dia 6 KGF/cm2 (Code: GWDDR057)</v>
      </c>
      <c r="E60" s="13" t="s">
        <v>21</v>
      </c>
      <c r="F60" s="17" t="s">
        <v>51</v>
      </c>
      <c r="G60" s="17" t="s">
        <v>80</v>
      </c>
      <c r="H60" s="17" t="s">
        <v>500</v>
      </c>
      <c r="I60" s="19">
        <f>'Gutter&amp;Clamp'!F38</f>
        <v>471.98</v>
      </c>
      <c r="J60" s="19">
        <f>'Gutter&amp;Clamp'!F48</f>
        <v>93.19</v>
      </c>
      <c r="K60" s="19">
        <f t="shared" si="1"/>
        <v>0</v>
      </c>
      <c r="L60" s="19">
        <f t="shared" si="2"/>
        <v>565.17000000000007</v>
      </c>
    </row>
    <row r="61" spans="1:12">
      <c r="A61" s="13">
        <v>58</v>
      </c>
      <c r="B61" s="14" t="s">
        <v>509</v>
      </c>
      <c r="C61" s="16" t="str">
        <f>'Gutter&amp;Clamp'!B50</f>
        <v>Providing and fixing 140mm square PVC gutter pipes includes laying jointing of pipes including clamp, complete as per direction of Engineer in Charge</v>
      </c>
      <c r="D61" s="16" t="str">
        <f t="shared" si="0"/>
        <v>Providing and fixing 140mm square PVC gutter pipes includes laying jointing of pipes including clamp, complete as per direction of Engineer in Charge (Code: GWDDR058)</v>
      </c>
      <c r="E61" s="13" t="s">
        <v>21</v>
      </c>
      <c r="F61" s="17" t="s">
        <v>51</v>
      </c>
      <c r="G61" s="17" t="s">
        <v>80</v>
      </c>
      <c r="H61" s="17" t="s">
        <v>500</v>
      </c>
      <c r="I61" s="19">
        <f>'Gutter&amp;Clamp'!F62</f>
        <v>414.66</v>
      </c>
      <c r="J61" s="19">
        <f>'Gutter&amp;Clamp'!F72</f>
        <v>93.19</v>
      </c>
      <c r="K61" s="19">
        <f t="shared" si="1"/>
        <v>0</v>
      </c>
      <c r="L61" s="19">
        <f t="shared" si="2"/>
        <v>507.85</v>
      </c>
    </row>
    <row r="62" spans="1:12">
      <c r="A62" s="13">
        <v>59</v>
      </c>
      <c r="B62" s="14" t="s">
        <v>511</v>
      </c>
      <c r="C62" s="16" t="str">
        <f>'Gutter&amp;Clamp'!B74</f>
        <v>Providing and fixing 160mm square PVC gutter pipes includes laying jointing of pipes including clamp, complete as per direction of Engineer in Charge</v>
      </c>
      <c r="D62" s="16" t="str">
        <f t="shared" si="0"/>
        <v>Providing and fixing 160mm square PVC gutter pipes includes laying jointing of pipes including clamp, complete as per direction of Engineer in Charge (Code: GWDDR059)</v>
      </c>
      <c r="E62" s="13" t="s">
        <v>21</v>
      </c>
      <c r="F62" s="17" t="s">
        <v>51</v>
      </c>
      <c r="G62" s="17" t="s">
        <v>80</v>
      </c>
      <c r="H62" s="17" t="s">
        <v>500</v>
      </c>
      <c r="I62" s="19">
        <f>'Gutter&amp;Clamp'!F86</f>
        <v>467.5</v>
      </c>
      <c r="J62" s="19">
        <f>'Gutter&amp;Clamp'!F96</f>
        <v>93.19</v>
      </c>
      <c r="K62" s="19">
        <f t="shared" si="1"/>
        <v>0</v>
      </c>
      <c r="L62" s="19">
        <f t="shared" si="2"/>
        <v>560.69000000000005</v>
      </c>
    </row>
    <row r="63" spans="1:12">
      <c r="A63" s="13">
        <v>60</v>
      </c>
      <c r="B63" s="14" t="s">
        <v>515</v>
      </c>
      <c r="C63" s="16" t="str">
        <f>'Gutter&amp;Clamp'!B98</f>
        <v>Providing and fixing MS Clamp for gutter pipe as per direction of Engineer in Charge.</v>
      </c>
      <c r="D63" s="16" t="str">
        <f t="shared" si="0"/>
        <v>Providing and fixing MS Clamp for gutter pipe as per direction of Engineer in Charge. (Code: GWDDR060)</v>
      </c>
      <c r="E63" s="13" t="s">
        <v>46</v>
      </c>
      <c r="F63" s="17" t="s">
        <v>51</v>
      </c>
      <c r="G63" s="17" t="s">
        <v>80</v>
      </c>
      <c r="H63" s="17" t="s">
        <v>82</v>
      </c>
      <c r="I63" s="19">
        <f>'Gutter&amp;Clamp'!F109</f>
        <v>40.65</v>
      </c>
      <c r="J63" s="19">
        <f>'Gutter&amp;Clamp'!F119</f>
        <v>29.44</v>
      </c>
      <c r="K63" s="19">
        <f t="shared" si="1"/>
        <v>0</v>
      </c>
      <c r="L63" s="19">
        <f t="shared" si="2"/>
        <v>70.09</v>
      </c>
    </row>
    <row r="64" spans="1:12">
      <c r="A64" s="13">
        <v>61</v>
      </c>
      <c r="B64" s="14" t="s">
        <v>518</v>
      </c>
      <c r="C64" s="16" t="str">
        <f>Hydrants!A1</f>
        <v>Hydrants with tap (for common use of size 0.8 x 0.5 m platform)</v>
      </c>
      <c r="D64" s="16" t="str">
        <f t="shared" si="0"/>
        <v>Hydrants with tap (for common use of size 0.8 x 0.5 m platform) (Code: GWDDR061)</v>
      </c>
      <c r="E64" s="13" t="s">
        <v>46</v>
      </c>
      <c r="F64" s="17" t="s">
        <v>51</v>
      </c>
      <c r="G64" s="17" t="s">
        <v>52</v>
      </c>
      <c r="H64" s="17" t="s">
        <v>522</v>
      </c>
      <c r="I64" s="19">
        <f>Hydrants!G13</f>
        <v>671.93</v>
      </c>
      <c r="J64" s="19">
        <f>Hydrants!G25</f>
        <v>1562.02</v>
      </c>
      <c r="K64" s="19">
        <f t="shared" si="1"/>
        <v>0</v>
      </c>
      <c r="L64" s="19">
        <f t="shared" si="2"/>
        <v>2233.9499999999998</v>
      </c>
    </row>
    <row r="65" spans="1:12">
      <c r="A65" s="13">
        <v>62</v>
      </c>
      <c r="B65" s="14" t="s">
        <v>525</v>
      </c>
      <c r="C65" s="16" t="str">
        <f>Hydrants!A27</f>
        <v>Hydrants with tap ( for individual families of size 0.6 X 0.3 M platform)</v>
      </c>
      <c r="D65" s="16" t="str">
        <f t="shared" si="0"/>
        <v>Hydrants with tap ( for individual families of size 0.6 X 0.3 M platform) (Code: GWDDR062)</v>
      </c>
      <c r="E65" s="13" t="s">
        <v>46</v>
      </c>
      <c r="F65" s="17" t="s">
        <v>51</v>
      </c>
      <c r="G65" s="17" t="s">
        <v>52</v>
      </c>
      <c r="H65" s="17" t="s">
        <v>522</v>
      </c>
      <c r="I65" s="19">
        <f>Hydrants!G39</f>
        <v>671.93</v>
      </c>
      <c r="J65" s="19">
        <f>Hydrants!G51</f>
        <v>1030.3800000000001</v>
      </c>
      <c r="K65" s="19">
        <f t="shared" si="1"/>
        <v>0</v>
      </c>
      <c r="L65" s="19">
        <f t="shared" si="2"/>
        <v>1702.31</v>
      </c>
    </row>
    <row r="66" spans="1:12">
      <c r="A66" s="13">
        <v>63</v>
      </c>
      <c r="B66" s="14" t="s">
        <v>528</v>
      </c>
      <c r="C66" s="45" t="str">
        <f>'HP Repair Labour'!A1</f>
        <v>India Mark II Hand Pump Pullout, Repairing and Re-Erection Labour Charges</v>
      </c>
      <c r="D66" s="16" t="str">
        <f t="shared" si="0"/>
        <v>India Mark II Hand Pump Pullout, Repairing and Re-Erection Labour Charges (Code: GWDDR063)</v>
      </c>
      <c r="E66" s="46" t="s">
        <v>46</v>
      </c>
      <c r="F66" s="17" t="s">
        <v>51</v>
      </c>
      <c r="G66" s="39" t="s">
        <v>373</v>
      </c>
      <c r="H66" s="39" t="s">
        <v>530</v>
      </c>
      <c r="I66" s="19">
        <f>'HP Repair Labour'!H14</f>
        <v>0</v>
      </c>
      <c r="J66" s="19">
        <f>'HP Repair Labour'!I14</f>
        <v>6485.82</v>
      </c>
      <c r="K66" s="19">
        <f t="shared" si="1"/>
        <v>0</v>
      </c>
      <c r="L66" s="19">
        <f t="shared" si="2"/>
        <v>6485.82</v>
      </c>
    </row>
    <row r="67" spans="1:12">
      <c r="A67" s="13">
        <v>64</v>
      </c>
      <c r="B67" s="14" t="s">
        <v>532</v>
      </c>
      <c r="C67" s="16"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6" t="str">
        <f t="shared" si="0"/>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3" t="s">
        <v>46</v>
      </c>
      <c r="F67" s="17" t="s">
        <v>51</v>
      </c>
      <c r="G67" s="17" t="s">
        <v>534</v>
      </c>
      <c r="H67" s="19" t="s">
        <v>535</v>
      </c>
      <c r="I67" s="19">
        <f>WTP!H16</f>
        <v>19164.75</v>
      </c>
      <c r="J67" s="19">
        <f>WTP!I16</f>
        <v>497.93504999999993</v>
      </c>
      <c r="K67" s="19">
        <f t="shared" si="1"/>
        <v>0</v>
      </c>
      <c r="L67" s="19">
        <f t="shared" si="2"/>
        <v>19662.68505</v>
      </c>
    </row>
    <row r="68" spans="1:12">
      <c r="A68" s="13">
        <v>65</v>
      </c>
      <c r="B68" s="14" t="s">
        <v>537</v>
      </c>
      <c r="C68" s="16"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6" t="str">
        <f t="shared" si="0"/>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3" t="s">
        <v>46</v>
      </c>
      <c r="F68" s="17" t="s">
        <v>51</v>
      </c>
      <c r="G68" s="17" t="s">
        <v>534</v>
      </c>
      <c r="H68" s="19" t="s">
        <v>535</v>
      </c>
      <c r="I68" s="19">
        <f>WTP!H30</f>
        <v>30779.749999999996</v>
      </c>
      <c r="J68" s="19">
        <f>WTP!I30</f>
        <v>497.93504999999993</v>
      </c>
      <c r="K68" s="19">
        <f t="shared" si="1"/>
        <v>0</v>
      </c>
      <c r="L68" s="19">
        <f t="shared" si="2"/>
        <v>31277.685049999996</v>
      </c>
    </row>
    <row r="69" spans="1:12">
      <c r="A69" s="13">
        <v>66</v>
      </c>
      <c r="B69" s="14" t="s">
        <v>543</v>
      </c>
      <c r="C69" s="16"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6" t="str">
        <f t="shared" si="0"/>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3" t="s">
        <v>46</v>
      </c>
      <c r="F69" s="17" t="s">
        <v>51</v>
      </c>
      <c r="G69" s="17" t="s">
        <v>534</v>
      </c>
      <c r="H69" s="19" t="s">
        <v>535</v>
      </c>
      <c r="I69" s="19">
        <f>WTP!H44</f>
        <v>41814</v>
      </c>
      <c r="J69" s="19">
        <f>WTP!I44</f>
        <v>497.93504999999993</v>
      </c>
      <c r="K69" s="19">
        <f t="shared" si="1"/>
        <v>0</v>
      </c>
      <c r="L69" s="19">
        <f t="shared" si="2"/>
        <v>42311.93505</v>
      </c>
    </row>
    <row r="70" spans="1:12">
      <c r="A70" s="13">
        <v>67</v>
      </c>
      <c r="B70" s="14" t="s">
        <v>545</v>
      </c>
      <c r="C70" s="16"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6" t="str">
        <f t="shared" si="0"/>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3" t="s">
        <v>46</v>
      </c>
      <c r="F70" s="17" t="s">
        <v>51</v>
      </c>
      <c r="G70" s="17" t="s">
        <v>534</v>
      </c>
      <c r="H70" s="19" t="s">
        <v>535</v>
      </c>
      <c r="I70" s="19">
        <f>WTP!H58</f>
        <v>47040.75</v>
      </c>
      <c r="J70" s="19">
        <f>WTP!I58</f>
        <v>497.93504999999993</v>
      </c>
      <c r="K70" s="19">
        <f t="shared" si="1"/>
        <v>0</v>
      </c>
      <c r="L70" s="19">
        <f t="shared" si="2"/>
        <v>47538.68505</v>
      </c>
    </row>
    <row r="71" spans="1:12">
      <c r="A71" s="13">
        <v>68</v>
      </c>
      <c r="B71" s="14" t="s">
        <v>548</v>
      </c>
      <c r="C71" s="16"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6" t="str">
        <f t="shared" si="0"/>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3" t="s">
        <v>46</v>
      </c>
      <c r="F71" s="17" t="s">
        <v>51</v>
      </c>
      <c r="G71" s="17" t="s">
        <v>534</v>
      </c>
      <c r="H71" s="19" t="s">
        <v>535</v>
      </c>
      <c r="I71" s="19">
        <f>WTP!H72</f>
        <v>56913.499999999993</v>
      </c>
      <c r="J71" s="19">
        <f>WTP!I72</f>
        <v>572.85179999999991</v>
      </c>
      <c r="K71" s="19">
        <f t="shared" si="1"/>
        <v>0</v>
      </c>
      <c r="L71" s="19">
        <f t="shared" si="2"/>
        <v>57486.351799999989</v>
      </c>
    </row>
    <row r="72" spans="1:12">
      <c r="A72" s="13">
        <v>69</v>
      </c>
      <c r="B72" s="14" t="s">
        <v>550</v>
      </c>
      <c r="C72" s="16"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6" t="str">
        <f t="shared" si="0"/>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3" t="s">
        <v>46</v>
      </c>
      <c r="F72" s="17" t="s">
        <v>51</v>
      </c>
      <c r="G72" s="17" t="s">
        <v>534</v>
      </c>
      <c r="H72" s="19" t="s">
        <v>535</v>
      </c>
      <c r="I72" s="19">
        <f>WTP!H86</f>
        <v>72013</v>
      </c>
      <c r="J72" s="19">
        <f>WTP!I86</f>
        <v>754.97499999999991</v>
      </c>
      <c r="K72" s="19">
        <f t="shared" si="1"/>
        <v>0</v>
      </c>
      <c r="L72" s="19">
        <f t="shared" si="2"/>
        <v>72767.975000000006</v>
      </c>
    </row>
    <row r="73" spans="1:12">
      <c r="A73" s="13">
        <v>70</v>
      </c>
      <c r="B73" s="14" t="s">
        <v>553</v>
      </c>
      <c r="C73" s="16"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6" t="str">
        <f t="shared" si="0"/>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3" t="s">
        <v>46</v>
      </c>
      <c r="F73" s="17" t="s">
        <v>51</v>
      </c>
      <c r="G73" s="17" t="s">
        <v>534</v>
      </c>
      <c r="H73" s="19" t="s">
        <v>535</v>
      </c>
      <c r="I73" s="19">
        <f>WTP!H100</f>
        <v>96404.499999999985</v>
      </c>
      <c r="J73" s="19">
        <f>WTP!I100</f>
        <v>754.97499999999991</v>
      </c>
      <c r="K73" s="19">
        <f t="shared" si="1"/>
        <v>0</v>
      </c>
      <c r="L73" s="19">
        <f t="shared" si="2"/>
        <v>97159.474999999991</v>
      </c>
    </row>
    <row r="74" spans="1:12">
      <c r="A74" s="13">
        <v>71</v>
      </c>
      <c r="B74" s="14" t="s">
        <v>556</v>
      </c>
      <c r="C74" s="16" t="str">
        <f>WTP!B102</f>
        <v>Supplying, assembling, manually operated multi port valve 40 NB Material -PVC, Max pressure - 4kg/cm2, including hire &amp; labour charges, fittings &amp; accessories etc. all complete, as per direction of Engineer-in-charge</v>
      </c>
      <c r="D74" s="16" t="str">
        <f t="shared" si="0"/>
        <v>Supplying, assembling, manually operated multi port valve 40 NB Material -PVC, Max pressure - 4kg/cm2, including hire &amp; labour charges, fittings &amp; accessories etc. all complete, as per direction of Engineer-in-charge (Code: GWDDR071)</v>
      </c>
      <c r="E74" s="13" t="s">
        <v>46</v>
      </c>
      <c r="F74" s="17" t="s">
        <v>51</v>
      </c>
      <c r="G74" s="17" t="s">
        <v>534</v>
      </c>
      <c r="H74" s="19" t="s">
        <v>558</v>
      </c>
      <c r="I74" s="19">
        <f>WTP!H114</f>
        <v>8916.8354999999992</v>
      </c>
      <c r="J74" s="19">
        <f>WTP!I114</f>
        <v>38.166889999999995</v>
      </c>
      <c r="K74" s="19">
        <f t="shared" si="1"/>
        <v>0</v>
      </c>
      <c r="L74" s="19">
        <f t="shared" si="2"/>
        <v>8955.0023899999997</v>
      </c>
    </row>
    <row r="75" spans="1:12">
      <c r="A75" s="13">
        <v>72</v>
      </c>
      <c r="B75" s="14" t="s">
        <v>559</v>
      </c>
      <c r="C75" s="16" t="str">
        <f>WTP!B115</f>
        <v>Supplying, assembling, manually operated multi port valve flower type 50NB Material -PVC, Max pressure - 4kg/cm2, including hire &amp; labour charges, fittings &amp; accessories etc. all complete, as per direction of Engineer-in-charge</v>
      </c>
      <c r="D75" s="16" t="str">
        <f t="shared" si="0"/>
        <v>Supplying, assembling, manually operated multi port valve flower type 50NB Material -PVC, Max pressure - 4kg/cm2, including hire &amp; labour charges, fittings &amp; accessories etc. all complete, as per direction of Engineer-in-charge (Code: GWDDR072)</v>
      </c>
      <c r="E75" s="13" t="s">
        <v>46</v>
      </c>
      <c r="F75" s="17" t="s">
        <v>51</v>
      </c>
      <c r="G75" s="17" t="s">
        <v>534</v>
      </c>
      <c r="H75" s="19" t="s">
        <v>558</v>
      </c>
      <c r="I75" s="19">
        <f>WTP!H127</f>
        <v>11173.63</v>
      </c>
      <c r="J75" s="19">
        <f>WTP!I127</f>
        <v>38.166889999999995</v>
      </c>
      <c r="K75" s="19">
        <f t="shared" si="1"/>
        <v>0</v>
      </c>
      <c r="L75" s="19">
        <f t="shared" si="2"/>
        <v>11211.79689</v>
      </c>
    </row>
    <row r="76" spans="1:12">
      <c r="A76" s="13">
        <v>73</v>
      </c>
      <c r="B76" s="14" t="s">
        <v>562</v>
      </c>
      <c r="C76" s="16"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6" t="str">
        <f t="shared" si="0"/>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3" t="s">
        <v>46</v>
      </c>
      <c r="F76" s="17" t="s">
        <v>51</v>
      </c>
      <c r="G76" s="17" t="s">
        <v>534</v>
      </c>
      <c r="H76" s="19" t="s">
        <v>558</v>
      </c>
      <c r="I76" s="19">
        <f>WTP!H140</f>
        <v>13342.1505</v>
      </c>
      <c r="J76" s="19">
        <f>WTP!I140</f>
        <v>38.166889999999995</v>
      </c>
      <c r="K76" s="19">
        <f t="shared" si="1"/>
        <v>0</v>
      </c>
      <c r="L76" s="19">
        <f t="shared" si="2"/>
        <v>13380.31739</v>
      </c>
    </row>
    <row r="77" spans="1:12">
      <c r="A77" s="13">
        <v>74</v>
      </c>
      <c r="B77" s="14" t="s">
        <v>564</v>
      </c>
      <c r="C77" s="16" t="str">
        <f>WTP!B142</f>
        <v>Supplying, assembling, distributer 40 NB including hire &amp; labour charges, fittings &amp; accessories etc. all complete, as per direction of Engineer-in-charge</v>
      </c>
      <c r="D77" s="16" t="str">
        <f t="shared" si="0"/>
        <v>Supplying, assembling, distributer 40 NB including hire &amp; labour charges, fittings &amp; accessories etc. all complete, as per direction of Engineer-in-charge (Code: GWDDR074)</v>
      </c>
      <c r="E77" s="13" t="s">
        <v>46</v>
      </c>
      <c r="F77" s="17" t="s">
        <v>51</v>
      </c>
      <c r="G77" s="17" t="s">
        <v>534</v>
      </c>
      <c r="H77" s="19" t="s">
        <v>565</v>
      </c>
      <c r="I77" s="19">
        <f>WTP!H154</f>
        <v>5261.5950000000003</v>
      </c>
      <c r="J77" s="19">
        <f>WTP!I154</f>
        <v>38.166889999999995</v>
      </c>
      <c r="K77" s="19">
        <f t="shared" si="1"/>
        <v>0</v>
      </c>
      <c r="L77" s="19">
        <f t="shared" si="2"/>
        <v>5299.7618900000007</v>
      </c>
    </row>
    <row r="78" spans="1:12">
      <c r="A78" s="13">
        <v>75</v>
      </c>
      <c r="B78" s="14" t="s">
        <v>568</v>
      </c>
      <c r="C78" s="16" t="str">
        <f>WTP!B155</f>
        <v>Supplying, assembling, distributer 50 NB including hire &amp; labour charges, fittings &amp; accessories etc. all complete, as per direction of Engineer-in-charge</v>
      </c>
      <c r="D78" s="16" t="str">
        <f t="shared" si="0"/>
        <v>Supplying, assembling, distributer 50 NB including hire &amp; labour charges, fittings &amp; accessories etc. all complete, as per direction of Engineer-in-charge (Code: GWDDR075)</v>
      </c>
      <c r="E78" s="13" t="s">
        <v>46</v>
      </c>
      <c r="F78" s="17" t="s">
        <v>51</v>
      </c>
      <c r="G78" s="17" t="s">
        <v>534</v>
      </c>
      <c r="H78" s="19" t="s">
        <v>565</v>
      </c>
      <c r="I78" s="19">
        <f>WTP!H167</f>
        <v>7840.1249999999991</v>
      </c>
      <c r="J78" s="19">
        <f>WTP!I167</f>
        <v>38.166889999999995</v>
      </c>
      <c r="K78" s="19">
        <f t="shared" si="1"/>
        <v>0</v>
      </c>
      <c r="L78" s="19">
        <f t="shared" si="2"/>
        <v>7878.2918899999995</v>
      </c>
    </row>
    <row r="79" spans="1:12">
      <c r="A79" s="13">
        <v>76</v>
      </c>
      <c r="B79" s="14" t="s">
        <v>575</v>
      </c>
      <c r="C79" s="16" t="str">
        <f>WTP!B168</f>
        <v>Supplying, assembling, distributer 65 NB including hire &amp; labour charges, fittings &amp; accessories etc. all complete, as per direction of Engineer-in-charge</v>
      </c>
      <c r="D79" s="16" t="str">
        <f t="shared" si="0"/>
        <v>Supplying, assembling, distributer 65 NB including hire &amp; labour charges, fittings &amp; accessories etc. all complete, as per direction of Engineer-in-charge (Code: GWDDR076)</v>
      </c>
      <c r="E79" s="13" t="s">
        <v>46</v>
      </c>
      <c r="F79" s="17" t="s">
        <v>51</v>
      </c>
      <c r="G79" s="17" t="s">
        <v>534</v>
      </c>
      <c r="H79" s="19" t="s">
        <v>565</v>
      </c>
      <c r="I79" s="19">
        <f>WTP!H180</f>
        <v>11923.958999999999</v>
      </c>
      <c r="J79" s="19">
        <f>WTP!I180</f>
        <v>38.166889999999995</v>
      </c>
      <c r="K79" s="19">
        <f t="shared" si="1"/>
        <v>0</v>
      </c>
      <c r="L79" s="19">
        <f t="shared" si="2"/>
        <v>11962.125889999999</v>
      </c>
    </row>
    <row r="80" spans="1:12">
      <c r="A80" s="13">
        <v>77</v>
      </c>
      <c r="B80" s="14" t="s">
        <v>578</v>
      </c>
      <c r="C80" s="16" t="str">
        <f>WTP!B182</f>
        <v>Supplying, assembling, and fixing Electrically operated Diaphragm type dosing pump 10 lph including hire &amp; labour charges, fittings &amp; accessories etc. all complete, as per direction of Engineer-in-charge</v>
      </c>
      <c r="D80" s="16" t="str">
        <f t="shared" si="0"/>
        <v>Supplying, assembling, and fixing Electrically operated Diaphragm type dosing pump 10 lph including hire &amp; labour charges, fittings &amp; accessories etc. all complete, as per direction of Engineer-in-charge (Code: GWDDR077)</v>
      </c>
      <c r="E80" s="13" t="s">
        <v>46</v>
      </c>
      <c r="F80" s="17" t="s">
        <v>51</v>
      </c>
      <c r="G80" s="17" t="s">
        <v>534</v>
      </c>
      <c r="H80" s="19" t="s">
        <v>581</v>
      </c>
      <c r="I80" s="19">
        <f>WTP!H195</f>
        <v>18191.413</v>
      </c>
      <c r="J80" s="19">
        <f>WTP!I195</f>
        <v>331.95670000000001</v>
      </c>
      <c r="K80" s="19">
        <f t="shared" si="1"/>
        <v>0</v>
      </c>
      <c r="L80" s="19">
        <f t="shared" si="2"/>
        <v>18523.369699999999</v>
      </c>
    </row>
    <row r="81" spans="1:12">
      <c r="A81" s="13">
        <v>78</v>
      </c>
      <c r="B81" s="14" t="s">
        <v>582</v>
      </c>
      <c r="C81" s="16" t="str">
        <f>WTP!B196</f>
        <v>Supplying, assembling, and fixing Electrically operated Diaphragm type dosing pump 40 lph including hire &amp; labour charges, fittings &amp; accessories etc. all complete, as per direction of Engineer-in-charge</v>
      </c>
      <c r="D81" s="16" t="str">
        <f t="shared" si="0"/>
        <v>Supplying, assembling, and fixing Electrically operated Diaphragm type dosing pump 40 lph including hire &amp; labour charges, fittings &amp; accessories etc. all complete, as per direction of Engineer-in-charge (Code: GWDDR078)</v>
      </c>
      <c r="E81" s="13" t="s">
        <v>46</v>
      </c>
      <c r="F81" s="17" t="s">
        <v>51</v>
      </c>
      <c r="G81" s="17" t="s">
        <v>534</v>
      </c>
      <c r="H81" s="19" t="s">
        <v>581</v>
      </c>
      <c r="I81" s="19">
        <f>WTP!H209</f>
        <v>49363.749999999993</v>
      </c>
      <c r="J81" s="19">
        <f>WTP!I209</f>
        <v>331.95670000000001</v>
      </c>
      <c r="K81" s="19">
        <f t="shared" si="1"/>
        <v>0</v>
      </c>
      <c r="L81" s="19">
        <f t="shared" si="2"/>
        <v>49695.706699999995</v>
      </c>
    </row>
    <row r="82" spans="1:12">
      <c r="A82" s="13">
        <v>79</v>
      </c>
      <c r="B82" s="14" t="s">
        <v>587</v>
      </c>
      <c r="C82" s="16" t="str">
        <f>WTP!B211</f>
        <v>Supplying, assembling, and fixing single Phase Pure Copper , Self priming monoblock feed pump 1Hp including hire &amp; labour charges, fittings &amp; accessories etc. all complete, as per direction of Engineer-in-charge</v>
      </c>
      <c r="D82" s="16" t="str">
        <f t="shared" si="0"/>
        <v>Supplying, assembling, and fixing single Phase Pure Copper , Self priming monoblock feed pump 1Hp including hire &amp; labour charges, fittings &amp; accessories etc. all complete, as per direction of Engineer-in-charge (Code: GWDDR079)</v>
      </c>
      <c r="E82" s="13" t="s">
        <v>46</v>
      </c>
      <c r="F82" s="17" t="s">
        <v>51</v>
      </c>
      <c r="G82" s="17" t="s">
        <v>534</v>
      </c>
      <c r="H82" s="19" t="s">
        <v>588</v>
      </c>
      <c r="I82" s="19">
        <f>WTP!H224</f>
        <v>14749.888499999999</v>
      </c>
      <c r="J82" s="19">
        <f>WTP!I224</f>
        <v>331.95670000000001</v>
      </c>
      <c r="K82" s="19">
        <f t="shared" si="1"/>
        <v>0</v>
      </c>
      <c r="L82" s="19">
        <f t="shared" si="2"/>
        <v>15081.8452</v>
      </c>
    </row>
    <row r="83" spans="1:12">
      <c r="A83" s="13">
        <v>80</v>
      </c>
      <c r="B83" s="14" t="s">
        <v>593</v>
      </c>
      <c r="C83" s="16" t="str">
        <f>WTP!B225</f>
        <v>Supplying, assembling, and fixing single Phase Pure Copper , Self priming monoblock feed pump 1.5Hp including hire &amp; labour charges, fittings &amp; accessories etc. all complete, as per direction of Engineer-in-charge</v>
      </c>
      <c r="D83" s="16" t="str">
        <f t="shared" si="0"/>
        <v>Supplying, assembling, and fixing single Phase Pure Copper , Self priming monoblock feed pump 1.5Hp including hire &amp; labour charges, fittings &amp; accessories etc. all complete, as per direction of Engineer-in-charge (Code: GWDDR080)</v>
      </c>
      <c r="E83" s="13" t="s">
        <v>46</v>
      </c>
      <c r="F83" s="17" t="s">
        <v>51</v>
      </c>
      <c r="G83" s="17" t="s">
        <v>534</v>
      </c>
      <c r="H83" s="19" t="s">
        <v>588</v>
      </c>
      <c r="I83" s="19">
        <f>WTP!H238</f>
        <v>17631.569999999996</v>
      </c>
      <c r="J83" s="19">
        <f>WTP!I238</f>
        <v>331.95670000000001</v>
      </c>
      <c r="K83" s="19">
        <f t="shared" si="1"/>
        <v>0</v>
      </c>
      <c r="L83" s="19">
        <f t="shared" si="2"/>
        <v>17963.526699999995</v>
      </c>
    </row>
    <row r="84" spans="1:12">
      <c r="A84" s="13">
        <v>81</v>
      </c>
      <c r="B84" s="14" t="s">
        <v>598</v>
      </c>
      <c r="C84" s="16" t="str">
        <f>WTP!B239</f>
        <v>Supplying, assembling, and fixing single Phase Pure Copper , Self priming monoblock feed pump 2Hp including hire &amp; labour charges, fittings &amp; accessories etc. all complete, as per direction of Engineer-in-charge</v>
      </c>
      <c r="D84" s="16" t="str">
        <f t="shared" si="0"/>
        <v>Supplying, assembling, and fixing single Phase Pure Copper , Self priming monoblock feed pump 2Hp including hire &amp; labour charges, fittings &amp; accessories etc. all complete, as per direction of Engineer-in-charge (Code: GWDDR081)</v>
      </c>
      <c r="E84" s="13" t="s">
        <v>46</v>
      </c>
      <c r="F84" s="17" t="s">
        <v>51</v>
      </c>
      <c r="G84" s="17" t="s">
        <v>534</v>
      </c>
      <c r="H84" s="19" t="s">
        <v>588</v>
      </c>
      <c r="I84" s="19">
        <f>WTP!H252</f>
        <v>25866.605</v>
      </c>
      <c r="J84" s="19">
        <f>WTP!I252</f>
        <v>331.95670000000001</v>
      </c>
      <c r="K84" s="19">
        <f t="shared" si="1"/>
        <v>0</v>
      </c>
      <c r="L84" s="19">
        <f t="shared" si="2"/>
        <v>26198.561699999998</v>
      </c>
    </row>
    <row r="85" spans="1:12">
      <c r="A85" s="13">
        <v>82</v>
      </c>
      <c r="B85" s="14" t="s">
        <v>604</v>
      </c>
      <c r="C85" s="16" t="str">
        <f>WTP!B254</f>
        <v>Supplying, assembling, and fixing sludge pump 1Hp, 220v, Max head 20m , 750W, Max flw 15000 lph including hire &amp; labour charges, fittings &amp; accessories etc. all complete, as per direction of Engineer-in-charge</v>
      </c>
      <c r="D85" s="16" t="str">
        <f t="shared" si="0"/>
        <v>Supplying, assembling, and fixing sludge pump 1Hp, 220v, Max head 20m , 750W, Max flw 15000 lph including hire &amp; labour charges, fittings &amp; accessories etc. all complete, as per direction of Engineer-in-charge (Code: GWDDR082)</v>
      </c>
      <c r="E85" s="13" t="s">
        <v>46</v>
      </c>
      <c r="F85" s="17" t="s">
        <v>51</v>
      </c>
      <c r="G85" s="17" t="s">
        <v>534</v>
      </c>
      <c r="H85" s="19" t="s">
        <v>607</v>
      </c>
      <c r="I85" s="19">
        <f>WTP!H267</f>
        <v>18911.542999999998</v>
      </c>
      <c r="J85" s="19">
        <f>WTP!I267</f>
        <v>331.95670000000001</v>
      </c>
      <c r="K85" s="19">
        <f t="shared" si="1"/>
        <v>0</v>
      </c>
      <c r="L85" s="19">
        <f t="shared" si="2"/>
        <v>19243.499699999997</v>
      </c>
    </row>
    <row r="86" spans="1:12">
      <c r="A86" s="13">
        <v>83</v>
      </c>
      <c r="B86" s="14" t="s">
        <v>611</v>
      </c>
      <c r="C86" s="16" t="str">
        <f>WTP!B269</f>
        <v>Supplying, assembling, and fixing 5000 lph Stainless Steel UV Plant including hire &amp; labour charges, fittings &amp; accessories etc. all complete, as per direction of Engineer-in-charge</v>
      </c>
      <c r="D86" s="16" t="str">
        <f t="shared" si="0"/>
        <v>Supplying, assembling, and fixing 5000 lph Stainless Steel UV Plant including hire &amp; labour charges, fittings &amp; accessories etc. all complete, as per direction of Engineer-in-charge (Code: GWDDR083)</v>
      </c>
      <c r="E86" s="13" t="s">
        <v>46</v>
      </c>
      <c r="F86" s="17" t="s">
        <v>51</v>
      </c>
      <c r="G86" s="17" t="s">
        <v>534</v>
      </c>
      <c r="H86" s="19" t="s">
        <v>615</v>
      </c>
      <c r="I86" s="19">
        <f>WTP!H282</f>
        <v>47066.303</v>
      </c>
      <c r="J86" s="19">
        <f>WTP!I282</f>
        <v>331.95670000000001</v>
      </c>
      <c r="K86" s="19">
        <f t="shared" si="1"/>
        <v>0</v>
      </c>
      <c r="L86" s="19">
        <f t="shared" si="2"/>
        <v>47398.259700000002</v>
      </c>
    </row>
    <row r="87" spans="1:12">
      <c r="A87" s="13">
        <v>84</v>
      </c>
      <c r="B87" s="14" t="s">
        <v>618</v>
      </c>
      <c r="C87" s="16" t="str">
        <f>WTP!B283</f>
        <v>Supplying, assembling, and fixing 10000 lph UV Plant including hire &amp; labour charges, fittings &amp; accessories etc. all complete, as per direction of Engineer-in-charge</v>
      </c>
      <c r="D87" s="16" t="str">
        <f t="shared" si="0"/>
        <v>Supplying, assembling, and fixing 10000 lph UV Plant including hire &amp; labour charges, fittings &amp; accessories etc. all complete, as per direction of Engineer-in-charge (Code: GWDDR084)</v>
      </c>
      <c r="E87" s="13" t="s">
        <v>46</v>
      </c>
      <c r="F87" s="17" t="s">
        <v>51</v>
      </c>
      <c r="G87" s="17" t="s">
        <v>534</v>
      </c>
      <c r="H87" s="19" t="s">
        <v>615</v>
      </c>
      <c r="I87" s="19">
        <f>WTP!H296</f>
        <v>72593.75</v>
      </c>
      <c r="J87" s="19">
        <f>WTP!I296</f>
        <v>331.95670000000001</v>
      </c>
      <c r="K87" s="19">
        <f t="shared" si="1"/>
        <v>0</v>
      </c>
      <c r="L87" s="19">
        <f t="shared" si="2"/>
        <v>72925.706699999995</v>
      </c>
    </row>
    <row r="88" spans="1:12">
      <c r="A88" s="13">
        <v>85</v>
      </c>
      <c r="B88" s="14" t="s">
        <v>623</v>
      </c>
      <c r="C88" s="16" t="str">
        <f>WTP!B297</f>
        <v>Supplying, assembling, and fixing 15000 lph UV Plant including hire &amp; labour charges, fittings &amp; accessories etc. all complete, as per direction of Engineer-in-charge</v>
      </c>
      <c r="D88" s="16" t="str">
        <f t="shared" si="0"/>
        <v>Supplying, assembling, and fixing 15000 lph UV Plant including hire &amp; labour charges, fittings &amp; accessories etc. all complete, as per direction of Engineer-in-charge (Code: GWDDR085)</v>
      </c>
      <c r="E88" s="13" t="s">
        <v>46</v>
      </c>
      <c r="F88" s="17" t="s">
        <v>51</v>
      </c>
      <c r="G88" s="17" t="s">
        <v>534</v>
      </c>
      <c r="H88" s="19" t="s">
        <v>615</v>
      </c>
      <c r="I88" s="19">
        <f>WTP!H310</f>
        <v>82775.459000000003</v>
      </c>
      <c r="J88" s="19">
        <f>WTP!I310</f>
        <v>331.95670000000001</v>
      </c>
      <c r="K88" s="19">
        <f t="shared" si="1"/>
        <v>0</v>
      </c>
      <c r="L88" s="19">
        <f t="shared" si="2"/>
        <v>83107.415699999998</v>
      </c>
    </row>
    <row r="89" spans="1:12">
      <c r="A89" s="13">
        <v>86</v>
      </c>
      <c r="B89" s="14" t="s">
        <v>630</v>
      </c>
      <c r="C89" s="16" t="str">
        <f>WTP!B312</f>
        <v>Supplying, assembling, and fixing automatic treatment plant controller including automation of plant, hire &amp; labour charges, fittings &amp; accessories etc. all complete, as per direction of Engineer-in-charge</v>
      </c>
      <c r="D89" s="16" t="str">
        <f t="shared" si="0"/>
        <v>Supplying, assembling, and fixing automatic treatment plant controller including automation of plant, hire &amp; labour charges, fittings &amp; accessories etc. all complete, as per direction of Engineer-in-charge (Code: GWDDR086)</v>
      </c>
      <c r="E89" s="13" t="s">
        <v>46</v>
      </c>
      <c r="F89" s="17" t="s">
        <v>51</v>
      </c>
      <c r="G89" s="17" t="s">
        <v>534</v>
      </c>
      <c r="H89" s="19" t="s">
        <v>632</v>
      </c>
      <c r="I89" s="19">
        <f>WTP!H325</f>
        <v>37748.75</v>
      </c>
      <c r="J89" s="19">
        <f>WTP!I325</f>
        <v>331.95670000000001</v>
      </c>
      <c r="K89" s="19">
        <f t="shared" si="1"/>
        <v>0</v>
      </c>
      <c r="L89" s="19">
        <f t="shared" si="2"/>
        <v>38080.706700000002</v>
      </c>
    </row>
    <row r="90" spans="1:12">
      <c r="A90" s="13">
        <v>87</v>
      </c>
      <c r="B90" s="14" t="s">
        <v>637</v>
      </c>
      <c r="C90" s="16" t="str">
        <f>WTP!B327</f>
        <v>Supplying, assembling, and fixing 63mm pressure gauge including hire &amp; labour charges, fittings &amp; accessories etc. all complete, as per direction of Engineer-in-charge</v>
      </c>
      <c r="D90" s="16" t="str">
        <f t="shared" si="0"/>
        <v>Supplying, assembling, and fixing 63mm pressure gauge including hire &amp; labour charges, fittings &amp; accessories etc. all complete, as per direction of Engineer-in-charge (Code: GWDDR087)</v>
      </c>
      <c r="E90" s="13" t="s">
        <v>46</v>
      </c>
      <c r="F90" s="17" t="s">
        <v>51</v>
      </c>
      <c r="G90" s="17" t="s">
        <v>534</v>
      </c>
      <c r="H90" s="19" t="s">
        <v>638</v>
      </c>
      <c r="I90" s="19">
        <f>WTP!H339</f>
        <v>3252.2</v>
      </c>
      <c r="J90" s="19">
        <f>WTP!I339</f>
        <v>38.166889999999995</v>
      </c>
      <c r="K90" s="19">
        <f t="shared" si="1"/>
        <v>0</v>
      </c>
      <c r="L90" s="19">
        <f t="shared" si="2"/>
        <v>3290.3668899999998</v>
      </c>
    </row>
    <row r="91" spans="1:12">
      <c r="A91" s="13">
        <v>88</v>
      </c>
      <c r="B91" s="14" t="s">
        <v>641</v>
      </c>
      <c r="C91" s="16" t="str">
        <f>WTP!B341</f>
        <v>Supplying and filling, Silex, Fine sand and Pressure sand including hire &amp; labour charges, carriage etc complete, as per direction of Engineer-in-charge</v>
      </c>
      <c r="D91" s="16" t="str">
        <f t="shared" si="0"/>
        <v>Supplying and filling, Silex, Fine sand and Pressure sand including hire &amp; labour charges, carriage etc complete, as per direction of Engineer-in-charge (Code: GWDDR088)</v>
      </c>
      <c r="E91" s="13" t="s">
        <v>642</v>
      </c>
      <c r="F91" s="17" t="s">
        <v>51</v>
      </c>
      <c r="G91" s="17" t="s">
        <v>534</v>
      </c>
      <c r="H91" s="19" t="s">
        <v>643</v>
      </c>
      <c r="I91" s="19">
        <f>WTP!H353</f>
        <v>2323</v>
      </c>
      <c r="J91" s="19">
        <f>WTP!I353</f>
        <v>449.50049999999999</v>
      </c>
      <c r="K91" s="19">
        <f t="shared" si="1"/>
        <v>0</v>
      </c>
      <c r="L91" s="19">
        <f t="shared" si="2"/>
        <v>2772.5005000000001</v>
      </c>
    </row>
    <row r="92" spans="1:12">
      <c r="A92" s="13">
        <v>89</v>
      </c>
      <c r="B92" s="14" t="s">
        <v>647</v>
      </c>
      <c r="C92" s="16" t="str">
        <f>WTP!B354</f>
        <v>Supplying and filling, Katalox iron remover including hire &amp; labour charges, carriage etc. all complete, as per direction of Engineer-in-charge</v>
      </c>
      <c r="D92" s="16" t="str">
        <f t="shared" si="0"/>
        <v>Supplying and filling, Katalox iron remover including hire &amp; labour charges, carriage etc. all complete, as per direction of Engineer-in-charge (Code: GWDDR089)</v>
      </c>
      <c r="E92" s="13" t="s">
        <v>642</v>
      </c>
      <c r="F92" s="17" t="s">
        <v>51</v>
      </c>
      <c r="G92" s="17" t="s">
        <v>534</v>
      </c>
      <c r="H92" s="19" t="s">
        <v>643</v>
      </c>
      <c r="I92" s="19">
        <f>WTP!H366</f>
        <v>40652.5</v>
      </c>
      <c r="J92" s="19">
        <f>WTP!I366</f>
        <v>449.50049999999999</v>
      </c>
      <c r="K92" s="19">
        <f t="shared" si="1"/>
        <v>0</v>
      </c>
      <c r="L92" s="19">
        <f t="shared" si="2"/>
        <v>41102.000500000002</v>
      </c>
    </row>
    <row r="93" spans="1:12">
      <c r="A93" s="13">
        <v>90</v>
      </c>
      <c r="B93" s="14" t="s">
        <v>653</v>
      </c>
      <c r="C93" s="16" t="str">
        <f>WTP!B367</f>
        <v>Supplying and filling, Activated carbon IV 1050 including hire &amp; labour charges, carriage etc. all complete, as per direction of Engineer-in-charge</v>
      </c>
      <c r="D93" s="16" t="str">
        <f t="shared" si="0"/>
        <v>Supplying and filling, Activated carbon IV 1050 including hire &amp; labour charges, carriage etc. all complete, as per direction of Engineer-in-charge (Code: GWDDR090)</v>
      </c>
      <c r="E93" s="13" t="s">
        <v>642</v>
      </c>
      <c r="F93" s="17" t="s">
        <v>51</v>
      </c>
      <c r="G93" s="17" t="s">
        <v>534</v>
      </c>
      <c r="H93" s="19" t="s">
        <v>643</v>
      </c>
      <c r="I93" s="19">
        <f>WTP!H379</f>
        <v>36006.5</v>
      </c>
      <c r="J93" s="19">
        <f>WTP!I379</f>
        <v>449.50049999999999</v>
      </c>
      <c r="K93" s="19">
        <f t="shared" si="1"/>
        <v>0</v>
      </c>
      <c r="L93" s="19">
        <f t="shared" si="2"/>
        <v>36456.000500000002</v>
      </c>
    </row>
    <row r="94" spans="1:12">
      <c r="A94" s="13">
        <v>91</v>
      </c>
      <c r="B94" s="14" t="s">
        <v>659</v>
      </c>
      <c r="C94" s="16" t="str">
        <f>WTP!B381</f>
        <v>Supplying and filling, liquid chlorine including hire &amp; labour charges, carriage etc. all complete, as per direction of Engineer-in-charge</v>
      </c>
      <c r="D94" s="16" t="str">
        <f t="shared" si="0"/>
        <v>Supplying and filling, liquid chlorine including hire &amp; labour charges, carriage etc. all complete, as per direction of Engineer-in-charge (Code: GWDDR091)</v>
      </c>
      <c r="E94" s="13" t="s">
        <v>662</v>
      </c>
      <c r="F94" s="17" t="s">
        <v>51</v>
      </c>
      <c r="G94" s="17" t="s">
        <v>534</v>
      </c>
      <c r="H94" s="19" t="s">
        <v>663</v>
      </c>
      <c r="I94" s="19">
        <f>WTP!H393</f>
        <v>1236.4167499999999</v>
      </c>
      <c r="J94" s="19">
        <f>WTP!I393</f>
        <v>74.916749999999993</v>
      </c>
      <c r="K94" s="19">
        <f t="shared" si="1"/>
        <v>0</v>
      </c>
      <c r="L94" s="19">
        <f t="shared" si="2"/>
        <v>1311.3335</v>
      </c>
    </row>
    <row r="95" spans="1:12">
      <c r="A95" s="13">
        <v>92</v>
      </c>
      <c r="B95" s="14" t="s">
        <v>669</v>
      </c>
      <c r="C95" s="16" t="str">
        <f>WTP!B394</f>
        <v>Supplying and filling, liquid alum including hire &amp; labour charges, fittings &amp; accessories etc. all complete, as per direction of Engineer-in-charge</v>
      </c>
      <c r="D95" s="16" t="str">
        <f t="shared" si="0"/>
        <v>Supplying and filling, liquid alum including hire &amp; labour charges, fittings &amp; accessories etc. all complete, as per direction of Engineer-in-charge (Code: GWDDR092)</v>
      </c>
      <c r="E95" s="13" t="s">
        <v>662</v>
      </c>
      <c r="F95" s="17" t="s">
        <v>51</v>
      </c>
      <c r="G95" s="17" t="s">
        <v>534</v>
      </c>
      <c r="H95" s="19" t="s">
        <v>663</v>
      </c>
      <c r="I95" s="19">
        <f>WTP!H406</f>
        <v>968.40062499999988</v>
      </c>
      <c r="J95" s="19">
        <f>WTP!I406</f>
        <v>74.916749999999993</v>
      </c>
      <c r="K95" s="19">
        <f t="shared" si="1"/>
        <v>0</v>
      </c>
      <c r="L95" s="19">
        <f t="shared" si="2"/>
        <v>1043.3173749999999</v>
      </c>
    </row>
    <row r="96" spans="1:12">
      <c r="A96" s="13">
        <v>93</v>
      </c>
      <c r="B96" s="14" t="s">
        <v>675</v>
      </c>
      <c r="C96" s="16" t="str">
        <f>WTP!B408</f>
        <v>Plant installation charges including labour and materials for supports, stand, PVC connection pipes, PVC valves, air valves etc complete. all complete</v>
      </c>
      <c r="D96" s="16" t="str">
        <f t="shared" si="0"/>
        <v>Plant installation charges including labour and materials for supports, stand, PVC connection pipes, PVC valves, air valves etc complete. all complete (Code: GWDDR093)</v>
      </c>
      <c r="E96" s="13" t="s">
        <v>46</v>
      </c>
      <c r="F96" s="17" t="s">
        <v>51</v>
      </c>
      <c r="G96" s="17" t="s">
        <v>534</v>
      </c>
      <c r="H96" s="17" t="s">
        <v>678</v>
      </c>
      <c r="I96" s="19">
        <f>WTP!H452</f>
        <v>18989.759999999998</v>
      </c>
      <c r="J96" s="19">
        <f>WTP!I452</f>
        <v>7033.08</v>
      </c>
      <c r="K96" s="19">
        <f t="shared" si="1"/>
        <v>0</v>
      </c>
      <c r="L96" s="19">
        <f t="shared" si="2"/>
        <v>26022.839999999997</v>
      </c>
    </row>
    <row r="97" spans="1:12">
      <c r="A97" s="13">
        <v>94</v>
      </c>
      <c r="B97" s="14" t="s">
        <v>681</v>
      </c>
      <c r="C97" s="16" t="str">
        <f>WTP!B454</f>
        <v>Plant inspection, maintenance, cleaning, back wash, sludge removal, sample collection and correction of Dosing etc complete, and water quality checking (except filling chemicals)</v>
      </c>
      <c r="D97" s="16" t="str">
        <f t="shared" si="0"/>
        <v>Plant inspection, maintenance, cleaning, back wash, sludge removal, sample collection and correction of Dosing etc complete, and water quality checking (except filling chemicals) (Code: GWDDR094)</v>
      </c>
      <c r="E97" s="13" t="s">
        <v>684</v>
      </c>
      <c r="F97" s="17" t="s">
        <v>51</v>
      </c>
      <c r="G97" s="17" t="s">
        <v>534</v>
      </c>
      <c r="H97" s="19" t="s">
        <v>685</v>
      </c>
      <c r="I97" s="19">
        <f>WTP!H465</f>
        <v>5500</v>
      </c>
      <c r="J97" s="19">
        <f>WTP!I465</f>
        <v>869.96349999999995</v>
      </c>
      <c r="K97" s="19">
        <f t="shared" si="1"/>
        <v>0</v>
      </c>
      <c r="L97" s="19">
        <f t="shared" si="2"/>
        <v>6369.9634999999998</v>
      </c>
    </row>
    <row r="98" spans="1:12">
      <c r="A98" s="13">
        <v>95</v>
      </c>
      <c r="B98" s="14" t="s">
        <v>689</v>
      </c>
      <c r="C98" s="16" t="str">
        <f>'GI Works'!A3</f>
        <v>GI work in single section, fixed with or without connecting plate, including cutting, hoisting, fixing in position and applying a priming coat of approved steel primer all complete.</v>
      </c>
      <c r="D98" s="16" t="str">
        <f t="shared" si="0"/>
        <v>GI work in single section, fixed with or without connecting plate, including cutting, hoisting, fixing in position and applying a priming coat of approved steel primer all complete. (Code: GWDDR095)</v>
      </c>
      <c r="E98" s="13" t="s">
        <v>691</v>
      </c>
      <c r="F98" s="17" t="s">
        <v>51</v>
      </c>
      <c r="G98" s="17" t="s">
        <v>52</v>
      </c>
      <c r="H98" s="17" t="s">
        <v>692</v>
      </c>
      <c r="I98" s="17">
        <v>0</v>
      </c>
      <c r="J98" s="17">
        <f>'GI Works'!F29</f>
        <v>151.03995701899998</v>
      </c>
      <c r="K98" s="19">
        <f t="shared" si="1"/>
        <v>0</v>
      </c>
      <c r="L98" s="19">
        <f t="shared" si="2"/>
        <v>151.03995701899998</v>
      </c>
    </row>
    <row r="99" spans="1:12">
      <c r="A99" s="13">
        <v>96</v>
      </c>
      <c r="B99" s="14" t="s">
        <v>698</v>
      </c>
      <c r="C99" s="45" t="str">
        <f>Services!B2</f>
        <v>Hydrogeological Investigation (Domestic)</v>
      </c>
      <c r="D99" s="16" t="str">
        <f t="shared" si="0"/>
        <v>Hydrogeological Investigation (Domestic) (Code: GWDDR096)</v>
      </c>
      <c r="E99" s="51" t="str">
        <f>Services!C2</f>
        <v>each visit</v>
      </c>
      <c r="F99" s="17" t="s">
        <v>51</v>
      </c>
      <c r="G99" s="17" t="s">
        <v>705</v>
      </c>
      <c r="H99" s="17" t="s">
        <v>705</v>
      </c>
      <c r="I99" s="52">
        <f>Services!D2</f>
        <v>585</v>
      </c>
      <c r="J99" s="17">
        <v>0</v>
      </c>
      <c r="K99" s="19">
        <f t="shared" si="1"/>
        <v>0</v>
      </c>
      <c r="L99" s="19">
        <f t="shared" si="2"/>
        <v>585</v>
      </c>
    </row>
    <row r="100" spans="1:12">
      <c r="A100" s="13">
        <v>97</v>
      </c>
      <c r="B100" s="14" t="s">
        <v>711</v>
      </c>
      <c r="C100" s="45" t="str">
        <f>Services!B3</f>
        <v>Hydrogeological Investigation (Institution)</v>
      </c>
      <c r="D100" s="16" t="str">
        <f t="shared" si="0"/>
        <v>Hydrogeological Investigation (Institution) (Code: GWDDR097)</v>
      </c>
      <c r="E100" s="51" t="str">
        <f>Services!C3</f>
        <v>each visit</v>
      </c>
      <c r="F100" s="17" t="s">
        <v>51</v>
      </c>
      <c r="G100" s="17" t="s">
        <v>705</v>
      </c>
      <c r="H100" s="17" t="s">
        <v>705</v>
      </c>
      <c r="I100" s="52">
        <f>Services!D3</f>
        <v>1935</v>
      </c>
      <c r="J100" s="17">
        <v>0</v>
      </c>
      <c r="K100" s="19">
        <f t="shared" si="1"/>
        <v>0</v>
      </c>
      <c r="L100" s="19">
        <f t="shared" si="2"/>
        <v>1935</v>
      </c>
    </row>
    <row r="101" spans="1:12">
      <c r="A101" s="13">
        <v>98</v>
      </c>
      <c r="B101" s="14" t="s">
        <v>718</v>
      </c>
      <c r="C101" s="45" t="str">
        <f>Services!B4</f>
        <v>Hydrogeological Investigation (Industrial)</v>
      </c>
      <c r="D101" s="16" t="str">
        <f t="shared" si="0"/>
        <v>Hydrogeological Investigation (Industrial) (Code: GWDDR098)</v>
      </c>
      <c r="E101" s="51" t="str">
        <f>Services!C4</f>
        <v>each visit</v>
      </c>
      <c r="F101" s="17" t="s">
        <v>51</v>
      </c>
      <c r="G101" s="17" t="s">
        <v>705</v>
      </c>
      <c r="H101" s="17" t="s">
        <v>705</v>
      </c>
      <c r="I101" s="52">
        <f>Services!D4</f>
        <v>3860</v>
      </c>
      <c r="J101" s="17">
        <v>0</v>
      </c>
      <c r="K101" s="19">
        <f t="shared" si="1"/>
        <v>0</v>
      </c>
      <c r="L101" s="19">
        <f t="shared" si="2"/>
        <v>3860</v>
      </c>
    </row>
    <row r="102" spans="1:12">
      <c r="A102" s="13">
        <v>99</v>
      </c>
      <c r="B102" s="14" t="s">
        <v>723</v>
      </c>
      <c r="C102" s="16" t="str">
        <f>Services!B5</f>
        <v>Geophysical Logging</v>
      </c>
      <c r="D102" s="16" t="str">
        <f t="shared" si="0"/>
        <v>Geophysical Logging (Code: GWDDR099)</v>
      </c>
      <c r="E102" s="52" t="str">
        <f>Services!C5</f>
        <v>each</v>
      </c>
      <c r="F102" s="17" t="s">
        <v>51</v>
      </c>
      <c r="G102" s="17" t="s">
        <v>705</v>
      </c>
      <c r="H102" s="17" t="s">
        <v>705</v>
      </c>
      <c r="I102" s="52">
        <f>Services!D5</f>
        <v>14475</v>
      </c>
      <c r="J102" s="17">
        <v>0</v>
      </c>
      <c r="K102" s="19">
        <f t="shared" si="1"/>
        <v>0</v>
      </c>
      <c r="L102" s="19">
        <f t="shared" si="2"/>
        <v>14475</v>
      </c>
    </row>
    <row r="103" spans="1:12">
      <c r="A103" s="13">
        <v>100</v>
      </c>
      <c r="B103" s="14" t="s">
        <v>730</v>
      </c>
      <c r="C103" s="16" t="str">
        <f>Services!B6</f>
        <v>110mm (4.5") Borewell Drilling</v>
      </c>
      <c r="D103" s="16" t="str">
        <f t="shared" si="0"/>
        <v>110mm (4.5") Borewell Drilling (Code: GWDDR100)</v>
      </c>
      <c r="E103" s="52" t="str">
        <f>Services!C6</f>
        <v>meter</v>
      </c>
      <c r="F103" s="17" t="s">
        <v>51</v>
      </c>
      <c r="G103" s="17" t="s">
        <v>102</v>
      </c>
      <c r="H103" s="17" t="s">
        <v>733</v>
      </c>
      <c r="I103" s="52">
        <f>Services!D6</f>
        <v>390</v>
      </c>
      <c r="J103" s="17">
        <v>0</v>
      </c>
      <c r="K103" s="19">
        <f t="shared" si="1"/>
        <v>0</v>
      </c>
      <c r="L103" s="19">
        <f t="shared" si="2"/>
        <v>390</v>
      </c>
    </row>
    <row r="104" spans="1:12">
      <c r="A104" s="13">
        <v>101</v>
      </c>
      <c r="B104" s="14" t="s">
        <v>736</v>
      </c>
      <c r="C104" s="16" t="str">
        <f>Services!B7</f>
        <v>150mm (6") Borewell Drilling</v>
      </c>
      <c r="D104" s="16" t="str">
        <f t="shared" si="0"/>
        <v>150mm (6") Borewell Drilling (Code: GWDDR101)</v>
      </c>
      <c r="E104" s="52" t="str">
        <f>Services!C7</f>
        <v>meter</v>
      </c>
      <c r="F104" s="17" t="s">
        <v>51</v>
      </c>
      <c r="G104" s="17" t="s">
        <v>102</v>
      </c>
      <c r="H104" s="17" t="s">
        <v>733</v>
      </c>
      <c r="I104" s="52">
        <f>Services!D7</f>
        <v>665</v>
      </c>
      <c r="J104" s="17">
        <v>0</v>
      </c>
      <c r="K104" s="19">
        <f t="shared" si="1"/>
        <v>0</v>
      </c>
      <c r="L104" s="19">
        <f t="shared" si="2"/>
        <v>665</v>
      </c>
    </row>
    <row r="105" spans="1:12">
      <c r="A105" s="13">
        <v>102</v>
      </c>
      <c r="B105" s="14" t="s">
        <v>741</v>
      </c>
      <c r="C105" s="16" t="str">
        <f>Services!B8</f>
        <v>150mm (6") Tubewell Drilling</v>
      </c>
      <c r="D105" s="16" t="str">
        <f t="shared" si="0"/>
        <v>150mm (6") Tubewell Drilling (Code: GWDDR102)</v>
      </c>
      <c r="E105" s="52" t="str">
        <f>Services!C8</f>
        <v>meter</v>
      </c>
      <c r="F105" s="17" t="s">
        <v>51</v>
      </c>
      <c r="G105" s="17" t="s">
        <v>191</v>
      </c>
      <c r="H105" s="17" t="s">
        <v>744</v>
      </c>
      <c r="I105" s="52">
        <f>Services!D8</f>
        <v>2315</v>
      </c>
      <c r="J105" s="17">
        <v>0</v>
      </c>
      <c r="K105" s="19">
        <f t="shared" si="1"/>
        <v>0</v>
      </c>
      <c r="L105" s="19">
        <f t="shared" si="2"/>
        <v>2315</v>
      </c>
    </row>
    <row r="106" spans="1:12">
      <c r="A106" s="13">
        <v>103</v>
      </c>
      <c r="B106" s="14" t="s">
        <v>748</v>
      </c>
      <c r="C106" s="16" t="str">
        <f>Services!B9</f>
        <v>Tubewell Drilling 200mm (8")</v>
      </c>
      <c r="D106" s="16" t="str">
        <f t="shared" si="0"/>
        <v>Tubewell Drilling 200mm (8") (Code: GWDDR103)</v>
      </c>
      <c r="E106" s="52" t="str">
        <f>Services!C9</f>
        <v>meter</v>
      </c>
      <c r="F106" s="17" t="s">
        <v>51</v>
      </c>
      <c r="G106" s="17" t="s">
        <v>191</v>
      </c>
      <c r="H106" s="17" t="s">
        <v>744</v>
      </c>
      <c r="I106" s="52">
        <f>Services!D9</f>
        <v>2980</v>
      </c>
      <c r="J106" s="17">
        <v>0</v>
      </c>
      <c r="K106" s="19">
        <f t="shared" si="1"/>
        <v>0</v>
      </c>
      <c r="L106" s="19">
        <f t="shared" si="2"/>
        <v>2980</v>
      </c>
    </row>
    <row r="107" spans="1:12">
      <c r="A107" s="13">
        <v>104</v>
      </c>
      <c r="B107" s="14" t="s">
        <v>750</v>
      </c>
      <c r="C107" s="16" t="str">
        <f>Services!B10</f>
        <v>110mm (4.5") Filterpoint Well Drilling</v>
      </c>
      <c r="D107" s="16" t="str">
        <f t="shared" si="0"/>
        <v>110mm (4.5") Filterpoint Well Drilling (Code: GWDDR104)</v>
      </c>
      <c r="E107" s="52" t="str">
        <f>Services!C10</f>
        <v>meter</v>
      </c>
      <c r="F107" s="17" t="s">
        <v>51</v>
      </c>
      <c r="G107" s="17" t="s">
        <v>751</v>
      </c>
      <c r="H107" s="17" t="s">
        <v>752</v>
      </c>
      <c r="I107" s="52">
        <f>Services!D10</f>
        <v>255</v>
      </c>
      <c r="J107" s="17">
        <v>0</v>
      </c>
      <c r="K107" s="19">
        <f t="shared" si="1"/>
        <v>0</v>
      </c>
      <c r="L107" s="19">
        <f t="shared" si="2"/>
        <v>255</v>
      </c>
    </row>
    <row r="108" spans="1:12">
      <c r="A108" s="13">
        <v>105</v>
      </c>
      <c r="B108" s="14" t="s">
        <v>755</v>
      </c>
      <c r="C108" s="16" t="str">
        <f>Services!B11</f>
        <v>Flushing (Developing) Borewell</v>
      </c>
      <c r="D108" s="16" t="str">
        <f t="shared" si="0"/>
        <v>Flushing (Developing) Borewell (Code: GWDDR105)</v>
      </c>
      <c r="E108" s="52" t="str">
        <f>Services!C11</f>
        <v>each</v>
      </c>
      <c r="F108" s="17" t="s">
        <v>51</v>
      </c>
      <c r="G108" s="17" t="s">
        <v>758</v>
      </c>
      <c r="H108" s="17" t="s">
        <v>758</v>
      </c>
      <c r="I108" s="52">
        <f>Services!D11</f>
        <v>5790</v>
      </c>
      <c r="J108" s="17">
        <v>0</v>
      </c>
      <c r="K108" s="19">
        <f t="shared" si="1"/>
        <v>0</v>
      </c>
      <c r="L108" s="19">
        <f t="shared" si="2"/>
        <v>5790</v>
      </c>
    </row>
    <row r="109" spans="1:12">
      <c r="A109" s="13">
        <v>106</v>
      </c>
      <c r="B109" s="14" t="s">
        <v>761</v>
      </c>
      <c r="C109" s="16" t="str">
        <f>Services!B12</f>
        <v>Flushing (Developing) Tubewell</v>
      </c>
      <c r="D109" s="16" t="str">
        <f t="shared" si="0"/>
        <v>Flushing (Developing) Tubewell (Code: GWDDR106)</v>
      </c>
      <c r="E109" s="52" t="str">
        <f>Services!C12</f>
        <v>each</v>
      </c>
      <c r="F109" s="17" t="s">
        <v>51</v>
      </c>
      <c r="G109" s="17" t="s">
        <v>758</v>
      </c>
      <c r="H109" s="17" t="s">
        <v>758</v>
      </c>
      <c r="I109" s="52">
        <f>Services!D12</f>
        <v>15435</v>
      </c>
      <c r="J109" s="17">
        <v>0</v>
      </c>
      <c r="K109" s="19">
        <f t="shared" si="1"/>
        <v>0</v>
      </c>
      <c r="L109" s="19">
        <f t="shared" si="2"/>
        <v>15435</v>
      </c>
    </row>
    <row r="110" spans="1:12">
      <c r="A110" s="13">
        <v>107</v>
      </c>
      <c r="B110" s="14" t="s">
        <v>767</v>
      </c>
      <c r="C110" s="16" t="str">
        <f>Services!B13</f>
        <v>Flushing (Developing) Filterpoint well</v>
      </c>
      <c r="D110" s="16" t="str">
        <f t="shared" si="0"/>
        <v>Flushing (Developing) Filterpoint well (Code: GWDDR107)</v>
      </c>
      <c r="E110" s="52" t="str">
        <f>Services!C13</f>
        <v>each</v>
      </c>
      <c r="F110" s="17" t="s">
        <v>51</v>
      </c>
      <c r="G110" s="17" t="s">
        <v>758</v>
      </c>
      <c r="H110" s="17" t="s">
        <v>758</v>
      </c>
      <c r="I110" s="52">
        <f>Services!D13</f>
        <v>2870</v>
      </c>
      <c r="J110" s="17">
        <v>0</v>
      </c>
      <c r="K110" s="19">
        <f t="shared" si="1"/>
        <v>0</v>
      </c>
      <c r="L110" s="19">
        <f t="shared" si="2"/>
        <v>2870</v>
      </c>
    </row>
    <row r="111" spans="1:12">
      <c r="A111" s="13">
        <v>108</v>
      </c>
      <c r="B111" s="14" t="s">
        <v>768</v>
      </c>
      <c r="C111" s="16" t="str">
        <f>Services!B14</f>
        <v>Water Quality Testing (Domestic)</v>
      </c>
      <c r="D111" s="16" t="str">
        <f t="shared" si="0"/>
        <v>Water Quality Testing (Domestic) (Code: GWDDR108)</v>
      </c>
      <c r="E111" s="52" t="str">
        <f>Services!C14</f>
        <v>each sample</v>
      </c>
      <c r="F111" s="17" t="s">
        <v>51</v>
      </c>
      <c r="G111" s="17" t="s">
        <v>769</v>
      </c>
      <c r="H111" s="17" t="s">
        <v>769</v>
      </c>
      <c r="I111" s="52">
        <f>Services!D14</f>
        <v>445</v>
      </c>
      <c r="J111" s="17">
        <v>0</v>
      </c>
      <c r="K111" s="19">
        <f t="shared" si="1"/>
        <v>0</v>
      </c>
      <c r="L111" s="19">
        <f t="shared" si="2"/>
        <v>445</v>
      </c>
    </row>
    <row r="112" spans="1:12">
      <c r="A112" s="13">
        <v>109</v>
      </c>
      <c r="B112" s="14" t="s">
        <v>770</v>
      </c>
      <c r="C112" s="16" t="str">
        <f>Services!B15</f>
        <v>Water Quality Testing (Industrial)</v>
      </c>
      <c r="D112" s="16" t="str">
        <f t="shared" si="0"/>
        <v>Water Quality Testing (Industrial) (Code: GWDDR109)</v>
      </c>
      <c r="E112" s="52" t="str">
        <f>Services!C15</f>
        <v>each sample</v>
      </c>
      <c r="F112" s="17" t="s">
        <v>51</v>
      </c>
      <c r="G112" s="17" t="s">
        <v>769</v>
      </c>
      <c r="H112" s="17" t="s">
        <v>769</v>
      </c>
      <c r="I112" s="52">
        <f>Services!D15</f>
        <v>1105</v>
      </c>
      <c r="J112" s="17">
        <v>0</v>
      </c>
      <c r="K112" s="19">
        <f t="shared" si="1"/>
        <v>0</v>
      </c>
      <c r="L112" s="19">
        <f t="shared" si="2"/>
        <v>1105</v>
      </c>
    </row>
    <row r="113" spans="1:12">
      <c r="A113" s="13">
        <v>110</v>
      </c>
      <c r="B113" s="14" t="s">
        <v>782</v>
      </c>
      <c r="C113" s="16" t="str">
        <f>'Pump Pullout'!B2</f>
        <v>Borewell submersible pump pullout charges upto 3 HP</v>
      </c>
      <c r="D113" s="16" t="str">
        <f t="shared" si="0"/>
        <v>Borewell submersible pump pullout charges upto 3 HP (Code: GWDDR110)</v>
      </c>
      <c r="E113" s="52" t="s">
        <v>46</v>
      </c>
      <c r="F113" s="17" t="s">
        <v>51</v>
      </c>
      <c r="G113" s="17" t="s">
        <v>52</v>
      </c>
      <c r="H113" s="17" t="s">
        <v>791</v>
      </c>
      <c r="I113" s="58">
        <f>'Pump Pullout'!F9</f>
        <v>0</v>
      </c>
      <c r="J113" s="17">
        <f>'Pump Pullout'!F17</f>
        <v>3402</v>
      </c>
      <c r="K113" s="19">
        <f t="shared" si="1"/>
        <v>0</v>
      </c>
      <c r="L113" s="19">
        <f t="shared" si="2"/>
        <v>3402</v>
      </c>
    </row>
    <row r="114" spans="1:12">
      <c r="A114" s="13">
        <v>111</v>
      </c>
      <c r="B114" s="14" t="s">
        <v>799</v>
      </c>
      <c r="C114" s="16" t="str">
        <f>'Pump Pullout'!B19</f>
        <v>Borewell submersible pump pullout charges above 3 H.P. To 7.5 H.P.</v>
      </c>
      <c r="D114" s="16" t="str">
        <f t="shared" si="0"/>
        <v>Borewell submersible pump pullout charges above 3 H.P. To 7.5 H.P. (Code: GWDDR111)</v>
      </c>
      <c r="E114" s="52" t="s">
        <v>46</v>
      </c>
      <c r="F114" s="17" t="s">
        <v>51</v>
      </c>
      <c r="G114" s="17" t="s">
        <v>52</v>
      </c>
      <c r="H114" s="17" t="s">
        <v>791</v>
      </c>
      <c r="I114" s="58">
        <f>'Pump Pullout'!F26</f>
        <v>0</v>
      </c>
      <c r="J114" s="17">
        <f>'Pump Pullout'!F34</f>
        <v>4273</v>
      </c>
      <c r="K114" s="19">
        <f t="shared" si="1"/>
        <v>0</v>
      </c>
      <c r="L114" s="19">
        <f t="shared" si="2"/>
        <v>4273</v>
      </c>
    </row>
    <row r="115" spans="1:12">
      <c r="A115" s="13">
        <v>112</v>
      </c>
      <c r="B115" s="14" t="s">
        <v>804</v>
      </c>
      <c r="C115" s="16" t="str">
        <f>'Pump Pullout'!B36</f>
        <v>Borewell submersible pump pullout charges above 7.5 H.P.</v>
      </c>
      <c r="D115" s="16" t="str">
        <f t="shared" si="0"/>
        <v>Borewell submersible pump pullout charges above 7.5 H.P. (Code: GWDDR112)</v>
      </c>
      <c r="E115" s="52" t="s">
        <v>46</v>
      </c>
      <c r="F115" s="17" t="s">
        <v>51</v>
      </c>
      <c r="G115" s="17" t="s">
        <v>52</v>
      </c>
      <c r="H115" s="17" t="s">
        <v>791</v>
      </c>
      <c r="I115" s="58">
        <f>'Pump Pullout'!F43</f>
        <v>0</v>
      </c>
      <c r="J115" s="17">
        <f>'Pump Pullout'!F51</f>
        <v>5144</v>
      </c>
      <c r="K115" s="19">
        <f t="shared" si="1"/>
        <v>0</v>
      </c>
      <c r="L115" s="19">
        <f t="shared" si="2"/>
        <v>5144</v>
      </c>
    </row>
    <row r="116" spans="1:12">
      <c r="A116" s="13">
        <v>114</v>
      </c>
      <c r="B116" s="14" t="s">
        <v>807</v>
      </c>
      <c r="C116" s="16" t="str">
        <f>'Pump Pullout'!B53</f>
        <v>Compressor pump detaching charge</v>
      </c>
      <c r="D116" s="16" t="str">
        <f t="shared" si="0"/>
        <v>Compressor pump detaching charge (Code: GWDDR114)</v>
      </c>
      <c r="E116" s="52" t="s">
        <v>46</v>
      </c>
      <c r="F116" s="17" t="s">
        <v>51</v>
      </c>
      <c r="G116" s="17" t="s">
        <v>52</v>
      </c>
      <c r="H116" s="17" t="s">
        <v>791</v>
      </c>
      <c r="I116" s="52">
        <v>0</v>
      </c>
      <c r="J116" s="17">
        <f>'Pump Pullout'!F62</f>
        <v>1875</v>
      </c>
      <c r="K116" s="19">
        <f t="shared" si="1"/>
        <v>0</v>
      </c>
      <c r="L116" s="19">
        <f t="shared" si="2"/>
        <v>1875</v>
      </c>
    </row>
    <row r="117" spans="1:12">
      <c r="A117" s="13">
        <v>115</v>
      </c>
      <c r="B117" s="14" t="s">
        <v>814</v>
      </c>
      <c r="C117" s="16"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16" t="str">
        <f t="shared" si="0"/>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13" t="s">
        <v>21</v>
      </c>
      <c r="F117" s="17" t="s">
        <v>51</v>
      </c>
      <c r="G117" s="17" t="s">
        <v>52</v>
      </c>
      <c r="H117" s="17" t="s">
        <v>815</v>
      </c>
      <c r="I117" s="58">
        <f>'Three Core Cable PRICE'!H29</f>
        <v>57.642557220000008</v>
      </c>
      <c r="J117" s="58">
        <f>'Three Core Cable PRICE'!I29</f>
        <v>9.4543800000000005</v>
      </c>
      <c r="K117" s="19">
        <f t="shared" si="1"/>
        <v>0</v>
      </c>
      <c r="L117" s="19">
        <f t="shared" si="2"/>
        <v>67.096937220000001</v>
      </c>
    </row>
    <row r="118" spans="1:12">
      <c r="A118" s="13">
        <v>116</v>
      </c>
      <c r="B118" s="14" t="s">
        <v>816</v>
      </c>
      <c r="C118" s="16"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16" t="str">
        <f t="shared" si="0"/>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13" t="s">
        <v>21</v>
      </c>
      <c r="F118" s="17" t="s">
        <v>51</v>
      </c>
      <c r="G118" s="17" t="s">
        <v>52</v>
      </c>
      <c r="H118" s="17" t="s">
        <v>815</v>
      </c>
      <c r="I118" s="58">
        <f>'Three Core Cable PRICE'!H58</f>
        <v>86.104510740000009</v>
      </c>
      <c r="J118" s="58">
        <f>'Three Core Cable PRICE'!I58</f>
        <v>9.4543800000000005</v>
      </c>
      <c r="K118" s="19">
        <f t="shared" si="1"/>
        <v>0</v>
      </c>
      <c r="L118" s="19">
        <f t="shared" si="2"/>
        <v>95.55889074000001</v>
      </c>
    </row>
    <row r="119" spans="1:12">
      <c r="A119" s="13">
        <v>117</v>
      </c>
      <c r="B119" s="14" t="s">
        <v>821</v>
      </c>
      <c r="C119" s="16"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16" t="str">
        <f t="shared" si="0"/>
        <v>Supply and drawing FRLS PVC insulated &amp; sheathed 650/1100 V grade 3 core copper conductor flat cable for submersible pump motor conforming to IS 694 part I 1990 as required including giving necessary connections of the following sizes. 4 sq mm (90.6.6.3) (Code: GWDDR117)</v>
      </c>
      <c r="E119" s="13" t="s">
        <v>21</v>
      </c>
      <c r="F119" s="17" t="s">
        <v>51</v>
      </c>
      <c r="G119" s="17" t="s">
        <v>52</v>
      </c>
      <c r="H119" s="17" t="s">
        <v>815</v>
      </c>
      <c r="I119" s="58">
        <f>'Three Core Cable PRICE'!H87</f>
        <v>123.00055712999998</v>
      </c>
      <c r="J119" s="58">
        <f>'Three Core Cable PRICE'!I87</f>
        <v>9.4543800000000005</v>
      </c>
      <c r="K119" s="19">
        <f t="shared" si="1"/>
        <v>0</v>
      </c>
      <c r="L119" s="19">
        <f t="shared" si="2"/>
        <v>132.45493712999996</v>
      </c>
    </row>
    <row r="120" spans="1:12">
      <c r="A120" s="13">
        <v>118</v>
      </c>
      <c r="B120" s="14" t="s">
        <v>824</v>
      </c>
      <c r="C120" s="16"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16" t="str">
        <f t="shared" si="0"/>
        <v>Supply and drawing FRLS PVC insulated &amp; sheathed 650/1100 V grade 3 core copper conductor flat cable for submersible pump motor conforming to IS 694 part I 1990 as required including giving necessary connections of the following sizes. 6 sq mm (90.6.6.4) (Code: GWDDR118)</v>
      </c>
      <c r="E120" s="13" t="s">
        <v>21</v>
      </c>
      <c r="F120" s="17" t="s">
        <v>51</v>
      </c>
      <c r="G120" s="17" t="s">
        <v>52</v>
      </c>
      <c r="H120" s="17" t="s">
        <v>815</v>
      </c>
      <c r="I120" s="58">
        <f>'Three Core Cable PRICE'!H116</f>
        <v>177.82216078500002</v>
      </c>
      <c r="J120" s="58">
        <f>'Three Core Cable PRICE'!I116</f>
        <v>9.4543800000000005</v>
      </c>
      <c r="K120" s="19">
        <f t="shared" si="1"/>
        <v>0</v>
      </c>
      <c r="L120" s="19">
        <f t="shared" si="2"/>
        <v>187.27654078500001</v>
      </c>
    </row>
    <row r="121" spans="1:12">
      <c r="A121" s="13">
        <v>119</v>
      </c>
      <c r="B121" s="14" t="s">
        <v>828</v>
      </c>
      <c r="C121" s="16"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16" t="str">
        <f t="shared" si="0"/>
        <v>Supply and drawing FRLS PVC insulated &amp; sheathed 650/1100 V grade 3 core copper conductor flat cable for submersible pump motor conforming to IS 694 part I 1990 as required including giving necessary connections of the following sizes. 10 sq mm (90.6.6.5) (Code: GWDDR119)</v>
      </c>
      <c r="E121" s="13" t="s">
        <v>21</v>
      </c>
      <c r="F121" s="17" t="s">
        <v>51</v>
      </c>
      <c r="G121" s="17" t="s">
        <v>52</v>
      </c>
      <c r="H121" s="17" t="s">
        <v>815</v>
      </c>
      <c r="I121" s="58">
        <f>'Three Core Cable PRICE'!H145</f>
        <v>290.62504300500001</v>
      </c>
      <c r="J121" s="58">
        <f>'Three Core Cable PRICE'!I145</f>
        <v>9.4543800000000005</v>
      </c>
      <c r="K121" s="19">
        <f t="shared" si="1"/>
        <v>0</v>
      </c>
      <c r="L121" s="19">
        <f t="shared" si="2"/>
        <v>300.07942300500002</v>
      </c>
    </row>
    <row r="122" spans="1:12">
      <c r="A122" s="13">
        <v>120</v>
      </c>
      <c r="B122" s="14" t="s">
        <v>834</v>
      </c>
      <c r="C122" s="16"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16" t="str">
        <f t="shared" si="0"/>
        <v>Supply and drawing FRLS PVC insulated &amp; sheathed 650/1100 V grade 3 core copper conductor flat cable for submersible pump motor conforming to IS 694 part I 1990 as required including giving necessary connections of the following sizes. 16 sq mm (90.6.6.6) (Code: GWDDR120)</v>
      </c>
      <c r="E122" s="13" t="s">
        <v>21</v>
      </c>
      <c r="F122" s="17" t="s">
        <v>51</v>
      </c>
      <c r="G122" s="17" t="s">
        <v>52</v>
      </c>
      <c r="H122" s="17" t="s">
        <v>815</v>
      </c>
      <c r="I122" s="58">
        <f>'Three Core Cable PRICE'!H174</f>
        <v>465.9731356499999</v>
      </c>
      <c r="J122" s="58">
        <f>'Three Core Cable PRICE'!I174</f>
        <v>14.181569999999999</v>
      </c>
      <c r="K122" s="19">
        <f t="shared" si="1"/>
        <v>0</v>
      </c>
      <c r="L122" s="19">
        <f t="shared" si="2"/>
        <v>480.15470564999993</v>
      </c>
    </row>
    <row r="123" spans="1:12">
      <c r="A123" s="13">
        <v>121</v>
      </c>
      <c r="B123" s="14" t="s">
        <v>840</v>
      </c>
      <c r="C123" s="16"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16" t="str">
        <f t="shared" si="0"/>
        <v>Supply and drawing FRLS PVC insulated &amp; sheathed 650/1100 V grade 3 core copper conductor flat cable for submersible pump motor conforming to IS 694 part I 1990 as required including giving necessary connections of the following sizes. 25 sq mm (90.6.6.7) (Code: GWDDR121)</v>
      </c>
      <c r="E123" s="13" t="s">
        <v>21</v>
      </c>
      <c r="F123" s="17" t="s">
        <v>51</v>
      </c>
      <c r="G123" s="17" t="s">
        <v>52</v>
      </c>
      <c r="H123" s="17" t="s">
        <v>815</v>
      </c>
      <c r="I123" s="58">
        <f>'Three Core Cable PRICE'!H203</f>
        <v>792.77557486499961</v>
      </c>
      <c r="J123" s="58">
        <f>'Three Core Cable PRICE'!I203</f>
        <v>14.181569999999999</v>
      </c>
      <c r="K123" s="19">
        <f t="shared" si="1"/>
        <v>0</v>
      </c>
      <c r="L123" s="19">
        <f t="shared" si="2"/>
        <v>806.95714486499958</v>
      </c>
    </row>
    <row r="124" spans="1:12">
      <c r="A124" s="13">
        <v>122</v>
      </c>
      <c r="B124" s="14" t="s">
        <v>843</v>
      </c>
      <c r="C124" s="16"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16" t="str">
        <f t="shared" si="0"/>
        <v>Supply and drawing FRLS PVC insulated &amp; sheathed 650/1100 V grade 3 core copper conductor flat cable for submersible pump motor conforming to IS 694 part I 1990 as required including giving necessary connections of the following sizes. 35 sq mm (90.6.6.8) (Code: GWDDR122)</v>
      </c>
      <c r="E124" s="13" t="s">
        <v>21</v>
      </c>
      <c r="F124" s="17" t="s">
        <v>51</v>
      </c>
      <c r="G124" s="17" t="s">
        <v>52</v>
      </c>
      <c r="H124" s="17" t="s">
        <v>815</v>
      </c>
      <c r="I124" s="58">
        <f>'Three Core Cable PRICE'!H232</f>
        <v>1143.1373143950002</v>
      </c>
      <c r="J124" s="58">
        <f>'Three Core Cable PRICE'!I232</f>
        <v>18.908760000000001</v>
      </c>
      <c r="K124" s="19">
        <f t="shared" si="1"/>
        <v>0</v>
      </c>
      <c r="L124" s="19">
        <f t="shared" si="2"/>
        <v>1162.0460743950002</v>
      </c>
    </row>
    <row r="125" spans="1:12">
      <c r="A125" s="13">
        <v>123</v>
      </c>
      <c r="B125" s="14" t="s">
        <v>848</v>
      </c>
      <c r="C125" s="16"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13" t="s">
        <v>21</v>
      </c>
      <c r="F125" s="17" t="s">
        <v>51</v>
      </c>
      <c r="G125" s="17" t="s">
        <v>52</v>
      </c>
      <c r="H125" s="17" t="s">
        <v>850</v>
      </c>
      <c r="I125" s="58">
        <f>'UG Cable PRICE'!I31</f>
        <v>255.89903177999997</v>
      </c>
      <c r="J125" s="58">
        <f>'UG Cable PRICE'!J31</f>
        <v>169.3771313</v>
      </c>
      <c r="K125" s="19">
        <f t="shared" si="1"/>
        <v>0</v>
      </c>
      <c r="L125" s="19">
        <f t="shared" si="2"/>
        <v>425.27616307999995</v>
      </c>
    </row>
    <row r="126" spans="1:12">
      <c r="A126" s="13">
        <v>124</v>
      </c>
      <c r="B126" s="14" t="s">
        <v>853</v>
      </c>
      <c r="C126" s="16"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13" t="s">
        <v>21</v>
      </c>
      <c r="F126" s="17" t="s">
        <v>51</v>
      </c>
      <c r="G126" s="17" t="s">
        <v>52</v>
      </c>
      <c r="H126" s="17" t="s">
        <v>850</v>
      </c>
      <c r="I126" s="58">
        <f>'UG Cable PRICE'!I62</f>
        <v>306.00746588999999</v>
      </c>
      <c r="J126" s="58">
        <f>'UG Cable PRICE'!J62</f>
        <v>169.3771313</v>
      </c>
      <c r="K126" s="19">
        <f t="shared" si="1"/>
        <v>0</v>
      </c>
      <c r="L126" s="19">
        <f t="shared" si="2"/>
        <v>475.38459719000002</v>
      </c>
    </row>
    <row r="127" spans="1:12">
      <c r="A127" s="13">
        <v>125</v>
      </c>
      <c r="B127" s="14" t="s">
        <v>855</v>
      </c>
      <c r="C127" s="16"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13" t="s">
        <v>21</v>
      </c>
      <c r="F127" s="17" t="s">
        <v>51</v>
      </c>
      <c r="G127" s="17" t="s">
        <v>52</v>
      </c>
      <c r="H127" s="17" t="s">
        <v>850</v>
      </c>
      <c r="I127" s="58">
        <f>'UG Cable PRICE'!I93</f>
        <v>407.27133924750001</v>
      </c>
      <c r="J127" s="58">
        <f>'UG Cable PRICE'!J93</f>
        <v>169.3771313</v>
      </c>
      <c r="K127" s="19">
        <f t="shared" si="1"/>
        <v>0</v>
      </c>
      <c r="L127" s="19">
        <f t="shared" si="2"/>
        <v>576.64847054749998</v>
      </c>
    </row>
    <row r="128" spans="1:12">
      <c r="A128" s="13">
        <v>126</v>
      </c>
      <c r="B128" s="14" t="s">
        <v>856</v>
      </c>
      <c r="C128" s="16"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13" t="s">
        <v>21</v>
      </c>
      <c r="F128" s="17" t="s">
        <v>51</v>
      </c>
      <c r="G128" s="17" t="s">
        <v>52</v>
      </c>
      <c r="H128" s="17" t="s">
        <v>850</v>
      </c>
      <c r="I128" s="58">
        <f>'UG Cable PRICE'!I124</f>
        <v>532.53010681499995</v>
      </c>
      <c r="J128" s="58">
        <f>'UG Cable PRICE'!J124</f>
        <v>169.3771313</v>
      </c>
      <c r="K128" s="19">
        <f t="shared" si="1"/>
        <v>0</v>
      </c>
      <c r="L128" s="19">
        <f t="shared" si="2"/>
        <v>701.90723811499993</v>
      </c>
    </row>
    <row r="129" spans="1:12">
      <c r="A129" s="13">
        <v>127</v>
      </c>
      <c r="B129" s="14" t="s">
        <v>859</v>
      </c>
      <c r="C129" s="16"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13" t="s">
        <v>21</v>
      </c>
      <c r="F129" s="17" t="s">
        <v>51</v>
      </c>
      <c r="G129" s="17" t="s">
        <v>52</v>
      </c>
      <c r="H129" s="17" t="s">
        <v>850</v>
      </c>
      <c r="I129" s="58">
        <f>'UG Cable PRICE'!I155</f>
        <v>298.7030653425</v>
      </c>
      <c r="J129" s="58">
        <f>'UG Cable PRICE'!J155</f>
        <v>169.3771313</v>
      </c>
      <c r="K129" s="19">
        <f t="shared" si="1"/>
        <v>0</v>
      </c>
      <c r="L129" s="19">
        <f t="shared" si="2"/>
        <v>468.08019664250003</v>
      </c>
    </row>
    <row r="130" spans="1:12">
      <c r="A130" s="13">
        <v>128</v>
      </c>
      <c r="B130" s="14" t="s">
        <v>861</v>
      </c>
      <c r="C130" s="16"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13" t="s">
        <v>21</v>
      </c>
      <c r="F130" s="17" t="s">
        <v>51</v>
      </c>
      <c r="G130" s="17" t="s">
        <v>52</v>
      </c>
      <c r="H130" s="17" t="s">
        <v>850</v>
      </c>
      <c r="I130" s="58">
        <f>'UG Cable PRICE'!I186</f>
        <v>370.724701095</v>
      </c>
      <c r="J130" s="58">
        <f>'UG Cable PRICE'!J186</f>
        <v>169.3771313</v>
      </c>
      <c r="K130" s="19">
        <f t="shared" si="1"/>
        <v>0</v>
      </c>
      <c r="L130" s="19">
        <f t="shared" si="2"/>
        <v>540.10183239499997</v>
      </c>
    </row>
    <row r="131" spans="1:12">
      <c r="A131" s="13">
        <v>129</v>
      </c>
      <c r="B131" s="14" t="s">
        <v>862</v>
      </c>
      <c r="C131" s="16"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13" t="s">
        <v>21</v>
      </c>
      <c r="F131" s="17" t="s">
        <v>51</v>
      </c>
      <c r="G131" s="17" t="s">
        <v>52</v>
      </c>
      <c r="H131" s="17" t="s">
        <v>850</v>
      </c>
      <c r="I131" s="58">
        <f>'UG Cable PRICE'!I217</f>
        <v>515.827295445</v>
      </c>
      <c r="J131" s="58">
        <f>'UG Cable PRICE'!J217</f>
        <v>169.3771313</v>
      </c>
      <c r="K131" s="19">
        <f t="shared" si="1"/>
        <v>0</v>
      </c>
      <c r="L131" s="19">
        <f t="shared" si="2"/>
        <v>685.20442674499998</v>
      </c>
    </row>
    <row r="132" spans="1:12">
      <c r="A132" s="13">
        <v>130</v>
      </c>
      <c r="B132" s="14" t="s">
        <v>866</v>
      </c>
      <c r="C132" s="16"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13" t="s">
        <v>21</v>
      </c>
      <c r="F132" s="17" t="s">
        <v>51</v>
      </c>
      <c r="G132" s="17" t="s">
        <v>52</v>
      </c>
      <c r="H132" s="17" t="s">
        <v>850</v>
      </c>
      <c r="I132" s="58">
        <f>'UG Cable PRICE'!I248</f>
        <v>684.93710171249984</v>
      </c>
      <c r="J132" s="58">
        <f>'UG Cable PRICE'!J248</f>
        <v>169.3771313</v>
      </c>
      <c r="K132" s="19">
        <f t="shared" si="1"/>
        <v>0</v>
      </c>
      <c r="L132" s="19">
        <f t="shared" si="2"/>
        <v>854.31423301249981</v>
      </c>
    </row>
    <row r="133" spans="1:12">
      <c r="A133" s="13">
        <v>131</v>
      </c>
      <c r="B133" s="14" t="s">
        <v>870</v>
      </c>
      <c r="C133" s="16" t="str">
        <f>'Motor Starter PRICE'!A3</f>
        <v>S &amp; F Motor starters of the following ratings Submersible pump controllers with ammeter,DPMCB for single phase 0.5HP submersible motor pumps (DOL) (90.14.28.10)</v>
      </c>
      <c r="D133" s="16" t="str">
        <f t="shared" si="0"/>
        <v>S &amp; F Motor starters of the following ratings Submersible pump controllers with ammeter,DPMCB for single phase 0.5HP submersible motor pumps (DOL) (90.14.28.10) (Code: GWDDR131)</v>
      </c>
      <c r="E133" s="13" t="s">
        <v>46</v>
      </c>
      <c r="F133" s="17" t="s">
        <v>51</v>
      </c>
      <c r="G133" s="17" t="s">
        <v>52</v>
      </c>
      <c r="H133" s="17" t="s">
        <v>766</v>
      </c>
      <c r="I133" s="58">
        <f>'Motor Starter PRICE'!H31</f>
        <v>1788.4355191499999</v>
      </c>
      <c r="J133" s="58">
        <f>'Motor Starter PRICE'!I31</f>
        <v>16.887818999999997</v>
      </c>
      <c r="K133" s="19">
        <f t="shared" si="1"/>
        <v>0</v>
      </c>
      <c r="L133" s="19">
        <f t="shared" si="2"/>
        <v>1805.3233381499999</v>
      </c>
    </row>
    <row r="134" spans="1:12">
      <c r="A134" s="13">
        <v>132</v>
      </c>
      <c r="B134" s="14" t="s">
        <v>879</v>
      </c>
      <c r="C134" s="16" t="str">
        <f>'Motor Starter PRICE'!A34</f>
        <v>S &amp; F Motor starters of the following ratings Submersible pump controllers with ammeter,DPMCB for single phase 1 HP submersible motor pumps (DOL) (90.14.28.11)</v>
      </c>
      <c r="D134" s="16" t="str">
        <f t="shared" si="0"/>
        <v>S &amp; F Motor starters of the following ratings Submersible pump controllers with ammeter,DPMCB for single phase 1 HP submersible motor pumps (DOL) (90.14.28.11) (Code: GWDDR132)</v>
      </c>
      <c r="E134" s="13" t="s">
        <v>46</v>
      </c>
      <c r="F134" s="17" t="s">
        <v>51</v>
      </c>
      <c r="G134" s="17" t="s">
        <v>52</v>
      </c>
      <c r="H134" s="17" t="s">
        <v>766</v>
      </c>
      <c r="I134" s="58">
        <f>'Motor Starter PRICE'!H62</f>
        <v>1837.9060109999998</v>
      </c>
      <c r="J134" s="58">
        <f>'Motor Starter PRICE'!I62</f>
        <v>16.887818999999997</v>
      </c>
      <c r="K134" s="19">
        <f t="shared" si="1"/>
        <v>0</v>
      </c>
      <c r="L134" s="19">
        <f t="shared" si="2"/>
        <v>1854.7938299999998</v>
      </c>
    </row>
    <row r="135" spans="1:12">
      <c r="A135" s="13">
        <v>133</v>
      </c>
      <c r="B135" s="14" t="s">
        <v>888</v>
      </c>
      <c r="C135" s="16" t="str">
        <f>'Motor Starter PRICE'!A65</f>
        <v>S &amp; F Motor starters of the following ratings Submersible pump controllers with ammeter,DPMCB for single phase 1.5 HP submersible motor pumps (DOL) (90.14.28.12)</v>
      </c>
      <c r="D135" s="16" t="str">
        <f t="shared" si="0"/>
        <v>S &amp; F Motor starters of the following ratings Submersible pump controllers with ammeter,DPMCB for single phase 1.5 HP submersible motor pumps (DOL) (90.14.28.12) (Code: GWDDR133)</v>
      </c>
      <c r="E135" s="13" t="s">
        <v>46</v>
      </c>
      <c r="F135" s="17" t="s">
        <v>51</v>
      </c>
      <c r="G135" s="17" t="s">
        <v>52</v>
      </c>
      <c r="H135" s="17" t="s">
        <v>766</v>
      </c>
      <c r="I135" s="58">
        <f>'Motor Starter PRICE'!H93</f>
        <v>1887.3648297749999</v>
      </c>
      <c r="J135" s="58">
        <f>'Motor Starter PRICE'!I93</f>
        <v>16.887818999999997</v>
      </c>
      <c r="K135" s="19">
        <f t="shared" si="1"/>
        <v>0</v>
      </c>
      <c r="L135" s="19">
        <f t="shared" si="2"/>
        <v>1904.2526487749999</v>
      </c>
    </row>
    <row r="136" spans="1:12">
      <c r="A136" s="13">
        <v>134</v>
      </c>
      <c r="B136" s="14" t="s">
        <v>894</v>
      </c>
      <c r="C136" s="16" t="str">
        <f>'Motor Starter PRICE'!A96</f>
        <v>S &amp; F Motor starters of the following ratings Submersible pump controllers with ammeter,DPMCB for single phase 2 HP submersible motor pumps (DOL) (90.14.28.13)</v>
      </c>
      <c r="D136" s="16" t="str">
        <f t="shared" si="0"/>
        <v>S &amp; F Motor starters of the following ratings Submersible pump controllers with ammeter,DPMCB for single phase 2 HP submersible motor pumps (DOL) (90.14.28.13) (Code: GWDDR134)</v>
      </c>
      <c r="E136" s="13" t="s">
        <v>46</v>
      </c>
      <c r="F136" s="17" t="s">
        <v>51</v>
      </c>
      <c r="G136" s="17" t="s">
        <v>52</v>
      </c>
      <c r="H136" s="17" t="s">
        <v>766</v>
      </c>
      <c r="I136" s="58">
        <f>'Motor Starter PRICE'!H124</f>
        <v>1936.8236485499997</v>
      </c>
      <c r="J136" s="58">
        <f>'Motor Starter PRICE'!I124</f>
        <v>16.887818999999997</v>
      </c>
      <c r="K136" s="19">
        <f t="shared" si="1"/>
        <v>0</v>
      </c>
      <c r="L136" s="19">
        <f t="shared" si="2"/>
        <v>1953.7114675499997</v>
      </c>
    </row>
    <row r="137" spans="1:12">
      <c r="A137" s="13">
        <v>135</v>
      </c>
      <c r="B137" s="14" t="s">
        <v>895</v>
      </c>
      <c r="C137" s="16" t="str">
        <f>'Motor Starter PRICE'!A127</f>
        <v>S &amp; F Motor starters of the following ratings Submersible pump controllers with ammeter,TPMCB for three phase 5 to 7.5HP submersible motor pumps (DOL) (90.14.28.14)</v>
      </c>
      <c r="D137" s="16" t="str">
        <f t="shared" si="0"/>
        <v>S &amp; F Motor starters of the following ratings Submersible pump controllers with ammeter,TPMCB for three phase 5 to 7.5HP submersible motor pumps (DOL) (90.14.28.14) (Code: GWDDR135)</v>
      </c>
      <c r="E137" s="13" t="s">
        <v>46</v>
      </c>
      <c r="F137" s="17" t="s">
        <v>51</v>
      </c>
      <c r="G137" s="17" t="s">
        <v>52</v>
      </c>
      <c r="H137" s="17" t="s">
        <v>766</v>
      </c>
      <c r="I137" s="58">
        <f>'Motor Starter PRICE'!H155</f>
        <v>4038.9693599249995</v>
      </c>
      <c r="J137" s="58">
        <f>'Motor Starter PRICE'!I155</f>
        <v>16.887818999999997</v>
      </c>
      <c r="K137" s="19">
        <f t="shared" si="1"/>
        <v>0</v>
      </c>
      <c r="L137" s="19">
        <f t="shared" si="2"/>
        <v>4055.8571789249995</v>
      </c>
    </row>
    <row r="138" spans="1:12">
      <c r="A138" s="13">
        <v>136</v>
      </c>
      <c r="B138" s="14" t="s">
        <v>897</v>
      </c>
      <c r="C138" s="16" t="str">
        <f>'Motor Starter PRICE'!A158</f>
        <v>S &amp; F Motor starters of the following ratings Submersible pump controllers with ammeter,TPMCB for three phase 10 to 12.5HP submersible motor pumps (DOL) (90.14.28.15)</v>
      </c>
      <c r="D138" s="16" t="str">
        <f t="shared" si="0"/>
        <v>S &amp; F Motor starters of the following ratings Submersible pump controllers with ammeter,TPMCB for three phase 10 to 12.5HP submersible motor pumps (DOL) (90.14.28.15) (Code: GWDDR136)</v>
      </c>
      <c r="E138" s="13" t="s">
        <v>46</v>
      </c>
      <c r="F138" s="17" t="s">
        <v>51</v>
      </c>
      <c r="G138" s="17" t="s">
        <v>52</v>
      </c>
      <c r="H138" s="17" t="s">
        <v>766</v>
      </c>
      <c r="I138" s="58">
        <f>'Motor Starter PRICE'!H186</f>
        <v>4909.9025709750003</v>
      </c>
      <c r="J138" s="58">
        <f>'Motor Starter PRICE'!I186</f>
        <v>135.65268899999995</v>
      </c>
      <c r="K138" s="19">
        <f t="shared" si="1"/>
        <v>0</v>
      </c>
      <c r="L138" s="19">
        <f t="shared" si="2"/>
        <v>5045.5552599749999</v>
      </c>
    </row>
    <row r="139" spans="1:12">
      <c r="A139" s="13">
        <v>137</v>
      </c>
      <c r="B139" s="14" t="s">
        <v>900</v>
      </c>
      <c r="C139" s="16" t="str">
        <f>'Motor Starter PRICE'!A189</f>
        <v>S &amp; F Motor starters of the following ratings Fully automatic star delta pump starter for three phase 25-30HP Submersible motor (90.14.28.16)</v>
      </c>
      <c r="D139" s="16" t="str">
        <f t="shared" si="0"/>
        <v>S &amp; F Motor starters of the following ratings Fully automatic star delta pump starter for three phase 25-30HP Submersible motor (90.14.28.16) (Code: GWDDR137)</v>
      </c>
      <c r="E139" s="13" t="s">
        <v>46</v>
      </c>
      <c r="F139" s="17" t="s">
        <v>51</v>
      </c>
      <c r="G139" s="17" t="s">
        <v>52</v>
      </c>
      <c r="H139" s="17" t="s">
        <v>766</v>
      </c>
      <c r="I139" s="58">
        <f>'Motor Starter PRICE'!H217</f>
        <v>18792.809363999997</v>
      </c>
      <c r="J139" s="58">
        <f>'Motor Starter PRICE'!I217</f>
        <v>220.48473899999996</v>
      </c>
      <c r="K139" s="19">
        <f t="shared" si="1"/>
        <v>0</v>
      </c>
      <c r="L139" s="19">
        <f t="shared" si="2"/>
        <v>19013.294102999997</v>
      </c>
    </row>
    <row r="140" spans="1:12">
      <c r="A140" s="13">
        <v>138</v>
      </c>
      <c r="B140" s="14" t="s">
        <v>902</v>
      </c>
      <c r="C140" s="16" t="str">
        <f>'Motor Starter PRICE'!A220</f>
        <v>S &amp; F Motor starters of the following ratings Fully automatic star delta pump starter for three phase 15HP Submersible motor (90.14.28.17)</v>
      </c>
      <c r="D140" s="16" t="str">
        <f t="shared" si="0"/>
        <v>S &amp; F Motor starters of the following ratings Fully automatic star delta pump starter for three phase 15HP Submersible motor (90.14.28.17) (Code: GWDDR138)</v>
      </c>
      <c r="E140" s="13" t="s">
        <v>46</v>
      </c>
      <c r="F140" s="17" t="s">
        <v>51</v>
      </c>
      <c r="G140" s="17" t="s">
        <v>52</v>
      </c>
      <c r="H140" s="17" t="s">
        <v>766</v>
      </c>
      <c r="I140" s="58">
        <f>'Motor Starter PRICE'!H248</f>
        <v>8059.5219591749992</v>
      </c>
      <c r="J140" s="58">
        <f>'Motor Starter PRICE'!I248</f>
        <v>220.48473899999996</v>
      </c>
      <c r="K140" s="19">
        <f t="shared" si="1"/>
        <v>0</v>
      </c>
      <c r="L140" s="19">
        <f t="shared" si="2"/>
        <v>8280.0066981749987</v>
      </c>
    </row>
    <row r="141" spans="1:12">
      <c r="A141" s="13">
        <v>139</v>
      </c>
      <c r="B141" s="14" t="s">
        <v>905</v>
      </c>
      <c r="C141" s="16" t="str">
        <f>'Motor Starter PRICE'!A251</f>
        <v>S &amp; F Motor starters of the following ratings Fully automatic star delta pump starter for three phase 20HP Submersible motor (90.14.28.18)</v>
      </c>
      <c r="D141" s="16" t="str">
        <f t="shared" si="0"/>
        <v>S &amp; F Motor starters of the following ratings Fully automatic star delta pump starter for three phase 20HP Submersible motor (90.14.28.18) (Code: GWDDR139)</v>
      </c>
      <c r="E141" s="13" t="s">
        <v>46</v>
      </c>
      <c r="F141" s="17" t="s">
        <v>51</v>
      </c>
      <c r="G141" s="17" t="s">
        <v>52</v>
      </c>
      <c r="H141" s="17" t="s">
        <v>766</v>
      </c>
      <c r="I141" s="58">
        <f>'Motor Starter PRICE'!H279</f>
        <v>9395.0034506999982</v>
      </c>
      <c r="J141" s="58">
        <f>'Motor Starter PRICE'!I279</f>
        <v>220.48473899999996</v>
      </c>
      <c r="K141" s="19">
        <f t="shared" si="1"/>
        <v>0</v>
      </c>
      <c r="L141" s="19">
        <f t="shared" si="2"/>
        <v>9615.4881896999977</v>
      </c>
    </row>
    <row r="142" spans="1:12">
      <c r="A142" s="13">
        <v>140</v>
      </c>
      <c r="B142" s="14" t="s">
        <v>908</v>
      </c>
      <c r="C142" s="16" t="str">
        <f>'Motor Starter GWD'!A3</f>
        <v>S &amp; F Motor starters of the following ratings Submersible pump controllers with ammeter,DPMCB for single phase 2.5HP submersible motor pumps (DOL)</v>
      </c>
      <c r="D142" s="16" t="str">
        <f t="shared" si="0"/>
        <v>S &amp; F Motor starters of the following ratings Submersible pump controllers with ammeter,DPMCB for single phase 2.5HP submersible motor pumps (DOL) (Code: GWDDR140)</v>
      </c>
      <c r="E142" s="13" t="s">
        <v>46</v>
      </c>
      <c r="F142" s="17" t="s">
        <v>51</v>
      </c>
      <c r="G142" s="17" t="s">
        <v>52</v>
      </c>
      <c r="H142" s="17" t="s">
        <v>766</v>
      </c>
      <c r="I142" s="58">
        <f>'Motor Starter GWD'!H31</f>
        <v>2167.3201874999995</v>
      </c>
      <c r="J142" s="58">
        <f>'Motor Starter GWD'!I31</f>
        <v>16.887818999999997</v>
      </c>
      <c r="K142" s="19">
        <f t="shared" si="1"/>
        <v>0</v>
      </c>
      <c r="L142" s="19">
        <f t="shared" si="2"/>
        <v>2184.2080064999996</v>
      </c>
    </row>
    <row r="143" spans="1:12">
      <c r="A143" s="13">
        <v>141</v>
      </c>
      <c r="B143" s="14" t="s">
        <v>912</v>
      </c>
      <c r="C143" s="16" t="str">
        <f>'Motor Starter GWD'!A34</f>
        <v>S &amp; F Motor starters of the following ratings Submersible pump controllers with ammeter,DPMCB for single phase 3HP submersible motor pumps (DOL)</v>
      </c>
      <c r="D143" s="16" t="str">
        <f t="shared" si="0"/>
        <v>S &amp; F Motor starters of the following ratings Submersible pump controllers with ammeter,DPMCB for single phase 3HP submersible motor pumps (DOL) (Code: GWDDR141)</v>
      </c>
      <c r="E143" s="13" t="s">
        <v>46</v>
      </c>
      <c r="F143" s="17" t="s">
        <v>51</v>
      </c>
      <c r="G143" s="17" t="s">
        <v>52</v>
      </c>
      <c r="H143" s="17" t="s">
        <v>766</v>
      </c>
      <c r="I143" s="58">
        <f>'Motor Starter GWD'!H62</f>
        <v>2459.1470624999997</v>
      </c>
      <c r="J143" s="58">
        <f>'Motor Starter GWD'!I62</f>
        <v>16.887818999999997</v>
      </c>
      <c r="K143" s="19">
        <f t="shared" si="1"/>
        <v>0</v>
      </c>
      <c r="L143" s="19">
        <f t="shared" si="2"/>
        <v>2476.0348814999998</v>
      </c>
    </row>
    <row r="144" spans="1:12">
      <c r="A144" s="13">
        <v>142</v>
      </c>
      <c r="B144" s="14" t="s">
        <v>916</v>
      </c>
      <c r="C144" s="16" t="str">
        <f>'Motor Starter GWD'!A65</f>
        <v>S &amp; F Motor starters of the following ratings Submersible pump controllers with ammeter,DPMCB for single phase 3.5HP submersible motor pumps (DOL)</v>
      </c>
      <c r="D144" s="16" t="str">
        <f t="shared" si="0"/>
        <v>S &amp; F Motor starters of the following ratings Submersible pump controllers with ammeter,DPMCB for single phase 3.5HP submersible motor pumps (DOL) (Code: GWDDR142)</v>
      </c>
      <c r="E144" s="13" t="s">
        <v>46</v>
      </c>
      <c r="F144" s="17" t="s">
        <v>51</v>
      </c>
      <c r="G144" s="17" t="s">
        <v>52</v>
      </c>
      <c r="H144" s="17" t="s">
        <v>766</v>
      </c>
      <c r="I144" s="58">
        <f>'Motor Starter GWD'!H93</f>
        <v>2809.3393124999993</v>
      </c>
      <c r="J144" s="58">
        <f>'Motor Starter GWD'!I93</f>
        <v>16.887818999999997</v>
      </c>
      <c r="K144" s="19">
        <f t="shared" si="1"/>
        <v>0</v>
      </c>
      <c r="L144" s="19">
        <f t="shared" si="2"/>
        <v>2826.2271314999994</v>
      </c>
    </row>
    <row r="145" spans="1:12">
      <c r="A145" s="13">
        <v>143</v>
      </c>
      <c r="B145" s="14" t="s">
        <v>921</v>
      </c>
      <c r="C145" s="16" t="str">
        <f>'Motor Starter GWD'!A96</f>
        <v>S &amp; F Motor starters of the following ratings Submersible pump controllers with ammeter,TPMCB for three phase 2 to 4.5 HP submersible motor pumps (DOL)</v>
      </c>
      <c r="D145" s="16" t="str">
        <f t="shared" si="0"/>
        <v>S &amp; F Motor starters of the following ratings Submersible pump controllers with ammeter,TPMCB for three phase 2 to 4.5 HP submersible motor pumps (DOL) (Code: GWDDR143)</v>
      </c>
      <c r="E145" s="13" t="s">
        <v>46</v>
      </c>
      <c r="F145" s="17" t="s">
        <v>51</v>
      </c>
      <c r="G145" s="17" t="s">
        <v>52</v>
      </c>
      <c r="H145" s="17" t="s">
        <v>766</v>
      </c>
      <c r="I145" s="58">
        <f>'Motor Starter GWD'!H124</f>
        <v>3620.0226981749993</v>
      </c>
      <c r="J145" s="58">
        <f>'Motor Starter GWD'!I124</f>
        <v>16.887818999999997</v>
      </c>
      <c r="K145" s="19">
        <f t="shared" si="1"/>
        <v>0</v>
      </c>
      <c r="L145" s="19">
        <f t="shared" si="2"/>
        <v>3636.9105171749993</v>
      </c>
    </row>
    <row r="146" spans="1:12">
      <c r="A146" s="13">
        <v>144</v>
      </c>
      <c r="B146" s="14" t="s">
        <v>926</v>
      </c>
      <c r="C146" s="16" t="str">
        <f>'Motor Starter GWD'!A127</f>
        <v>S &amp; F Motor starters of the following ratings Submersible pump controllers with ammeter, TPMCB for three phase 8 to 9.5 HP submersible motor pumps (DOL)</v>
      </c>
      <c r="D146" s="16" t="str">
        <f t="shared" si="0"/>
        <v>S &amp; F Motor starters of the following ratings Submersible pump controllers with ammeter, TPMCB for three phase 8 to 9.5 HP submersible motor pumps (DOL) (Code: GWDDR144)</v>
      </c>
      <c r="E146" s="13" t="s">
        <v>46</v>
      </c>
      <c r="F146" s="17" t="s">
        <v>51</v>
      </c>
      <c r="G146" s="17" t="s">
        <v>52</v>
      </c>
      <c r="H146" s="17" t="s">
        <v>766</v>
      </c>
      <c r="I146" s="58">
        <f>'Motor Starter GWD'!H155</f>
        <v>4419.8384510249989</v>
      </c>
      <c r="J146" s="58">
        <f>'Motor Starter GWD'!I155</f>
        <v>16.887818999999997</v>
      </c>
      <c r="K146" s="19">
        <f t="shared" si="1"/>
        <v>0</v>
      </c>
      <c r="L146" s="19">
        <f t="shared" si="2"/>
        <v>4436.7262700249985</v>
      </c>
    </row>
    <row r="147" spans="1:12">
      <c r="A147" s="13">
        <v>145</v>
      </c>
      <c r="B147" s="14" t="s">
        <v>931</v>
      </c>
      <c r="C147" s="16" t="str">
        <f>'Water Meter'!A3</f>
        <v>Providing and fixing Water meter for Rigid PVC pipes, including jointing with PVC solvent cement-15 mm water meter</v>
      </c>
      <c r="D147" s="16" t="str">
        <f t="shared" si="0"/>
        <v>Providing and fixing Water meter for Rigid PVC pipes, including jointing with PVC solvent cement-15 mm water meter (Code: GWDDR145)</v>
      </c>
      <c r="E147" s="13" t="s">
        <v>46</v>
      </c>
      <c r="F147" s="17" t="s">
        <v>51</v>
      </c>
      <c r="G147" s="17" t="s">
        <v>52</v>
      </c>
      <c r="H147" s="17" t="s">
        <v>933</v>
      </c>
      <c r="I147" s="58">
        <f>'Water Meter'!H26</f>
        <v>1016.3124999999999</v>
      </c>
      <c r="J147" s="58">
        <f>'Water Meter'!I26</f>
        <v>47.671676799999993</v>
      </c>
      <c r="K147" s="19">
        <f t="shared" si="1"/>
        <v>0</v>
      </c>
      <c r="L147" s="19">
        <f t="shared" si="2"/>
        <v>1063.9841767999999</v>
      </c>
    </row>
    <row r="148" spans="1:12">
      <c r="A148" s="13">
        <v>146</v>
      </c>
      <c r="B148" s="14" t="s">
        <v>936</v>
      </c>
      <c r="C148" s="16" t="str">
        <f>'Water Meter'!A29</f>
        <v>Providing and fixing Water meter for Rigid PVC pipes, including jointing with PVC solvent cement-20 mm water meter</v>
      </c>
      <c r="D148" s="16" t="str">
        <f t="shared" si="0"/>
        <v>Providing and fixing Water meter for Rigid PVC pipes, including jointing with PVC solvent cement-20 mm water meter (Code: GWDDR146)</v>
      </c>
      <c r="E148" s="13" t="s">
        <v>46</v>
      </c>
      <c r="F148" s="17" t="s">
        <v>51</v>
      </c>
      <c r="G148" s="17" t="s">
        <v>52</v>
      </c>
      <c r="H148" s="17" t="s">
        <v>933</v>
      </c>
      <c r="I148" s="58">
        <f>'Water Meter'!H52</f>
        <v>1426.3219999999999</v>
      </c>
      <c r="J148" s="58">
        <f>'Water Meter'!I52</f>
        <v>47.671676799999993</v>
      </c>
      <c r="K148" s="19">
        <f t="shared" si="1"/>
        <v>0</v>
      </c>
      <c r="L148" s="19">
        <f t="shared" si="2"/>
        <v>1473.9936767999998</v>
      </c>
    </row>
    <row r="149" spans="1:12">
      <c r="A149" s="13">
        <v>147</v>
      </c>
      <c r="B149" s="14" t="s">
        <v>940</v>
      </c>
      <c r="C149" s="14"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16" t="str">
        <f t="shared" si="0"/>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13" t="s">
        <v>21</v>
      </c>
      <c r="F149" s="17" t="s">
        <v>51</v>
      </c>
      <c r="G149" s="17" t="s">
        <v>52</v>
      </c>
      <c r="H149" s="17" t="s">
        <v>943</v>
      </c>
      <c r="I149" s="58">
        <f>'PVC on Wall PRICE'!H31</f>
        <v>50.757549999999995</v>
      </c>
      <c r="J149" s="58">
        <f>'PVC on Wall PRICE'!I31</f>
        <v>148.17111474000001</v>
      </c>
      <c r="K149" s="19">
        <f t="shared" si="1"/>
        <v>0</v>
      </c>
      <c r="L149" s="19">
        <f t="shared" si="2"/>
        <v>198.92866473999999</v>
      </c>
    </row>
    <row r="150" spans="1:12">
      <c r="A150" s="13">
        <v>148</v>
      </c>
      <c r="B150" s="14" t="s">
        <v>946</v>
      </c>
      <c r="C150" s="16"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16" t="str">
        <f t="shared" si="0"/>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13" t="s">
        <v>21</v>
      </c>
      <c r="F150" s="17" t="s">
        <v>51</v>
      </c>
      <c r="G150" s="17" t="s">
        <v>52</v>
      </c>
      <c r="H150" s="17" t="s">
        <v>943</v>
      </c>
      <c r="I150" s="58">
        <f>'PVC on Wall PRICE'!H62</f>
        <v>36.064575000000005</v>
      </c>
      <c r="J150" s="58">
        <f>'PVC on Wall PRICE'!I62</f>
        <v>148.17111474000001</v>
      </c>
      <c r="K150" s="19">
        <f t="shared" si="1"/>
        <v>0</v>
      </c>
      <c r="L150" s="19">
        <f t="shared" si="2"/>
        <v>184.23568974</v>
      </c>
    </row>
    <row r="151" spans="1:12">
      <c r="A151" s="13">
        <v>149</v>
      </c>
      <c r="B151" s="14" t="s">
        <v>951</v>
      </c>
      <c r="C151" s="16"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16" t="str">
        <f t="shared" si="0"/>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13" t="s">
        <v>21</v>
      </c>
      <c r="F151" s="17" t="s">
        <v>51</v>
      </c>
      <c r="G151" s="17" t="s">
        <v>52</v>
      </c>
      <c r="H151" s="17" t="s">
        <v>943</v>
      </c>
      <c r="I151" s="58">
        <f>'PVC on Wall PRICE'!H93</f>
        <v>54.0968625</v>
      </c>
      <c r="J151" s="58">
        <f>'PVC on Wall PRICE'!I93</f>
        <v>161.44009074000002</v>
      </c>
      <c r="K151" s="19">
        <f t="shared" si="1"/>
        <v>0</v>
      </c>
      <c r="L151" s="19">
        <f t="shared" si="2"/>
        <v>215.53695324</v>
      </c>
    </row>
    <row r="152" spans="1:12">
      <c r="A152" s="13">
        <v>150</v>
      </c>
      <c r="B152" s="14" t="s">
        <v>956</v>
      </c>
      <c r="C152" s="16"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16" t="str">
        <f t="shared" si="0"/>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13" t="s">
        <v>21</v>
      </c>
      <c r="F152" s="17" t="s">
        <v>51</v>
      </c>
      <c r="G152" s="17" t="s">
        <v>52</v>
      </c>
      <c r="H152" s="17" t="s">
        <v>943</v>
      </c>
      <c r="I152" s="58">
        <f>'PVC on Wall PRICE'!H124</f>
        <v>40.071749999999994</v>
      </c>
      <c r="J152" s="58">
        <f>'PVC on Wall PRICE'!I124</f>
        <v>161.44009074000002</v>
      </c>
      <c r="K152" s="19">
        <f t="shared" si="1"/>
        <v>0</v>
      </c>
      <c r="L152" s="19">
        <f t="shared" si="2"/>
        <v>201.51184074000003</v>
      </c>
    </row>
    <row r="153" spans="1:12">
      <c r="A153" s="13">
        <v>151</v>
      </c>
      <c r="B153" s="14" t="s">
        <v>962</v>
      </c>
      <c r="C153" s="16"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16" t="str">
        <f t="shared" si="0"/>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13" t="s">
        <v>21</v>
      </c>
      <c r="F153" s="17" t="s">
        <v>51</v>
      </c>
      <c r="G153" s="17" t="s">
        <v>52</v>
      </c>
      <c r="H153" s="17" t="s">
        <v>943</v>
      </c>
      <c r="I153" s="58">
        <f>'PVC on Wall PRICE'!H155</f>
        <v>81.479225</v>
      </c>
      <c r="J153" s="58">
        <f>'PVC on Wall PRICE'!I155</f>
        <v>161.44009074000002</v>
      </c>
      <c r="K153" s="19">
        <f t="shared" si="1"/>
        <v>0</v>
      </c>
      <c r="L153" s="19">
        <f t="shared" si="2"/>
        <v>242.91931574</v>
      </c>
    </row>
    <row r="154" spans="1:12">
      <c r="A154" s="13">
        <v>152</v>
      </c>
      <c r="B154" s="14" t="s">
        <v>966</v>
      </c>
      <c r="C154" s="16"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16" t="str">
        <f t="shared" si="0"/>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13" t="s">
        <v>21</v>
      </c>
      <c r="F154" s="17" t="s">
        <v>51</v>
      </c>
      <c r="G154" s="17" t="s">
        <v>52</v>
      </c>
      <c r="H154" s="17" t="s">
        <v>943</v>
      </c>
      <c r="I154" s="58">
        <f>'PVC on Wall PRICE'!H186</f>
        <v>64.114799999999988</v>
      </c>
      <c r="J154" s="58">
        <f>'PVC on Wall PRICE'!I186</f>
        <v>161.44009074000002</v>
      </c>
      <c r="K154" s="19">
        <f t="shared" si="1"/>
        <v>0</v>
      </c>
      <c r="L154" s="19">
        <f t="shared" si="2"/>
        <v>225.55489074000002</v>
      </c>
    </row>
    <row r="155" spans="1:12">
      <c r="A155" s="13">
        <v>153</v>
      </c>
      <c r="B155" s="14" t="s">
        <v>969</v>
      </c>
      <c r="C155" s="16"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16" t="str">
        <f t="shared" si="0"/>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13" t="s">
        <v>21</v>
      </c>
      <c r="F155" s="17" t="s">
        <v>51</v>
      </c>
      <c r="G155" s="17" t="s">
        <v>52</v>
      </c>
      <c r="H155" s="17" t="s">
        <v>943</v>
      </c>
      <c r="I155" s="58">
        <f>'PVC on Wall PRICE'!H217</f>
        <v>86.822125</v>
      </c>
      <c r="J155" s="58">
        <f>'PVC on Wall PRICE'!I217</f>
        <v>185.76557107999997</v>
      </c>
      <c r="K155" s="19">
        <f t="shared" si="1"/>
        <v>0</v>
      </c>
      <c r="L155" s="19">
        <f t="shared" si="2"/>
        <v>272.58769608</v>
      </c>
    </row>
    <row r="156" spans="1:12">
      <c r="A156" s="13">
        <v>154</v>
      </c>
      <c r="B156" s="14" t="s">
        <v>971</v>
      </c>
      <c r="C156" s="16"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16" t="str">
        <f t="shared" si="0"/>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13" t="s">
        <v>21</v>
      </c>
      <c r="F156" s="17" t="s">
        <v>51</v>
      </c>
      <c r="G156" s="17" t="s">
        <v>52</v>
      </c>
      <c r="H156" s="17" t="s">
        <v>943</v>
      </c>
      <c r="I156" s="58">
        <f>'PVC on Wall PRICE'!H248</f>
        <v>112.20089999999998</v>
      </c>
      <c r="J156" s="58">
        <f>'PVC on Wall PRICE'!I248</f>
        <v>238.14346003999998</v>
      </c>
      <c r="K156" s="19">
        <f t="shared" si="1"/>
        <v>0</v>
      </c>
      <c r="L156" s="19">
        <f t="shared" si="2"/>
        <v>350.34436003999997</v>
      </c>
    </row>
    <row r="157" spans="1:12">
      <c r="A157" s="13">
        <v>155</v>
      </c>
      <c r="B157" s="14" t="s">
        <v>977</v>
      </c>
      <c r="C157" s="16"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16" t="str">
        <f t="shared" si="0"/>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13" t="s">
        <v>21</v>
      </c>
      <c r="F157" s="17" t="s">
        <v>51</v>
      </c>
      <c r="G157" s="17" t="s">
        <v>52</v>
      </c>
      <c r="H157" s="17" t="s">
        <v>943</v>
      </c>
      <c r="I157" s="58">
        <f>'PVC on Wall PRICE'!H279</f>
        <v>70.793424999999999</v>
      </c>
      <c r="J157" s="58">
        <f>'PVC on Wall PRICE'!I279</f>
        <v>238.14346003999998</v>
      </c>
      <c r="K157" s="19">
        <f t="shared" si="1"/>
        <v>0</v>
      </c>
      <c r="L157" s="19">
        <f t="shared" si="2"/>
        <v>308.93688503999999</v>
      </c>
    </row>
    <row r="158" spans="1:12">
      <c r="A158" s="13">
        <v>156</v>
      </c>
      <c r="B158" s="14" t="s">
        <v>983</v>
      </c>
      <c r="C158" s="16"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16" t="str">
        <f t="shared" si="0"/>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13" t="s">
        <v>21</v>
      </c>
      <c r="F158" s="17" t="s">
        <v>51</v>
      </c>
      <c r="G158" s="17" t="s">
        <v>52</v>
      </c>
      <c r="H158" s="17" t="s">
        <v>943</v>
      </c>
      <c r="I158" s="58">
        <f>'PVC on Wall PRICE'!H310</f>
        <v>120.21524999999997</v>
      </c>
      <c r="J158" s="58">
        <f>'PVC on Wall PRICE'!I310</f>
        <v>238.14346003999998</v>
      </c>
      <c r="K158" s="19">
        <f t="shared" si="1"/>
        <v>0</v>
      </c>
      <c r="L158" s="19">
        <f t="shared" si="2"/>
        <v>358.35871003999995</v>
      </c>
    </row>
    <row r="159" spans="1:12">
      <c r="A159" s="13">
        <v>157</v>
      </c>
      <c r="B159" s="14" t="s">
        <v>989</v>
      </c>
      <c r="C159" s="16"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16" t="str">
        <f t="shared" si="0"/>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13" t="s">
        <v>21</v>
      </c>
      <c r="F159" s="17" t="s">
        <v>51</v>
      </c>
      <c r="G159" s="17" t="s">
        <v>52</v>
      </c>
      <c r="H159" s="17" t="s">
        <v>943</v>
      </c>
      <c r="I159" s="58">
        <f>'PVC on Wall PRICE'!H341</f>
        <v>80.143499999999989</v>
      </c>
      <c r="J159" s="58">
        <f>'PVC on Wall PRICE'!I341</f>
        <v>238.14346003999998</v>
      </c>
      <c r="K159" s="19">
        <f t="shared" si="1"/>
        <v>0</v>
      </c>
      <c r="L159" s="19">
        <f t="shared" si="2"/>
        <v>318.28696003999994</v>
      </c>
    </row>
    <row r="160" spans="1:12">
      <c r="A160" s="13">
        <v>158</v>
      </c>
      <c r="B160" s="14" t="s">
        <v>993</v>
      </c>
      <c r="C160" s="16"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16" t="str">
        <f t="shared" si="0"/>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13" t="s">
        <v>21</v>
      </c>
      <c r="F160" s="17" t="s">
        <v>51</v>
      </c>
      <c r="G160" s="17" t="s">
        <v>52</v>
      </c>
      <c r="H160" s="17" t="s">
        <v>943</v>
      </c>
      <c r="I160" s="58">
        <f>'PVC on Wall PRICE'!H374</f>
        <v>50.757549999999995</v>
      </c>
      <c r="J160" s="58">
        <f>'PVC on Wall PRICE'!I374</f>
        <v>155.79956798000001</v>
      </c>
      <c r="K160" s="19">
        <f t="shared" si="1"/>
        <v>0</v>
      </c>
      <c r="L160" s="19">
        <f t="shared" si="2"/>
        <v>206.55711797999999</v>
      </c>
    </row>
    <row r="161" spans="1:12">
      <c r="A161" s="13">
        <v>159</v>
      </c>
      <c r="B161" s="14" t="s">
        <v>997</v>
      </c>
      <c r="C161" s="16"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16" t="str">
        <f t="shared" si="0"/>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13" t="s">
        <v>21</v>
      </c>
      <c r="F161" s="17" t="s">
        <v>51</v>
      </c>
      <c r="G161" s="17" t="s">
        <v>52</v>
      </c>
      <c r="H161" s="17" t="s">
        <v>943</v>
      </c>
      <c r="I161" s="58">
        <f>'PVC on Wall PRICE'!H407</f>
        <v>36.064575000000005</v>
      </c>
      <c r="J161" s="58">
        <f>'PVC on Wall PRICE'!I407</f>
        <v>155.79956798000001</v>
      </c>
      <c r="K161" s="19">
        <f t="shared" si="1"/>
        <v>0</v>
      </c>
      <c r="L161" s="19">
        <f t="shared" si="2"/>
        <v>191.86414298</v>
      </c>
    </row>
    <row r="162" spans="1:12">
      <c r="A162" s="13">
        <v>160</v>
      </c>
      <c r="B162" s="14" t="s">
        <v>1001</v>
      </c>
      <c r="C162" s="16"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16" t="str">
        <f t="shared" si="0"/>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13" t="s">
        <v>21</v>
      </c>
      <c r="F162" s="17" t="s">
        <v>51</v>
      </c>
      <c r="G162" s="17" t="s">
        <v>52</v>
      </c>
      <c r="H162" s="17" t="s">
        <v>943</v>
      </c>
      <c r="I162" s="58">
        <f>'PVC on Wall PRICE'!H440</f>
        <v>54.0968625</v>
      </c>
      <c r="J162" s="58">
        <f>'PVC on Wall PRICE'!I440</f>
        <v>169.06854398000002</v>
      </c>
      <c r="K162" s="19">
        <f t="shared" si="1"/>
        <v>0</v>
      </c>
      <c r="L162" s="19">
        <f t="shared" si="2"/>
        <v>223.16540648</v>
      </c>
    </row>
    <row r="163" spans="1:12">
      <c r="A163" s="13">
        <v>161</v>
      </c>
      <c r="B163" s="14" t="s">
        <v>1003</v>
      </c>
      <c r="C163" s="16"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16" t="str">
        <f t="shared" si="0"/>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13" t="s">
        <v>21</v>
      </c>
      <c r="F163" s="17" t="s">
        <v>51</v>
      </c>
      <c r="G163" s="17" t="s">
        <v>52</v>
      </c>
      <c r="H163" s="17" t="s">
        <v>943</v>
      </c>
      <c r="I163" s="58">
        <f>'PVC on Wall PRICE'!H473</f>
        <v>40.071749999999994</v>
      </c>
      <c r="J163" s="58">
        <f>'PVC on Wall PRICE'!I473</f>
        <v>169.06854398000002</v>
      </c>
      <c r="K163" s="19">
        <f t="shared" si="1"/>
        <v>0</v>
      </c>
      <c r="L163" s="19">
        <f t="shared" si="2"/>
        <v>209.14029398000002</v>
      </c>
    </row>
    <row r="164" spans="1:12">
      <c r="A164" s="13">
        <v>162</v>
      </c>
      <c r="B164" s="14" t="s">
        <v>1008</v>
      </c>
      <c r="C164" s="16"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16" t="str">
        <f t="shared" si="0"/>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13" t="s">
        <v>21</v>
      </c>
      <c r="F164" s="17" t="s">
        <v>51</v>
      </c>
      <c r="G164" s="17" t="s">
        <v>52</v>
      </c>
      <c r="H164" s="17" t="s">
        <v>943</v>
      </c>
      <c r="I164" s="58">
        <f>'PVC on Wall PRICE'!H506</f>
        <v>81.479225</v>
      </c>
      <c r="J164" s="58">
        <f>'PVC on Wall PRICE'!I506</f>
        <v>169.06854398000002</v>
      </c>
      <c r="K164" s="19">
        <f t="shared" si="1"/>
        <v>0</v>
      </c>
      <c r="L164" s="19">
        <f t="shared" si="2"/>
        <v>250.54776898</v>
      </c>
    </row>
    <row r="165" spans="1:12">
      <c r="A165" s="13">
        <v>163</v>
      </c>
      <c r="B165" s="14" t="s">
        <v>1013</v>
      </c>
      <c r="C165" s="16"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16" t="str">
        <f t="shared" si="0"/>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13" t="s">
        <v>21</v>
      </c>
      <c r="F165" s="17" t="s">
        <v>51</v>
      </c>
      <c r="G165" s="17" t="s">
        <v>52</v>
      </c>
      <c r="H165" s="17" t="s">
        <v>943</v>
      </c>
      <c r="I165" s="58">
        <f>'PVC on Wall PRICE'!H539</f>
        <v>64.114799999999988</v>
      </c>
      <c r="J165" s="58">
        <f>'PVC on Wall PRICE'!I539</f>
        <v>169.06854398000002</v>
      </c>
      <c r="K165" s="19">
        <f t="shared" si="1"/>
        <v>0</v>
      </c>
      <c r="L165" s="19">
        <f t="shared" si="2"/>
        <v>233.18334398000002</v>
      </c>
    </row>
    <row r="166" spans="1:12">
      <c r="A166" s="13">
        <v>164</v>
      </c>
      <c r="B166" s="14" t="s">
        <v>1020</v>
      </c>
      <c r="C166" s="16"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16" t="str">
        <f t="shared" si="0"/>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13" t="s">
        <v>21</v>
      </c>
      <c r="F166" s="17" t="s">
        <v>51</v>
      </c>
      <c r="G166" s="17" t="s">
        <v>52</v>
      </c>
      <c r="H166" s="17" t="s">
        <v>943</v>
      </c>
      <c r="I166" s="58">
        <f>'PVC on Wall PRICE'!H572</f>
        <v>86.822125</v>
      </c>
      <c r="J166" s="58">
        <f>'PVC on Wall PRICE'!I572</f>
        <v>193.39402431999997</v>
      </c>
      <c r="K166" s="19">
        <f t="shared" si="1"/>
        <v>0</v>
      </c>
      <c r="L166" s="19">
        <f t="shared" si="2"/>
        <v>280.21614932</v>
      </c>
    </row>
    <row r="167" spans="1:12">
      <c r="A167" s="13">
        <v>165</v>
      </c>
      <c r="B167" s="14" t="s">
        <v>1027</v>
      </c>
      <c r="C167" s="16"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16" t="str">
        <f t="shared" si="0"/>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13" t="s">
        <v>21</v>
      </c>
      <c r="F167" s="17" t="s">
        <v>51</v>
      </c>
      <c r="G167" s="17" t="s">
        <v>52</v>
      </c>
      <c r="H167" s="17" t="s">
        <v>943</v>
      </c>
      <c r="I167" s="58">
        <f>'PVC on Wall PRICE'!H605</f>
        <v>69.457700000000003</v>
      </c>
      <c r="J167" s="58">
        <f>'PVC on Wall PRICE'!I605</f>
        <v>193.39402431999997</v>
      </c>
      <c r="K167" s="19">
        <f t="shared" si="1"/>
        <v>0</v>
      </c>
      <c r="L167" s="19">
        <f t="shared" si="2"/>
        <v>262.85172431999996</v>
      </c>
    </row>
    <row r="168" spans="1:12">
      <c r="A168" s="13">
        <v>166</v>
      </c>
      <c r="B168" s="14" t="s">
        <v>1034</v>
      </c>
      <c r="C168" s="16"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16" t="str">
        <f t="shared" si="0"/>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13" t="s">
        <v>21</v>
      </c>
      <c r="F168" s="17" t="s">
        <v>51</v>
      </c>
      <c r="G168" s="17" t="s">
        <v>52</v>
      </c>
      <c r="H168" s="17" t="s">
        <v>943</v>
      </c>
      <c r="I168" s="58">
        <f>'PVC on Wall PRICE'!H638</f>
        <v>112.20089999999998</v>
      </c>
      <c r="J168" s="58">
        <f>'PVC on Wall PRICE'!I638</f>
        <v>245.77191327999998</v>
      </c>
      <c r="K168" s="19">
        <f t="shared" si="1"/>
        <v>0</v>
      </c>
      <c r="L168" s="19">
        <f t="shared" si="2"/>
        <v>357.97281327999997</v>
      </c>
    </row>
    <row r="169" spans="1:12">
      <c r="A169" s="13">
        <v>167</v>
      </c>
      <c r="B169" s="14" t="s">
        <v>1044</v>
      </c>
      <c r="C169" s="16"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16" t="str">
        <f t="shared" si="0"/>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13" t="s">
        <v>21</v>
      </c>
      <c r="F169" s="17" t="s">
        <v>51</v>
      </c>
      <c r="G169" s="17" t="s">
        <v>52</v>
      </c>
      <c r="H169" s="17" t="s">
        <v>943</v>
      </c>
      <c r="I169" s="58">
        <f>'PVC on Wall PRICE'!H671</f>
        <v>70.793424999999999</v>
      </c>
      <c r="J169" s="58">
        <f>'PVC on Wall PRICE'!I671</f>
        <v>245.77191327999998</v>
      </c>
      <c r="K169" s="19">
        <f t="shared" si="1"/>
        <v>0</v>
      </c>
      <c r="L169" s="19">
        <f t="shared" si="2"/>
        <v>316.56533827999999</v>
      </c>
    </row>
    <row r="170" spans="1:12">
      <c r="A170" s="13">
        <v>168</v>
      </c>
      <c r="B170" s="14" t="s">
        <v>1053</v>
      </c>
      <c r="C170" s="16"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16" t="str">
        <f t="shared" si="0"/>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13" t="s">
        <v>21</v>
      </c>
      <c r="F170" s="17" t="s">
        <v>51</v>
      </c>
      <c r="G170" s="17" t="s">
        <v>52</v>
      </c>
      <c r="H170" s="17" t="s">
        <v>943</v>
      </c>
      <c r="I170" s="58">
        <f>'PVC on Wall PRICE'!H704</f>
        <v>120.21524999999997</v>
      </c>
      <c r="J170" s="58">
        <f>'PVC on Wall PRICE'!I704</f>
        <v>245.77191327999998</v>
      </c>
      <c r="K170" s="19">
        <f t="shared" si="1"/>
        <v>0</v>
      </c>
      <c r="L170" s="19">
        <f t="shared" si="2"/>
        <v>365.98716327999995</v>
      </c>
    </row>
    <row r="171" spans="1:12">
      <c r="A171" s="13">
        <v>169</v>
      </c>
      <c r="B171" s="14" t="s">
        <v>1061</v>
      </c>
      <c r="C171" s="16"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16" t="str">
        <f t="shared" si="0"/>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13" t="s">
        <v>21</v>
      </c>
      <c r="F171" s="17" t="s">
        <v>51</v>
      </c>
      <c r="G171" s="17" t="s">
        <v>52</v>
      </c>
      <c r="H171" s="17" t="s">
        <v>943</v>
      </c>
      <c r="I171" s="58">
        <f>'PVC on Wall PRICE'!H737</f>
        <v>80.143499999999989</v>
      </c>
      <c r="J171" s="58">
        <f>'PVC on Wall PRICE'!I737</f>
        <v>245.77191327999998</v>
      </c>
      <c r="K171" s="19">
        <f t="shared" si="1"/>
        <v>0</v>
      </c>
      <c r="L171" s="19">
        <f t="shared" si="2"/>
        <v>325.91541327999994</v>
      </c>
    </row>
    <row r="172" spans="1:12">
      <c r="A172" s="13">
        <v>170</v>
      </c>
      <c r="B172" s="14" t="s">
        <v>1068</v>
      </c>
      <c r="C172" s="16"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16" t="str">
        <f t="shared" si="0"/>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13" t="s">
        <v>21</v>
      </c>
      <c r="F172" s="17" t="s">
        <v>51</v>
      </c>
      <c r="G172" s="17" t="s">
        <v>52</v>
      </c>
      <c r="H172" s="17" t="s">
        <v>943</v>
      </c>
      <c r="I172" s="58">
        <f>'PVC on Wall PRICE'!H772</f>
        <v>143.90985000000001</v>
      </c>
      <c r="J172" s="58">
        <f>'PVC on Wall PRICE'!I772</f>
        <v>102.07419963999999</v>
      </c>
      <c r="K172" s="19">
        <f t="shared" si="1"/>
        <v>0</v>
      </c>
      <c r="L172" s="19">
        <f t="shared" si="2"/>
        <v>245.98404963999999</v>
      </c>
    </row>
    <row r="173" spans="1:12">
      <c r="A173" s="13">
        <v>171</v>
      </c>
      <c r="B173" s="14" t="s">
        <v>1076</v>
      </c>
      <c r="C173" s="16"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16" t="str">
        <f t="shared" si="0"/>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13" t="s">
        <v>21</v>
      </c>
      <c r="F173" s="17" t="s">
        <v>51</v>
      </c>
      <c r="G173" s="17" t="s">
        <v>52</v>
      </c>
      <c r="H173" s="17" t="s">
        <v>943</v>
      </c>
      <c r="I173" s="58">
        <f>'PVC on Wall PRICE'!H807</f>
        <v>101.22472500000001</v>
      </c>
      <c r="J173" s="58">
        <f>'PVC on Wall PRICE'!I807</f>
        <v>102.07419963999999</v>
      </c>
      <c r="K173" s="19">
        <f t="shared" si="1"/>
        <v>0</v>
      </c>
      <c r="L173" s="19">
        <f t="shared" si="2"/>
        <v>203.29892464</v>
      </c>
    </row>
    <row r="174" spans="1:12">
      <c r="A174" s="13">
        <v>172</v>
      </c>
      <c r="B174" s="14" t="s">
        <v>1082</v>
      </c>
      <c r="C174" s="16"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16" t="str">
        <f t="shared" si="0"/>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13" t="s">
        <v>21</v>
      </c>
      <c r="F174" s="17" t="s">
        <v>51</v>
      </c>
      <c r="G174" s="17" t="s">
        <v>52</v>
      </c>
      <c r="H174" s="17" t="s">
        <v>943</v>
      </c>
      <c r="I174" s="58">
        <f>'PVC on Wall PRICE'!H842</f>
        <v>157.325175</v>
      </c>
      <c r="J174" s="58">
        <f>'PVC on Wall PRICE'!I842</f>
        <v>102.07419963999999</v>
      </c>
      <c r="K174" s="19">
        <f t="shared" si="1"/>
        <v>0</v>
      </c>
      <c r="L174" s="19">
        <f t="shared" si="2"/>
        <v>259.39937464000002</v>
      </c>
    </row>
    <row r="175" spans="1:12">
      <c r="A175" s="13">
        <v>173</v>
      </c>
      <c r="B175" s="14" t="s">
        <v>1092</v>
      </c>
      <c r="C175" s="16"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16" t="str">
        <f t="shared" si="0"/>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13" t="s">
        <v>21</v>
      </c>
      <c r="F175" s="17" t="s">
        <v>51</v>
      </c>
      <c r="G175" s="17" t="s">
        <v>52</v>
      </c>
      <c r="H175" s="17" t="s">
        <v>943</v>
      </c>
      <c r="I175" s="58">
        <f>'PVC on Wall PRICE'!H877</f>
        <v>115.85962499999998</v>
      </c>
      <c r="J175" s="58">
        <f>'PVC on Wall PRICE'!I877</f>
        <v>102.07419963999999</v>
      </c>
      <c r="K175" s="19">
        <f t="shared" si="1"/>
        <v>0</v>
      </c>
      <c r="L175" s="19">
        <f t="shared" si="2"/>
        <v>217.93382463999995</v>
      </c>
    </row>
    <row r="176" spans="1:12">
      <c r="A176" s="13">
        <v>174</v>
      </c>
      <c r="B176" s="14" t="s">
        <v>1103</v>
      </c>
      <c r="C176" s="16"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16" t="str">
        <f t="shared" si="0"/>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13" t="s">
        <v>21</v>
      </c>
      <c r="F176" s="17" t="s">
        <v>51</v>
      </c>
      <c r="G176" s="17" t="s">
        <v>52</v>
      </c>
      <c r="H176" s="17" t="s">
        <v>943</v>
      </c>
      <c r="I176" s="58">
        <f>'PVC on Wall PRICE'!H912</f>
        <v>257.33032500000002</v>
      </c>
      <c r="J176" s="58">
        <f>'PVC on Wall PRICE'!I912</f>
        <v>102.07419963999999</v>
      </c>
      <c r="K176" s="19">
        <f t="shared" si="1"/>
        <v>0</v>
      </c>
      <c r="L176" s="19">
        <f t="shared" si="2"/>
        <v>359.40452463999998</v>
      </c>
    </row>
    <row r="177" spans="1:12">
      <c r="A177" s="13">
        <v>175</v>
      </c>
      <c r="B177" s="14" t="s">
        <v>1109</v>
      </c>
      <c r="C177" s="16"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16" t="str">
        <f t="shared" si="0"/>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13" t="s">
        <v>21</v>
      </c>
      <c r="F177" s="17" t="s">
        <v>51</v>
      </c>
      <c r="G177" s="17" t="s">
        <v>52</v>
      </c>
      <c r="H177" s="17" t="s">
        <v>943</v>
      </c>
      <c r="I177" s="58">
        <f>'PVC on Wall PRICE'!H947</f>
        <v>207.32774999999998</v>
      </c>
      <c r="J177" s="58">
        <f>'PVC on Wall PRICE'!I947</f>
        <v>102.07419963999999</v>
      </c>
      <c r="K177" s="19">
        <f t="shared" si="1"/>
        <v>0</v>
      </c>
      <c r="L177" s="19">
        <f t="shared" si="2"/>
        <v>309.40194964</v>
      </c>
    </row>
    <row r="178" spans="1:12">
      <c r="A178" s="13">
        <v>176</v>
      </c>
      <c r="B178" s="14" t="s">
        <v>1113</v>
      </c>
      <c r="C178" s="16" t="str">
        <f>'GI on Wall PRICE'!B2</f>
        <v>Providing and fixing G.I. pipes complete with G.I. fittings and clamps, including cutting and making good the walls etc. Internal work- Exposed on wall 15 mm dia nominal bore (18.10.1)</v>
      </c>
      <c r="D178" s="16" t="str">
        <f t="shared" si="0"/>
        <v>Providing and fixing G.I. pipes complete with G.I. fittings and clamps, including cutting and making good the walls etc. Internal work- Exposed on wall 15 mm dia nominal bore (18.10.1) (Code: GWDDR176)</v>
      </c>
      <c r="E178" s="13" t="s">
        <v>21</v>
      </c>
      <c r="F178" s="17" t="s">
        <v>51</v>
      </c>
      <c r="G178" s="17" t="s">
        <v>52</v>
      </c>
      <c r="H178" s="17" t="s">
        <v>1115</v>
      </c>
      <c r="I178" s="13">
        <v>0</v>
      </c>
      <c r="J178" s="52">
        <f>'GI on Wall PRICE'!C2</f>
        <v>264.02</v>
      </c>
      <c r="K178" s="19">
        <f t="shared" si="1"/>
        <v>0</v>
      </c>
      <c r="L178" s="19">
        <f t="shared" si="2"/>
        <v>264.02</v>
      </c>
    </row>
    <row r="179" spans="1:12">
      <c r="A179" s="13">
        <v>177</v>
      </c>
      <c r="B179" s="14" t="s">
        <v>1118</v>
      </c>
      <c r="C179" s="16" t="str">
        <f>'GI on Wall PRICE'!B3</f>
        <v>Providing and fixing G.I. pipes complete with G.I. fittings and clamps, including cutting and making good the walls etc. Internal work- Exposed on wall 20 mm dia nominal bore (18.10.2)</v>
      </c>
      <c r="D179" s="16" t="str">
        <f t="shared" si="0"/>
        <v>Providing and fixing G.I. pipes complete with G.I. fittings and clamps, including cutting and making good the walls etc. Internal work- Exposed on wall 20 mm dia nominal bore (18.10.2) (Code: GWDDR177)</v>
      </c>
      <c r="E179" s="13" t="s">
        <v>21</v>
      </c>
      <c r="F179" s="17" t="s">
        <v>51</v>
      </c>
      <c r="G179" s="17" t="s">
        <v>52</v>
      </c>
      <c r="H179" s="17" t="s">
        <v>1115</v>
      </c>
      <c r="I179" s="13">
        <v>0</v>
      </c>
      <c r="J179" s="52">
        <f>'GI on Wall PRICE'!C3</f>
        <v>324.12</v>
      </c>
      <c r="K179" s="19">
        <f t="shared" si="1"/>
        <v>0</v>
      </c>
      <c r="L179" s="19">
        <f t="shared" si="2"/>
        <v>324.12</v>
      </c>
    </row>
    <row r="180" spans="1:12">
      <c r="A180" s="13">
        <v>178</v>
      </c>
      <c r="B180" s="14" t="s">
        <v>1121</v>
      </c>
      <c r="C180" s="16" t="str">
        <f>'GI on Wall PRICE'!B4</f>
        <v>Providing and fixing G.I. pipes complete with G.I. fittings and clamps, including cutting and making good the walls etc. Internal work- Exposed on wall 25 mm dia nominal bore (18.10.3)</v>
      </c>
      <c r="D180" s="16" t="str">
        <f t="shared" si="0"/>
        <v>Providing and fixing G.I. pipes complete with G.I. fittings and clamps, including cutting and making good the walls etc. Internal work- Exposed on wall 25 mm dia nominal bore (18.10.3) (Code: GWDDR178)</v>
      </c>
      <c r="E180" s="13" t="s">
        <v>21</v>
      </c>
      <c r="F180" s="17" t="s">
        <v>51</v>
      </c>
      <c r="G180" s="17" t="s">
        <v>52</v>
      </c>
      <c r="H180" s="17" t="s">
        <v>1115</v>
      </c>
      <c r="I180" s="13">
        <v>0</v>
      </c>
      <c r="J180" s="52">
        <f>'GI on Wall PRICE'!C4</f>
        <v>426.41</v>
      </c>
      <c r="K180" s="19">
        <f t="shared" si="1"/>
        <v>0</v>
      </c>
      <c r="L180" s="19">
        <f t="shared" si="2"/>
        <v>426.41</v>
      </c>
    </row>
    <row r="181" spans="1:12">
      <c r="A181" s="13">
        <v>179</v>
      </c>
      <c r="B181" s="14" t="s">
        <v>1122</v>
      </c>
      <c r="C181" s="16" t="str">
        <f>'GI on Wall PRICE'!B5</f>
        <v>Providing and fixing G.I. pipes complete with G.I. fittings and clamps, including cutting and making good the walls etc. Internal work- Exposed on wall 32 mm dia nominal bore (18.10.4)</v>
      </c>
      <c r="D181" s="16" t="str">
        <f t="shared" si="0"/>
        <v>Providing and fixing G.I. pipes complete with G.I. fittings and clamps, including cutting and making good the walls etc. Internal work- Exposed on wall 32 mm dia nominal bore (18.10.4) (Code: GWDDR179)</v>
      </c>
      <c r="E181" s="13" t="s">
        <v>21</v>
      </c>
      <c r="F181" s="17" t="s">
        <v>51</v>
      </c>
      <c r="G181" s="17" t="s">
        <v>52</v>
      </c>
      <c r="H181" s="17" t="s">
        <v>1115</v>
      </c>
      <c r="I181" s="13">
        <v>0</v>
      </c>
      <c r="J181" s="52">
        <f>'GI on Wall PRICE'!C5</f>
        <v>489.26</v>
      </c>
      <c r="K181" s="19">
        <f t="shared" si="1"/>
        <v>0</v>
      </c>
      <c r="L181" s="19">
        <f t="shared" si="2"/>
        <v>489.26</v>
      </c>
    </row>
    <row r="182" spans="1:12">
      <c r="A182" s="13">
        <v>180</v>
      </c>
      <c r="B182" s="14" t="s">
        <v>1127</v>
      </c>
      <c r="C182" s="16" t="str">
        <f>'GI on Wall PRICE'!B6</f>
        <v>Providing and fixing G.I. pipes complete with G.I. fittings and clamps, including cutting and making good the walls etc. Internal work- Exposed on wall 40 mm dia nominal bore (18.10.5)</v>
      </c>
      <c r="D182" s="16" t="str">
        <f t="shared" si="0"/>
        <v>Providing and fixing G.I. pipes complete with G.I. fittings and clamps, including cutting and making good the walls etc. Internal work- Exposed on wall 40 mm dia nominal bore (18.10.5) (Code: GWDDR180)</v>
      </c>
      <c r="E182" s="13" t="s">
        <v>21</v>
      </c>
      <c r="F182" s="17" t="s">
        <v>51</v>
      </c>
      <c r="G182" s="17" t="s">
        <v>52</v>
      </c>
      <c r="H182" s="17" t="s">
        <v>1115</v>
      </c>
      <c r="I182" s="13">
        <v>0</v>
      </c>
      <c r="J182" s="52">
        <f>'GI on Wall PRICE'!C6</f>
        <v>629.54</v>
      </c>
      <c r="K182" s="19">
        <f t="shared" si="1"/>
        <v>0</v>
      </c>
      <c r="L182" s="19">
        <f t="shared" si="2"/>
        <v>629.54</v>
      </c>
    </row>
    <row r="183" spans="1:12">
      <c r="A183" s="13">
        <v>181</v>
      </c>
      <c r="B183" s="14" t="s">
        <v>1134</v>
      </c>
      <c r="C183" s="16" t="str">
        <f>'GI on Wall PRICE'!B7</f>
        <v>Providing and fixing G.I. pipes complete with G.I. fittings and clamps, including cutting and making good the walls etc. Internal work- Exposed on wall 50 mm dia nominal bore (18.10.6)</v>
      </c>
      <c r="D183" s="16" t="str">
        <f t="shared" si="0"/>
        <v>Providing and fixing G.I. pipes complete with G.I. fittings and clamps, including cutting and making good the walls etc. Internal work- Exposed on wall 50 mm dia nominal bore (18.10.6) (Code: GWDDR181)</v>
      </c>
      <c r="E183" s="13" t="s">
        <v>21</v>
      </c>
      <c r="F183" s="17" t="s">
        <v>51</v>
      </c>
      <c r="G183" s="17" t="s">
        <v>52</v>
      </c>
      <c r="H183" s="17" t="s">
        <v>1115</v>
      </c>
      <c r="I183" s="13">
        <v>0</v>
      </c>
      <c r="J183" s="52">
        <f>'GI on Wall PRICE'!C7</f>
        <v>775.43</v>
      </c>
      <c r="K183" s="19">
        <f t="shared" si="1"/>
        <v>0</v>
      </c>
      <c r="L183" s="19">
        <f t="shared" si="2"/>
        <v>775.43</v>
      </c>
    </row>
    <row r="184" spans="1:12">
      <c r="A184" s="13">
        <v>182</v>
      </c>
      <c r="B184" s="14" t="s">
        <v>1135</v>
      </c>
      <c r="C184" s="16" t="str">
        <f>'PVC With Trench PRICE'!A3</f>
        <v>Providing and fixing PVC pipes including jointing of pipes with one step PVC solvent cement, trenching, refilling &amp; testing of joints complete as per direction of Engineer in Charge 15 mm dia 12kgf/cm2 (50.18.9.1.1)</v>
      </c>
      <c r="D184" s="16" t="str">
        <f t="shared" si="0"/>
        <v>Providing and fixing PVC pipes including jointing of pipes with one step PVC solvent cement, trenching, refilling &amp; testing of joints complete as per direction of Engineer in Charge 15 mm dia 12kgf/cm2 (50.18.9.1.1) (Code: GWDDR182)</v>
      </c>
      <c r="E184" s="13" t="s">
        <v>21</v>
      </c>
      <c r="F184" s="17" t="s">
        <v>51</v>
      </c>
      <c r="G184" s="17" t="s">
        <v>52</v>
      </c>
      <c r="H184" s="17" t="s">
        <v>440</v>
      </c>
      <c r="I184" s="203">
        <f>'PVC With Trench PRICE'!H30</f>
        <v>50.757549999999995</v>
      </c>
      <c r="J184" s="203">
        <f>'PVC With Trench PRICE'!I30</f>
        <v>118.16171799999999</v>
      </c>
      <c r="K184" s="19">
        <f t="shared" si="1"/>
        <v>0</v>
      </c>
      <c r="L184" s="19">
        <f t="shared" si="2"/>
        <v>168.91926799999999</v>
      </c>
    </row>
    <row r="185" spans="1:12">
      <c r="A185" s="13">
        <v>183</v>
      </c>
      <c r="B185" s="14" t="s">
        <v>1141</v>
      </c>
      <c r="C185" s="16" t="str">
        <f>'PVC With Trench PRICE'!A33</f>
        <v>Providing and fixing PVC pipes including jointing of pipes with one step PVC solvent cement, trenching, refilling &amp; testing of joints complete as per direction of Engineer in Charge. 15 mm dia 10Kgf/cm2 (50.18.9.1.2)</v>
      </c>
      <c r="D185" s="16" t="str">
        <f t="shared" si="0"/>
        <v>Providing and fixing PVC pipes including jointing of pipes with one step PVC solvent cement, trenching, refilling &amp; testing of joints complete as per direction of Engineer in Charge. 15 mm dia 10Kgf/cm2 (50.18.9.1.2) (Code: GWDDR183)</v>
      </c>
      <c r="E185" s="13" t="s">
        <v>21</v>
      </c>
      <c r="F185" s="17" t="s">
        <v>51</v>
      </c>
      <c r="G185" s="17" t="s">
        <v>52</v>
      </c>
      <c r="H185" s="17" t="s">
        <v>440</v>
      </c>
      <c r="I185" s="58">
        <f>'PVC With Trench PRICE'!H60</f>
        <v>36.064575000000005</v>
      </c>
      <c r="J185" s="58">
        <f>'PVC With Trench PRICE'!I60</f>
        <v>118.16171799999999</v>
      </c>
      <c r="K185" s="19">
        <f t="shared" si="1"/>
        <v>0</v>
      </c>
      <c r="L185" s="19">
        <f t="shared" si="2"/>
        <v>154.226293</v>
      </c>
    </row>
    <row r="186" spans="1:12">
      <c r="A186" s="13">
        <v>184</v>
      </c>
      <c r="B186" s="14" t="s">
        <v>1146</v>
      </c>
      <c r="C186" s="16" t="str">
        <f>'PVC With Trench PRICE'!A63</f>
        <v>Providing and fixing PVC pipes including jointing of pipes with one step PVC solvent cement, trenching, refilling &amp; testing of joints as per direction of Engineer in Charge.20 mm dia 12 Kgf/cm2 (50.18.9.2.1)</v>
      </c>
      <c r="D186" s="16" t="str">
        <f t="shared" si="0"/>
        <v>Providing and fixing PVC pipes including jointing of pipes with one step PVC solvent cement, trenching, refilling &amp; testing of joints as per direction of Engineer in Charge.20 mm dia 12 Kgf/cm2 (50.18.9.2.1) (Code: GWDDR184)</v>
      </c>
      <c r="E186" s="13" t="s">
        <v>21</v>
      </c>
      <c r="F186" s="17" t="s">
        <v>51</v>
      </c>
      <c r="G186" s="17" t="s">
        <v>52</v>
      </c>
      <c r="H186" s="17" t="s">
        <v>440</v>
      </c>
      <c r="I186" s="58">
        <f>'PVC With Trench PRICE'!H90</f>
        <v>54.0968625</v>
      </c>
      <c r="J186" s="58">
        <f>'PVC With Trench PRICE'!I90</f>
        <v>118.16171799999999</v>
      </c>
      <c r="K186" s="19">
        <f t="shared" si="1"/>
        <v>0</v>
      </c>
      <c r="L186" s="19">
        <f t="shared" si="2"/>
        <v>172.25858049999999</v>
      </c>
    </row>
    <row r="187" spans="1:12">
      <c r="A187" s="13">
        <v>185</v>
      </c>
      <c r="B187" s="14" t="s">
        <v>1148</v>
      </c>
      <c r="C187" s="16" t="str">
        <f>'PVC With Trench PRICE'!A93</f>
        <v>Providing and fixing PVC pipes including of pipes with one step PVC solvent cement, trenching, refilling &amp; testing of joints complete as per direction of Engineer in Charge. 20 mm dia 10 Kgf/cm2 (50.18.9.2.2)</v>
      </c>
      <c r="D187" s="16" t="str">
        <f t="shared" si="0"/>
        <v>Providing and fixing PVC pipes including of pipes with one step PVC solvent cement, trenching, refilling &amp; testing of joints complete as per direction of Engineer in Charge. 20 mm dia 10 Kgf/cm2 (50.18.9.2.2) (Code: GWDDR185)</v>
      </c>
      <c r="E187" s="13" t="s">
        <v>21</v>
      </c>
      <c r="F187" s="17" t="s">
        <v>51</v>
      </c>
      <c r="G187" s="17" t="s">
        <v>52</v>
      </c>
      <c r="H187" s="17" t="s">
        <v>440</v>
      </c>
      <c r="I187" s="58">
        <f>'PVC With Trench PRICE'!H120</f>
        <v>40.071749999999994</v>
      </c>
      <c r="J187" s="58">
        <f>'PVC With Trench PRICE'!I120</f>
        <v>118.16171799999999</v>
      </c>
      <c r="K187" s="19">
        <f t="shared" si="1"/>
        <v>0</v>
      </c>
      <c r="L187" s="19">
        <f t="shared" si="2"/>
        <v>158.23346799999999</v>
      </c>
    </row>
    <row r="188" spans="1:12">
      <c r="A188" s="13">
        <v>186</v>
      </c>
      <c r="B188" s="14" t="s">
        <v>1153</v>
      </c>
      <c r="C188" s="16" t="str">
        <f>'PVC With Trench PRICE'!A123</f>
        <v>Providing and fixing PVC pipes including jointing of pipes with one step PVC solvent cement, trenching, refilling &amp; testing of joints complete as per direction of Engineer in Charge 25 mm dia 12kgf/cm2 (50.18.9.3.1)</v>
      </c>
      <c r="D188" s="16" t="str">
        <f t="shared" si="0"/>
        <v>Providing and fixing PVC pipes including jointing of pipes with one step PVC solvent cement, trenching, refilling &amp; testing of joints complete as per direction of Engineer in Charge 25 mm dia 12kgf/cm2 (50.18.9.3.1) (Code: GWDDR186)</v>
      </c>
      <c r="E188" s="13" t="s">
        <v>21</v>
      </c>
      <c r="F188" s="17" t="s">
        <v>51</v>
      </c>
      <c r="G188" s="17" t="s">
        <v>52</v>
      </c>
      <c r="H188" s="17" t="s">
        <v>440</v>
      </c>
      <c r="I188" s="58">
        <f>'PVC With Trench PRICE'!H150</f>
        <v>81.479225</v>
      </c>
      <c r="J188" s="58">
        <f>'PVC With Trench PRICE'!I150</f>
        <v>128.54668949999999</v>
      </c>
      <c r="K188" s="19">
        <f t="shared" si="1"/>
        <v>0</v>
      </c>
      <c r="L188" s="19">
        <f t="shared" si="2"/>
        <v>210.0259145</v>
      </c>
    </row>
    <row r="189" spans="1:12">
      <c r="A189" s="13">
        <v>187</v>
      </c>
      <c r="B189" s="14" t="s">
        <v>1158</v>
      </c>
      <c r="C189" s="16" t="str">
        <f>'PVC With Trench PRICE'!A153</f>
        <v>Providing and fixing PVC pipes includes jointing of pipes with one step PVC solvent cement, trenching, refilling &amp; testing of joints complete as per direction of Engineer in Charge. 25 mm dia 10KGF/cm2 (50.18.9.3.2)</v>
      </c>
      <c r="D189" s="16" t="str">
        <f t="shared" si="0"/>
        <v>Providing and fixing PVC pipes includes jointing of pipes with one step PVC solvent cement, trenching, refilling &amp; testing of joints complete as per direction of Engineer in Charge. 25 mm dia 10KGF/cm2 (50.18.9.3.2) (Code: GWDDR187)</v>
      </c>
      <c r="E189" s="13" t="s">
        <v>21</v>
      </c>
      <c r="F189" s="17" t="s">
        <v>51</v>
      </c>
      <c r="G189" s="17" t="s">
        <v>52</v>
      </c>
      <c r="H189" s="17" t="s">
        <v>440</v>
      </c>
      <c r="I189" s="58">
        <f>'PVC With Trench PRICE'!H180</f>
        <v>64.114799999999988</v>
      </c>
      <c r="J189" s="58">
        <f>'PVC With Trench PRICE'!I180</f>
        <v>128.54668949999999</v>
      </c>
      <c r="K189" s="19">
        <f t="shared" si="1"/>
        <v>0</v>
      </c>
      <c r="L189" s="19">
        <f t="shared" si="2"/>
        <v>192.66148949999996</v>
      </c>
    </row>
    <row r="190" spans="1:12">
      <c r="A190" s="13">
        <v>188</v>
      </c>
      <c r="B190" s="14" t="s">
        <v>1161</v>
      </c>
      <c r="C190" s="16" t="str">
        <f>'PVC With Trench PRICE'!A183</f>
        <v>Providing and fixing PVC pipes including jointing of pipes with one step PVC solvent cement, trenching, refilling &amp; testing of joints complete as per direction of Engineer in Charge.32 mm dia 10.Kgf/cm2 (50.18.9.4.1)</v>
      </c>
      <c r="D190" s="16" t="str">
        <f t="shared" si="0"/>
        <v>Providing and fixing PVC pipes including jointing of pipes with one step PVC solvent cement, trenching, refilling &amp; testing of joints complete as per direction of Engineer in Charge.32 mm dia 10.Kgf/cm2 (50.18.9.4.1) (Code: GWDDR188)</v>
      </c>
      <c r="E190" s="13" t="s">
        <v>21</v>
      </c>
      <c r="F190" s="17" t="s">
        <v>51</v>
      </c>
      <c r="G190" s="17" t="s">
        <v>52</v>
      </c>
      <c r="H190" s="17" t="s">
        <v>440</v>
      </c>
      <c r="I190" s="58">
        <f>'PVC With Trench PRICE'!H210</f>
        <v>86.822125</v>
      </c>
      <c r="J190" s="58">
        <f>'PVC With Trench PRICE'!I210</f>
        <v>128.54668949999999</v>
      </c>
      <c r="K190" s="19">
        <f t="shared" si="1"/>
        <v>0</v>
      </c>
      <c r="L190" s="19">
        <f t="shared" si="2"/>
        <v>215.36881449999998</v>
      </c>
    </row>
    <row r="191" spans="1:12">
      <c r="A191" s="13">
        <v>189</v>
      </c>
      <c r="B191" s="14" t="s">
        <v>1165</v>
      </c>
      <c r="C191" s="16" t="str">
        <f>'PVC With Trench PRICE'!A213</f>
        <v>Providing and fixing PVC pipes including joints of pipes with one step PVC solvent cement, trenching, refilling &amp; testing of joints complete as per direction of Engineer in Charge. 32 mm dia 6 Kgf/cm2 (50.18.9.4.2)</v>
      </c>
      <c r="D191" s="16" t="str">
        <f t="shared" si="0"/>
        <v>Providing and fixing PVC pipes including joints of pipes with one step PVC solvent cement, trenching, refilling &amp; testing of joints complete as per direction of Engineer in Charge. 32 mm dia 6 Kgf/cm2 (50.18.9.4.2) (Code: GWDDR189)</v>
      </c>
      <c r="E191" s="13" t="s">
        <v>21</v>
      </c>
      <c r="F191" s="17" t="s">
        <v>51</v>
      </c>
      <c r="G191" s="17" t="s">
        <v>52</v>
      </c>
      <c r="H191" s="17" t="s">
        <v>440</v>
      </c>
      <c r="I191" s="58">
        <f>'PVC With Trench PRICE'!H240</f>
        <v>69.457700000000003</v>
      </c>
      <c r="J191" s="58">
        <f>'PVC With Trench PRICE'!I240</f>
        <v>128.54668949999999</v>
      </c>
      <c r="K191" s="19">
        <f t="shared" si="1"/>
        <v>0</v>
      </c>
      <c r="L191" s="19">
        <f t="shared" si="2"/>
        <v>198.0043895</v>
      </c>
    </row>
    <row r="192" spans="1:12">
      <c r="A192" s="13">
        <v>190</v>
      </c>
      <c r="B192" s="14" t="s">
        <v>1169</v>
      </c>
      <c r="C192" s="16" t="str">
        <f>'PVC With Trench PRICE'!A243</f>
        <v>Providing and fixing PVC pipes including jointing of pipes with one step PVC solvent cement, trenching refilling &amp; testing of joints complete as per direction of Engineer in Charge 40 mm dia 10Kgf/cm2 (50.18.9.5.1)</v>
      </c>
      <c r="D192" s="16" t="str">
        <f t="shared" si="0"/>
        <v>Providing and fixing PVC pipes including jointing of pipes with one step PVC solvent cement, trenching refilling &amp; testing of joints complete as per direction of Engineer in Charge 40 mm dia 10Kgf/cm2 (50.18.9.5.1) (Code: GWDDR190)</v>
      </c>
      <c r="E192" s="13" t="s">
        <v>21</v>
      </c>
      <c r="F192" s="17" t="s">
        <v>51</v>
      </c>
      <c r="G192" s="17" t="s">
        <v>52</v>
      </c>
      <c r="H192" s="17" t="s">
        <v>440</v>
      </c>
      <c r="I192" s="58">
        <f>'PVC With Trench PRICE'!H270</f>
        <v>112.20089999999998</v>
      </c>
      <c r="J192" s="58">
        <f>'PVC With Trench PRICE'!I270</f>
        <v>138.18249349999999</v>
      </c>
      <c r="K192" s="19">
        <f t="shared" si="1"/>
        <v>0</v>
      </c>
      <c r="L192" s="19">
        <f t="shared" si="2"/>
        <v>250.38339349999995</v>
      </c>
    </row>
    <row r="193" spans="1:12">
      <c r="A193" s="13">
        <v>191</v>
      </c>
      <c r="B193" s="14" t="s">
        <v>1173</v>
      </c>
      <c r="C193" s="16" t="str">
        <f>'PVC With Trench PRICE'!A273</f>
        <v>Providing and fixing PVC pipes including jointing of pipes with one step PVC solvent cement, trenching, refilling &amp; testing of joints compete as per direction of Engineer in Charge. 40 mm dia 6 Kgf/cm2 (50.18.9.5.2)</v>
      </c>
      <c r="D193" s="16" t="str">
        <f t="shared" si="0"/>
        <v>Providing and fixing PVC pipes including jointing of pipes with one step PVC solvent cement, trenching, refilling &amp; testing of joints compete as per direction of Engineer in Charge. 40 mm dia 6 Kgf/cm2 (50.18.9.5.2) (Code: GWDDR191)</v>
      </c>
      <c r="E193" s="13" t="s">
        <v>21</v>
      </c>
      <c r="F193" s="17" t="s">
        <v>51</v>
      </c>
      <c r="G193" s="17" t="s">
        <v>52</v>
      </c>
      <c r="H193" s="17" t="s">
        <v>440</v>
      </c>
      <c r="I193" s="58">
        <f>'PVC With Trench PRICE'!H300</f>
        <v>70.793424999999999</v>
      </c>
      <c r="J193" s="58">
        <f>'PVC With Trench PRICE'!I300</f>
        <v>138.18249349999999</v>
      </c>
      <c r="K193" s="19">
        <f t="shared" si="1"/>
        <v>0</v>
      </c>
      <c r="L193" s="19">
        <f t="shared" si="2"/>
        <v>208.97591849999998</v>
      </c>
    </row>
    <row r="194" spans="1:12">
      <c r="A194" s="13">
        <v>192</v>
      </c>
      <c r="B194" s="14" t="s">
        <v>1177</v>
      </c>
      <c r="C194" s="16" t="str">
        <f>'PVC With Trench PRICE'!A303</f>
        <v>Providing and fixing PVC pipes including jointing of pipes with one step PVC solvent cement, trenching, refilling &amp; testing of joints complete as per direction of Engineer in Charge. 50 mm dia 10Kgf/cm2 (50.18.9.6.1)</v>
      </c>
      <c r="D194" s="16" t="str">
        <f t="shared" si="0"/>
        <v>Providing and fixing PVC pipes including jointing of pipes with one step PVC solvent cement, trenching, refilling &amp; testing of joints complete as per direction of Engineer in Charge. 50 mm dia 10Kgf/cm2 (50.18.9.6.1) (Code: GWDDR192)</v>
      </c>
      <c r="E194" s="13" t="s">
        <v>21</v>
      </c>
      <c r="F194" s="17" t="s">
        <v>51</v>
      </c>
      <c r="G194" s="17" t="s">
        <v>52</v>
      </c>
      <c r="H194" s="17" t="s">
        <v>440</v>
      </c>
      <c r="I194" s="58">
        <f>'PVC With Trench PRICE'!H330</f>
        <v>120.21524999999997</v>
      </c>
      <c r="J194" s="58">
        <f>'PVC With Trench PRICE'!I330</f>
        <v>138.18249349999999</v>
      </c>
      <c r="K194" s="19">
        <f t="shared" si="1"/>
        <v>0</v>
      </c>
      <c r="L194" s="19">
        <f t="shared" si="2"/>
        <v>258.39774349999993</v>
      </c>
    </row>
    <row r="195" spans="1:12">
      <c r="A195" s="13">
        <v>193</v>
      </c>
      <c r="B195" s="14" t="s">
        <v>1183</v>
      </c>
      <c r="C195" s="16" t="str">
        <f>'PVC With Trench PRICE'!A333</f>
        <v>Providing and fixing PVC pipes including jointing of pipes with one step PVC solvent cement, trenching, refilling &amp; testing of joints complete as per direction of Engineer in Charge. 50 mm dia 6 Kgf/cm2 (50.18.9.6.2)</v>
      </c>
      <c r="D195" s="16" t="str">
        <f t="shared" si="0"/>
        <v>Providing and fixing PVC pipes including jointing of pipes with one step PVC solvent cement, trenching, refilling &amp; testing of joints complete as per direction of Engineer in Charge. 50 mm dia 6 Kgf/cm2 (50.18.9.6.2) (Code: GWDDR193)</v>
      </c>
      <c r="E195" s="13" t="s">
        <v>21</v>
      </c>
      <c r="F195" s="17" t="s">
        <v>51</v>
      </c>
      <c r="G195" s="17" t="s">
        <v>52</v>
      </c>
      <c r="H195" s="17" t="s">
        <v>440</v>
      </c>
      <c r="I195" s="58">
        <f>'PVC With Trench PRICE'!H360</f>
        <v>80.143499999999989</v>
      </c>
      <c r="J195" s="58">
        <f>'PVC With Trench PRICE'!I360</f>
        <v>138.18249349999999</v>
      </c>
      <c r="K195" s="19">
        <f t="shared" si="1"/>
        <v>0</v>
      </c>
      <c r="L195" s="19">
        <f t="shared" si="2"/>
        <v>218.32599349999998</v>
      </c>
    </row>
    <row r="196" spans="1:12">
      <c r="A196" s="13">
        <v>194</v>
      </c>
      <c r="B196" s="14" t="s">
        <v>1186</v>
      </c>
      <c r="C196" s="16" t="str">
        <f>'PVC With Trench PRICE'!A363</f>
        <v>Providing and fixing PVC pipes including of pipes with one step PVC solvent cement, trenching refilling &amp; testing of joints complete as per direction of Engineer in Charge. 63 mm dia 6Kgf/cm2 (50.18.9.7.1)</v>
      </c>
      <c r="D196" s="16" t="str">
        <f t="shared" si="0"/>
        <v>Providing and fixing PVC pipes including of pipes with one step PVC solvent cement, trenching refilling &amp; testing of joints complete as per direction of Engineer in Charge. 63 mm dia 6Kgf/cm2 (50.18.9.7.1) (Code: GWDDR194)</v>
      </c>
      <c r="E196" s="13" t="s">
        <v>21</v>
      </c>
      <c r="F196" s="17" t="s">
        <v>51</v>
      </c>
      <c r="G196" s="17" t="s">
        <v>52</v>
      </c>
      <c r="H196" s="17" t="s">
        <v>440</v>
      </c>
      <c r="I196" s="58">
        <f>'PVC With Trench PRICE'!H390</f>
        <v>143.90985000000001</v>
      </c>
      <c r="J196" s="58">
        <f>'PVC With Trench PRICE'!I390</f>
        <v>171.10056500000002</v>
      </c>
      <c r="K196" s="19">
        <f t="shared" si="1"/>
        <v>0</v>
      </c>
      <c r="L196" s="19">
        <f t="shared" si="2"/>
        <v>315.01041500000002</v>
      </c>
    </row>
    <row r="197" spans="1:12">
      <c r="A197" s="13">
        <v>195</v>
      </c>
      <c r="B197" s="14" t="s">
        <v>1190</v>
      </c>
      <c r="C197" s="16" t="str">
        <f>'PVC With Trench PRICE'!A393</f>
        <v>Providing and fixing PVC pipes including jointing of pipes with one step PVC solvent cement, trenching, refilling &amp; testing of joints complete as per direction of Engineer in Charge.63 mm dia 4 Kgf/cm2 (50.18.9.7.2)</v>
      </c>
      <c r="D197" s="16" t="str">
        <f t="shared" si="0"/>
        <v>Providing and fixing PVC pipes including jointing of pipes with one step PVC solvent cement, trenching, refilling &amp; testing of joints complete as per direction of Engineer in Charge.63 mm dia 4 Kgf/cm2 (50.18.9.7.2) (Code: GWDDR195)</v>
      </c>
      <c r="E197" s="13" t="s">
        <v>21</v>
      </c>
      <c r="F197" s="17" t="s">
        <v>51</v>
      </c>
      <c r="G197" s="17" t="s">
        <v>52</v>
      </c>
      <c r="H197" s="17" t="s">
        <v>440</v>
      </c>
      <c r="I197" s="58">
        <f>'PVC With Trench PRICE'!H420</f>
        <v>101.22472500000001</v>
      </c>
      <c r="J197" s="58">
        <f>'PVC With Trench PRICE'!I420</f>
        <v>171.10056500000002</v>
      </c>
      <c r="K197" s="19">
        <f t="shared" si="1"/>
        <v>0</v>
      </c>
      <c r="L197" s="19">
        <f t="shared" si="2"/>
        <v>272.32529</v>
      </c>
    </row>
    <row r="198" spans="1:12">
      <c r="A198" s="13">
        <v>196</v>
      </c>
      <c r="B198" s="14" t="s">
        <v>1194</v>
      </c>
      <c r="C198" s="16" t="str">
        <f>'PVC With Trench PRICE'!A423</f>
        <v>Providing and fixing PVC pipes including jointing of pipes with one step PVC solvent cement, trenching, refilling &amp; testing of joints complete as per direction of Engineer in Charge. 75 mm dia 6 Kgf/ cm2 50.18.9.8.1)</v>
      </c>
      <c r="D198" s="16" t="str">
        <f t="shared" si="0"/>
        <v>Providing and fixing PVC pipes including jointing of pipes with one step PVC solvent cement, trenching, refilling &amp; testing of joints complete as per direction of Engineer in Charge. 75 mm dia 6 Kgf/ cm2 50.18.9.8.1) (Code: GWDDR196)</v>
      </c>
      <c r="E198" s="13" t="s">
        <v>21</v>
      </c>
      <c r="F198" s="17" t="s">
        <v>51</v>
      </c>
      <c r="G198" s="17" t="s">
        <v>52</v>
      </c>
      <c r="H198" s="17" t="s">
        <v>440</v>
      </c>
      <c r="I198" s="58">
        <f>'PVC With Trench PRICE'!H450</f>
        <v>157.325175</v>
      </c>
      <c r="J198" s="58">
        <f>'PVC With Trench PRICE'!I450</f>
        <v>171.10056500000002</v>
      </c>
      <c r="K198" s="19">
        <f t="shared" si="1"/>
        <v>0</v>
      </c>
      <c r="L198" s="19">
        <f t="shared" si="2"/>
        <v>328.42574000000002</v>
      </c>
    </row>
    <row r="199" spans="1:12">
      <c r="A199" s="13">
        <v>197</v>
      </c>
      <c r="B199" s="14" t="s">
        <v>1200</v>
      </c>
      <c r="C199" s="16" t="str">
        <f>'PVC With Trench PRICE'!A453</f>
        <v>Providing and fixing PVC pipes including of pipes with one step PVC solvent cement, trenching and refilling &amp; testing of joints complete as per direction of Engineer in Charge. 75 mm dia 4 Kgf/cm2 50.18.9.8.2)</v>
      </c>
      <c r="D199" s="16" t="str">
        <f t="shared" si="0"/>
        <v>Providing and fixing PVC pipes including of pipes with one step PVC solvent cement, trenching and refilling &amp; testing of joints complete as per direction of Engineer in Charge. 75 mm dia 4 Kgf/cm2 50.18.9.8.2) (Code: GWDDR197)</v>
      </c>
      <c r="E199" s="13" t="s">
        <v>21</v>
      </c>
      <c r="F199" s="17" t="s">
        <v>51</v>
      </c>
      <c r="G199" s="17" t="s">
        <v>52</v>
      </c>
      <c r="H199" s="17" t="s">
        <v>440</v>
      </c>
      <c r="I199" s="58">
        <f>'PVC With Trench PRICE'!H480</f>
        <v>115.85962499999998</v>
      </c>
      <c r="J199" s="58">
        <f>'PVC With Trench PRICE'!I480</f>
        <v>171.10056500000002</v>
      </c>
      <c r="K199" s="19">
        <f t="shared" si="1"/>
        <v>0</v>
      </c>
      <c r="L199" s="19">
        <f t="shared" si="2"/>
        <v>286.96019000000001</v>
      </c>
    </row>
    <row r="200" spans="1:12">
      <c r="A200" s="13">
        <v>198</v>
      </c>
      <c r="B200" s="14" t="s">
        <v>1206</v>
      </c>
      <c r="C200" s="16" t="str">
        <f>'PVC With Trench PRICE'!A483</f>
        <v>Providing and fixing PVC pipes including jointing of pipes with one step PVC solvent cement, trenching, refilling &amp; testing of Joints complete as per direction of engineer in charge.110 mm dia 6Kgf/cm2 (50.18.9.9.1)</v>
      </c>
      <c r="D200" s="16" t="str">
        <f t="shared" si="0"/>
        <v>Providing and fixing PVC pipes including jointing of pipes with one step PVC solvent cement, trenching, refilling &amp; testing of Joints complete as per direction of engineer in charge.110 mm dia 6Kgf/cm2 (50.18.9.9.1) (Code: GWDDR198)</v>
      </c>
      <c r="E200" s="13" t="s">
        <v>21</v>
      </c>
      <c r="F200" s="17" t="s">
        <v>51</v>
      </c>
      <c r="G200" s="17" t="s">
        <v>52</v>
      </c>
      <c r="H200" s="17" t="s">
        <v>440</v>
      </c>
      <c r="I200" s="58">
        <f>'PVC With Trench PRICE'!H510</f>
        <v>257.33032500000002</v>
      </c>
      <c r="J200" s="58">
        <f>'PVC With Trench PRICE'!I510</f>
        <v>226.22883949999999</v>
      </c>
      <c r="K200" s="19">
        <f t="shared" si="1"/>
        <v>0</v>
      </c>
      <c r="L200" s="19">
        <f t="shared" si="2"/>
        <v>483.55916450000001</v>
      </c>
    </row>
    <row r="201" spans="1:12">
      <c r="A201" s="13">
        <v>199</v>
      </c>
      <c r="B201" s="14" t="s">
        <v>1214</v>
      </c>
      <c r="C201" s="16" t="str">
        <f>'PVC With Trench PRICE'!A513</f>
        <v>Providing and fixing PVC pipes includes joints of pipes with one step PVC solvent cement, trenching, refilling &amp; testing of joints complete as per direction of Engineer in CHarge. 110 mm dia 4 Kg/cm2 (50.18.9.9.2)</v>
      </c>
      <c r="D201" s="16" t="str">
        <f t="shared" si="0"/>
        <v>Providing and fixing PVC pipes includes joints of pipes with one step PVC solvent cement, trenching, refilling &amp; testing of joints complete as per direction of Engineer in CHarge. 110 mm dia 4 Kg/cm2 (50.18.9.9.2) (Code: GWDDR199)</v>
      </c>
      <c r="E201" s="13" t="s">
        <v>21</v>
      </c>
      <c r="F201" s="17" t="s">
        <v>51</v>
      </c>
      <c r="G201" s="17" t="s">
        <v>52</v>
      </c>
      <c r="H201" s="17" t="s">
        <v>440</v>
      </c>
      <c r="I201" s="58">
        <f>'PVC With Trench PRICE'!H540</f>
        <v>207.32774999999998</v>
      </c>
      <c r="J201" s="58">
        <f>'PVC With Trench PRICE'!I540</f>
        <v>226.22883949999999</v>
      </c>
      <c r="K201" s="19">
        <f t="shared" si="1"/>
        <v>0</v>
      </c>
      <c r="L201" s="19">
        <f t="shared" si="2"/>
        <v>433.55658949999997</v>
      </c>
    </row>
    <row r="202" spans="1:12">
      <c r="A202" s="13">
        <v>200</v>
      </c>
      <c r="B202" s="14" t="s">
        <v>1221</v>
      </c>
      <c r="C202" s="16" t="str">
        <f>'PVC With Trench PRICE'!A543</f>
        <v>Providing and fixing PVC pipes including jointing of pipes with one step pvc solvent cement, trenching , refilling &amp; testing of joints complete as per direction of Engineer in Charge. 150 mm dia 6 Kgf/cm2 (50.18.9.10.1)</v>
      </c>
      <c r="D202" s="16" t="str">
        <f t="shared" si="0"/>
        <v>Providing and fixing PVC pipes including jointing of pipes with one step pvc solvent cement, trenching , refilling &amp; testing of joints complete as per direction of Engineer in Charge. 150 mm dia 6 Kgf/cm2 (50.18.9.10.1) (Code: GWDDR200)</v>
      </c>
      <c r="E202" s="13" t="s">
        <v>21</v>
      </c>
      <c r="F202" s="17" t="s">
        <v>51</v>
      </c>
      <c r="G202" s="17" t="s">
        <v>52</v>
      </c>
      <c r="H202" s="17" t="s">
        <v>440</v>
      </c>
      <c r="I202" s="58">
        <f>'PVC With Trench PRICE'!H570</f>
        <v>634.17899999999997</v>
      </c>
      <c r="J202" s="58">
        <f>'PVC With Trench PRICE'!I570</f>
        <v>226.22883949999999</v>
      </c>
      <c r="K202" s="19">
        <f t="shared" si="1"/>
        <v>0</v>
      </c>
      <c r="L202" s="19">
        <f t="shared" si="2"/>
        <v>860.40783949999991</v>
      </c>
    </row>
    <row r="203" spans="1:12">
      <c r="A203" s="13">
        <v>201</v>
      </c>
      <c r="B203" s="14" t="s">
        <v>1223</v>
      </c>
      <c r="C203" s="16"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16" t="str">
        <f t="shared" si="0"/>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13" t="s">
        <v>1225</v>
      </c>
      <c r="F203" s="17" t="s">
        <v>51</v>
      </c>
      <c r="G203" s="17" t="s">
        <v>52</v>
      </c>
      <c r="H203" s="17" t="s">
        <v>53</v>
      </c>
      <c r="I203" s="13">
        <v>0</v>
      </c>
      <c r="J203" s="17">
        <f>'Water Tank'!C2</f>
        <v>8.41</v>
      </c>
      <c r="K203" s="19">
        <f t="shared" si="1"/>
        <v>0</v>
      </c>
      <c r="L203" s="19">
        <f t="shared" si="2"/>
        <v>8.41</v>
      </c>
    </row>
    <row r="204" spans="1:12">
      <c r="A204" s="13">
        <v>202</v>
      </c>
      <c r="B204" s="14" t="s">
        <v>1228</v>
      </c>
      <c r="C204" s="16" t="str">
        <f>'PVC Fittings'!A3</f>
        <v>Providing and fixing PVC moulded fittings/ accessories for Rigid PVC pipes, including jointing with PVC solvent cement - 150 mm dia Bend</v>
      </c>
      <c r="D204" s="16" t="str">
        <f t="shared" si="0"/>
        <v>Providing and fixing PVC moulded fittings/ accessories for Rigid PVC pipes, including jointing with PVC solvent cement - 150 mm dia Bend (Code: GWDDR202)</v>
      </c>
      <c r="E204" s="13" t="s">
        <v>46</v>
      </c>
      <c r="F204" s="17" t="s">
        <v>51</v>
      </c>
      <c r="G204" s="17" t="s">
        <v>49</v>
      </c>
      <c r="H204" s="17" t="s">
        <v>50</v>
      </c>
      <c r="I204" s="58">
        <f>'PVC Fittings'!H26</f>
        <v>638.82499999999993</v>
      </c>
      <c r="J204" s="58">
        <f>'PVC Fittings'!I26</f>
        <v>29.7701742</v>
      </c>
      <c r="K204" s="19">
        <f t="shared" si="1"/>
        <v>0</v>
      </c>
      <c r="L204" s="19">
        <f t="shared" si="2"/>
        <v>668.59517419999997</v>
      </c>
    </row>
    <row r="205" spans="1:12">
      <c r="A205" s="13">
        <v>203</v>
      </c>
      <c r="B205" s="14" t="s">
        <v>1231</v>
      </c>
      <c r="C205" s="16" t="str">
        <f>'PVC Fittings'!A29</f>
        <v>Providing and fixing PVC moulded fittings/accessories for Rigid PVC pipes,including jointing with PVC solvent cement - 90 mm dia Socket/ coupling</v>
      </c>
      <c r="D205" s="16" t="str">
        <f t="shared" si="0"/>
        <v>Providing and fixing PVC moulded fittings/accessories for Rigid PVC pipes,including jointing with PVC solvent cement - 90 mm dia Socket/ coupling (Code: GWDDR203)</v>
      </c>
      <c r="E205" s="13" t="s">
        <v>46</v>
      </c>
      <c r="F205" s="17" t="s">
        <v>51</v>
      </c>
      <c r="G205" s="17" t="s">
        <v>49</v>
      </c>
      <c r="H205" s="17" t="s">
        <v>211</v>
      </c>
      <c r="I205" s="58">
        <f>'PVC Fittings'!H52</f>
        <v>60.397999999999996</v>
      </c>
      <c r="J205" s="58">
        <f>'PVC Fittings'!I52</f>
        <v>33.291377599999997</v>
      </c>
      <c r="K205" s="19">
        <f t="shared" si="1"/>
        <v>0</v>
      </c>
      <c r="L205" s="19">
        <f t="shared" si="2"/>
        <v>93.6893776</v>
      </c>
    </row>
    <row r="206" spans="1:12">
      <c r="A206" s="13">
        <v>204</v>
      </c>
      <c r="B206" s="14" t="s">
        <v>1234</v>
      </c>
      <c r="C206" s="16" t="str">
        <f>'PVC Fittings'!A55</f>
        <v>Providing and fixing PVC moulded fittings/accessories for Rigid PVC pipes,including jointing with PVC solvent cement - 140 mm dia Socket/ coupling</v>
      </c>
      <c r="D206" s="16" t="str">
        <f t="shared" si="0"/>
        <v>Providing and fixing PVC moulded fittings/accessories for Rigid PVC pipes,including jointing with PVC solvent cement - 140 mm dia Socket/ coupling (Code: GWDDR204)</v>
      </c>
      <c r="E206" s="13" t="s">
        <v>46</v>
      </c>
      <c r="F206" s="17" t="s">
        <v>51</v>
      </c>
      <c r="G206" s="17" t="s">
        <v>49</v>
      </c>
      <c r="H206" s="17" t="s">
        <v>211</v>
      </c>
      <c r="I206" s="58">
        <f>'PVC Fittings'!H78</f>
        <v>185.83999999999997</v>
      </c>
      <c r="J206" s="58">
        <f>'PVC Fittings'!I78</f>
        <v>33.291377599999997</v>
      </c>
      <c r="K206" s="19">
        <f t="shared" si="1"/>
        <v>0</v>
      </c>
      <c r="L206" s="19">
        <f t="shared" si="2"/>
        <v>219.13137759999998</v>
      </c>
    </row>
    <row r="207" spans="1:12">
      <c r="A207" s="13">
        <v>205</v>
      </c>
      <c r="B207" s="14" t="s">
        <v>1238</v>
      </c>
      <c r="C207" s="16" t="str">
        <f>'PVC Fittings'!A81</f>
        <v>Providing and fixing PVC moulded fittings/accessories for Rigid PVC pipes,including jointing with PVC solvent cement - 160 mm dia Socket/ coupling</v>
      </c>
      <c r="D207" s="16" t="str">
        <f t="shared" si="0"/>
        <v>Providing and fixing PVC moulded fittings/accessories for Rigid PVC pipes,including jointing with PVC solvent cement - 160 mm dia Socket/ coupling (Code: GWDDR205)</v>
      </c>
      <c r="E207" s="13" t="s">
        <v>46</v>
      </c>
      <c r="F207" s="17" t="s">
        <v>51</v>
      </c>
      <c r="G207" s="17" t="s">
        <v>49</v>
      </c>
      <c r="H207" s="17" t="s">
        <v>211</v>
      </c>
      <c r="I207" s="58">
        <f>'PVC Fittings'!H104</f>
        <v>214.87749999999997</v>
      </c>
      <c r="J207" s="58">
        <f>'PVC Fittings'!I104</f>
        <v>33.291377599999997</v>
      </c>
      <c r="K207" s="19">
        <f t="shared" si="1"/>
        <v>0</v>
      </c>
      <c r="L207" s="19">
        <f t="shared" si="2"/>
        <v>248.16887759999997</v>
      </c>
    </row>
    <row r="208" spans="1:12">
      <c r="A208" s="13">
        <v>206</v>
      </c>
      <c r="B208" s="14" t="s">
        <v>1241</v>
      </c>
      <c r="C208" s="16" t="str">
        <f>'PVC Fittings'!A107</f>
        <v>Providing and fixing PVC moulded fittings/accessories for Rigid PVC pipes,including jointing with PVC solvent cement - 180 mm dia Socket/ coupling</v>
      </c>
      <c r="D208" s="16" t="str">
        <f t="shared" si="0"/>
        <v>Providing and fixing PVC moulded fittings/accessories for Rigid PVC pipes,including jointing with PVC solvent cement - 180 mm dia Socket/ coupling (Code: GWDDR206)</v>
      </c>
      <c r="E208" s="13" t="s">
        <v>46</v>
      </c>
      <c r="F208" s="17" t="s">
        <v>51</v>
      </c>
      <c r="G208" s="17" t="s">
        <v>49</v>
      </c>
      <c r="H208" s="17" t="s">
        <v>211</v>
      </c>
      <c r="I208" s="58">
        <f>'PVC Fittings'!H130</f>
        <v>245.07650000000001</v>
      </c>
      <c r="J208" s="58">
        <f>'PVC Fittings'!I130</f>
        <v>33.291377599999997</v>
      </c>
      <c r="K208" s="19">
        <f t="shared" si="1"/>
        <v>0</v>
      </c>
      <c r="L208" s="19">
        <f t="shared" si="2"/>
        <v>278.36787759999999</v>
      </c>
    </row>
    <row r="209" spans="1:12">
      <c r="A209" s="13">
        <v>207</v>
      </c>
      <c r="B209" s="14" t="s">
        <v>1246</v>
      </c>
      <c r="C209" s="16" t="str">
        <f>'PVC Fittings'!A133</f>
        <v>Providing and fixing PVC moulded fittings/accessories for Rigid PVC pipes,including jointing with PVC solvent cement - 200 mm dia Socket/ coupling</v>
      </c>
      <c r="D209" s="16" t="str">
        <f t="shared" si="0"/>
        <v>Providing and fixing PVC moulded fittings/accessories for Rigid PVC pipes,including jointing with PVC solvent cement - 200 mm dia Socket/ coupling (Code: GWDDR207)</v>
      </c>
      <c r="E209" s="13" t="s">
        <v>46</v>
      </c>
      <c r="F209" s="17" t="s">
        <v>51</v>
      </c>
      <c r="G209" s="17" t="s">
        <v>49</v>
      </c>
      <c r="H209" s="17" t="s">
        <v>211</v>
      </c>
      <c r="I209" s="58">
        <f>'PVC Fittings'!H156</f>
        <v>394.90999999999997</v>
      </c>
      <c r="J209" s="58">
        <f>'PVC Fittings'!I156</f>
        <v>33.291377599999997</v>
      </c>
      <c r="K209" s="19">
        <f t="shared" si="1"/>
        <v>0</v>
      </c>
      <c r="L209" s="19">
        <f t="shared" si="2"/>
        <v>428.20137759999994</v>
      </c>
    </row>
    <row r="210" spans="1:12">
      <c r="A210" s="13">
        <v>208</v>
      </c>
      <c r="B210" s="14" t="s">
        <v>1249</v>
      </c>
      <c r="C210" s="16" t="str">
        <f>'PVC Fittings'!A159</f>
        <v>Providing and fixing PVC moulded fittings/accessories for Rigid PVC pipes,including jointing with PVC solvent cement - 250 mm dia Socket/ coupling</v>
      </c>
      <c r="D210" s="16" t="str">
        <f t="shared" si="0"/>
        <v>Providing and fixing PVC moulded fittings/accessories for Rigid PVC pipes,including jointing with PVC solvent cement - 250 mm dia Socket/ coupling (Code: GWDDR208)</v>
      </c>
      <c r="E210" s="13" t="s">
        <v>46</v>
      </c>
      <c r="F210" s="17" t="s">
        <v>51</v>
      </c>
      <c r="G210" s="17" t="s">
        <v>49</v>
      </c>
      <c r="H210" s="17" t="s">
        <v>211</v>
      </c>
      <c r="I210" s="58">
        <f>'PVC Fittings'!H182</f>
        <v>1037.2194999999999</v>
      </c>
      <c r="J210" s="58">
        <f>'PVC Fittings'!I182</f>
        <v>33.291377599999997</v>
      </c>
      <c r="K210" s="19">
        <f t="shared" si="1"/>
        <v>0</v>
      </c>
      <c r="L210" s="19">
        <f t="shared" si="2"/>
        <v>1070.5108776</v>
      </c>
    </row>
    <row r="211" spans="1:12">
      <c r="A211" s="13">
        <v>209</v>
      </c>
      <c r="B211" s="14" t="s">
        <v>1252</v>
      </c>
      <c r="C211" s="16" t="str">
        <f>'PVC Fittings'!A185</f>
        <v>Providing and fixing PVC moulded fittings/accessories for Rigid PVC pipes,including jointing with PVC solvent cement - 280 mm dia Socket/ coupling</v>
      </c>
      <c r="D211" s="16" t="str">
        <f t="shared" si="0"/>
        <v>Providing and fixing PVC moulded fittings/accessories for Rigid PVC pipes,including jointing with PVC solvent cement - 280 mm dia Socket/ coupling (Code: GWDDR209)</v>
      </c>
      <c r="E211" s="13" t="s">
        <v>46</v>
      </c>
      <c r="F211" s="17" t="s">
        <v>51</v>
      </c>
      <c r="G211" s="17" t="s">
        <v>49</v>
      </c>
      <c r="H211" s="17" t="s">
        <v>211</v>
      </c>
      <c r="I211" s="58">
        <f>'PVC Fittings'!H208</f>
        <v>1161.5</v>
      </c>
      <c r="J211" s="58">
        <f>'PVC Fittings'!I208</f>
        <v>33.291377599999997</v>
      </c>
      <c r="K211" s="19">
        <f t="shared" si="1"/>
        <v>0</v>
      </c>
      <c r="L211" s="19">
        <f t="shared" si="2"/>
        <v>1194.7913776</v>
      </c>
    </row>
    <row r="212" spans="1:12">
      <c r="A212" s="13">
        <v>210</v>
      </c>
      <c r="B212" s="14" t="s">
        <v>1258</v>
      </c>
      <c r="C212" s="16" t="str">
        <f>'PVC Fittings PRICE'!A3</f>
        <v>Providing and fixing PVC moulded fitting / accessories for Rigid PVC pipes, including jointing with PVC solvent cement-63 mm dia Socket /coupling (50.18.9.20.9)</v>
      </c>
      <c r="D212" s="16" t="str">
        <f t="shared" si="0"/>
        <v>Providing and fixing PVC moulded fitting / accessories for Rigid PVC pipes, including jointing with PVC solvent cement-63 mm dia Socket /coupling (50.18.9.20.9) (Code: GWDDR210)</v>
      </c>
      <c r="E212" s="13" t="s">
        <v>46</v>
      </c>
      <c r="F212" s="17" t="s">
        <v>51</v>
      </c>
      <c r="G212" s="17" t="s">
        <v>49</v>
      </c>
      <c r="H212" s="17" t="s">
        <v>211</v>
      </c>
      <c r="I212" s="58">
        <f>'PVC Fittings PRICE'!H26</f>
        <v>28.45675</v>
      </c>
      <c r="J212" s="58">
        <f>'PVC Fittings PRICE'!I26</f>
        <v>29.7701742</v>
      </c>
      <c r="K212" s="19">
        <f t="shared" si="1"/>
        <v>0</v>
      </c>
      <c r="L212" s="19">
        <f t="shared" si="2"/>
        <v>58.226924199999999</v>
      </c>
    </row>
    <row r="213" spans="1:12">
      <c r="A213" s="13">
        <v>211</v>
      </c>
      <c r="B213" s="14" t="s">
        <v>1262</v>
      </c>
      <c r="C213" s="16" t="str">
        <f>'PVC Fittings PRICE'!A29</f>
        <v>Providing and fixing PVC moulded fittings/ accessories for Rigid PVC pipes, including jointing with PVC solvent cement - 75 mm dia Socket /coupling (50.18.9.21.9)</v>
      </c>
      <c r="D213" s="16" t="str">
        <f t="shared" si="0"/>
        <v>Providing and fixing PVC moulded fittings/ accessories for Rigid PVC pipes, including jointing with PVC solvent cement - 75 mm dia Socket /coupling (50.18.9.21.9) (Code: GWDDR211)</v>
      </c>
      <c r="E213" s="13" t="s">
        <v>46</v>
      </c>
      <c r="F213" s="17" t="s">
        <v>51</v>
      </c>
      <c r="G213" s="17" t="s">
        <v>49</v>
      </c>
      <c r="H213" s="17" t="s">
        <v>211</v>
      </c>
      <c r="I213" s="58">
        <f>'PVC Fittings PRICE'!H52</f>
        <v>34.844999999999999</v>
      </c>
      <c r="J213" s="58">
        <f>'PVC Fittings PRICE'!I52</f>
        <v>29.7701742</v>
      </c>
      <c r="K213" s="19">
        <f t="shared" si="1"/>
        <v>0</v>
      </c>
      <c r="L213" s="19">
        <f t="shared" si="2"/>
        <v>64.615174199999998</v>
      </c>
    </row>
    <row r="214" spans="1:12">
      <c r="A214" s="13">
        <v>212</v>
      </c>
      <c r="B214" s="14" t="s">
        <v>1266</v>
      </c>
      <c r="C214" s="16" t="str">
        <f>'PVC Fittings PRICE'!A55</f>
        <v>Providing and fixing PVC moulded fittings/accessories for Rigid PVC pipes,including jointing with PVC solvent cement - 110 mm dia Socket/ coupling (50.18.9.22.11)</v>
      </c>
      <c r="D214" s="16" t="str">
        <f t="shared" si="0"/>
        <v>Providing and fixing PVC moulded fittings/accessories for Rigid PVC pipes,including jointing with PVC solvent cement - 110 mm dia Socket/ coupling (50.18.9.22.11) (Code: GWDDR212)</v>
      </c>
      <c r="E214" s="13" t="s">
        <v>46</v>
      </c>
      <c r="F214" s="17" t="s">
        <v>51</v>
      </c>
      <c r="G214" s="17" t="s">
        <v>49</v>
      </c>
      <c r="H214" s="17" t="s">
        <v>211</v>
      </c>
      <c r="I214" s="58">
        <f>'PVC Fittings PRICE'!H78</f>
        <v>68.528499999999994</v>
      </c>
      <c r="J214" s="58">
        <f>'PVC Fittings PRICE'!I78</f>
        <v>33.291377599999997</v>
      </c>
      <c r="K214" s="19">
        <f t="shared" si="1"/>
        <v>0</v>
      </c>
      <c r="L214" s="19">
        <f t="shared" si="2"/>
        <v>101.81987759999998</v>
      </c>
    </row>
    <row r="215" spans="1:12">
      <c r="A215" s="13">
        <v>213</v>
      </c>
      <c r="B215" s="14" t="s">
        <v>1268</v>
      </c>
      <c r="C215" s="16" t="str">
        <f>'PVC Fittings PRICE'!A81</f>
        <v>Providing and fixing PVC moulded fittings/ accessories for Rigid PVC pipes, including jointing with PVC solvent cement - 63 mm dia Bend (50.18.9.20.4)</v>
      </c>
      <c r="D215" s="16" t="str">
        <f t="shared" si="0"/>
        <v>Providing and fixing PVC moulded fittings/ accessories for Rigid PVC pipes, including jointing with PVC solvent cement - 63 mm dia Bend (50.18.9.20.4) (Code: GWDDR213)</v>
      </c>
      <c r="E215" s="13" t="s">
        <v>46</v>
      </c>
      <c r="F215" s="17" t="s">
        <v>51</v>
      </c>
      <c r="G215" s="17" t="s">
        <v>49</v>
      </c>
      <c r="H215" s="17" t="s">
        <v>50</v>
      </c>
      <c r="I215" s="58">
        <f>'PVC Fittings PRICE'!H104</f>
        <v>41.233249999999991</v>
      </c>
      <c r="J215" s="58">
        <f>'PVC Fittings PRICE'!I104</f>
        <v>29.7701742</v>
      </c>
      <c r="K215" s="19">
        <f t="shared" si="1"/>
        <v>0</v>
      </c>
      <c r="L215" s="19">
        <f t="shared" si="2"/>
        <v>71.003424199999984</v>
      </c>
    </row>
    <row r="216" spans="1:12">
      <c r="A216" s="13">
        <v>214</v>
      </c>
      <c r="B216" s="14" t="s">
        <v>1272</v>
      </c>
      <c r="C216" s="16" t="str">
        <f>'PVC Fittings PRICE'!A107</f>
        <v>Providing and fixing PVC moulded fittings/ accessories for Rigid PVC pipes, including jointing with PVC solvent cement - 75 mm dia Bend (50.18.9.21.4)</v>
      </c>
      <c r="D216" s="16" t="str">
        <f t="shared" si="0"/>
        <v>Providing and fixing PVC moulded fittings/ accessories for Rigid PVC pipes, including jointing with PVC solvent cement - 75 mm dia Bend (50.18.9.21.4) (Code: GWDDR214)</v>
      </c>
      <c r="E216" s="13" t="s">
        <v>46</v>
      </c>
      <c r="F216" s="17" t="s">
        <v>51</v>
      </c>
      <c r="G216" s="17" t="s">
        <v>49</v>
      </c>
      <c r="H216" s="17" t="s">
        <v>50</v>
      </c>
      <c r="I216" s="58">
        <f>'PVC Fittings PRICE'!H130</f>
        <v>50.52525</v>
      </c>
      <c r="J216" s="58">
        <f>'PVC Fittings PRICE'!I130</f>
        <v>29.7701742</v>
      </c>
      <c r="K216" s="19">
        <f t="shared" si="1"/>
        <v>0</v>
      </c>
      <c r="L216" s="19">
        <f t="shared" si="2"/>
        <v>80.295424199999999</v>
      </c>
    </row>
    <row r="217" spans="1:12">
      <c r="A217" s="13">
        <v>215</v>
      </c>
      <c r="B217" s="14" t="s">
        <v>1276</v>
      </c>
      <c r="C217" s="16" t="str">
        <f>'PVC Fittings PRICE'!A133</f>
        <v>Providing and fixing PVC moulded fittings/ accessories for Rigid PVC pipes, including jointing with PVC solvent cement- 110 mm dia Bend (50.18.9.22.4)</v>
      </c>
      <c r="D217" s="16" t="str">
        <f t="shared" si="0"/>
        <v>Providing and fixing PVC moulded fittings/ accessories for Rigid PVC pipes, including jointing with PVC solvent cement- 110 mm dia Bend (50.18.9.22.4) (Code: GWDDR215)</v>
      </c>
      <c r="E217" s="13" t="s">
        <v>46</v>
      </c>
      <c r="F217" s="17" t="s">
        <v>51</v>
      </c>
      <c r="G217" s="17" t="s">
        <v>49</v>
      </c>
      <c r="H217" s="17" t="s">
        <v>50</v>
      </c>
      <c r="I217" s="58">
        <f>'PVC Fittings PRICE'!H156</f>
        <v>118.47299999999998</v>
      </c>
      <c r="J217" s="58">
        <f>'PVC Fittings PRICE'!I156</f>
        <v>33.291377599999997</v>
      </c>
      <c r="K217" s="19">
        <f t="shared" si="1"/>
        <v>0</v>
      </c>
      <c r="L217" s="19">
        <f t="shared" si="2"/>
        <v>151.76437759999999</v>
      </c>
    </row>
    <row r="218" spans="1:12">
      <c r="A218" s="13">
        <v>216</v>
      </c>
      <c r="B218" s="14" t="s">
        <v>1278</v>
      </c>
      <c r="C218" s="16" t="str">
        <f>'PVC Fittings PRICE'!A159</f>
        <v>Providing and fixing PVC moulded fittings/ accessories for Rigid PVC pipes, including jointing with PVC solvent cement -63x63x63 mm dia Tee (50.18.9.20.5)</v>
      </c>
      <c r="D218" s="16" t="str">
        <f t="shared" si="0"/>
        <v>Providing and fixing PVC moulded fittings/ accessories for Rigid PVC pipes, including jointing with PVC solvent cement -63x63x63 mm dia Tee (50.18.9.20.5) (Code: GWDDR216)</v>
      </c>
      <c r="E218" s="13" t="s">
        <v>46</v>
      </c>
      <c r="F218" s="17" t="s">
        <v>51</v>
      </c>
      <c r="G218" s="17" t="s">
        <v>49</v>
      </c>
      <c r="H218" s="17" t="s">
        <v>101</v>
      </c>
      <c r="I218" s="58">
        <f>'PVC Fittings PRICE'!H182</f>
        <v>45.879249999999999</v>
      </c>
      <c r="J218" s="58">
        <f>'PVC Fittings PRICE'!I182</f>
        <v>31.4445926</v>
      </c>
      <c r="K218" s="19">
        <f t="shared" si="1"/>
        <v>0</v>
      </c>
      <c r="L218" s="19">
        <f t="shared" si="2"/>
        <v>77.323842600000006</v>
      </c>
    </row>
    <row r="219" spans="1:12">
      <c r="A219" s="13">
        <v>217</v>
      </c>
      <c r="B219" s="14" t="s">
        <v>1281</v>
      </c>
      <c r="C219" s="16" t="str">
        <f>'PVC Fittings PRICE'!A185</f>
        <v>Providing and fixing PVC moulded fittings/ accessories for Rigid PVC pipes, including jointing with PVC solvent cement -75x75x75 mm dia Tee (50.18.9.21.5)</v>
      </c>
      <c r="D219" s="16" t="str">
        <f t="shared" si="0"/>
        <v>Providing and fixing PVC moulded fittings/ accessories for Rigid PVC pipes, including jointing with PVC solvent cement -75x75x75 mm dia Tee (50.18.9.21.5) (Code: GWDDR217)</v>
      </c>
      <c r="E219" s="13" t="s">
        <v>46</v>
      </c>
      <c r="F219" s="17" t="s">
        <v>51</v>
      </c>
      <c r="G219" s="17" t="s">
        <v>49</v>
      </c>
      <c r="H219" s="17" t="s">
        <v>101</v>
      </c>
      <c r="I219" s="58">
        <f>'PVC Fittings PRICE'!H208</f>
        <v>55.171250000000001</v>
      </c>
      <c r="J219" s="58">
        <f>'PVC Fittings PRICE'!I208</f>
        <v>31.4445926</v>
      </c>
      <c r="K219" s="19">
        <f t="shared" si="1"/>
        <v>0</v>
      </c>
      <c r="L219" s="19">
        <f t="shared" si="2"/>
        <v>86.615842600000008</v>
      </c>
    </row>
    <row r="220" spans="1:12">
      <c r="A220" s="13">
        <v>218</v>
      </c>
      <c r="B220" s="14" t="s">
        <v>1284</v>
      </c>
      <c r="C220" s="16" t="str">
        <f>'PVC Fittings PRICE'!A211</f>
        <v>Providing and fixing PVC moulded fittings/ accessories for Rigid PVC pipes including jointing with PVC solvent cement 110x110x110 mm dia Tee (50.18.9.22.5)</v>
      </c>
      <c r="D220" s="16" t="str">
        <f t="shared" si="0"/>
        <v>Providing and fixing PVC moulded fittings/ accessories for Rigid PVC pipes including jointing with PVC solvent cement 110x110x110 mm dia Tee (50.18.9.22.5) (Code: GWDDR218)</v>
      </c>
      <c r="E220" s="13" t="s">
        <v>46</v>
      </c>
      <c r="F220" s="17" t="s">
        <v>51</v>
      </c>
      <c r="G220" s="17" t="s">
        <v>49</v>
      </c>
      <c r="H220" s="17" t="s">
        <v>101</v>
      </c>
      <c r="I220" s="58">
        <f>'PVC Fittings PRICE'!H234</f>
        <v>130.08799999999999</v>
      </c>
      <c r="J220" s="58">
        <f>'PVC Fittings PRICE'!I234</f>
        <v>34.965795999999997</v>
      </c>
      <c r="K220" s="19">
        <f t="shared" si="1"/>
        <v>0</v>
      </c>
      <c r="L220" s="19">
        <f t="shared" si="2"/>
        <v>165.05379599999998</v>
      </c>
    </row>
    <row r="221" spans="1:12">
      <c r="A221" s="13">
        <v>219</v>
      </c>
      <c r="B221" s="14" t="s">
        <v>1288</v>
      </c>
      <c r="C221" s="16" t="str">
        <f>'PVC Fittings PRICE'!A237</f>
        <v>Providing and fixing PVC moulded fittings/ accessories for Rigid PVC pipes, including jointing with PVC solvent cement -63x63x63 mm dia Door Tee (50.18.9.20.6)</v>
      </c>
      <c r="D221" s="16" t="str">
        <f t="shared" si="0"/>
        <v>Providing and fixing PVC moulded fittings/ accessories for Rigid PVC pipes, including jointing with PVC solvent cement -63x63x63 mm dia Door Tee (50.18.9.20.6) (Code: GWDDR219)</v>
      </c>
      <c r="E221" s="13" t="s">
        <v>46</v>
      </c>
      <c r="F221" s="17" t="s">
        <v>51</v>
      </c>
      <c r="G221" s="17" t="s">
        <v>49</v>
      </c>
      <c r="H221" s="17" t="s">
        <v>101</v>
      </c>
      <c r="I221" s="58">
        <f>'PVC Fittings PRICE'!H260</f>
        <v>54.009749999999997</v>
      </c>
      <c r="J221" s="58">
        <f>'PVC Fittings PRICE'!I260</f>
        <v>31.4445926</v>
      </c>
      <c r="K221" s="19">
        <f t="shared" si="1"/>
        <v>0</v>
      </c>
      <c r="L221" s="19">
        <f t="shared" si="2"/>
        <v>85.45434259999999</v>
      </c>
    </row>
    <row r="222" spans="1:12">
      <c r="A222" s="13">
        <v>220</v>
      </c>
      <c r="B222" s="14" t="s">
        <v>1294</v>
      </c>
      <c r="C222" s="16" t="str">
        <f>'PVC Fittings PRICE'!A263</f>
        <v>Providing and fixing PVC moulded fittings/ accessories for Rigid PVC pipes, including jointing with PVC solvent cement -75x75x75 mm dia Door Tee (50.18.9.21.6)</v>
      </c>
      <c r="D222" s="16" t="str">
        <f t="shared" si="0"/>
        <v>Providing and fixing PVC moulded fittings/ accessories for Rigid PVC pipes, including jointing with PVC solvent cement -75x75x75 mm dia Door Tee (50.18.9.21.6) (Code: GWDDR220)</v>
      </c>
      <c r="E222" s="13" t="s">
        <v>46</v>
      </c>
      <c r="F222" s="17" t="s">
        <v>51</v>
      </c>
      <c r="G222" s="17" t="s">
        <v>49</v>
      </c>
      <c r="H222" s="17" t="s">
        <v>101</v>
      </c>
      <c r="I222" s="58">
        <f>'PVC Fittings PRICE'!H286</f>
        <v>66.786249999999995</v>
      </c>
      <c r="J222" s="58">
        <f>'PVC Fittings PRICE'!I286</f>
        <v>31.4445926</v>
      </c>
      <c r="K222" s="19">
        <f t="shared" si="1"/>
        <v>0</v>
      </c>
      <c r="L222" s="19">
        <f t="shared" si="2"/>
        <v>98.230842599999988</v>
      </c>
    </row>
    <row r="223" spans="1:12">
      <c r="A223" s="13">
        <v>221</v>
      </c>
      <c r="B223" s="14" t="s">
        <v>1299</v>
      </c>
      <c r="C223" s="16" t="str">
        <f>'PVC Fittings PRICE'!A289</f>
        <v>Providing and fixing PVC moulded fittings/ accessories for Rigid PVC pipes including jointing with PVC solvent cement 110x110x110 mm dia Door Tee (50.18.9.22.6)</v>
      </c>
      <c r="D223" s="16" t="str">
        <f t="shared" si="0"/>
        <v>Providing and fixing PVC moulded fittings/ accessories for Rigid PVC pipes including jointing with PVC solvent cement 110x110x110 mm dia Door Tee (50.18.9.22.6) (Code: GWDDR221)</v>
      </c>
      <c r="E223" s="13" t="s">
        <v>46</v>
      </c>
      <c r="F223" s="17" t="s">
        <v>51</v>
      </c>
      <c r="G223" s="17" t="s">
        <v>49</v>
      </c>
      <c r="H223" s="17" t="s">
        <v>101</v>
      </c>
      <c r="I223" s="58">
        <f>'PVC Fittings PRICE'!H312</f>
        <v>142.86449999999999</v>
      </c>
      <c r="J223" s="58">
        <f>'PVC Fittings PRICE'!I312</f>
        <v>34.965795999999997</v>
      </c>
      <c r="K223" s="19">
        <f t="shared" si="1"/>
        <v>0</v>
      </c>
      <c r="L223" s="19">
        <f t="shared" si="2"/>
        <v>177.83029599999998</v>
      </c>
    </row>
    <row r="224" spans="1:12">
      <c r="A224" s="13">
        <v>222</v>
      </c>
      <c r="B224" s="14" t="s">
        <v>1301</v>
      </c>
      <c r="C224" s="16" t="str">
        <f>'PVC Fittings PRICE'!A315</f>
        <v>Providing and fixing PVC moulded fittings/ accessories for Rigid PVC pipes including jointing with PVC solvent cement 110x110x75 mm dia Door Tee (50.18.9.22.7)</v>
      </c>
      <c r="D224" s="16" t="str">
        <f t="shared" si="0"/>
        <v>Providing and fixing PVC moulded fittings/ accessories for Rigid PVC pipes including jointing with PVC solvent cement 110x110x75 mm dia Door Tee (50.18.9.22.7) (Code: GWDDR222)</v>
      </c>
      <c r="E224" s="13" t="s">
        <v>46</v>
      </c>
      <c r="F224" s="17" t="s">
        <v>51</v>
      </c>
      <c r="G224" s="17" t="s">
        <v>49</v>
      </c>
      <c r="H224" s="17" t="s">
        <v>101</v>
      </c>
      <c r="I224" s="58">
        <f>'PVC Fittings PRICE'!H338</f>
        <v>135.8955</v>
      </c>
      <c r="J224" s="58">
        <f>'PVC Fittings PRICE'!I338</f>
        <v>34.965795999999997</v>
      </c>
      <c r="K224" s="19">
        <f t="shared" si="1"/>
        <v>0</v>
      </c>
      <c r="L224" s="19">
        <f t="shared" si="2"/>
        <v>170.86129599999998</v>
      </c>
    </row>
    <row r="225" spans="1:12">
      <c r="A225" s="13">
        <v>223</v>
      </c>
      <c r="B225" s="14" t="s">
        <v>1304</v>
      </c>
      <c r="C225" s="16" t="str">
        <f>'PVC Fittings PRICE'!A341</f>
        <v>Providing and fixing PVC moulded fittings/accessories for Rigid PVC pipes, including jointing with PVC solvent cement -63 mm dia Elbow (50.18.9.20.1)</v>
      </c>
      <c r="D225" s="16" t="str">
        <f t="shared" si="0"/>
        <v>Providing and fixing PVC moulded fittings/accessories for Rigid PVC pipes, including jointing with PVC solvent cement -63 mm dia Elbow (50.18.9.20.1) (Code: GWDDR223)</v>
      </c>
      <c r="E225" s="13" t="s">
        <v>46</v>
      </c>
      <c r="F225" s="17" t="s">
        <v>51</v>
      </c>
      <c r="G225" s="17" t="s">
        <v>49</v>
      </c>
      <c r="H225" s="17" t="s">
        <v>154</v>
      </c>
      <c r="I225" s="58">
        <f>'PVC Fittings PRICE'!H364</f>
        <v>34.844999999999999</v>
      </c>
      <c r="J225" s="58">
        <f>'PVC Fittings PRICE'!I364</f>
        <v>29.7701742</v>
      </c>
      <c r="K225" s="19">
        <f t="shared" si="1"/>
        <v>0</v>
      </c>
      <c r="L225" s="19">
        <f t="shared" si="2"/>
        <v>64.615174199999998</v>
      </c>
    </row>
    <row r="226" spans="1:12">
      <c r="A226" s="13">
        <v>224</v>
      </c>
      <c r="B226" s="14" t="s">
        <v>1306</v>
      </c>
      <c r="C226" s="16" t="str">
        <f>'PVC Fittings PRICE'!A367</f>
        <v>Providing and fixing PVC moulded fittings/accessories for Rigid PVC pipes, including jointing with PVC solvent cement -63 mm dia 45 degree Elbow (50.18.9.20.2)</v>
      </c>
      <c r="D226" s="16" t="str">
        <f t="shared" si="0"/>
        <v>Providing and fixing PVC moulded fittings/accessories for Rigid PVC pipes, including jointing with PVC solvent cement -63 mm dia 45 degree Elbow (50.18.9.20.2) (Code: GWDDR224)</v>
      </c>
      <c r="E226" s="13" t="s">
        <v>46</v>
      </c>
      <c r="F226" s="17" t="s">
        <v>51</v>
      </c>
      <c r="G226" s="17" t="s">
        <v>49</v>
      </c>
      <c r="H226" s="17" t="s">
        <v>154</v>
      </c>
      <c r="I226" s="58">
        <f>'PVC Fittings PRICE'!H390</f>
        <v>26.133749999999999</v>
      </c>
      <c r="J226" s="58">
        <f>'PVC Fittings PRICE'!I390</f>
        <v>29.7701742</v>
      </c>
      <c r="K226" s="19">
        <f t="shared" si="1"/>
        <v>0</v>
      </c>
      <c r="L226" s="19">
        <f t="shared" si="2"/>
        <v>55.903924199999999</v>
      </c>
    </row>
    <row r="227" spans="1:12">
      <c r="A227" s="13">
        <v>225</v>
      </c>
      <c r="B227" s="14" t="s">
        <v>1307</v>
      </c>
      <c r="C227" s="16" t="str">
        <f>'PVC Fittings PRICE'!A393</f>
        <v>Providing and fixing PVC moulded fittings/accessories for Rigid PVC pipes, including jointing with PVC solvent cement -63 mm dia Door Elbow (50.18.9.20.3)</v>
      </c>
      <c r="D227" s="16" t="str">
        <f t="shared" si="0"/>
        <v>Providing and fixing PVC moulded fittings/accessories for Rigid PVC pipes, including jointing with PVC solvent cement -63 mm dia Door Elbow (50.18.9.20.3) (Code: GWDDR225)</v>
      </c>
      <c r="E227" s="13" t="s">
        <v>46</v>
      </c>
      <c r="F227" s="17" t="s">
        <v>51</v>
      </c>
      <c r="G227" s="17" t="s">
        <v>49</v>
      </c>
      <c r="H227" s="17" t="s">
        <v>154</v>
      </c>
      <c r="I227" s="58">
        <f>'PVC Fittings PRICE'!H416</f>
        <v>42.394750000000002</v>
      </c>
      <c r="J227" s="58">
        <f>'PVC Fittings PRICE'!I416</f>
        <v>29.7701742</v>
      </c>
      <c r="K227" s="19">
        <f t="shared" si="1"/>
        <v>0</v>
      </c>
      <c r="L227" s="19">
        <f t="shared" si="2"/>
        <v>72.164924200000002</v>
      </c>
    </row>
    <row r="228" spans="1:12">
      <c r="A228" s="13">
        <v>226</v>
      </c>
      <c r="B228" s="14" t="s">
        <v>1308</v>
      </c>
      <c r="C228" s="16" t="str">
        <f>'PVC Fittings PRICE'!A419</f>
        <v>Providing and fixing PVC moulded fittings/accessories for Rigid PVC pipes, including jointing with PVC solvent cement -75 mm dia Elbow (50.18.9.21.1)</v>
      </c>
      <c r="D228" s="16" t="str">
        <f t="shared" si="0"/>
        <v>Providing and fixing PVC moulded fittings/accessories for Rigid PVC pipes, including jointing with PVC solvent cement -75 mm dia Elbow (50.18.9.21.1) (Code: GWDDR226)</v>
      </c>
      <c r="E228" s="13" t="s">
        <v>46</v>
      </c>
      <c r="F228" s="17" t="s">
        <v>51</v>
      </c>
      <c r="G228" s="17" t="s">
        <v>49</v>
      </c>
      <c r="H228" s="17" t="s">
        <v>154</v>
      </c>
      <c r="I228" s="58">
        <f>'PVC Fittings PRICE'!H442</f>
        <v>56.913499999999999</v>
      </c>
      <c r="J228" s="58">
        <f>'PVC Fittings PRICE'!I442</f>
        <v>29.7701742</v>
      </c>
      <c r="K228" s="19">
        <f t="shared" si="1"/>
        <v>0</v>
      </c>
      <c r="L228" s="19">
        <f t="shared" si="2"/>
        <v>86.683674199999999</v>
      </c>
    </row>
    <row r="229" spans="1:12">
      <c r="A229" s="13">
        <v>227</v>
      </c>
      <c r="B229" s="14" t="s">
        <v>1309</v>
      </c>
      <c r="C229" s="16" t="str">
        <f>'PVC Fittings PRICE'!A445</f>
        <v>Providing and fixing PVC moulded fittings/accessories for Rigid PVC pipes, including jointing with PVC solvent cement -75 mm dia 45 degree Elbow (50.18.9.21.2)</v>
      </c>
      <c r="D229" s="16" t="str">
        <f t="shared" si="0"/>
        <v>Providing and fixing PVC moulded fittings/accessories for Rigid PVC pipes, including jointing with PVC solvent cement -75 mm dia 45 degree Elbow (50.18.9.21.2) (Code: GWDDR227)</v>
      </c>
      <c r="E229" s="13" t="s">
        <v>46</v>
      </c>
      <c r="F229" s="17" t="s">
        <v>51</v>
      </c>
      <c r="G229" s="17" t="s">
        <v>49</v>
      </c>
      <c r="H229" s="17" t="s">
        <v>154</v>
      </c>
      <c r="I229" s="58">
        <f>'PVC Fittings PRICE'!H468</f>
        <v>32.521999999999998</v>
      </c>
      <c r="J229" s="58">
        <f>'PVC Fittings PRICE'!I468</f>
        <v>29.7701742</v>
      </c>
      <c r="K229" s="19">
        <f t="shared" si="1"/>
        <v>0</v>
      </c>
      <c r="L229" s="19">
        <f t="shared" si="2"/>
        <v>62.292174199999998</v>
      </c>
    </row>
    <row r="230" spans="1:12">
      <c r="A230" s="13">
        <v>228</v>
      </c>
      <c r="B230" s="14" t="s">
        <v>1311</v>
      </c>
      <c r="C230" s="16" t="str">
        <f>'PVC Fittings PRICE'!A471</f>
        <v>Providing and fixing PVC moulded fittings/accessories for Rigid PVC pipes, including jointing with PVC solvent cement -75 mm dia Door Elbow (50.18.9.21.3)</v>
      </c>
      <c r="D230" s="16" t="str">
        <f t="shared" si="0"/>
        <v>Providing and fixing PVC moulded fittings/accessories for Rigid PVC pipes, including jointing with PVC solvent cement -75 mm dia Door Elbow (50.18.9.21.3) (Code: GWDDR228)</v>
      </c>
      <c r="E230" s="13" t="s">
        <v>46</v>
      </c>
      <c r="F230" s="17" t="s">
        <v>51</v>
      </c>
      <c r="G230" s="17" t="s">
        <v>49</v>
      </c>
      <c r="H230" s="17" t="s">
        <v>154</v>
      </c>
      <c r="I230" s="58">
        <f>'PVC Fittings PRICE'!H494</f>
        <v>56.913499999999999</v>
      </c>
      <c r="J230" s="58">
        <f>'PVC Fittings PRICE'!I494</f>
        <v>29.7701742</v>
      </c>
      <c r="K230" s="19">
        <f t="shared" si="1"/>
        <v>0</v>
      </c>
      <c r="L230" s="19">
        <f t="shared" si="2"/>
        <v>86.683674199999999</v>
      </c>
    </row>
    <row r="231" spans="1:12">
      <c r="A231" s="13">
        <v>229</v>
      </c>
      <c r="B231" s="14" t="s">
        <v>1314</v>
      </c>
      <c r="C231" s="16" t="str">
        <f>'PVC Fittings PRICE'!A497</f>
        <v>Providing and fixing PVC moulded fittings / accessories for Rigid PVC pipes, including jointing with PVC solvent cement - 110 mm dia Elbow (50.18.9.22.1)</v>
      </c>
      <c r="D231" s="16" t="str">
        <f t="shared" si="0"/>
        <v>Providing and fixing PVC moulded fittings / accessories for Rigid PVC pipes, including jointing with PVC solvent cement - 110 mm dia Elbow (50.18.9.22.1) (Code: GWDDR229)</v>
      </c>
      <c r="E231" s="13" t="s">
        <v>46</v>
      </c>
      <c r="F231" s="17" t="s">
        <v>51</v>
      </c>
      <c r="G231" s="17" t="s">
        <v>49</v>
      </c>
      <c r="H231" s="17" t="s">
        <v>154</v>
      </c>
      <c r="I231" s="58">
        <f>'PVC Fittings PRICE'!H520</f>
        <v>65.043999999999997</v>
      </c>
      <c r="J231" s="58">
        <f>'PVC Fittings PRICE'!I520</f>
        <v>33.291377599999997</v>
      </c>
      <c r="K231" s="19">
        <f t="shared" si="1"/>
        <v>0</v>
      </c>
      <c r="L231" s="19">
        <f t="shared" si="2"/>
        <v>98.335377599999987</v>
      </c>
    </row>
    <row r="232" spans="1:12">
      <c r="A232" s="13">
        <v>230</v>
      </c>
      <c r="B232" s="14" t="s">
        <v>1315</v>
      </c>
      <c r="C232" s="16" t="str">
        <f>'PVC Fittings PRICE'!A523</f>
        <v>Providing and fixing PVC moulded fittings / accessories for Rigid PVC pipes, including jointing with PVC solvent cement - 110 mm dia 45 degree Elbow (50.18.9.22.2)</v>
      </c>
      <c r="D232" s="16" t="str">
        <f t="shared" si="0"/>
        <v>Providing and fixing PVC moulded fittings / accessories for Rigid PVC pipes, including jointing with PVC solvent cement - 110 mm dia 45 degree Elbow (50.18.9.22.2) (Code: GWDDR230)</v>
      </c>
      <c r="E232" s="13" t="s">
        <v>46</v>
      </c>
      <c r="F232" s="17" t="s">
        <v>51</v>
      </c>
      <c r="G232" s="17" t="s">
        <v>49</v>
      </c>
      <c r="H232" s="17" t="s">
        <v>154</v>
      </c>
      <c r="I232" s="58">
        <f>'PVC Fittings PRICE'!H546</f>
        <v>62.720999999999997</v>
      </c>
      <c r="J232" s="58">
        <f>'PVC Fittings PRICE'!I546</f>
        <v>33.291377599999997</v>
      </c>
      <c r="K232" s="19">
        <f t="shared" si="1"/>
        <v>0</v>
      </c>
      <c r="L232" s="19">
        <f t="shared" si="2"/>
        <v>96.012377599999994</v>
      </c>
    </row>
    <row r="233" spans="1:12">
      <c r="A233" s="13">
        <v>231</v>
      </c>
      <c r="B233" s="14" t="s">
        <v>1320</v>
      </c>
      <c r="C233" s="16" t="str">
        <f>'PVC Fittings PRICE'!A549</f>
        <v>Providing and fixing PVC moulded fittings / accessories for Rigid PVC pipes, including jointing with PVC solvent cement - 110 mm Door Elbow (50.18.9.22.3)</v>
      </c>
      <c r="D233" s="16" t="str">
        <f t="shared" si="0"/>
        <v>Providing and fixing PVC moulded fittings / accessories for Rigid PVC pipes, including jointing with PVC solvent cement - 110 mm Door Elbow (50.18.9.22.3) (Code: GWDDR231)</v>
      </c>
      <c r="E233" s="13" t="s">
        <v>46</v>
      </c>
      <c r="F233" s="17" t="s">
        <v>51</v>
      </c>
      <c r="G233" s="17" t="s">
        <v>49</v>
      </c>
      <c r="H233" s="17" t="s">
        <v>154</v>
      </c>
      <c r="I233" s="58">
        <f>'PVC Fittings PRICE'!H572</f>
        <v>89.43549999999999</v>
      </c>
      <c r="J233" s="58">
        <f>'PVC Fittings PRICE'!I572</f>
        <v>33.291377599999997</v>
      </c>
      <c r="K233" s="19">
        <f t="shared" si="1"/>
        <v>0</v>
      </c>
      <c r="L233" s="19">
        <f t="shared" si="2"/>
        <v>122.72687759999999</v>
      </c>
    </row>
    <row r="234" spans="1:12">
      <c r="A234" s="13">
        <v>232</v>
      </c>
      <c r="B234" s="14" t="s">
        <v>1322</v>
      </c>
      <c r="C234" s="16" t="str">
        <f>'PVC Fittings PRICE'!A575</f>
        <v>Providing and fixing PVC moulded fittings/ accessories for Rigid PVC pipes, including jointing with PVC solvent cement - 63 mm dia End cap (50.18.9.20.8)</v>
      </c>
      <c r="D234" s="16" t="str">
        <f t="shared" si="0"/>
        <v>Providing and fixing PVC moulded fittings/ accessories for Rigid PVC pipes, including jointing with PVC solvent cement - 63 mm dia End cap (50.18.9.20.8) (Code: GWDDR232)</v>
      </c>
      <c r="E234" s="13" t="s">
        <v>46</v>
      </c>
      <c r="F234" s="17" t="s">
        <v>51</v>
      </c>
      <c r="G234" s="17" t="s">
        <v>49</v>
      </c>
      <c r="H234" s="17" t="s">
        <v>67</v>
      </c>
      <c r="I234" s="58">
        <f>'PVC Fittings PRICE'!H598</f>
        <v>22.0685</v>
      </c>
      <c r="J234" s="58">
        <f>'PVC Fittings PRICE'!I598</f>
        <v>29.7701742</v>
      </c>
      <c r="K234" s="19">
        <f t="shared" si="1"/>
        <v>0</v>
      </c>
      <c r="L234" s="19">
        <f t="shared" si="2"/>
        <v>51.8386742</v>
      </c>
    </row>
    <row r="235" spans="1:12">
      <c r="A235" s="13">
        <v>233</v>
      </c>
      <c r="B235" s="14" t="s">
        <v>1323</v>
      </c>
      <c r="C235" s="16" t="str">
        <f>'PVC Fittings PRICE'!A601</f>
        <v>Providing and fixing PVC moulded fittings/ accessories for Rigid PVC pipes, including jointing with PVC solvent cement -75 mm dia End cap (50.18.9.21.8)</v>
      </c>
      <c r="D235" s="16" t="str">
        <f t="shared" si="0"/>
        <v>Providing and fixing PVC moulded fittings/ accessories for Rigid PVC pipes, including jointing with PVC solvent cement -75 mm dia End cap (50.18.9.21.8) (Code: GWDDR233)</v>
      </c>
      <c r="E235" s="13" t="s">
        <v>46</v>
      </c>
      <c r="F235" s="17" t="s">
        <v>51</v>
      </c>
      <c r="G235" s="17" t="s">
        <v>49</v>
      </c>
      <c r="H235" s="17" t="s">
        <v>67</v>
      </c>
      <c r="I235" s="58">
        <f>'PVC Fittings PRICE'!H624</f>
        <v>26.714499999999997</v>
      </c>
      <c r="J235" s="58">
        <f>'PVC Fittings PRICE'!I624</f>
        <v>29.772961799999997</v>
      </c>
      <c r="K235" s="19">
        <f t="shared" si="1"/>
        <v>0</v>
      </c>
      <c r="L235" s="19">
        <f t="shared" si="2"/>
        <v>56.487461799999991</v>
      </c>
    </row>
    <row r="236" spans="1:12">
      <c r="A236" s="13">
        <v>234</v>
      </c>
      <c r="B236" s="14" t="s">
        <v>1325</v>
      </c>
      <c r="C236" s="16" t="str">
        <f>'PVC Fittings PRICE'!A627</f>
        <v>Providing and fixing PVC moulded fittings/accessories for Rigid PVC pipes, including jointing with PVC solvent cement -110 mm dia End Cap (50.18.9.22.10)</v>
      </c>
      <c r="D236" s="16" t="str">
        <f t="shared" si="0"/>
        <v>Providing and fixing PVC moulded fittings/accessories for Rigid PVC pipes, including jointing with PVC solvent cement -110 mm dia End Cap (50.18.9.22.10) (Code: GWDDR234)</v>
      </c>
      <c r="E236" s="13" t="s">
        <v>46</v>
      </c>
      <c r="F236" s="17" t="s">
        <v>51</v>
      </c>
      <c r="G236" s="17" t="s">
        <v>49</v>
      </c>
      <c r="H236" s="17" t="s">
        <v>67</v>
      </c>
      <c r="I236" s="58">
        <f>'PVC Fittings PRICE'!H650</f>
        <v>32.521999999999998</v>
      </c>
      <c r="J236" s="58">
        <f>'PVC Fittings PRICE'!I650</f>
        <v>33.291377599999997</v>
      </c>
      <c r="K236" s="19">
        <f t="shared" si="1"/>
        <v>0</v>
      </c>
      <c r="L236" s="19">
        <f t="shared" si="2"/>
        <v>65.813377599999995</v>
      </c>
    </row>
    <row r="237" spans="1:12">
      <c r="A237" s="13">
        <v>235</v>
      </c>
      <c r="B237" s="14" t="s">
        <v>1327</v>
      </c>
      <c r="C237" s="16" t="str">
        <f>'PVC Fittings PRICE'!A653</f>
        <v>Providing and fixing PVC moulded fittings/ accessories for Rigid PVC pipes, including jointing with PVC solvent cement - 63x50 mm dia Reducer (50.18.9.20.10)</v>
      </c>
      <c r="D237" s="16" t="str">
        <f t="shared" si="0"/>
        <v>Providing and fixing PVC moulded fittings/ accessories for Rigid PVC pipes, including jointing with PVC solvent cement - 63x50 mm dia Reducer (50.18.9.20.10) (Code: GWDDR235)</v>
      </c>
      <c r="E237" s="13" t="s">
        <v>46</v>
      </c>
      <c r="F237" s="17" t="s">
        <v>51</v>
      </c>
      <c r="G237" s="17" t="s">
        <v>49</v>
      </c>
      <c r="H237" s="17" t="s">
        <v>111</v>
      </c>
      <c r="I237" s="58">
        <f>'PVC Fittings PRICE'!H676</f>
        <v>25.552999999999997</v>
      </c>
      <c r="J237" s="58">
        <f>'PVC Fittings PRICE'!I676</f>
        <v>29.7701742</v>
      </c>
      <c r="K237" s="19">
        <f t="shared" si="1"/>
        <v>0</v>
      </c>
      <c r="L237" s="19">
        <f t="shared" si="2"/>
        <v>55.323174199999997</v>
      </c>
    </row>
    <row r="238" spans="1:12">
      <c r="A238" s="13">
        <v>236</v>
      </c>
      <c r="B238" s="14" t="s">
        <v>1328</v>
      </c>
      <c r="C238" s="16" t="str">
        <f>'PVC Fittings PRICE'!A679</f>
        <v>Providing and fixing PVC moulded fittings/ accessories for Rigid PVC pipes, including jointing with PVC solvent cement - 75x63 mm dia Reducer (50.18.9.21.10)</v>
      </c>
      <c r="D238" s="16" t="str">
        <f t="shared" si="0"/>
        <v>Providing and fixing PVC moulded fittings/ accessories for Rigid PVC pipes, including jointing with PVC solvent cement - 75x63 mm dia Reducer (50.18.9.21.10) (Code: GWDDR236)</v>
      </c>
      <c r="E238" s="13" t="s">
        <v>46</v>
      </c>
      <c r="F238" s="17" t="s">
        <v>51</v>
      </c>
      <c r="G238" s="17" t="s">
        <v>49</v>
      </c>
      <c r="H238" s="17" t="s">
        <v>111</v>
      </c>
      <c r="I238" s="58">
        <f>'PVC Fittings PRICE'!H702</f>
        <v>32.521999999999998</v>
      </c>
      <c r="J238" s="58">
        <f>'PVC Fittings PRICE'!I702</f>
        <v>29.7701742</v>
      </c>
      <c r="K238" s="19">
        <f t="shared" si="1"/>
        <v>0</v>
      </c>
      <c r="L238" s="19">
        <f t="shared" si="2"/>
        <v>62.292174199999998</v>
      </c>
    </row>
    <row r="239" spans="1:12">
      <c r="A239" s="13">
        <v>237</v>
      </c>
      <c r="B239" s="14" t="s">
        <v>1329</v>
      </c>
      <c r="C239" s="16" t="str">
        <f>'PVC Fittings PRICE'!A705</f>
        <v>Providing and fixing PVC moulded fittings/ accessories for Rigid PVC pipes, including jointing with PVC solvent cement - 110x75 mm dia Reducer (50.18.9.22.12)</v>
      </c>
      <c r="D239" s="16" t="str">
        <f t="shared" si="0"/>
        <v>Providing and fixing PVC moulded fittings/ accessories for Rigid PVC pipes, including jointing with PVC solvent cement - 110x75 mm dia Reducer (50.18.9.22.12) (Code: GWDDR237)</v>
      </c>
      <c r="E239" s="13" t="s">
        <v>46</v>
      </c>
      <c r="F239" s="17" t="s">
        <v>51</v>
      </c>
      <c r="G239" s="17" t="s">
        <v>49</v>
      </c>
      <c r="H239" s="17" t="s">
        <v>111</v>
      </c>
      <c r="I239" s="58">
        <f>'PVC Fittings PRICE'!H728</f>
        <v>65.043999999999997</v>
      </c>
      <c r="J239" s="58">
        <f>'PVC Fittings PRICE'!I728</f>
        <v>33.291377599999997</v>
      </c>
      <c r="K239" s="19">
        <f t="shared" si="1"/>
        <v>0</v>
      </c>
      <c r="L239" s="19">
        <f t="shared" si="2"/>
        <v>98.335377599999987</v>
      </c>
    </row>
    <row r="240" spans="1:12">
      <c r="A240" s="13">
        <v>238</v>
      </c>
      <c r="B240" s="14" t="s">
        <v>1331</v>
      </c>
      <c r="C240" s="16"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16" t="str">
        <f t="shared" si="0"/>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13" t="s">
        <v>328</v>
      </c>
      <c r="F240" s="17" t="s">
        <v>51</v>
      </c>
      <c r="G240" s="17" t="s">
        <v>80</v>
      </c>
      <c r="H240" s="17" t="s">
        <v>1332</v>
      </c>
      <c r="I240" s="13">
        <v>0</v>
      </c>
      <c r="J240" s="17">
        <f>Scaffolding!C2</f>
        <v>247.41</v>
      </c>
      <c r="K240" s="19">
        <f t="shared" si="1"/>
        <v>0</v>
      </c>
      <c r="L240" s="19">
        <f t="shared" si="2"/>
        <v>247.41</v>
      </c>
    </row>
    <row r="241" spans="1:12">
      <c r="A241" s="13">
        <v>239</v>
      </c>
      <c r="B241" s="14" t="s">
        <v>1334</v>
      </c>
      <c r="C241" s="16" t="str">
        <f>'GI Works'!A3</f>
        <v>GI work in single section, fixed with or without connecting plate, including cutting, hoisting, fixing in position and applying a priming coat of approved steel primer all complete.</v>
      </c>
      <c r="D241" s="16" t="str">
        <f t="shared" si="0"/>
        <v>GI work in single section, fixed with or without connecting plate, including cutting, hoisting, fixing in position and applying a priming coat of approved steel primer all complete. (Code: GWDDR239)</v>
      </c>
      <c r="E241" s="13" t="s">
        <v>691</v>
      </c>
      <c r="F241" s="17" t="s">
        <v>51</v>
      </c>
      <c r="G241" s="17" t="s">
        <v>52</v>
      </c>
      <c r="H241" s="17" t="s">
        <v>53</v>
      </c>
      <c r="I241" s="13">
        <v>0</v>
      </c>
      <c r="J241" s="17">
        <f>'GI Works'!F30</f>
        <v>151.04</v>
      </c>
      <c r="K241" s="19">
        <f t="shared" si="1"/>
        <v>0</v>
      </c>
      <c r="L241" s="19">
        <f t="shared" si="2"/>
        <v>151.04</v>
      </c>
    </row>
    <row r="242" spans="1:12">
      <c r="A242" s="13">
        <v>240</v>
      </c>
      <c r="B242" s="14" t="s">
        <v>1336</v>
      </c>
      <c r="C242" s="16"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16" t="str">
        <f t="shared" si="0"/>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13" t="s">
        <v>812</v>
      </c>
      <c r="F242" s="17" t="s">
        <v>51</v>
      </c>
      <c r="G242" s="17" t="s">
        <v>191</v>
      </c>
      <c r="H242" s="17" t="s">
        <v>320</v>
      </c>
      <c r="I242" s="58">
        <f>'Gravel for TWC'!H32</f>
        <v>7611.3094999999994</v>
      </c>
      <c r="J242" s="58">
        <f>'Gravel for TWC'!I32</f>
        <v>826.67439500000012</v>
      </c>
      <c r="K242" s="19">
        <f t="shared" si="1"/>
        <v>0</v>
      </c>
      <c r="L242" s="19">
        <f t="shared" si="2"/>
        <v>8437.9838949999994</v>
      </c>
    </row>
    <row r="243" spans="1:12">
      <c r="A243" s="13">
        <v>241</v>
      </c>
      <c r="B243" s="14" t="s">
        <v>1340</v>
      </c>
      <c r="C243" s="16" t="str">
        <f>'GI With Trench PRICE'!B2</f>
        <v>Providing and fixing G.I. pipes complete with G.I fittings including trenching and refilling etc. External work 15 mm dia nominal bore (18.12.1)</v>
      </c>
      <c r="D243" s="16" t="str">
        <f t="shared" si="0"/>
        <v>Providing and fixing G.I. pipes complete with G.I fittings including trenching and refilling etc. External work 15 mm dia nominal bore (18.12.1) (Code: GWDDR241)</v>
      </c>
      <c r="E243" s="13" t="s">
        <v>21</v>
      </c>
      <c r="F243" s="17" t="s">
        <v>51</v>
      </c>
      <c r="G243" s="17" t="s">
        <v>52</v>
      </c>
      <c r="H243" s="17" t="s">
        <v>1342</v>
      </c>
      <c r="I243" s="13">
        <v>0</v>
      </c>
      <c r="J243" s="52">
        <f>'GI With Trench PRICE'!C2</f>
        <v>232.24</v>
      </c>
      <c r="K243" s="19">
        <f t="shared" si="1"/>
        <v>0</v>
      </c>
      <c r="L243" s="19">
        <f t="shared" si="2"/>
        <v>232.24</v>
      </c>
    </row>
    <row r="244" spans="1:12">
      <c r="A244" s="13">
        <v>242</v>
      </c>
      <c r="B244" s="14" t="s">
        <v>1343</v>
      </c>
      <c r="C244" s="16" t="str">
        <f>'GI With Trench PRICE'!B3</f>
        <v>Providing and fixing G.I. pipes complete with G.I fittings including trenching and refilling etc. External work 20 mm dia nominal bore (18.12.2)</v>
      </c>
      <c r="D244" s="16" t="str">
        <f t="shared" si="0"/>
        <v>Providing and fixing G.I. pipes complete with G.I fittings including trenching and refilling etc. External work 20 mm dia nominal bore (18.12.2) (Code: GWDDR242)</v>
      </c>
      <c r="E244" s="13" t="s">
        <v>21</v>
      </c>
      <c r="F244" s="17" t="s">
        <v>51</v>
      </c>
      <c r="G244" s="17" t="s">
        <v>52</v>
      </c>
      <c r="H244" s="17" t="s">
        <v>1342</v>
      </c>
      <c r="I244" s="13">
        <v>0</v>
      </c>
      <c r="J244" s="52">
        <f>'GI With Trench PRICE'!C3</f>
        <v>273.77</v>
      </c>
      <c r="K244" s="19">
        <f t="shared" si="1"/>
        <v>0</v>
      </c>
      <c r="L244" s="19">
        <f t="shared" si="2"/>
        <v>273.77</v>
      </c>
    </row>
    <row r="245" spans="1:12">
      <c r="A245" s="13">
        <v>243</v>
      </c>
      <c r="B245" s="14" t="s">
        <v>1344</v>
      </c>
      <c r="C245" s="16" t="str">
        <f>'GI With Trench PRICE'!B4</f>
        <v>Providing and fixing G.I. pipes complete with G.I fittings including trenching and refilling etc. External work 25 mm dia nominal bore (18.12.3)</v>
      </c>
      <c r="D245" s="16" t="str">
        <f t="shared" si="0"/>
        <v>Providing and fixing G.I. pipes complete with G.I fittings including trenching and refilling etc. External work 25 mm dia nominal bore (18.12.3) (Code: GWDDR243)</v>
      </c>
      <c r="E245" s="13" t="s">
        <v>21</v>
      </c>
      <c r="F245" s="17" t="s">
        <v>51</v>
      </c>
      <c r="G245" s="17" t="s">
        <v>52</v>
      </c>
      <c r="H245" s="17" t="s">
        <v>1342</v>
      </c>
      <c r="I245" s="13">
        <v>0</v>
      </c>
      <c r="J245" s="52">
        <f>'GI With Trench PRICE'!C4</f>
        <v>362.84</v>
      </c>
      <c r="K245" s="19">
        <f t="shared" si="1"/>
        <v>0</v>
      </c>
      <c r="L245" s="19">
        <f t="shared" si="2"/>
        <v>362.84</v>
      </c>
    </row>
    <row r="246" spans="1:12">
      <c r="A246" s="13">
        <v>244</v>
      </c>
      <c r="B246" s="14" t="s">
        <v>1345</v>
      </c>
      <c r="C246" s="16" t="str">
        <f>'GI With Trench PRICE'!B5</f>
        <v>Providing and fixing G.I. pipes complete with G.I fittings including trenching and refilling etc. External work 32 mm dia nominal bore (18.12.4)</v>
      </c>
      <c r="D246" s="16" t="str">
        <f t="shared" si="0"/>
        <v>Providing and fixing G.I. pipes complete with G.I fittings including trenching and refilling etc. External work 32 mm dia nominal bore (18.12.4) (Code: GWDDR244)</v>
      </c>
      <c r="E246" s="13" t="s">
        <v>21</v>
      </c>
      <c r="F246" s="17" t="s">
        <v>51</v>
      </c>
      <c r="G246" s="17" t="s">
        <v>52</v>
      </c>
      <c r="H246" s="17" t="s">
        <v>1342</v>
      </c>
      <c r="I246" s="13">
        <v>0</v>
      </c>
      <c r="J246" s="52">
        <f>'GI With Trench PRICE'!C5</f>
        <v>397.33</v>
      </c>
      <c r="K246" s="19">
        <f t="shared" si="1"/>
        <v>0</v>
      </c>
      <c r="L246" s="19">
        <f t="shared" si="2"/>
        <v>397.33</v>
      </c>
    </row>
    <row r="247" spans="1:12">
      <c r="A247" s="13">
        <v>245</v>
      </c>
      <c r="B247" s="14" t="s">
        <v>1346</v>
      </c>
      <c r="C247" s="16" t="str">
        <f>'GI With Trench PRICE'!B6</f>
        <v>Providing and fixing G.I. pipes complete with G.I fittings including trenching and refilling etc. External work 40 mm dia nominal bore (18.12.5)</v>
      </c>
      <c r="D247" s="16" t="str">
        <f t="shared" si="0"/>
        <v>Providing and fixing G.I. pipes complete with G.I fittings including trenching and refilling etc. External work 40 mm dia nominal bore (18.12.5) (Code: GWDDR245)</v>
      </c>
      <c r="E247" s="13" t="s">
        <v>21</v>
      </c>
      <c r="F247" s="17" t="s">
        <v>51</v>
      </c>
      <c r="G247" s="17" t="s">
        <v>52</v>
      </c>
      <c r="H247" s="17" t="s">
        <v>1342</v>
      </c>
      <c r="I247" s="13">
        <v>0</v>
      </c>
      <c r="J247" s="52">
        <f>'GI With Trench PRICE'!C6</f>
        <v>484.72</v>
      </c>
      <c r="K247" s="19">
        <f t="shared" si="1"/>
        <v>0</v>
      </c>
      <c r="L247" s="19">
        <f t="shared" si="2"/>
        <v>484.72</v>
      </c>
    </row>
    <row r="248" spans="1:12">
      <c r="A248" s="13">
        <v>246</v>
      </c>
      <c r="B248" s="14" t="s">
        <v>1347</v>
      </c>
      <c r="C248" s="16" t="str">
        <f>'GI With Trench PRICE'!B7</f>
        <v>Providing and fixing G.I. pipes complete with G.I fittings including trenching and refilling etc. External work 50 mm dia nominal bore (18.12.6)</v>
      </c>
      <c r="D248" s="16" t="str">
        <f t="shared" si="0"/>
        <v>Providing and fixing G.I. pipes complete with G.I fittings including trenching and refilling etc. External work 50 mm dia nominal bore (18.12.6) (Code: GWDDR246)</v>
      </c>
      <c r="E248" s="13" t="s">
        <v>21</v>
      </c>
      <c r="F248" s="17" t="s">
        <v>51</v>
      </c>
      <c r="G248" s="17" t="s">
        <v>52</v>
      </c>
      <c r="H248" s="17" t="s">
        <v>1342</v>
      </c>
      <c r="I248" s="13">
        <v>0</v>
      </c>
      <c r="J248" s="52">
        <f>'GI With Trench PRICE'!C7</f>
        <v>567.91999999999996</v>
      </c>
      <c r="K248" s="19">
        <f t="shared" si="1"/>
        <v>0</v>
      </c>
      <c r="L248" s="19">
        <f t="shared" si="2"/>
        <v>567.91999999999996</v>
      </c>
    </row>
    <row r="249" spans="1:12">
      <c r="A249" s="13">
        <v>247</v>
      </c>
      <c r="B249" s="14" t="s">
        <v>1348</v>
      </c>
      <c r="C249" s="16" t="str">
        <f>'GI With Trench PRICE'!B8</f>
        <v>Providing and fixing G.I. pipes complete with G.I fittings including trenching and refilling etc. External work 65 mm dia nominal bore (18.12.7)</v>
      </c>
      <c r="D249" s="16" t="str">
        <f t="shared" si="0"/>
        <v>Providing and fixing G.I. pipes complete with G.I fittings including trenching and refilling etc. External work 65 mm dia nominal bore (18.12.7) (Code: GWDDR247)</v>
      </c>
      <c r="E249" s="13" t="s">
        <v>21</v>
      </c>
      <c r="F249" s="17" t="s">
        <v>51</v>
      </c>
      <c r="G249" s="17" t="s">
        <v>52</v>
      </c>
      <c r="H249" s="17" t="s">
        <v>1342</v>
      </c>
      <c r="I249" s="13">
        <v>0</v>
      </c>
      <c r="J249" s="52">
        <f>'GI With Trench PRICE'!C8</f>
        <v>667.24</v>
      </c>
      <c r="K249" s="19">
        <f t="shared" si="1"/>
        <v>0</v>
      </c>
      <c r="L249" s="19">
        <f t="shared" si="2"/>
        <v>667.24</v>
      </c>
    </row>
    <row r="250" spans="1:12">
      <c r="A250" s="13">
        <v>248</v>
      </c>
      <c r="B250" s="14" t="s">
        <v>1349</v>
      </c>
      <c r="C250" s="16" t="str">
        <f>'GI With Trench PRICE'!B9</f>
        <v>Providing and fixing G.I. pipes complete with G.I fittings including trenching and refilling etc. External work 80 mm dia nominal bore (18.12.8)</v>
      </c>
      <c r="D250" s="16" t="str">
        <f t="shared" si="0"/>
        <v>Providing and fixing G.I. pipes complete with G.I fittings including trenching and refilling etc. External work 80 mm dia nominal bore (18.12.8) (Code: GWDDR248)</v>
      </c>
      <c r="E250" s="13" t="s">
        <v>21</v>
      </c>
      <c r="F250" s="17" t="s">
        <v>51</v>
      </c>
      <c r="G250" s="17" t="s">
        <v>52</v>
      </c>
      <c r="H250" s="17" t="s">
        <v>1342</v>
      </c>
      <c r="I250" s="13">
        <v>0</v>
      </c>
      <c r="J250" s="52">
        <f>'GI With Trench PRICE'!C9</f>
        <v>797.9</v>
      </c>
      <c r="K250" s="19">
        <f t="shared" si="1"/>
        <v>0</v>
      </c>
      <c r="L250" s="19">
        <f t="shared" si="2"/>
        <v>797.9</v>
      </c>
    </row>
    <row r="251" spans="1:12">
      <c r="A251" s="13">
        <v>249</v>
      </c>
      <c r="B251" s="14" t="s">
        <v>1351</v>
      </c>
      <c r="C251" s="16" t="str">
        <f>'Other Fittings PRICE'!B2</f>
        <v>Providing and fixing gun metal gate valve with C.I. wheel of approved quality (screwed end) : 25 mm nominal bore (18.17.1)</v>
      </c>
      <c r="D251" s="16" t="str">
        <f t="shared" si="0"/>
        <v>Providing and fixing gun metal gate valve with C.I. wheel of approved quality (screwed end) : 25 mm nominal bore (18.17.1) (Code: GWDDR249)</v>
      </c>
      <c r="E251" s="13" t="s">
        <v>46</v>
      </c>
      <c r="F251" s="17" t="s">
        <v>51</v>
      </c>
      <c r="G251" s="17" t="s">
        <v>52</v>
      </c>
      <c r="H251" s="17" t="s">
        <v>1352</v>
      </c>
      <c r="I251" s="13">
        <v>0</v>
      </c>
      <c r="J251" s="52">
        <f>'Other Fittings PRICE'!C2</f>
        <v>462.13</v>
      </c>
      <c r="K251" s="19">
        <f t="shared" si="1"/>
        <v>0</v>
      </c>
      <c r="L251" s="19">
        <f t="shared" si="2"/>
        <v>462.13</v>
      </c>
    </row>
    <row r="252" spans="1:12">
      <c r="A252" s="13">
        <v>250</v>
      </c>
      <c r="B252" s="14" t="s">
        <v>1354</v>
      </c>
      <c r="C252" s="16" t="str">
        <f>'Other Fittings PRICE'!B3</f>
        <v>Providing and fixing gun metal gate valve with C.I. wheel of approved quality (screwed end) : 32 mm nominal bore (18.17.2)</v>
      </c>
      <c r="D252" s="16" t="str">
        <f t="shared" si="0"/>
        <v>Providing and fixing gun metal gate valve with C.I. wheel of approved quality (screwed end) : 32 mm nominal bore (18.17.2) (Code: GWDDR250)</v>
      </c>
      <c r="E252" s="13" t="s">
        <v>46</v>
      </c>
      <c r="F252" s="17" t="s">
        <v>51</v>
      </c>
      <c r="G252" s="17" t="s">
        <v>52</v>
      </c>
      <c r="H252" s="17" t="s">
        <v>1352</v>
      </c>
      <c r="I252" s="13">
        <v>0</v>
      </c>
      <c r="J252" s="52">
        <f>'Other Fittings PRICE'!C3</f>
        <v>512.12</v>
      </c>
      <c r="K252" s="19">
        <f t="shared" si="1"/>
        <v>0</v>
      </c>
      <c r="L252" s="19">
        <f t="shared" si="2"/>
        <v>512.12</v>
      </c>
    </row>
    <row r="253" spans="1:12">
      <c r="A253" s="13">
        <v>251</v>
      </c>
      <c r="B253" s="14" t="s">
        <v>1355</v>
      </c>
      <c r="C253" s="16" t="str">
        <f>'Other Fittings PRICE'!B4</f>
        <v>Providing and fixing gun metal gate valve with C.I. wheel of approved quality (screwed end) : 40 mm nominal bore (18.17.3)</v>
      </c>
      <c r="D253" s="16" t="str">
        <f t="shared" si="0"/>
        <v>Providing and fixing gun metal gate valve with C.I. wheel of approved quality (screwed end) : 40 mm nominal bore (18.17.3) (Code: GWDDR251)</v>
      </c>
      <c r="E253" s="13" t="s">
        <v>46</v>
      </c>
      <c r="F253" s="17" t="s">
        <v>51</v>
      </c>
      <c r="G253" s="17" t="s">
        <v>52</v>
      </c>
      <c r="H253" s="17" t="s">
        <v>1352</v>
      </c>
      <c r="I253" s="13">
        <v>0</v>
      </c>
      <c r="J253" s="52">
        <f>'Other Fittings PRICE'!C4</f>
        <v>614.04</v>
      </c>
      <c r="K253" s="19">
        <f t="shared" si="1"/>
        <v>0</v>
      </c>
      <c r="L253" s="19">
        <f t="shared" si="2"/>
        <v>614.04</v>
      </c>
    </row>
    <row r="254" spans="1:12">
      <c r="A254" s="13">
        <v>252</v>
      </c>
      <c r="B254" s="14" t="s">
        <v>1356</v>
      </c>
      <c r="C254" s="16" t="str">
        <f>'Other Fittings PRICE'!B5</f>
        <v>Providing and fixing gun metal gate valve with C.I. wheel of approved quality (screwed end) : 50 mm nominal bore (18.17.4)</v>
      </c>
      <c r="D254" s="16" t="str">
        <f t="shared" si="0"/>
        <v>Providing and fixing gun metal gate valve with C.I. wheel of approved quality (screwed end) : 50 mm nominal bore (18.17.4) (Code: GWDDR252)</v>
      </c>
      <c r="E254" s="13" t="s">
        <v>46</v>
      </c>
      <c r="F254" s="17" t="s">
        <v>51</v>
      </c>
      <c r="G254" s="17" t="s">
        <v>52</v>
      </c>
      <c r="H254" s="17" t="s">
        <v>1352</v>
      </c>
      <c r="I254" s="13">
        <v>0</v>
      </c>
      <c r="J254" s="52">
        <f>'Other Fittings PRICE'!C5</f>
        <v>762.43</v>
      </c>
      <c r="K254" s="19">
        <f t="shared" si="1"/>
        <v>0</v>
      </c>
      <c r="L254" s="19">
        <f t="shared" si="2"/>
        <v>762.43</v>
      </c>
    </row>
    <row r="255" spans="1:12">
      <c r="A255" s="13">
        <v>253</v>
      </c>
      <c r="B255" s="14" t="s">
        <v>1357</v>
      </c>
      <c r="C255" s="16" t="str">
        <f>'Other Fittings PRICE'!B6</f>
        <v>Providing and fixing gun metal gate valve with C.I. wheel of approved quality (screwed end) : 65 mm nominal bore (18.17.5)</v>
      </c>
      <c r="D255" s="16" t="str">
        <f t="shared" si="0"/>
        <v>Providing and fixing gun metal gate valve with C.I. wheel of approved quality (screwed end) : 65 mm nominal bore (18.17.5) (Code: GWDDR253)</v>
      </c>
      <c r="E255" s="13" t="s">
        <v>46</v>
      </c>
      <c r="F255" s="17" t="s">
        <v>51</v>
      </c>
      <c r="G255" s="17" t="s">
        <v>52</v>
      </c>
      <c r="H255" s="17" t="s">
        <v>1352</v>
      </c>
      <c r="I255" s="13">
        <v>0</v>
      </c>
      <c r="J255" s="19">
        <f>'Other Fittings PRICE'!C6</f>
        <v>1294.1099999999999</v>
      </c>
      <c r="K255" s="19">
        <f t="shared" si="1"/>
        <v>0</v>
      </c>
      <c r="L255" s="19">
        <f t="shared" si="2"/>
        <v>1294.1099999999999</v>
      </c>
    </row>
    <row r="256" spans="1:12">
      <c r="A256" s="13">
        <v>254</v>
      </c>
      <c r="B256" s="14" t="s">
        <v>1358</v>
      </c>
      <c r="C256" s="16" t="str">
        <f>'Other Fittings PRICE'!B7</f>
        <v>Providing and fixing gun metal gate valve with C.I. wheel of approved quality (screwed end) : 80 mm nominal bore (18.17.6)</v>
      </c>
      <c r="D256" s="16" t="str">
        <f t="shared" si="0"/>
        <v>Providing and fixing gun metal gate valve with C.I. wheel of approved quality (screwed end) : 80 mm nominal bore (18.17.6) (Code: GWDDR254)</v>
      </c>
      <c r="E256" s="13" t="s">
        <v>46</v>
      </c>
      <c r="F256" s="17" t="s">
        <v>51</v>
      </c>
      <c r="G256" s="17" t="s">
        <v>52</v>
      </c>
      <c r="H256" s="17" t="s">
        <v>1352</v>
      </c>
      <c r="I256" s="13">
        <v>0</v>
      </c>
      <c r="J256" s="19">
        <f>'Other Fittings PRICE'!C7</f>
        <v>1933.85</v>
      </c>
      <c r="K256" s="19">
        <f t="shared" si="1"/>
        <v>0</v>
      </c>
      <c r="L256" s="19">
        <f t="shared" si="2"/>
        <v>1933.85</v>
      </c>
    </row>
    <row r="257" spans="1:12">
      <c r="A257" s="13">
        <v>255</v>
      </c>
      <c r="B257" s="14" t="s">
        <v>1359</v>
      </c>
      <c r="C257" s="16" t="str">
        <f>'Other Fittings PRICE'!B8</f>
        <v>Providing and fixing gun metal gate valve with C.I. wheel of approved quality (screwed end) : 20 mm nominal bore (18.17.1A)</v>
      </c>
      <c r="D257" s="16" t="str">
        <f t="shared" si="0"/>
        <v>Providing and fixing gun metal gate valve with C.I. wheel of approved quality (screwed end) : 20 mm nominal bore (18.17.1A) (Code: GWDDR255)</v>
      </c>
      <c r="E257" s="13" t="s">
        <v>46</v>
      </c>
      <c r="F257" s="17" t="s">
        <v>51</v>
      </c>
      <c r="G257" s="17" t="s">
        <v>52</v>
      </c>
      <c r="H257" s="17" t="s">
        <v>1352</v>
      </c>
      <c r="I257" s="13">
        <v>0</v>
      </c>
      <c r="J257" s="52">
        <f>'Other Fittings PRICE'!C8</f>
        <v>400.86</v>
      </c>
      <c r="K257" s="19">
        <f t="shared" si="1"/>
        <v>0</v>
      </c>
      <c r="L257" s="19">
        <f t="shared" si="2"/>
        <v>400.86</v>
      </c>
    </row>
    <row r="258" spans="1:12">
      <c r="A258" s="13">
        <v>256</v>
      </c>
      <c r="B258" s="14" t="s">
        <v>1360</v>
      </c>
      <c r="C258" s="16" t="str">
        <f>'Other Fittings PRICE'!B9</f>
        <v>Providing and fixing gun metal non-return valve of approved quality (screwed end): 25 mm nominal bore Horizontal (18.19.1.1)</v>
      </c>
      <c r="D258" s="16" t="str">
        <f t="shared" si="0"/>
        <v>Providing and fixing gun metal non-return valve of approved quality (screwed end): 25 mm nominal bore Horizontal (18.19.1.1) (Code: GWDDR256)</v>
      </c>
      <c r="E258" s="13" t="s">
        <v>46</v>
      </c>
      <c r="F258" s="17" t="s">
        <v>51</v>
      </c>
      <c r="G258" s="17" t="s">
        <v>52</v>
      </c>
      <c r="H258" s="17" t="s">
        <v>1361</v>
      </c>
      <c r="I258" s="13">
        <v>0</v>
      </c>
      <c r="J258" s="52">
        <f>'Other Fittings PRICE'!C9</f>
        <v>439.81</v>
      </c>
      <c r="K258" s="19">
        <f t="shared" si="1"/>
        <v>0</v>
      </c>
      <c r="L258" s="19">
        <f t="shared" si="2"/>
        <v>439.81</v>
      </c>
    </row>
    <row r="259" spans="1:12">
      <c r="A259" s="13">
        <v>257</v>
      </c>
      <c r="B259" s="14" t="s">
        <v>1365</v>
      </c>
      <c r="C259" s="16" t="str">
        <f>'Other Fittings PRICE'!B10</f>
        <v>Providing and fixing gun metal non-return valve of approved quality (screwed end): 25 mm nominal bore Vertical (18.19.1.2)</v>
      </c>
      <c r="D259" s="16" t="str">
        <f t="shared" si="0"/>
        <v>Providing and fixing gun metal non-return valve of approved quality (screwed end): 25 mm nominal bore Vertical (18.19.1.2) (Code: GWDDR257)</v>
      </c>
      <c r="E259" s="13" t="s">
        <v>46</v>
      </c>
      <c r="F259" s="17" t="s">
        <v>51</v>
      </c>
      <c r="G259" s="17" t="s">
        <v>52</v>
      </c>
      <c r="H259" s="17" t="s">
        <v>1361</v>
      </c>
      <c r="I259" s="13">
        <v>0</v>
      </c>
      <c r="J259" s="52">
        <f>'Other Fittings PRICE'!C10</f>
        <v>497.89</v>
      </c>
      <c r="K259" s="19">
        <f t="shared" si="1"/>
        <v>0</v>
      </c>
      <c r="L259" s="19">
        <f t="shared" si="2"/>
        <v>497.89</v>
      </c>
    </row>
    <row r="260" spans="1:12">
      <c r="A260" s="13">
        <v>258</v>
      </c>
      <c r="B260" s="14" t="s">
        <v>1375</v>
      </c>
      <c r="C260" s="16" t="str">
        <f>'Other Fittings PRICE'!B11</f>
        <v>Providing and fixing gun metal non-return valve of approved quality (screwed end): 32 mm nominal bore Horizontal (18.19.2.1)</v>
      </c>
      <c r="D260" s="16" t="str">
        <f t="shared" si="0"/>
        <v>Providing and fixing gun metal non-return valve of approved quality (screwed end): 32 mm nominal bore Horizontal (18.19.2.1) (Code: GWDDR258)</v>
      </c>
      <c r="E260" s="13" t="s">
        <v>46</v>
      </c>
      <c r="F260" s="17" t="s">
        <v>51</v>
      </c>
      <c r="G260" s="17" t="s">
        <v>52</v>
      </c>
      <c r="H260" s="17" t="s">
        <v>1361</v>
      </c>
      <c r="I260" s="13">
        <v>0</v>
      </c>
      <c r="J260" s="52">
        <f>'Other Fittings PRICE'!C11</f>
        <v>588.21</v>
      </c>
      <c r="K260" s="19">
        <f t="shared" si="1"/>
        <v>0</v>
      </c>
      <c r="L260" s="19">
        <f t="shared" si="2"/>
        <v>588.21</v>
      </c>
    </row>
    <row r="261" spans="1:12">
      <c r="A261" s="13">
        <v>259</v>
      </c>
      <c r="B261" s="14" t="s">
        <v>1385</v>
      </c>
      <c r="C261" s="16" t="str">
        <f>'Other Fittings PRICE'!B12</f>
        <v>Providing and fixing gun metal non-return valve of approved quality (screwed end): 32 mm nominal bore Vertical (18.19.2.2)</v>
      </c>
      <c r="D261" s="16" t="str">
        <f t="shared" si="0"/>
        <v>Providing and fixing gun metal non-return valve of approved quality (screwed end): 32 mm nominal bore Vertical (18.19.2.2) (Code: GWDDR259)</v>
      </c>
      <c r="E261" s="13" t="s">
        <v>46</v>
      </c>
      <c r="F261" s="17" t="s">
        <v>51</v>
      </c>
      <c r="G261" s="17" t="s">
        <v>52</v>
      </c>
      <c r="H261" s="17" t="s">
        <v>1361</v>
      </c>
      <c r="I261" s="13">
        <v>0</v>
      </c>
      <c r="J261" s="52">
        <f>'Other Fittings PRICE'!C12</f>
        <v>675.32</v>
      </c>
      <c r="K261" s="19">
        <f t="shared" si="1"/>
        <v>0</v>
      </c>
      <c r="L261" s="19">
        <f t="shared" si="2"/>
        <v>675.32</v>
      </c>
    </row>
    <row r="262" spans="1:12">
      <c r="A262" s="13">
        <v>260</v>
      </c>
      <c r="B262" s="14" t="s">
        <v>1395</v>
      </c>
      <c r="C262" s="16" t="str">
        <f>'Other Fittings PRICE'!B13</f>
        <v>Providing and fixing gun metal non-return valve of approved quality (screwed end): 40 mm nominal bore Horizontal (18.19.3.1)</v>
      </c>
      <c r="D262" s="16" t="str">
        <f t="shared" si="0"/>
        <v>Providing and fixing gun metal non-return valve of approved quality (screwed end): 40 mm nominal bore Horizontal (18.19.3.1) (Code: GWDDR260)</v>
      </c>
      <c r="E262" s="13" t="s">
        <v>46</v>
      </c>
      <c r="F262" s="17" t="s">
        <v>51</v>
      </c>
      <c r="G262" s="17" t="s">
        <v>52</v>
      </c>
      <c r="H262" s="17" t="s">
        <v>1361</v>
      </c>
      <c r="I262" s="13">
        <v>0</v>
      </c>
      <c r="J262" s="52">
        <f>'Other Fittings PRICE'!C13</f>
        <v>707.55</v>
      </c>
      <c r="K262" s="19">
        <f t="shared" si="1"/>
        <v>0</v>
      </c>
      <c r="L262" s="19">
        <f t="shared" si="2"/>
        <v>707.55</v>
      </c>
    </row>
    <row r="263" spans="1:12">
      <c r="A263" s="13">
        <v>261</v>
      </c>
      <c r="B263" s="14" t="s">
        <v>1404</v>
      </c>
      <c r="C263" s="16" t="str">
        <f>'Other Fittings PRICE'!B14</f>
        <v>Providing and fixing gun metal non-return valve of approved quality (screwed end): 40 mm nominal bore Vertical (18.19.3.2)</v>
      </c>
      <c r="D263" s="16" t="str">
        <f t="shared" si="0"/>
        <v>Providing and fixing gun metal non-return valve of approved quality (screwed end): 40 mm nominal bore Vertical (18.19.3.2) (Code: GWDDR261)</v>
      </c>
      <c r="E263" s="13" t="s">
        <v>46</v>
      </c>
      <c r="F263" s="17" t="s">
        <v>51</v>
      </c>
      <c r="G263" s="17" t="s">
        <v>52</v>
      </c>
      <c r="H263" s="17" t="s">
        <v>1361</v>
      </c>
      <c r="I263" s="13">
        <v>0</v>
      </c>
      <c r="J263" s="19">
        <f>'Other Fittings PRICE'!C14</f>
        <v>910.81</v>
      </c>
      <c r="K263" s="19">
        <f t="shared" si="1"/>
        <v>0</v>
      </c>
      <c r="L263" s="19">
        <f t="shared" si="2"/>
        <v>910.81</v>
      </c>
    </row>
    <row r="264" spans="1:12">
      <c r="A264" s="13">
        <v>262</v>
      </c>
      <c r="B264" s="14" t="s">
        <v>1415</v>
      </c>
      <c r="C264" s="16" t="str">
        <f>'Other Fittings PRICE'!B15</f>
        <v>Providing and fixing gun metal non-return valve of approved quality (screwed end): 50 mm nominal bore Horizontal (18.19.4.1)</v>
      </c>
      <c r="D264" s="16" t="str">
        <f t="shared" si="0"/>
        <v>Providing and fixing gun metal non-return valve of approved quality (screwed end): 50 mm nominal bore Horizontal (18.19.4.1) (Code: GWDDR262)</v>
      </c>
      <c r="E264" s="13" t="s">
        <v>46</v>
      </c>
      <c r="F264" s="17" t="s">
        <v>51</v>
      </c>
      <c r="G264" s="17" t="s">
        <v>52</v>
      </c>
      <c r="H264" s="17" t="s">
        <v>1361</v>
      </c>
      <c r="I264" s="13">
        <v>0</v>
      </c>
      <c r="J264" s="19">
        <f>'Other Fittings PRICE'!C15</f>
        <v>1018.88</v>
      </c>
      <c r="K264" s="19">
        <f t="shared" si="1"/>
        <v>0</v>
      </c>
      <c r="L264" s="19">
        <f t="shared" si="2"/>
        <v>1018.88</v>
      </c>
    </row>
    <row r="265" spans="1:12">
      <c r="A265" s="13">
        <v>263</v>
      </c>
      <c r="B265" s="14" t="s">
        <v>1426</v>
      </c>
      <c r="C265" s="16" t="str">
        <f>'Other Fittings PRICE'!B16</f>
        <v>Providing and fixing gun metal non-return valve of approved quality (screwed end): 50 mm nominal bore Vertical (18.19.4.2)</v>
      </c>
      <c r="D265" s="16" t="str">
        <f t="shared" si="0"/>
        <v>Providing and fixing gun metal non-return valve of approved quality (screwed end): 50 mm nominal bore Vertical (18.19.4.2) (Code: GWDDR263)</v>
      </c>
      <c r="E265" s="13" t="s">
        <v>46</v>
      </c>
      <c r="F265" s="17" t="s">
        <v>51</v>
      </c>
      <c r="G265" s="17" t="s">
        <v>52</v>
      </c>
      <c r="H265" s="17" t="s">
        <v>1361</v>
      </c>
      <c r="I265" s="13">
        <v>0</v>
      </c>
      <c r="J265" s="19">
        <f>'Other Fittings PRICE'!C16</f>
        <v>1146.6400000000001</v>
      </c>
      <c r="K265" s="19">
        <f t="shared" si="1"/>
        <v>0</v>
      </c>
      <c r="L265" s="19">
        <f t="shared" si="2"/>
        <v>1146.6400000000001</v>
      </c>
    </row>
    <row r="266" spans="1:12">
      <c r="A266" s="13">
        <v>264</v>
      </c>
      <c r="B266" s="14" t="s">
        <v>1436</v>
      </c>
      <c r="C266" s="16" t="str">
        <f>'Other Fittings PRICE'!B17</f>
        <v>Providing and fixing gun metal non-return valve of approved quality (screwed end): 65 mm nominal bore Horizontal (18.19.5.1)</v>
      </c>
      <c r="D266" s="16" t="str">
        <f t="shared" si="0"/>
        <v>Providing and fixing gun metal non-return valve of approved quality (screwed end): 65 mm nominal bore Horizontal (18.19.5.1) (Code: GWDDR264)</v>
      </c>
      <c r="E266" s="13" t="s">
        <v>46</v>
      </c>
      <c r="F266" s="17" t="s">
        <v>51</v>
      </c>
      <c r="G266" s="17" t="s">
        <v>52</v>
      </c>
      <c r="H266" s="17" t="s">
        <v>1361</v>
      </c>
      <c r="I266" s="13">
        <v>0</v>
      </c>
      <c r="J266" s="19">
        <f>'Other Fittings PRICE'!C17</f>
        <v>1817.7</v>
      </c>
      <c r="K266" s="19">
        <f t="shared" si="1"/>
        <v>0</v>
      </c>
      <c r="L266" s="19">
        <f t="shared" si="2"/>
        <v>1817.7</v>
      </c>
    </row>
    <row r="267" spans="1:12">
      <c r="A267" s="13">
        <v>265</v>
      </c>
      <c r="B267" s="14" t="s">
        <v>1440</v>
      </c>
      <c r="C267" s="16" t="str">
        <f>'Other Fittings PRICE'!B18</f>
        <v>Providing and fixing gun metal non-return valve of approved quality (screwed end): 65 mm nominal bore Vertical (18.19.5.2)</v>
      </c>
      <c r="D267" s="16" t="str">
        <f t="shared" si="0"/>
        <v>Providing and fixing gun metal non-return valve of approved quality (screwed end): 65 mm nominal bore Vertical (18.19.5.2) (Code: GWDDR265)</v>
      </c>
      <c r="E267" s="13" t="s">
        <v>46</v>
      </c>
      <c r="F267" s="17" t="s">
        <v>51</v>
      </c>
      <c r="G267" s="17" t="s">
        <v>52</v>
      </c>
      <c r="H267" s="17" t="s">
        <v>1361</v>
      </c>
      <c r="I267" s="13">
        <v>0</v>
      </c>
      <c r="J267" s="19">
        <f>'Other Fittings PRICE'!C18</f>
        <v>1846.74</v>
      </c>
      <c r="K267" s="19">
        <f t="shared" si="1"/>
        <v>0</v>
      </c>
      <c r="L267" s="19">
        <f t="shared" si="2"/>
        <v>1846.74</v>
      </c>
    </row>
    <row r="268" spans="1:12">
      <c r="A268" s="13">
        <v>266</v>
      </c>
      <c r="B268" s="14" t="s">
        <v>1441</v>
      </c>
      <c r="C268" s="16" t="str">
        <f>'Other Fittings PRICE'!B19</f>
        <v>Providing and fixing gun metal non-return valve of approved quality (screwed end): 80 mm nominal bore Horizontal (18.19.6.1)</v>
      </c>
      <c r="D268" s="16" t="str">
        <f t="shared" si="0"/>
        <v>Providing and fixing gun metal non-return valve of approved quality (screwed end): 80 mm nominal bore Horizontal (18.19.6.1) (Code: GWDDR266)</v>
      </c>
      <c r="E268" s="13" t="s">
        <v>46</v>
      </c>
      <c r="F268" s="17" t="s">
        <v>51</v>
      </c>
      <c r="G268" s="17" t="s">
        <v>52</v>
      </c>
      <c r="H268" s="17" t="s">
        <v>1361</v>
      </c>
      <c r="I268" s="13">
        <v>0</v>
      </c>
      <c r="J268" s="19">
        <f>'Other Fittings PRICE'!C19</f>
        <v>2721.38</v>
      </c>
      <c r="K268" s="19">
        <f t="shared" si="1"/>
        <v>0</v>
      </c>
      <c r="L268" s="19">
        <f t="shared" si="2"/>
        <v>2721.38</v>
      </c>
    </row>
    <row r="269" spans="1:12">
      <c r="A269" s="13">
        <v>267</v>
      </c>
      <c r="B269" s="14" t="s">
        <v>1444</v>
      </c>
      <c r="C269" s="16" t="str">
        <f>'Other Fittings PRICE'!B20</f>
        <v>Providing and fixing gun metal non-return valve of approved quality (screwed end): 80 mm nominal bore Vertical (18.19.6.2)</v>
      </c>
      <c r="D269" s="16" t="str">
        <f t="shared" si="0"/>
        <v>Providing and fixing gun metal non-return valve of approved quality (screwed end): 80 mm nominal bore Vertical (18.19.6.2) (Code: GWDDR267)</v>
      </c>
      <c r="E269" s="13" t="s">
        <v>46</v>
      </c>
      <c r="F269" s="17" t="s">
        <v>51</v>
      </c>
      <c r="G269" s="17" t="s">
        <v>52</v>
      </c>
      <c r="H269" s="17" t="s">
        <v>1361</v>
      </c>
      <c r="I269" s="13">
        <v>0</v>
      </c>
      <c r="J269" s="19">
        <f>'Other Fittings PRICE'!C20</f>
        <v>3069.83</v>
      </c>
      <c r="K269" s="19">
        <f t="shared" si="1"/>
        <v>0</v>
      </c>
      <c r="L269" s="19">
        <f t="shared" si="2"/>
        <v>3069.83</v>
      </c>
    </row>
    <row r="270" spans="1:12">
      <c r="A270" s="13">
        <v>268</v>
      </c>
      <c r="B270" s="14" t="s">
        <v>1445</v>
      </c>
      <c r="C270" s="16" t="str">
        <f>'Other Fittings PRICE'!B21</f>
        <v>Providing and fixing G.I. Union in G.I pipe including cutting and threading the pipe and making long screws etc. complete ( New work): 15 mm nominal bore (18.46.1)</v>
      </c>
      <c r="D270" s="16" t="str">
        <f t="shared" si="0"/>
        <v>Providing and fixing G.I. Union in G.I pipe including cutting and threading the pipe and making long screws etc. complete ( New work): 15 mm nominal bore (18.46.1) (Code: GWDDR268)</v>
      </c>
      <c r="E270" s="13" t="s">
        <v>46</v>
      </c>
      <c r="F270" s="17" t="s">
        <v>51</v>
      </c>
      <c r="G270" s="17" t="s">
        <v>52</v>
      </c>
      <c r="H270" s="17" t="s">
        <v>1446</v>
      </c>
      <c r="I270" s="13">
        <v>0</v>
      </c>
      <c r="J270" s="52">
        <f>'Other Fittings PRICE'!C21</f>
        <v>227.71</v>
      </c>
      <c r="K270" s="19">
        <f t="shared" si="1"/>
        <v>0</v>
      </c>
      <c r="L270" s="19">
        <f t="shared" si="2"/>
        <v>227.71</v>
      </c>
    </row>
    <row r="271" spans="1:12">
      <c r="A271" s="13">
        <v>269</v>
      </c>
      <c r="B271" s="14" t="s">
        <v>1449</v>
      </c>
      <c r="C271" s="16" t="str">
        <f>'Other Fittings PRICE'!B22</f>
        <v>Providing and fixing G.I. Union in G.I pipe including cutting and threading the pipe and making long screws etc. complete ( New work): 20 mm nominal bore (18.46.2)</v>
      </c>
      <c r="D271" s="16" t="str">
        <f t="shared" si="0"/>
        <v>Providing and fixing G.I. Union in G.I pipe including cutting and threading the pipe and making long screws etc. complete ( New work): 20 mm nominal bore (18.46.2) (Code: GWDDR269)</v>
      </c>
      <c r="E271" s="13" t="s">
        <v>46</v>
      </c>
      <c r="F271" s="17" t="s">
        <v>51</v>
      </c>
      <c r="G271" s="17" t="s">
        <v>52</v>
      </c>
      <c r="H271" s="17" t="s">
        <v>1446</v>
      </c>
      <c r="I271" s="13">
        <v>0</v>
      </c>
      <c r="J271" s="52">
        <f>'Other Fittings PRICE'!C22</f>
        <v>250.94</v>
      </c>
      <c r="K271" s="19">
        <f t="shared" si="1"/>
        <v>0</v>
      </c>
      <c r="L271" s="19">
        <f t="shared" si="2"/>
        <v>250.94</v>
      </c>
    </row>
    <row r="272" spans="1:12">
      <c r="A272" s="13">
        <v>270</v>
      </c>
      <c r="B272" s="14" t="s">
        <v>1453</v>
      </c>
      <c r="C272" s="16" t="str">
        <f>'Other Fittings PRICE'!B23</f>
        <v>Providing and fixing G.I. Union in G.I pipe including cutting and threading the pipe and making long screws etc. complete ( New work): 25 mm nominal bore (18.46.3)</v>
      </c>
      <c r="D272" s="16" t="str">
        <f t="shared" si="0"/>
        <v>Providing and fixing G.I. Union in G.I pipe including cutting and threading the pipe and making long screws etc. complete ( New work): 25 mm nominal bore (18.46.3) (Code: GWDDR270)</v>
      </c>
      <c r="E272" s="13" t="s">
        <v>46</v>
      </c>
      <c r="F272" s="17" t="s">
        <v>51</v>
      </c>
      <c r="G272" s="17" t="s">
        <v>52</v>
      </c>
      <c r="H272" s="17" t="s">
        <v>1446</v>
      </c>
      <c r="I272" s="13">
        <v>0</v>
      </c>
      <c r="J272" s="19">
        <f>'Other Fittings PRICE'!C23</f>
        <v>320.63</v>
      </c>
      <c r="K272" s="19">
        <f t="shared" si="1"/>
        <v>0</v>
      </c>
      <c r="L272" s="19">
        <f t="shared" si="2"/>
        <v>320.63</v>
      </c>
    </row>
    <row r="273" spans="1:12">
      <c r="A273" s="13">
        <v>271</v>
      </c>
      <c r="B273" s="14" t="s">
        <v>1454</v>
      </c>
      <c r="C273" s="16" t="str">
        <f>'Other Fittings PRICE'!B24</f>
        <v>Providing and fixing G.I. Union in G.I pipe including cutting and threading the pipe and making long screws etc. complete ( New work): 32 mm nominal bore (18.46.4)</v>
      </c>
      <c r="D273" s="16" t="str">
        <f t="shared" si="0"/>
        <v>Providing and fixing G.I. Union in G.I pipe including cutting and threading the pipe and making long screws etc. complete ( New work): 32 mm nominal bore (18.46.4) (Code: GWDDR271)</v>
      </c>
      <c r="E273" s="13" t="s">
        <v>46</v>
      </c>
      <c r="F273" s="17" t="s">
        <v>51</v>
      </c>
      <c r="G273" s="17" t="s">
        <v>52</v>
      </c>
      <c r="H273" s="17" t="s">
        <v>1446</v>
      </c>
      <c r="I273" s="13">
        <v>0</v>
      </c>
      <c r="J273" s="19">
        <f>'Other Fittings PRICE'!C24</f>
        <v>355.48</v>
      </c>
      <c r="K273" s="19">
        <f t="shared" si="1"/>
        <v>0</v>
      </c>
      <c r="L273" s="19">
        <f t="shared" si="2"/>
        <v>355.48</v>
      </c>
    </row>
    <row r="274" spans="1:12">
      <c r="A274" s="13">
        <v>272</v>
      </c>
      <c r="B274" s="14" t="s">
        <v>1456</v>
      </c>
      <c r="C274" s="16" t="str">
        <f>'Other Fittings PRICE'!B25</f>
        <v>Providing and fixing G.I. Union in G.I pipe including cutting and threading the pipe and making long screws etc. complete ( New work): 40 mm nominal bore (18.46.5)</v>
      </c>
      <c r="D274" s="16" t="str">
        <f t="shared" si="0"/>
        <v>Providing and fixing G.I. Union in G.I pipe including cutting and threading the pipe and making long screws etc. complete ( New work): 40 mm nominal bore (18.46.5) (Code: GWDDR272)</v>
      </c>
      <c r="E274" s="13" t="s">
        <v>46</v>
      </c>
      <c r="F274" s="17" t="s">
        <v>51</v>
      </c>
      <c r="G274" s="17" t="s">
        <v>52</v>
      </c>
      <c r="H274" s="17" t="s">
        <v>1446</v>
      </c>
      <c r="I274" s="13">
        <v>0</v>
      </c>
      <c r="J274" s="19">
        <f>'Other Fittings PRICE'!C25</f>
        <v>454.2</v>
      </c>
      <c r="K274" s="19">
        <f t="shared" si="1"/>
        <v>0</v>
      </c>
      <c r="L274" s="19">
        <f t="shared" si="2"/>
        <v>454.2</v>
      </c>
    </row>
    <row r="275" spans="1:12">
      <c r="A275" s="13">
        <v>273</v>
      </c>
      <c r="B275" s="14" t="s">
        <v>1465</v>
      </c>
      <c r="C275" s="16" t="str">
        <f>'Other Fittings PRICE'!B26</f>
        <v>Providing and fixing G.I. Union in G.I pipe including cutting and threading the pipe and making long screws etc. complete ( New work): 50 mm nominal bore (18.46.6)</v>
      </c>
      <c r="D275" s="16" t="str">
        <f t="shared" si="0"/>
        <v>Providing and fixing G.I. Union in G.I pipe including cutting and threading the pipe and making long screws etc. complete ( New work): 50 mm nominal bore (18.46.6) (Code: GWDDR273)</v>
      </c>
      <c r="E275" s="13" t="s">
        <v>46</v>
      </c>
      <c r="F275" s="17" t="s">
        <v>51</v>
      </c>
      <c r="G275" s="17" t="s">
        <v>52</v>
      </c>
      <c r="H275" s="17" t="s">
        <v>1446</v>
      </c>
      <c r="I275" s="13">
        <v>0</v>
      </c>
      <c r="J275" s="19">
        <f>'Other Fittings PRICE'!C26</f>
        <v>613.52</v>
      </c>
      <c r="K275" s="19">
        <f t="shared" si="1"/>
        <v>0</v>
      </c>
      <c r="L275" s="19">
        <f t="shared" si="2"/>
        <v>613.52</v>
      </c>
    </row>
    <row r="276" spans="1:12">
      <c r="A276" s="13">
        <v>274</v>
      </c>
      <c r="B276" s="14" t="s">
        <v>1471</v>
      </c>
      <c r="C276" s="16" t="str">
        <f>'Other Fittings PRICE'!B27</f>
        <v>Providing and fixing G.I. Union in G.I pipe including cutting and threading the pipe and making long screws etc. complete ( New work): 65 mm nominal bore (18.46.7)</v>
      </c>
      <c r="D276" s="16" t="str">
        <f t="shared" si="0"/>
        <v>Providing and fixing G.I. Union in G.I pipe including cutting and threading the pipe and making long screws etc. complete ( New work): 65 mm nominal bore (18.46.7) (Code: GWDDR274)</v>
      </c>
      <c r="E276" s="13" t="s">
        <v>46</v>
      </c>
      <c r="F276" s="17" t="s">
        <v>51</v>
      </c>
      <c r="G276" s="17" t="s">
        <v>52</v>
      </c>
      <c r="H276" s="17" t="s">
        <v>1446</v>
      </c>
      <c r="I276" s="13">
        <v>0</v>
      </c>
      <c r="J276" s="19">
        <f>'Other Fittings PRICE'!C27</f>
        <v>863.24</v>
      </c>
      <c r="K276" s="19">
        <f t="shared" si="1"/>
        <v>0</v>
      </c>
      <c r="L276" s="19">
        <f t="shared" si="2"/>
        <v>863.24</v>
      </c>
    </row>
    <row r="277" spans="1:12">
      <c r="A277" s="13">
        <v>275</v>
      </c>
      <c r="B277" s="14" t="s">
        <v>1473</v>
      </c>
      <c r="C277" s="16" t="str">
        <f>'Other Fittings PRICE'!B28</f>
        <v>Providing and fixing G.I. Union in G.I pipe including cutting and threading the pipe and making long screws etc. complete ( New work): 80 mm nominal bore (18.46.8)</v>
      </c>
      <c r="D277" s="16" t="str">
        <f t="shared" si="0"/>
        <v>Providing and fixing G.I. Union in G.I pipe including cutting and threading the pipe and making long screws etc. complete ( New work): 80 mm nominal bore (18.46.8) (Code: GWDDR275)</v>
      </c>
      <c r="E277" s="13" t="s">
        <v>46</v>
      </c>
      <c r="F277" s="17" t="s">
        <v>51</v>
      </c>
      <c r="G277" s="17" t="s">
        <v>52</v>
      </c>
      <c r="H277" s="17" t="s">
        <v>1446</v>
      </c>
      <c r="I277" s="13">
        <v>0</v>
      </c>
      <c r="J277" s="19">
        <f>'Other Fittings PRICE'!C28</f>
        <v>921.31</v>
      </c>
      <c r="K277" s="19">
        <f t="shared" si="1"/>
        <v>0</v>
      </c>
      <c r="L277" s="19">
        <f t="shared" si="2"/>
        <v>921.31</v>
      </c>
    </row>
    <row r="278" spans="1:12">
      <c r="A278" s="13">
        <v>276</v>
      </c>
      <c r="B278" s="14" t="s">
        <v>1475</v>
      </c>
      <c r="C278" s="16"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16" t="str">
        <f t="shared" si="0"/>
        <v>Providing and fixing G.I Union in existing G.I pipe line, cutting and threading the pipe and making long screws, including excavation, refilling the earth or cutting of wall and making good the same complete wherever required: 15 mm nominal bore (18.47.1) (Code: GWDDR276)</v>
      </c>
      <c r="E278" s="13" t="s">
        <v>46</v>
      </c>
      <c r="F278" s="17" t="s">
        <v>51</v>
      </c>
      <c r="G278" s="17" t="s">
        <v>52</v>
      </c>
      <c r="H278" s="17" t="s">
        <v>1446</v>
      </c>
      <c r="I278" s="13">
        <v>0</v>
      </c>
      <c r="J278" s="52">
        <f>'Other Fittings PRICE'!C29</f>
        <v>592.86</v>
      </c>
      <c r="K278" s="19">
        <f t="shared" si="1"/>
        <v>0</v>
      </c>
      <c r="L278" s="19">
        <f t="shared" si="2"/>
        <v>592.86</v>
      </c>
    </row>
    <row r="279" spans="1:12">
      <c r="A279" s="13">
        <v>277</v>
      </c>
      <c r="B279" s="14" t="s">
        <v>1476</v>
      </c>
      <c r="C279" s="16"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16" t="str">
        <f t="shared" si="0"/>
        <v>Providing and fixing G.I Union in existing G.I pipe line, cutting and threading the pipe and making long screws, including excavation, refilling the earth or cutting of wall and making good the same complete wherever required: 20 mm nominal bore (18.47.2) (Code: GWDDR277)</v>
      </c>
      <c r="E279" s="13" t="s">
        <v>46</v>
      </c>
      <c r="F279" s="17" t="s">
        <v>51</v>
      </c>
      <c r="G279" s="17" t="s">
        <v>52</v>
      </c>
      <c r="H279" s="17" t="s">
        <v>1446</v>
      </c>
      <c r="I279" s="13">
        <v>0</v>
      </c>
      <c r="J279" s="52">
        <f>'Other Fittings PRICE'!C30</f>
        <v>616.09</v>
      </c>
      <c r="K279" s="19">
        <f t="shared" si="1"/>
        <v>0</v>
      </c>
      <c r="L279" s="19">
        <f t="shared" si="2"/>
        <v>616.09</v>
      </c>
    </row>
    <row r="280" spans="1:12">
      <c r="A280" s="13">
        <v>278</v>
      </c>
      <c r="B280" s="14" t="s">
        <v>1477</v>
      </c>
      <c r="C280" s="16"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16" t="str">
        <f t="shared" si="0"/>
        <v>Providing and fixing G.I Union in existing G.I pipe line, cutting and threading the pipe and making long screws, including excavation, refilling the earth or cutting of wall and making good the same complete wherever required: 25 mm nominal bore (18.47.3) (Code: GWDDR278)</v>
      </c>
      <c r="E280" s="13" t="s">
        <v>46</v>
      </c>
      <c r="F280" s="17" t="s">
        <v>51</v>
      </c>
      <c r="G280" s="17" t="s">
        <v>52</v>
      </c>
      <c r="H280" s="17" t="s">
        <v>1446</v>
      </c>
      <c r="I280" s="13">
        <v>0</v>
      </c>
      <c r="J280" s="52">
        <f>'Other Fittings PRICE'!C31</f>
        <v>685.78</v>
      </c>
      <c r="K280" s="19">
        <f t="shared" si="1"/>
        <v>0</v>
      </c>
      <c r="L280" s="19">
        <f t="shared" si="2"/>
        <v>685.78</v>
      </c>
    </row>
    <row r="281" spans="1:12">
      <c r="A281" s="13">
        <v>279</v>
      </c>
      <c r="B281" s="14" t="s">
        <v>1480</v>
      </c>
      <c r="C281" s="16"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16" t="str">
        <f t="shared" si="0"/>
        <v>Providing and fixing G.I Union in existing G.I pipe line, cutting and threading the pipe and making long screws, including excavation, refilling the earth or cutting of wall and making good the same complete wherever required: 32 mm nominal bore (18.47.4) (Code: GWDDR279)</v>
      </c>
      <c r="E281" s="13" t="s">
        <v>46</v>
      </c>
      <c r="F281" s="17" t="s">
        <v>51</v>
      </c>
      <c r="G281" s="17" t="s">
        <v>52</v>
      </c>
      <c r="H281" s="17" t="s">
        <v>1446</v>
      </c>
      <c r="I281" s="13">
        <v>0</v>
      </c>
      <c r="J281" s="52">
        <f>'Other Fittings PRICE'!C32</f>
        <v>720.63</v>
      </c>
      <c r="K281" s="19">
        <f t="shared" si="1"/>
        <v>0</v>
      </c>
      <c r="L281" s="19">
        <f t="shared" si="2"/>
        <v>720.63</v>
      </c>
    </row>
    <row r="282" spans="1:12">
      <c r="A282" s="13">
        <v>280</v>
      </c>
      <c r="B282" s="14" t="s">
        <v>1486</v>
      </c>
      <c r="C282" s="16"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16" t="str">
        <f t="shared" si="0"/>
        <v>Providing and fixing G.I Union in existing G.I pipe line, cutting and threading the pipe and making long screws, including excavation, refilling the earth or cutting of wall and making good the same complete wherever required: 40 mm nominal bore (18.47.5) (Code: GWDDR280)</v>
      </c>
      <c r="E282" s="13" t="s">
        <v>46</v>
      </c>
      <c r="F282" s="17" t="s">
        <v>51</v>
      </c>
      <c r="G282" s="17" t="s">
        <v>52</v>
      </c>
      <c r="H282" s="17" t="s">
        <v>1446</v>
      </c>
      <c r="I282" s="13">
        <v>0</v>
      </c>
      <c r="J282" s="52">
        <f>'Other Fittings PRICE'!C33</f>
        <v>819.36</v>
      </c>
      <c r="K282" s="19">
        <f t="shared" si="1"/>
        <v>0</v>
      </c>
      <c r="L282" s="19">
        <f t="shared" si="2"/>
        <v>819.36</v>
      </c>
    </row>
    <row r="283" spans="1:12">
      <c r="A283" s="13">
        <v>281</v>
      </c>
      <c r="B283" s="14" t="s">
        <v>1489</v>
      </c>
      <c r="C283" s="16"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16" t="str">
        <f t="shared" si="0"/>
        <v>Providing and fixing G.I Union in existing G.I pipe line, cutting and threading the pipe and making long screws, including excavation, refilling the earth or cutting of wall and making good the same complete wherever required: 50 mm nominal bore (18.47.6) (Code: GWDDR281)</v>
      </c>
      <c r="E283" s="13" t="s">
        <v>46</v>
      </c>
      <c r="F283" s="17" t="s">
        <v>51</v>
      </c>
      <c r="G283" s="17" t="s">
        <v>52</v>
      </c>
      <c r="H283" s="17" t="s">
        <v>1446</v>
      </c>
      <c r="I283" s="13">
        <v>0</v>
      </c>
      <c r="J283" s="19">
        <f>'Other Fittings PRICE'!C34</f>
        <v>1111.45</v>
      </c>
      <c r="K283" s="19">
        <f t="shared" si="1"/>
        <v>0</v>
      </c>
      <c r="L283" s="19">
        <f t="shared" si="2"/>
        <v>1111.45</v>
      </c>
    </row>
    <row r="284" spans="1:12">
      <c r="A284" s="13">
        <v>282</v>
      </c>
      <c r="B284" s="14" t="s">
        <v>1490</v>
      </c>
      <c r="C284" s="16"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16" t="str">
        <f t="shared" si="0"/>
        <v>Providing and fixing G.I Union in existing G.I pipe line, cutting and threading the pipe and making long screws, including excavation, refilling the earth or cutting of wall and making good the same complete wherever required: 65 mm nominal bore (18.47.7) (Code: GWDDR282)</v>
      </c>
      <c r="E284" s="13" t="s">
        <v>46</v>
      </c>
      <c r="F284" s="17" t="s">
        <v>51</v>
      </c>
      <c r="G284" s="17" t="s">
        <v>52</v>
      </c>
      <c r="H284" s="17" t="s">
        <v>1446</v>
      </c>
      <c r="I284" s="13">
        <v>0</v>
      </c>
      <c r="J284" s="19">
        <f>'Other Fittings PRICE'!C35</f>
        <v>1361.17</v>
      </c>
      <c r="K284" s="19">
        <f t="shared" si="1"/>
        <v>0</v>
      </c>
      <c r="L284" s="19">
        <f t="shared" si="2"/>
        <v>1361.17</v>
      </c>
    </row>
    <row r="285" spans="1:12">
      <c r="A285" s="13">
        <v>283</v>
      </c>
      <c r="B285" s="14" t="s">
        <v>1491</v>
      </c>
      <c r="C285" s="16"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16" t="str">
        <f t="shared" si="0"/>
        <v>Providing and fixing G.I Union in existing G.I pipe line, cutting and threading the pipe and making long screws, including excavation, refilling the earth or cutting of wall and making good the same complete wherever required: 80 mm nominal bore (18.47.8) (Code: GWDDR283)</v>
      </c>
      <c r="E285" s="13" t="s">
        <v>46</v>
      </c>
      <c r="F285" s="17" t="s">
        <v>51</v>
      </c>
      <c r="G285" s="17" t="s">
        <v>52</v>
      </c>
      <c r="H285" s="17" t="s">
        <v>1446</v>
      </c>
      <c r="I285" s="13">
        <v>0</v>
      </c>
      <c r="J285" s="19">
        <f>'Other Fittings PRICE'!C36</f>
        <v>1419.25</v>
      </c>
      <c r="K285" s="19">
        <f t="shared" si="1"/>
        <v>0</v>
      </c>
      <c r="L285" s="19">
        <f t="shared" si="2"/>
        <v>1419.25</v>
      </c>
    </row>
    <row r="286" spans="1:12">
      <c r="A286" s="13">
        <v>361</v>
      </c>
      <c r="B286" s="14" t="s">
        <v>1494</v>
      </c>
      <c r="C286" s="16" t="str">
        <f>'PVC With Trench'!B27</f>
        <v>Providing and fixing PVC pipes includes jointing of pipes with one step PVC solvent cement, trenching, refilling &amp; testing of joints complete as per direction of Engineer in Charge. 63 mm dia 10 KGF/cm2</v>
      </c>
      <c r="D286" s="16" t="str">
        <f t="shared" si="0"/>
        <v>Providing and fixing PVC pipes includes jointing of pipes with one step PVC solvent cement, trenching, refilling &amp; testing of joints complete as per direction of Engineer in Charge. 63 mm dia 10 KGF/cm2 (Code: GWDDR361)</v>
      </c>
      <c r="E286" s="13" t="s">
        <v>21</v>
      </c>
      <c r="F286" s="17" t="s">
        <v>51</v>
      </c>
      <c r="G286" s="17" t="s">
        <v>52</v>
      </c>
      <c r="H286" s="17" t="s">
        <v>440</v>
      </c>
      <c r="I286" s="250">
        <f>'PVC With Trench'!F38</f>
        <v>129.57</v>
      </c>
      <c r="J286" s="250">
        <f>'PVC With Trench'!F50</f>
        <v>171.1</v>
      </c>
      <c r="K286" s="19">
        <f t="shared" si="1"/>
        <v>0</v>
      </c>
      <c r="L286" s="19">
        <f t="shared" si="2"/>
        <v>300.66999999999996</v>
      </c>
    </row>
    <row r="287" spans="1:12">
      <c r="A287" s="13">
        <v>362</v>
      </c>
      <c r="B287" s="14" t="s">
        <v>1495</v>
      </c>
      <c r="C287" s="16" t="str">
        <f>'PVC wo Trench'!B23</f>
        <v>Providing and fixing PVC pipes includes jointing of pipes with one step PVC solvent cement &amp; testing of joints complete as per direction of Engineer in Charge.63 mm dia 10 KGF/cm2</v>
      </c>
      <c r="D287" s="16" t="str">
        <f t="shared" si="0"/>
        <v>Providing and fixing PVC pipes includes jointing of pipes with one step PVC solvent cement &amp; testing of joints complete as per direction of Engineer in Charge.63 mm dia 10 KGF/cm2 (Code: GWDDR362)</v>
      </c>
      <c r="E287" s="46" t="s">
        <v>21</v>
      </c>
      <c r="F287" s="17" t="s">
        <v>51</v>
      </c>
      <c r="G287" s="251" t="s">
        <v>52</v>
      </c>
      <c r="H287" s="251" t="s">
        <v>299</v>
      </c>
      <c r="I287" s="250">
        <f>'PVC wo Trench'!F34</f>
        <v>129.57</v>
      </c>
      <c r="J287" s="250">
        <f>'PVC wo Trench'!F43</f>
        <v>72.209999999999994</v>
      </c>
      <c r="K287" s="19">
        <f t="shared" si="1"/>
        <v>0</v>
      </c>
      <c r="L287" s="19">
        <f t="shared" si="2"/>
        <v>201.77999999999997</v>
      </c>
    </row>
    <row r="288" spans="1:12">
      <c r="A288" s="13">
        <v>363</v>
      </c>
      <c r="B288" s="14" t="s">
        <v>1497</v>
      </c>
      <c r="C288" s="16" t="str">
        <f>'Panel Board'!B2</f>
        <v>Installation of Single Phase Panel board where new electricity connection is required (Excluding Motor Starter)</v>
      </c>
      <c r="D288" s="16" t="str">
        <f t="shared" si="0"/>
        <v>Installation of Single Phase Panel board where new electricity connection is required (Excluding Motor Starter) (Code: GWDDR363)</v>
      </c>
      <c r="E288" s="46" t="s">
        <v>46</v>
      </c>
      <c r="F288" s="17" t="s">
        <v>51</v>
      </c>
      <c r="G288" s="251" t="s">
        <v>52</v>
      </c>
      <c r="H288" s="39" t="s">
        <v>1442</v>
      </c>
      <c r="I288" s="250">
        <f>'Panel Board'!H29</f>
        <v>8149.0839999999989</v>
      </c>
      <c r="J288" s="250">
        <f>'Panel Board'!I29</f>
        <v>4245.0731999999998</v>
      </c>
      <c r="K288" s="19">
        <f t="shared" si="1"/>
        <v>0</v>
      </c>
      <c r="L288" s="19">
        <f t="shared" si="2"/>
        <v>12394.157199999998</v>
      </c>
    </row>
    <row r="289" spans="1:12">
      <c r="A289" s="13">
        <v>364</v>
      </c>
      <c r="B289" s="14" t="s">
        <v>1500</v>
      </c>
      <c r="C289" s="16" t="str">
        <f>'Panel Board'!B30</f>
        <v>Installation of Three Phase Panel board where new electricity connection is required (Excluding Motor Starter)</v>
      </c>
      <c r="D289" s="16" t="str">
        <f t="shared" si="0"/>
        <v>Installation of Three Phase Panel board where new electricity connection is required (Excluding Motor Starter) (Code: GWDDR364)</v>
      </c>
      <c r="E289" s="46" t="s">
        <v>46</v>
      </c>
      <c r="F289" s="17" t="s">
        <v>51</v>
      </c>
      <c r="G289" s="251" t="s">
        <v>52</v>
      </c>
      <c r="H289" s="39" t="s">
        <v>1442</v>
      </c>
      <c r="I289" s="250">
        <f>'Panel Board'!H57</f>
        <v>8392.9989999999998</v>
      </c>
      <c r="J289" s="250">
        <f>'Panel Board'!I57</f>
        <v>6994.3666999999996</v>
      </c>
      <c r="K289" s="19">
        <f t="shared" si="1"/>
        <v>0</v>
      </c>
      <c r="L289" s="19">
        <f t="shared" si="2"/>
        <v>15387.365699999998</v>
      </c>
    </row>
    <row r="290" spans="1:12">
      <c r="A290" s="13">
        <v>365</v>
      </c>
      <c r="B290" s="14" t="s">
        <v>1501</v>
      </c>
      <c r="C290" s="16" t="str">
        <f>Services!B16</f>
        <v>Water Quality Testing Including Bacteriology (Domestic)</v>
      </c>
      <c r="D290" s="16" t="str">
        <f t="shared" si="0"/>
        <v>Water Quality Testing Including Bacteriology (Domestic) (Code: GWDDR365)</v>
      </c>
      <c r="E290" s="46" t="s">
        <v>1502</v>
      </c>
      <c r="F290" s="17" t="s">
        <v>51</v>
      </c>
      <c r="G290" s="39" t="s">
        <v>769</v>
      </c>
      <c r="H290" s="39" t="s">
        <v>769</v>
      </c>
      <c r="I290" s="13">
        <f>Services!D16</f>
        <v>670</v>
      </c>
      <c r="J290" s="13">
        <v>0</v>
      </c>
      <c r="K290" s="19">
        <f t="shared" si="1"/>
        <v>0</v>
      </c>
      <c r="L290" s="19">
        <f t="shared" si="2"/>
        <v>670</v>
      </c>
    </row>
    <row r="291" spans="1:12">
      <c r="A291" s="13">
        <v>366</v>
      </c>
      <c r="B291" s="14" t="s">
        <v>1503</v>
      </c>
      <c r="C291" s="16" t="str">
        <f>Services!B17</f>
        <v>Water Quality Testing Including Bacteriology (Industrial)</v>
      </c>
      <c r="D291" s="16" t="str">
        <f t="shared" si="0"/>
        <v>Water Quality Testing Including Bacteriology (Industrial) (Code: GWDDR366)</v>
      </c>
      <c r="E291" s="46" t="s">
        <v>1502</v>
      </c>
      <c r="F291" s="17" t="s">
        <v>51</v>
      </c>
      <c r="G291" s="39" t="s">
        <v>769</v>
      </c>
      <c r="H291" s="39" t="s">
        <v>769</v>
      </c>
      <c r="I291" s="13">
        <f>Services!D17</f>
        <v>1330</v>
      </c>
      <c r="J291" s="13">
        <v>0</v>
      </c>
      <c r="K291" s="19">
        <f t="shared" si="1"/>
        <v>0</v>
      </c>
      <c r="L291" s="19">
        <f t="shared" si="2"/>
        <v>1330</v>
      </c>
    </row>
    <row r="292" spans="1:12">
      <c r="A292" s="13">
        <v>367</v>
      </c>
      <c r="B292" s="14" t="s">
        <v>1504</v>
      </c>
      <c r="C292" s="16" t="str">
        <f>Services!B18</f>
        <v>110mm (4.5") Borewell Drilling with Subsidy</v>
      </c>
      <c r="D292" s="16" t="str">
        <f t="shared" si="0"/>
        <v>110mm (4.5") Borewell Drilling with Subsidy (Code: GWDDR367)</v>
      </c>
      <c r="E292" s="46" t="s">
        <v>21</v>
      </c>
      <c r="F292" s="17" t="s">
        <v>51</v>
      </c>
      <c r="G292" s="39" t="s">
        <v>1505</v>
      </c>
      <c r="H292" s="39" t="s">
        <v>733</v>
      </c>
      <c r="I292" s="13">
        <f>Services!D18</f>
        <v>195</v>
      </c>
      <c r="J292" s="13">
        <v>0</v>
      </c>
      <c r="K292" s="19">
        <f t="shared" si="1"/>
        <v>0</v>
      </c>
      <c r="L292" s="19">
        <f t="shared" si="2"/>
        <v>195</v>
      </c>
    </row>
    <row r="293" spans="1:12">
      <c r="A293" s="13">
        <v>368</v>
      </c>
      <c r="B293" s="14" t="s">
        <v>1506</v>
      </c>
      <c r="C293" s="16" t="str">
        <f>'Motor Starter GWD'!A158</f>
        <v>S &amp; F Single phase starters suitable for Compressor pump upto 2HP</v>
      </c>
      <c r="D293" s="16" t="str">
        <f t="shared" si="0"/>
        <v>S &amp; F Single phase starters suitable for Compressor pump upto 2HP (Code: GWDDR368)</v>
      </c>
      <c r="E293" s="46" t="s">
        <v>46</v>
      </c>
      <c r="F293" s="17" t="s">
        <v>51</v>
      </c>
      <c r="G293" s="39" t="s">
        <v>52</v>
      </c>
      <c r="H293" s="39" t="s">
        <v>766</v>
      </c>
      <c r="I293" s="250">
        <f>'Motor Starter GWD'!H186</f>
        <v>2984.4354374999994</v>
      </c>
      <c r="J293" s="250">
        <f>'Motor Starter GWD'!I186</f>
        <v>16.887818999999997</v>
      </c>
      <c r="K293" s="19">
        <f t="shared" si="1"/>
        <v>0</v>
      </c>
      <c r="L293" s="19">
        <f t="shared" si="2"/>
        <v>3001.3232564999994</v>
      </c>
    </row>
    <row r="294" spans="1:12">
      <c r="A294" s="13">
        <v>369</v>
      </c>
      <c r="B294" s="14" t="s">
        <v>1507</v>
      </c>
      <c r="C294" s="16" t="str">
        <f>'Motor Starter GWD'!A189</f>
        <v>S &amp; F Single phase starters suitable for 3HP Compressor pump</v>
      </c>
      <c r="D294" s="16" t="str">
        <f t="shared" si="0"/>
        <v>S &amp; F Single phase starters suitable for 3HP Compressor pump (Code: GWDDR369)</v>
      </c>
      <c r="E294" s="46" t="s">
        <v>46</v>
      </c>
      <c r="F294" s="17" t="s">
        <v>51</v>
      </c>
      <c r="G294" s="39" t="s">
        <v>52</v>
      </c>
      <c r="H294" s="39" t="s">
        <v>766</v>
      </c>
      <c r="I294" s="250">
        <f>'Motor Starter GWD'!H217</f>
        <v>3042.8008124999992</v>
      </c>
      <c r="J294" s="250">
        <f>'Motor Starter GWD'!I217</f>
        <v>16.887818999999997</v>
      </c>
      <c r="K294" s="19">
        <f t="shared" si="1"/>
        <v>0</v>
      </c>
      <c r="L294" s="19">
        <f t="shared" si="2"/>
        <v>3059.6886314999992</v>
      </c>
    </row>
    <row r="295" spans="1:12">
      <c r="A295" s="13">
        <v>370</v>
      </c>
      <c r="B295" s="14" t="s">
        <v>1508</v>
      </c>
      <c r="C295" s="16" t="str">
        <f>'ARS Filter Media'!B2</f>
        <v>Supply and filling of 40mm metal as filter medium</v>
      </c>
      <c r="D295" s="16" t="str">
        <f t="shared" si="0"/>
        <v>Supply and filling of 40mm metal as filter medium (Code: GWDDR370)</v>
      </c>
      <c r="E295" s="46" t="s">
        <v>812</v>
      </c>
      <c r="F295" s="17" t="s">
        <v>51</v>
      </c>
      <c r="G295" s="39" t="s">
        <v>80</v>
      </c>
      <c r="H295" s="39" t="s">
        <v>1509</v>
      </c>
      <c r="I295" s="13">
        <v>0</v>
      </c>
      <c r="J295" s="17">
        <f>'ARS Filter Media'!F16</f>
        <v>2016.6000000000001</v>
      </c>
      <c r="K295" s="19">
        <f t="shared" si="1"/>
        <v>0</v>
      </c>
      <c r="L295" s="19">
        <f t="shared" si="2"/>
        <v>2016.6000000000001</v>
      </c>
    </row>
    <row r="296" spans="1:12">
      <c r="A296" s="13">
        <v>371</v>
      </c>
      <c r="B296" s="14" t="s">
        <v>1510</v>
      </c>
      <c r="C296" s="16" t="str">
        <f>'ARS Filter Media'!B18</f>
        <v>Supply and filling of 25mm metal as filter medium</v>
      </c>
      <c r="D296" s="16" t="str">
        <f t="shared" si="0"/>
        <v>Supply and filling of 25mm metal as filter medium (Code: GWDDR371)</v>
      </c>
      <c r="E296" s="46" t="s">
        <v>812</v>
      </c>
      <c r="F296" s="17" t="s">
        <v>51</v>
      </c>
      <c r="G296" s="39" t="s">
        <v>80</v>
      </c>
      <c r="H296" s="39" t="s">
        <v>1509</v>
      </c>
      <c r="I296" s="13">
        <v>0</v>
      </c>
      <c r="J296" s="17">
        <f>'ARS Filter Media'!F32</f>
        <v>2058.1</v>
      </c>
      <c r="K296" s="19">
        <f t="shared" si="1"/>
        <v>0</v>
      </c>
      <c r="L296" s="19">
        <f t="shared" si="2"/>
        <v>2058.1</v>
      </c>
    </row>
    <row r="297" spans="1:12">
      <c r="A297" s="13">
        <v>372</v>
      </c>
      <c r="B297" s="14" t="s">
        <v>1512</v>
      </c>
      <c r="C297" s="16" t="str">
        <f>'ARS Filter Media'!B34</f>
        <v>Supply and filling of 20mm/6mm metal as filter medium</v>
      </c>
      <c r="D297" s="16" t="str">
        <f t="shared" si="0"/>
        <v>Supply and filling of 20mm/6mm metal as filter medium (Code: GWDDR372)</v>
      </c>
      <c r="E297" s="46" t="s">
        <v>812</v>
      </c>
      <c r="F297" s="17" t="s">
        <v>51</v>
      </c>
      <c r="G297" s="39" t="s">
        <v>80</v>
      </c>
      <c r="H297" s="39" t="s">
        <v>1509</v>
      </c>
      <c r="I297" s="13">
        <v>0</v>
      </c>
      <c r="J297" s="17">
        <f>'ARS Filter Media'!F48</f>
        <v>2116.15</v>
      </c>
      <c r="K297" s="19">
        <f t="shared" si="1"/>
        <v>0</v>
      </c>
      <c r="L297" s="19">
        <f t="shared" si="2"/>
        <v>2116.15</v>
      </c>
    </row>
    <row r="298" spans="1:12">
      <c r="A298" s="13">
        <v>373</v>
      </c>
      <c r="B298" s="14" t="s">
        <v>1513</v>
      </c>
      <c r="C298" s="16" t="str">
        <f>'ARS Filter Media'!B50</f>
        <v>Supply and filling of Coarse Sand as filter medium</v>
      </c>
      <c r="D298" s="16" t="str">
        <f t="shared" si="0"/>
        <v>Supply and filling of Coarse Sand as filter medium (Code: GWDDR373)</v>
      </c>
      <c r="E298" s="46" t="s">
        <v>812</v>
      </c>
      <c r="F298" s="17" t="s">
        <v>51</v>
      </c>
      <c r="G298" s="39" t="s">
        <v>80</v>
      </c>
      <c r="H298" s="39" t="s">
        <v>1509</v>
      </c>
      <c r="I298" s="13">
        <v>0</v>
      </c>
      <c r="J298" s="17">
        <f>'ARS Filter Media'!F64</f>
        <v>2382.15</v>
      </c>
      <c r="K298" s="19">
        <f t="shared" si="1"/>
        <v>0</v>
      </c>
      <c r="L298" s="19">
        <f t="shared" si="2"/>
        <v>2382.15</v>
      </c>
    </row>
    <row r="299" spans="1:12">
      <c r="A299" s="13">
        <v>374</v>
      </c>
      <c r="B299" s="14" t="s">
        <v>1515</v>
      </c>
      <c r="C299" s="16" t="str">
        <f>'ARS Filter Media'!B66</f>
        <v>Supply and filling of Charcoal as filter medium</v>
      </c>
      <c r="D299" s="16" t="str">
        <f t="shared" si="0"/>
        <v>Supply and filling of Charcoal as filter medium (Code: GWDDR374)</v>
      </c>
      <c r="E299" s="46" t="s">
        <v>812</v>
      </c>
      <c r="F299" s="17" t="s">
        <v>51</v>
      </c>
      <c r="G299" s="39" t="s">
        <v>80</v>
      </c>
      <c r="H299" s="39" t="s">
        <v>1509</v>
      </c>
      <c r="I299" s="13">
        <v>0</v>
      </c>
      <c r="J299" s="17">
        <f>'ARS Filter Media'!F82</f>
        <v>2510.4500000000003</v>
      </c>
      <c r="K299" s="19">
        <f t="shared" si="1"/>
        <v>0</v>
      </c>
      <c r="L299" s="19">
        <f t="shared" si="2"/>
        <v>2510.4500000000003</v>
      </c>
    </row>
    <row r="300" spans="1:12">
      <c r="A300" s="13">
        <v>375</v>
      </c>
      <c r="B300" s="14" t="s">
        <v>1517</v>
      </c>
      <c r="C300" s="16" t="str">
        <f>Services!B19</f>
        <v>Rotary cum DTH OB Drilling</v>
      </c>
      <c r="D300" s="16" t="str">
        <f t="shared" si="0"/>
        <v>Rotary cum DTH OB Drilling (Code: GWDDR375)</v>
      </c>
      <c r="E300" s="46" t="s">
        <v>21</v>
      </c>
      <c r="F300" s="17" t="s">
        <v>51</v>
      </c>
      <c r="G300" s="39" t="s">
        <v>1505</v>
      </c>
      <c r="H300" s="39" t="s">
        <v>733</v>
      </c>
      <c r="I300" s="13">
        <f>Services!D19</f>
        <v>1985</v>
      </c>
      <c r="J300" s="13">
        <v>0</v>
      </c>
      <c r="K300" s="19">
        <f t="shared" si="1"/>
        <v>0</v>
      </c>
      <c r="L300" s="19">
        <f t="shared" si="2"/>
        <v>1985</v>
      </c>
    </row>
    <row r="301" spans="1:12">
      <c r="A301" s="13">
        <v>376</v>
      </c>
      <c r="B301" s="14" t="s">
        <v>1518</v>
      </c>
      <c r="C301" s="16" t="str">
        <f>Services!B20</f>
        <v>Pumping Test</v>
      </c>
      <c r="D301" s="16" t="str">
        <f t="shared" si="0"/>
        <v>Pumping Test (Code: GWDDR376)</v>
      </c>
      <c r="E301" s="46" t="s">
        <v>1519</v>
      </c>
      <c r="F301" s="17" t="s">
        <v>51</v>
      </c>
      <c r="G301" s="39" t="s">
        <v>1520</v>
      </c>
      <c r="H301" s="39" t="s">
        <v>1520</v>
      </c>
      <c r="I301" s="13">
        <f>Services!D20</f>
        <v>7490</v>
      </c>
      <c r="J301" s="13">
        <v>0</v>
      </c>
      <c r="K301" s="19">
        <f t="shared" si="1"/>
        <v>0</v>
      </c>
      <c r="L301" s="19">
        <f t="shared" si="2"/>
        <v>7490</v>
      </c>
    </row>
    <row r="302" spans="1:12">
      <c r="A302" s="13">
        <v>377</v>
      </c>
      <c r="B302" s="14" t="s">
        <v>1521</v>
      </c>
      <c r="C302" s="16" t="str">
        <f>'GI wo Trench'!B122</f>
        <v>Providing and fixing G.I. pipes complete with G.I fittings: 15 mm dia nominal bore</v>
      </c>
      <c r="D302" s="16" t="str">
        <f t="shared" si="0"/>
        <v>Providing and fixing G.I. pipes complete with G.I fittings: 15 mm dia nominal bore (Code: GWDDR377)</v>
      </c>
      <c r="E302" s="46" t="s">
        <v>21</v>
      </c>
      <c r="F302" s="17" t="s">
        <v>51</v>
      </c>
      <c r="G302" s="39" t="s">
        <v>52</v>
      </c>
      <c r="H302" s="39" t="s">
        <v>274</v>
      </c>
      <c r="I302" s="13">
        <v>0</v>
      </c>
      <c r="J302" s="17">
        <f>'GI wo Trench'!F141</f>
        <v>189.25</v>
      </c>
      <c r="K302" s="19">
        <f t="shared" si="1"/>
        <v>0</v>
      </c>
      <c r="L302" s="19">
        <f t="shared" si="2"/>
        <v>189.25</v>
      </c>
    </row>
    <row r="303" spans="1:12">
      <c r="A303" s="13">
        <v>378</v>
      </c>
      <c r="B303" s="14" t="s">
        <v>1522</v>
      </c>
      <c r="C303" s="16" t="str">
        <f>'GI wo Trench'!B142</f>
        <v>Providing and fixing G.I. pipes complete with G.I fittings: 20 mm dia nominal bore</v>
      </c>
      <c r="D303" s="16" t="str">
        <f t="shared" si="0"/>
        <v>Providing and fixing G.I. pipes complete with G.I fittings: 20 mm dia nominal bore (Code: GWDDR378)</v>
      </c>
      <c r="E303" s="46" t="s">
        <v>21</v>
      </c>
      <c r="F303" s="17" t="s">
        <v>51</v>
      </c>
      <c r="G303" s="39" t="s">
        <v>52</v>
      </c>
      <c r="H303" s="39" t="s">
        <v>274</v>
      </c>
      <c r="I303" s="13">
        <v>0</v>
      </c>
      <c r="J303" s="17">
        <f>'GI wo Trench'!F161</f>
        <v>231.05</v>
      </c>
      <c r="K303" s="19">
        <f t="shared" si="1"/>
        <v>0</v>
      </c>
      <c r="L303" s="19">
        <f t="shared" si="2"/>
        <v>231.05</v>
      </c>
    </row>
    <row r="304" spans="1:12">
      <c r="A304" s="13">
        <v>379</v>
      </c>
      <c r="B304" s="14" t="s">
        <v>1523</v>
      </c>
      <c r="C304" s="16"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16" t="str">
        <f t="shared" si="0"/>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46" t="s">
        <v>21</v>
      </c>
      <c r="F304" s="17" t="s">
        <v>51</v>
      </c>
      <c r="G304" s="39" t="s">
        <v>52</v>
      </c>
      <c r="H304" s="39" t="s">
        <v>1524</v>
      </c>
      <c r="I304" s="250">
        <f>'PVC on Wall (Concealed) PRICE'!H31</f>
        <v>57.378099999999996</v>
      </c>
      <c r="J304" s="250">
        <f>'PVC on Wall (Concealed) PRICE'!I31</f>
        <v>283.35489399999994</v>
      </c>
      <c r="K304" s="19">
        <f t="shared" si="1"/>
        <v>0</v>
      </c>
      <c r="L304" s="19">
        <f t="shared" si="2"/>
        <v>340.73299399999996</v>
      </c>
    </row>
    <row r="305" spans="1:12">
      <c r="A305" s="13">
        <v>380</v>
      </c>
      <c r="B305" s="14" t="s">
        <v>1525</v>
      </c>
      <c r="C305" s="16"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16" t="str">
        <f t="shared" si="0"/>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46" t="s">
        <v>21</v>
      </c>
      <c r="F305" s="17" t="s">
        <v>51</v>
      </c>
      <c r="G305" s="39" t="s">
        <v>52</v>
      </c>
      <c r="H305" s="39" t="s">
        <v>1524</v>
      </c>
      <c r="I305" s="250">
        <f>'PVC on Wall (Concealed) PRICE'!H62</f>
        <v>40.768649999999994</v>
      </c>
      <c r="J305" s="250">
        <f>'PVC on Wall (Concealed) PRICE'!I62</f>
        <v>283.35489399999994</v>
      </c>
      <c r="K305" s="19">
        <f t="shared" si="1"/>
        <v>0</v>
      </c>
      <c r="L305" s="19">
        <f t="shared" si="2"/>
        <v>324.12354399999992</v>
      </c>
    </row>
    <row r="306" spans="1:12">
      <c r="A306" s="13">
        <v>381</v>
      </c>
      <c r="B306" s="14" t="s">
        <v>1529</v>
      </c>
      <c r="C306" s="16"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46" t="s">
        <v>21</v>
      </c>
      <c r="F306" s="17" t="s">
        <v>51</v>
      </c>
      <c r="G306" s="39" t="s">
        <v>52</v>
      </c>
      <c r="H306" s="39" t="s">
        <v>1524</v>
      </c>
      <c r="I306" s="250">
        <f>'PVC on Wall (Concealed) PRICE'!H93</f>
        <v>61.152974999999991</v>
      </c>
      <c r="J306" s="250">
        <f>'PVC on Wall (Concealed) PRICE'!I93</f>
        <v>283.35489399999994</v>
      </c>
      <c r="K306" s="19">
        <f t="shared" si="1"/>
        <v>0</v>
      </c>
      <c r="L306" s="19">
        <f t="shared" si="2"/>
        <v>344.50786899999991</v>
      </c>
    </row>
    <row r="307" spans="1:12">
      <c r="A307" s="13">
        <v>382</v>
      </c>
      <c r="B307" s="14" t="s">
        <v>1530</v>
      </c>
      <c r="C307" s="16"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46" t="s">
        <v>21</v>
      </c>
      <c r="F307" s="17" t="s">
        <v>51</v>
      </c>
      <c r="G307" s="39" t="s">
        <v>52</v>
      </c>
      <c r="H307" s="39" t="s">
        <v>1524</v>
      </c>
      <c r="I307" s="250">
        <f>'PVC on Wall (Concealed) PRICE'!H124</f>
        <v>45.298499999999997</v>
      </c>
      <c r="J307" s="250">
        <f>'PVC on Wall (Concealed) PRICE'!I124</f>
        <v>283.35489399999994</v>
      </c>
      <c r="K307" s="19">
        <f t="shared" si="1"/>
        <v>0</v>
      </c>
      <c r="L307" s="19">
        <f t="shared" si="2"/>
        <v>328.65339399999993</v>
      </c>
    </row>
    <row r="308" spans="1:12">
      <c r="A308" s="13">
        <v>383</v>
      </c>
      <c r="B308" s="14" t="s">
        <v>1534</v>
      </c>
      <c r="C308" s="16"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46" t="s">
        <v>21</v>
      </c>
      <c r="F308" s="17" t="s">
        <v>51</v>
      </c>
      <c r="G308" s="39" t="s">
        <v>52</v>
      </c>
      <c r="H308" s="39" t="s">
        <v>1524</v>
      </c>
      <c r="I308" s="250">
        <f>'PVC on Wall (Concealed) PRICE'!H155</f>
        <v>92.106949999999998</v>
      </c>
      <c r="J308" s="250">
        <f>'PVC on Wall (Concealed) PRICE'!I155</f>
        <v>283.35489399999994</v>
      </c>
      <c r="K308" s="19">
        <f t="shared" si="1"/>
        <v>0</v>
      </c>
      <c r="L308" s="19">
        <f t="shared" si="2"/>
        <v>375.46184399999993</v>
      </c>
    </row>
    <row r="309" spans="1:12">
      <c r="A309" s="13">
        <v>384</v>
      </c>
      <c r="B309" s="14" t="s">
        <v>1535</v>
      </c>
      <c r="C309" s="16"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46" t="s">
        <v>21</v>
      </c>
      <c r="F309" s="17" t="s">
        <v>51</v>
      </c>
      <c r="G309" s="39" t="s">
        <v>52</v>
      </c>
      <c r="H309" s="39" t="s">
        <v>1524</v>
      </c>
      <c r="I309" s="250">
        <f>'PVC on Wall (Concealed) PRICE'!H186</f>
        <v>72.477599999999995</v>
      </c>
      <c r="J309" s="250">
        <f>'PVC on Wall (Concealed) PRICE'!I186</f>
        <v>283.35489399999994</v>
      </c>
      <c r="K309" s="19">
        <f t="shared" si="1"/>
        <v>0</v>
      </c>
      <c r="L309" s="19">
        <f t="shared" si="2"/>
        <v>355.83249399999994</v>
      </c>
    </row>
    <row r="310" spans="1:12">
      <c r="A310" s="13">
        <v>385</v>
      </c>
      <c r="B310" s="14" t="s">
        <v>1537</v>
      </c>
      <c r="C310" s="16"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46" t="s">
        <v>21</v>
      </c>
      <c r="F310" s="17" t="s">
        <v>51</v>
      </c>
      <c r="G310" s="39" t="s">
        <v>52</v>
      </c>
      <c r="H310" s="39" t="s">
        <v>1524</v>
      </c>
      <c r="I310" s="250">
        <f>'PVC on Wall (Concealed) PRICE'!H217</f>
        <v>98.146749999999997</v>
      </c>
      <c r="J310" s="250">
        <f>'PVC on Wall (Concealed) PRICE'!I217</f>
        <v>283.35489399999994</v>
      </c>
      <c r="K310" s="19">
        <f t="shared" si="1"/>
        <v>0</v>
      </c>
      <c r="L310" s="19">
        <f t="shared" si="2"/>
        <v>381.50164399999994</v>
      </c>
    </row>
    <row r="311" spans="1:12">
      <c r="A311" s="13">
        <v>386</v>
      </c>
      <c r="B311" s="14" t="s">
        <v>1539</v>
      </c>
      <c r="C311" s="16"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46" t="s">
        <v>21</v>
      </c>
      <c r="F311" s="17" t="s">
        <v>51</v>
      </c>
      <c r="G311" s="39" t="s">
        <v>52</v>
      </c>
      <c r="H311" s="39" t="s">
        <v>1524</v>
      </c>
      <c r="I311" s="250">
        <f>'PVC on Wall (Concealed) PRICE'!H248</f>
        <v>78.517399999999995</v>
      </c>
      <c r="J311" s="250">
        <f>'PVC on Wall (Concealed) PRICE'!I248</f>
        <v>283.35489399999994</v>
      </c>
      <c r="K311" s="19">
        <f t="shared" si="1"/>
        <v>0</v>
      </c>
      <c r="L311" s="19">
        <f t="shared" si="2"/>
        <v>361.87229399999995</v>
      </c>
    </row>
    <row r="312" spans="1:12">
      <c r="A312" s="13">
        <v>387</v>
      </c>
      <c r="B312" s="14" t="s">
        <v>1542</v>
      </c>
      <c r="C312" s="16"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46" t="s">
        <v>21</v>
      </c>
      <c r="F312" s="17" t="s">
        <v>51</v>
      </c>
      <c r="G312" s="39" t="s">
        <v>52</v>
      </c>
      <c r="H312" s="39" t="s">
        <v>1524</v>
      </c>
      <c r="I312" s="250">
        <f>'PVC on Wall (Concealed) PRICE'!H279</f>
        <v>126.83579999999999</v>
      </c>
      <c r="J312" s="250">
        <f>'PVC on Wall (Concealed) PRICE'!I279</f>
        <v>283.35489399999994</v>
      </c>
      <c r="K312" s="19">
        <f t="shared" si="1"/>
        <v>0</v>
      </c>
      <c r="L312" s="19">
        <f t="shared" si="2"/>
        <v>410.19069399999995</v>
      </c>
    </row>
    <row r="313" spans="1:12">
      <c r="A313" s="13">
        <v>388</v>
      </c>
      <c r="B313" s="14" t="s">
        <v>1544</v>
      </c>
      <c r="C313" s="16"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46" t="s">
        <v>21</v>
      </c>
      <c r="F313" s="17" t="s">
        <v>51</v>
      </c>
      <c r="G313" s="39" t="s">
        <v>52</v>
      </c>
      <c r="H313" s="39" t="s">
        <v>1524</v>
      </c>
      <c r="I313" s="250">
        <f>'PVC on Wall (Concealed) PRICE'!H310</f>
        <v>80.027349999999984</v>
      </c>
      <c r="J313" s="250">
        <f>'PVC on Wall (Concealed) PRICE'!I310</f>
        <v>283.35489399999994</v>
      </c>
      <c r="K313" s="19">
        <f t="shared" si="1"/>
        <v>0</v>
      </c>
      <c r="L313" s="19">
        <f t="shared" si="2"/>
        <v>363.3822439999999</v>
      </c>
    </row>
    <row r="314" spans="1:12">
      <c r="A314" s="13">
        <v>389</v>
      </c>
      <c r="B314" s="14" t="s">
        <v>1545</v>
      </c>
      <c r="C314" s="16"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46" t="s">
        <v>21</v>
      </c>
      <c r="F314" s="17" t="s">
        <v>51</v>
      </c>
      <c r="G314" s="39" t="s">
        <v>52</v>
      </c>
      <c r="H314" s="39" t="s">
        <v>1524</v>
      </c>
      <c r="I314" s="250">
        <f>'PVC on Wall (Concealed) PRICE'!H341</f>
        <v>135.8955</v>
      </c>
      <c r="J314" s="250">
        <f>'PVC on Wall (Concealed) PRICE'!I341</f>
        <v>283.35489399999994</v>
      </c>
      <c r="K314" s="19">
        <f t="shared" si="1"/>
        <v>0</v>
      </c>
      <c r="L314" s="19">
        <f t="shared" si="2"/>
        <v>419.25039399999991</v>
      </c>
    </row>
    <row r="315" spans="1:12">
      <c r="A315" s="13">
        <v>390</v>
      </c>
      <c r="B315" s="14" t="s">
        <v>1549</v>
      </c>
      <c r="C315" s="16"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16"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46" t="s">
        <v>21</v>
      </c>
      <c r="F315" s="17" t="s">
        <v>51</v>
      </c>
      <c r="G315" s="39" t="s">
        <v>52</v>
      </c>
      <c r="H315" s="39" t="s">
        <v>1524</v>
      </c>
      <c r="I315" s="250">
        <f>'PVC on Wall (Concealed) PRICE'!H372</f>
        <v>90.596999999999994</v>
      </c>
      <c r="J315" s="250">
        <f>'PVC on Wall (Concealed) PRICE'!I372</f>
        <v>283.35489399999994</v>
      </c>
      <c r="K315" s="19">
        <f t="shared" si="1"/>
        <v>0</v>
      </c>
      <c r="L315" s="19">
        <f t="shared" si="2"/>
        <v>373.95189399999992</v>
      </c>
    </row>
    <row r="316" spans="1:12">
      <c r="A316" s="13">
        <v>391</v>
      </c>
      <c r="B316" s="14" t="s">
        <v>1552</v>
      </c>
      <c r="C316" s="16"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16"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46" t="s">
        <v>21</v>
      </c>
      <c r="F316" s="17" t="s">
        <v>51</v>
      </c>
      <c r="G316" s="39" t="s">
        <v>52</v>
      </c>
      <c r="H316" s="39" t="s">
        <v>1524</v>
      </c>
      <c r="I316" s="250">
        <f>'PVC on Wall (Concealed) PRICE'!H403</f>
        <v>143.90985000000001</v>
      </c>
      <c r="J316" s="250">
        <f>'PVC on Wall (Concealed) PRICE'!I403</f>
        <v>378.179754</v>
      </c>
      <c r="K316" s="19">
        <f t="shared" si="1"/>
        <v>0</v>
      </c>
      <c r="L316" s="19">
        <f t="shared" si="2"/>
        <v>522.08960400000001</v>
      </c>
    </row>
    <row r="317" spans="1:12">
      <c r="A317" s="13">
        <v>392</v>
      </c>
      <c r="B317" s="14" t="s">
        <v>1555</v>
      </c>
      <c r="C317" s="16"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16"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46" t="s">
        <v>21</v>
      </c>
      <c r="F317" s="17" t="s">
        <v>51</v>
      </c>
      <c r="G317" s="39" t="s">
        <v>52</v>
      </c>
      <c r="H317" s="39" t="s">
        <v>1524</v>
      </c>
      <c r="I317" s="250">
        <f>'PVC on Wall (Concealed) PRICE'!H434</f>
        <v>101.22472500000001</v>
      </c>
      <c r="J317" s="250">
        <f>'PVC on Wall (Concealed) PRICE'!I434</f>
        <v>378.179754</v>
      </c>
      <c r="K317" s="19">
        <f t="shared" si="1"/>
        <v>0</v>
      </c>
      <c r="L317" s="19">
        <f t="shared" si="2"/>
        <v>479.40447900000004</v>
      </c>
    </row>
    <row r="318" spans="1:12">
      <c r="A318" s="13">
        <v>393</v>
      </c>
      <c r="B318" s="14" t="s">
        <v>1559</v>
      </c>
      <c r="C318" s="16"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16"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46" t="s">
        <v>21</v>
      </c>
      <c r="F318" s="17" t="s">
        <v>51</v>
      </c>
      <c r="G318" s="39" t="s">
        <v>52</v>
      </c>
      <c r="H318" s="39" t="s">
        <v>1524</v>
      </c>
      <c r="I318" s="250">
        <f>'PVC on Wall (Concealed) PRICE'!H465</f>
        <v>157.325175</v>
      </c>
      <c r="J318" s="250">
        <f>'PVC on Wall (Concealed) PRICE'!I465</f>
        <v>378.179754</v>
      </c>
      <c r="K318" s="19">
        <f t="shared" si="1"/>
        <v>0</v>
      </c>
      <c r="L318" s="19">
        <f t="shared" si="2"/>
        <v>535.50492899999995</v>
      </c>
    </row>
    <row r="319" spans="1:12">
      <c r="A319" s="13">
        <v>394</v>
      </c>
      <c r="B319" s="14" t="s">
        <v>1563</v>
      </c>
      <c r="C319" s="16"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16" t="str">
        <f t="shared" si="0"/>
        <v>Supplying and fixing 5 amps to 32 amps rating, 240/415 volts, "C" curve, miniature circuit breaker suitable for inductive load of following poles in the existing MCB DB complete with connections, testing and commissioning etc. as required. Single pole (2.10.1) (Code: GWDDR394)</v>
      </c>
      <c r="E319" s="46" t="str">
        <f>'Electrical Essentials'!D2</f>
        <v>each</v>
      </c>
      <c r="F319" s="17" t="s">
        <v>51</v>
      </c>
      <c r="G319" s="39" t="s">
        <v>52</v>
      </c>
      <c r="H319" s="39" t="s">
        <v>1565</v>
      </c>
      <c r="I319" s="13">
        <v>0</v>
      </c>
      <c r="J319" s="13">
        <f>'Electrical Essentials'!C2</f>
        <v>193.76</v>
      </c>
      <c r="K319" s="19">
        <f t="shared" si="1"/>
        <v>0</v>
      </c>
      <c r="L319" s="19">
        <f t="shared" si="2"/>
        <v>193.76</v>
      </c>
    </row>
    <row r="320" spans="1:12">
      <c r="A320" s="13">
        <v>395</v>
      </c>
      <c r="B320" s="14" t="s">
        <v>1568</v>
      </c>
      <c r="C320" s="16"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16" t="str">
        <f t="shared" si="0"/>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46" t="str">
        <f>'Electrical Essentials'!D3</f>
        <v>each</v>
      </c>
      <c r="F320" s="17" t="s">
        <v>51</v>
      </c>
      <c r="G320" s="39" t="s">
        <v>52</v>
      </c>
      <c r="H320" s="39" t="s">
        <v>1565</v>
      </c>
      <c r="I320" s="13">
        <v>0</v>
      </c>
      <c r="J320" s="13">
        <f>'Electrical Essentials'!C3</f>
        <v>452.76</v>
      </c>
      <c r="K320" s="19">
        <f t="shared" si="1"/>
        <v>0</v>
      </c>
      <c r="L320" s="19">
        <f t="shared" si="2"/>
        <v>452.76</v>
      </c>
    </row>
    <row r="321" spans="1:12">
      <c r="A321" s="13">
        <v>396</v>
      </c>
      <c r="B321" s="14" t="s">
        <v>1569</v>
      </c>
      <c r="C321" s="16"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16" t="str">
        <f t="shared" si="0"/>
        <v>Supplying and fixing 5 amps to 32 amps rating, 240/415 volts, "C" curve, miniature circuit breaker suitable for inductive load of following poles in the existing MCB DB complete with connections, testing and commissioning etc. as required. Double pole (2.10.3) (Code: GWDDR396)</v>
      </c>
      <c r="E321" s="46" t="str">
        <f>'Electrical Essentials'!D4</f>
        <v>each</v>
      </c>
      <c r="F321" s="17" t="s">
        <v>51</v>
      </c>
      <c r="G321" s="39" t="s">
        <v>52</v>
      </c>
      <c r="H321" s="39" t="s">
        <v>1565</v>
      </c>
      <c r="I321" s="13">
        <v>0</v>
      </c>
      <c r="J321" s="13">
        <f>'Electrical Essentials'!C4</f>
        <v>495.76</v>
      </c>
      <c r="K321" s="19">
        <f t="shared" si="1"/>
        <v>0</v>
      </c>
      <c r="L321" s="19">
        <f t="shared" si="2"/>
        <v>495.76</v>
      </c>
    </row>
    <row r="322" spans="1:12">
      <c r="A322" s="13">
        <v>397</v>
      </c>
      <c r="B322" s="14" t="s">
        <v>1571</v>
      </c>
      <c r="C322" s="16"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16" t="str">
        <f t="shared" si="0"/>
        <v>Supplying and fixing 5 amps to 32 amps rating, 240/415 volts, "C" curve, miniature circuit breaker suitable for inductive load of following poles in the existing MCB DB complete with connections, testing and commissioning etc. as required. Triple pole (2.10.4) (Code: GWDDR397)</v>
      </c>
      <c r="E322" s="46" t="str">
        <f>'Electrical Essentials'!D5</f>
        <v>each</v>
      </c>
      <c r="F322" s="17" t="s">
        <v>51</v>
      </c>
      <c r="G322" s="39" t="s">
        <v>52</v>
      </c>
      <c r="H322" s="39" t="s">
        <v>1565</v>
      </c>
      <c r="I322" s="13">
        <v>0</v>
      </c>
      <c r="J322" s="13">
        <f>'Electrical Essentials'!C5</f>
        <v>760.76</v>
      </c>
      <c r="K322" s="19">
        <f t="shared" si="1"/>
        <v>0</v>
      </c>
      <c r="L322" s="19">
        <f t="shared" si="2"/>
        <v>760.76</v>
      </c>
    </row>
    <row r="323" spans="1:12">
      <c r="A323" s="13">
        <v>398</v>
      </c>
      <c r="B323" s="14" t="s">
        <v>1573</v>
      </c>
      <c r="C323" s="16"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16" t="str">
        <f t="shared" si="0"/>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46" t="str">
        <f>'Electrical Essentials'!D6</f>
        <v>each</v>
      </c>
      <c r="F323" s="17" t="s">
        <v>51</v>
      </c>
      <c r="G323" s="39" t="s">
        <v>52</v>
      </c>
      <c r="H323" s="39" t="s">
        <v>1565</v>
      </c>
      <c r="I323" s="13">
        <v>0</v>
      </c>
      <c r="J323" s="13">
        <f>'Electrical Essentials'!C6</f>
        <v>927.76</v>
      </c>
      <c r="K323" s="19">
        <f t="shared" si="1"/>
        <v>0</v>
      </c>
      <c r="L323" s="19">
        <f t="shared" si="2"/>
        <v>927.76</v>
      </c>
    </row>
    <row r="324" spans="1:12">
      <c r="A324" s="13">
        <v>399</v>
      </c>
      <c r="B324" s="14" t="s">
        <v>1575</v>
      </c>
      <c r="C324" s="16"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16"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46" t="str">
        <f>'Electrical Essentials'!D7</f>
        <v>each</v>
      </c>
      <c r="F324" s="17" t="s">
        <v>51</v>
      </c>
      <c r="G324" s="39" t="s">
        <v>52</v>
      </c>
      <c r="H324" s="39" t="s">
        <v>1565</v>
      </c>
      <c r="I324" s="13">
        <v>0</v>
      </c>
      <c r="J324" s="13">
        <f>'Electrical Essentials'!C7</f>
        <v>1668.16</v>
      </c>
      <c r="K324" s="19">
        <f t="shared" si="1"/>
        <v>0</v>
      </c>
      <c r="L324" s="19">
        <f t="shared" si="2"/>
        <v>1668.16</v>
      </c>
    </row>
    <row r="325" spans="1:12">
      <c r="A325" s="13">
        <v>400</v>
      </c>
      <c r="B325" s="14" t="s">
        <v>1577</v>
      </c>
      <c r="C325" s="16"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16"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46" t="str">
        <f>'Electrical Essentials'!D8</f>
        <v>each</v>
      </c>
      <c r="F325" s="17" t="s">
        <v>51</v>
      </c>
      <c r="G325" s="39" t="s">
        <v>52</v>
      </c>
      <c r="H325" s="39" t="s">
        <v>1565</v>
      </c>
      <c r="I325" s="13">
        <v>0</v>
      </c>
      <c r="J325" s="13">
        <f>'Electrical Essentials'!C8</f>
        <v>1945.16</v>
      </c>
      <c r="K325" s="19">
        <f t="shared" si="1"/>
        <v>0</v>
      </c>
      <c r="L325" s="19">
        <f t="shared" si="2"/>
        <v>1945.16</v>
      </c>
    </row>
    <row r="326" spans="1:12">
      <c r="A326" s="13">
        <v>401</v>
      </c>
      <c r="B326" s="14" t="s">
        <v>1579</v>
      </c>
      <c r="C326" s="16"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16"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46" t="str">
        <f>'Electrical Essentials'!D9</f>
        <v>each</v>
      </c>
      <c r="F326" s="17" t="s">
        <v>51</v>
      </c>
      <c r="G326" s="39" t="s">
        <v>52</v>
      </c>
      <c r="H326" s="39" t="s">
        <v>1565</v>
      </c>
      <c r="I326" s="13">
        <v>0</v>
      </c>
      <c r="J326" s="13">
        <f>'Electrical Essentials'!C9</f>
        <v>1750.16</v>
      </c>
      <c r="K326" s="19">
        <f t="shared" si="1"/>
        <v>0</v>
      </c>
      <c r="L326" s="19">
        <f t="shared" si="2"/>
        <v>1750.16</v>
      </c>
    </row>
    <row r="327" spans="1:12">
      <c r="A327" s="13">
        <v>402</v>
      </c>
      <c r="B327" s="14" t="s">
        <v>1581</v>
      </c>
      <c r="C327" s="16"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16"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46" t="str">
        <f>'Electrical Essentials'!D10</f>
        <v>each</v>
      </c>
      <c r="F327" s="17" t="s">
        <v>51</v>
      </c>
      <c r="G327" s="39" t="s">
        <v>52</v>
      </c>
      <c r="H327" s="39" t="s">
        <v>1565</v>
      </c>
      <c r="I327" s="13">
        <v>0</v>
      </c>
      <c r="J327" s="13">
        <f>'Electrical Essentials'!C10</f>
        <v>2374.16</v>
      </c>
      <c r="K327" s="19">
        <f t="shared" si="1"/>
        <v>0</v>
      </c>
      <c r="L327" s="19">
        <f t="shared" si="2"/>
        <v>2374.16</v>
      </c>
    </row>
    <row r="328" spans="1:12">
      <c r="A328" s="13">
        <v>403</v>
      </c>
      <c r="B328" s="14" t="s">
        <v>1582</v>
      </c>
      <c r="C328" s="16"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16"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46" t="str">
        <f>'Electrical Essentials'!D11</f>
        <v>each</v>
      </c>
      <c r="F328" s="17" t="s">
        <v>51</v>
      </c>
      <c r="G328" s="39" t="s">
        <v>52</v>
      </c>
      <c r="H328" s="39" t="s">
        <v>1565</v>
      </c>
      <c r="I328" s="13">
        <v>0</v>
      </c>
      <c r="J328" s="13">
        <f>'Electrical Essentials'!C11</f>
        <v>1531.45</v>
      </c>
      <c r="K328" s="19">
        <f t="shared" si="1"/>
        <v>0</v>
      </c>
      <c r="L328" s="19">
        <f t="shared" si="2"/>
        <v>1531.45</v>
      </c>
    </row>
    <row r="329" spans="1:12">
      <c r="A329" s="13">
        <v>404</v>
      </c>
      <c r="B329" s="14" t="s">
        <v>1584</v>
      </c>
      <c r="C329" s="16"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16"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46" t="str">
        <f>'Electrical Essentials'!D12</f>
        <v>each</v>
      </c>
      <c r="F329" s="17" t="s">
        <v>51</v>
      </c>
      <c r="G329" s="39" t="s">
        <v>52</v>
      </c>
      <c r="H329" s="39" t="s">
        <v>1565</v>
      </c>
      <c r="I329" s="13">
        <v>0</v>
      </c>
      <c r="J329" s="13">
        <f>'Electrical Essentials'!C12</f>
        <v>1995.45</v>
      </c>
      <c r="K329" s="19">
        <f t="shared" si="1"/>
        <v>0</v>
      </c>
      <c r="L329" s="19">
        <f t="shared" si="2"/>
        <v>1995.45</v>
      </c>
    </row>
    <row r="330" spans="1:12">
      <c r="A330" s="13">
        <v>405</v>
      </c>
      <c r="B330" s="14" t="s">
        <v>1587</v>
      </c>
      <c r="C330" s="16"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16"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46" t="str">
        <f>'Electrical Essentials'!D13</f>
        <v>each</v>
      </c>
      <c r="F330" s="17" t="s">
        <v>51</v>
      </c>
      <c r="G330" s="39" t="s">
        <v>52</v>
      </c>
      <c r="H330" s="39" t="s">
        <v>1565</v>
      </c>
      <c r="I330" s="13">
        <v>0</v>
      </c>
      <c r="J330" s="13">
        <f>'Electrical Essentials'!C13</f>
        <v>2055.4499999999998</v>
      </c>
      <c r="K330" s="19">
        <f t="shared" si="1"/>
        <v>0</v>
      </c>
      <c r="L330" s="19">
        <f t="shared" si="2"/>
        <v>2055.4499999999998</v>
      </c>
    </row>
    <row r="331" spans="1:12">
      <c r="A331" s="13">
        <v>406</v>
      </c>
      <c r="B331" s="14" t="s">
        <v>1588</v>
      </c>
      <c r="C331" s="16"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16"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46" t="str">
        <f>'Electrical Essentials'!D14</f>
        <v>each</v>
      </c>
      <c r="F331" s="17" t="s">
        <v>51</v>
      </c>
      <c r="G331" s="39" t="s">
        <v>52</v>
      </c>
      <c r="H331" s="39" t="s">
        <v>1565</v>
      </c>
      <c r="I331" s="13">
        <v>0</v>
      </c>
      <c r="J331" s="13">
        <f>'Electrical Essentials'!C14</f>
        <v>1953.52</v>
      </c>
      <c r="K331" s="19">
        <f t="shared" si="1"/>
        <v>0</v>
      </c>
      <c r="L331" s="19">
        <f t="shared" si="2"/>
        <v>1953.52</v>
      </c>
    </row>
    <row r="332" spans="1:12">
      <c r="A332" s="13">
        <v>407</v>
      </c>
      <c r="B332" s="14" t="s">
        <v>1589</v>
      </c>
      <c r="C332" s="16"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16"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46" t="str">
        <f>'Electrical Essentials'!D15</f>
        <v>each</v>
      </c>
      <c r="F332" s="17" t="s">
        <v>51</v>
      </c>
      <c r="G332" s="39" t="s">
        <v>52</v>
      </c>
      <c r="H332" s="39" t="s">
        <v>1565</v>
      </c>
      <c r="I332" s="13">
        <v>0</v>
      </c>
      <c r="J332" s="13">
        <f>'Electrical Essentials'!C15</f>
        <v>2407.52</v>
      </c>
      <c r="K332" s="19">
        <f t="shared" si="1"/>
        <v>0</v>
      </c>
      <c r="L332" s="19">
        <f t="shared" si="2"/>
        <v>2407.52</v>
      </c>
    </row>
    <row r="333" spans="1:12">
      <c r="A333" s="13">
        <v>408</v>
      </c>
      <c r="B333" s="14" t="s">
        <v>1590</v>
      </c>
      <c r="C333" s="16"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16"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46" t="str">
        <f>'Electrical Essentials'!D16</f>
        <v>each</v>
      </c>
      <c r="F333" s="17" t="s">
        <v>51</v>
      </c>
      <c r="G333" s="39" t="s">
        <v>52</v>
      </c>
      <c r="H333" s="39" t="s">
        <v>1565</v>
      </c>
      <c r="I333" s="13">
        <v>0</v>
      </c>
      <c r="J333" s="13">
        <f>'Electrical Essentials'!C16</f>
        <v>2169.52</v>
      </c>
      <c r="K333" s="19">
        <f t="shared" si="1"/>
        <v>0</v>
      </c>
      <c r="L333" s="19">
        <f t="shared" si="2"/>
        <v>2169.52</v>
      </c>
    </row>
    <row r="334" spans="1:12">
      <c r="A334" s="13">
        <v>409</v>
      </c>
      <c r="B334" s="14" t="s">
        <v>1591</v>
      </c>
      <c r="C334" s="16" t="str">
        <f>'Electrical Essentials'!B17</f>
        <v>Supplying and drawing following sizes of FRLS PVC insulated copper conductor, single core cable in the existing surface / recessed steel/ PVC conduit as required.1 x 1.5 sq. mm(1.17.1)</v>
      </c>
      <c r="D334" s="16" t="str">
        <f t="shared" si="0"/>
        <v>Supplying and drawing following sizes of FRLS PVC insulated copper conductor, single core cable in the existing surface / recessed steel/ PVC conduit as required.1 x 1.5 sq. mm(1.17.1) (Code: GWDDR409)</v>
      </c>
      <c r="E334" s="46" t="str">
        <f>'Electrical Essentials'!D17</f>
        <v>metre</v>
      </c>
      <c r="F334" s="17" t="s">
        <v>51</v>
      </c>
      <c r="G334" s="39" t="s">
        <v>52</v>
      </c>
      <c r="H334" s="39" t="s">
        <v>1565</v>
      </c>
      <c r="I334" s="13">
        <v>0</v>
      </c>
      <c r="J334" s="13">
        <f>'Electrical Essentials'!C17</f>
        <v>33.78</v>
      </c>
      <c r="K334" s="19">
        <f t="shared" si="1"/>
        <v>0</v>
      </c>
      <c r="L334" s="19">
        <f t="shared" si="2"/>
        <v>33.78</v>
      </c>
    </row>
    <row r="335" spans="1:12">
      <c r="A335" s="13">
        <v>410</v>
      </c>
      <c r="B335" s="14" t="s">
        <v>1592</v>
      </c>
      <c r="C335" s="16" t="str">
        <f>'Electrical Essentials'!B18</f>
        <v>Supplying and drawing following sizes of FRLS PVC insulated copper conductor, single core cable in the existing surface / recessed steel/ PVC conduit as required.2 x 1.5 sq. mm(1.17.2)</v>
      </c>
      <c r="D335" s="16" t="str">
        <f t="shared" si="0"/>
        <v>Supplying and drawing following sizes of FRLS PVC insulated copper conductor, single core cable in the existing surface / recessed steel/ PVC conduit as required.2 x 1.5 sq. mm(1.17.2) (Code: GWDDR410)</v>
      </c>
      <c r="E335" s="46" t="str">
        <f>'Electrical Essentials'!D18</f>
        <v>metre</v>
      </c>
      <c r="F335" s="17" t="s">
        <v>51</v>
      </c>
      <c r="G335" s="39" t="s">
        <v>52</v>
      </c>
      <c r="H335" s="39" t="s">
        <v>1565</v>
      </c>
      <c r="I335" s="13">
        <v>0</v>
      </c>
      <c r="J335" s="13">
        <f>'Electrical Essentials'!C18</f>
        <v>52.87</v>
      </c>
      <c r="K335" s="19">
        <f t="shared" si="1"/>
        <v>0</v>
      </c>
      <c r="L335" s="19">
        <f t="shared" si="2"/>
        <v>52.87</v>
      </c>
    </row>
    <row r="336" spans="1:12">
      <c r="A336" s="13">
        <v>411</v>
      </c>
      <c r="B336" s="14" t="s">
        <v>1595</v>
      </c>
      <c r="C336" s="16" t="str">
        <f>'Electrical Essentials'!B19</f>
        <v>Supplying and drawing following sizes of FRLS PVC insulated copper conductor, single core cable in the existing surface / recessed steel/ PVC conduit as required.3 X 1.5 sq.mm(1.17.3)</v>
      </c>
      <c r="D336" s="16" t="str">
        <f t="shared" si="0"/>
        <v>Supplying and drawing following sizes of FRLS PVC insulated copper conductor, single core cable in the existing surface / recessed steel/ PVC conduit as required.3 X 1.5 sq.mm(1.17.3) (Code: GWDDR411)</v>
      </c>
      <c r="E336" s="46" t="str">
        <f>'Electrical Essentials'!D19</f>
        <v>metre</v>
      </c>
      <c r="F336" s="17" t="s">
        <v>51</v>
      </c>
      <c r="G336" s="39" t="s">
        <v>52</v>
      </c>
      <c r="H336" s="39" t="s">
        <v>1565</v>
      </c>
      <c r="I336" s="13">
        <v>0</v>
      </c>
      <c r="J336" s="13">
        <f>'Electrical Essentials'!C19</f>
        <v>71.959999999999994</v>
      </c>
      <c r="K336" s="19">
        <f t="shared" si="1"/>
        <v>0</v>
      </c>
      <c r="L336" s="19">
        <f t="shared" si="2"/>
        <v>71.959999999999994</v>
      </c>
    </row>
    <row r="337" spans="1:12">
      <c r="A337" s="13">
        <v>412</v>
      </c>
      <c r="B337" s="14" t="s">
        <v>1598</v>
      </c>
      <c r="C337" s="16" t="str">
        <f>'Electrical Essentials'!B20</f>
        <v>Supplying and drawing following sizes of FRLS PVC insulated copper conductor, single core cable in the existing surface / recessed steel/ PVC conduit as required.4 x 1.5 sq. mm(1.17.4)</v>
      </c>
      <c r="D337" s="16" t="str">
        <f t="shared" si="0"/>
        <v>Supplying and drawing following sizes of FRLS PVC insulated copper conductor, single core cable in the existing surface / recessed steel/ PVC conduit as required.4 x 1.5 sq. mm(1.17.4) (Code: GWDDR412)</v>
      </c>
      <c r="E337" s="46" t="str">
        <f>'Electrical Essentials'!D20</f>
        <v>metre</v>
      </c>
      <c r="F337" s="17" t="s">
        <v>51</v>
      </c>
      <c r="G337" s="39" t="s">
        <v>52</v>
      </c>
      <c r="H337" s="39" t="s">
        <v>1565</v>
      </c>
      <c r="I337" s="13">
        <v>0</v>
      </c>
      <c r="J337" s="13">
        <f>'Electrical Essentials'!C20</f>
        <v>91.05</v>
      </c>
      <c r="K337" s="19">
        <f t="shared" si="1"/>
        <v>0</v>
      </c>
      <c r="L337" s="19">
        <f t="shared" si="2"/>
        <v>91.05</v>
      </c>
    </row>
    <row r="338" spans="1:12">
      <c r="A338" s="13">
        <v>413</v>
      </c>
      <c r="B338" s="14" t="s">
        <v>1599</v>
      </c>
      <c r="C338" s="16" t="str">
        <f>'Electrical Essentials'!B21</f>
        <v>Supplying and drawing following sizes of FRLS PVC insulated copper conductor, single core cable in the existing surface / recessed steel/ PVC conduit as required.5 X 1.5 Sq. mm(1.17.5)</v>
      </c>
      <c r="D338" s="16" t="str">
        <f t="shared" si="0"/>
        <v>Supplying and drawing following sizes of FRLS PVC insulated copper conductor, single core cable in the existing surface / recessed steel/ PVC conduit as required.5 X 1.5 Sq. mm(1.17.5) (Code: GWDDR413)</v>
      </c>
      <c r="E338" s="46" t="str">
        <f>'Electrical Essentials'!D21</f>
        <v>metre</v>
      </c>
      <c r="F338" s="17" t="s">
        <v>51</v>
      </c>
      <c r="G338" s="39" t="s">
        <v>52</v>
      </c>
      <c r="H338" s="39" t="s">
        <v>1565</v>
      </c>
      <c r="I338" s="13">
        <v>0</v>
      </c>
      <c r="J338" s="13">
        <f>'Electrical Essentials'!C21</f>
        <v>117.48</v>
      </c>
      <c r="K338" s="19">
        <f t="shared" si="1"/>
        <v>0</v>
      </c>
      <c r="L338" s="19">
        <f t="shared" si="2"/>
        <v>117.48</v>
      </c>
    </row>
    <row r="339" spans="1:12">
      <c r="A339" s="13">
        <v>414</v>
      </c>
      <c r="B339" s="14" t="s">
        <v>1600</v>
      </c>
      <c r="C339" s="16" t="str">
        <f>'Electrical Essentials'!B22</f>
        <v>Supplying and drawing following sizes of FRLS PVC insulated copper conductor, single core cable in the existing surface / recessed steel/ PVC conduit as required.6 x 1.5 sq. mm(1.17.6)</v>
      </c>
      <c r="D339" s="16" t="str">
        <f t="shared" si="0"/>
        <v>Supplying and drawing following sizes of FRLS PVC insulated copper conductor, single core cable in the existing surface / recessed steel/ PVC conduit as required.6 x 1.5 sq. mm(1.17.6) (Code: GWDDR414)</v>
      </c>
      <c r="E339" s="46" t="str">
        <f>'Electrical Essentials'!D22</f>
        <v>metre</v>
      </c>
      <c r="F339" s="17" t="s">
        <v>51</v>
      </c>
      <c r="G339" s="39" t="s">
        <v>52</v>
      </c>
      <c r="H339" s="39" t="s">
        <v>1565</v>
      </c>
      <c r="I339" s="13">
        <v>0</v>
      </c>
      <c r="J339" s="13">
        <f>'Electrical Essentials'!C22</f>
        <v>136.57</v>
      </c>
      <c r="K339" s="19">
        <f t="shared" si="1"/>
        <v>0</v>
      </c>
      <c r="L339" s="19">
        <f t="shared" si="2"/>
        <v>136.57</v>
      </c>
    </row>
    <row r="340" spans="1:12">
      <c r="A340" s="13">
        <v>415</v>
      </c>
      <c r="B340" s="14" t="s">
        <v>1601</v>
      </c>
      <c r="C340" s="16" t="str">
        <f>'Electrical Essentials'!B23</f>
        <v>Supplying and drawing following sizes of FRLS PVC insulated copper conductor, single core cable in the existing surface / recessed steel/ PVC conduit as required.7 x 1.5 sq. mm(1.17.7)</v>
      </c>
      <c r="D340" s="16" t="str">
        <f t="shared" si="0"/>
        <v>Supplying and drawing following sizes of FRLS PVC insulated copper conductor, single core cable in the existing surface / recessed steel/ PVC conduit as required.7 x 1.5 sq. mm(1.17.7) (Code: GWDDR415)</v>
      </c>
      <c r="E340" s="46" t="str">
        <f>'Electrical Essentials'!D23</f>
        <v>metre</v>
      </c>
      <c r="F340" s="17" t="s">
        <v>51</v>
      </c>
      <c r="G340" s="39" t="s">
        <v>52</v>
      </c>
      <c r="H340" s="39" t="s">
        <v>1565</v>
      </c>
      <c r="I340" s="13">
        <v>0</v>
      </c>
      <c r="J340" s="13">
        <f>'Electrical Essentials'!C23</f>
        <v>163</v>
      </c>
      <c r="K340" s="19">
        <f t="shared" si="1"/>
        <v>0</v>
      </c>
      <c r="L340" s="19">
        <f t="shared" si="2"/>
        <v>163</v>
      </c>
    </row>
    <row r="341" spans="1:12">
      <c r="A341" s="13">
        <v>416</v>
      </c>
      <c r="B341" s="14" t="s">
        <v>1602</v>
      </c>
      <c r="C341" s="16" t="str">
        <f>'Electrical Essentials'!B24</f>
        <v>Supplying and drawing following sizes of FRLS PVC insulated copper conductor, single core cable in the existing surface / recessed steel/ PVC conduit as required.8 x 1.5 sq. mm(1.17.8)</v>
      </c>
      <c r="D341" s="16" t="str">
        <f t="shared" si="0"/>
        <v>Supplying and drawing following sizes of FRLS PVC insulated copper conductor, single core cable in the existing surface / recessed steel/ PVC conduit as required.8 x 1.5 sq. mm(1.17.8) (Code: GWDDR416)</v>
      </c>
      <c r="E341" s="46" t="str">
        <f>'Electrical Essentials'!D24</f>
        <v>metre</v>
      </c>
      <c r="F341" s="17" t="s">
        <v>51</v>
      </c>
      <c r="G341" s="39" t="s">
        <v>52</v>
      </c>
      <c r="H341" s="39" t="s">
        <v>1565</v>
      </c>
      <c r="I341" s="13">
        <v>0</v>
      </c>
      <c r="J341" s="13">
        <f>'Electrical Essentials'!C24</f>
        <v>182.09</v>
      </c>
      <c r="K341" s="19">
        <f t="shared" si="1"/>
        <v>0</v>
      </c>
      <c r="L341" s="19">
        <f t="shared" si="2"/>
        <v>182.09</v>
      </c>
    </row>
    <row r="342" spans="1:12">
      <c r="A342" s="13">
        <v>417</v>
      </c>
      <c r="B342" s="14" t="s">
        <v>1603</v>
      </c>
      <c r="C342" s="16" t="str">
        <f>'Electrical Essentials'!B25</f>
        <v>Supplying and drawing following sizes of FRLS PVC insulated copper conductor, single core cable in the existing surface / recessed steel/ PVC conduit as required.9 x 1.5 sq. mm(1.17.9)</v>
      </c>
      <c r="D342" s="16" t="str">
        <f t="shared" si="0"/>
        <v>Supplying and drawing following sizes of FRLS PVC insulated copper conductor, single core cable in the existing surface / recessed steel/ PVC conduit as required.9 x 1.5 sq. mm(1.17.9) (Code: GWDDR417)</v>
      </c>
      <c r="E342" s="46" t="str">
        <f>'Electrical Essentials'!D25</f>
        <v>metre</v>
      </c>
      <c r="F342" s="17" t="s">
        <v>51</v>
      </c>
      <c r="G342" s="39" t="s">
        <v>52</v>
      </c>
      <c r="H342" s="39" t="s">
        <v>1565</v>
      </c>
      <c r="I342" s="13">
        <v>0</v>
      </c>
      <c r="J342" s="13">
        <f>'Electrical Essentials'!C25</f>
        <v>215.87</v>
      </c>
      <c r="K342" s="19">
        <f t="shared" si="1"/>
        <v>0</v>
      </c>
      <c r="L342" s="19">
        <f t="shared" si="2"/>
        <v>215.87</v>
      </c>
    </row>
    <row r="343" spans="1:12">
      <c r="A343" s="13">
        <v>418</v>
      </c>
      <c r="B343" s="14" t="s">
        <v>1604</v>
      </c>
      <c r="C343" s="16" t="str">
        <f>'Electrical Essentials'!B26</f>
        <v>Supplying and drawing following sizes of FRLS PVC insulated copper conductor, single core cable in the existing surface / recessed steel/ PVC conduit as required.10 x 1.5 sq. mm(1.17.10)</v>
      </c>
      <c r="D343" s="16" t="str">
        <f t="shared" si="0"/>
        <v>Supplying and drawing following sizes of FRLS PVC insulated copper conductor, single core cable in the existing surface / recessed steel/ PVC conduit as required.10 x 1.5 sq. mm(1.17.10) (Code: GWDDR418)</v>
      </c>
      <c r="E343" s="46" t="str">
        <f>'Electrical Essentials'!D26</f>
        <v>metre</v>
      </c>
      <c r="F343" s="17" t="s">
        <v>51</v>
      </c>
      <c r="G343" s="39" t="s">
        <v>52</v>
      </c>
      <c r="H343" s="39" t="s">
        <v>1565</v>
      </c>
      <c r="I343" s="13">
        <v>0</v>
      </c>
      <c r="J343" s="13">
        <f>'Electrical Essentials'!C26</f>
        <v>234.96</v>
      </c>
      <c r="K343" s="19">
        <f t="shared" si="1"/>
        <v>0</v>
      </c>
      <c r="L343" s="19">
        <f t="shared" si="2"/>
        <v>234.96</v>
      </c>
    </row>
    <row r="344" spans="1:12">
      <c r="A344" s="13">
        <v>419</v>
      </c>
      <c r="B344" s="14" t="s">
        <v>1605</v>
      </c>
      <c r="C344" s="16" t="str">
        <f>'Electrical Essentials'!B27</f>
        <v>Supplying and drawing following sizes of FRLS PVC insulated copper conductor, single core cable in the existing surface / recessed steel/ PVC conduit as required.2 x 2.5 sq. mm(1.17.11)</v>
      </c>
      <c r="D344" s="16" t="str">
        <f t="shared" si="0"/>
        <v>Supplying and drawing following sizes of FRLS PVC insulated copper conductor, single core cable in the existing surface / recessed steel/ PVC conduit as required.2 x 2.5 sq. mm(1.17.11) (Code: GWDDR419)</v>
      </c>
      <c r="E344" s="46" t="str">
        <f>'Electrical Essentials'!D27</f>
        <v>metre</v>
      </c>
      <c r="F344" s="17" t="s">
        <v>51</v>
      </c>
      <c r="G344" s="39" t="s">
        <v>52</v>
      </c>
      <c r="H344" s="39" t="s">
        <v>1565</v>
      </c>
      <c r="I344" s="13">
        <v>0</v>
      </c>
      <c r="J344" s="13">
        <f>'Electrical Essentials'!C27</f>
        <v>74.08</v>
      </c>
      <c r="K344" s="19">
        <f t="shared" si="1"/>
        <v>0</v>
      </c>
      <c r="L344" s="19">
        <f t="shared" si="2"/>
        <v>74.08</v>
      </c>
    </row>
    <row r="345" spans="1:12">
      <c r="A345" s="13">
        <v>420</v>
      </c>
      <c r="B345" s="14" t="s">
        <v>1607</v>
      </c>
      <c r="C345" s="16" t="str">
        <f>'Electrical Essentials'!B28</f>
        <v>Supplying and drawing following sizes of FRLS PVC insulated copper conductor, single core cable in the existing surface / recessed steel/ PVC conduit as required.3 x 2.5 sq. mm(1.17.12)</v>
      </c>
      <c r="D345" s="16" t="str">
        <f t="shared" si="0"/>
        <v>Supplying and drawing following sizes of FRLS PVC insulated copper conductor, single core cable in the existing surface / recessed steel/ PVC conduit as required.3 x 2.5 sq. mm(1.17.12) (Code: GWDDR420)</v>
      </c>
      <c r="E345" s="46" t="str">
        <f>'Electrical Essentials'!D28</f>
        <v>metre</v>
      </c>
      <c r="F345" s="17" t="s">
        <v>51</v>
      </c>
      <c r="G345" s="39" t="s">
        <v>52</v>
      </c>
      <c r="H345" s="39" t="s">
        <v>1565</v>
      </c>
      <c r="I345" s="13">
        <v>0</v>
      </c>
      <c r="J345" s="13">
        <f>'Electrical Essentials'!C28</f>
        <v>103.77</v>
      </c>
      <c r="K345" s="19">
        <f t="shared" si="1"/>
        <v>0</v>
      </c>
      <c r="L345" s="19">
        <f t="shared" si="2"/>
        <v>103.77</v>
      </c>
    </row>
    <row r="346" spans="1:12">
      <c r="A346" s="13">
        <v>421</v>
      </c>
      <c r="B346" s="14" t="s">
        <v>1610</v>
      </c>
      <c r="C346" s="16" t="str">
        <f>'Electrical Essentials'!B29</f>
        <v>Supplying and drawing following sizes of FRLS PVC insulated copper conductor, single core cable in the existing surface / recessed steel/ PVC conduit as required.4 x 2.5 sq. mm(1.17.13)</v>
      </c>
      <c r="D346" s="16" t="str">
        <f t="shared" si="0"/>
        <v>Supplying and drawing following sizes of FRLS PVC insulated copper conductor, single core cable in the existing surface / recessed steel/ PVC conduit as required.4 x 2.5 sq. mm(1.17.13) (Code: GWDDR421)</v>
      </c>
      <c r="E346" s="46" t="str">
        <f>'Electrical Essentials'!D29</f>
        <v>metre</v>
      </c>
      <c r="F346" s="17" t="s">
        <v>51</v>
      </c>
      <c r="G346" s="39" t="s">
        <v>52</v>
      </c>
      <c r="H346" s="39" t="s">
        <v>1565</v>
      </c>
      <c r="I346" s="13">
        <v>0</v>
      </c>
      <c r="J346" s="13">
        <f>'Electrical Essentials'!C29</f>
        <v>133.47</v>
      </c>
      <c r="K346" s="19">
        <f t="shared" si="1"/>
        <v>0</v>
      </c>
      <c r="L346" s="19">
        <f t="shared" si="2"/>
        <v>133.47</v>
      </c>
    </row>
    <row r="347" spans="1:12">
      <c r="A347" s="13">
        <v>422</v>
      </c>
      <c r="B347" s="14" t="s">
        <v>1611</v>
      </c>
      <c r="C347" s="16" t="str">
        <f>'Electrical Essentials'!B30</f>
        <v>Supplying and drawing following sizes of FRLS PVC insulated copper conductor, single core cable in the existing surface / recessed steel/ PVC conduit as required.5 x 2.5 sq. mm(1.17.14)</v>
      </c>
      <c r="D347" s="16" t="str">
        <f t="shared" si="0"/>
        <v>Supplying and drawing following sizes of FRLS PVC insulated copper conductor, single core cable in the existing surface / recessed steel/ PVC conduit as required.5 x 2.5 sq. mm(1.17.14) (Code: GWDDR422)</v>
      </c>
      <c r="E347" s="46" t="str">
        <f>'Electrical Essentials'!D30</f>
        <v>metre</v>
      </c>
      <c r="F347" s="17" t="s">
        <v>51</v>
      </c>
      <c r="G347" s="39" t="s">
        <v>52</v>
      </c>
      <c r="H347" s="39" t="s">
        <v>1565</v>
      </c>
      <c r="I347" s="13">
        <v>0</v>
      </c>
      <c r="J347" s="13">
        <f>'Electrical Essentials'!C30</f>
        <v>170.51</v>
      </c>
      <c r="K347" s="19">
        <f t="shared" si="1"/>
        <v>0</v>
      </c>
      <c r="L347" s="19">
        <f t="shared" si="2"/>
        <v>170.51</v>
      </c>
    </row>
    <row r="348" spans="1:12">
      <c r="A348" s="13">
        <v>423</v>
      </c>
      <c r="B348" s="14" t="s">
        <v>1614</v>
      </c>
      <c r="C348" s="16" t="str">
        <f>'Electrical Essentials'!B31</f>
        <v>Supplying and drawing following sizes of FRLS PVC insulated copper conductor, single core cable in the existing surface / recessed steel/ PVC conduit as required.6 x 2.5 sq. mm(1.17.15)</v>
      </c>
      <c r="D348" s="16" t="str">
        <f t="shared" si="0"/>
        <v>Supplying and drawing following sizes of FRLS PVC insulated copper conductor, single core cable in the existing surface / recessed steel/ PVC conduit as required.6 x 2.5 sq. mm(1.17.15) (Code: GWDDR423)</v>
      </c>
      <c r="E348" s="46" t="str">
        <f>'Electrical Essentials'!D31</f>
        <v>metre</v>
      </c>
      <c r="F348" s="17" t="s">
        <v>51</v>
      </c>
      <c r="G348" s="39" t="s">
        <v>52</v>
      </c>
      <c r="H348" s="39" t="s">
        <v>1565</v>
      </c>
      <c r="I348" s="13">
        <v>0</v>
      </c>
      <c r="J348" s="13">
        <f>'Electrical Essentials'!C31</f>
        <v>200.2</v>
      </c>
      <c r="K348" s="19">
        <f t="shared" si="1"/>
        <v>0</v>
      </c>
      <c r="L348" s="19">
        <f t="shared" si="2"/>
        <v>200.2</v>
      </c>
    </row>
    <row r="349" spans="1:12">
      <c r="A349" s="13">
        <v>424</v>
      </c>
      <c r="B349" s="14" t="s">
        <v>1615</v>
      </c>
      <c r="C349" s="16" t="str">
        <f>'Electrical Essentials'!B32</f>
        <v>Supplying and drawing following sizes of FRLS PVC insulated copper conductor, single core cable in the existing surface / recessed steel/ PVC conduit as required.7 x 2.5 sq. mm(1.17.16)</v>
      </c>
      <c r="D349" s="16" t="str">
        <f t="shared" si="0"/>
        <v>Supplying and drawing following sizes of FRLS PVC insulated copper conductor, single core cable in the existing surface / recessed steel/ PVC conduit as required.7 x 2.5 sq. mm(1.17.16) (Code: GWDDR424)</v>
      </c>
      <c r="E349" s="46" t="str">
        <f>'Electrical Essentials'!D32</f>
        <v>metre</v>
      </c>
      <c r="F349" s="17" t="s">
        <v>51</v>
      </c>
      <c r="G349" s="39" t="s">
        <v>52</v>
      </c>
      <c r="H349" s="39" t="s">
        <v>1565</v>
      </c>
      <c r="I349" s="13">
        <v>0</v>
      </c>
      <c r="J349" s="13">
        <f>'Electrical Essentials'!C32</f>
        <v>237.24</v>
      </c>
      <c r="K349" s="19">
        <f t="shared" si="1"/>
        <v>0</v>
      </c>
      <c r="L349" s="19">
        <f t="shared" si="2"/>
        <v>237.24</v>
      </c>
    </row>
    <row r="350" spans="1:12">
      <c r="A350" s="13">
        <v>425</v>
      </c>
      <c r="B350" s="14" t="s">
        <v>1616</v>
      </c>
      <c r="C350" s="16" t="str">
        <f>'Electrical Essentials'!B33</f>
        <v>Supplying and drawing following sizes of FRLS PVC insulated copper conductor, single core cable in the existing surface / recessed steel/ PVC conduit as required.8 x 2.5 sq. mm(1.17.17)</v>
      </c>
      <c r="D350" s="16" t="str">
        <f t="shared" si="0"/>
        <v>Supplying and drawing following sizes of FRLS PVC insulated copper conductor, single core cable in the existing surface / recessed steel/ PVC conduit as required.8 x 2.5 sq. mm(1.17.17) (Code: GWDDR425)</v>
      </c>
      <c r="E350" s="46" t="str">
        <f>'Electrical Essentials'!D33</f>
        <v>metre</v>
      </c>
      <c r="F350" s="17" t="s">
        <v>51</v>
      </c>
      <c r="G350" s="39" t="s">
        <v>52</v>
      </c>
      <c r="H350" s="39" t="s">
        <v>1565</v>
      </c>
      <c r="I350" s="13">
        <v>0</v>
      </c>
      <c r="J350" s="13">
        <f>'Electrical Essentials'!C33</f>
        <v>266.93</v>
      </c>
      <c r="K350" s="19">
        <f t="shared" si="1"/>
        <v>0</v>
      </c>
      <c r="L350" s="19">
        <f t="shared" si="2"/>
        <v>266.93</v>
      </c>
    </row>
    <row r="351" spans="1:12">
      <c r="A351" s="13">
        <v>426</v>
      </c>
      <c r="B351" s="14" t="s">
        <v>1617</v>
      </c>
      <c r="C351" s="16" t="str">
        <f>'Electrical Essentials'!B34</f>
        <v>Supplying and drawing following sizes of FRLS PVC insulated copper conductor, single core cable in the existing surface / recessed steel/ PVC conduit as required.9 x 2.5 sq. mm(1.17.18)</v>
      </c>
      <c r="D351" s="16" t="str">
        <f t="shared" si="0"/>
        <v>Supplying and drawing following sizes of FRLS PVC insulated copper conductor, single core cable in the existing surface / recessed steel/ PVC conduit as required.9 x 2.5 sq. mm(1.17.18) (Code: GWDDR426)</v>
      </c>
      <c r="E351" s="46" t="str">
        <f>'Electrical Essentials'!D34</f>
        <v>metre</v>
      </c>
      <c r="F351" s="17" t="s">
        <v>51</v>
      </c>
      <c r="G351" s="39" t="s">
        <v>52</v>
      </c>
      <c r="H351" s="39" t="s">
        <v>1565</v>
      </c>
      <c r="I351" s="13">
        <v>0</v>
      </c>
      <c r="J351" s="13">
        <f>'Electrical Essentials'!C34</f>
        <v>311.32</v>
      </c>
      <c r="K351" s="19">
        <f t="shared" si="1"/>
        <v>0</v>
      </c>
      <c r="L351" s="19">
        <f t="shared" si="2"/>
        <v>311.32</v>
      </c>
    </row>
    <row r="352" spans="1:12">
      <c r="A352" s="13">
        <v>427</v>
      </c>
      <c r="B352" s="14" t="s">
        <v>1618</v>
      </c>
      <c r="C352" s="16" t="str">
        <f>'Electrical Essentials'!B35</f>
        <v>Supplying and drawing following sizes of FRLS PVC insulated copper conductor, single core cable in the existing surface / recessed steel/ PVC conduit as required.10 x 2.5 sq. mm(1.17.19)</v>
      </c>
      <c r="D352" s="16" t="str">
        <f t="shared" si="0"/>
        <v>Supplying and drawing following sizes of FRLS PVC insulated copper conductor, single core cable in the existing surface / recessed steel/ PVC conduit as required.10 x 2.5 sq. mm(1.17.19) (Code: GWDDR427)</v>
      </c>
      <c r="E352" s="46" t="str">
        <f>'Electrical Essentials'!D35</f>
        <v>metre</v>
      </c>
      <c r="F352" s="17" t="s">
        <v>51</v>
      </c>
      <c r="G352" s="39" t="s">
        <v>52</v>
      </c>
      <c r="H352" s="39" t="s">
        <v>1565</v>
      </c>
      <c r="I352" s="13">
        <v>0</v>
      </c>
      <c r="J352" s="13">
        <f>'Electrical Essentials'!C35</f>
        <v>341.01</v>
      </c>
      <c r="K352" s="19">
        <f t="shared" si="1"/>
        <v>0</v>
      </c>
      <c r="L352" s="19">
        <f t="shared" si="2"/>
        <v>341.01</v>
      </c>
    </row>
    <row r="353" spans="1:12">
      <c r="A353" s="13">
        <v>428</v>
      </c>
      <c r="B353" s="14" t="s">
        <v>1619</v>
      </c>
      <c r="C353" s="16" t="str">
        <f>'Electrical Essentials'!B36</f>
        <v>Supplying and drawing following sizes of FRLS PVC insulated copper conductor, single core cable in the existing surface / recessed steel/ PVC conduit as required.2 x 4 sq. mm(1.17.20)</v>
      </c>
      <c r="D353" s="16" t="str">
        <f t="shared" si="0"/>
        <v>Supplying and drawing following sizes of FRLS PVC insulated copper conductor, single core cable in the existing surface / recessed steel/ PVC conduit as required.2 x 4 sq. mm(1.17.20) (Code: GWDDR428)</v>
      </c>
      <c r="E353" s="46" t="str">
        <f>'Electrical Essentials'!D36</f>
        <v>metre</v>
      </c>
      <c r="F353" s="17" t="s">
        <v>51</v>
      </c>
      <c r="G353" s="39" t="s">
        <v>52</v>
      </c>
      <c r="H353" s="39" t="s">
        <v>1565</v>
      </c>
      <c r="I353" s="13">
        <v>0</v>
      </c>
      <c r="J353" s="13">
        <f>'Electrical Essentials'!C36</f>
        <v>111.12</v>
      </c>
      <c r="K353" s="19">
        <f t="shared" si="1"/>
        <v>0</v>
      </c>
      <c r="L353" s="19">
        <f t="shared" si="2"/>
        <v>111.12</v>
      </c>
    </row>
    <row r="354" spans="1:12">
      <c r="A354" s="13">
        <v>429</v>
      </c>
      <c r="B354" s="14" t="s">
        <v>1620</v>
      </c>
      <c r="C354" s="16" t="str">
        <f>'Electrical Essentials'!B37</f>
        <v>Supplying and drawing following sizes of FRLS PVC insulated copper conductor, single core cable in the existing surface / recessed steel/ PVC conduit as required.3 x 4 sq. mm(1.17.21)</v>
      </c>
      <c r="D354" s="16" t="str">
        <f t="shared" si="0"/>
        <v>Supplying and drawing following sizes of FRLS PVC insulated copper conductor, single core cable in the existing surface / recessed steel/ PVC conduit as required.3 x 4 sq. mm(1.17.21) (Code: GWDDR429)</v>
      </c>
      <c r="E354" s="46" t="str">
        <f>'Electrical Essentials'!D37</f>
        <v>metre</v>
      </c>
      <c r="F354" s="17" t="s">
        <v>51</v>
      </c>
      <c r="G354" s="39" t="s">
        <v>52</v>
      </c>
      <c r="H354" s="39" t="s">
        <v>1565</v>
      </c>
      <c r="I354" s="13">
        <v>0</v>
      </c>
      <c r="J354" s="13">
        <f>'Electrical Essentials'!C37</f>
        <v>155.66</v>
      </c>
      <c r="K354" s="19">
        <f t="shared" si="1"/>
        <v>0</v>
      </c>
      <c r="L354" s="19">
        <f t="shared" si="2"/>
        <v>155.66</v>
      </c>
    </row>
    <row r="355" spans="1:12">
      <c r="A355" s="13">
        <v>430</v>
      </c>
      <c r="B355" s="14" t="s">
        <v>1623</v>
      </c>
      <c r="C355" s="16" t="str">
        <f>'Electrical Essentials'!B38</f>
        <v>Supplying and drawing following sizes of FRLS PVC insulated copper conductor, single core cable in the existing surface / recessed steel/ PVC conduit as required.4 x 4 sq. mm(1.17.22)</v>
      </c>
      <c r="D355" s="16" t="str">
        <f t="shared" si="0"/>
        <v>Supplying and drawing following sizes of FRLS PVC insulated copper conductor, single core cable in the existing surface / recessed steel/ PVC conduit as required.4 x 4 sq. mm(1.17.22) (Code: GWDDR430)</v>
      </c>
      <c r="E355" s="46" t="str">
        <f>'Electrical Essentials'!D38</f>
        <v>metre</v>
      </c>
      <c r="F355" s="17" t="s">
        <v>51</v>
      </c>
      <c r="G355" s="39" t="s">
        <v>52</v>
      </c>
      <c r="H355" s="39" t="s">
        <v>1565</v>
      </c>
      <c r="I355" s="13">
        <v>0</v>
      </c>
      <c r="J355" s="13">
        <f>'Electrical Essentials'!C38</f>
        <v>207.54</v>
      </c>
      <c r="K355" s="19">
        <f t="shared" si="1"/>
        <v>0</v>
      </c>
      <c r="L355" s="19">
        <f t="shared" si="2"/>
        <v>207.54</v>
      </c>
    </row>
    <row r="356" spans="1:12">
      <c r="A356" s="13">
        <v>431</v>
      </c>
      <c r="B356" s="14" t="s">
        <v>1627</v>
      </c>
      <c r="C356" s="16" t="str">
        <f>'Electrical Essentials'!B39</f>
        <v>Supplying and drawing following sizes of FRLS PVC insulated copper conductor, single core cable in the existing surface / recessed steel/ PVC conduit as required.5 x 4 sq. mm(1.17.23)</v>
      </c>
      <c r="D356" s="16" t="str">
        <f t="shared" si="0"/>
        <v>Supplying and drawing following sizes of FRLS PVC insulated copper conductor, single core cable in the existing surface / recessed steel/ PVC conduit as required.5 x 4 sq. mm(1.17.23) (Code: GWDDR431)</v>
      </c>
      <c r="E356" s="46" t="str">
        <f>'Electrical Essentials'!D39</f>
        <v>metre</v>
      </c>
      <c r="F356" s="17" t="s">
        <v>51</v>
      </c>
      <c r="G356" s="39" t="s">
        <v>52</v>
      </c>
      <c r="H356" s="39" t="s">
        <v>1565</v>
      </c>
      <c r="I356" s="13">
        <v>0</v>
      </c>
      <c r="J356" s="13">
        <f>'Electrical Essentials'!C39</f>
        <v>255.03</v>
      </c>
      <c r="K356" s="19">
        <f t="shared" si="1"/>
        <v>0</v>
      </c>
      <c r="L356" s="19">
        <f t="shared" si="2"/>
        <v>255.03</v>
      </c>
    </row>
    <row r="357" spans="1:12">
      <c r="A357" s="13">
        <v>432</v>
      </c>
      <c r="B357" s="14" t="s">
        <v>1629</v>
      </c>
      <c r="C357" s="16" t="str">
        <f>'Electrical Essentials'!B40</f>
        <v>Supplying and drawing following sizes of FRLS PVC insulated copper conductor, single core cable in the existing surface / recessed steel/ PVC conduit as required.6 x 4 sq. mm(1.17.24)</v>
      </c>
      <c r="D357" s="16" t="str">
        <f t="shared" si="0"/>
        <v>Supplying and drawing following sizes of FRLS PVC insulated copper conductor, single core cable in the existing surface / recessed steel/ PVC conduit as required.6 x 4 sq. mm(1.17.24) (Code: GWDDR432)</v>
      </c>
      <c r="E357" s="46" t="str">
        <f>'Electrical Essentials'!D40</f>
        <v>metre</v>
      </c>
      <c r="F357" s="17" t="s">
        <v>51</v>
      </c>
      <c r="G357" s="39" t="s">
        <v>52</v>
      </c>
      <c r="H357" s="39" t="s">
        <v>1565</v>
      </c>
      <c r="I357" s="13">
        <v>0</v>
      </c>
      <c r="J357" s="13">
        <f>'Electrical Essentials'!C40</f>
        <v>299.56</v>
      </c>
      <c r="K357" s="19">
        <f t="shared" si="1"/>
        <v>0</v>
      </c>
      <c r="L357" s="19">
        <f t="shared" si="2"/>
        <v>299.56</v>
      </c>
    </row>
    <row r="358" spans="1:12">
      <c r="A358" s="13">
        <v>433</v>
      </c>
      <c r="B358" s="14" t="s">
        <v>1631</v>
      </c>
      <c r="C358" s="16" t="str">
        <f>'Electrical Essentials'!B41</f>
        <v>Supplying and drawing following sizes of FRLS PVC insulated copper conductor, single core cable in the existing surface / recessed steel/ PVC conduit as required.7 x 4 sq. mm(1.17.25)</v>
      </c>
      <c r="D358" s="16" t="str">
        <f t="shared" si="0"/>
        <v>Supplying and drawing following sizes of FRLS PVC insulated copper conductor, single core cable in the existing surface / recessed steel/ PVC conduit as required.7 x 4 sq. mm(1.17.25) (Code: GWDDR433)</v>
      </c>
      <c r="E358" s="46" t="str">
        <f>'Electrical Essentials'!D41</f>
        <v>metre</v>
      </c>
      <c r="F358" s="17" t="s">
        <v>51</v>
      </c>
      <c r="G358" s="39" t="s">
        <v>52</v>
      </c>
      <c r="H358" s="39" t="s">
        <v>1565</v>
      </c>
      <c r="I358" s="13">
        <v>0</v>
      </c>
      <c r="J358" s="13">
        <f>'Electrical Essentials'!C41</f>
        <v>345.58</v>
      </c>
      <c r="K358" s="19">
        <f t="shared" si="1"/>
        <v>0</v>
      </c>
      <c r="L358" s="19">
        <f t="shared" si="2"/>
        <v>345.58</v>
      </c>
    </row>
    <row r="359" spans="1:12">
      <c r="A359" s="13">
        <v>434</v>
      </c>
      <c r="B359" s="14" t="s">
        <v>1632</v>
      </c>
      <c r="C359" s="16" t="str">
        <f>'Electrical Essentials'!B42</f>
        <v>Supplying and drawing following sizes of FRLS PVC insulated copper conductor, single core cable in the existing surface / recessed steel/ PVC conduit as required.8 x 4 sq. mm(1.17.26)</v>
      </c>
      <c r="D359" s="16" t="str">
        <f t="shared" si="0"/>
        <v>Supplying and drawing following sizes of FRLS PVC insulated copper conductor, single core cable in the existing surface / recessed steel/ PVC conduit as required.8 x 4 sq. mm(1.17.26) (Code: GWDDR434)</v>
      </c>
      <c r="E359" s="46" t="str">
        <f>'Electrical Essentials'!D42</f>
        <v>metre</v>
      </c>
      <c r="F359" s="17" t="s">
        <v>51</v>
      </c>
      <c r="G359" s="39" t="s">
        <v>52</v>
      </c>
      <c r="H359" s="39" t="s">
        <v>1565</v>
      </c>
      <c r="I359" s="13">
        <v>0</v>
      </c>
      <c r="J359" s="13">
        <f>'Electrical Essentials'!C42</f>
        <v>390.12</v>
      </c>
      <c r="K359" s="19">
        <f t="shared" si="1"/>
        <v>0</v>
      </c>
      <c r="L359" s="19">
        <f t="shared" si="2"/>
        <v>390.12</v>
      </c>
    </row>
    <row r="360" spans="1:12">
      <c r="A360" s="13">
        <v>435</v>
      </c>
      <c r="B360" s="14" t="s">
        <v>1633</v>
      </c>
      <c r="C360" s="16" t="str">
        <f>'Electrical Essentials'!B43</f>
        <v>Supplying and drawing following sizes of FRLS PVC insulated copper conductor, single core cable in the existing surface / recessed steel/ PVC conduit as required.9 x 4 sq. mm(1.17.27)</v>
      </c>
      <c r="D360" s="16" t="str">
        <f t="shared" si="0"/>
        <v>Supplying and drawing following sizes of FRLS PVC insulated copper conductor, single core cable in the existing surface / recessed steel/ PVC conduit as required.9 x 4 sq. mm(1.17.27) (Code: GWDDR435)</v>
      </c>
      <c r="E360" s="46" t="str">
        <f>'Electrical Essentials'!D43</f>
        <v>metre</v>
      </c>
      <c r="F360" s="17" t="s">
        <v>51</v>
      </c>
      <c r="G360" s="39" t="s">
        <v>52</v>
      </c>
      <c r="H360" s="39" t="s">
        <v>1565</v>
      </c>
      <c r="I360" s="13">
        <v>0</v>
      </c>
      <c r="J360" s="13">
        <f>'Electrical Essentials'!C43</f>
        <v>437.6</v>
      </c>
      <c r="K360" s="19">
        <f t="shared" si="1"/>
        <v>0</v>
      </c>
      <c r="L360" s="19">
        <f t="shared" si="2"/>
        <v>437.6</v>
      </c>
    </row>
    <row r="361" spans="1:12">
      <c r="A361" s="13">
        <v>436</v>
      </c>
      <c r="B361" s="14" t="s">
        <v>1634</v>
      </c>
      <c r="C361" s="16" t="str">
        <f>'Electrical Essentials'!B44</f>
        <v>Supplying and drawing following sizes of FRLS PVC insulated copper conductor, single core cable in the existing surface / recessed steel/ PVC conduit as required.10 x 4 sq. mm(1.17.28)</v>
      </c>
      <c r="D361" s="16" t="str">
        <f t="shared" si="0"/>
        <v>Supplying and drawing following sizes of FRLS PVC insulated copper conductor, single core cable in the existing surface / recessed steel/ PVC conduit as required.10 x 4 sq. mm(1.17.28) (Code: GWDDR436)</v>
      </c>
      <c r="E361" s="46" t="str">
        <f>'Electrical Essentials'!D44</f>
        <v>metre</v>
      </c>
      <c r="F361" s="17" t="s">
        <v>51</v>
      </c>
      <c r="G361" s="39" t="s">
        <v>52</v>
      </c>
      <c r="H361" s="39" t="s">
        <v>1565</v>
      </c>
      <c r="I361" s="13">
        <v>0</v>
      </c>
      <c r="J361" s="13">
        <f>'Electrical Essentials'!C44</f>
        <v>489.48</v>
      </c>
      <c r="K361" s="19">
        <f t="shared" si="1"/>
        <v>0</v>
      </c>
      <c r="L361" s="19">
        <f t="shared" si="2"/>
        <v>489.48</v>
      </c>
    </row>
    <row r="362" spans="1:12">
      <c r="A362" s="13">
        <v>437</v>
      </c>
      <c r="B362" s="14" t="s">
        <v>1635</v>
      </c>
      <c r="C362" s="16" t="str">
        <f>'Electrical Essentials'!B45</f>
        <v>Supplying and drawing following sizes of FRLS PVC insulated copper conductor, single core cable in the existing surface / recessed steel/ PVC conduit as required.2 x 6 sq. mm(1.17.29)</v>
      </c>
      <c r="D362" s="16" t="str">
        <f t="shared" si="0"/>
        <v>Supplying and drawing following sizes of FRLS PVC insulated copper conductor, single core cable in the existing surface / recessed steel/ PVC conduit as required.2 x 6 sq. mm(1.17.29) (Code: GWDDR437)</v>
      </c>
      <c r="E362" s="46" t="str">
        <f>'Electrical Essentials'!D45</f>
        <v>metre</v>
      </c>
      <c r="F362" s="17" t="s">
        <v>51</v>
      </c>
      <c r="G362" s="39" t="s">
        <v>52</v>
      </c>
      <c r="H362" s="39" t="s">
        <v>1565</v>
      </c>
      <c r="I362" s="13">
        <v>0</v>
      </c>
      <c r="J362" s="13">
        <f>'Electrical Essentials'!C45</f>
        <v>163</v>
      </c>
      <c r="K362" s="19">
        <f t="shared" si="1"/>
        <v>0</v>
      </c>
      <c r="L362" s="19">
        <f t="shared" si="2"/>
        <v>163</v>
      </c>
    </row>
    <row r="363" spans="1:12">
      <c r="A363" s="13">
        <v>438</v>
      </c>
      <c r="B363" s="14" t="s">
        <v>1637</v>
      </c>
      <c r="C363" s="16" t="str">
        <f>'Electrical Essentials'!B46</f>
        <v>Supplying and drawing following sizes of FRLS PVC insulated copper conductor, single core cable in the existing surface / recessed steel/ PVC conduit as required.3 x 6 sq. mm(1.17.30)</v>
      </c>
      <c r="D363" s="16" t="str">
        <f t="shared" si="0"/>
        <v>Supplying and drawing following sizes of FRLS PVC insulated copper conductor, single core cable in the existing surface / recessed steel/ PVC conduit as required.3 x 6 sq. mm(1.17.30) (Code: GWDDR438)</v>
      </c>
      <c r="E363" s="46" t="str">
        <f>'Electrical Essentials'!D46</f>
        <v>metre</v>
      </c>
      <c r="F363" s="17" t="s">
        <v>51</v>
      </c>
      <c r="G363" s="39" t="s">
        <v>52</v>
      </c>
      <c r="H363" s="39" t="s">
        <v>1565</v>
      </c>
      <c r="I363" s="13">
        <v>0</v>
      </c>
      <c r="J363" s="13">
        <f>'Electrical Essentials'!C46</f>
        <v>229.82</v>
      </c>
      <c r="K363" s="19">
        <f t="shared" si="1"/>
        <v>0</v>
      </c>
      <c r="L363" s="19">
        <f t="shared" si="2"/>
        <v>229.82</v>
      </c>
    </row>
    <row r="364" spans="1:12">
      <c r="A364" s="13">
        <v>439</v>
      </c>
      <c r="B364" s="14" t="s">
        <v>1638</v>
      </c>
      <c r="C364" s="16" t="str">
        <f>'Electrical Essentials'!B47</f>
        <v>Supplying and drawing following sizes of FRLS PVC insulated copper conductor, single core cable in the existing surface / recessed steel/ PVC conduit as required.4 x 6 sq. mm(1.17.31)</v>
      </c>
      <c r="D364" s="16" t="str">
        <f t="shared" si="0"/>
        <v>Supplying and drawing following sizes of FRLS PVC insulated copper conductor, single core cable in the existing surface / recessed steel/ PVC conduit as required.4 x 6 sq. mm(1.17.31) (Code: GWDDR439)</v>
      </c>
      <c r="E364" s="46" t="str">
        <f>'Electrical Essentials'!D47</f>
        <v>metre</v>
      </c>
      <c r="F364" s="17" t="s">
        <v>51</v>
      </c>
      <c r="G364" s="39" t="s">
        <v>52</v>
      </c>
      <c r="H364" s="39" t="s">
        <v>1565</v>
      </c>
      <c r="I364" s="13">
        <v>0</v>
      </c>
      <c r="J364" s="13">
        <f>'Electrical Essentials'!C47</f>
        <v>303.97000000000003</v>
      </c>
      <c r="K364" s="19">
        <f t="shared" si="1"/>
        <v>0</v>
      </c>
      <c r="L364" s="19">
        <f t="shared" si="2"/>
        <v>303.97000000000003</v>
      </c>
    </row>
    <row r="365" spans="1:12">
      <c r="A365" s="13">
        <v>440</v>
      </c>
      <c r="B365" s="14" t="s">
        <v>1639</v>
      </c>
      <c r="C365" s="16" t="str">
        <f>'Electrical Essentials'!B48</f>
        <v>Supplying and drawing following sizes of FRLS PVC insulated copper conductor, single core cable in the existing surface / recessed steel/ PVC conduit as required.5 x 6 sq. mm(1.17.32)</v>
      </c>
      <c r="D365" s="16" t="str">
        <f t="shared" si="0"/>
        <v>Supplying and drawing following sizes of FRLS PVC insulated copper conductor, single core cable in the existing surface / recessed steel/ PVC conduit as required.5 x 6 sq. mm(1.17.32) (Code: GWDDR440)</v>
      </c>
      <c r="E365" s="46" t="str">
        <f>'Electrical Essentials'!D48</f>
        <v>metre</v>
      </c>
      <c r="F365" s="17" t="s">
        <v>51</v>
      </c>
      <c r="G365" s="39" t="s">
        <v>52</v>
      </c>
      <c r="H365" s="39" t="s">
        <v>1565</v>
      </c>
      <c r="I365" s="13">
        <v>0</v>
      </c>
      <c r="J365" s="13">
        <f>'Electrical Essentials'!C48</f>
        <v>370.79</v>
      </c>
      <c r="K365" s="19">
        <f t="shared" si="1"/>
        <v>0</v>
      </c>
      <c r="L365" s="19">
        <f t="shared" si="2"/>
        <v>370.79</v>
      </c>
    </row>
    <row r="366" spans="1:12">
      <c r="A366" s="13">
        <v>441</v>
      </c>
      <c r="B366" s="14" t="s">
        <v>1640</v>
      </c>
      <c r="C366" s="16" t="str">
        <f>'Electrical Essentials'!B49</f>
        <v>Supplying and drawing following sizes of FRLS PVC insulated copper conductor, single core cable in the existing surface / recessed steel/ PVC conduit as required.6 x 6 sq. mm(1.17.33)</v>
      </c>
      <c r="D366" s="16" t="str">
        <f t="shared" si="0"/>
        <v>Supplying and drawing following sizes of FRLS PVC insulated copper conductor, single core cable in the existing surface / recessed steel/ PVC conduit as required.6 x 6 sq. mm(1.17.33) (Code: GWDDR441)</v>
      </c>
      <c r="E366" s="46" t="str">
        <f>'Electrical Essentials'!D49</f>
        <v>metre</v>
      </c>
      <c r="F366" s="17" t="s">
        <v>51</v>
      </c>
      <c r="G366" s="39" t="s">
        <v>52</v>
      </c>
      <c r="H366" s="39" t="s">
        <v>1565</v>
      </c>
      <c r="I366" s="13">
        <v>0</v>
      </c>
      <c r="J366" s="13">
        <f>'Electrical Essentials'!C49</f>
        <v>452.28</v>
      </c>
      <c r="K366" s="19">
        <f t="shared" si="1"/>
        <v>0</v>
      </c>
      <c r="L366" s="19">
        <f t="shared" si="2"/>
        <v>452.28</v>
      </c>
    </row>
    <row r="367" spans="1:12">
      <c r="A367" s="13">
        <v>442</v>
      </c>
      <c r="B367" s="14" t="s">
        <v>1642</v>
      </c>
      <c r="C367" s="16" t="str">
        <f>'Electrical Essentials'!B50</f>
        <v>Supplying and drawing following sizes of FRLS PVC insulated copper conductor, single core cable in the existing surface / recessed steel/ PVC conduit as required.7 x 6 sq. mm(1.17.34)</v>
      </c>
      <c r="D367" s="16" t="str">
        <f t="shared" si="0"/>
        <v>Supplying and drawing following sizes of FRLS PVC insulated copper conductor, single core cable in the existing surface / recessed steel/ PVC conduit as required.7 x 6 sq. mm(1.17.34) (Code: GWDDR442)</v>
      </c>
      <c r="E367" s="46" t="str">
        <f>'Electrical Essentials'!D50</f>
        <v>metre</v>
      </c>
      <c r="F367" s="17" t="s">
        <v>51</v>
      </c>
      <c r="G367" s="39" t="s">
        <v>52</v>
      </c>
      <c r="H367" s="39" t="s">
        <v>1565</v>
      </c>
      <c r="I367" s="13">
        <v>0</v>
      </c>
      <c r="J367" s="13">
        <f>'Electrical Essentials'!C50</f>
        <v>519.1</v>
      </c>
      <c r="K367" s="19">
        <f t="shared" si="1"/>
        <v>0</v>
      </c>
      <c r="L367" s="19">
        <f t="shared" si="2"/>
        <v>519.1</v>
      </c>
    </row>
    <row r="368" spans="1:12">
      <c r="A368" s="13">
        <v>443</v>
      </c>
      <c r="B368" s="14" t="s">
        <v>1644</v>
      </c>
      <c r="C368" s="16" t="str">
        <f>'Electrical Essentials'!B51</f>
        <v>Supplying and drawing following sizes of FRLS PVC insulated copper conductor, single core cable in the existing surface / recessed steel/ PVC conduit as required.8 x 6 sq. mm(1.17.35)</v>
      </c>
      <c r="D368" s="16" t="str">
        <f t="shared" si="0"/>
        <v>Supplying and drawing following sizes of FRLS PVC insulated copper conductor, single core cable in the existing surface / recessed steel/ PVC conduit as required.8 x 6 sq. mm(1.17.35) (Code: GWDDR443)</v>
      </c>
      <c r="E368" s="46" t="str">
        <f>'Electrical Essentials'!D51</f>
        <v>metre</v>
      </c>
      <c r="F368" s="17" t="s">
        <v>51</v>
      </c>
      <c r="G368" s="39" t="s">
        <v>52</v>
      </c>
      <c r="H368" s="39" t="s">
        <v>1565</v>
      </c>
      <c r="I368" s="13">
        <v>0</v>
      </c>
      <c r="J368" s="13">
        <f>'Electrical Essentials'!C51</f>
        <v>593.25</v>
      </c>
      <c r="K368" s="19">
        <f t="shared" si="1"/>
        <v>0</v>
      </c>
      <c r="L368" s="19">
        <f t="shared" si="2"/>
        <v>593.25</v>
      </c>
    </row>
    <row r="369" spans="1:12">
      <c r="A369" s="13">
        <v>444</v>
      </c>
      <c r="B369" s="14" t="s">
        <v>1647</v>
      </c>
      <c r="C369" s="16" t="str">
        <f>'Electrical Essentials'!B52</f>
        <v>Supplying and drawing following sizes of FRLS PVC insulated copper conductor, single core cable in the existing surface / recessed steel/ PVC conduit as required.9 x 6 sq. mm(1.17.36)</v>
      </c>
      <c r="D369" s="16" t="str">
        <f t="shared" si="0"/>
        <v>Supplying and drawing following sizes of FRLS PVC insulated copper conductor, single core cable in the existing surface / recessed steel/ PVC conduit as required.9 x 6 sq. mm(1.17.36) (Code: GWDDR444)</v>
      </c>
      <c r="E369" s="46" t="str">
        <f>'Electrical Essentials'!D52</f>
        <v>metre</v>
      </c>
      <c r="F369" s="17" t="s">
        <v>51</v>
      </c>
      <c r="G369" s="39" t="s">
        <v>52</v>
      </c>
      <c r="H369" s="39" t="s">
        <v>1565</v>
      </c>
      <c r="I369" s="13">
        <v>0</v>
      </c>
      <c r="J369" s="13">
        <f>'Electrical Essentials'!C52</f>
        <v>660.07</v>
      </c>
      <c r="K369" s="19">
        <f t="shared" si="1"/>
        <v>0</v>
      </c>
      <c r="L369" s="19">
        <f t="shared" si="2"/>
        <v>660.07</v>
      </c>
    </row>
    <row r="370" spans="1:12">
      <c r="A370" s="13">
        <v>445</v>
      </c>
      <c r="B370" s="14" t="s">
        <v>1648</v>
      </c>
      <c r="C370" s="16" t="str">
        <f>'Electrical Essentials'!B53</f>
        <v>Supplying and drawing following sizes of FRLS PVC insulated copper conductor, single core cable in the existing surface / recessed steel/ PVC conduit as required.10 x 6 sq. mm(1.17.37)</v>
      </c>
      <c r="D370" s="16" t="str">
        <f t="shared" si="0"/>
        <v>Supplying and drawing following sizes of FRLS PVC insulated copper conductor, single core cable in the existing surface / recessed steel/ PVC conduit as required.10 x 6 sq. mm(1.17.37) (Code: GWDDR445)</v>
      </c>
      <c r="E370" s="46" t="str">
        <f>'Electrical Essentials'!D53</f>
        <v>metre</v>
      </c>
      <c r="F370" s="17" t="s">
        <v>51</v>
      </c>
      <c r="G370" s="39" t="s">
        <v>52</v>
      </c>
      <c r="H370" s="39" t="s">
        <v>1565</v>
      </c>
      <c r="I370" s="13">
        <v>0</v>
      </c>
      <c r="J370" s="13">
        <f>'Electrical Essentials'!C53</f>
        <v>730.69</v>
      </c>
      <c r="K370" s="19">
        <f t="shared" si="1"/>
        <v>0</v>
      </c>
      <c r="L370" s="19">
        <f t="shared" si="2"/>
        <v>730.69</v>
      </c>
    </row>
    <row r="371" spans="1:12">
      <c r="A371" s="13">
        <v>446</v>
      </c>
      <c r="B371" s="14" t="s">
        <v>1649</v>
      </c>
      <c r="C371" s="16" t="str">
        <f>'PVC wo Trench PRICE'!B2</f>
        <v>Providing and fixing PVC pipes includes jointing of pipes with one step PVC solvent cement &amp; testing of joints complete as per direction of Engineer in Charge. 20 mm dia 10KGF/cm2</v>
      </c>
      <c r="D371" s="16" t="str">
        <f t="shared" si="0"/>
        <v>Providing and fixing PVC pipes includes jointing of pipes with one step PVC solvent cement &amp; testing of joints complete as per direction of Engineer in Charge. 20 mm dia 10KGF/cm2 (Code: GWDDR446)</v>
      </c>
      <c r="E371" s="295" t="s">
        <v>21</v>
      </c>
      <c r="F371" s="19" t="s">
        <v>51</v>
      </c>
      <c r="G371" s="251" t="s">
        <v>52</v>
      </c>
      <c r="H371" s="39" t="s">
        <v>299</v>
      </c>
      <c r="I371" s="250">
        <f>'PVC wo Trench PRICE'!F13</f>
        <v>40.07</v>
      </c>
      <c r="J371" s="250">
        <f>'PVC wo Trench PRICE'!F22</f>
        <v>19.27</v>
      </c>
      <c r="K371" s="19">
        <f t="shared" si="1"/>
        <v>0</v>
      </c>
      <c r="L371" s="19">
        <f t="shared" si="2"/>
        <v>59.34</v>
      </c>
    </row>
    <row r="372" spans="1:12">
      <c r="A372" s="13">
        <v>447</v>
      </c>
      <c r="B372" s="14" t="s">
        <v>1650</v>
      </c>
      <c r="C372" s="16" t="str">
        <f>Lock!A1</f>
        <v>Locking Arrangements - Supplying and Fixing lock and locking arrangements with suitable chain hooks,and padlock of 65mm size. (60.4)</v>
      </c>
      <c r="D372" s="16" t="str">
        <f t="shared" si="0"/>
        <v>Locking Arrangements - Supplying and Fixing lock and locking arrangements with suitable chain hooks,and padlock of 65mm size. (60.4) (Code: GWDDR447)</v>
      </c>
      <c r="E372" s="46" t="s">
        <v>46</v>
      </c>
      <c r="F372" s="19" t="s">
        <v>51</v>
      </c>
      <c r="G372" s="39" t="s">
        <v>52</v>
      </c>
      <c r="H372" s="39" t="s">
        <v>1651</v>
      </c>
      <c r="I372" s="13">
        <f>Lock!G26</f>
        <v>641.15</v>
      </c>
      <c r="J372" s="13">
        <f>Lock!H26</f>
        <v>207.32774999999998</v>
      </c>
      <c r="K372" s="19">
        <f t="shared" si="1"/>
        <v>0</v>
      </c>
      <c r="L372" s="19">
        <f t="shared" si="2"/>
        <v>848.47775000000001</v>
      </c>
    </row>
    <row r="373" spans="1:12">
      <c r="A373" s="13">
        <v>448</v>
      </c>
      <c r="B373" s="14" t="s">
        <v>1652</v>
      </c>
      <c r="C373" s="16" t="str">
        <f>'Pump Cover'!A1</f>
        <v>Metallic Pump Cover of size 1 x 1 x 0.7 m</v>
      </c>
      <c r="D373" s="16" t="str">
        <f t="shared" si="0"/>
        <v>Metallic Pump Cover of size 1 x 1 x 0.7 m (Code: GWDDR448)</v>
      </c>
      <c r="E373" s="46" t="s">
        <v>46</v>
      </c>
      <c r="F373" s="19" t="s">
        <v>51</v>
      </c>
      <c r="G373" s="39" t="s">
        <v>52</v>
      </c>
      <c r="H373" s="39" t="s">
        <v>1651</v>
      </c>
      <c r="I373" s="250">
        <f>'Pump Cover'!K39</f>
        <v>641.15</v>
      </c>
      <c r="J373" s="250">
        <f>'Pump Cover'!L39</f>
        <v>6112.3343699999987</v>
      </c>
      <c r="K373" s="19">
        <f t="shared" si="1"/>
        <v>0</v>
      </c>
      <c r="L373" s="19">
        <f t="shared" si="2"/>
        <v>6753.4843699999983</v>
      </c>
    </row>
    <row r="374" spans="1:12">
      <c r="A374" s="13">
        <v>449</v>
      </c>
      <c r="B374" s="14" t="s">
        <v>1653</v>
      </c>
      <c r="C374" s="16" t="str">
        <f>Services!B21</f>
        <v>Rotary cum DTH OB Drilling with Subsidy</v>
      </c>
      <c r="D374" s="16" t="str">
        <f t="shared" si="0"/>
        <v>Rotary cum DTH OB Drilling with Subsidy (Code: GWDDR449)</v>
      </c>
      <c r="E374" s="46" t="s">
        <v>21</v>
      </c>
      <c r="F374" s="19" t="s">
        <v>51</v>
      </c>
      <c r="G374" s="39" t="s">
        <v>1505</v>
      </c>
      <c r="H374" s="39" t="s">
        <v>733</v>
      </c>
      <c r="I374" s="13">
        <f>Services!D21</f>
        <v>992.5</v>
      </c>
      <c r="J374" s="13">
        <v>0</v>
      </c>
      <c r="K374" s="19">
        <f t="shared" si="1"/>
        <v>0</v>
      </c>
      <c r="L374" s="19">
        <f t="shared" si="2"/>
        <v>992.5</v>
      </c>
    </row>
    <row r="375" spans="1:12">
      <c r="A375" s="13">
        <v>450</v>
      </c>
      <c r="B375" s="14" t="s">
        <v>1654</v>
      </c>
      <c r="C375" s="16" t="str">
        <f>'HP Erection and Pullout'!B35</f>
        <v>Hand pump pullout (extra deep well)</v>
      </c>
      <c r="D375" s="16" t="str">
        <f t="shared" si="0"/>
        <v>Hand pump pullout (extra deep well) (Code: GWDDR450)</v>
      </c>
      <c r="E375" s="46" t="s">
        <v>46</v>
      </c>
      <c r="F375" s="17" t="s">
        <v>51</v>
      </c>
      <c r="G375" s="17" t="s">
        <v>373</v>
      </c>
      <c r="H375" s="39" t="s">
        <v>494</v>
      </c>
      <c r="I375" s="13">
        <v>0</v>
      </c>
      <c r="J375" s="250">
        <f>'HP Erection and Pullout'!F44</f>
        <v>2785</v>
      </c>
      <c r="K375" s="19">
        <f t="shared" si="1"/>
        <v>0</v>
      </c>
      <c r="L375" s="19">
        <f t="shared" si="2"/>
        <v>2785</v>
      </c>
    </row>
    <row r="376" spans="1:12">
      <c r="A376" s="13">
        <v>451</v>
      </c>
      <c r="B376" s="14" t="s">
        <v>1656</v>
      </c>
      <c r="C376" s="16" t="str">
        <f>'PVC Fittings'!A211</f>
        <v>Providing and fixing PVC moulded fittings / accessories for Rigid PVC pipes, including jointing with PVC solvent cement - 140 mm dia Elbow</v>
      </c>
      <c r="D376" s="16" t="str">
        <f t="shared" si="0"/>
        <v>Providing and fixing PVC moulded fittings / accessories for Rigid PVC pipes, including jointing with PVC solvent cement - 140 mm dia Elbow (Code: GWDDR451)</v>
      </c>
      <c r="E376" s="46" t="s">
        <v>46</v>
      </c>
      <c r="F376" s="17" t="s">
        <v>51</v>
      </c>
      <c r="G376" s="17" t="s">
        <v>49</v>
      </c>
      <c r="H376" s="39" t="s">
        <v>154</v>
      </c>
      <c r="I376" s="250">
        <f>'PVC Fittings'!H234</f>
        <v>72.012999999999991</v>
      </c>
      <c r="J376" s="250">
        <f>'PVC Fittings'!I234</f>
        <v>33.291377599999997</v>
      </c>
      <c r="K376" s="19">
        <f t="shared" si="1"/>
        <v>0</v>
      </c>
      <c r="L376" s="19">
        <f t="shared" si="2"/>
        <v>105.30437759999998</v>
      </c>
    </row>
    <row r="377" spans="1:12">
      <c r="A377" s="13">
        <v>452</v>
      </c>
      <c r="B377" s="14" t="s">
        <v>1658</v>
      </c>
      <c r="C377" s="16" t="str">
        <f>'HP Erection and Pullout'!B46</f>
        <v>Hand pump pullout and re-erection (deep well)</v>
      </c>
      <c r="D377" s="16" t="str">
        <f t="shared" si="0"/>
        <v>Hand pump pullout and re-erection (deep well) (Code: GWDDR452)</v>
      </c>
      <c r="E377" s="46" t="s">
        <v>46</v>
      </c>
      <c r="F377" s="17" t="s">
        <v>51</v>
      </c>
      <c r="G377" s="17" t="s">
        <v>373</v>
      </c>
      <c r="H377" s="39" t="s">
        <v>1659</v>
      </c>
      <c r="I377" s="13">
        <v>0</v>
      </c>
      <c r="J377" s="250">
        <f>'HP Erection and Pullout'!F55</f>
        <v>4792</v>
      </c>
      <c r="K377" s="19">
        <f t="shared" si="1"/>
        <v>0</v>
      </c>
      <c r="L377" s="19">
        <f t="shared" si="2"/>
        <v>4792</v>
      </c>
    </row>
    <row r="378" spans="1:12">
      <c r="A378" s="13">
        <v>453</v>
      </c>
      <c r="B378" s="14" t="s">
        <v>1660</v>
      </c>
      <c r="C378" s="16" t="str">
        <f>'HP Erection and Pullout'!B57</f>
        <v>Hand pump pullout and re-erection (extra deep well)</v>
      </c>
      <c r="D378" s="16" t="str">
        <f t="shared" si="0"/>
        <v>Hand pump pullout and re-erection (extra deep well) (Code: GWDDR453)</v>
      </c>
      <c r="E378" s="46" t="s">
        <v>46</v>
      </c>
      <c r="F378" s="17" t="s">
        <v>51</v>
      </c>
      <c r="G378" s="17" t="s">
        <v>373</v>
      </c>
      <c r="H378" s="39" t="s">
        <v>1659</v>
      </c>
      <c r="I378" s="13">
        <v>0</v>
      </c>
      <c r="J378" s="250">
        <f>'HP Erection and Pullout'!F66</f>
        <v>5970</v>
      </c>
      <c r="K378" s="19">
        <f t="shared" si="1"/>
        <v>0</v>
      </c>
      <c r="L378" s="19">
        <f t="shared" si="2"/>
        <v>5970</v>
      </c>
    </row>
    <row r="379" spans="1:12">
      <c r="A379" s="13">
        <v>454</v>
      </c>
      <c r="B379" s="14" t="s">
        <v>1663</v>
      </c>
      <c r="C379" s="16" t="str">
        <f>'PVC wo Trench'!B45</f>
        <v>Providing and fixing PVC pipes includes jointing of pipes with one step PVC solvent cement &amp; testing of joints complete as per direction of Engineer in Charge.90 mm dia 10 KGF/cm2</v>
      </c>
      <c r="D379" s="16" t="str">
        <f t="shared" si="0"/>
        <v>Providing and fixing PVC pipes includes jointing of pipes with one step PVC solvent cement &amp; testing of joints complete as per direction of Engineer in Charge.90 mm dia 10 KGF/cm2 (Code: GWDDR454)</v>
      </c>
      <c r="E379" s="46" t="s">
        <v>21</v>
      </c>
      <c r="F379" s="17" t="s">
        <v>51</v>
      </c>
      <c r="G379" s="17" t="s">
        <v>52</v>
      </c>
      <c r="H379" s="39" t="s">
        <v>299</v>
      </c>
      <c r="I379" s="250">
        <f>'PVC wo Trench'!F56</f>
        <v>260.47000000000003</v>
      </c>
      <c r="J379" s="250">
        <f>'PVC wo Trench'!F65</f>
        <v>93.63</v>
      </c>
      <c r="K379" s="19">
        <f t="shared" si="1"/>
        <v>0</v>
      </c>
      <c r="L379" s="19">
        <f t="shared" si="2"/>
        <v>354.1</v>
      </c>
    </row>
    <row r="380" spans="1:12">
      <c r="A380" s="13">
        <v>455</v>
      </c>
      <c r="B380" s="14" t="s">
        <v>1664</v>
      </c>
      <c r="C380" s="16" t="str">
        <f>'PVC wo Trench'!B67</f>
        <v>Providing and fixing PVC pipes includes jointing of pipes with one step PVC solvent cement &amp; testing of joints complete as per direction of Engineer in Charge.90 mm dia 6 KGF/cm2</v>
      </c>
      <c r="D380" s="16" t="str">
        <f t="shared" si="0"/>
        <v>Providing and fixing PVC pipes includes jointing of pipes with one step PVC solvent cement &amp; testing of joints complete as per direction of Engineer in Charge.90 mm dia 6 KGF/cm2 (Code: GWDDR455)</v>
      </c>
      <c r="E380" s="46" t="s">
        <v>21</v>
      </c>
      <c r="F380" s="17" t="s">
        <v>51</v>
      </c>
      <c r="G380" s="17" t="s">
        <v>52</v>
      </c>
      <c r="H380" s="39" t="s">
        <v>299</v>
      </c>
      <c r="I380" s="250">
        <f>'PVC wo Trench'!F78</f>
        <v>170.97</v>
      </c>
      <c r="J380" s="250">
        <f>'PVC wo Trench'!F87</f>
        <v>93.63</v>
      </c>
      <c r="K380" s="19">
        <f t="shared" si="1"/>
        <v>0</v>
      </c>
      <c r="L380" s="19">
        <f t="shared" si="2"/>
        <v>264.60000000000002</v>
      </c>
    </row>
    <row r="381" spans="1:12">
      <c r="A381" s="13">
        <v>456</v>
      </c>
      <c r="B381" s="14" t="s">
        <v>1665</v>
      </c>
      <c r="C381" s="16" t="str">
        <f>'PVC With Trench'!B52</f>
        <v>Providing and fixing PVC pipes includes jointing of pipes with one step PVC solvent cement, trenching, refilling &amp; testing of joints complete as per direction of Engineer in Charge. 90 mm dia 10 KGF/cm2</v>
      </c>
      <c r="D381" s="16" t="str">
        <f t="shared" si="0"/>
        <v>Providing and fixing PVC pipes includes jointing of pipes with one step PVC solvent cement, trenching, refilling &amp; testing of joints complete as per direction of Engineer in Charge. 90 mm dia 10 KGF/cm2 (Code: GWDDR456)</v>
      </c>
      <c r="E381" s="46" t="s">
        <v>21</v>
      </c>
      <c r="F381" s="17" t="s">
        <v>51</v>
      </c>
      <c r="G381" s="17" t="s">
        <v>52</v>
      </c>
      <c r="H381" s="39" t="s">
        <v>440</v>
      </c>
      <c r="I381" s="250">
        <f>'PVC With Trench'!F63</f>
        <v>260.47000000000003</v>
      </c>
      <c r="J381" s="250">
        <f>'PVC With Trench'!F75</f>
        <v>226.23</v>
      </c>
      <c r="K381" s="19">
        <f t="shared" si="1"/>
        <v>0</v>
      </c>
      <c r="L381" s="19">
        <f t="shared" si="2"/>
        <v>486.70000000000005</v>
      </c>
    </row>
    <row r="382" spans="1:12">
      <c r="A382" s="13">
        <v>457</v>
      </c>
      <c r="B382" s="14" t="s">
        <v>1666</v>
      </c>
      <c r="C382" s="16" t="str">
        <f>'PVC With Trench'!B77</f>
        <v>Providing and fixing PVC pipes includes jointing of pipes with one step PVC solvent cement, trenching, refilling &amp; testing of joints complete as per direction of Engineer in Charge. 90 mm dia 6 KGF/cm2</v>
      </c>
      <c r="D382" s="16" t="str">
        <f t="shared" si="0"/>
        <v>Providing and fixing PVC pipes includes jointing of pipes with one step PVC solvent cement, trenching, refilling &amp; testing of joints complete as per direction of Engineer in Charge. 90 mm dia 6 KGF/cm2 (Code: GWDDR457)</v>
      </c>
      <c r="E382" s="46" t="s">
        <v>21</v>
      </c>
      <c r="F382" s="17" t="s">
        <v>51</v>
      </c>
      <c r="G382" s="17" t="s">
        <v>52</v>
      </c>
      <c r="H382" s="39" t="s">
        <v>440</v>
      </c>
      <c r="I382" s="250">
        <f>'PVC With Trench'!F88</f>
        <v>170.97</v>
      </c>
      <c r="J382" s="250">
        <f>'PVC With Trench'!F100</f>
        <v>226.23</v>
      </c>
      <c r="K382" s="19">
        <f t="shared" si="1"/>
        <v>0</v>
      </c>
      <c r="L382" s="19">
        <f t="shared" si="2"/>
        <v>397.2</v>
      </c>
    </row>
    <row r="383" spans="1:12">
      <c r="A383" s="13">
        <v>458</v>
      </c>
      <c r="B383" s="14" t="s">
        <v>1668</v>
      </c>
      <c r="C383" s="16" t="str">
        <f>Services!B22</f>
        <v>150mm (6") Borewell Drilling with Subsidy</v>
      </c>
      <c r="D383" s="16" t="str">
        <f t="shared" si="0"/>
        <v>150mm (6") Borewell Drilling with Subsidy (Code: GWDDR458)</v>
      </c>
      <c r="E383" s="46" t="s">
        <v>21</v>
      </c>
      <c r="F383" s="17" t="s">
        <v>51</v>
      </c>
      <c r="G383" s="39" t="s">
        <v>1505</v>
      </c>
      <c r="H383" s="39" t="s">
        <v>733</v>
      </c>
      <c r="I383" s="13">
        <f>Services!D22</f>
        <v>332.5</v>
      </c>
      <c r="J383" s="13">
        <v>0</v>
      </c>
      <c r="K383" s="19">
        <f t="shared" si="1"/>
        <v>0</v>
      </c>
      <c r="L383" s="19">
        <f t="shared" si="2"/>
        <v>332.5</v>
      </c>
    </row>
    <row r="384" spans="1:12">
      <c r="A384" s="13">
        <v>459</v>
      </c>
      <c r="B384" s="14" t="s">
        <v>1669</v>
      </c>
      <c r="C384" s="16" t="str">
        <f>Services!B23</f>
        <v>150mm (6") Tubewell Drilling with Subsidy</v>
      </c>
      <c r="D384" s="16" t="str">
        <f t="shared" si="0"/>
        <v>150mm (6") Tubewell Drilling with Subsidy (Code: GWDDR459)</v>
      </c>
      <c r="E384" s="46" t="s">
        <v>21</v>
      </c>
      <c r="F384" s="17" t="s">
        <v>51</v>
      </c>
      <c r="G384" s="17" t="s">
        <v>191</v>
      </c>
      <c r="H384" s="39" t="s">
        <v>744</v>
      </c>
      <c r="I384" s="13">
        <f>Services!D23</f>
        <v>1157.5</v>
      </c>
      <c r="J384" s="13">
        <v>0</v>
      </c>
      <c r="K384" s="19">
        <f t="shared" si="1"/>
        <v>0</v>
      </c>
      <c r="L384" s="19">
        <f t="shared" si="2"/>
        <v>1157.5</v>
      </c>
    </row>
    <row r="385" spans="1:12">
      <c r="A385" s="13">
        <v>460</v>
      </c>
      <c r="B385" s="14" t="s">
        <v>1670</v>
      </c>
      <c r="C385" s="16" t="str">
        <f>Services!B24</f>
        <v>Tubewell Drilling 200mm (8") with Subsidy</v>
      </c>
      <c r="D385" s="16" t="str">
        <f t="shared" si="0"/>
        <v>Tubewell Drilling 200mm (8") with Subsidy (Code: GWDDR460)</v>
      </c>
      <c r="E385" s="46" t="s">
        <v>21</v>
      </c>
      <c r="F385" s="17" t="s">
        <v>51</v>
      </c>
      <c r="G385" s="17" t="s">
        <v>191</v>
      </c>
      <c r="H385" s="39" t="s">
        <v>744</v>
      </c>
      <c r="I385" s="13">
        <f>Services!D24</f>
        <v>1490</v>
      </c>
      <c r="J385" s="13">
        <v>0</v>
      </c>
      <c r="K385" s="19">
        <f t="shared" si="1"/>
        <v>0</v>
      </c>
      <c r="L385" s="19">
        <f t="shared" si="2"/>
        <v>1490</v>
      </c>
    </row>
    <row r="386" spans="1:12">
      <c r="A386" s="13">
        <v>461</v>
      </c>
      <c r="B386" s="14" t="s">
        <v>1674</v>
      </c>
      <c r="C386" s="16"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16" t="str">
        <f t="shared" si="0"/>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46" t="s">
        <v>21</v>
      </c>
      <c r="F386" s="17" t="s">
        <v>51</v>
      </c>
      <c r="G386" s="17" t="s">
        <v>52</v>
      </c>
      <c r="H386" s="39" t="s">
        <v>943</v>
      </c>
      <c r="I386" s="250">
        <f>'PVC on Wall'!H35</f>
        <v>342.70057499999996</v>
      </c>
      <c r="J386" s="250">
        <f>'PVC on Wall'!I35</f>
        <v>108.71217213999998</v>
      </c>
      <c r="K386" s="19">
        <f t="shared" si="1"/>
        <v>0</v>
      </c>
      <c r="L386" s="19">
        <f t="shared" si="2"/>
        <v>451.41274713999996</v>
      </c>
    </row>
    <row r="387" spans="1:12">
      <c r="A387" s="13">
        <v>462</v>
      </c>
      <c r="B387" s="14" t="s">
        <v>1676</v>
      </c>
      <c r="C387" s="16" t="str">
        <f>Services!B25</f>
        <v>Water Quality Testing</v>
      </c>
      <c r="D387" s="16" t="str">
        <f t="shared" si="0"/>
        <v>Water Quality Testing (Code: GWDDR462)</v>
      </c>
      <c r="E387" s="46" t="s">
        <v>1502</v>
      </c>
      <c r="F387" s="17" t="s">
        <v>51</v>
      </c>
      <c r="G387" s="39" t="s">
        <v>769</v>
      </c>
      <c r="H387" s="39" t="s">
        <v>769</v>
      </c>
      <c r="I387" s="13">
        <f>Services!D25</f>
        <v>1105</v>
      </c>
      <c r="J387" s="13">
        <v>0</v>
      </c>
      <c r="K387" s="19">
        <f t="shared" si="1"/>
        <v>0</v>
      </c>
      <c r="L387" s="19">
        <f t="shared" si="2"/>
        <v>1105</v>
      </c>
    </row>
    <row r="388" spans="1:12">
      <c r="A388" s="13">
        <v>463</v>
      </c>
      <c r="B388" s="14" t="s">
        <v>1678</v>
      </c>
      <c r="C388" s="16" t="str">
        <f>Services!B26</f>
        <v>Water Quality Testing Including Bacteriology</v>
      </c>
      <c r="D388" s="16" t="str">
        <f t="shared" si="0"/>
        <v>Water Quality Testing Including Bacteriology (Code: GWDDR463)</v>
      </c>
      <c r="E388" s="46" t="s">
        <v>1502</v>
      </c>
      <c r="F388" s="17" t="s">
        <v>51</v>
      </c>
      <c r="G388" s="39" t="s">
        <v>769</v>
      </c>
      <c r="H388" s="39" t="s">
        <v>769</v>
      </c>
      <c r="I388" s="13">
        <f>Services!D26</f>
        <v>1330</v>
      </c>
      <c r="J388" s="13">
        <v>0</v>
      </c>
      <c r="K388" s="19">
        <f t="shared" si="1"/>
        <v>0</v>
      </c>
      <c r="L388" s="19">
        <f t="shared" si="2"/>
        <v>1330</v>
      </c>
    </row>
    <row r="389" spans="1:12">
      <c r="A389" s="13">
        <v>464</v>
      </c>
      <c r="B389" s="14" t="s">
        <v>1679</v>
      </c>
      <c r="C389" s="16"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16" t="str">
        <f t="shared" si="0"/>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46" t="s">
        <v>21</v>
      </c>
      <c r="F389" s="17" t="s">
        <v>51</v>
      </c>
      <c r="G389" s="39" t="s">
        <v>52</v>
      </c>
      <c r="H389" s="39" t="s">
        <v>943</v>
      </c>
      <c r="I389" s="250">
        <f>'PVC on Wall'!H70</f>
        <v>156.10560000000001</v>
      </c>
      <c r="J389" s="250">
        <f>'PVC on Wall'!I70</f>
        <v>102.07419963999999</v>
      </c>
      <c r="K389" s="19">
        <f t="shared" si="1"/>
        <v>0</v>
      </c>
      <c r="L389" s="19">
        <f t="shared" si="2"/>
        <v>258.17979964</v>
      </c>
    </row>
    <row r="390" spans="1:12">
      <c r="A390" s="13">
        <v>465</v>
      </c>
      <c r="B390" s="14" t="s">
        <v>1680</v>
      </c>
      <c r="C390" s="16" t="str">
        <f>Services!B27</f>
        <v>Slotting charge for 3m pipe, net, rope, pipe fittings and sundries for Filter Point Well Construction</v>
      </c>
      <c r="D390" s="16" t="str">
        <f t="shared" si="0"/>
        <v>Slotting charge for 3m pipe, net, rope, pipe fittings and sundries for Filter Point Well Construction (Code: GWDDR465)</v>
      </c>
      <c r="E390" s="46" t="s">
        <v>46</v>
      </c>
      <c r="F390" s="17" t="s">
        <v>51</v>
      </c>
      <c r="G390" s="39" t="s">
        <v>751</v>
      </c>
      <c r="H390" s="39" t="s">
        <v>752</v>
      </c>
      <c r="I390" s="13">
        <f>Services!D27</f>
        <v>1200</v>
      </c>
      <c r="J390" s="13">
        <v>0</v>
      </c>
      <c r="K390" s="19">
        <f t="shared" si="1"/>
        <v>0</v>
      </c>
      <c r="L390" s="19">
        <f t="shared" si="2"/>
        <v>1200</v>
      </c>
    </row>
    <row r="391" spans="1:12">
      <c r="A391" s="13">
        <v>466</v>
      </c>
      <c r="B391" s="14" t="s">
        <v>1681</v>
      </c>
      <c r="C391" s="16"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16"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46" t="s">
        <v>21</v>
      </c>
      <c r="F391" s="17" t="s">
        <v>51</v>
      </c>
      <c r="G391" s="39" t="s">
        <v>52</v>
      </c>
      <c r="H391" s="17" t="s">
        <v>850</v>
      </c>
      <c r="I391" s="250">
        <f>'UG Cable PRICE'!I279</f>
        <v>633.78166246499995</v>
      </c>
      <c r="J391" s="250">
        <f>'UG Cable PRICE'!J279</f>
        <v>169.3771313</v>
      </c>
      <c r="K391" s="19">
        <f t="shared" si="1"/>
        <v>0</v>
      </c>
      <c r="L391" s="19">
        <f t="shared" si="2"/>
        <v>803.15879376499993</v>
      </c>
    </row>
    <row r="392" spans="1:12">
      <c r="A392" s="13">
        <v>467</v>
      </c>
      <c r="B392" s="14" t="s">
        <v>1682</v>
      </c>
      <c r="C392" s="16"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16" t="str">
        <f t="shared" si="0"/>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46" t="s">
        <v>21</v>
      </c>
      <c r="F392" s="17" t="s">
        <v>51</v>
      </c>
      <c r="G392" s="39" t="s">
        <v>102</v>
      </c>
      <c r="H392" s="17" t="s">
        <v>103</v>
      </c>
      <c r="I392" s="13">
        <v>0</v>
      </c>
      <c r="J392" s="17">
        <f>'BW Casing Pipe Erection Charge'!F17</f>
        <v>11.200000000000001</v>
      </c>
      <c r="K392" s="19">
        <f t="shared" si="1"/>
        <v>0</v>
      </c>
      <c r="L392" s="19">
        <f t="shared" si="2"/>
        <v>11.200000000000001</v>
      </c>
    </row>
  </sheetData>
  <mergeCells count="3">
    <mergeCell ref="A1:I2"/>
    <mergeCell ref="J1:K1"/>
    <mergeCell ref="J2:K2"/>
  </mergeCells>
  <dataValidations count="1">
    <dataValidation type="list" allowBlank="1" showErrorMessage="1" sqref="J2">
      <formula1>District</formula1>
    </dataValidation>
  </dataValidations>
  <pageMargins left="0.7" right="0.7" top="0.75" bottom="0.75" header="0" footer="0"/>
  <pageSetup fitToHeight="0"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pageSetUpPr fitToPage="1"/>
  </sheetPr>
  <dimension ref="A1:L197"/>
  <sheetViews>
    <sheetView workbookViewId="0">
      <pane ySplit="3" topLeftCell="A4" activePane="bottomLeft" state="frozen"/>
      <selection pane="bottomLeft" activeCell="B5" sqref="B5"/>
    </sheetView>
  </sheetViews>
  <sheetFormatPr defaultColWidth="14.453125" defaultRowHeight="15" customHeight="1"/>
  <cols>
    <col min="1" max="1" width="6.81640625" customWidth="1"/>
    <col min="2" max="2" width="13.08984375" customWidth="1"/>
    <col min="3" max="3" width="50.54296875" customWidth="1"/>
    <col min="4" max="4" width="45" customWidth="1"/>
    <col min="6" max="7" width="30.54296875" customWidth="1"/>
    <col min="8" max="8" width="26.7265625" customWidth="1"/>
    <col min="11" max="11" width="13" customWidth="1"/>
  </cols>
  <sheetData>
    <row r="1" spans="1:12">
      <c r="A1" s="452" t="s">
        <v>10</v>
      </c>
      <c r="B1" s="444"/>
      <c r="C1" s="444"/>
      <c r="D1" s="444"/>
      <c r="E1" s="444"/>
      <c r="F1" s="444"/>
      <c r="G1" s="444"/>
      <c r="H1" s="444"/>
      <c r="I1" s="445"/>
      <c r="J1" s="449" t="s">
        <v>15</v>
      </c>
      <c r="K1" s="450"/>
      <c r="L1" s="6" t="s">
        <v>18</v>
      </c>
    </row>
    <row r="2" spans="1:12">
      <c r="A2" s="446"/>
      <c r="B2" s="447"/>
      <c r="C2" s="447"/>
      <c r="D2" s="447"/>
      <c r="E2" s="447"/>
      <c r="F2" s="447"/>
      <c r="G2" s="447"/>
      <c r="H2" s="447"/>
      <c r="I2" s="448"/>
      <c r="J2" s="451" t="s">
        <v>24</v>
      </c>
      <c r="K2" s="450"/>
      <c r="L2" s="10">
        <f t="array" ref="L2">((IFERROR(INDEX(CostIndex,MATCH(J2,District,0), ), )))</f>
        <v>1</v>
      </c>
    </row>
    <row r="3" spans="1:12">
      <c r="A3" s="11" t="s">
        <v>29</v>
      </c>
      <c r="B3" s="11" t="s">
        <v>3</v>
      </c>
      <c r="C3" s="11" t="s">
        <v>31</v>
      </c>
      <c r="D3" s="11" t="s">
        <v>32</v>
      </c>
      <c r="E3" s="11" t="s">
        <v>5</v>
      </c>
      <c r="F3" s="12" t="s">
        <v>33</v>
      </c>
      <c r="G3" s="12" t="s">
        <v>34</v>
      </c>
      <c r="H3" s="12" t="s">
        <v>35</v>
      </c>
      <c r="I3" s="12" t="s">
        <v>37</v>
      </c>
      <c r="J3" s="12" t="s">
        <v>38</v>
      </c>
      <c r="K3" s="12" t="s">
        <v>39</v>
      </c>
      <c r="L3" s="12" t="s">
        <v>40</v>
      </c>
    </row>
    <row r="4" spans="1:12">
      <c r="A4" s="13">
        <v>1</v>
      </c>
      <c r="B4" s="14" t="s">
        <v>42</v>
      </c>
      <c r="C4" s="14" t="s">
        <v>43</v>
      </c>
      <c r="D4" s="16" t="str">
        <f t="shared" ref="D4:D197" si="0">CONCATENATE(C4," (Code: ",B4,")")</f>
        <v>S&amp;F PVC Bend 90 mm (DG) (Code: GWDMR001)</v>
      </c>
      <c r="E4" s="13" t="s">
        <v>46</v>
      </c>
      <c r="F4" s="17" t="s">
        <v>47</v>
      </c>
      <c r="G4" s="17" t="s">
        <v>49</v>
      </c>
      <c r="H4" s="17" t="s">
        <v>50</v>
      </c>
      <c r="I4" s="13">
        <v>80</v>
      </c>
      <c r="J4" s="13">
        <v>31</v>
      </c>
      <c r="K4" s="19">
        <f t="shared" ref="K4:K197" si="1">J4*($L$2-1)</f>
        <v>0</v>
      </c>
      <c r="L4" s="19">
        <f t="shared" ref="L4:L197" si="2">SUM(I4:K4)</f>
        <v>111</v>
      </c>
    </row>
    <row r="5" spans="1:12">
      <c r="A5" s="13">
        <v>2</v>
      </c>
      <c r="B5" s="14" t="s">
        <v>55</v>
      </c>
      <c r="C5" s="14" t="s">
        <v>56</v>
      </c>
      <c r="D5" s="16" t="str">
        <f t="shared" si="0"/>
        <v>S&amp;F PVC Bend 140 mm (DG) (Code: GWDMR002)</v>
      </c>
      <c r="E5" s="13" t="s">
        <v>46</v>
      </c>
      <c r="F5" s="17" t="s">
        <v>47</v>
      </c>
      <c r="G5" s="17" t="s">
        <v>49</v>
      </c>
      <c r="H5" s="17" t="s">
        <v>50</v>
      </c>
      <c r="I5" s="13">
        <v>150</v>
      </c>
      <c r="J5" s="13">
        <v>35</v>
      </c>
      <c r="K5" s="19">
        <f t="shared" si="1"/>
        <v>0</v>
      </c>
      <c r="L5" s="19">
        <f t="shared" si="2"/>
        <v>185</v>
      </c>
    </row>
    <row r="6" spans="1:12">
      <c r="A6" s="13">
        <v>3</v>
      </c>
      <c r="B6" s="14" t="s">
        <v>64</v>
      </c>
      <c r="C6" s="14" t="s">
        <v>65</v>
      </c>
      <c r="D6" s="16" t="str">
        <f t="shared" si="0"/>
        <v>PVC End cap 140 mm (DG) (Code: GWDMR003)</v>
      </c>
      <c r="E6" s="13" t="s">
        <v>46</v>
      </c>
      <c r="F6" s="17" t="s">
        <v>47</v>
      </c>
      <c r="G6" s="17" t="s">
        <v>49</v>
      </c>
      <c r="H6" s="17" t="s">
        <v>67</v>
      </c>
      <c r="I6" s="13">
        <v>38.5</v>
      </c>
      <c r="J6" s="13">
        <v>37</v>
      </c>
      <c r="K6" s="19">
        <f t="shared" si="1"/>
        <v>0</v>
      </c>
      <c r="L6" s="19">
        <f t="shared" si="2"/>
        <v>75.5</v>
      </c>
    </row>
    <row r="7" spans="1:12">
      <c r="A7" s="13">
        <v>4</v>
      </c>
      <c r="B7" s="14" t="s">
        <v>69</v>
      </c>
      <c r="C7" s="14" t="s">
        <v>70</v>
      </c>
      <c r="D7" s="16" t="str">
        <f t="shared" si="0"/>
        <v>PVC End cap 150 mm (DG) (Code: GWDMR004)</v>
      </c>
      <c r="E7" s="13" t="s">
        <v>46</v>
      </c>
      <c r="F7" s="17" t="s">
        <v>47</v>
      </c>
      <c r="G7" s="17" t="s">
        <v>49</v>
      </c>
      <c r="H7" s="17" t="s">
        <v>67</v>
      </c>
      <c r="I7" s="13">
        <v>41.2</v>
      </c>
      <c r="J7" s="13">
        <v>39.5</v>
      </c>
      <c r="K7" s="19">
        <f t="shared" si="1"/>
        <v>0</v>
      </c>
      <c r="L7" s="19">
        <f t="shared" si="2"/>
        <v>80.7</v>
      </c>
    </row>
    <row r="8" spans="1:12">
      <c r="A8" s="13">
        <v>5</v>
      </c>
      <c r="B8" s="14" t="s">
        <v>71</v>
      </c>
      <c r="C8" s="14" t="s">
        <v>72</v>
      </c>
      <c r="D8" s="16" t="str">
        <f t="shared" si="0"/>
        <v>PVC End Cap 180 mm (DG) (Code: GWDMR005)</v>
      </c>
      <c r="E8" s="13" t="s">
        <v>46</v>
      </c>
      <c r="F8" s="17" t="s">
        <v>47</v>
      </c>
      <c r="G8" s="17" t="s">
        <v>49</v>
      </c>
      <c r="H8" s="17" t="s">
        <v>67</v>
      </c>
      <c r="I8" s="13">
        <v>47.8</v>
      </c>
      <c r="J8" s="13">
        <v>44</v>
      </c>
      <c r="K8" s="19">
        <f t="shared" si="1"/>
        <v>0</v>
      </c>
      <c r="L8" s="19">
        <f t="shared" si="2"/>
        <v>91.8</v>
      </c>
    </row>
    <row r="9" spans="1:12">
      <c r="A9" s="13">
        <v>6</v>
      </c>
      <c r="B9" s="14" t="s">
        <v>75</v>
      </c>
      <c r="C9" s="14" t="s">
        <v>76</v>
      </c>
      <c r="D9" s="16" t="str">
        <f t="shared" si="0"/>
        <v>PVC End Cap 200 mm (DG) (Code: GWDMR006)</v>
      </c>
      <c r="E9" s="13" t="s">
        <v>46</v>
      </c>
      <c r="F9" s="17" t="s">
        <v>47</v>
      </c>
      <c r="G9" s="17" t="s">
        <v>49</v>
      </c>
      <c r="H9" s="17" t="s">
        <v>67</v>
      </c>
      <c r="I9" s="13">
        <v>52.5</v>
      </c>
      <c r="J9" s="13">
        <v>48.5</v>
      </c>
      <c r="K9" s="19">
        <f t="shared" si="1"/>
        <v>0</v>
      </c>
      <c r="L9" s="19">
        <f t="shared" si="2"/>
        <v>101</v>
      </c>
    </row>
    <row r="10" spans="1:12">
      <c r="A10" s="13">
        <v>7</v>
      </c>
      <c r="B10" s="14" t="s">
        <v>77</v>
      </c>
      <c r="C10" s="14" t="s">
        <v>78</v>
      </c>
      <c r="D10" s="16" t="str">
        <f t="shared" si="0"/>
        <v>PVC Square End Cap 140 mm (Code: GWDMR007)</v>
      </c>
      <c r="E10" s="13" t="s">
        <v>46</v>
      </c>
      <c r="F10" s="17" t="s">
        <v>47</v>
      </c>
      <c r="G10" s="17" t="s">
        <v>80</v>
      </c>
      <c r="H10" s="17" t="s">
        <v>82</v>
      </c>
      <c r="I10" s="25">
        <v>200</v>
      </c>
      <c r="J10" s="13">
        <v>0</v>
      </c>
      <c r="K10" s="19">
        <f t="shared" si="1"/>
        <v>0</v>
      </c>
      <c r="L10" s="19">
        <f t="shared" si="2"/>
        <v>200</v>
      </c>
    </row>
    <row r="11" spans="1:12">
      <c r="A11" s="13">
        <v>8</v>
      </c>
      <c r="B11" s="14" t="s">
        <v>83</v>
      </c>
      <c r="C11" s="14" t="s">
        <v>84</v>
      </c>
      <c r="D11" s="16" t="str">
        <f t="shared" si="0"/>
        <v>PVC Square End Cap 160 mm (Code: GWDMR008)</v>
      </c>
      <c r="E11" s="13" t="s">
        <v>46</v>
      </c>
      <c r="F11" s="17" t="s">
        <v>47</v>
      </c>
      <c r="G11" s="17" t="s">
        <v>80</v>
      </c>
      <c r="H11" s="17" t="s">
        <v>82</v>
      </c>
      <c r="I11" s="25">
        <v>250</v>
      </c>
      <c r="J11" s="13">
        <v>0</v>
      </c>
      <c r="K11" s="19">
        <f t="shared" si="1"/>
        <v>0</v>
      </c>
      <c r="L11" s="19">
        <f t="shared" si="2"/>
        <v>250</v>
      </c>
    </row>
    <row r="12" spans="1:12">
      <c r="A12" s="13">
        <v>9</v>
      </c>
      <c r="B12" s="14" t="s">
        <v>88</v>
      </c>
      <c r="C12" s="14" t="s">
        <v>89</v>
      </c>
      <c r="D12" s="16" t="str">
        <f t="shared" si="0"/>
        <v>PVC Half  End Cap 140 mm (Code: GWDMR009)</v>
      </c>
      <c r="E12" s="13" t="s">
        <v>46</v>
      </c>
      <c r="F12" s="17" t="s">
        <v>47</v>
      </c>
      <c r="G12" s="17" t="s">
        <v>80</v>
      </c>
      <c r="H12" s="17" t="s">
        <v>82</v>
      </c>
      <c r="I12" s="25">
        <v>150</v>
      </c>
      <c r="J12" s="13">
        <v>0</v>
      </c>
      <c r="K12" s="19">
        <f t="shared" si="1"/>
        <v>0</v>
      </c>
      <c r="L12" s="19">
        <f t="shared" si="2"/>
        <v>150</v>
      </c>
    </row>
    <row r="13" spans="1:12">
      <c r="A13" s="13">
        <v>10</v>
      </c>
      <c r="B13" s="14" t="s">
        <v>90</v>
      </c>
      <c r="C13" s="14" t="s">
        <v>91</v>
      </c>
      <c r="D13" s="16" t="str">
        <f t="shared" si="0"/>
        <v>PVC Half  End Cap 160 mm (Code: GWDMR010)</v>
      </c>
      <c r="E13" s="13" t="s">
        <v>46</v>
      </c>
      <c r="F13" s="17" t="s">
        <v>47</v>
      </c>
      <c r="G13" s="17" t="s">
        <v>80</v>
      </c>
      <c r="H13" s="17" t="s">
        <v>82</v>
      </c>
      <c r="I13" s="25">
        <v>160</v>
      </c>
      <c r="J13" s="13">
        <v>0</v>
      </c>
      <c r="K13" s="19">
        <f t="shared" si="1"/>
        <v>0</v>
      </c>
      <c r="L13" s="19">
        <f t="shared" si="2"/>
        <v>160</v>
      </c>
    </row>
    <row r="14" spans="1:12">
      <c r="A14" s="13">
        <v>11</v>
      </c>
      <c r="B14" s="14" t="s">
        <v>92</v>
      </c>
      <c r="C14" s="14" t="s">
        <v>93</v>
      </c>
      <c r="D14" s="16" t="str">
        <f t="shared" si="0"/>
        <v>PVC Half Square End Cap 140 mm (Code: GWDMR011)</v>
      </c>
      <c r="E14" s="13" t="s">
        <v>46</v>
      </c>
      <c r="F14" s="17" t="s">
        <v>47</v>
      </c>
      <c r="G14" s="17" t="s">
        <v>80</v>
      </c>
      <c r="H14" s="17" t="s">
        <v>82</v>
      </c>
      <c r="I14" s="25">
        <v>150</v>
      </c>
      <c r="J14" s="13">
        <v>0</v>
      </c>
      <c r="K14" s="19">
        <f t="shared" si="1"/>
        <v>0</v>
      </c>
      <c r="L14" s="19">
        <f t="shared" si="2"/>
        <v>150</v>
      </c>
    </row>
    <row r="15" spans="1:12">
      <c r="A15" s="13">
        <v>12</v>
      </c>
      <c r="B15" s="14" t="s">
        <v>96</v>
      </c>
      <c r="C15" s="14" t="s">
        <v>97</v>
      </c>
      <c r="D15" s="16" t="str">
        <f t="shared" si="0"/>
        <v>PVC Half Square End Cap 160 mm (Code: GWDMR012)</v>
      </c>
      <c r="E15" s="13" t="s">
        <v>46</v>
      </c>
      <c r="F15" s="17" t="s">
        <v>47</v>
      </c>
      <c r="G15" s="17" t="s">
        <v>80</v>
      </c>
      <c r="H15" s="17" t="s">
        <v>82</v>
      </c>
      <c r="I15" s="25">
        <v>175</v>
      </c>
      <c r="J15" s="13">
        <v>0</v>
      </c>
      <c r="K15" s="19">
        <f t="shared" si="1"/>
        <v>0</v>
      </c>
      <c r="L15" s="19">
        <f t="shared" si="2"/>
        <v>175</v>
      </c>
    </row>
    <row r="16" spans="1:12">
      <c r="A16" s="13">
        <v>13</v>
      </c>
      <c r="B16" s="14" t="s">
        <v>99</v>
      </c>
      <c r="C16" s="14" t="s">
        <v>100</v>
      </c>
      <c r="D16" s="16" t="str">
        <f t="shared" si="0"/>
        <v>S&amp;F PVC Tee 90 mm (DG) (Code: GWDMR013)</v>
      </c>
      <c r="E16" s="13" t="s">
        <v>46</v>
      </c>
      <c r="F16" s="17" t="s">
        <v>47</v>
      </c>
      <c r="G16" s="17" t="s">
        <v>49</v>
      </c>
      <c r="H16" s="17" t="s">
        <v>101</v>
      </c>
      <c r="I16" s="13">
        <v>85</v>
      </c>
      <c r="J16" s="13">
        <v>32.5</v>
      </c>
      <c r="K16" s="19">
        <f t="shared" si="1"/>
        <v>0</v>
      </c>
      <c r="L16" s="19">
        <f t="shared" si="2"/>
        <v>117.5</v>
      </c>
    </row>
    <row r="17" spans="1:12">
      <c r="A17" s="13">
        <v>14</v>
      </c>
      <c r="B17" s="14" t="s">
        <v>104</v>
      </c>
      <c r="C17" s="14" t="s">
        <v>105</v>
      </c>
      <c r="D17" s="16" t="str">
        <f t="shared" si="0"/>
        <v>S&amp;F PVC Tee 140 mm (DG) (Code: GWDMR014)</v>
      </c>
      <c r="E17" s="13" t="s">
        <v>46</v>
      </c>
      <c r="F17" s="17" t="s">
        <v>47</v>
      </c>
      <c r="G17" s="17" t="s">
        <v>49</v>
      </c>
      <c r="H17" s="17" t="s">
        <v>101</v>
      </c>
      <c r="I17" s="13">
        <v>160</v>
      </c>
      <c r="J17" s="13">
        <v>36</v>
      </c>
      <c r="K17" s="19">
        <f t="shared" si="1"/>
        <v>0</v>
      </c>
      <c r="L17" s="19">
        <f t="shared" si="2"/>
        <v>196</v>
      </c>
    </row>
    <row r="18" spans="1:12">
      <c r="A18" s="13">
        <v>15</v>
      </c>
      <c r="B18" s="14" t="s">
        <v>106</v>
      </c>
      <c r="C18" s="14" t="s">
        <v>107</v>
      </c>
      <c r="D18" s="16" t="str">
        <f t="shared" si="0"/>
        <v>S&amp;F PVC Tee 160 mm (DG) (Code: GWDMR015)</v>
      </c>
      <c r="E18" s="13" t="s">
        <v>46</v>
      </c>
      <c r="F18" s="17" t="s">
        <v>47</v>
      </c>
      <c r="G18" s="17" t="s">
        <v>49</v>
      </c>
      <c r="H18" s="17" t="s">
        <v>101</v>
      </c>
      <c r="I18" s="13">
        <v>190</v>
      </c>
      <c r="J18" s="13">
        <v>37.5</v>
      </c>
      <c r="K18" s="19">
        <f t="shared" si="1"/>
        <v>0</v>
      </c>
      <c r="L18" s="19">
        <f t="shared" si="2"/>
        <v>227.5</v>
      </c>
    </row>
    <row r="19" spans="1:12">
      <c r="A19" s="13">
        <v>16</v>
      </c>
      <c r="B19" s="14" t="s">
        <v>109</v>
      </c>
      <c r="C19" s="30" t="s">
        <v>110</v>
      </c>
      <c r="D19" s="16" t="str">
        <f t="shared" si="0"/>
        <v>PVC Reducer 90X75 mm (Code: GWDMR016)</v>
      </c>
      <c r="E19" s="13" t="s">
        <v>46</v>
      </c>
      <c r="F19" s="17" t="s">
        <v>47</v>
      </c>
      <c r="G19" s="17" t="s">
        <v>49</v>
      </c>
      <c r="H19" s="17" t="s">
        <v>111</v>
      </c>
      <c r="I19" s="13">
        <v>73</v>
      </c>
      <c r="J19" s="13">
        <v>0</v>
      </c>
      <c r="K19" s="19">
        <f t="shared" si="1"/>
        <v>0</v>
      </c>
      <c r="L19" s="19">
        <f t="shared" si="2"/>
        <v>73</v>
      </c>
    </row>
    <row r="20" spans="1:12">
      <c r="A20" s="13">
        <v>17</v>
      </c>
      <c r="B20" s="14" t="s">
        <v>112</v>
      </c>
      <c r="C20" s="30" t="s">
        <v>113</v>
      </c>
      <c r="D20" s="16" t="str">
        <f t="shared" si="0"/>
        <v>PVC Reducer 110X90 mm (Code: GWDMR017)</v>
      </c>
      <c r="E20" s="13" t="s">
        <v>46</v>
      </c>
      <c r="F20" s="17" t="s">
        <v>47</v>
      </c>
      <c r="G20" s="17" t="s">
        <v>49</v>
      </c>
      <c r="H20" s="17" t="s">
        <v>111</v>
      </c>
      <c r="I20" s="13">
        <v>122</v>
      </c>
      <c r="J20" s="13">
        <v>0</v>
      </c>
      <c r="K20" s="19">
        <f t="shared" si="1"/>
        <v>0</v>
      </c>
      <c r="L20" s="19">
        <f t="shared" si="2"/>
        <v>122</v>
      </c>
    </row>
    <row r="21" spans="1:12">
      <c r="A21" s="13">
        <v>18</v>
      </c>
      <c r="B21" s="14" t="s">
        <v>115</v>
      </c>
      <c r="C21" s="30" t="s">
        <v>116</v>
      </c>
      <c r="D21" s="16" t="str">
        <f t="shared" si="0"/>
        <v>PVC Reducer 140X90 mm (Code: GWDMR018)</v>
      </c>
      <c r="E21" s="13" t="s">
        <v>46</v>
      </c>
      <c r="F21" s="17" t="s">
        <v>47</v>
      </c>
      <c r="G21" s="17" t="s">
        <v>49</v>
      </c>
      <c r="H21" s="17" t="s">
        <v>111</v>
      </c>
      <c r="I21" s="13">
        <v>156</v>
      </c>
      <c r="J21" s="13">
        <v>0</v>
      </c>
      <c r="K21" s="19">
        <f t="shared" si="1"/>
        <v>0</v>
      </c>
      <c r="L21" s="19">
        <f t="shared" si="2"/>
        <v>156</v>
      </c>
    </row>
    <row r="22" spans="1:12">
      <c r="A22" s="13">
        <v>19</v>
      </c>
      <c r="B22" s="14" t="s">
        <v>118</v>
      </c>
      <c r="C22" s="30" t="s">
        <v>119</v>
      </c>
      <c r="D22" s="16" t="str">
        <f t="shared" si="0"/>
        <v>PVC Reducer 160X140 mm (Code: GWDMR019)</v>
      </c>
      <c r="E22" s="13" t="s">
        <v>46</v>
      </c>
      <c r="F22" s="17" t="s">
        <v>47</v>
      </c>
      <c r="G22" s="17" t="s">
        <v>49</v>
      </c>
      <c r="H22" s="17" t="s">
        <v>111</v>
      </c>
      <c r="I22" s="13">
        <v>342</v>
      </c>
      <c r="J22" s="13">
        <v>0</v>
      </c>
      <c r="K22" s="19">
        <f t="shared" si="1"/>
        <v>0</v>
      </c>
      <c r="L22" s="19">
        <f t="shared" si="2"/>
        <v>342</v>
      </c>
    </row>
    <row r="23" spans="1:12">
      <c r="A23" s="13">
        <v>20</v>
      </c>
      <c r="B23" s="14" t="s">
        <v>121</v>
      </c>
      <c r="C23" s="30" t="s">
        <v>122</v>
      </c>
      <c r="D23" s="16" t="str">
        <f t="shared" si="0"/>
        <v>PVC Reducer 160X110 mm (Code: GWDMR020)</v>
      </c>
      <c r="E23" s="13" t="s">
        <v>46</v>
      </c>
      <c r="F23" s="17" t="s">
        <v>47</v>
      </c>
      <c r="G23" s="17" t="s">
        <v>49</v>
      </c>
      <c r="H23" s="17" t="s">
        <v>111</v>
      </c>
      <c r="I23" s="13">
        <v>290</v>
      </c>
      <c r="J23" s="13">
        <v>0</v>
      </c>
      <c r="K23" s="19">
        <f t="shared" si="1"/>
        <v>0</v>
      </c>
      <c r="L23" s="19">
        <f t="shared" si="2"/>
        <v>290</v>
      </c>
    </row>
    <row r="24" spans="1:12">
      <c r="A24" s="13" t="s">
        <v>123</v>
      </c>
      <c r="B24" s="14" t="s">
        <v>124</v>
      </c>
      <c r="C24" s="14" t="s">
        <v>125</v>
      </c>
      <c r="D24" s="16" t="str">
        <f t="shared" si="0"/>
        <v>PVC Reducer 140X110 mm (Code: GWDMR020A)</v>
      </c>
      <c r="E24" s="13" t="s">
        <v>46</v>
      </c>
      <c r="F24" s="17" t="s">
        <v>47</v>
      </c>
      <c r="G24" s="17" t="s">
        <v>49</v>
      </c>
      <c r="H24" s="17" t="s">
        <v>111</v>
      </c>
      <c r="I24" s="13">
        <v>196</v>
      </c>
      <c r="J24" s="13">
        <v>0</v>
      </c>
      <c r="K24" s="19">
        <f t="shared" si="1"/>
        <v>0</v>
      </c>
      <c r="L24" s="19">
        <f t="shared" si="2"/>
        <v>196</v>
      </c>
    </row>
    <row r="25" spans="1:12">
      <c r="A25" s="13">
        <v>21</v>
      </c>
      <c r="B25" s="14" t="s">
        <v>128</v>
      </c>
      <c r="C25" s="14" t="s">
        <v>129</v>
      </c>
      <c r="D25" s="16" t="str">
        <f t="shared" si="0"/>
        <v>PVC Runner Drop 140 mm (Code: GWDMR021)</v>
      </c>
      <c r="E25" s="13" t="s">
        <v>46</v>
      </c>
      <c r="F25" s="17" t="s">
        <v>47</v>
      </c>
      <c r="G25" s="17" t="s">
        <v>80</v>
      </c>
      <c r="H25" s="17" t="s">
        <v>82</v>
      </c>
      <c r="I25" s="13">
        <v>210</v>
      </c>
      <c r="J25" s="13">
        <v>0</v>
      </c>
      <c r="K25" s="19">
        <f t="shared" si="1"/>
        <v>0</v>
      </c>
      <c r="L25" s="19">
        <f t="shared" si="2"/>
        <v>210</v>
      </c>
    </row>
    <row r="26" spans="1:12">
      <c r="A26" s="13">
        <v>22</v>
      </c>
      <c r="B26" s="14" t="s">
        <v>131</v>
      </c>
      <c r="C26" s="14" t="s">
        <v>132</v>
      </c>
      <c r="D26" s="16" t="str">
        <f t="shared" si="0"/>
        <v>PVC Runner Drop 160 mm (Code: GWDMR022)</v>
      </c>
      <c r="E26" s="13" t="s">
        <v>46</v>
      </c>
      <c r="F26" s="17" t="s">
        <v>47</v>
      </c>
      <c r="G26" s="17" t="s">
        <v>80</v>
      </c>
      <c r="H26" s="17" t="s">
        <v>82</v>
      </c>
      <c r="I26" s="13">
        <v>240</v>
      </c>
      <c r="J26" s="13">
        <v>0</v>
      </c>
      <c r="K26" s="19">
        <f t="shared" si="1"/>
        <v>0</v>
      </c>
      <c r="L26" s="19">
        <f t="shared" si="2"/>
        <v>240</v>
      </c>
    </row>
    <row r="27" spans="1:12">
      <c r="A27" s="13">
        <v>23</v>
      </c>
      <c r="B27" s="14" t="s">
        <v>133</v>
      </c>
      <c r="C27" s="30" t="s">
        <v>134</v>
      </c>
      <c r="D27" s="16" t="str">
        <f t="shared" si="0"/>
        <v>PVC  End Drop 140 mm (Code: GWDMR023)</v>
      </c>
      <c r="E27" s="13" t="s">
        <v>46</v>
      </c>
      <c r="F27" s="17" t="s">
        <v>47</v>
      </c>
      <c r="G27" s="17" t="s">
        <v>80</v>
      </c>
      <c r="H27" s="17" t="s">
        <v>82</v>
      </c>
      <c r="I27" s="13">
        <v>192</v>
      </c>
      <c r="J27" s="13">
        <v>0</v>
      </c>
      <c r="K27" s="19">
        <f t="shared" si="1"/>
        <v>0</v>
      </c>
      <c r="L27" s="19">
        <f t="shared" si="2"/>
        <v>192</v>
      </c>
    </row>
    <row r="28" spans="1:12">
      <c r="A28" s="13">
        <v>24</v>
      </c>
      <c r="B28" s="14" t="s">
        <v>135</v>
      </c>
      <c r="C28" s="30" t="s">
        <v>136</v>
      </c>
      <c r="D28" s="16" t="str">
        <f t="shared" si="0"/>
        <v>PVC End Drop 160 mm (Code: GWDMR024)</v>
      </c>
      <c r="E28" s="13" t="s">
        <v>46</v>
      </c>
      <c r="F28" s="17" t="s">
        <v>47</v>
      </c>
      <c r="G28" s="17" t="s">
        <v>80</v>
      </c>
      <c r="H28" s="17" t="s">
        <v>82</v>
      </c>
      <c r="I28" s="13">
        <v>216</v>
      </c>
      <c r="J28" s="13">
        <v>0</v>
      </c>
      <c r="K28" s="19">
        <f t="shared" si="1"/>
        <v>0</v>
      </c>
      <c r="L28" s="19">
        <f t="shared" si="2"/>
        <v>216</v>
      </c>
    </row>
    <row r="29" spans="1:12">
      <c r="A29" s="13">
        <v>25</v>
      </c>
      <c r="B29" s="14" t="s">
        <v>137</v>
      </c>
      <c r="C29" s="30" t="s">
        <v>138</v>
      </c>
      <c r="D29" s="16" t="str">
        <f t="shared" si="0"/>
        <v>PVC Half End Drop 140 mm (Code: GWDMR025)</v>
      </c>
      <c r="E29" s="13" t="s">
        <v>46</v>
      </c>
      <c r="F29" s="17" t="s">
        <v>47</v>
      </c>
      <c r="G29" s="17" t="s">
        <v>80</v>
      </c>
      <c r="H29" s="17" t="s">
        <v>82</v>
      </c>
      <c r="I29" s="13">
        <v>174</v>
      </c>
      <c r="J29" s="13">
        <v>0</v>
      </c>
      <c r="K29" s="19">
        <f t="shared" si="1"/>
        <v>0</v>
      </c>
      <c r="L29" s="19">
        <f t="shared" si="2"/>
        <v>174</v>
      </c>
    </row>
    <row r="30" spans="1:12">
      <c r="A30" s="13">
        <v>26</v>
      </c>
      <c r="B30" s="14" t="s">
        <v>140</v>
      </c>
      <c r="C30" s="30" t="s">
        <v>141</v>
      </c>
      <c r="D30" s="16" t="str">
        <f t="shared" si="0"/>
        <v>PVC Half End Drop 160 mm (Code: GWDMR026)</v>
      </c>
      <c r="E30" s="13" t="s">
        <v>46</v>
      </c>
      <c r="F30" s="17" t="s">
        <v>47</v>
      </c>
      <c r="G30" s="17" t="s">
        <v>80</v>
      </c>
      <c r="H30" s="17" t="s">
        <v>82</v>
      </c>
      <c r="I30" s="13">
        <v>192</v>
      </c>
      <c r="J30" s="13">
        <v>0</v>
      </c>
      <c r="K30" s="19">
        <f t="shared" si="1"/>
        <v>0</v>
      </c>
      <c r="L30" s="19">
        <f t="shared" si="2"/>
        <v>192</v>
      </c>
    </row>
    <row r="31" spans="1:12">
      <c r="A31" s="13">
        <v>27</v>
      </c>
      <c r="B31" s="14" t="s">
        <v>142</v>
      </c>
      <c r="C31" s="14" t="s">
        <v>143</v>
      </c>
      <c r="D31" s="16" t="str">
        <f t="shared" si="0"/>
        <v>PVC Square End Drop 140 mm (Code: GWDMR027)</v>
      </c>
      <c r="E31" s="13" t="s">
        <v>46</v>
      </c>
      <c r="F31" s="17" t="s">
        <v>47</v>
      </c>
      <c r="G31" s="17" t="s">
        <v>80</v>
      </c>
      <c r="H31" s="17" t="s">
        <v>82</v>
      </c>
      <c r="I31" s="13">
        <v>198</v>
      </c>
      <c r="J31" s="13">
        <v>0</v>
      </c>
      <c r="K31" s="19">
        <f t="shared" si="1"/>
        <v>0</v>
      </c>
      <c r="L31" s="19">
        <f t="shared" si="2"/>
        <v>198</v>
      </c>
    </row>
    <row r="32" spans="1:12">
      <c r="A32" s="13">
        <v>28</v>
      </c>
      <c r="B32" s="14" t="s">
        <v>144</v>
      </c>
      <c r="C32" s="30" t="s">
        <v>145</v>
      </c>
      <c r="D32" s="16" t="str">
        <f t="shared" si="0"/>
        <v>PVC Square End Drop 160 mm (Code: GWDMR028)</v>
      </c>
      <c r="E32" s="13" t="s">
        <v>46</v>
      </c>
      <c r="F32" s="17" t="s">
        <v>47</v>
      </c>
      <c r="G32" s="17" t="s">
        <v>80</v>
      </c>
      <c r="H32" s="17" t="s">
        <v>82</v>
      </c>
      <c r="I32" s="13">
        <v>222</v>
      </c>
      <c r="J32" s="13">
        <v>0</v>
      </c>
      <c r="K32" s="19">
        <f t="shared" si="1"/>
        <v>0</v>
      </c>
      <c r="L32" s="19">
        <f t="shared" si="2"/>
        <v>222</v>
      </c>
    </row>
    <row r="33" spans="1:12">
      <c r="A33" s="13">
        <v>29</v>
      </c>
      <c r="B33" s="14" t="s">
        <v>147</v>
      </c>
      <c r="C33" s="14" t="s">
        <v>148</v>
      </c>
      <c r="D33" s="16" t="str">
        <f t="shared" si="0"/>
        <v>PVC Square Half End Drop 140 mm (Code: GWDMR029)</v>
      </c>
      <c r="E33" s="13" t="s">
        <v>46</v>
      </c>
      <c r="F33" s="17" t="s">
        <v>47</v>
      </c>
      <c r="G33" s="17" t="s">
        <v>80</v>
      </c>
      <c r="H33" s="17" t="s">
        <v>82</v>
      </c>
      <c r="I33" s="13">
        <v>180</v>
      </c>
      <c r="J33" s="13">
        <v>0</v>
      </c>
      <c r="K33" s="19">
        <f t="shared" si="1"/>
        <v>0</v>
      </c>
      <c r="L33" s="19">
        <f t="shared" si="2"/>
        <v>180</v>
      </c>
    </row>
    <row r="34" spans="1:12">
      <c r="A34" s="13">
        <v>30</v>
      </c>
      <c r="B34" s="14" t="s">
        <v>149</v>
      </c>
      <c r="C34" s="30" t="s">
        <v>150</v>
      </c>
      <c r="D34" s="16" t="str">
        <f t="shared" si="0"/>
        <v>PVC Square Half End Drop 160 mm (Code: GWDMR030)</v>
      </c>
      <c r="E34" s="13" t="s">
        <v>46</v>
      </c>
      <c r="F34" s="17" t="s">
        <v>47</v>
      </c>
      <c r="G34" s="17" t="s">
        <v>80</v>
      </c>
      <c r="H34" s="17" t="s">
        <v>82</v>
      </c>
      <c r="I34" s="13">
        <v>204</v>
      </c>
      <c r="J34" s="13">
        <v>0</v>
      </c>
      <c r="K34" s="19">
        <f t="shared" si="1"/>
        <v>0</v>
      </c>
      <c r="L34" s="19">
        <f t="shared" si="2"/>
        <v>204</v>
      </c>
    </row>
    <row r="35" spans="1:12">
      <c r="A35" s="13">
        <v>31</v>
      </c>
      <c r="B35" s="14" t="s">
        <v>152</v>
      </c>
      <c r="C35" s="14" t="s">
        <v>153</v>
      </c>
      <c r="D35" s="16" t="str">
        <f t="shared" si="0"/>
        <v>S&amp;F PVC 45o Elbow 90 mm (DG) (Code: GWDMR031)</v>
      </c>
      <c r="E35" s="13" t="s">
        <v>46</v>
      </c>
      <c r="F35" s="17" t="s">
        <v>47</v>
      </c>
      <c r="G35" s="17" t="s">
        <v>49</v>
      </c>
      <c r="H35" s="17" t="s">
        <v>154</v>
      </c>
      <c r="I35" s="13">
        <v>45</v>
      </c>
      <c r="J35" s="13">
        <v>31.5</v>
      </c>
      <c r="K35" s="19">
        <f t="shared" si="1"/>
        <v>0</v>
      </c>
      <c r="L35" s="19">
        <f t="shared" si="2"/>
        <v>76.5</v>
      </c>
    </row>
    <row r="36" spans="1:12">
      <c r="A36" s="13">
        <v>32</v>
      </c>
      <c r="B36" s="14" t="s">
        <v>155</v>
      </c>
      <c r="C36" s="14" t="s">
        <v>156</v>
      </c>
      <c r="D36" s="16" t="str">
        <f t="shared" si="0"/>
        <v>S&amp;F PVC 45o Elbow 140 mm (DG) (Code: GWDMR032)</v>
      </c>
      <c r="E36" s="13" t="s">
        <v>46</v>
      </c>
      <c r="F36" s="17" t="s">
        <v>47</v>
      </c>
      <c r="G36" s="17" t="s">
        <v>49</v>
      </c>
      <c r="H36" s="17" t="s">
        <v>154</v>
      </c>
      <c r="I36" s="13">
        <v>80</v>
      </c>
      <c r="J36" s="13">
        <v>38</v>
      </c>
      <c r="K36" s="19">
        <f t="shared" si="1"/>
        <v>0</v>
      </c>
      <c r="L36" s="19">
        <f t="shared" si="2"/>
        <v>118</v>
      </c>
    </row>
    <row r="37" spans="1:12">
      <c r="A37" s="13">
        <v>33</v>
      </c>
      <c r="B37" s="14" t="s">
        <v>157</v>
      </c>
      <c r="C37" s="14" t="s">
        <v>159</v>
      </c>
      <c r="D37" s="16" t="str">
        <f t="shared" si="0"/>
        <v>S&amp;F PVC 45o Elbow 160 mm (DG) (Code: GWDMR033)</v>
      </c>
      <c r="E37" s="13" t="s">
        <v>46</v>
      </c>
      <c r="F37" s="17" t="s">
        <v>47</v>
      </c>
      <c r="G37" s="17" t="s">
        <v>49</v>
      </c>
      <c r="H37" s="17" t="s">
        <v>154</v>
      </c>
      <c r="I37" s="13">
        <v>95</v>
      </c>
      <c r="J37" s="13">
        <v>42</v>
      </c>
      <c r="K37" s="19">
        <f t="shared" si="1"/>
        <v>0</v>
      </c>
      <c r="L37" s="19">
        <f t="shared" si="2"/>
        <v>137</v>
      </c>
    </row>
    <row r="38" spans="1:12">
      <c r="A38" s="13">
        <v>34</v>
      </c>
      <c r="B38" s="14" t="s">
        <v>161</v>
      </c>
      <c r="C38" s="30" t="s">
        <v>162</v>
      </c>
      <c r="D38" s="16" t="str">
        <f t="shared" si="0"/>
        <v>PVC Tank connector 32 mm (Code: GWDMR034)</v>
      </c>
      <c r="E38" s="13" t="s">
        <v>46</v>
      </c>
      <c r="F38" s="17" t="s">
        <v>47</v>
      </c>
      <c r="G38" s="17" t="s">
        <v>52</v>
      </c>
      <c r="H38" s="17" t="s">
        <v>164</v>
      </c>
      <c r="I38" s="13">
        <v>216</v>
      </c>
      <c r="J38" s="13">
        <v>0</v>
      </c>
      <c r="K38" s="19">
        <f t="shared" si="1"/>
        <v>0</v>
      </c>
      <c r="L38" s="19">
        <f t="shared" si="2"/>
        <v>216</v>
      </c>
    </row>
    <row r="39" spans="1:12">
      <c r="A39" s="13">
        <v>35</v>
      </c>
      <c r="B39" s="14" t="s">
        <v>165</v>
      </c>
      <c r="C39" s="30" t="s">
        <v>166</v>
      </c>
      <c r="D39" s="16" t="str">
        <f t="shared" si="0"/>
        <v>PVC Tank connector 40 mm (Code: GWDMR035)</v>
      </c>
      <c r="E39" s="13" t="s">
        <v>46</v>
      </c>
      <c r="F39" s="17" t="s">
        <v>47</v>
      </c>
      <c r="G39" s="17" t="s">
        <v>52</v>
      </c>
      <c r="H39" s="17" t="s">
        <v>164</v>
      </c>
      <c r="I39" s="13">
        <v>240</v>
      </c>
      <c r="J39" s="13">
        <v>0</v>
      </c>
      <c r="K39" s="19">
        <f t="shared" si="1"/>
        <v>0</v>
      </c>
      <c r="L39" s="19">
        <f t="shared" si="2"/>
        <v>240</v>
      </c>
    </row>
    <row r="40" spans="1:12">
      <c r="A40" s="13">
        <v>36</v>
      </c>
      <c r="B40" s="14" t="s">
        <v>167</v>
      </c>
      <c r="C40" s="30" t="s">
        <v>168</v>
      </c>
      <c r="D40" s="16" t="str">
        <f t="shared" si="0"/>
        <v>PVC Tank connector 50 mm (Code: GWDMR036)</v>
      </c>
      <c r="E40" s="13" t="s">
        <v>46</v>
      </c>
      <c r="F40" s="17" t="s">
        <v>47</v>
      </c>
      <c r="G40" s="17" t="s">
        <v>52</v>
      </c>
      <c r="H40" s="17" t="s">
        <v>164</v>
      </c>
      <c r="I40" s="13">
        <v>288</v>
      </c>
      <c r="J40" s="13">
        <v>0</v>
      </c>
      <c r="K40" s="19">
        <f t="shared" si="1"/>
        <v>0</v>
      </c>
      <c r="L40" s="19">
        <f t="shared" si="2"/>
        <v>288</v>
      </c>
    </row>
    <row r="41" spans="1:12">
      <c r="A41" s="13">
        <v>37</v>
      </c>
      <c r="B41" s="14" t="s">
        <v>170</v>
      </c>
      <c r="C41" s="30" t="s">
        <v>172</v>
      </c>
      <c r="D41" s="16" t="str">
        <f t="shared" si="0"/>
        <v>PVC Tank connector 63 mm (Code: GWDMR037)</v>
      </c>
      <c r="E41" s="13" t="s">
        <v>46</v>
      </c>
      <c r="F41" s="17" t="s">
        <v>47</v>
      </c>
      <c r="G41" s="17" t="s">
        <v>52</v>
      </c>
      <c r="H41" s="17" t="s">
        <v>164</v>
      </c>
      <c r="I41" s="13">
        <v>420</v>
      </c>
      <c r="J41" s="13">
        <v>0</v>
      </c>
      <c r="K41" s="19">
        <f t="shared" si="1"/>
        <v>0</v>
      </c>
      <c r="L41" s="19">
        <f t="shared" si="2"/>
        <v>420</v>
      </c>
    </row>
    <row r="42" spans="1:12">
      <c r="A42" s="13">
        <v>38</v>
      </c>
      <c r="B42" s="14" t="s">
        <v>175</v>
      </c>
      <c r="C42" s="30" t="s">
        <v>176</v>
      </c>
      <c r="D42" s="16" t="str">
        <f t="shared" si="0"/>
        <v>PVC Tank connector 75 mm (Code: GWDMR038)</v>
      </c>
      <c r="E42" s="13" t="s">
        <v>46</v>
      </c>
      <c r="F42" s="17" t="s">
        <v>47</v>
      </c>
      <c r="G42" s="17" t="s">
        <v>52</v>
      </c>
      <c r="H42" s="17" t="s">
        <v>164</v>
      </c>
      <c r="I42" s="13">
        <v>456</v>
      </c>
      <c r="J42" s="13">
        <v>0</v>
      </c>
      <c r="K42" s="19">
        <f t="shared" si="1"/>
        <v>0</v>
      </c>
      <c r="L42" s="19">
        <f t="shared" si="2"/>
        <v>456</v>
      </c>
    </row>
    <row r="43" spans="1:12">
      <c r="A43" s="13">
        <v>39</v>
      </c>
      <c r="B43" s="14" t="s">
        <v>178</v>
      </c>
      <c r="C43" s="30" t="s">
        <v>179</v>
      </c>
      <c r="D43" s="16" t="str">
        <f t="shared" si="0"/>
        <v>PVC Tank connector 90 mm (Code: GWDMR039)</v>
      </c>
      <c r="E43" s="13" t="s">
        <v>46</v>
      </c>
      <c r="F43" s="17" t="s">
        <v>47</v>
      </c>
      <c r="G43" s="17" t="s">
        <v>52</v>
      </c>
      <c r="H43" s="17" t="s">
        <v>164</v>
      </c>
      <c r="I43" s="13">
        <v>540</v>
      </c>
      <c r="J43" s="13">
        <v>0</v>
      </c>
      <c r="K43" s="19">
        <f t="shared" si="1"/>
        <v>0</v>
      </c>
      <c r="L43" s="19">
        <f t="shared" si="2"/>
        <v>540</v>
      </c>
    </row>
    <row r="44" spans="1:12">
      <c r="A44" s="13">
        <v>40</v>
      </c>
      <c r="B44" s="14" t="s">
        <v>181</v>
      </c>
      <c r="C44" s="30" t="s">
        <v>182</v>
      </c>
      <c r="D44" s="16" t="str">
        <f t="shared" si="0"/>
        <v>PVC Ball valve 25 mm (Code: GWDMR040)</v>
      </c>
      <c r="E44" s="13" t="s">
        <v>46</v>
      </c>
      <c r="F44" s="17" t="s">
        <v>47</v>
      </c>
      <c r="G44" s="17" t="s">
        <v>52</v>
      </c>
      <c r="H44" s="17" t="s">
        <v>183</v>
      </c>
      <c r="I44" s="13">
        <v>168</v>
      </c>
      <c r="J44" s="13">
        <v>0</v>
      </c>
      <c r="K44" s="19">
        <f t="shared" si="1"/>
        <v>0</v>
      </c>
      <c r="L44" s="19">
        <f t="shared" si="2"/>
        <v>168</v>
      </c>
    </row>
    <row r="45" spans="1:12">
      <c r="A45" s="13">
        <v>41</v>
      </c>
      <c r="B45" s="14" t="s">
        <v>184</v>
      </c>
      <c r="C45" s="30" t="s">
        <v>185</v>
      </c>
      <c r="D45" s="16" t="str">
        <f t="shared" si="0"/>
        <v>PVC Ball valve 32 mm (Code: GWDMR041)</v>
      </c>
      <c r="E45" s="13" t="s">
        <v>46</v>
      </c>
      <c r="F45" s="17" t="s">
        <v>47</v>
      </c>
      <c r="G45" s="17" t="s">
        <v>52</v>
      </c>
      <c r="H45" s="17" t="s">
        <v>183</v>
      </c>
      <c r="I45" s="13">
        <v>216</v>
      </c>
      <c r="J45" s="13">
        <v>0</v>
      </c>
      <c r="K45" s="19">
        <f t="shared" si="1"/>
        <v>0</v>
      </c>
      <c r="L45" s="19">
        <f t="shared" si="2"/>
        <v>216</v>
      </c>
    </row>
    <row r="46" spans="1:12">
      <c r="A46" s="13">
        <v>42</v>
      </c>
      <c r="B46" s="14" t="s">
        <v>187</v>
      </c>
      <c r="C46" s="30" t="s">
        <v>188</v>
      </c>
      <c r="D46" s="16" t="str">
        <f t="shared" si="0"/>
        <v>PVC Ball valve 40 mm (Code: GWDMR042)</v>
      </c>
      <c r="E46" s="13" t="s">
        <v>46</v>
      </c>
      <c r="F46" s="17" t="s">
        <v>47</v>
      </c>
      <c r="G46" s="17" t="s">
        <v>52</v>
      </c>
      <c r="H46" s="17" t="s">
        <v>183</v>
      </c>
      <c r="I46" s="13">
        <v>336</v>
      </c>
      <c r="J46" s="13">
        <v>0</v>
      </c>
      <c r="K46" s="19">
        <f t="shared" si="1"/>
        <v>0</v>
      </c>
      <c r="L46" s="19">
        <f t="shared" si="2"/>
        <v>336</v>
      </c>
    </row>
    <row r="47" spans="1:12">
      <c r="A47" s="13">
        <v>43</v>
      </c>
      <c r="B47" s="14" t="s">
        <v>189</v>
      </c>
      <c r="C47" s="30" t="s">
        <v>190</v>
      </c>
      <c r="D47" s="16" t="str">
        <f t="shared" si="0"/>
        <v>PVC Ball valve 50 mm (Code: GWDMR043)</v>
      </c>
      <c r="E47" s="13" t="s">
        <v>46</v>
      </c>
      <c r="F47" s="17" t="s">
        <v>47</v>
      </c>
      <c r="G47" s="17" t="s">
        <v>52</v>
      </c>
      <c r="H47" s="17" t="s">
        <v>183</v>
      </c>
      <c r="I47" s="13">
        <v>456</v>
      </c>
      <c r="J47" s="13">
        <v>0</v>
      </c>
      <c r="K47" s="19">
        <f t="shared" si="1"/>
        <v>0</v>
      </c>
      <c r="L47" s="19">
        <f t="shared" si="2"/>
        <v>456</v>
      </c>
    </row>
    <row r="48" spans="1:12">
      <c r="A48" s="13">
        <v>44</v>
      </c>
      <c r="B48" s="14" t="s">
        <v>193</v>
      </c>
      <c r="C48" s="30" t="s">
        <v>194</v>
      </c>
      <c r="D48" s="16" t="str">
        <f t="shared" si="0"/>
        <v>PVC Ball valve 63 mm (Code: GWDMR044)</v>
      </c>
      <c r="E48" s="13" t="s">
        <v>46</v>
      </c>
      <c r="F48" s="17" t="s">
        <v>47</v>
      </c>
      <c r="G48" s="17" t="s">
        <v>52</v>
      </c>
      <c r="H48" s="17" t="s">
        <v>183</v>
      </c>
      <c r="I48" s="13">
        <v>480</v>
      </c>
      <c r="J48" s="13">
        <v>0</v>
      </c>
      <c r="K48" s="19">
        <f t="shared" si="1"/>
        <v>0</v>
      </c>
      <c r="L48" s="19">
        <f t="shared" si="2"/>
        <v>480</v>
      </c>
    </row>
    <row r="49" spans="1:12">
      <c r="A49" s="13">
        <v>45</v>
      </c>
      <c r="B49" s="14" t="s">
        <v>196</v>
      </c>
      <c r="C49" s="30" t="s">
        <v>197</v>
      </c>
      <c r="D49" s="16" t="str">
        <f t="shared" si="0"/>
        <v>PVC Ball valve 75 mm (Code: GWDMR045)</v>
      </c>
      <c r="E49" s="13" t="s">
        <v>46</v>
      </c>
      <c r="F49" s="17" t="s">
        <v>47</v>
      </c>
      <c r="G49" s="17" t="s">
        <v>52</v>
      </c>
      <c r="H49" s="17" t="s">
        <v>183</v>
      </c>
      <c r="I49" s="13">
        <v>720</v>
      </c>
      <c r="J49" s="13">
        <v>0</v>
      </c>
      <c r="K49" s="19">
        <f t="shared" si="1"/>
        <v>0</v>
      </c>
      <c r="L49" s="19">
        <f t="shared" si="2"/>
        <v>720</v>
      </c>
    </row>
    <row r="50" spans="1:12">
      <c r="A50" s="13">
        <v>46</v>
      </c>
      <c r="B50" s="14" t="s">
        <v>199</v>
      </c>
      <c r="C50" s="30" t="s">
        <v>200</v>
      </c>
      <c r="D50" s="16" t="str">
        <f t="shared" si="0"/>
        <v>PVC Ball valve 90 mm (Code: GWDMR046)</v>
      </c>
      <c r="E50" s="13" t="s">
        <v>46</v>
      </c>
      <c r="F50" s="17" t="s">
        <v>47</v>
      </c>
      <c r="G50" s="17" t="s">
        <v>52</v>
      </c>
      <c r="H50" s="17" t="s">
        <v>183</v>
      </c>
      <c r="I50" s="13">
        <v>840</v>
      </c>
      <c r="J50" s="13">
        <v>0</v>
      </c>
      <c r="K50" s="19">
        <f t="shared" si="1"/>
        <v>0</v>
      </c>
      <c r="L50" s="19">
        <f t="shared" si="2"/>
        <v>840</v>
      </c>
    </row>
    <row r="51" spans="1:12">
      <c r="A51" s="13">
        <v>47</v>
      </c>
      <c r="B51" s="14" t="s">
        <v>202</v>
      </c>
      <c r="C51" s="30" t="s">
        <v>204</v>
      </c>
      <c r="D51" s="16" t="str">
        <f t="shared" si="0"/>
        <v>PVC Ball valve 110 mm (Code: GWDMR047)</v>
      </c>
      <c r="E51" s="13" t="s">
        <v>46</v>
      </c>
      <c r="F51" s="17" t="s">
        <v>47</v>
      </c>
      <c r="G51" s="17" t="s">
        <v>52</v>
      </c>
      <c r="H51" s="17" t="s">
        <v>183</v>
      </c>
      <c r="I51" s="13">
        <v>1020</v>
      </c>
      <c r="J51" s="13">
        <v>0</v>
      </c>
      <c r="K51" s="19">
        <f t="shared" si="1"/>
        <v>0</v>
      </c>
      <c r="L51" s="19">
        <f t="shared" si="2"/>
        <v>1020</v>
      </c>
    </row>
    <row r="52" spans="1:12">
      <c r="A52" s="13">
        <v>48</v>
      </c>
      <c r="B52" s="14" t="s">
        <v>207</v>
      </c>
      <c r="C52" s="33" t="s">
        <v>210</v>
      </c>
      <c r="D52" s="16" t="str">
        <f t="shared" si="0"/>
        <v>S&amp;F PVC Coupling 32 mm (DG) (Code: GWDMR048)</v>
      </c>
      <c r="E52" s="13" t="s">
        <v>46</v>
      </c>
      <c r="F52" s="17" t="s">
        <v>47</v>
      </c>
      <c r="G52" s="17" t="s">
        <v>49</v>
      </c>
      <c r="H52" s="17" t="s">
        <v>211</v>
      </c>
      <c r="I52" s="13">
        <v>9</v>
      </c>
      <c r="J52" s="13">
        <v>28.46</v>
      </c>
      <c r="K52" s="19">
        <f t="shared" si="1"/>
        <v>0</v>
      </c>
      <c r="L52" s="19">
        <f t="shared" si="2"/>
        <v>37.46</v>
      </c>
    </row>
    <row r="53" spans="1:12">
      <c r="A53" s="13">
        <v>49</v>
      </c>
      <c r="B53" s="14" t="s">
        <v>213</v>
      </c>
      <c r="C53" s="33" t="s">
        <v>214</v>
      </c>
      <c r="D53" s="16" t="str">
        <f t="shared" si="0"/>
        <v>S&amp;F PVC Coupling 40 mm (DG) (Code: GWDMR049)</v>
      </c>
      <c r="E53" s="13" t="s">
        <v>46</v>
      </c>
      <c r="F53" s="17" t="s">
        <v>47</v>
      </c>
      <c r="G53" s="17" t="s">
        <v>49</v>
      </c>
      <c r="H53" s="17" t="s">
        <v>211</v>
      </c>
      <c r="I53" s="13">
        <v>13</v>
      </c>
      <c r="J53" s="13">
        <v>28.46</v>
      </c>
      <c r="K53" s="19">
        <f t="shared" si="1"/>
        <v>0</v>
      </c>
      <c r="L53" s="19">
        <f t="shared" si="2"/>
        <v>41.46</v>
      </c>
    </row>
    <row r="54" spans="1:12">
      <c r="A54" s="13">
        <v>50</v>
      </c>
      <c r="B54" s="14" t="s">
        <v>215</v>
      </c>
      <c r="C54" s="33" t="s">
        <v>216</v>
      </c>
      <c r="D54" s="16" t="str">
        <f t="shared" si="0"/>
        <v>S&amp;F PVC Coupling 50 mm (DG) (Code: GWDMR050)</v>
      </c>
      <c r="E54" s="13" t="s">
        <v>46</v>
      </c>
      <c r="F54" s="17" t="s">
        <v>47</v>
      </c>
      <c r="G54" s="17" t="s">
        <v>49</v>
      </c>
      <c r="H54" s="17" t="s">
        <v>211</v>
      </c>
      <c r="I54" s="13">
        <v>18</v>
      </c>
      <c r="J54" s="13">
        <v>28.46</v>
      </c>
      <c r="K54" s="19">
        <f t="shared" si="1"/>
        <v>0</v>
      </c>
      <c r="L54" s="19">
        <f t="shared" si="2"/>
        <v>46.46</v>
      </c>
    </row>
    <row r="55" spans="1:12">
      <c r="A55" s="13">
        <v>51</v>
      </c>
      <c r="B55" s="14" t="s">
        <v>220</v>
      </c>
      <c r="C55" s="30" t="s">
        <v>221</v>
      </c>
      <c r="D55" s="16" t="str">
        <f t="shared" si="0"/>
        <v>GI Bend 32 mm (Code: GWDMR052)</v>
      </c>
      <c r="E55" s="13" t="s">
        <v>46</v>
      </c>
      <c r="F55" s="17" t="s">
        <v>47</v>
      </c>
      <c r="G55" s="17" t="s">
        <v>52</v>
      </c>
      <c r="H55" s="17" t="s">
        <v>222</v>
      </c>
      <c r="I55" s="13">
        <v>132</v>
      </c>
      <c r="J55" s="13">
        <v>0</v>
      </c>
      <c r="K55" s="19">
        <f t="shared" si="1"/>
        <v>0</v>
      </c>
      <c r="L55" s="19">
        <f t="shared" si="2"/>
        <v>132</v>
      </c>
    </row>
    <row r="56" spans="1:12">
      <c r="A56" s="13">
        <v>52</v>
      </c>
      <c r="B56" s="14" t="s">
        <v>223</v>
      </c>
      <c r="C56" s="30" t="s">
        <v>224</v>
      </c>
      <c r="D56" s="16" t="str">
        <f t="shared" si="0"/>
        <v>GI Bend 40 mm (Code: GWDMR053)</v>
      </c>
      <c r="E56" s="13" t="s">
        <v>46</v>
      </c>
      <c r="F56" s="17" t="s">
        <v>47</v>
      </c>
      <c r="G56" s="17" t="s">
        <v>52</v>
      </c>
      <c r="H56" s="17" t="s">
        <v>222</v>
      </c>
      <c r="I56" s="13">
        <v>162</v>
      </c>
      <c r="J56" s="13">
        <v>0</v>
      </c>
      <c r="K56" s="19">
        <f t="shared" si="1"/>
        <v>0</v>
      </c>
      <c r="L56" s="19">
        <f t="shared" si="2"/>
        <v>162</v>
      </c>
    </row>
    <row r="57" spans="1:12">
      <c r="A57" s="13">
        <v>53</v>
      </c>
      <c r="B57" s="14" t="s">
        <v>226</v>
      </c>
      <c r="C57" s="30" t="s">
        <v>227</v>
      </c>
      <c r="D57" s="16" t="str">
        <f t="shared" si="0"/>
        <v>GI Bend 50 mm (Code: GWDMR054)</v>
      </c>
      <c r="E57" s="13" t="s">
        <v>46</v>
      </c>
      <c r="F57" s="17" t="s">
        <v>47</v>
      </c>
      <c r="G57" s="17" t="s">
        <v>52</v>
      </c>
      <c r="H57" s="17" t="s">
        <v>222</v>
      </c>
      <c r="I57" s="13">
        <v>246</v>
      </c>
      <c r="J57" s="13">
        <v>0</v>
      </c>
      <c r="K57" s="19">
        <f t="shared" si="1"/>
        <v>0</v>
      </c>
      <c r="L57" s="19">
        <f t="shared" si="2"/>
        <v>246</v>
      </c>
    </row>
    <row r="58" spans="1:12">
      <c r="A58" s="13">
        <v>54</v>
      </c>
      <c r="B58" s="14" t="s">
        <v>228</v>
      </c>
      <c r="C58" s="30" t="s">
        <v>229</v>
      </c>
      <c r="D58" s="16" t="str">
        <f t="shared" si="0"/>
        <v>GI Bend 65 mm (Code: GWDMR055)</v>
      </c>
      <c r="E58" s="13" t="s">
        <v>46</v>
      </c>
      <c r="F58" s="17" t="s">
        <v>47</v>
      </c>
      <c r="G58" s="17" t="s">
        <v>52</v>
      </c>
      <c r="H58" s="17" t="s">
        <v>222</v>
      </c>
      <c r="I58" s="13">
        <v>414</v>
      </c>
      <c r="J58" s="13">
        <v>0</v>
      </c>
      <c r="K58" s="19">
        <f t="shared" si="1"/>
        <v>0</v>
      </c>
      <c r="L58" s="19">
        <f t="shared" si="2"/>
        <v>414</v>
      </c>
    </row>
    <row r="59" spans="1:12">
      <c r="A59" s="13">
        <v>55</v>
      </c>
      <c r="B59" s="14" t="s">
        <v>231</v>
      </c>
      <c r="C59" s="30" t="s">
        <v>232</v>
      </c>
      <c r="D59" s="16" t="str">
        <f t="shared" si="0"/>
        <v>GI Socket 32 mm (Code: GWDMR056)</v>
      </c>
      <c r="E59" s="13" t="s">
        <v>46</v>
      </c>
      <c r="F59" s="17" t="s">
        <v>47</v>
      </c>
      <c r="G59" s="17" t="s">
        <v>52</v>
      </c>
      <c r="H59" s="17" t="s">
        <v>222</v>
      </c>
      <c r="I59" s="13">
        <v>51.11</v>
      </c>
      <c r="J59" s="13">
        <v>0</v>
      </c>
      <c r="K59" s="19">
        <f t="shared" si="1"/>
        <v>0</v>
      </c>
      <c r="L59" s="19">
        <f t="shared" si="2"/>
        <v>51.11</v>
      </c>
    </row>
    <row r="60" spans="1:12">
      <c r="A60" s="13">
        <v>56</v>
      </c>
      <c r="B60" s="14" t="s">
        <v>233</v>
      </c>
      <c r="C60" s="30" t="s">
        <v>234</v>
      </c>
      <c r="D60" s="16" t="str">
        <f t="shared" si="0"/>
        <v>GI Socket 40 mm (Code: GWDMR057)</v>
      </c>
      <c r="E60" s="13" t="s">
        <v>46</v>
      </c>
      <c r="F60" s="17" t="s">
        <v>47</v>
      </c>
      <c r="G60" s="17" t="s">
        <v>52</v>
      </c>
      <c r="H60" s="17" t="s">
        <v>222</v>
      </c>
      <c r="I60" s="13">
        <v>69.69</v>
      </c>
      <c r="J60" s="13">
        <v>0</v>
      </c>
      <c r="K60" s="19">
        <f t="shared" si="1"/>
        <v>0</v>
      </c>
      <c r="L60" s="19">
        <f t="shared" si="2"/>
        <v>69.69</v>
      </c>
    </row>
    <row r="61" spans="1:12">
      <c r="A61" s="13">
        <v>57</v>
      </c>
      <c r="B61" s="14" t="s">
        <v>239</v>
      </c>
      <c r="C61" s="30" t="s">
        <v>240</v>
      </c>
      <c r="D61" s="16" t="str">
        <f t="shared" si="0"/>
        <v>GI Socket 50 mm (Code: GWDMR058)</v>
      </c>
      <c r="E61" s="13" t="s">
        <v>46</v>
      </c>
      <c r="F61" s="17" t="s">
        <v>47</v>
      </c>
      <c r="G61" s="17" t="s">
        <v>52</v>
      </c>
      <c r="H61" s="17" t="s">
        <v>222</v>
      </c>
      <c r="I61" s="13">
        <v>92.92</v>
      </c>
      <c r="J61" s="13">
        <v>0</v>
      </c>
      <c r="K61" s="19">
        <f t="shared" si="1"/>
        <v>0</v>
      </c>
      <c r="L61" s="19">
        <f t="shared" si="2"/>
        <v>92.92</v>
      </c>
    </row>
    <row r="62" spans="1:12">
      <c r="A62" s="13">
        <v>58</v>
      </c>
      <c r="B62" s="14" t="s">
        <v>242</v>
      </c>
      <c r="C62" s="30" t="s">
        <v>243</v>
      </c>
      <c r="D62" s="16" t="str">
        <f t="shared" si="0"/>
        <v>GI Socket 65 mm (Code: GWDMR059)</v>
      </c>
      <c r="E62" s="13" t="s">
        <v>46</v>
      </c>
      <c r="F62" s="17" t="s">
        <v>47</v>
      </c>
      <c r="G62" s="17" t="s">
        <v>52</v>
      </c>
      <c r="H62" s="17" t="s">
        <v>222</v>
      </c>
      <c r="I62" s="13">
        <v>127.77</v>
      </c>
      <c r="J62" s="13">
        <v>0</v>
      </c>
      <c r="K62" s="19">
        <f t="shared" si="1"/>
        <v>0</v>
      </c>
      <c r="L62" s="19">
        <f t="shared" si="2"/>
        <v>127.77</v>
      </c>
    </row>
    <row r="63" spans="1:12">
      <c r="A63" s="13">
        <v>59</v>
      </c>
      <c r="B63" s="14" t="s">
        <v>245</v>
      </c>
      <c r="C63" s="14" t="s">
        <v>246</v>
      </c>
      <c r="D63" s="16" t="str">
        <f t="shared" si="0"/>
        <v>GI Tee 32 mm (Code: GWDMR060)</v>
      </c>
      <c r="E63" s="13" t="s">
        <v>46</v>
      </c>
      <c r="F63" s="17" t="s">
        <v>47</v>
      </c>
      <c r="G63" s="17" t="s">
        <v>52</v>
      </c>
      <c r="H63" s="17" t="s">
        <v>222</v>
      </c>
      <c r="I63" s="13">
        <v>150</v>
      </c>
      <c r="J63" s="13">
        <v>0</v>
      </c>
      <c r="K63" s="19">
        <f t="shared" si="1"/>
        <v>0</v>
      </c>
      <c r="L63" s="19">
        <f t="shared" si="2"/>
        <v>150</v>
      </c>
    </row>
    <row r="64" spans="1:12">
      <c r="A64" s="13">
        <v>60</v>
      </c>
      <c r="B64" s="14" t="s">
        <v>249</v>
      </c>
      <c r="C64" s="14" t="s">
        <v>250</v>
      </c>
      <c r="D64" s="16" t="str">
        <f t="shared" si="0"/>
        <v>GI Tee 40 mm (Code: GWDMR061)</v>
      </c>
      <c r="E64" s="13" t="s">
        <v>46</v>
      </c>
      <c r="F64" s="17" t="s">
        <v>47</v>
      </c>
      <c r="G64" s="17" t="s">
        <v>52</v>
      </c>
      <c r="H64" s="17" t="s">
        <v>222</v>
      </c>
      <c r="I64" s="13">
        <v>270</v>
      </c>
      <c r="J64" s="13">
        <v>0</v>
      </c>
      <c r="K64" s="19">
        <f t="shared" si="1"/>
        <v>0</v>
      </c>
      <c r="L64" s="19">
        <f t="shared" si="2"/>
        <v>270</v>
      </c>
    </row>
    <row r="65" spans="1:12">
      <c r="A65" s="13">
        <v>61</v>
      </c>
      <c r="B65" s="14" t="s">
        <v>252</v>
      </c>
      <c r="C65" s="14" t="s">
        <v>253</v>
      </c>
      <c r="D65" s="16" t="str">
        <f t="shared" si="0"/>
        <v>GI Tee 50 mm (Code: GWDMR062)</v>
      </c>
      <c r="E65" s="13" t="s">
        <v>46</v>
      </c>
      <c r="F65" s="17" t="s">
        <v>47</v>
      </c>
      <c r="G65" s="17" t="s">
        <v>52</v>
      </c>
      <c r="H65" s="17" t="s">
        <v>222</v>
      </c>
      <c r="I65" s="13">
        <v>324</v>
      </c>
      <c r="J65" s="13">
        <v>0</v>
      </c>
      <c r="K65" s="19">
        <f t="shared" si="1"/>
        <v>0</v>
      </c>
      <c r="L65" s="19">
        <f t="shared" si="2"/>
        <v>324</v>
      </c>
    </row>
    <row r="66" spans="1:12">
      <c r="A66" s="13">
        <v>62</v>
      </c>
      <c r="B66" s="14" t="s">
        <v>254</v>
      </c>
      <c r="C66" s="14" t="s">
        <v>255</v>
      </c>
      <c r="D66" s="16" t="str">
        <f t="shared" si="0"/>
        <v>GI Tee 65 mm (Code: GWDMR063)</v>
      </c>
      <c r="E66" s="13" t="s">
        <v>46</v>
      </c>
      <c r="F66" s="17" t="s">
        <v>47</v>
      </c>
      <c r="G66" s="17" t="s">
        <v>52</v>
      </c>
      <c r="H66" s="17" t="s">
        <v>222</v>
      </c>
      <c r="I66" s="13">
        <v>636</v>
      </c>
      <c r="J66" s="13">
        <v>0</v>
      </c>
      <c r="K66" s="19">
        <f t="shared" si="1"/>
        <v>0</v>
      </c>
      <c r="L66" s="19">
        <f t="shared" si="2"/>
        <v>636</v>
      </c>
    </row>
    <row r="67" spans="1:12">
      <c r="A67" s="13">
        <v>63</v>
      </c>
      <c r="B67" s="14" t="s">
        <v>256</v>
      </c>
      <c r="C67" s="30" t="s">
        <v>257</v>
      </c>
      <c r="D67" s="16" t="str">
        <f t="shared" si="0"/>
        <v>Compressor pump 1.5 HP single phase (Code: GWDMR064)</v>
      </c>
      <c r="E67" s="13" t="s">
        <v>46</v>
      </c>
      <c r="F67" s="17" t="s">
        <v>47</v>
      </c>
      <c r="G67" s="17" t="s">
        <v>52</v>
      </c>
      <c r="H67" s="17" t="s">
        <v>259</v>
      </c>
      <c r="I67" s="13">
        <v>23970</v>
      </c>
      <c r="J67" s="13">
        <v>0</v>
      </c>
      <c r="K67" s="19">
        <f t="shared" si="1"/>
        <v>0</v>
      </c>
      <c r="L67" s="19">
        <f t="shared" si="2"/>
        <v>23970</v>
      </c>
    </row>
    <row r="68" spans="1:12">
      <c r="A68" s="13">
        <v>64</v>
      </c>
      <c r="B68" s="14" t="s">
        <v>260</v>
      </c>
      <c r="C68" s="30" t="s">
        <v>261</v>
      </c>
      <c r="D68" s="16" t="str">
        <f t="shared" si="0"/>
        <v>Compressor pump 2 HP single phase (Code: GWDMR065)</v>
      </c>
      <c r="E68" s="13" t="s">
        <v>46</v>
      </c>
      <c r="F68" s="17" t="s">
        <v>47</v>
      </c>
      <c r="G68" s="17" t="s">
        <v>52</v>
      </c>
      <c r="H68" s="17" t="s">
        <v>259</v>
      </c>
      <c r="I68" s="13">
        <v>27540</v>
      </c>
      <c r="J68" s="13">
        <v>0</v>
      </c>
      <c r="K68" s="19">
        <f t="shared" si="1"/>
        <v>0</v>
      </c>
      <c r="L68" s="19">
        <f t="shared" si="2"/>
        <v>27540</v>
      </c>
    </row>
    <row r="69" spans="1:12">
      <c r="A69" s="13">
        <v>65</v>
      </c>
      <c r="B69" s="14" t="s">
        <v>262</v>
      </c>
      <c r="C69" s="30" t="s">
        <v>264</v>
      </c>
      <c r="D69" s="16" t="str">
        <f t="shared" si="0"/>
        <v>Compressor pump 5 HP three phase (Code: GWDMR066)</v>
      </c>
      <c r="E69" s="13" t="s">
        <v>46</v>
      </c>
      <c r="F69" s="17" t="s">
        <v>47</v>
      </c>
      <c r="G69" s="17" t="s">
        <v>52</v>
      </c>
      <c r="H69" s="17" t="s">
        <v>259</v>
      </c>
      <c r="I69" s="13">
        <v>38760</v>
      </c>
      <c r="J69" s="13">
        <v>0</v>
      </c>
      <c r="K69" s="19">
        <f t="shared" si="1"/>
        <v>0</v>
      </c>
      <c r="L69" s="19">
        <f t="shared" si="2"/>
        <v>38760</v>
      </c>
    </row>
    <row r="70" spans="1:12">
      <c r="A70" s="13">
        <v>66</v>
      </c>
      <c r="B70" s="14" t="s">
        <v>265</v>
      </c>
      <c r="C70" s="30" t="s">
        <v>266</v>
      </c>
      <c r="D70" s="16" t="str">
        <f t="shared" si="0"/>
        <v>Compressor pump 7.5 HP three phase (Code: GWDMR067)</v>
      </c>
      <c r="E70" s="13" t="s">
        <v>46</v>
      </c>
      <c r="F70" s="17" t="s">
        <v>47</v>
      </c>
      <c r="G70" s="17" t="s">
        <v>52</v>
      </c>
      <c r="H70" s="17" t="s">
        <v>259</v>
      </c>
      <c r="I70" s="13">
        <v>51000</v>
      </c>
      <c r="J70" s="13">
        <v>0</v>
      </c>
      <c r="K70" s="19">
        <f t="shared" si="1"/>
        <v>0</v>
      </c>
      <c r="L70" s="19">
        <f t="shared" si="2"/>
        <v>51000</v>
      </c>
    </row>
    <row r="71" spans="1:12">
      <c r="A71" s="13">
        <v>67</v>
      </c>
      <c r="B71" s="14" t="s">
        <v>267</v>
      </c>
      <c r="C71" s="14" t="s">
        <v>268</v>
      </c>
      <c r="D71" s="16" t="str">
        <f t="shared" si="0"/>
        <v>12 mm thick nylon rope (Code: GWDMR068)</v>
      </c>
      <c r="E71" s="13" t="s">
        <v>21</v>
      </c>
      <c r="F71" s="17" t="s">
        <v>47</v>
      </c>
      <c r="G71" s="17" t="s">
        <v>52</v>
      </c>
      <c r="H71" s="17" t="s">
        <v>270</v>
      </c>
      <c r="I71" s="13">
        <v>38.4</v>
      </c>
      <c r="J71" s="13">
        <v>0</v>
      </c>
      <c r="K71" s="19">
        <f t="shared" si="1"/>
        <v>0</v>
      </c>
      <c r="L71" s="19">
        <f t="shared" si="2"/>
        <v>38.4</v>
      </c>
    </row>
    <row r="72" spans="1:12">
      <c r="A72" s="13">
        <v>68</v>
      </c>
      <c r="B72" s="14" t="s">
        <v>272</v>
      </c>
      <c r="C72" s="14" t="s">
        <v>273</v>
      </c>
      <c r="D72" s="16" t="str">
        <f t="shared" si="0"/>
        <v>14 mm thick nylon rope (Code: GWDMR069)</v>
      </c>
      <c r="E72" s="13" t="s">
        <v>21</v>
      </c>
      <c r="F72" s="17" t="s">
        <v>47</v>
      </c>
      <c r="G72" s="17" t="s">
        <v>52</v>
      </c>
      <c r="H72" s="17" t="s">
        <v>270</v>
      </c>
      <c r="I72" s="13">
        <v>49.2</v>
      </c>
      <c r="J72" s="13">
        <v>0</v>
      </c>
      <c r="K72" s="19">
        <f t="shared" si="1"/>
        <v>0</v>
      </c>
      <c r="L72" s="19">
        <f t="shared" si="2"/>
        <v>49.2</v>
      </c>
    </row>
    <row r="73" spans="1:12">
      <c r="A73" s="13">
        <v>69</v>
      </c>
      <c r="B73" s="14" t="s">
        <v>275</v>
      </c>
      <c r="C73" s="14" t="s">
        <v>276</v>
      </c>
      <c r="D73" s="16" t="str">
        <f t="shared" si="0"/>
        <v>16 mm thick nylon rope (Code: GWDMR070)</v>
      </c>
      <c r="E73" s="13" t="s">
        <v>21</v>
      </c>
      <c r="F73" s="17" t="s">
        <v>47</v>
      </c>
      <c r="G73" s="17" t="s">
        <v>52</v>
      </c>
      <c r="H73" s="17" t="s">
        <v>270</v>
      </c>
      <c r="I73" s="13">
        <v>56.4</v>
      </c>
      <c r="J73" s="13">
        <v>0</v>
      </c>
      <c r="K73" s="19">
        <f t="shared" si="1"/>
        <v>0</v>
      </c>
      <c r="L73" s="19">
        <f t="shared" si="2"/>
        <v>56.4</v>
      </c>
    </row>
    <row r="74" spans="1:12">
      <c r="A74" s="13">
        <v>70</v>
      </c>
      <c r="B74" s="14" t="s">
        <v>278</v>
      </c>
      <c r="C74" s="14" t="s">
        <v>279</v>
      </c>
      <c r="D74" s="16" t="str">
        <f t="shared" si="0"/>
        <v>Steel rope (Code: GWDMR071)</v>
      </c>
      <c r="E74" s="13" t="s">
        <v>21</v>
      </c>
      <c r="F74" s="17" t="s">
        <v>47</v>
      </c>
      <c r="G74" s="17" t="s">
        <v>52</v>
      </c>
      <c r="H74" s="17" t="s">
        <v>270</v>
      </c>
      <c r="I74" s="13">
        <v>114</v>
      </c>
      <c r="J74" s="13">
        <v>0</v>
      </c>
      <c r="K74" s="19">
        <f t="shared" si="1"/>
        <v>0</v>
      </c>
      <c r="L74" s="19">
        <f t="shared" si="2"/>
        <v>114</v>
      </c>
    </row>
    <row r="75" spans="1:12">
      <c r="A75" s="13">
        <v>71</v>
      </c>
      <c r="B75" s="14" t="s">
        <v>280</v>
      </c>
      <c r="C75" s="14" t="s">
        <v>281</v>
      </c>
      <c r="D75" s="16" t="str">
        <f t="shared" si="0"/>
        <v>32 mm dia UPVC pipe (Code: GWDMR072)</v>
      </c>
      <c r="E75" s="13" t="s">
        <v>21</v>
      </c>
      <c r="F75" s="17" t="s">
        <v>47</v>
      </c>
      <c r="G75" s="17" t="s">
        <v>52</v>
      </c>
      <c r="H75" s="17" t="s">
        <v>270</v>
      </c>
      <c r="I75" s="13">
        <v>270</v>
      </c>
      <c r="J75" s="13">
        <v>0</v>
      </c>
      <c r="K75" s="19">
        <f t="shared" si="1"/>
        <v>0</v>
      </c>
      <c r="L75" s="19">
        <f t="shared" si="2"/>
        <v>270</v>
      </c>
    </row>
    <row r="76" spans="1:12">
      <c r="A76" s="13">
        <v>72</v>
      </c>
      <c r="B76" s="14" t="s">
        <v>283</v>
      </c>
      <c r="C76" s="14" t="s">
        <v>284</v>
      </c>
      <c r="D76" s="16" t="str">
        <f t="shared" si="0"/>
        <v>40 mm dia UPVC pipe (Code: GWDMR073)</v>
      </c>
      <c r="E76" s="13" t="s">
        <v>21</v>
      </c>
      <c r="F76" s="17" t="s">
        <v>47</v>
      </c>
      <c r="G76" s="17" t="s">
        <v>52</v>
      </c>
      <c r="H76" s="17" t="s">
        <v>270</v>
      </c>
      <c r="I76" s="13">
        <v>354</v>
      </c>
      <c r="J76" s="13">
        <v>0</v>
      </c>
      <c r="K76" s="19">
        <f t="shared" si="1"/>
        <v>0</v>
      </c>
      <c r="L76" s="19">
        <f t="shared" si="2"/>
        <v>354</v>
      </c>
    </row>
    <row r="77" spans="1:12">
      <c r="A77" s="13">
        <v>73</v>
      </c>
      <c r="B77" s="14" t="s">
        <v>285</v>
      </c>
      <c r="C77" s="14" t="s">
        <v>286</v>
      </c>
      <c r="D77" s="16" t="str">
        <f t="shared" si="0"/>
        <v>50 mm dia UPVC pipe (Code: GWDMR074)</v>
      </c>
      <c r="E77" s="13" t="s">
        <v>21</v>
      </c>
      <c r="F77" s="17" t="s">
        <v>47</v>
      </c>
      <c r="G77" s="17" t="s">
        <v>52</v>
      </c>
      <c r="H77" s="17" t="s">
        <v>270</v>
      </c>
      <c r="I77" s="13">
        <v>468</v>
      </c>
      <c r="J77" s="13">
        <v>0</v>
      </c>
      <c r="K77" s="19">
        <f t="shared" si="1"/>
        <v>0</v>
      </c>
      <c r="L77" s="19">
        <f t="shared" si="2"/>
        <v>468</v>
      </c>
    </row>
    <row r="78" spans="1:12">
      <c r="A78" s="13">
        <v>74</v>
      </c>
      <c r="B78" s="14" t="s">
        <v>288</v>
      </c>
      <c r="C78" s="14" t="s">
        <v>289</v>
      </c>
      <c r="D78" s="16" t="str">
        <f t="shared" si="0"/>
        <v>63 mm dia UPVC pipe (Code: GWDMR075)</v>
      </c>
      <c r="E78" s="13" t="s">
        <v>21</v>
      </c>
      <c r="F78" s="17" t="s">
        <v>47</v>
      </c>
      <c r="G78" s="17" t="s">
        <v>52</v>
      </c>
      <c r="H78" s="17" t="s">
        <v>270</v>
      </c>
      <c r="I78" s="13">
        <v>552</v>
      </c>
      <c r="J78" s="13">
        <v>0</v>
      </c>
      <c r="K78" s="19">
        <f t="shared" si="1"/>
        <v>0</v>
      </c>
      <c r="L78" s="19">
        <f t="shared" si="2"/>
        <v>552</v>
      </c>
    </row>
    <row r="79" spans="1:12">
      <c r="A79" s="13">
        <v>75</v>
      </c>
      <c r="B79" s="14" t="s">
        <v>290</v>
      </c>
      <c r="C79" s="33" t="s">
        <v>291</v>
      </c>
      <c r="D79" s="16" t="str">
        <f t="shared" si="0"/>
        <v>20 mm dia HDPE pipe (DG) (8kg) (Code: GWDMR076)</v>
      </c>
      <c r="E79" s="13" t="s">
        <v>21</v>
      </c>
      <c r="F79" s="17" t="s">
        <v>47</v>
      </c>
      <c r="G79" s="17" t="s">
        <v>52</v>
      </c>
      <c r="H79" s="17" t="s">
        <v>270</v>
      </c>
      <c r="I79" s="13">
        <f t="array" ref="I79">IFERROR(INDEX(DerivedRates,MATCH(B79,DerivedCodes,0), ), )</f>
        <v>20</v>
      </c>
      <c r="J79" s="13">
        <v>0</v>
      </c>
      <c r="K79" s="19">
        <f t="shared" si="1"/>
        <v>0</v>
      </c>
      <c r="L79" s="19">
        <f t="shared" si="2"/>
        <v>20</v>
      </c>
    </row>
    <row r="80" spans="1:12">
      <c r="A80" s="13">
        <v>76</v>
      </c>
      <c r="B80" s="14" t="s">
        <v>294</v>
      </c>
      <c r="C80" s="33" t="s">
        <v>295</v>
      </c>
      <c r="D80" s="16" t="str">
        <f t="shared" si="0"/>
        <v>32 mm dia HDPE pipe (DG) (8kg) (Code: GWDMR077)</v>
      </c>
      <c r="E80" s="13" t="s">
        <v>21</v>
      </c>
      <c r="F80" s="17" t="s">
        <v>47</v>
      </c>
      <c r="G80" s="17" t="s">
        <v>52</v>
      </c>
      <c r="H80" s="17" t="s">
        <v>270</v>
      </c>
      <c r="I80" s="13">
        <f t="array" ref="I80">IFERROR(INDEX(DerivedRates,MATCH(B80,DerivedCodes,0), ), )</f>
        <v>20</v>
      </c>
      <c r="J80" s="13">
        <v>0</v>
      </c>
      <c r="K80" s="19">
        <f t="shared" si="1"/>
        <v>0</v>
      </c>
      <c r="L80" s="19">
        <f t="shared" si="2"/>
        <v>20</v>
      </c>
    </row>
    <row r="81" spans="1:12">
      <c r="A81" s="13">
        <v>77</v>
      </c>
      <c r="B81" s="14" t="s">
        <v>297</v>
      </c>
      <c r="C81" s="33" t="s">
        <v>298</v>
      </c>
      <c r="D81" s="16" t="str">
        <f t="shared" si="0"/>
        <v>40 mm dia HDPE pipe (DG) (8kg) (Code: GWDMR078)</v>
      </c>
      <c r="E81" s="13" t="s">
        <v>21</v>
      </c>
      <c r="F81" s="17" t="s">
        <v>47</v>
      </c>
      <c r="G81" s="17" t="s">
        <v>52</v>
      </c>
      <c r="H81" s="17" t="s">
        <v>270</v>
      </c>
      <c r="I81" s="13">
        <f t="array" ref="I81">IFERROR(INDEX(DerivedRates,MATCH(B81,DerivedCodes,0), ), )</f>
        <v>29</v>
      </c>
      <c r="J81" s="13">
        <v>0</v>
      </c>
      <c r="K81" s="19">
        <f t="shared" si="1"/>
        <v>0</v>
      </c>
      <c r="L81" s="19">
        <f t="shared" si="2"/>
        <v>29</v>
      </c>
    </row>
    <row r="82" spans="1:12">
      <c r="A82" s="13">
        <v>78</v>
      </c>
      <c r="B82" s="14" t="s">
        <v>300</v>
      </c>
      <c r="C82" s="30" t="s">
        <v>301</v>
      </c>
      <c r="D82" s="16" t="str">
        <f t="shared" si="0"/>
        <v>32 mm SS Adapter (Code: GWDMR079)</v>
      </c>
      <c r="E82" s="13" t="s">
        <v>46</v>
      </c>
      <c r="F82" s="17" t="s">
        <v>47</v>
      </c>
      <c r="G82" s="17" t="s">
        <v>52</v>
      </c>
      <c r="H82" s="17" t="s">
        <v>270</v>
      </c>
      <c r="I82" s="13">
        <v>804</v>
      </c>
      <c r="J82" s="13">
        <v>0</v>
      </c>
      <c r="K82" s="19">
        <f t="shared" si="1"/>
        <v>0</v>
      </c>
      <c r="L82" s="19">
        <f t="shared" si="2"/>
        <v>804</v>
      </c>
    </row>
    <row r="83" spans="1:12">
      <c r="A83" s="13">
        <v>79</v>
      </c>
      <c r="B83" s="14" t="s">
        <v>303</v>
      </c>
      <c r="C83" s="30" t="s">
        <v>304</v>
      </c>
      <c r="D83" s="16" t="str">
        <f t="shared" si="0"/>
        <v>40 mm SS Adapter (Code: GWDMR080)</v>
      </c>
      <c r="E83" s="13" t="s">
        <v>46</v>
      </c>
      <c r="F83" s="17" t="s">
        <v>47</v>
      </c>
      <c r="G83" s="17" t="s">
        <v>52</v>
      </c>
      <c r="H83" s="17" t="s">
        <v>270</v>
      </c>
      <c r="I83" s="13">
        <v>960</v>
      </c>
      <c r="J83" s="13">
        <v>0</v>
      </c>
      <c r="K83" s="19">
        <f t="shared" si="1"/>
        <v>0</v>
      </c>
      <c r="L83" s="19">
        <f t="shared" si="2"/>
        <v>960</v>
      </c>
    </row>
    <row r="84" spans="1:12">
      <c r="A84" s="13">
        <v>80</v>
      </c>
      <c r="B84" s="14" t="s">
        <v>306</v>
      </c>
      <c r="C84" s="30" t="s">
        <v>307</v>
      </c>
      <c r="D84" s="16" t="str">
        <f t="shared" si="0"/>
        <v>50 mm SS Adapter (Code: GWDMR081)</v>
      </c>
      <c r="E84" s="13" t="s">
        <v>46</v>
      </c>
      <c r="F84" s="17" t="s">
        <v>47</v>
      </c>
      <c r="G84" s="17" t="s">
        <v>52</v>
      </c>
      <c r="H84" s="17" t="s">
        <v>270</v>
      </c>
      <c r="I84" s="13">
        <v>1200</v>
      </c>
      <c r="J84" s="13">
        <v>0</v>
      </c>
      <c r="K84" s="19">
        <f t="shared" si="1"/>
        <v>0</v>
      </c>
      <c r="L84" s="19">
        <f t="shared" si="2"/>
        <v>1200</v>
      </c>
    </row>
    <row r="85" spans="1:12">
      <c r="A85" s="13">
        <v>81</v>
      </c>
      <c r="B85" s="14" t="s">
        <v>309</v>
      </c>
      <c r="C85" s="30" t="s">
        <v>310</v>
      </c>
      <c r="D85" s="16" t="str">
        <f t="shared" si="0"/>
        <v>50 mm UPVC Union (Code: GWDMR082)</v>
      </c>
      <c r="E85" s="13" t="s">
        <v>46</v>
      </c>
      <c r="F85" s="17" t="s">
        <v>47</v>
      </c>
      <c r="G85" s="17" t="s">
        <v>52</v>
      </c>
      <c r="H85" s="17" t="s">
        <v>270</v>
      </c>
      <c r="I85" s="13">
        <v>360</v>
      </c>
      <c r="J85" s="13">
        <v>0</v>
      </c>
      <c r="K85" s="19">
        <f t="shared" si="1"/>
        <v>0</v>
      </c>
      <c r="L85" s="19">
        <f t="shared" si="2"/>
        <v>360</v>
      </c>
    </row>
    <row r="86" spans="1:12">
      <c r="A86" s="13">
        <v>82</v>
      </c>
      <c r="B86" s="14" t="s">
        <v>312</v>
      </c>
      <c r="C86" s="30" t="s">
        <v>314</v>
      </c>
      <c r="D86" s="16" t="str">
        <f t="shared" si="0"/>
        <v>63 mm UPVC Union (Code: GWDMR083)</v>
      </c>
      <c r="E86" s="13" t="s">
        <v>46</v>
      </c>
      <c r="F86" s="17" t="s">
        <v>47</v>
      </c>
      <c r="G86" s="17" t="s">
        <v>52</v>
      </c>
      <c r="H86" s="17" t="s">
        <v>270</v>
      </c>
      <c r="I86" s="13">
        <v>540</v>
      </c>
      <c r="J86" s="13">
        <v>0</v>
      </c>
      <c r="K86" s="19">
        <f t="shared" si="1"/>
        <v>0</v>
      </c>
      <c r="L86" s="19">
        <f t="shared" si="2"/>
        <v>540</v>
      </c>
    </row>
    <row r="87" spans="1:12">
      <c r="A87" s="13">
        <v>83</v>
      </c>
      <c r="B87" s="14" t="s">
        <v>316</v>
      </c>
      <c r="C87" s="30" t="s">
        <v>317</v>
      </c>
      <c r="D87" s="16" t="str">
        <f t="shared" si="0"/>
        <v>75 mm UPVC Union (Code: GWDMR084)</v>
      </c>
      <c r="E87" s="13" t="s">
        <v>46</v>
      </c>
      <c r="F87" s="17" t="s">
        <v>47</v>
      </c>
      <c r="G87" s="17" t="s">
        <v>52</v>
      </c>
      <c r="H87" s="17" t="s">
        <v>270</v>
      </c>
      <c r="I87" s="13">
        <v>1200</v>
      </c>
      <c r="J87" s="13">
        <v>0</v>
      </c>
      <c r="K87" s="19">
        <f t="shared" si="1"/>
        <v>0</v>
      </c>
      <c r="L87" s="19">
        <f t="shared" si="2"/>
        <v>1200</v>
      </c>
    </row>
    <row r="88" spans="1:12">
      <c r="A88" s="13">
        <v>84</v>
      </c>
      <c r="B88" s="14" t="s">
        <v>318</v>
      </c>
      <c r="C88" s="30" t="s">
        <v>319</v>
      </c>
      <c r="D88" s="16" t="str">
        <f t="shared" si="0"/>
        <v>Sodium Bentonite (ordinary) (Code: GWDMR085)</v>
      </c>
      <c r="E88" s="13" t="s">
        <v>218</v>
      </c>
      <c r="F88" s="17" t="s">
        <v>47</v>
      </c>
      <c r="G88" s="17" t="s">
        <v>191</v>
      </c>
      <c r="H88" s="17" t="s">
        <v>320</v>
      </c>
      <c r="I88" s="13">
        <v>7000</v>
      </c>
      <c r="J88" s="13">
        <v>0</v>
      </c>
      <c r="K88" s="19">
        <f t="shared" si="1"/>
        <v>0</v>
      </c>
      <c r="L88" s="19">
        <f t="shared" si="2"/>
        <v>7000</v>
      </c>
    </row>
    <row r="89" spans="1:12">
      <c r="A89" s="13">
        <v>85</v>
      </c>
      <c r="B89" s="14" t="s">
        <v>321</v>
      </c>
      <c r="C89" s="30" t="s">
        <v>322</v>
      </c>
      <c r="D89" s="16" t="str">
        <f t="shared" si="0"/>
        <v>Sodium Bentonite (Super) (Code: GWDMR086)</v>
      </c>
      <c r="E89" s="13" t="s">
        <v>218</v>
      </c>
      <c r="F89" s="17" t="s">
        <v>47</v>
      </c>
      <c r="G89" s="17" t="s">
        <v>191</v>
      </c>
      <c r="H89" s="17" t="s">
        <v>320</v>
      </c>
      <c r="I89" s="13">
        <v>13500</v>
      </c>
      <c r="J89" s="13">
        <v>0</v>
      </c>
      <c r="K89" s="19">
        <f t="shared" si="1"/>
        <v>0</v>
      </c>
      <c r="L89" s="19">
        <f t="shared" si="2"/>
        <v>13500</v>
      </c>
    </row>
    <row r="90" spans="1:12">
      <c r="A90" s="13">
        <v>86</v>
      </c>
      <c r="B90" s="14" t="s">
        <v>324</v>
      </c>
      <c r="C90" s="30" t="s">
        <v>325</v>
      </c>
      <c r="D90" s="16" t="str">
        <f t="shared" si="0"/>
        <v>MS Casing pipe 450 mm dia, 6 mm thickness (Code: GWDMR087)</v>
      </c>
      <c r="E90" s="13" t="s">
        <v>21</v>
      </c>
      <c r="F90" s="17" t="s">
        <v>47</v>
      </c>
      <c r="G90" s="17" t="s">
        <v>191</v>
      </c>
      <c r="H90" s="17" t="s">
        <v>206</v>
      </c>
      <c r="I90" s="13">
        <v>8450</v>
      </c>
      <c r="J90" s="13">
        <v>0</v>
      </c>
      <c r="K90" s="19">
        <f t="shared" si="1"/>
        <v>0</v>
      </c>
      <c r="L90" s="19">
        <f t="shared" si="2"/>
        <v>8450</v>
      </c>
    </row>
    <row r="91" spans="1:12">
      <c r="A91" s="13">
        <v>87</v>
      </c>
      <c r="B91" s="14" t="s">
        <v>326</v>
      </c>
      <c r="C91" s="14" t="s">
        <v>327</v>
      </c>
      <c r="D91" s="16" t="str">
        <f t="shared" si="0"/>
        <v>Fibre mesh for placing inside filter tank (for recharge schemes) (Code: GWDMR088)</v>
      </c>
      <c r="E91" s="13" t="s">
        <v>328</v>
      </c>
      <c r="F91" s="17" t="s">
        <v>47</v>
      </c>
      <c r="G91" s="17" t="s">
        <v>80</v>
      </c>
      <c r="H91" s="17" t="s">
        <v>82</v>
      </c>
      <c r="I91" s="25">
        <v>180</v>
      </c>
      <c r="J91" s="13">
        <v>0</v>
      </c>
      <c r="K91" s="19">
        <f t="shared" si="1"/>
        <v>0</v>
      </c>
      <c r="L91" s="19">
        <f t="shared" si="2"/>
        <v>180</v>
      </c>
    </row>
    <row r="92" spans="1:12">
      <c r="A92" s="13">
        <v>88</v>
      </c>
      <c r="B92" s="14" t="s">
        <v>329</v>
      </c>
      <c r="C92" s="14" t="s">
        <v>330</v>
      </c>
      <c r="D92" s="16" t="str">
        <f t="shared" si="0"/>
        <v>Coated mesh for placing inside filter tank (for recharge schemes) (Code: GWDMR089)</v>
      </c>
      <c r="E92" s="13" t="s">
        <v>328</v>
      </c>
      <c r="F92" s="17" t="s">
        <v>47</v>
      </c>
      <c r="G92" s="17" t="s">
        <v>80</v>
      </c>
      <c r="H92" s="17" t="s">
        <v>82</v>
      </c>
      <c r="I92" s="25">
        <v>300</v>
      </c>
      <c r="J92" s="13">
        <v>0</v>
      </c>
      <c r="K92" s="19">
        <f t="shared" si="1"/>
        <v>0</v>
      </c>
      <c r="L92" s="19">
        <f t="shared" si="2"/>
        <v>300</v>
      </c>
    </row>
    <row r="93" spans="1:12">
      <c r="A93" s="13">
        <v>89</v>
      </c>
      <c r="B93" s="14" t="s">
        <v>333</v>
      </c>
      <c r="C93" s="14" t="s">
        <v>334</v>
      </c>
      <c r="D93" s="16" t="str">
        <f t="shared" si="0"/>
        <v>Sieve mesh 110 mm (inside inspection chamber) (for recharge schemes) (Code: GWDMR090)</v>
      </c>
      <c r="E93" s="13" t="s">
        <v>328</v>
      </c>
      <c r="F93" s="17" t="s">
        <v>47</v>
      </c>
      <c r="G93" s="17" t="s">
        <v>80</v>
      </c>
      <c r="H93" s="17" t="s">
        <v>82</v>
      </c>
      <c r="I93" s="25">
        <v>180</v>
      </c>
      <c r="J93" s="13">
        <v>0</v>
      </c>
      <c r="K93" s="19">
        <f t="shared" si="1"/>
        <v>0</v>
      </c>
      <c r="L93" s="19">
        <f t="shared" si="2"/>
        <v>180</v>
      </c>
    </row>
    <row r="94" spans="1:12">
      <c r="A94" s="13">
        <v>90</v>
      </c>
      <c r="B94" s="14" t="s">
        <v>338</v>
      </c>
      <c r="C94" s="14" t="s">
        <v>339</v>
      </c>
      <c r="D94" s="16" t="str">
        <f t="shared" si="0"/>
        <v>Sieve mesh 140 mm (inside inspection chamber) (for recharge schemes) (Code: GWDMR091)</v>
      </c>
      <c r="E94" s="13" t="s">
        <v>328</v>
      </c>
      <c r="F94" s="17" t="s">
        <v>47</v>
      </c>
      <c r="G94" s="17" t="s">
        <v>80</v>
      </c>
      <c r="H94" s="17" t="s">
        <v>82</v>
      </c>
      <c r="I94" s="25">
        <v>200</v>
      </c>
      <c r="J94" s="13">
        <v>0</v>
      </c>
      <c r="K94" s="19">
        <f t="shared" si="1"/>
        <v>0</v>
      </c>
      <c r="L94" s="19">
        <f t="shared" si="2"/>
        <v>200</v>
      </c>
    </row>
    <row r="95" spans="1:12">
      <c r="A95" s="13">
        <v>91</v>
      </c>
      <c r="B95" s="14" t="s">
        <v>343</v>
      </c>
      <c r="C95" s="14" t="s">
        <v>344</v>
      </c>
      <c r="D95" s="16" t="str">
        <f t="shared" si="0"/>
        <v>Plastic net for covering pipe (for recharge schemes) (Code: GWDMR092)</v>
      </c>
      <c r="E95" s="13" t="s">
        <v>328</v>
      </c>
      <c r="F95" s="17" t="s">
        <v>47</v>
      </c>
      <c r="G95" s="17" t="s">
        <v>80</v>
      </c>
      <c r="H95" s="17" t="s">
        <v>82</v>
      </c>
      <c r="I95" s="25">
        <v>50</v>
      </c>
      <c r="J95" s="13">
        <v>0</v>
      </c>
      <c r="K95" s="19">
        <f t="shared" si="1"/>
        <v>0</v>
      </c>
      <c r="L95" s="19">
        <f t="shared" si="2"/>
        <v>50</v>
      </c>
    </row>
    <row r="96" spans="1:12">
      <c r="A96" s="13">
        <v>92</v>
      </c>
      <c r="B96" s="14" t="s">
        <v>355</v>
      </c>
      <c r="C96" s="14" t="s">
        <v>356</v>
      </c>
      <c r="D96" s="16" t="str">
        <f t="shared" si="0"/>
        <v>PVC Wiring Pipe (Code: GWDMR093)</v>
      </c>
      <c r="E96" s="13" t="s">
        <v>21</v>
      </c>
      <c r="F96" s="17" t="s">
        <v>47</v>
      </c>
      <c r="G96" s="17" t="s">
        <v>52</v>
      </c>
      <c r="H96" s="17" t="s">
        <v>49</v>
      </c>
      <c r="I96" s="13">
        <v>30</v>
      </c>
      <c r="J96" s="13">
        <v>0</v>
      </c>
      <c r="K96" s="19">
        <f t="shared" si="1"/>
        <v>0</v>
      </c>
      <c r="L96" s="19">
        <f t="shared" si="2"/>
        <v>30</v>
      </c>
    </row>
    <row r="97" spans="1:12">
      <c r="A97" s="13">
        <v>93</v>
      </c>
      <c r="B97" s="14" t="s">
        <v>362</v>
      </c>
      <c r="C97" s="14" t="str">
        <f>'HP Repair Spares'!E1</f>
        <v>Head Assembly complete (with Head, Handle, Ball Bearings and  Chain Assembly)</v>
      </c>
      <c r="D97" s="16" t="str">
        <f t="shared" si="0"/>
        <v>Head Assembly complete (with Head, Handle, Ball Bearings and  Chain Assembly) (Code: GWDMR094)</v>
      </c>
      <c r="E97" s="13" t="s">
        <v>46</v>
      </c>
      <c r="F97" s="17" t="s">
        <v>47</v>
      </c>
      <c r="G97" s="17" t="s">
        <v>373</v>
      </c>
      <c r="H97" s="17" t="s">
        <v>374</v>
      </c>
      <c r="I97" s="13">
        <f>'HP Repair Spares'!F1</f>
        <v>4800</v>
      </c>
      <c r="J97" s="13">
        <f>'HP Repair Spares'!G1</f>
        <v>0</v>
      </c>
      <c r="K97" s="19">
        <f t="shared" si="1"/>
        <v>0</v>
      </c>
      <c r="L97" s="19">
        <f t="shared" si="2"/>
        <v>4800</v>
      </c>
    </row>
    <row r="98" spans="1:12">
      <c r="A98" s="13">
        <v>94</v>
      </c>
      <c r="B98" s="14" t="s">
        <v>383</v>
      </c>
      <c r="C98" s="14" t="str">
        <f>'HP Repair Spares'!E2</f>
        <v>Head with welded components only without cover</v>
      </c>
      <c r="D98" s="16" t="str">
        <f t="shared" si="0"/>
        <v>Head with welded components only without cover (Code: GWDMR095)</v>
      </c>
      <c r="E98" s="13" t="s">
        <v>46</v>
      </c>
      <c r="F98" s="17" t="s">
        <v>47</v>
      </c>
      <c r="G98" s="17" t="s">
        <v>373</v>
      </c>
      <c r="H98" s="17" t="s">
        <v>374</v>
      </c>
      <c r="I98" s="13">
        <f>'HP Repair Spares'!F2</f>
        <v>2280</v>
      </c>
      <c r="J98" s="13">
        <f>'HP Repair Spares'!G2</f>
        <v>0</v>
      </c>
      <c r="K98" s="19">
        <f t="shared" si="1"/>
        <v>0</v>
      </c>
      <c r="L98" s="19">
        <f t="shared" si="2"/>
        <v>2280</v>
      </c>
    </row>
    <row r="99" spans="1:12">
      <c r="A99" s="13">
        <v>95</v>
      </c>
      <c r="B99" s="14" t="s">
        <v>396</v>
      </c>
      <c r="C99" s="14" t="str">
        <f>'HP Repair Spares'!E3</f>
        <v>Handle (welded components only)</v>
      </c>
      <c r="D99" s="16" t="str">
        <f t="shared" si="0"/>
        <v>Handle (welded components only) (Code: GWDMR096)</v>
      </c>
      <c r="E99" s="13" t="s">
        <v>46</v>
      </c>
      <c r="F99" s="17" t="s">
        <v>47</v>
      </c>
      <c r="G99" s="17" t="s">
        <v>373</v>
      </c>
      <c r="H99" s="17" t="s">
        <v>374</v>
      </c>
      <c r="I99" s="13">
        <f>'HP Repair Spares'!F3</f>
        <v>1800</v>
      </c>
      <c r="J99" s="13">
        <f>'HP Repair Spares'!G3</f>
        <v>0</v>
      </c>
      <c r="K99" s="19">
        <f t="shared" si="1"/>
        <v>0</v>
      </c>
      <c r="L99" s="19">
        <f t="shared" si="2"/>
        <v>1800</v>
      </c>
    </row>
    <row r="100" spans="1:12">
      <c r="A100" s="13">
        <v>96</v>
      </c>
      <c r="B100" s="14" t="s">
        <v>411</v>
      </c>
      <c r="C100" s="14" t="str">
        <f>'HP Repair Spares'!E4</f>
        <v>Additional Plate</v>
      </c>
      <c r="D100" s="16" t="str">
        <f t="shared" si="0"/>
        <v>Additional Plate (Code: GWDMR097)</v>
      </c>
      <c r="E100" s="13" t="s">
        <v>46</v>
      </c>
      <c r="F100" s="17" t="s">
        <v>47</v>
      </c>
      <c r="G100" s="17" t="s">
        <v>373</v>
      </c>
      <c r="H100" s="17" t="s">
        <v>374</v>
      </c>
      <c r="I100" s="13">
        <f>'HP Repair Spares'!F4</f>
        <v>450</v>
      </c>
      <c r="J100" s="13">
        <f>'HP Repair Spares'!G4</f>
        <v>0</v>
      </c>
      <c r="K100" s="19">
        <f t="shared" si="1"/>
        <v>0</v>
      </c>
      <c r="L100" s="19">
        <f t="shared" si="2"/>
        <v>450</v>
      </c>
    </row>
    <row r="101" spans="1:12">
      <c r="A101" s="13">
        <v>97</v>
      </c>
      <c r="B101" s="14" t="s">
        <v>428</v>
      </c>
      <c r="C101" s="14" t="str">
        <f>'HP Repair Spares'!E5</f>
        <v>Ball Bearing 6204 Z</v>
      </c>
      <c r="D101" s="16" t="str">
        <f t="shared" si="0"/>
        <v>Ball Bearing 6204 Z (Code: GWDMR098)</v>
      </c>
      <c r="E101" s="13" t="s">
        <v>46</v>
      </c>
      <c r="F101" s="17" t="s">
        <v>47</v>
      </c>
      <c r="G101" s="17" t="s">
        <v>373</v>
      </c>
      <c r="H101" s="17" t="s">
        <v>374</v>
      </c>
      <c r="I101" s="13">
        <f>'HP Repair Spares'!F5</f>
        <v>216</v>
      </c>
      <c r="J101" s="13">
        <f>'HP Repair Spares'!G5</f>
        <v>0</v>
      </c>
      <c r="K101" s="19">
        <f t="shared" si="1"/>
        <v>0</v>
      </c>
      <c r="L101" s="19">
        <f t="shared" si="2"/>
        <v>216</v>
      </c>
    </row>
    <row r="102" spans="1:12">
      <c r="A102" s="13">
        <v>98</v>
      </c>
      <c r="B102" s="14" t="s">
        <v>434</v>
      </c>
      <c r="C102" s="14" t="str">
        <f>'HP Repair Spares'!E6</f>
        <v>Chain with coupling</v>
      </c>
      <c r="D102" s="16" t="str">
        <f t="shared" si="0"/>
        <v>Chain with coupling (Code: GWDMR099)</v>
      </c>
      <c r="E102" s="13" t="s">
        <v>46</v>
      </c>
      <c r="F102" s="17" t="s">
        <v>47</v>
      </c>
      <c r="G102" s="17" t="s">
        <v>373</v>
      </c>
      <c r="H102" s="17" t="s">
        <v>374</v>
      </c>
      <c r="I102" s="13">
        <f>'HP Repair Spares'!F6</f>
        <v>240</v>
      </c>
      <c r="J102" s="13">
        <f>'HP Repair Spares'!G6</f>
        <v>0</v>
      </c>
      <c r="K102" s="19">
        <f t="shared" si="1"/>
        <v>0</v>
      </c>
      <c r="L102" s="19">
        <f t="shared" si="2"/>
        <v>240</v>
      </c>
    </row>
    <row r="103" spans="1:12">
      <c r="A103" s="13">
        <v>99</v>
      </c>
      <c r="B103" s="14" t="s">
        <v>444</v>
      </c>
      <c r="C103" s="14" t="str">
        <f>'HP Repair Spares'!E7</f>
        <v>Spacer for Axle Pin</v>
      </c>
      <c r="D103" s="16" t="str">
        <f t="shared" si="0"/>
        <v>Spacer for Axle Pin (Code: GWDMR100)</v>
      </c>
      <c r="E103" s="13" t="s">
        <v>46</v>
      </c>
      <c r="F103" s="17" t="s">
        <v>47</v>
      </c>
      <c r="G103" s="17" t="s">
        <v>373</v>
      </c>
      <c r="H103" s="17" t="s">
        <v>374</v>
      </c>
      <c r="I103" s="13">
        <f>'HP Repair Spares'!F7</f>
        <v>24</v>
      </c>
      <c r="J103" s="13">
        <f>'HP Repair Spares'!G7</f>
        <v>0</v>
      </c>
      <c r="K103" s="19">
        <f t="shared" si="1"/>
        <v>0</v>
      </c>
      <c r="L103" s="19">
        <f t="shared" si="2"/>
        <v>24</v>
      </c>
    </row>
    <row r="104" spans="1:12">
      <c r="A104" s="13">
        <v>100</v>
      </c>
      <c r="B104" s="14" t="s">
        <v>457</v>
      </c>
      <c r="C104" s="14" t="str">
        <f>'HP Repair Spares'!E8</f>
        <v>M 12 x 20 Hex Bolt for Top Head Cover</v>
      </c>
      <c r="D104" s="16" t="str">
        <f t="shared" si="0"/>
        <v>M 12 x 20 Hex Bolt for Top Head Cover (Code: GWDMR101)</v>
      </c>
      <c r="E104" s="13" t="s">
        <v>46</v>
      </c>
      <c r="F104" s="17" t="s">
        <v>47</v>
      </c>
      <c r="G104" s="17" t="s">
        <v>373</v>
      </c>
      <c r="H104" s="17" t="s">
        <v>374</v>
      </c>
      <c r="I104" s="13">
        <f>'HP Repair Spares'!F8</f>
        <v>18</v>
      </c>
      <c r="J104" s="13">
        <f>'HP Repair Spares'!G8</f>
        <v>0</v>
      </c>
      <c r="K104" s="19">
        <f t="shared" si="1"/>
        <v>0</v>
      </c>
      <c r="L104" s="19">
        <f t="shared" si="2"/>
        <v>18</v>
      </c>
    </row>
    <row r="105" spans="1:12">
      <c r="A105" s="13">
        <v>101</v>
      </c>
      <c r="B105" s="14" t="s">
        <v>471</v>
      </c>
      <c r="C105" s="14" t="str">
        <f>'HP Repair Spares'!E9</f>
        <v>M 12 x 40 Hex Bolt</v>
      </c>
      <c r="D105" s="16" t="str">
        <f t="shared" si="0"/>
        <v>M 12 x 40 Hex Bolt (Code: GWDMR102)</v>
      </c>
      <c r="E105" s="13" t="s">
        <v>46</v>
      </c>
      <c r="F105" s="17" t="s">
        <v>47</v>
      </c>
      <c r="G105" s="17" t="s">
        <v>373</v>
      </c>
      <c r="H105" s="17" t="s">
        <v>374</v>
      </c>
      <c r="I105" s="13">
        <f>'HP Repair Spares'!F9</f>
        <v>18</v>
      </c>
      <c r="J105" s="13">
        <f>'HP Repair Spares'!G9</f>
        <v>0</v>
      </c>
      <c r="K105" s="19">
        <f t="shared" si="1"/>
        <v>0</v>
      </c>
      <c r="L105" s="19">
        <f t="shared" si="2"/>
        <v>18</v>
      </c>
    </row>
    <row r="106" spans="1:12">
      <c r="A106" s="13">
        <v>102</v>
      </c>
      <c r="B106" s="14" t="s">
        <v>473</v>
      </c>
      <c r="C106" s="14" t="str">
        <f>'HP Repair Spares'!E10</f>
        <v>M 12 Nut</v>
      </c>
      <c r="D106" s="16" t="str">
        <f t="shared" si="0"/>
        <v>M 12 Nut (Code: GWDMR103)</v>
      </c>
      <c r="E106" s="13" t="s">
        <v>46</v>
      </c>
      <c r="F106" s="17" t="s">
        <v>47</v>
      </c>
      <c r="G106" s="17" t="s">
        <v>373</v>
      </c>
      <c r="H106" s="17" t="s">
        <v>374</v>
      </c>
      <c r="I106" s="13">
        <f>'HP Repair Spares'!F10</f>
        <v>12</v>
      </c>
      <c r="J106" s="13">
        <f>'HP Repair Spares'!G10</f>
        <v>0</v>
      </c>
      <c r="K106" s="19">
        <f t="shared" si="1"/>
        <v>0</v>
      </c>
      <c r="L106" s="19">
        <f t="shared" si="2"/>
        <v>12</v>
      </c>
    </row>
    <row r="107" spans="1:12">
      <c r="A107" s="13">
        <v>103</v>
      </c>
      <c r="B107" s="14" t="s">
        <v>474</v>
      </c>
      <c r="C107" s="14" t="str">
        <f>'HP Repair Spares'!E11</f>
        <v>M.12 Washer</v>
      </c>
      <c r="D107" s="16" t="str">
        <f t="shared" si="0"/>
        <v>M.12 Washer (Code: GWDMR104)</v>
      </c>
      <c r="E107" s="13" t="s">
        <v>46</v>
      </c>
      <c r="F107" s="17" t="s">
        <v>47</v>
      </c>
      <c r="G107" s="17" t="s">
        <v>373</v>
      </c>
      <c r="H107" s="17" t="s">
        <v>374</v>
      </c>
      <c r="I107" s="13">
        <f>'HP Repair Spares'!F11</f>
        <v>12</v>
      </c>
      <c r="J107" s="13">
        <f>'HP Repair Spares'!G11</f>
        <v>0</v>
      </c>
      <c r="K107" s="19">
        <f t="shared" si="1"/>
        <v>0</v>
      </c>
      <c r="L107" s="19">
        <f t="shared" si="2"/>
        <v>12</v>
      </c>
    </row>
    <row r="108" spans="1:12">
      <c r="A108" s="13">
        <v>104</v>
      </c>
      <c r="B108" s="14" t="s">
        <v>478</v>
      </c>
      <c r="C108" s="14" t="str">
        <f>'HP Repair Spares'!E12</f>
        <v>M 10 x 40 H.T Bolt</v>
      </c>
      <c r="D108" s="16" t="str">
        <f t="shared" si="0"/>
        <v>M 10 x 40 H.T Bolt (Code: GWDMR105)</v>
      </c>
      <c r="E108" s="13" t="s">
        <v>46</v>
      </c>
      <c r="F108" s="17" t="s">
        <v>47</v>
      </c>
      <c r="G108" s="17" t="s">
        <v>373</v>
      </c>
      <c r="H108" s="17" t="s">
        <v>374</v>
      </c>
      <c r="I108" s="13">
        <f>'HP Repair Spares'!F12</f>
        <v>18</v>
      </c>
      <c r="J108" s="13">
        <f>'HP Repair Spares'!G12</f>
        <v>0</v>
      </c>
      <c r="K108" s="19">
        <f t="shared" si="1"/>
        <v>0</v>
      </c>
      <c r="L108" s="19">
        <f t="shared" si="2"/>
        <v>18</v>
      </c>
    </row>
    <row r="109" spans="1:12">
      <c r="A109" s="13">
        <v>105</v>
      </c>
      <c r="B109" s="14" t="s">
        <v>493</v>
      </c>
      <c r="C109" s="14" t="str">
        <f>'HP Repair Spares'!E13</f>
        <v>M.10 Nylon Nut</v>
      </c>
      <c r="D109" s="16" t="str">
        <f t="shared" si="0"/>
        <v>M.10 Nylon Nut (Code: GWDMR106)</v>
      </c>
      <c r="E109" s="13" t="s">
        <v>46</v>
      </c>
      <c r="F109" s="17" t="s">
        <v>47</v>
      </c>
      <c r="G109" s="17" t="s">
        <v>373</v>
      </c>
      <c r="H109" s="17" t="s">
        <v>374</v>
      </c>
      <c r="I109" s="13">
        <f>'HP Repair Spares'!F13</f>
        <v>12</v>
      </c>
      <c r="J109" s="13">
        <f>'HP Repair Spares'!G13</f>
        <v>0</v>
      </c>
      <c r="K109" s="19">
        <f t="shared" si="1"/>
        <v>0</v>
      </c>
      <c r="L109" s="19">
        <f t="shared" si="2"/>
        <v>12</v>
      </c>
    </row>
    <row r="110" spans="1:12">
      <c r="A110" s="13">
        <v>106</v>
      </c>
      <c r="B110" s="14" t="s">
        <v>495</v>
      </c>
      <c r="C110" s="14" t="str">
        <f>'HP Repair Spares'!E14</f>
        <v>Special Washer for Axle</v>
      </c>
      <c r="D110" s="16" t="str">
        <f t="shared" si="0"/>
        <v>Special Washer for Axle (Code: GWDMR107)</v>
      </c>
      <c r="E110" s="13" t="s">
        <v>46</v>
      </c>
      <c r="F110" s="17" t="s">
        <v>47</v>
      </c>
      <c r="G110" s="17" t="s">
        <v>373</v>
      </c>
      <c r="H110" s="17" t="s">
        <v>374</v>
      </c>
      <c r="I110" s="13">
        <f>'HP Repair Spares'!F14</f>
        <v>12</v>
      </c>
      <c r="J110" s="13">
        <f>'HP Repair Spares'!G14</f>
        <v>0</v>
      </c>
      <c r="K110" s="19">
        <f t="shared" si="1"/>
        <v>0</v>
      </c>
      <c r="L110" s="19">
        <f t="shared" si="2"/>
        <v>12</v>
      </c>
    </row>
    <row r="111" spans="1:12">
      <c r="A111" s="13">
        <v>107</v>
      </c>
      <c r="B111" s="14" t="s">
        <v>497</v>
      </c>
      <c r="C111" s="14" t="str">
        <f>'HP Repair Spares'!E15</f>
        <v>Cylinder Assembly Complete</v>
      </c>
      <c r="D111" s="16" t="str">
        <f t="shared" si="0"/>
        <v>Cylinder Assembly Complete (Code: GWDMR108)</v>
      </c>
      <c r="E111" s="13" t="s">
        <v>46</v>
      </c>
      <c r="F111" s="17" t="s">
        <v>47</v>
      </c>
      <c r="G111" s="17" t="s">
        <v>373</v>
      </c>
      <c r="H111" s="17" t="s">
        <v>374</v>
      </c>
      <c r="I111" s="13">
        <f>'HP Repair Spares'!F15</f>
        <v>3000</v>
      </c>
      <c r="J111" s="13">
        <f>'HP Repair Spares'!G15</f>
        <v>0</v>
      </c>
      <c r="K111" s="19">
        <f t="shared" si="1"/>
        <v>0</v>
      </c>
      <c r="L111" s="19">
        <f t="shared" si="2"/>
        <v>3000</v>
      </c>
    </row>
    <row r="112" spans="1:12">
      <c r="A112" s="13">
        <v>108</v>
      </c>
      <c r="B112" s="14" t="s">
        <v>498</v>
      </c>
      <c r="C112" s="14" t="str">
        <f>'HP Repair Spares'!E16</f>
        <v>C.I.Cylinder Body with liner</v>
      </c>
      <c r="D112" s="16" t="str">
        <f t="shared" si="0"/>
        <v>C.I.Cylinder Body with liner (Code: GWDMR109)</v>
      </c>
      <c r="E112" s="13" t="s">
        <v>46</v>
      </c>
      <c r="F112" s="17" t="s">
        <v>47</v>
      </c>
      <c r="G112" s="17" t="s">
        <v>373</v>
      </c>
      <c r="H112" s="17" t="s">
        <v>374</v>
      </c>
      <c r="I112" s="13">
        <f>'HP Repair Spares'!F16</f>
        <v>1080</v>
      </c>
      <c r="J112" s="13">
        <f>'HP Repair Spares'!G16</f>
        <v>0</v>
      </c>
      <c r="K112" s="19">
        <f t="shared" si="1"/>
        <v>0</v>
      </c>
      <c r="L112" s="19">
        <f t="shared" si="2"/>
        <v>1080</v>
      </c>
    </row>
    <row r="113" spans="1:12">
      <c r="A113" s="13">
        <v>109</v>
      </c>
      <c r="B113" s="14" t="s">
        <v>502</v>
      </c>
      <c r="C113" s="14" t="str">
        <f>'HP Repair Spares'!E17</f>
        <v>Plunger Rod S.S</v>
      </c>
      <c r="D113" s="16" t="str">
        <f t="shared" si="0"/>
        <v>Plunger Rod S.S (Code: GWDMR110)</v>
      </c>
      <c r="E113" s="13" t="s">
        <v>46</v>
      </c>
      <c r="F113" s="17" t="s">
        <v>47</v>
      </c>
      <c r="G113" s="17" t="s">
        <v>373</v>
      </c>
      <c r="H113" s="17" t="s">
        <v>374</v>
      </c>
      <c r="I113" s="13">
        <f>'HP Repair Spares'!F17</f>
        <v>216</v>
      </c>
      <c r="J113" s="13">
        <f>'HP Repair Spares'!G17</f>
        <v>0</v>
      </c>
      <c r="K113" s="19">
        <f t="shared" si="1"/>
        <v>0</v>
      </c>
      <c r="L113" s="19">
        <f t="shared" si="2"/>
        <v>216</v>
      </c>
    </row>
    <row r="114" spans="1:12">
      <c r="A114" s="13">
        <v>110</v>
      </c>
      <c r="B114" s="14" t="s">
        <v>507</v>
      </c>
      <c r="C114" s="14" t="str">
        <f>'HP Repair Spares'!E18</f>
        <v>Reducer cap</v>
      </c>
      <c r="D114" s="16" t="str">
        <f t="shared" si="0"/>
        <v>Reducer cap (Code: GWDMR111)</v>
      </c>
      <c r="E114" s="13" t="s">
        <v>46</v>
      </c>
      <c r="F114" s="17" t="s">
        <v>47</v>
      </c>
      <c r="G114" s="17" t="s">
        <v>373</v>
      </c>
      <c r="H114" s="17" t="s">
        <v>374</v>
      </c>
      <c r="I114" s="13">
        <f>'HP Repair Spares'!F18</f>
        <v>156</v>
      </c>
      <c r="J114" s="13">
        <f>'HP Repair Spares'!G18</f>
        <v>0</v>
      </c>
      <c r="K114" s="19">
        <f t="shared" si="1"/>
        <v>0</v>
      </c>
      <c r="L114" s="19">
        <f t="shared" si="2"/>
        <v>156</v>
      </c>
    </row>
    <row r="115" spans="1:12">
      <c r="A115" s="13">
        <v>111</v>
      </c>
      <c r="B115" s="14" t="s">
        <v>510</v>
      </c>
      <c r="C115" s="14" t="str">
        <f>'HP Repair Spares'!E19</f>
        <v>Plunger Yoke body</v>
      </c>
      <c r="D115" s="16" t="str">
        <f t="shared" si="0"/>
        <v>Plunger Yoke body (Code: GWDMR112)</v>
      </c>
      <c r="E115" s="13" t="s">
        <v>46</v>
      </c>
      <c r="F115" s="17" t="s">
        <v>47</v>
      </c>
      <c r="G115" s="17" t="s">
        <v>373</v>
      </c>
      <c r="H115" s="17" t="s">
        <v>374</v>
      </c>
      <c r="I115" s="13">
        <f>'HP Repair Spares'!F19</f>
        <v>288</v>
      </c>
      <c r="J115" s="13">
        <f>'HP Repair Spares'!G19</f>
        <v>0</v>
      </c>
      <c r="K115" s="19">
        <f t="shared" si="1"/>
        <v>0</v>
      </c>
      <c r="L115" s="19">
        <f t="shared" si="2"/>
        <v>288</v>
      </c>
    </row>
    <row r="116" spans="1:12">
      <c r="A116" s="13">
        <v>112</v>
      </c>
      <c r="B116" s="14" t="s">
        <v>513</v>
      </c>
      <c r="C116" s="14" t="str">
        <f>'HP Repair Spares'!E20</f>
        <v>Spacer</v>
      </c>
      <c r="D116" s="16" t="str">
        <f t="shared" si="0"/>
        <v>Spacer (Code: GWDMR113)</v>
      </c>
      <c r="E116" s="13" t="s">
        <v>46</v>
      </c>
      <c r="F116" s="17" t="s">
        <v>47</v>
      </c>
      <c r="G116" s="17" t="s">
        <v>373</v>
      </c>
      <c r="H116" s="17" t="s">
        <v>374</v>
      </c>
      <c r="I116" s="13">
        <f>'HP Repair Spares'!F20</f>
        <v>228</v>
      </c>
      <c r="J116" s="13">
        <f>'HP Repair Spares'!G20</f>
        <v>0</v>
      </c>
      <c r="K116" s="19">
        <f t="shared" si="1"/>
        <v>0</v>
      </c>
      <c r="L116" s="19">
        <f t="shared" si="2"/>
        <v>228</v>
      </c>
    </row>
    <row r="117" spans="1:12">
      <c r="A117" s="13">
        <v>113</v>
      </c>
      <c r="B117" s="14" t="s">
        <v>516</v>
      </c>
      <c r="C117" s="14" t="str">
        <f>'HP Repair Spares'!E21</f>
        <v>Follower</v>
      </c>
      <c r="D117" s="16" t="str">
        <f t="shared" si="0"/>
        <v>Follower (Code: GWDMR114)</v>
      </c>
      <c r="E117" s="13" t="s">
        <v>46</v>
      </c>
      <c r="F117" s="17" t="s">
        <v>47</v>
      </c>
      <c r="G117" s="17" t="s">
        <v>373</v>
      </c>
      <c r="H117" s="17" t="s">
        <v>374</v>
      </c>
      <c r="I117" s="13">
        <f>'HP Repair Spares'!F21</f>
        <v>252</v>
      </c>
      <c r="J117" s="13">
        <f>'HP Repair Spares'!G21</f>
        <v>0</v>
      </c>
      <c r="K117" s="19">
        <f t="shared" si="1"/>
        <v>0</v>
      </c>
      <c r="L117" s="19">
        <f t="shared" si="2"/>
        <v>252</v>
      </c>
    </row>
    <row r="118" spans="1:12">
      <c r="A118" s="13">
        <v>114</v>
      </c>
      <c r="B118" s="14" t="s">
        <v>517</v>
      </c>
      <c r="C118" s="14" t="str">
        <f>'HP Repair Spares'!E22</f>
        <v>Upper Valve ( one piece)</v>
      </c>
      <c r="D118" s="16" t="str">
        <f t="shared" si="0"/>
        <v>Upper Valve ( one piece) (Code: GWDMR115)</v>
      </c>
      <c r="E118" s="13" t="s">
        <v>46</v>
      </c>
      <c r="F118" s="17" t="s">
        <v>47</v>
      </c>
      <c r="G118" s="17" t="s">
        <v>373</v>
      </c>
      <c r="H118" s="17" t="s">
        <v>374</v>
      </c>
      <c r="I118" s="13">
        <f>'HP Repair Spares'!F22</f>
        <v>90</v>
      </c>
      <c r="J118" s="13">
        <f>'HP Repair Spares'!G22</f>
        <v>0</v>
      </c>
      <c r="K118" s="19">
        <f t="shared" si="1"/>
        <v>0</v>
      </c>
      <c r="L118" s="19">
        <f t="shared" si="2"/>
        <v>90</v>
      </c>
    </row>
    <row r="119" spans="1:12">
      <c r="A119" s="13">
        <v>115</v>
      </c>
      <c r="B119" s="14" t="s">
        <v>523</v>
      </c>
      <c r="C119" s="14" t="str">
        <f>'HP Repair Spares'!E23</f>
        <v>Check valve guide</v>
      </c>
      <c r="D119" s="16" t="str">
        <f t="shared" si="0"/>
        <v>Check valve guide (Code: GWDMR116)</v>
      </c>
      <c r="E119" s="13" t="s">
        <v>46</v>
      </c>
      <c r="F119" s="17" t="s">
        <v>47</v>
      </c>
      <c r="G119" s="17" t="s">
        <v>373</v>
      </c>
      <c r="H119" s="17" t="s">
        <v>374</v>
      </c>
      <c r="I119" s="13">
        <f>'HP Repair Spares'!F23</f>
        <v>120</v>
      </c>
      <c r="J119" s="13">
        <f>'HP Repair Spares'!G23</f>
        <v>0</v>
      </c>
      <c r="K119" s="19">
        <f t="shared" si="1"/>
        <v>0</v>
      </c>
      <c r="L119" s="19">
        <f t="shared" si="2"/>
        <v>120</v>
      </c>
    </row>
    <row r="120" spans="1:12">
      <c r="A120" s="13">
        <v>116</v>
      </c>
      <c r="B120" s="14" t="s">
        <v>526</v>
      </c>
      <c r="C120" s="14" t="str">
        <f>'HP Repair Spares'!E24</f>
        <v>Check valve seat</v>
      </c>
      <c r="D120" s="16" t="str">
        <f t="shared" si="0"/>
        <v>Check valve seat (Code: GWDMR117)</v>
      </c>
      <c r="E120" s="13" t="s">
        <v>46</v>
      </c>
      <c r="F120" s="17" t="s">
        <v>47</v>
      </c>
      <c r="G120" s="17" t="s">
        <v>373</v>
      </c>
      <c r="H120" s="17" t="s">
        <v>374</v>
      </c>
      <c r="I120" s="13">
        <f>'HP Repair Spares'!F24</f>
        <v>192</v>
      </c>
      <c r="J120" s="13">
        <f>'HP Repair Spares'!G24</f>
        <v>0</v>
      </c>
      <c r="K120" s="19">
        <f t="shared" si="1"/>
        <v>0</v>
      </c>
      <c r="L120" s="19">
        <f t="shared" si="2"/>
        <v>192</v>
      </c>
    </row>
    <row r="121" spans="1:12">
      <c r="A121" s="13">
        <v>117</v>
      </c>
      <c r="B121" s="14" t="s">
        <v>529</v>
      </c>
      <c r="C121" s="14" t="str">
        <f>'HP Repair Spares'!E25</f>
        <v>Rubber seat Retainer</v>
      </c>
      <c r="D121" s="16" t="str">
        <f t="shared" si="0"/>
        <v>Rubber seat Retainer (Code: GWDMR118)</v>
      </c>
      <c r="E121" s="13" t="s">
        <v>46</v>
      </c>
      <c r="F121" s="17" t="s">
        <v>47</v>
      </c>
      <c r="G121" s="17" t="s">
        <v>373</v>
      </c>
      <c r="H121" s="17" t="s">
        <v>374</v>
      </c>
      <c r="I121" s="13">
        <f>'HP Repair Spares'!F25</f>
        <v>96</v>
      </c>
      <c r="J121" s="13">
        <f>'HP Repair Spares'!G25</f>
        <v>0</v>
      </c>
      <c r="K121" s="19">
        <f t="shared" si="1"/>
        <v>0</v>
      </c>
      <c r="L121" s="19">
        <f t="shared" si="2"/>
        <v>96</v>
      </c>
    </row>
    <row r="122" spans="1:12">
      <c r="A122" s="13">
        <v>118</v>
      </c>
      <c r="B122" s="14" t="s">
        <v>531</v>
      </c>
      <c r="C122" s="14" t="str">
        <f>'HP Repair Spares'!E26</f>
        <v>Sealing ring (Nitrile Rubber)</v>
      </c>
      <c r="D122" s="16" t="str">
        <f t="shared" si="0"/>
        <v>Sealing ring (Nitrile Rubber) (Code: GWDMR119)</v>
      </c>
      <c r="E122" s="13" t="s">
        <v>46</v>
      </c>
      <c r="F122" s="17" t="s">
        <v>47</v>
      </c>
      <c r="G122" s="17" t="s">
        <v>373</v>
      </c>
      <c r="H122" s="17" t="s">
        <v>374</v>
      </c>
      <c r="I122" s="13">
        <f>'HP Repair Spares'!F26</f>
        <v>18</v>
      </c>
      <c r="J122" s="13">
        <f>'HP Repair Spares'!G26</f>
        <v>0</v>
      </c>
      <c r="K122" s="19">
        <f t="shared" si="1"/>
        <v>0</v>
      </c>
      <c r="L122" s="19">
        <f t="shared" si="2"/>
        <v>18</v>
      </c>
    </row>
    <row r="123" spans="1:12">
      <c r="A123" s="13">
        <v>119</v>
      </c>
      <c r="B123" s="14" t="s">
        <v>533</v>
      </c>
      <c r="C123" s="14" t="str">
        <f>'HP Repair Spares'!E27</f>
        <v>Rubber seating upper valve</v>
      </c>
      <c r="D123" s="16" t="str">
        <f t="shared" si="0"/>
        <v>Rubber seating upper valve (Code: GWDMR120)</v>
      </c>
      <c r="E123" s="13" t="s">
        <v>46</v>
      </c>
      <c r="F123" s="17" t="s">
        <v>47</v>
      </c>
      <c r="G123" s="17" t="s">
        <v>373</v>
      </c>
      <c r="H123" s="17" t="s">
        <v>374</v>
      </c>
      <c r="I123" s="13">
        <f>'HP Repair Spares'!F27</f>
        <v>12</v>
      </c>
      <c r="J123" s="13">
        <f>'HP Repair Spares'!G27</f>
        <v>0</v>
      </c>
      <c r="K123" s="19">
        <f t="shared" si="1"/>
        <v>0</v>
      </c>
      <c r="L123" s="19">
        <f t="shared" si="2"/>
        <v>12</v>
      </c>
    </row>
    <row r="124" spans="1:12">
      <c r="A124" s="13">
        <v>120</v>
      </c>
      <c r="B124" s="14" t="s">
        <v>538</v>
      </c>
      <c r="C124" s="14" t="str">
        <f>'HP Repair Spares'!E28</f>
        <v>Rubber seating check valve</v>
      </c>
      <c r="D124" s="16" t="str">
        <f t="shared" si="0"/>
        <v>Rubber seating check valve (Code: GWDMR121)</v>
      </c>
      <c r="E124" s="13" t="s">
        <v>46</v>
      </c>
      <c r="F124" s="17" t="s">
        <v>47</v>
      </c>
      <c r="G124" s="17" t="s">
        <v>373</v>
      </c>
      <c r="H124" s="17" t="s">
        <v>374</v>
      </c>
      <c r="I124" s="13">
        <f>'HP Repair Spares'!F28</f>
        <v>12</v>
      </c>
      <c r="J124" s="13">
        <f>'HP Repair Spares'!G28</f>
        <v>0</v>
      </c>
      <c r="K124" s="19">
        <f t="shared" si="1"/>
        <v>0</v>
      </c>
      <c r="L124" s="19">
        <f t="shared" si="2"/>
        <v>12</v>
      </c>
    </row>
    <row r="125" spans="1:12">
      <c r="A125" s="13">
        <v>121</v>
      </c>
      <c r="B125" s="14" t="s">
        <v>540</v>
      </c>
      <c r="C125" s="14" t="str">
        <f>'HP Repair Spares'!E29</f>
        <v>Pump Bucket (Nitrile Rubber)</v>
      </c>
      <c r="D125" s="16" t="str">
        <f t="shared" si="0"/>
        <v>Pump Bucket (Nitrile Rubber) (Code: GWDMR122)</v>
      </c>
      <c r="E125" s="13" t="s">
        <v>46</v>
      </c>
      <c r="F125" s="17" t="s">
        <v>47</v>
      </c>
      <c r="G125" s="17" t="s">
        <v>373</v>
      </c>
      <c r="H125" s="17" t="s">
        <v>374</v>
      </c>
      <c r="I125" s="13">
        <f>'HP Repair Spares'!F29</f>
        <v>30</v>
      </c>
      <c r="J125" s="13">
        <f>'HP Repair Spares'!G29</f>
        <v>0</v>
      </c>
      <c r="K125" s="19">
        <f t="shared" si="1"/>
        <v>0</v>
      </c>
      <c r="L125" s="19">
        <f t="shared" si="2"/>
        <v>30</v>
      </c>
    </row>
    <row r="126" spans="1:12">
      <c r="A126" s="13">
        <v>122</v>
      </c>
      <c r="B126" s="14" t="s">
        <v>546</v>
      </c>
      <c r="C126" s="14" t="str">
        <f>'HP Repair Spares'!E30</f>
        <v>Upper valve Assembly comprising of SS Plunger rod, Plunger Yoke body, 2 spacer &amp; 2 bucket washers</v>
      </c>
      <c r="D126" s="16" t="str">
        <f t="shared" si="0"/>
        <v>Upper valve Assembly comprising of SS Plunger rod, Plunger Yoke body, 2 spacer &amp; 2 bucket washers (Code: GWDMR123)</v>
      </c>
      <c r="E126" s="13" t="s">
        <v>46</v>
      </c>
      <c r="F126" s="17" t="s">
        <v>47</v>
      </c>
      <c r="G126" s="17" t="s">
        <v>373</v>
      </c>
      <c r="H126" s="17" t="s">
        <v>374</v>
      </c>
      <c r="I126" s="13">
        <f>'HP Repair Spares'!F30</f>
        <v>1200</v>
      </c>
      <c r="J126" s="13">
        <f>'HP Repair Spares'!G30</f>
        <v>0</v>
      </c>
      <c r="K126" s="19">
        <f t="shared" si="1"/>
        <v>0</v>
      </c>
      <c r="L126" s="19">
        <f t="shared" si="2"/>
        <v>1200</v>
      </c>
    </row>
    <row r="127" spans="1:12">
      <c r="A127" s="13">
        <v>123</v>
      </c>
      <c r="B127" s="14" t="s">
        <v>549</v>
      </c>
      <c r="C127" s="14" t="str">
        <f>'HP Repair Spares'!E31</f>
        <v>Same as above but without plunger rod</v>
      </c>
      <c r="D127" s="16" t="str">
        <f t="shared" si="0"/>
        <v>Same as above but without plunger rod (Code: GWDMR124)</v>
      </c>
      <c r="E127" s="13" t="s">
        <v>46</v>
      </c>
      <c r="F127" s="17" t="s">
        <v>47</v>
      </c>
      <c r="G127" s="17" t="s">
        <v>373</v>
      </c>
      <c r="H127" s="17" t="s">
        <v>374</v>
      </c>
      <c r="I127" s="13">
        <f>'HP Repair Spares'!F31</f>
        <v>1080</v>
      </c>
      <c r="J127" s="13">
        <f>'HP Repair Spares'!G31</f>
        <v>0</v>
      </c>
      <c r="K127" s="19">
        <f t="shared" si="1"/>
        <v>0</v>
      </c>
      <c r="L127" s="19">
        <f t="shared" si="2"/>
        <v>1080</v>
      </c>
    </row>
    <row r="128" spans="1:12">
      <c r="A128" s="13">
        <v>124</v>
      </c>
      <c r="B128" s="14" t="s">
        <v>551</v>
      </c>
      <c r="C128" s="14" t="str">
        <f>'HP Repair Spares'!E32</f>
        <v>Lower Valve Assembly comprising of Rubber Seat Retainer, Check valve guide and rubber seating</v>
      </c>
      <c r="D128" s="16" t="str">
        <f t="shared" si="0"/>
        <v>Lower Valve Assembly comprising of Rubber Seat Retainer, Check valve guide and rubber seating (Code: GWDMR125)</v>
      </c>
      <c r="E128" s="13" t="s">
        <v>46</v>
      </c>
      <c r="F128" s="17" t="s">
        <v>47</v>
      </c>
      <c r="G128" s="17" t="s">
        <v>373</v>
      </c>
      <c r="H128" s="17" t="s">
        <v>374</v>
      </c>
      <c r="I128" s="13">
        <f>'HP Repair Spares'!F32</f>
        <v>540</v>
      </c>
      <c r="J128" s="13">
        <f>'HP Repair Spares'!G32</f>
        <v>0</v>
      </c>
      <c r="K128" s="19">
        <f t="shared" si="1"/>
        <v>0</v>
      </c>
      <c r="L128" s="19">
        <f t="shared" si="2"/>
        <v>540</v>
      </c>
    </row>
    <row r="129" spans="1:12">
      <c r="A129" s="13">
        <v>125</v>
      </c>
      <c r="B129" s="14" t="s">
        <v>555</v>
      </c>
      <c r="C129" s="14" t="str">
        <f>'HP Repair Spares'!E33</f>
        <v>Water Tank</v>
      </c>
      <c r="D129" s="16" t="str">
        <f t="shared" si="0"/>
        <v>Water Tank (Code: GWDMR126)</v>
      </c>
      <c r="E129" s="13" t="s">
        <v>46</v>
      </c>
      <c r="F129" s="17" t="s">
        <v>47</v>
      </c>
      <c r="G129" s="17" t="s">
        <v>373</v>
      </c>
      <c r="H129" s="17" t="s">
        <v>374</v>
      </c>
      <c r="I129" s="13">
        <f>'HP Repair Spares'!F33</f>
        <v>1800</v>
      </c>
      <c r="J129" s="13">
        <f>'HP Repair Spares'!G33</f>
        <v>0</v>
      </c>
      <c r="K129" s="19">
        <f t="shared" si="1"/>
        <v>0</v>
      </c>
      <c r="L129" s="19">
        <f t="shared" si="2"/>
        <v>1800</v>
      </c>
    </row>
    <row r="130" spans="1:12">
      <c r="A130" s="13">
        <v>126</v>
      </c>
      <c r="B130" s="14" t="s">
        <v>557</v>
      </c>
      <c r="C130" s="14" t="str">
        <f>'HP Repair Spares'!E34</f>
        <v>Pipe Sockets</v>
      </c>
      <c r="D130" s="16" t="str">
        <f t="shared" si="0"/>
        <v>Pipe Sockets (Code: GWDMR127)</v>
      </c>
      <c r="E130" s="13" t="s">
        <v>46</v>
      </c>
      <c r="F130" s="17" t="s">
        <v>47</v>
      </c>
      <c r="G130" s="17" t="s">
        <v>373</v>
      </c>
      <c r="H130" s="17" t="s">
        <v>374</v>
      </c>
      <c r="I130" s="13">
        <f>'HP Repair Spares'!F34</f>
        <v>120</v>
      </c>
      <c r="J130" s="13">
        <f>'HP Repair Spares'!G34</f>
        <v>0</v>
      </c>
      <c r="K130" s="19">
        <f t="shared" si="1"/>
        <v>0</v>
      </c>
      <c r="L130" s="19">
        <f t="shared" si="2"/>
        <v>120</v>
      </c>
    </row>
    <row r="131" spans="1:12">
      <c r="A131" s="13">
        <v>127</v>
      </c>
      <c r="B131" s="14" t="s">
        <v>560</v>
      </c>
      <c r="C131" s="14" t="str">
        <f>'HP Repair Spares'!E35</f>
        <v>Pedestal (Ordinary)</v>
      </c>
      <c r="D131" s="16" t="str">
        <f t="shared" si="0"/>
        <v>Pedestal (Ordinary) (Code: GWDMR128)</v>
      </c>
      <c r="E131" s="13" t="s">
        <v>46</v>
      </c>
      <c r="F131" s="17" t="s">
        <v>47</v>
      </c>
      <c r="G131" s="17" t="s">
        <v>373</v>
      </c>
      <c r="H131" s="17" t="s">
        <v>374</v>
      </c>
      <c r="I131" s="13">
        <f>'HP Repair Spares'!F35</f>
        <v>3120</v>
      </c>
      <c r="J131" s="13">
        <f>'HP Repair Spares'!G35</f>
        <v>0</v>
      </c>
      <c r="K131" s="19">
        <f t="shared" si="1"/>
        <v>0</v>
      </c>
      <c r="L131" s="19">
        <f t="shared" si="2"/>
        <v>3120</v>
      </c>
    </row>
    <row r="132" spans="1:12">
      <c r="A132" s="13">
        <v>128</v>
      </c>
      <c r="B132" s="14" t="s">
        <v>561</v>
      </c>
      <c r="C132" s="14" t="str">
        <f>'HP Repair Spares'!E36</f>
        <v>12 mm dia x 3 m electro galvanized</v>
      </c>
      <c r="D132" s="16" t="str">
        <f t="shared" si="0"/>
        <v>12 mm dia x 3 m electro galvanized (Code: GWDMR129)</v>
      </c>
      <c r="E132" s="13" t="s">
        <v>46</v>
      </c>
      <c r="F132" s="17" t="s">
        <v>47</v>
      </c>
      <c r="G132" s="17" t="s">
        <v>373</v>
      </c>
      <c r="H132" s="17" t="s">
        <v>374</v>
      </c>
      <c r="I132" s="13">
        <f>'HP Repair Spares'!F36</f>
        <v>336</v>
      </c>
      <c r="J132" s="13">
        <f>'HP Repair Spares'!G36</f>
        <v>0</v>
      </c>
      <c r="K132" s="19">
        <f t="shared" si="1"/>
        <v>0</v>
      </c>
      <c r="L132" s="19">
        <f t="shared" si="2"/>
        <v>336</v>
      </c>
    </row>
    <row r="133" spans="1:12">
      <c r="A133" s="13">
        <v>129</v>
      </c>
      <c r="B133" s="14" t="s">
        <v>563</v>
      </c>
      <c r="C133" s="14" t="str">
        <f>'HP Repair Spares'!E37</f>
        <v>Hex. Coupler 12 x 50 mm</v>
      </c>
      <c r="D133" s="16" t="str">
        <f t="shared" si="0"/>
        <v>Hex. Coupler 12 x 50 mm (Code: GWDMR130)</v>
      </c>
      <c r="E133" s="13" t="s">
        <v>46</v>
      </c>
      <c r="F133" s="17" t="s">
        <v>47</v>
      </c>
      <c r="G133" s="17" t="s">
        <v>373</v>
      </c>
      <c r="H133" s="17" t="s">
        <v>374</v>
      </c>
      <c r="I133" s="13">
        <f>'HP Repair Spares'!F37</f>
        <v>30</v>
      </c>
      <c r="J133" s="13">
        <f>'HP Repair Spares'!G37</f>
        <v>0</v>
      </c>
      <c r="K133" s="19">
        <f t="shared" si="1"/>
        <v>0</v>
      </c>
      <c r="L133" s="19">
        <f t="shared" si="2"/>
        <v>30</v>
      </c>
    </row>
    <row r="134" spans="1:12">
      <c r="A134" s="13">
        <v>130</v>
      </c>
      <c r="B134" s="14" t="s">
        <v>566</v>
      </c>
      <c r="C134" s="14" t="str">
        <f>'HP Repair Spares'!E38</f>
        <v>Hex. Coupler 12 x 20 mm</v>
      </c>
      <c r="D134" s="16" t="str">
        <f t="shared" si="0"/>
        <v>Hex. Coupler 12 x 20 mm (Code: GWDMR131)</v>
      </c>
      <c r="E134" s="13" t="s">
        <v>46</v>
      </c>
      <c r="F134" s="17" t="s">
        <v>47</v>
      </c>
      <c r="G134" s="17" t="s">
        <v>373</v>
      </c>
      <c r="H134" s="17" t="s">
        <v>374</v>
      </c>
      <c r="I134" s="13">
        <f>'HP Repair Spares'!F38</f>
        <v>24</v>
      </c>
      <c r="J134" s="13">
        <f>'HP Repair Spares'!G38</f>
        <v>0</v>
      </c>
      <c r="K134" s="19">
        <f t="shared" si="1"/>
        <v>0</v>
      </c>
      <c r="L134" s="19">
        <f t="shared" si="2"/>
        <v>24</v>
      </c>
    </row>
    <row r="135" spans="1:12">
      <c r="A135" s="13">
        <v>131</v>
      </c>
      <c r="B135" s="14" t="s">
        <v>570</v>
      </c>
      <c r="C135" s="14" t="str">
        <f>'HP Repair Spares'!E39</f>
        <v>GI Riser pipe (B class) 3 m long 32mm bore size both end threaded with one end socket (Code: 1548 - Including Water Charge and CPOH)</v>
      </c>
      <c r="D135" s="16" t="str">
        <f t="shared" si="0"/>
        <v>GI Riser pipe (B class) 3 m long 32mm bore size both end threaded with one end socket (Code: 1548 - Including Water Charge and CPOH) (Code: GWDMR132)</v>
      </c>
      <c r="E135" s="13" t="s">
        <v>46</v>
      </c>
      <c r="F135" s="17" t="s">
        <v>47</v>
      </c>
      <c r="G135" s="17" t="s">
        <v>373</v>
      </c>
      <c r="H135" s="17" t="s">
        <v>374</v>
      </c>
      <c r="I135" s="13">
        <f>'HP Repair Spares'!F39</f>
        <v>0</v>
      </c>
      <c r="J135" s="13">
        <f>'HP Repair Spares'!G39</f>
        <v>784.02</v>
      </c>
      <c r="K135" s="19">
        <f t="shared" si="1"/>
        <v>0</v>
      </c>
      <c r="L135" s="19">
        <f t="shared" si="2"/>
        <v>784.02</v>
      </c>
    </row>
    <row r="136" spans="1:12">
      <c r="A136" s="13">
        <v>132</v>
      </c>
      <c r="B136" s="14" t="s">
        <v>574</v>
      </c>
      <c r="C136" s="14" t="str">
        <f>'HP Repair Spares'!E40</f>
        <v>Cylinder Extra deep well hand pump</v>
      </c>
      <c r="D136" s="16" t="str">
        <f t="shared" si="0"/>
        <v>Cylinder Extra deep well hand pump (Code: GWDMR133)</v>
      </c>
      <c r="E136" s="13" t="s">
        <v>46</v>
      </c>
      <c r="F136" s="17" t="s">
        <v>47</v>
      </c>
      <c r="G136" s="17" t="s">
        <v>373</v>
      </c>
      <c r="H136" s="17" t="s">
        <v>374</v>
      </c>
      <c r="I136" s="13">
        <f>'HP Repair Spares'!F40</f>
        <v>4320</v>
      </c>
      <c r="J136" s="13">
        <f>'HP Repair Spares'!G40</f>
        <v>0</v>
      </c>
      <c r="K136" s="19">
        <f t="shared" si="1"/>
        <v>0</v>
      </c>
      <c r="L136" s="19">
        <f t="shared" si="2"/>
        <v>4320</v>
      </c>
    </row>
    <row r="137" spans="1:12">
      <c r="A137" s="13">
        <v>133</v>
      </c>
      <c r="B137" s="14" t="s">
        <v>576</v>
      </c>
      <c r="C137" s="14" t="str">
        <f>'HP Repair Spares'!E41</f>
        <v>Head Assembly for extra deep well pump with T</v>
      </c>
      <c r="D137" s="16" t="str">
        <f t="shared" si="0"/>
        <v>Head Assembly for extra deep well pump with T (Code: GWDMR134)</v>
      </c>
      <c r="E137" s="13" t="s">
        <v>46</v>
      </c>
      <c r="F137" s="17" t="s">
        <v>47</v>
      </c>
      <c r="G137" s="17" t="s">
        <v>373</v>
      </c>
      <c r="H137" s="17" t="s">
        <v>374</v>
      </c>
      <c r="I137" s="13">
        <f>'HP Repair Spares'!F41</f>
        <v>7200</v>
      </c>
      <c r="J137" s="13">
        <f>'HP Repair Spares'!G41</f>
        <v>0</v>
      </c>
      <c r="K137" s="19">
        <f t="shared" si="1"/>
        <v>0</v>
      </c>
      <c r="L137" s="19">
        <f t="shared" si="2"/>
        <v>7200</v>
      </c>
    </row>
    <row r="138" spans="1:12">
      <c r="A138" s="13">
        <v>134</v>
      </c>
      <c r="B138" s="14" t="s">
        <v>580</v>
      </c>
      <c r="C138" s="14" t="str">
        <f>'HP Repair Spares'!E42</f>
        <v xml:space="preserve"> ISI marked India Mark II (Standard) Deep well hand pumps confirming to IS: 15500 (Part II) 2004 complete with 10 Nos. GI pipe (B class) 3m long  32mm bore both end threaded with one end socket and 10 Nos connecting rods</v>
      </c>
      <c r="D138" s="16" t="str">
        <f t="shared" si="0"/>
        <v xml:space="preserve"> ISI marked India Mark II (Standard) Deep well hand pumps confirming to IS: 15500 (Part II) 2004 complete with 10 Nos. GI pipe (B class) 3m long  32mm bore both end threaded with one end socket and 10 Nos connecting rods (Code: GWDMR135)</v>
      </c>
      <c r="E138" s="13" t="s">
        <v>46</v>
      </c>
      <c r="F138" s="17" t="s">
        <v>47</v>
      </c>
      <c r="G138" s="17" t="s">
        <v>373</v>
      </c>
      <c r="H138" s="17" t="s">
        <v>374</v>
      </c>
      <c r="I138" s="13">
        <f>'HP Repair Spares'!F42</f>
        <v>31000</v>
      </c>
      <c r="J138" s="13">
        <f>'HP Repair Spares'!G42</f>
        <v>0</v>
      </c>
      <c r="K138" s="19">
        <f t="shared" si="1"/>
        <v>0</v>
      </c>
      <c r="L138" s="19">
        <f t="shared" si="2"/>
        <v>31000</v>
      </c>
    </row>
    <row r="139" spans="1:12">
      <c r="A139" s="13">
        <v>135</v>
      </c>
      <c r="B139" s="14" t="s">
        <v>583</v>
      </c>
      <c r="C139" s="14" t="str">
        <f>'HP Repair Spares'!E43</f>
        <v xml:space="preserve"> ISI marked India Mark II (Standard) Extra Deep well hand pumps confirming to IS: 15500 (Part II) 2004 complete with 20 Nos. GI pipe (B class) 3m long  32mm bore both end threaded with one end socket and 20 Nos connecting rods</v>
      </c>
      <c r="D139" s="16" t="str">
        <f t="shared" si="0"/>
        <v xml:space="preserve"> ISI marked India Mark II (Standard) Extra Deep well hand pumps confirming to IS: 15500 (Part II) 2004 complete with 20 Nos. GI pipe (B class) 3m long  32mm bore both end threaded with one end socket and 20 Nos connecting rods (Code: GWDMR136)</v>
      </c>
      <c r="E139" s="13" t="s">
        <v>46</v>
      </c>
      <c r="F139" s="17" t="s">
        <v>47</v>
      </c>
      <c r="G139" s="17" t="s">
        <v>373</v>
      </c>
      <c r="H139" s="17" t="s">
        <v>374</v>
      </c>
      <c r="I139" s="13">
        <f>'HP Repair Spares'!F43</f>
        <v>49000</v>
      </c>
      <c r="J139" s="13">
        <f>'HP Repair Spares'!G43</f>
        <v>0</v>
      </c>
      <c r="K139" s="19">
        <f t="shared" si="1"/>
        <v>0</v>
      </c>
      <c r="L139" s="19">
        <f t="shared" si="2"/>
        <v>49000</v>
      </c>
    </row>
    <row r="140" spans="1:12">
      <c r="A140" s="13">
        <v>136</v>
      </c>
      <c r="B140" s="14" t="s">
        <v>584</v>
      </c>
      <c r="C140" s="14" t="s">
        <v>585</v>
      </c>
      <c r="D140" s="16" t="str">
        <f t="shared" si="0"/>
        <v>Supply of Single Phase Submersible Pump 1 HP, Discharge 2500-6000 lph, Head 49-17m without Panel Board (Code: GWDMR137)</v>
      </c>
      <c r="E140" s="13" t="s">
        <v>46</v>
      </c>
      <c r="F140" s="17" t="s">
        <v>47</v>
      </c>
      <c r="G140" s="17" t="s">
        <v>52</v>
      </c>
      <c r="H140" s="17" t="s">
        <v>586</v>
      </c>
      <c r="I140" s="50">
        <v>21162.53</v>
      </c>
      <c r="J140" s="13">
        <v>0</v>
      </c>
      <c r="K140" s="19">
        <f t="shared" si="1"/>
        <v>0</v>
      </c>
      <c r="L140" s="19">
        <f t="shared" si="2"/>
        <v>21162.53</v>
      </c>
    </row>
    <row r="141" spans="1:12">
      <c r="A141" s="13">
        <v>137</v>
      </c>
      <c r="B141" s="14" t="s">
        <v>589</v>
      </c>
      <c r="C141" s="14" t="s">
        <v>590</v>
      </c>
      <c r="D141" s="16" t="str">
        <f t="shared" si="0"/>
        <v>Supply of Single Phase Submersible Pump 1 HP, Discharge 2500-6000 lph, Head 57-14m without Panel Board (Code: GWDMR138)</v>
      </c>
      <c r="E141" s="13" t="s">
        <v>46</v>
      </c>
      <c r="F141" s="17" t="s">
        <v>47</v>
      </c>
      <c r="G141" s="17" t="s">
        <v>52</v>
      </c>
      <c r="H141" s="17" t="s">
        <v>586</v>
      </c>
      <c r="I141" s="17">
        <v>22126.575000000001</v>
      </c>
      <c r="J141" s="13">
        <v>0</v>
      </c>
      <c r="K141" s="19">
        <f t="shared" si="1"/>
        <v>0</v>
      </c>
      <c r="L141" s="19">
        <f t="shared" si="2"/>
        <v>22126.575000000001</v>
      </c>
    </row>
    <row r="142" spans="1:12">
      <c r="A142" s="13">
        <v>138</v>
      </c>
      <c r="B142" s="14" t="s">
        <v>591</v>
      </c>
      <c r="C142" s="14" t="s">
        <v>592</v>
      </c>
      <c r="D142" s="16" t="str">
        <f t="shared" si="0"/>
        <v>Supply of Single Phase Submersible Pump 1 HP, Discharge 1800-4320 lph, Head 65-39m without Panel Board (Code: GWDMR139)</v>
      </c>
      <c r="E142" s="13" t="s">
        <v>46</v>
      </c>
      <c r="F142" s="17" t="s">
        <v>47</v>
      </c>
      <c r="G142" s="17" t="s">
        <v>52</v>
      </c>
      <c r="H142" s="17" t="s">
        <v>586</v>
      </c>
      <c r="I142" s="50">
        <v>21047.772000000001</v>
      </c>
      <c r="J142" s="13">
        <v>0</v>
      </c>
      <c r="K142" s="19">
        <f t="shared" si="1"/>
        <v>0</v>
      </c>
      <c r="L142" s="19">
        <f t="shared" si="2"/>
        <v>21047.772000000001</v>
      </c>
    </row>
    <row r="143" spans="1:12">
      <c r="A143" s="13">
        <v>139</v>
      </c>
      <c r="B143" s="14" t="s">
        <v>594</v>
      </c>
      <c r="C143" s="14" t="s">
        <v>595</v>
      </c>
      <c r="D143" s="16" t="str">
        <f t="shared" si="0"/>
        <v>Supply of Single Phase Submersible Pump 1 HP, Discharge 2500-6000 lph, Head 69-17m without Panel Board (Code: GWDMR140)</v>
      </c>
      <c r="E143" s="13" t="s">
        <v>46</v>
      </c>
      <c r="F143" s="17" t="s">
        <v>47</v>
      </c>
      <c r="G143" s="17" t="s">
        <v>52</v>
      </c>
      <c r="H143" s="17" t="s">
        <v>586</v>
      </c>
      <c r="I143" s="17">
        <v>24391.499999999996</v>
      </c>
      <c r="J143" s="13">
        <v>0</v>
      </c>
      <c r="K143" s="19">
        <f t="shared" si="1"/>
        <v>0</v>
      </c>
      <c r="L143" s="19">
        <f t="shared" si="2"/>
        <v>24391.499999999996</v>
      </c>
    </row>
    <row r="144" spans="1:12">
      <c r="A144" s="13">
        <v>140</v>
      </c>
      <c r="B144" s="14" t="s">
        <v>596</v>
      </c>
      <c r="C144" s="14" t="s">
        <v>597</v>
      </c>
      <c r="D144" s="16" t="str">
        <f t="shared" si="0"/>
        <v>Supply of Single Phase Submersible Pump 1 HP, Discharge 1080-2880 lph, Head 91-50m without Panel Board (Code: GWDMR141)</v>
      </c>
      <c r="E144" s="13" t="s">
        <v>46</v>
      </c>
      <c r="F144" s="17" t="s">
        <v>47</v>
      </c>
      <c r="G144" s="17" t="s">
        <v>52</v>
      </c>
      <c r="H144" s="17" t="s">
        <v>586</v>
      </c>
      <c r="I144" s="50">
        <v>22498.716</v>
      </c>
      <c r="J144" s="13">
        <v>0</v>
      </c>
      <c r="K144" s="19">
        <f t="shared" si="1"/>
        <v>0</v>
      </c>
      <c r="L144" s="19">
        <f t="shared" si="2"/>
        <v>22498.716</v>
      </c>
    </row>
    <row r="145" spans="1:12">
      <c r="A145" s="13">
        <v>141</v>
      </c>
      <c r="B145" s="14" t="s">
        <v>599</v>
      </c>
      <c r="C145" s="14" t="s">
        <v>600</v>
      </c>
      <c r="D145" s="16" t="str">
        <f t="shared" si="0"/>
        <v>Supply of Single Phase Submersible Pump 1.5 HP, Discharge 3000-7500 lph, Head 65-32m without Panel Board (Code: GWDMR142)</v>
      </c>
      <c r="E145" s="13" t="s">
        <v>46</v>
      </c>
      <c r="F145" s="17" t="s">
        <v>47</v>
      </c>
      <c r="G145" s="17" t="s">
        <v>52</v>
      </c>
      <c r="H145" s="17" t="s">
        <v>586</v>
      </c>
      <c r="I145" s="17">
        <v>24937.404999999995</v>
      </c>
      <c r="J145" s="13">
        <v>0</v>
      </c>
      <c r="K145" s="19">
        <f t="shared" si="1"/>
        <v>0</v>
      </c>
      <c r="L145" s="19">
        <f t="shared" si="2"/>
        <v>24937.404999999995</v>
      </c>
    </row>
    <row r="146" spans="1:12">
      <c r="A146" s="13">
        <v>142</v>
      </c>
      <c r="B146" s="14" t="s">
        <v>602</v>
      </c>
      <c r="C146" s="14" t="s">
        <v>603</v>
      </c>
      <c r="D146" s="16" t="str">
        <f t="shared" si="0"/>
        <v>Supply of Single Phase Submersible Pump 1.5 HP, Discharge 1800-4320 lph, Head 83-52m without Panel Board (Code: GWDMR143)</v>
      </c>
      <c r="E146" s="13" t="s">
        <v>46</v>
      </c>
      <c r="F146" s="17" t="s">
        <v>47</v>
      </c>
      <c r="G146" s="17" t="s">
        <v>52</v>
      </c>
      <c r="H146" s="17" t="s">
        <v>586</v>
      </c>
      <c r="I146" s="50">
        <v>23219.315999999999</v>
      </c>
      <c r="J146" s="13">
        <v>0</v>
      </c>
      <c r="K146" s="19">
        <f t="shared" si="1"/>
        <v>0</v>
      </c>
      <c r="L146" s="19">
        <f t="shared" si="2"/>
        <v>23219.315999999999</v>
      </c>
    </row>
    <row r="147" spans="1:12">
      <c r="A147" s="13">
        <v>143</v>
      </c>
      <c r="B147" s="14" t="s">
        <v>605</v>
      </c>
      <c r="C147" s="14" t="s">
        <v>606</v>
      </c>
      <c r="D147" s="16" t="str">
        <f t="shared" si="0"/>
        <v>Supply of Single Phase Submersible Pump 1.5 HP, Discharge 1800-4320 lph, Head 105-57m without Panel Board (Code: GWDMR144)</v>
      </c>
      <c r="E147" s="13" t="s">
        <v>46</v>
      </c>
      <c r="F147" s="17" t="s">
        <v>47</v>
      </c>
      <c r="G147" s="17" t="s">
        <v>52</v>
      </c>
      <c r="H147" s="17" t="s">
        <v>586</v>
      </c>
      <c r="I147" s="50">
        <v>24493.248</v>
      </c>
      <c r="J147" s="13">
        <v>0</v>
      </c>
      <c r="K147" s="19">
        <f t="shared" si="1"/>
        <v>0</v>
      </c>
      <c r="L147" s="19">
        <f t="shared" si="2"/>
        <v>24493.248</v>
      </c>
    </row>
    <row r="148" spans="1:12">
      <c r="A148" s="13">
        <v>144</v>
      </c>
      <c r="B148" s="14" t="s">
        <v>609</v>
      </c>
      <c r="C148" s="14" t="s">
        <v>610</v>
      </c>
      <c r="D148" s="16" t="str">
        <f t="shared" si="0"/>
        <v>Supply of Single Phase Submersible Pump 1.5 HP, Discharge 500-3000 lph, Head 126-43m without Panel Board (Code: GWDMR145)</v>
      </c>
      <c r="E148" s="13" t="s">
        <v>46</v>
      </c>
      <c r="F148" s="17" t="s">
        <v>47</v>
      </c>
      <c r="G148" s="17" t="s">
        <v>52</v>
      </c>
      <c r="H148" s="17" t="s">
        <v>586</v>
      </c>
      <c r="I148" s="17">
        <v>24159.199999999997</v>
      </c>
      <c r="J148" s="13">
        <v>0</v>
      </c>
      <c r="K148" s="19">
        <f t="shared" si="1"/>
        <v>0</v>
      </c>
      <c r="L148" s="19">
        <f t="shared" si="2"/>
        <v>24159.199999999997</v>
      </c>
    </row>
    <row r="149" spans="1:12">
      <c r="A149" s="13">
        <v>145</v>
      </c>
      <c r="B149" s="14" t="s">
        <v>612</v>
      </c>
      <c r="C149" s="14" t="s">
        <v>613</v>
      </c>
      <c r="D149" s="16" t="str">
        <f t="shared" si="0"/>
        <v>Supply of Single Phase Submersible Pump 1.5 HP, Discharge 1080-2880 lph, Head 137-75m without Panel Board (Code: GWDMR146)</v>
      </c>
      <c r="E149" s="13" t="s">
        <v>46</v>
      </c>
      <c r="F149" s="17" t="s">
        <v>47</v>
      </c>
      <c r="G149" s="17" t="s">
        <v>52</v>
      </c>
      <c r="H149" s="17" t="s">
        <v>586</v>
      </c>
      <c r="I149" s="17">
        <v>26133.749999999996</v>
      </c>
      <c r="J149" s="13">
        <v>0</v>
      </c>
      <c r="K149" s="19">
        <f t="shared" si="1"/>
        <v>0</v>
      </c>
      <c r="L149" s="19">
        <f t="shared" si="2"/>
        <v>26133.749999999996</v>
      </c>
    </row>
    <row r="150" spans="1:12">
      <c r="A150" s="13">
        <v>146</v>
      </c>
      <c r="B150" s="14" t="s">
        <v>616</v>
      </c>
      <c r="C150" s="14" t="s">
        <v>617</v>
      </c>
      <c r="D150" s="16" t="str">
        <f t="shared" si="0"/>
        <v>Supply of Single Phase Submersible Pump 1.5 HP, Discharge 500-3000 lph, Head 148-50m without Panel Board (Code: GWDMR147)</v>
      </c>
      <c r="E150" s="13" t="s">
        <v>46</v>
      </c>
      <c r="F150" s="17" t="s">
        <v>47</v>
      </c>
      <c r="G150" s="17" t="s">
        <v>52</v>
      </c>
      <c r="H150" s="17" t="s">
        <v>586</v>
      </c>
      <c r="I150" s="17">
        <v>27980.534999999996</v>
      </c>
      <c r="J150" s="13">
        <v>0</v>
      </c>
      <c r="K150" s="19">
        <f t="shared" si="1"/>
        <v>0</v>
      </c>
      <c r="L150" s="19">
        <f t="shared" si="2"/>
        <v>27980.534999999996</v>
      </c>
    </row>
    <row r="151" spans="1:12">
      <c r="A151" s="13">
        <v>147</v>
      </c>
      <c r="B151" s="14" t="s">
        <v>619</v>
      </c>
      <c r="C151" s="14" t="s">
        <v>620</v>
      </c>
      <c r="D151" s="16" t="str">
        <f t="shared" si="0"/>
        <v>Supply of Single Phase Submersible Pump 1.5 HP, Discharge 300-2100 lph, Head 180-51m without Panel Board (Code: GWDMR148)</v>
      </c>
      <c r="E151" s="13" t="s">
        <v>46</v>
      </c>
      <c r="F151" s="17" t="s">
        <v>47</v>
      </c>
      <c r="G151" s="17" t="s">
        <v>52</v>
      </c>
      <c r="H151" s="17" t="s">
        <v>586</v>
      </c>
      <c r="I151" s="17">
        <v>30082.849999999995</v>
      </c>
      <c r="J151" s="13">
        <v>0</v>
      </c>
      <c r="K151" s="19">
        <f t="shared" si="1"/>
        <v>0</v>
      </c>
      <c r="L151" s="19">
        <f t="shared" si="2"/>
        <v>30082.849999999995</v>
      </c>
    </row>
    <row r="152" spans="1:12">
      <c r="A152" s="13">
        <v>148</v>
      </c>
      <c r="B152" s="14" t="s">
        <v>621</v>
      </c>
      <c r="C152" s="14" t="s">
        <v>622</v>
      </c>
      <c r="D152" s="16" t="str">
        <f t="shared" si="0"/>
        <v>Supply of Single Phase Submersible Pump 2 HP, Discharge 5200-10600 lph, Head 57-18m without Panel Board (Code: GWDMR149)</v>
      </c>
      <c r="E152" s="13" t="s">
        <v>46</v>
      </c>
      <c r="F152" s="17" t="s">
        <v>47</v>
      </c>
      <c r="G152" s="17" t="s">
        <v>52</v>
      </c>
      <c r="H152" s="17" t="s">
        <v>586</v>
      </c>
      <c r="I152" s="17">
        <v>29176.879999999997</v>
      </c>
      <c r="J152" s="13">
        <v>0</v>
      </c>
      <c r="K152" s="19">
        <f t="shared" si="1"/>
        <v>0</v>
      </c>
      <c r="L152" s="19">
        <f t="shared" si="2"/>
        <v>29176.879999999997</v>
      </c>
    </row>
    <row r="153" spans="1:12">
      <c r="A153" s="13">
        <v>149</v>
      </c>
      <c r="B153" s="14" t="s">
        <v>624</v>
      </c>
      <c r="C153" s="14" t="s">
        <v>625</v>
      </c>
      <c r="D153" s="16" t="str">
        <f t="shared" si="0"/>
        <v>Supply of Single Phase Submersible Pump 2 HP, Discharge 3000-7500 lph, Head 87-42m without Panel Board (Code: GWDMR150)</v>
      </c>
      <c r="E153" s="13" t="s">
        <v>46</v>
      </c>
      <c r="F153" s="17" t="s">
        <v>47</v>
      </c>
      <c r="G153" s="17" t="s">
        <v>52</v>
      </c>
      <c r="H153" s="17" t="s">
        <v>586</v>
      </c>
      <c r="I153" s="17">
        <v>31360.499999999996</v>
      </c>
      <c r="J153" s="13">
        <v>0</v>
      </c>
      <c r="K153" s="19">
        <f t="shared" si="1"/>
        <v>0</v>
      </c>
      <c r="L153" s="19">
        <f t="shared" si="2"/>
        <v>31360.499999999996</v>
      </c>
    </row>
    <row r="154" spans="1:12">
      <c r="A154" s="13">
        <v>150</v>
      </c>
      <c r="B154" s="14" t="s">
        <v>626</v>
      </c>
      <c r="C154" s="14" t="s">
        <v>627</v>
      </c>
      <c r="D154" s="16" t="str">
        <f t="shared" si="0"/>
        <v>Supply of Single Phase Submersible Pump 2 HP, Discharge 2100-5400 lph, Head 116-33m without Panel Board (Code: GWDMR151)</v>
      </c>
      <c r="E154" s="13" t="s">
        <v>46</v>
      </c>
      <c r="F154" s="17" t="s">
        <v>47</v>
      </c>
      <c r="G154" s="17" t="s">
        <v>52</v>
      </c>
      <c r="H154" s="17" t="s">
        <v>586</v>
      </c>
      <c r="I154" s="17">
        <v>29037.499999999996</v>
      </c>
      <c r="J154" s="13">
        <v>0</v>
      </c>
      <c r="K154" s="19">
        <f t="shared" si="1"/>
        <v>0</v>
      </c>
      <c r="L154" s="19">
        <f t="shared" si="2"/>
        <v>29037.499999999996</v>
      </c>
    </row>
    <row r="155" spans="1:12">
      <c r="A155" s="13">
        <v>151</v>
      </c>
      <c r="B155" s="14" t="s">
        <v>628</v>
      </c>
      <c r="C155" s="14" t="s">
        <v>629</v>
      </c>
      <c r="D155" s="16" t="str">
        <f t="shared" si="0"/>
        <v>Supply of Single Phase Submersible Pump 2 HP, Discharge 600-3600 lph, Head 161-18m without Panel Board (Code: GWDMR152)</v>
      </c>
      <c r="E155" s="13" t="s">
        <v>46</v>
      </c>
      <c r="F155" s="17" t="s">
        <v>47</v>
      </c>
      <c r="G155" s="17" t="s">
        <v>52</v>
      </c>
      <c r="H155" s="17" t="s">
        <v>586</v>
      </c>
      <c r="I155" s="17">
        <v>29133.904499999997</v>
      </c>
      <c r="J155" s="13">
        <v>0</v>
      </c>
      <c r="K155" s="19">
        <f t="shared" si="1"/>
        <v>0</v>
      </c>
      <c r="L155" s="19">
        <f t="shared" si="2"/>
        <v>29133.904499999997</v>
      </c>
    </row>
    <row r="156" spans="1:12">
      <c r="A156" s="13">
        <v>152</v>
      </c>
      <c r="B156" s="14" t="s">
        <v>631</v>
      </c>
      <c r="C156" s="14" t="s">
        <v>633</v>
      </c>
      <c r="D156" s="16" t="str">
        <f t="shared" si="0"/>
        <v>Supply of Single Phase Submersible Pump 2 HP, Discharge 500-3000 lph, Head 194-65m without Panel Board (Code: GWDMR153)</v>
      </c>
      <c r="E156" s="13" t="s">
        <v>46</v>
      </c>
      <c r="F156" s="17" t="s">
        <v>47</v>
      </c>
      <c r="G156" s="17" t="s">
        <v>52</v>
      </c>
      <c r="H156" s="17" t="s">
        <v>586</v>
      </c>
      <c r="I156" s="17">
        <v>37864.9</v>
      </c>
      <c r="J156" s="13">
        <v>0</v>
      </c>
      <c r="K156" s="19">
        <f t="shared" si="1"/>
        <v>0</v>
      </c>
      <c r="L156" s="19">
        <f t="shared" si="2"/>
        <v>37864.9</v>
      </c>
    </row>
    <row r="157" spans="1:12">
      <c r="A157" s="13">
        <v>153</v>
      </c>
      <c r="B157" s="14" t="s">
        <v>635</v>
      </c>
      <c r="C157" s="14" t="s">
        <v>636</v>
      </c>
      <c r="D157" s="16" t="str">
        <f t="shared" si="0"/>
        <v>Supply of Single Phase Submersible Pump 2 HP, Discharge 500-1800 lph, Head 220-92m without Panel Board (Code: GWDMR154)</v>
      </c>
      <c r="E157" s="13" t="s">
        <v>46</v>
      </c>
      <c r="F157" s="17" t="s">
        <v>47</v>
      </c>
      <c r="G157" s="17" t="s">
        <v>52</v>
      </c>
      <c r="H157" s="17" t="s">
        <v>586</v>
      </c>
      <c r="I157" s="17">
        <v>44720.072999999997</v>
      </c>
      <c r="J157" s="13">
        <v>0</v>
      </c>
      <c r="K157" s="19">
        <f t="shared" si="1"/>
        <v>0</v>
      </c>
      <c r="L157" s="19">
        <f t="shared" si="2"/>
        <v>44720.072999999997</v>
      </c>
    </row>
    <row r="158" spans="1:12">
      <c r="A158" s="13">
        <v>154</v>
      </c>
      <c r="B158" s="14" t="s">
        <v>645</v>
      </c>
      <c r="C158" s="14" t="s">
        <v>646</v>
      </c>
      <c r="D158" s="16" t="str">
        <f t="shared" si="0"/>
        <v>Supply of Single Phase Submersible Pump 2 HP, Discharge 500-1800 lph, Head 247-104m without Panel Board (Code: GWDMR155)</v>
      </c>
      <c r="E158" s="13" t="s">
        <v>46</v>
      </c>
      <c r="F158" s="17" t="s">
        <v>47</v>
      </c>
      <c r="G158" s="17" t="s">
        <v>52</v>
      </c>
      <c r="H158" s="17" t="s">
        <v>586</v>
      </c>
      <c r="I158" s="17">
        <v>47333.447999999997</v>
      </c>
      <c r="J158" s="13">
        <v>0</v>
      </c>
      <c r="K158" s="19">
        <f t="shared" si="1"/>
        <v>0</v>
      </c>
      <c r="L158" s="19">
        <f t="shared" si="2"/>
        <v>47333.447999999997</v>
      </c>
    </row>
    <row r="159" spans="1:12">
      <c r="A159" s="13">
        <v>155</v>
      </c>
      <c r="B159" s="14" t="s">
        <v>648</v>
      </c>
      <c r="C159" s="14" t="s">
        <v>649</v>
      </c>
      <c r="D159" s="16" t="str">
        <f t="shared" si="0"/>
        <v>Supply of Single Phase Submersible Pump 2 HP, Discharge 500-1800 lph, Head 275-115m without Panel Board (Code: GWDMR156)</v>
      </c>
      <c r="E159" s="13" t="s">
        <v>46</v>
      </c>
      <c r="F159" s="17" t="s">
        <v>47</v>
      </c>
      <c r="G159" s="17" t="s">
        <v>52</v>
      </c>
      <c r="H159" s="17" t="s">
        <v>586</v>
      </c>
      <c r="I159" s="17">
        <v>49068.728999999992</v>
      </c>
      <c r="J159" s="13">
        <v>0</v>
      </c>
      <c r="K159" s="19">
        <f t="shared" si="1"/>
        <v>0</v>
      </c>
      <c r="L159" s="19">
        <f t="shared" si="2"/>
        <v>49068.728999999992</v>
      </c>
    </row>
    <row r="160" spans="1:12">
      <c r="A160" s="13">
        <v>156</v>
      </c>
      <c r="B160" s="14" t="s">
        <v>651</v>
      </c>
      <c r="C160" s="14" t="s">
        <v>652</v>
      </c>
      <c r="D160" s="16" t="str">
        <f t="shared" si="0"/>
        <v>Supply of Single Phase Submersible Pump 3 HP, Discharge 3240-7200 lph, Head 110-42m without Panel Board (Code: GWDMR157)</v>
      </c>
      <c r="E160" s="13" t="s">
        <v>46</v>
      </c>
      <c r="F160" s="17" t="s">
        <v>47</v>
      </c>
      <c r="G160" s="17" t="s">
        <v>52</v>
      </c>
      <c r="H160" s="17" t="s">
        <v>586</v>
      </c>
      <c r="I160" s="17">
        <v>37138.962500000001</v>
      </c>
      <c r="J160" s="13">
        <v>0</v>
      </c>
      <c r="K160" s="19">
        <f t="shared" si="1"/>
        <v>0</v>
      </c>
      <c r="L160" s="19">
        <f t="shared" si="2"/>
        <v>37138.962500000001</v>
      </c>
    </row>
    <row r="161" spans="1:12">
      <c r="A161" s="13">
        <v>157</v>
      </c>
      <c r="B161" s="14" t="s">
        <v>654</v>
      </c>
      <c r="C161" s="14" t="s">
        <v>655</v>
      </c>
      <c r="D161" s="16" t="str">
        <f t="shared" si="0"/>
        <v>Supply of Single Phase Submersible Pump 3 HP, Discharge 1800-4320 lph, Head 194-114m without Panel Board (Code: GWDMR158)</v>
      </c>
      <c r="E161" s="13" t="s">
        <v>46</v>
      </c>
      <c r="F161" s="17" t="s">
        <v>47</v>
      </c>
      <c r="G161" s="17" t="s">
        <v>52</v>
      </c>
      <c r="H161" s="17" t="s">
        <v>586</v>
      </c>
      <c r="I161" s="17">
        <v>47156.9</v>
      </c>
      <c r="J161" s="13">
        <v>0</v>
      </c>
      <c r="K161" s="19">
        <f t="shared" si="1"/>
        <v>0</v>
      </c>
      <c r="L161" s="19">
        <f t="shared" si="2"/>
        <v>47156.9</v>
      </c>
    </row>
    <row r="162" spans="1:12">
      <c r="A162" s="13">
        <v>158</v>
      </c>
      <c r="B162" s="14" t="s">
        <v>657</v>
      </c>
      <c r="C162" s="14" t="s">
        <v>658</v>
      </c>
      <c r="D162" s="16" t="str">
        <f t="shared" si="0"/>
        <v>Supply of Single Phase Submersible Pump 5 HP, Discharge 4320-10080 lph, Head 150-82m without Panel Board (Code: GWDMR159)</v>
      </c>
      <c r="E162" s="13" t="s">
        <v>46</v>
      </c>
      <c r="F162" s="17" t="s">
        <v>47</v>
      </c>
      <c r="G162" s="17" t="s">
        <v>52</v>
      </c>
      <c r="H162" s="17" t="s">
        <v>586</v>
      </c>
      <c r="I162" s="17">
        <v>45301.984499999999</v>
      </c>
      <c r="J162" s="13">
        <v>0</v>
      </c>
      <c r="K162" s="19">
        <f t="shared" si="1"/>
        <v>0</v>
      </c>
      <c r="L162" s="19">
        <f t="shared" si="2"/>
        <v>45301.984499999999</v>
      </c>
    </row>
    <row r="163" spans="1:12">
      <c r="A163" s="13">
        <v>159</v>
      </c>
      <c r="B163" s="14" t="s">
        <v>660</v>
      </c>
      <c r="C163" s="14" t="s">
        <v>661</v>
      </c>
      <c r="D163" s="16" t="str">
        <f t="shared" si="0"/>
        <v>Supply of Single Phase Submersible Pump 6 HP, Discharge 1800-4320 lph, Head 318-210m without Panel Board (Code: GWDMR160)</v>
      </c>
      <c r="E163" s="13" t="s">
        <v>46</v>
      </c>
      <c r="F163" s="17" t="s">
        <v>47</v>
      </c>
      <c r="G163" s="17" t="s">
        <v>52</v>
      </c>
      <c r="H163" s="17" t="s">
        <v>586</v>
      </c>
      <c r="I163" s="17">
        <v>52340.674500000001</v>
      </c>
      <c r="J163" s="13">
        <v>0</v>
      </c>
      <c r="K163" s="19">
        <f t="shared" si="1"/>
        <v>0</v>
      </c>
      <c r="L163" s="19">
        <f t="shared" si="2"/>
        <v>52340.674500000001</v>
      </c>
    </row>
    <row r="164" spans="1:12">
      <c r="A164" s="13">
        <v>160</v>
      </c>
      <c r="B164" s="14" t="s">
        <v>664</v>
      </c>
      <c r="C164" s="14" t="s">
        <v>665</v>
      </c>
      <c r="D164" s="16" t="str">
        <f t="shared" si="0"/>
        <v>Supply of Three Phase Submersible Pump 10 HP, Discharge 6000-18000 lph, Head 146-90m without Panel Board (Code: GWDMR161)</v>
      </c>
      <c r="E164" s="13" t="s">
        <v>46</v>
      </c>
      <c r="F164" s="17" t="s">
        <v>47</v>
      </c>
      <c r="G164" s="17" t="s">
        <v>52</v>
      </c>
      <c r="H164" s="17" t="s">
        <v>586</v>
      </c>
      <c r="I164" s="17">
        <v>74549.715999999986</v>
      </c>
      <c r="J164" s="13">
        <v>0</v>
      </c>
      <c r="K164" s="19">
        <f t="shared" si="1"/>
        <v>0</v>
      </c>
      <c r="L164" s="19">
        <f t="shared" si="2"/>
        <v>74549.715999999986</v>
      </c>
    </row>
    <row r="165" spans="1:12">
      <c r="A165" s="13">
        <v>161</v>
      </c>
      <c r="B165" s="14" t="s">
        <v>666</v>
      </c>
      <c r="C165" s="14" t="s">
        <v>667</v>
      </c>
      <c r="D165" s="16" t="str">
        <f t="shared" si="0"/>
        <v>Supply of Three Phase Submersible Pump 10 HP, Discharge 3600-21600 lph, Head 162-27m without Panel Board (Code: GWDMR162)</v>
      </c>
      <c r="E165" s="13" t="s">
        <v>46</v>
      </c>
      <c r="F165" s="17" t="s">
        <v>47</v>
      </c>
      <c r="G165" s="17" t="s">
        <v>52</v>
      </c>
      <c r="H165" s="17" t="s">
        <v>586</v>
      </c>
      <c r="I165" s="17">
        <v>74092.085000000006</v>
      </c>
      <c r="J165" s="13">
        <v>0</v>
      </c>
      <c r="K165" s="19">
        <f t="shared" si="1"/>
        <v>0</v>
      </c>
      <c r="L165" s="19">
        <f t="shared" si="2"/>
        <v>74092.085000000006</v>
      </c>
    </row>
    <row r="166" spans="1:12">
      <c r="A166" s="13">
        <v>162</v>
      </c>
      <c r="B166" s="14" t="s">
        <v>668</v>
      </c>
      <c r="C166" s="14" t="s">
        <v>670</v>
      </c>
      <c r="D166" s="16" t="str">
        <f t="shared" si="0"/>
        <v>Supply of Three Phase Submersible Pump 10 HP, Discharge 5000-14000 lph, Head 205-110m without Panel Board (Code: GWDMR163)</v>
      </c>
      <c r="E166" s="13" t="s">
        <v>46</v>
      </c>
      <c r="F166" s="17" t="s">
        <v>47</v>
      </c>
      <c r="G166" s="17" t="s">
        <v>52</v>
      </c>
      <c r="H166" s="17" t="s">
        <v>586</v>
      </c>
      <c r="I166" s="17">
        <v>93543.725499999986</v>
      </c>
      <c r="J166" s="13">
        <v>0</v>
      </c>
      <c r="K166" s="19">
        <f t="shared" si="1"/>
        <v>0</v>
      </c>
      <c r="L166" s="19">
        <f t="shared" si="2"/>
        <v>93543.725499999986</v>
      </c>
    </row>
    <row r="167" spans="1:12">
      <c r="A167" s="13">
        <v>163</v>
      </c>
      <c r="B167" s="14" t="s">
        <v>671</v>
      </c>
      <c r="C167" s="14" t="s">
        <v>672</v>
      </c>
      <c r="D167" s="16" t="str">
        <f t="shared" si="0"/>
        <v>Supply of Three Phase Submersible Pump 10 HP, Discharge 3000-9000 lph, Head 279-144m without Panel Board (Code: GWDMR164)</v>
      </c>
      <c r="E167" s="13" t="s">
        <v>46</v>
      </c>
      <c r="F167" s="17" t="s">
        <v>47</v>
      </c>
      <c r="G167" s="17" t="s">
        <v>52</v>
      </c>
      <c r="H167" s="17" t="s">
        <v>586</v>
      </c>
      <c r="I167" s="17">
        <v>88520.237999999983</v>
      </c>
      <c r="J167" s="13">
        <v>0</v>
      </c>
      <c r="K167" s="19">
        <f t="shared" si="1"/>
        <v>0</v>
      </c>
      <c r="L167" s="19">
        <f t="shared" si="2"/>
        <v>88520.237999999983</v>
      </c>
    </row>
    <row r="168" spans="1:12">
      <c r="A168" s="13">
        <v>164</v>
      </c>
      <c r="B168" s="14" t="s">
        <v>673</v>
      </c>
      <c r="C168" s="14" t="s">
        <v>674</v>
      </c>
      <c r="D168" s="16" t="str">
        <f t="shared" si="0"/>
        <v>Supply of Three Phase Submersible Pump 12.5 HP, Discharge 3600-25200 lph, Head 157-41m without Panel Board (Code: GWDMR165)</v>
      </c>
      <c r="E168" s="13" t="s">
        <v>46</v>
      </c>
      <c r="F168" s="17" t="s">
        <v>47</v>
      </c>
      <c r="G168" s="17" t="s">
        <v>52</v>
      </c>
      <c r="H168" s="17" t="s">
        <v>586</v>
      </c>
      <c r="I168" s="17">
        <v>77646.274999999994</v>
      </c>
      <c r="J168" s="13">
        <v>0</v>
      </c>
      <c r="K168" s="19">
        <f t="shared" si="1"/>
        <v>0</v>
      </c>
      <c r="L168" s="19">
        <f t="shared" si="2"/>
        <v>77646.274999999994</v>
      </c>
    </row>
    <row r="169" spans="1:12">
      <c r="A169" s="13">
        <v>165</v>
      </c>
      <c r="B169" s="14" t="s">
        <v>676</v>
      </c>
      <c r="C169" s="14" t="s">
        <v>677</v>
      </c>
      <c r="D169" s="16" t="str">
        <f t="shared" si="0"/>
        <v>Supply of Three Phase Submersible Pump 12.5 HP, Discharge 6000-18000 lph, Head 179-110m without Panel Board (Code: GWDMR166)</v>
      </c>
      <c r="E169" s="13" t="s">
        <v>46</v>
      </c>
      <c r="F169" s="17" t="s">
        <v>47</v>
      </c>
      <c r="G169" s="17" t="s">
        <v>52</v>
      </c>
      <c r="H169" s="17" t="s">
        <v>586</v>
      </c>
      <c r="I169" s="17">
        <v>82797.527499999997</v>
      </c>
      <c r="J169" s="13">
        <v>0</v>
      </c>
      <c r="K169" s="19">
        <f t="shared" si="1"/>
        <v>0</v>
      </c>
      <c r="L169" s="19">
        <f t="shared" si="2"/>
        <v>82797.527499999997</v>
      </c>
    </row>
    <row r="170" spans="1:12">
      <c r="A170" s="13">
        <v>166</v>
      </c>
      <c r="B170" s="14" t="s">
        <v>679</v>
      </c>
      <c r="C170" s="14" t="s">
        <v>680</v>
      </c>
      <c r="D170" s="16" t="str">
        <f t="shared" si="0"/>
        <v>Supply of Three Phase Submersible Pump 12.5 HP, Discharge 5000-14000 lph, Head 242-129m without Panel Board (Code: GWDMR167)</v>
      </c>
      <c r="E170" s="13" t="s">
        <v>46</v>
      </c>
      <c r="F170" s="17" t="s">
        <v>47</v>
      </c>
      <c r="G170" s="17" t="s">
        <v>52</v>
      </c>
      <c r="H170" s="17" t="s">
        <v>586</v>
      </c>
      <c r="I170" s="17">
        <v>103464.09699999999</v>
      </c>
      <c r="J170" s="13">
        <v>0</v>
      </c>
      <c r="K170" s="19">
        <f t="shared" si="1"/>
        <v>0</v>
      </c>
      <c r="L170" s="19">
        <f t="shared" si="2"/>
        <v>103464.09699999999</v>
      </c>
    </row>
    <row r="171" spans="1:12">
      <c r="A171" s="13">
        <v>167</v>
      </c>
      <c r="B171" s="14" t="s">
        <v>682</v>
      </c>
      <c r="C171" s="14" t="s">
        <v>683</v>
      </c>
      <c r="D171" s="16" t="str">
        <f t="shared" si="0"/>
        <v>Supply of Three Phase Submersible Pump 12.5 HP, Discharge 3000-9000 lph, Head 335-177m without Panel Board (Code: GWDMR168)</v>
      </c>
      <c r="E171" s="13" t="s">
        <v>46</v>
      </c>
      <c r="F171" s="17" t="s">
        <v>47</v>
      </c>
      <c r="G171" s="17" t="s">
        <v>52</v>
      </c>
      <c r="H171" s="17" t="s">
        <v>586</v>
      </c>
      <c r="I171" s="17">
        <v>98931.923999999999</v>
      </c>
      <c r="J171" s="13">
        <v>0</v>
      </c>
      <c r="K171" s="19">
        <f t="shared" si="1"/>
        <v>0</v>
      </c>
      <c r="L171" s="19">
        <f t="shared" si="2"/>
        <v>98931.923999999999</v>
      </c>
    </row>
    <row r="172" spans="1:12">
      <c r="A172" s="13">
        <v>168</v>
      </c>
      <c r="B172" s="14" t="s">
        <v>686</v>
      </c>
      <c r="C172" s="14" t="s">
        <v>687</v>
      </c>
      <c r="D172" s="16" t="str">
        <f t="shared" si="0"/>
        <v>Supply of Three Phase Submersible Pump 3 HP, Discharge 5200-10600 lph, Head 86-27m without Panel Board (Code: GWDMR169)</v>
      </c>
      <c r="E172" s="13" t="s">
        <v>46</v>
      </c>
      <c r="F172" s="17" t="s">
        <v>47</v>
      </c>
      <c r="G172" s="17" t="s">
        <v>52</v>
      </c>
      <c r="H172" s="17" t="s">
        <v>586</v>
      </c>
      <c r="I172" s="17">
        <v>33242.129999999997</v>
      </c>
      <c r="J172" s="13">
        <v>0</v>
      </c>
      <c r="K172" s="19">
        <f t="shared" si="1"/>
        <v>0</v>
      </c>
      <c r="L172" s="19">
        <f t="shared" si="2"/>
        <v>33242.129999999997</v>
      </c>
    </row>
    <row r="173" spans="1:12">
      <c r="A173" s="13">
        <v>169</v>
      </c>
      <c r="B173" s="14" t="s">
        <v>688</v>
      </c>
      <c r="C173" s="14" t="s">
        <v>690</v>
      </c>
      <c r="D173" s="16" t="str">
        <f t="shared" si="0"/>
        <v>Supply of Three Phase Submersible Pump 3 HP, Discharge 3000-7500 lph, Head 125-60m without Panel Board (Code: GWDMR170)</v>
      </c>
      <c r="E173" s="13" t="s">
        <v>46</v>
      </c>
      <c r="F173" s="17" t="s">
        <v>47</v>
      </c>
      <c r="G173" s="17" t="s">
        <v>52</v>
      </c>
      <c r="H173" s="17" t="s">
        <v>586</v>
      </c>
      <c r="I173" s="17">
        <v>36924.084999999999</v>
      </c>
      <c r="J173" s="13">
        <v>0</v>
      </c>
      <c r="K173" s="19">
        <f t="shared" si="1"/>
        <v>0</v>
      </c>
      <c r="L173" s="19">
        <f t="shared" si="2"/>
        <v>36924.084999999999</v>
      </c>
    </row>
    <row r="174" spans="1:12">
      <c r="A174" s="13">
        <v>170</v>
      </c>
      <c r="B174" s="14" t="s">
        <v>693</v>
      </c>
      <c r="C174" s="14" t="s">
        <v>694</v>
      </c>
      <c r="D174" s="16" t="str">
        <f t="shared" si="0"/>
        <v>Supply of Three Phase Submersible Pump 3 HP, Discharge 2500-6000 lph, Head 147-51m without Panel Board (Code: GWDMR171)</v>
      </c>
      <c r="E174" s="13" t="s">
        <v>46</v>
      </c>
      <c r="F174" s="17" t="s">
        <v>47</v>
      </c>
      <c r="G174" s="17" t="s">
        <v>52</v>
      </c>
      <c r="H174" s="17" t="s">
        <v>586</v>
      </c>
      <c r="I174" s="17">
        <v>40652.5</v>
      </c>
      <c r="J174" s="13">
        <v>0</v>
      </c>
      <c r="K174" s="19">
        <f t="shared" si="1"/>
        <v>0</v>
      </c>
      <c r="L174" s="19">
        <f t="shared" si="2"/>
        <v>40652.5</v>
      </c>
    </row>
    <row r="175" spans="1:12">
      <c r="A175" s="13">
        <v>171</v>
      </c>
      <c r="B175" s="14" t="s">
        <v>696</v>
      </c>
      <c r="C175" s="14" t="s">
        <v>697</v>
      </c>
      <c r="D175" s="16" t="str">
        <f t="shared" si="0"/>
        <v>Supply of Three Phase Submersible Pump 3 HP, Discharge 1000-5000 lph, Head 163-66m without Panel Board (Code: GWDMR172)</v>
      </c>
      <c r="E175" s="13" t="s">
        <v>46</v>
      </c>
      <c r="F175" s="17" t="s">
        <v>47</v>
      </c>
      <c r="G175" s="17" t="s">
        <v>52</v>
      </c>
      <c r="H175" s="17" t="s">
        <v>586</v>
      </c>
      <c r="I175" s="17">
        <v>43011.506499999996</v>
      </c>
      <c r="J175" s="13">
        <v>0</v>
      </c>
      <c r="K175" s="19">
        <f t="shared" si="1"/>
        <v>0</v>
      </c>
      <c r="L175" s="19">
        <f t="shared" si="2"/>
        <v>43011.506499999996</v>
      </c>
    </row>
    <row r="176" spans="1:12">
      <c r="A176" s="13">
        <v>172</v>
      </c>
      <c r="B176" s="14" t="s">
        <v>699</v>
      </c>
      <c r="C176" s="14" t="s">
        <v>700</v>
      </c>
      <c r="D176" s="16" t="str">
        <f t="shared" si="0"/>
        <v>Supply of Three Phase Submersible Pump 3 HP, Discharge 1200-2800 lph, Head 184-86m without Panel Board (Code: GWDMR173)</v>
      </c>
      <c r="E176" s="13" t="s">
        <v>46</v>
      </c>
      <c r="F176" s="17" t="s">
        <v>47</v>
      </c>
      <c r="G176" s="17" t="s">
        <v>52</v>
      </c>
      <c r="H176" s="17" t="s">
        <v>586</v>
      </c>
      <c r="I176" s="17">
        <v>38391.059499999996</v>
      </c>
      <c r="J176" s="13">
        <v>0</v>
      </c>
      <c r="K176" s="19">
        <f t="shared" si="1"/>
        <v>0</v>
      </c>
      <c r="L176" s="19">
        <f t="shared" si="2"/>
        <v>38391.059499999996</v>
      </c>
    </row>
    <row r="177" spans="1:12">
      <c r="A177" s="13">
        <v>173</v>
      </c>
      <c r="B177" s="14" t="s">
        <v>701</v>
      </c>
      <c r="C177" s="14" t="s">
        <v>702</v>
      </c>
      <c r="D177" s="16" t="str">
        <f t="shared" si="0"/>
        <v>Supply of Three Phase Submersible Pump 3 HP, Discharge 1200-2800 lph, Head 207-83m without Panel Board (Code: GWDMR174)</v>
      </c>
      <c r="E177" s="13" t="s">
        <v>46</v>
      </c>
      <c r="F177" s="17" t="s">
        <v>47</v>
      </c>
      <c r="G177" s="17" t="s">
        <v>52</v>
      </c>
      <c r="H177" s="17" t="s">
        <v>586</v>
      </c>
      <c r="I177" s="17">
        <v>50417.230499999998</v>
      </c>
      <c r="J177" s="13">
        <v>0</v>
      </c>
      <c r="K177" s="19">
        <f t="shared" si="1"/>
        <v>0</v>
      </c>
      <c r="L177" s="19">
        <f t="shared" si="2"/>
        <v>50417.230499999998</v>
      </c>
    </row>
    <row r="178" spans="1:12">
      <c r="A178" s="13">
        <v>174</v>
      </c>
      <c r="B178" s="14" t="s">
        <v>706</v>
      </c>
      <c r="C178" s="14" t="s">
        <v>707</v>
      </c>
      <c r="D178" s="16" t="str">
        <f t="shared" si="0"/>
        <v>Supply of Three Phase Submersible Pump 3 HP, Discharge 1200-2800 lph, Head 245-98m without Panel Board (Code: GWDMR175)</v>
      </c>
      <c r="E178" s="13" t="s">
        <v>46</v>
      </c>
      <c r="F178" s="17" t="s">
        <v>47</v>
      </c>
      <c r="G178" s="17" t="s">
        <v>52</v>
      </c>
      <c r="H178" s="17" t="s">
        <v>586</v>
      </c>
      <c r="I178" s="17">
        <v>53114.233500000002</v>
      </c>
      <c r="J178" s="13">
        <v>0</v>
      </c>
      <c r="K178" s="19">
        <f t="shared" si="1"/>
        <v>0</v>
      </c>
      <c r="L178" s="19">
        <f t="shared" si="2"/>
        <v>53114.233500000002</v>
      </c>
    </row>
    <row r="179" spans="1:12">
      <c r="A179" s="13">
        <v>175</v>
      </c>
      <c r="B179" s="14" t="s">
        <v>709</v>
      </c>
      <c r="C179" s="14" t="s">
        <v>710</v>
      </c>
      <c r="D179" s="16" t="str">
        <f t="shared" si="0"/>
        <v>Supply of Three Phase Submersible Pump 5 HP, Discharge 9000-24000 lph, Head 70-23m without Panel Board (Code: GWDMR176)</v>
      </c>
      <c r="E179" s="13" t="s">
        <v>46</v>
      </c>
      <c r="F179" s="17" t="s">
        <v>47</v>
      </c>
      <c r="G179" s="17" t="s">
        <v>52</v>
      </c>
      <c r="H179" s="17" t="s">
        <v>586</v>
      </c>
      <c r="I179" s="17">
        <v>54682.258499999996</v>
      </c>
      <c r="J179" s="13">
        <v>0</v>
      </c>
      <c r="K179" s="19">
        <f t="shared" si="1"/>
        <v>0</v>
      </c>
      <c r="L179" s="19">
        <f t="shared" si="2"/>
        <v>54682.258499999996</v>
      </c>
    </row>
    <row r="180" spans="1:12">
      <c r="A180" s="13">
        <v>176</v>
      </c>
      <c r="B180" s="14" t="s">
        <v>712</v>
      </c>
      <c r="C180" s="14" t="s">
        <v>713</v>
      </c>
      <c r="D180" s="16" t="str">
        <f t="shared" si="0"/>
        <v>Supply of Three Phase Submersible Pump 5 HP, Discharge 7200-15000 lph, Head 78-41m without Panel Board (Code: GWDMR177)</v>
      </c>
      <c r="E180" s="13" t="s">
        <v>46</v>
      </c>
      <c r="F180" s="17" t="s">
        <v>47</v>
      </c>
      <c r="G180" s="17" t="s">
        <v>52</v>
      </c>
      <c r="H180" s="17" t="s">
        <v>586</v>
      </c>
      <c r="I180" s="17">
        <v>55751.999999999993</v>
      </c>
      <c r="J180" s="13">
        <v>0</v>
      </c>
      <c r="K180" s="19">
        <f t="shared" si="1"/>
        <v>0</v>
      </c>
      <c r="L180" s="19">
        <f t="shared" si="2"/>
        <v>55751.999999999993</v>
      </c>
    </row>
    <row r="181" spans="1:12">
      <c r="A181" s="13">
        <v>177</v>
      </c>
      <c r="B181" s="14" t="s">
        <v>716</v>
      </c>
      <c r="C181" s="14" t="s">
        <v>717</v>
      </c>
      <c r="D181" s="16" t="str">
        <f t="shared" si="0"/>
        <v>Supply of Three Phase Submersible Pump 5 HP, Discharge 5000-14000 lph, Head 93-50m without Panel Board (Code: GWDMR178)</v>
      </c>
      <c r="E181" s="13" t="s">
        <v>46</v>
      </c>
      <c r="F181" s="17" t="s">
        <v>47</v>
      </c>
      <c r="G181" s="17" t="s">
        <v>52</v>
      </c>
      <c r="H181" s="17" t="s">
        <v>586</v>
      </c>
      <c r="I181" s="17">
        <v>62396.941499999994</v>
      </c>
      <c r="J181" s="13">
        <v>0</v>
      </c>
      <c r="K181" s="19">
        <f t="shared" si="1"/>
        <v>0</v>
      </c>
      <c r="L181" s="19">
        <f t="shared" si="2"/>
        <v>62396.941499999994</v>
      </c>
    </row>
    <row r="182" spans="1:12">
      <c r="A182" s="13">
        <v>178</v>
      </c>
      <c r="B182" s="14" t="s">
        <v>719</v>
      </c>
      <c r="C182" s="14" t="s">
        <v>720</v>
      </c>
      <c r="D182" s="16" t="str">
        <f t="shared" si="0"/>
        <v>Supply of Three Phase Submersible Pump 5 HP, Discharge 5000-14000 lph, Head 102-55m without Panel Board (Code: GWDMR179)</v>
      </c>
      <c r="E182" s="13" t="s">
        <v>46</v>
      </c>
      <c r="F182" s="17" t="s">
        <v>47</v>
      </c>
      <c r="G182" s="17" t="s">
        <v>52</v>
      </c>
      <c r="H182" s="17" t="s">
        <v>586</v>
      </c>
      <c r="I182" s="17">
        <v>63505.01249999999</v>
      </c>
      <c r="J182" s="13">
        <v>0</v>
      </c>
      <c r="K182" s="19">
        <f t="shared" si="1"/>
        <v>0</v>
      </c>
      <c r="L182" s="19">
        <f t="shared" si="2"/>
        <v>63505.01249999999</v>
      </c>
    </row>
    <row r="183" spans="1:12">
      <c r="A183" s="13">
        <v>179</v>
      </c>
      <c r="B183" s="14" t="s">
        <v>721</v>
      </c>
      <c r="C183" s="14" t="s">
        <v>722</v>
      </c>
      <c r="D183" s="16" t="str">
        <f t="shared" si="0"/>
        <v>Supply of Three Phase Submersible Pump 5 HP, Discharge 3900-10800 lph, Head 111-49m without Panel Board (Code: GWDMR180)</v>
      </c>
      <c r="E183" s="13" t="s">
        <v>46</v>
      </c>
      <c r="F183" s="17" t="s">
        <v>47</v>
      </c>
      <c r="G183" s="17" t="s">
        <v>52</v>
      </c>
      <c r="H183" s="17" t="s">
        <v>586</v>
      </c>
      <c r="I183" s="17">
        <v>65043.999999999993</v>
      </c>
      <c r="J183" s="13">
        <v>0</v>
      </c>
      <c r="K183" s="19">
        <f t="shared" si="1"/>
        <v>0</v>
      </c>
      <c r="L183" s="19">
        <f t="shared" si="2"/>
        <v>65043.999999999993</v>
      </c>
    </row>
    <row r="184" spans="1:12">
      <c r="A184" s="13">
        <v>180</v>
      </c>
      <c r="B184" s="14" t="s">
        <v>724</v>
      </c>
      <c r="C184" s="14" t="s">
        <v>725</v>
      </c>
      <c r="D184" s="16" t="str">
        <f t="shared" si="0"/>
        <v>Supply of Three Phase Submersible Pump 5 HP, Discharge 3000-9000 lph, Head 140-72m without Panel Board (Code: GWDMR181)</v>
      </c>
      <c r="E184" s="13" t="s">
        <v>46</v>
      </c>
      <c r="F184" s="17" t="s">
        <v>47</v>
      </c>
      <c r="G184" s="17" t="s">
        <v>52</v>
      </c>
      <c r="H184" s="17" t="s">
        <v>586</v>
      </c>
      <c r="I184" s="17">
        <v>65052.130499999999</v>
      </c>
      <c r="J184" s="13">
        <v>0</v>
      </c>
      <c r="K184" s="19">
        <f t="shared" si="1"/>
        <v>0</v>
      </c>
      <c r="L184" s="19">
        <f t="shared" si="2"/>
        <v>65052.130499999999</v>
      </c>
    </row>
    <row r="185" spans="1:12">
      <c r="A185" s="13">
        <v>181</v>
      </c>
      <c r="B185" s="14" t="s">
        <v>726</v>
      </c>
      <c r="C185" s="14" t="s">
        <v>727</v>
      </c>
      <c r="D185" s="16" t="str">
        <f t="shared" si="0"/>
        <v>Supply of Three Phase Submersible Pump 5 HP, Discharge 4000-10000 lph, Head 163-62m without Panel Board (Code: GWDMR182)</v>
      </c>
      <c r="E185" s="13" t="s">
        <v>46</v>
      </c>
      <c r="F185" s="17" t="s">
        <v>47</v>
      </c>
      <c r="G185" s="17" t="s">
        <v>52</v>
      </c>
      <c r="H185" s="17" t="s">
        <v>586</v>
      </c>
      <c r="I185" s="17">
        <v>51301.131999999998</v>
      </c>
      <c r="J185" s="13">
        <v>0</v>
      </c>
      <c r="K185" s="19">
        <f t="shared" si="1"/>
        <v>0</v>
      </c>
      <c r="L185" s="19">
        <f t="shared" si="2"/>
        <v>51301.131999999998</v>
      </c>
    </row>
    <row r="186" spans="1:12">
      <c r="A186" s="13">
        <v>182</v>
      </c>
      <c r="B186" s="14" t="s">
        <v>728</v>
      </c>
      <c r="C186" s="14" t="s">
        <v>729</v>
      </c>
      <c r="D186" s="16" t="str">
        <f t="shared" si="0"/>
        <v>Supply of Three Phase Submersible Pump 5 HP, Discharge 2000-6000 lph, Head 195-120m without Panel Board (Code: GWDMR183)</v>
      </c>
      <c r="E186" s="13" t="s">
        <v>46</v>
      </c>
      <c r="F186" s="17" t="s">
        <v>47</v>
      </c>
      <c r="G186" s="17" t="s">
        <v>52</v>
      </c>
      <c r="H186" s="17" t="s">
        <v>586</v>
      </c>
      <c r="I186" s="17">
        <v>56820.579999999994</v>
      </c>
      <c r="J186" s="13">
        <v>0</v>
      </c>
      <c r="K186" s="19">
        <f t="shared" si="1"/>
        <v>0</v>
      </c>
      <c r="L186" s="19">
        <f t="shared" si="2"/>
        <v>56820.579999999994</v>
      </c>
    </row>
    <row r="187" spans="1:12">
      <c r="A187" s="13">
        <v>183</v>
      </c>
      <c r="B187" s="14" t="s">
        <v>731</v>
      </c>
      <c r="C187" s="14" t="s">
        <v>732</v>
      </c>
      <c r="D187" s="16" t="str">
        <f t="shared" si="0"/>
        <v>Supply of Three Phase Submersible Pump 5 HP, Discharge 2500-6000 lph, Head 245-85m without Panel Board (Code: GWDMR184)</v>
      </c>
      <c r="E187" s="13" t="s">
        <v>46</v>
      </c>
      <c r="F187" s="17" t="s">
        <v>47</v>
      </c>
      <c r="G187" s="17" t="s">
        <v>52</v>
      </c>
      <c r="H187" s="17" t="s">
        <v>586</v>
      </c>
      <c r="I187" s="17">
        <v>54590.499999999993</v>
      </c>
      <c r="J187" s="13">
        <v>0</v>
      </c>
      <c r="K187" s="19">
        <f t="shared" si="1"/>
        <v>0</v>
      </c>
      <c r="L187" s="19">
        <f t="shared" si="2"/>
        <v>54590.499999999993</v>
      </c>
    </row>
    <row r="188" spans="1:12">
      <c r="A188" s="13">
        <v>184</v>
      </c>
      <c r="B188" s="14" t="s">
        <v>734</v>
      </c>
      <c r="C188" s="14" t="s">
        <v>735</v>
      </c>
      <c r="D188" s="16" t="str">
        <f t="shared" si="0"/>
        <v>Supply of Three Phase Submersible Pump 5 HP, Discharge 2500-6000 lph, Head 285-70m without Panel Board (Code: GWDMR185)</v>
      </c>
      <c r="E188" s="13" t="s">
        <v>46</v>
      </c>
      <c r="F188" s="17" t="s">
        <v>47</v>
      </c>
      <c r="G188" s="17" t="s">
        <v>52</v>
      </c>
      <c r="H188" s="17" t="s">
        <v>586</v>
      </c>
      <c r="I188" s="17">
        <v>61559.499999999993</v>
      </c>
      <c r="J188" s="13">
        <v>0</v>
      </c>
      <c r="K188" s="19">
        <f t="shared" si="1"/>
        <v>0</v>
      </c>
      <c r="L188" s="19">
        <f t="shared" si="2"/>
        <v>61559.499999999993</v>
      </c>
    </row>
    <row r="189" spans="1:12">
      <c r="A189" s="13">
        <v>185</v>
      </c>
      <c r="B189" s="14" t="s">
        <v>737</v>
      </c>
      <c r="C189" s="14" t="s">
        <v>738</v>
      </c>
      <c r="D189" s="16" t="str">
        <f t="shared" si="0"/>
        <v>Supply of Three Phase Submersible Pump 5 HP, Discharge 1000-3000 lph, Head 333-183m without Panel Board (Code: GWDMR186)</v>
      </c>
      <c r="E189" s="13" t="s">
        <v>46</v>
      </c>
      <c r="F189" s="17" t="s">
        <v>47</v>
      </c>
      <c r="G189" s="17" t="s">
        <v>52</v>
      </c>
      <c r="H189" s="17" t="s">
        <v>586</v>
      </c>
      <c r="I189" s="17">
        <v>80209.705499999982</v>
      </c>
      <c r="J189" s="13">
        <v>0</v>
      </c>
      <c r="K189" s="19">
        <f t="shared" si="1"/>
        <v>0</v>
      </c>
      <c r="L189" s="19">
        <f t="shared" si="2"/>
        <v>80209.705499999982</v>
      </c>
    </row>
    <row r="190" spans="1:12">
      <c r="A190" s="13">
        <v>186</v>
      </c>
      <c r="B190" s="14" t="s">
        <v>739</v>
      </c>
      <c r="C190" s="14" t="s">
        <v>740</v>
      </c>
      <c r="D190" s="16" t="str">
        <f t="shared" si="0"/>
        <v>Supply of Three Phase Submersible Pump 7.5 HP, Discharge 12000-30000 lph, Head 74-29m without Panel Board (Code: GWDMR187)</v>
      </c>
      <c r="E190" s="13" t="s">
        <v>46</v>
      </c>
      <c r="F190" s="17" t="s">
        <v>47</v>
      </c>
      <c r="G190" s="17" t="s">
        <v>52</v>
      </c>
      <c r="H190" s="17" t="s">
        <v>586</v>
      </c>
      <c r="I190" s="17">
        <v>61559.499999999993</v>
      </c>
      <c r="J190" s="13">
        <v>0</v>
      </c>
      <c r="K190" s="19">
        <f t="shared" si="1"/>
        <v>0</v>
      </c>
      <c r="L190" s="19">
        <f t="shared" si="2"/>
        <v>61559.499999999993</v>
      </c>
    </row>
    <row r="191" spans="1:12">
      <c r="A191" s="13">
        <v>187</v>
      </c>
      <c r="B191" s="14" t="s">
        <v>742</v>
      </c>
      <c r="C191" s="14" t="s">
        <v>743</v>
      </c>
      <c r="D191" s="16" t="str">
        <f t="shared" si="0"/>
        <v>Supply of Three Phase Submersible Pump 7.5 HP, Discharge 7200-18000 lph, Head 94-65m without Panel Board (Code: GWDMR188)</v>
      </c>
      <c r="E191" s="13" t="s">
        <v>46</v>
      </c>
      <c r="F191" s="17" t="s">
        <v>47</v>
      </c>
      <c r="G191" s="17" t="s">
        <v>52</v>
      </c>
      <c r="H191" s="17" t="s">
        <v>586</v>
      </c>
      <c r="I191" s="17">
        <v>56332.749999999993</v>
      </c>
      <c r="J191" s="13">
        <v>0</v>
      </c>
      <c r="K191" s="19">
        <f t="shared" si="1"/>
        <v>0</v>
      </c>
      <c r="L191" s="19">
        <f t="shared" si="2"/>
        <v>56332.749999999993</v>
      </c>
    </row>
    <row r="192" spans="1:12">
      <c r="A192" s="13">
        <v>188</v>
      </c>
      <c r="B192" s="14" t="s">
        <v>746</v>
      </c>
      <c r="C192" s="14" t="s">
        <v>747</v>
      </c>
      <c r="D192" s="16" t="str">
        <f t="shared" si="0"/>
        <v>Supply of Three Phase Submersible Pump 7.5 HP, Discharge 6000-18000 lph, Head 112-69m without Panel Board (Code: GWDMR189)</v>
      </c>
      <c r="E192" s="13" t="s">
        <v>46</v>
      </c>
      <c r="F192" s="17" t="s">
        <v>47</v>
      </c>
      <c r="G192" s="17" t="s">
        <v>52</v>
      </c>
      <c r="H192" s="17" t="s">
        <v>586</v>
      </c>
      <c r="I192" s="17">
        <v>67216.005000000005</v>
      </c>
      <c r="J192" s="13">
        <v>0</v>
      </c>
      <c r="K192" s="19">
        <f t="shared" si="1"/>
        <v>0</v>
      </c>
      <c r="L192" s="19">
        <f t="shared" si="2"/>
        <v>67216.005000000005</v>
      </c>
    </row>
    <row r="193" spans="1:12">
      <c r="A193" s="13">
        <v>189</v>
      </c>
      <c r="B193" s="14" t="s">
        <v>753</v>
      </c>
      <c r="C193" s="14" t="s">
        <v>754</v>
      </c>
      <c r="D193" s="16" t="str">
        <f t="shared" si="0"/>
        <v>Supply of Three Phase Submersible Pump 7.5 HP, Discharge 5000-14000 lph, Head 140-75m without Panel Board (Code: GWDMR190)</v>
      </c>
      <c r="E193" s="13" t="s">
        <v>46</v>
      </c>
      <c r="F193" s="17" t="s">
        <v>47</v>
      </c>
      <c r="G193" s="17" t="s">
        <v>52</v>
      </c>
      <c r="H193" s="17" t="s">
        <v>586</v>
      </c>
      <c r="I193" s="17">
        <v>72003.707999999984</v>
      </c>
      <c r="J193" s="13">
        <v>0</v>
      </c>
      <c r="K193" s="19">
        <f t="shared" si="1"/>
        <v>0</v>
      </c>
      <c r="L193" s="19">
        <f t="shared" si="2"/>
        <v>72003.707999999984</v>
      </c>
    </row>
    <row r="194" spans="1:12">
      <c r="A194" s="13">
        <v>190</v>
      </c>
      <c r="B194" s="14" t="s">
        <v>756</v>
      </c>
      <c r="C194" s="14" t="s">
        <v>757</v>
      </c>
      <c r="D194" s="16" t="str">
        <f t="shared" si="0"/>
        <v>Supply of Three Phase Submersible Pump 7.5 HP, Discharge 5000-14000 lph, Head 158-85m without Panel Board (Code: GWDMR191)</v>
      </c>
      <c r="E194" s="13" t="s">
        <v>46</v>
      </c>
      <c r="F194" s="17" t="s">
        <v>47</v>
      </c>
      <c r="G194" s="17" t="s">
        <v>52</v>
      </c>
      <c r="H194" s="17" t="s">
        <v>586</v>
      </c>
      <c r="I194" s="17">
        <v>74094.407999999996</v>
      </c>
      <c r="J194" s="13">
        <v>0</v>
      </c>
      <c r="K194" s="19">
        <f t="shared" si="1"/>
        <v>0</v>
      </c>
      <c r="L194" s="19">
        <f t="shared" si="2"/>
        <v>74094.407999999996</v>
      </c>
    </row>
    <row r="195" spans="1:12">
      <c r="A195" s="13">
        <v>191</v>
      </c>
      <c r="B195" s="14" t="s">
        <v>759</v>
      </c>
      <c r="C195" s="14" t="s">
        <v>760</v>
      </c>
      <c r="D195" s="16" t="str">
        <f t="shared" si="0"/>
        <v>Supply of Three Phase Submersible Pump 7.5 HP, Discharge 3000-9000 lph, Head 214-110m without Panel Board (Code: GWDMR192)</v>
      </c>
      <c r="E195" s="13" t="s">
        <v>46</v>
      </c>
      <c r="F195" s="17" t="s">
        <v>47</v>
      </c>
      <c r="G195" s="17" t="s">
        <v>52</v>
      </c>
      <c r="H195" s="17" t="s">
        <v>586</v>
      </c>
      <c r="I195" s="17">
        <v>76598.601999999999</v>
      </c>
      <c r="J195" s="13">
        <v>0</v>
      </c>
      <c r="K195" s="19">
        <f t="shared" si="1"/>
        <v>0</v>
      </c>
      <c r="L195" s="19">
        <f t="shared" si="2"/>
        <v>76598.601999999999</v>
      </c>
    </row>
    <row r="196" spans="1:12">
      <c r="A196" s="13">
        <v>192</v>
      </c>
      <c r="B196" s="14" t="s">
        <v>762</v>
      </c>
      <c r="C196" s="14" t="s">
        <v>763</v>
      </c>
      <c r="D196" s="16" t="str">
        <f t="shared" si="0"/>
        <v>32 A DP switch with indicator modular (MR1017) (Code: GWDMR193)</v>
      </c>
      <c r="E196" s="13" t="s">
        <v>46</v>
      </c>
      <c r="F196" s="17" t="s">
        <v>47</v>
      </c>
      <c r="G196" s="17" t="s">
        <v>52</v>
      </c>
      <c r="H196" s="17" t="s">
        <v>586</v>
      </c>
      <c r="I196" s="17">
        <v>432</v>
      </c>
      <c r="J196" s="13">
        <v>0</v>
      </c>
      <c r="K196" s="19">
        <f t="shared" si="1"/>
        <v>0</v>
      </c>
      <c r="L196" s="19">
        <f t="shared" si="2"/>
        <v>432</v>
      </c>
    </row>
    <row r="197" spans="1:12">
      <c r="A197" s="13">
        <v>193</v>
      </c>
      <c r="B197" s="14" t="s">
        <v>764</v>
      </c>
      <c r="C197" s="14" t="s">
        <v>765</v>
      </c>
      <c r="D197" s="16" t="str">
        <f t="shared" si="0"/>
        <v>S&amp;F Digital Timer Switch (Code: GWDMR194)</v>
      </c>
      <c r="E197" s="13" t="s">
        <v>46</v>
      </c>
      <c r="F197" s="17" t="s">
        <v>47</v>
      </c>
      <c r="G197" s="17" t="s">
        <v>52</v>
      </c>
      <c r="H197" s="17" t="s">
        <v>766</v>
      </c>
      <c r="I197" s="17">
        <v>6500</v>
      </c>
      <c r="J197" s="13">
        <v>0</v>
      </c>
      <c r="K197" s="19">
        <f t="shared" si="1"/>
        <v>0</v>
      </c>
      <c r="L197" s="19">
        <f t="shared" si="2"/>
        <v>6500</v>
      </c>
    </row>
  </sheetData>
  <mergeCells count="3">
    <mergeCell ref="A1:I2"/>
    <mergeCell ref="J1:K1"/>
    <mergeCell ref="J2:K2"/>
  </mergeCells>
  <dataValidations count="1">
    <dataValidation type="list" allowBlank="1" showErrorMessage="1" sqref="J2">
      <formula1>District</formula1>
    </dataValidation>
  </dataValidations>
  <pageMargins left="0.7" right="0.7" top="0.75" bottom="0.75" header="0" footer="0"/>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83"/>
  <sheetViews>
    <sheetView workbookViewId="0"/>
  </sheetViews>
  <sheetFormatPr defaultColWidth="14.453125" defaultRowHeight="15" customHeight="1"/>
  <cols>
    <col min="1" max="1" width="15" customWidth="1"/>
    <col min="2" max="2" width="45.7265625" customWidth="1"/>
    <col min="3" max="3" width="10.54296875" customWidth="1"/>
    <col min="4" max="4" width="11.08984375" customWidth="1"/>
    <col min="5" max="5" width="7.81640625" customWidth="1"/>
    <col min="6" max="6" width="14.453125" customWidth="1"/>
  </cols>
  <sheetData>
    <row r="1" spans="1:6">
      <c r="A1" s="453" t="s">
        <v>0</v>
      </c>
      <c r="B1" s="454"/>
      <c r="C1" s="454"/>
      <c r="D1" s="454"/>
      <c r="E1" s="454"/>
      <c r="F1" s="450"/>
    </row>
    <row r="2" spans="1:6">
      <c r="A2" s="1">
        <v>0</v>
      </c>
      <c r="B2" s="455" t="s">
        <v>1</v>
      </c>
      <c r="C2" s="454"/>
      <c r="D2" s="454"/>
      <c r="E2" s="454"/>
      <c r="F2" s="450"/>
    </row>
    <row r="3" spans="1:6">
      <c r="A3" s="1" t="s">
        <v>3</v>
      </c>
      <c r="B3" s="1" t="s">
        <v>4</v>
      </c>
      <c r="C3" s="1" t="s">
        <v>5</v>
      </c>
      <c r="D3" s="1" t="s">
        <v>6</v>
      </c>
      <c r="E3" s="1" t="s">
        <v>7</v>
      </c>
      <c r="F3" s="2" t="s">
        <v>8</v>
      </c>
    </row>
    <row r="4" spans="1:6">
      <c r="A4" s="456"/>
      <c r="B4" s="3" t="s">
        <v>12</v>
      </c>
      <c r="C4" s="456"/>
      <c r="D4" s="456"/>
      <c r="E4" s="456"/>
      <c r="F4" s="458"/>
    </row>
    <row r="5" spans="1:6">
      <c r="A5" s="457"/>
      <c r="B5" s="4" t="s">
        <v>14</v>
      </c>
      <c r="C5" s="457"/>
      <c r="D5" s="457"/>
      <c r="E5" s="457"/>
      <c r="F5" s="457"/>
    </row>
    <row r="6" spans="1:6">
      <c r="A6" s="5">
        <v>293</v>
      </c>
      <c r="B6" s="3" t="s">
        <v>16</v>
      </c>
      <c r="C6" s="5" t="s">
        <v>17</v>
      </c>
      <c r="D6" s="5">
        <v>1</v>
      </c>
      <c r="E6" s="5">
        <v>1300</v>
      </c>
      <c r="F6" s="8">
        <f>D6*E6</f>
        <v>1300</v>
      </c>
    </row>
    <row r="7" spans="1:6">
      <c r="A7" s="7"/>
      <c r="B7" s="4" t="s">
        <v>22</v>
      </c>
      <c r="C7" s="7"/>
      <c r="D7" s="7"/>
      <c r="E7" s="7"/>
      <c r="F7" s="8"/>
    </row>
    <row r="8" spans="1:6">
      <c r="A8" s="5">
        <v>2206</v>
      </c>
      <c r="B8" s="3" t="s">
        <v>23</v>
      </c>
      <c r="C8" s="5" t="s">
        <v>17</v>
      </c>
      <c r="D8" s="5">
        <v>1</v>
      </c>
      <c r="E8" s="5">
        <v>178.19</v>
      </c>
      <c r="F8" s="8">
        <f>D8*E8</f>
        <v>178.19</v>
      </c>
    </row>
    <row r="9" spans="1:6">
      <c r="A9" s="7">
        <v>115</v>
      </c>
      <c r="B9" s="4" t="s">
        <v>25</v>
      </c>
      <c r="C9" s="7" t="s">
        <v>26</v>
      </c>
      <c r="D9" s="5">
        <v>0.4</v>
      </c>
      <c r="E9" s="5">
        <v>645</v>
      </c>
      <c r="F9" s="8">
        <f>E9*D9</f>
        <v>258</v>
      </c>
    </row>
    <row r="10" spans="1:6">
      <c r="A10" s="7"/>
      <c r="B10" s="9" t="s">
        <v>27</v>
      </c>
      <c r="C10" s="7"/>
      <c r="D10" s="7"/>
      <c r="E10" s="7"/>
      <c r="F10" s="8">
        <f>SUM(F6:F9)</f>
        <v>1736.19</v>
      </c>
    </row>
    <row r="11" spans="1:6">
      <c r="A11" s="7"/>
      <c r="B11" s="9" t="s">
        <v>28</v>
      </c>
      <c r="C11" s="7"/>
      <c r="D11" s="7"/>
      <c r="E11" s="7"/>
      <c r="F11" s="8">
        <f>F10*1%</f>
        <v>17.361900000000002</v>
      </c>
    </row>
    <row r="12" spans="1:6">
      <c r="A12" s="7"/>
      <c r="B12" s="9" t="s">
        <v>30</v>
      </c>
      <c r="C12" s="7"/>
      <c r="D12" s="7"/>
      <c r="E12" s="7"/>
      <c r="F12" s="8">
        <f>SUM(F10:F11)</f>
        <v>1753.5519000000002</v>
      </c>
    </row>
    <row r="13" spans="1:6">
      <c r="A13" s="7"/>
      <c r="B13" s="9" t="s">
        <v>36</v>
      </c>
      <c r="C13" s="7"/>
      <c r="D13" s="7"/>
      <c r="E13" s="7"/>
      <c r="F13" s="8">
        <f>F12*15%</f>
        <v>263.03278499999999</v>
      </c>
    </row>
    <row r="14" spans="1:6">
      <c r="A14" s="7"/>
      <c r="B14" s="9" t="s">
        <v>30</v>
      </c>
      <c r="C14" s="7"/>
      <c r="D14" s="7"/>
      <c r="E14" s="7"/>
      <c r="F14" s="8">
        <f>SUM(F12:F13)</f>
        <v>2016.5846850000003</v>
      </c>
    </row>
    <row r="15" spans="1:6">
      <c r="A15" s="7"/>
      <c r="B15" s="15" t="s">
        <v>44</v>
      </c>
      <c r="C15" s="7"/>
      <c r="D15" s="7"/>
      <c r="E15" s="7"/>
      <c r="F15" s="8">
        <f>F14</f>
        <v>2016.5846850000003</v>
      </c>
    </row>
    <row r="16" spans="1:6">
      <c r="A16" s="7"/>
      <c r="B16" s="9" t="s">
        <v>48</v>
      </c>
      <c r="C16" s="7"/>
      <c r="D16" s="7"/>
      <c r="E16" s="7"/>
      <c r="F16" s="18">
        <f>MROUND(F15, 0.05)</f>
        <v>2016.6000000000001</v>
      </c>
    </row>
    <row r="17" spans="1:6">
      <c r="A17" s="459" t="str">
        <f>CONCATENATE("Say ",F16," x Cost Index")</f>
        <v>Say 2016.6 x Cost Index</v>
      </c>
      <c r="B17" s="454"/>
      <c r="C17" s="454"/>
      <c r="D17" s="454"/>
      <c r="E17" s="454"/>
      <c r="F17" s="450"/>
    </row>
    <row r="18" spans="1:6">
      <c r="A18" s="20">
        <v>0</v>
      </c>
      <c r="B18" s="460" t="s">
        <v>60</v>
      </c>
      <c r="C18" s="454"/>
      <c r="D18" s="454"/>
      <c r="E18" s="454"/>
      <c r="F18" s="450"/>
    </row>
    <row r="19" spans="1:6">
      <c r="A19" s="20" t="s">
        <v>3</v>
      </c>
      <c r="B19" s="20" t="s">
        <v>4</v>
      </c>
      <c r="C19" s="20" t="s">
        <v>5</v>
      </c>
      <c r="D19" s="20" t="s">
        <v>6</v>
      </c>
      <c r="E19" s="20" t="s">
        <v>7</v>
      </c>
      <c r="F19" s="21" t="s">
        <v>8</v>
      </c>
    </row>
    <row r="20" spans="1:6">
      <c r="A20" s="461"/>
      <c r="B20" s="22" t="s">
        <v>12</v>
      </c>
      <c r="C20" s="461"/>
      <c r="D20" s="461"/>
      <c r="E20" s="461"/>
      <c r="F20" s="462"/>
    </row>
    <row r="21" spans="1:6">
      <c r="A21" s="457"/>
      <c r="B21" s="23" t="s">
        <v>14</v>
      </c>
      <c r="C21" s="457"/>
      <c r="D21" s="457"/>
      <c r="E21" s="457"/>
      <c r="F21" s="457"/>
    </row>
    <row r="22" spans="1:6">
      <c r="A22" s="24">
        <v>294</v>
      </c>
      <c r="B22" s="22" t="s">
        <v>79</v>
      </c>
      <c r="C22" s="24" t="s">
        <v>17</v>
      </c>
      <c r="D22" s="24">
        <v>1</v>
      </c>
      <c r="E22" s="24">
        <v>1350</v>
      </c>
      <c r="F22" s="26">
        <f>D22*E22</f>
        <v>1350</v>
      </c>
    </row>
    <row r="23" spans="1:6">
      <c r="A23" s="27"/>
      <c r="B23" s="23" t="s">
        <v>22</v>
      </c>
      <c r="C23" s="27"/>
      <c r="D23" s="27"/>
      <c r="E23" s="27"/>
      <c r="F23" s="26"/>
    </row>
    <row r="24" spans="1:6">
      <c r="A24" s="24">
        <v>2202</v>
      </c>
      <c r="B24" s="22" t="s">
        <v>86</v>
      </c>
      <c r="C24" s="24" t="s">
        <v>17</v>
      </c>
      <c r="D24" s="24">
        <v>1</v>
      </c>
      <c r="E24" s="24">
        <v>163.93</v>
      </c>
      <c r="F24" s="26">
        <f>D24*E24</f>
        <v>163.93</v>
      </c>
    </row>
    <row r="25" spans="1:6">
      <c r="A25" s="27">
        <v>115</v>
      </c>
      <c r="B25" s="23" t="s">
        <v>25</v>
      </c>
      <c r="C25" s="27" t="s">
        <v>26</v>
      </c>
      <c r="D25" s="24">
        <v>0.4</v>
      </c>
      <c r="E25" s="24">
        <v>645</v>
      </c>
      <c r="F25" s="26">
        <f>E25*D25</f>
        <v>258</v>
      </c>
    </row>
    <row r="26" spans="1:6">
      <c r="A26" s="27"/>
      <c r="B26" s="28" t="s">
        <v>27</v>
      </c>
      <c r="C26" s="27"/>
      <c r="D26" s="27"/>
      <c r="E26" s="27"/>
      <c r="F26" s="26">
        <f>SUM(F22:F25)</f>
        <v>1771.93</v>
      </c>
    </row>
    <row r="27" spans="1:6">
      <c r="A27" s="27"/>
      <c r="B27" s="28" t="s">
        <v>28</v>
      </c>
      <c r="C27" s="27"/>
      <c r="D27" s="27"/>
      <c r="E27" s="27"/>
      <c r="F27" s="26">
        <f>F26*1%</f>
        <v>17.7193</v>
      </c>
    </row>
    <row r="28" spans="1:6">
      <c r="A28" s="27"/>
      <c r="B28" s="28" t="s">
        <v>30</v>
      </c>
      <c r="C28" s="27"/>
      <c r="D28" s="27"/>
      <c r="E28" s="27"/>
      <c r="F28" s="26">
        <f>SUM(F26:F27)</f>
        <v>1789.6493</v>
      </c>
    </row>
    <row r="29" spans="1:6">
      <c r="A29" s="27"/>
      <c r="B29" s="28" t="s">
        <v>36</v>
      </c>
      <c r="C29" s="27"/>
      <c r="D29" s="27"/>
      <c r="E29" s="27"/>
      <c r="F29" s="26">
        <f>F28*15%</f>
        <v>268.44739499999997</v>
      </c>
    </row>
    <row r="30" spans="1:6">
      <c r="A30" s="27"/>
      <c r="B30" s="28" t="s">
        <v>30</v>
      </c>
      <c r="C30" s="27"/>
      <c r="D30" s="27"/>
      <c r="E30" s="27"/>
      <c r="F30" s="26">
        <f>SUM(F28:F29)</f>
        <v>2058.0966950000002</v>
      </c>
    </row>
    <row r="31" spans="1:6">
      <c r="A31" s="27"/>
      <c r="B31" s="29" t="s">
        <v>44</v>
      </c>
      <c r="C31" s="27"/>
      <c r="D31" s="27"/>
      <c r="E31" s="27"/>
      <c r="F31" s="26">
        <f>F30</f>
        <v>2058.0966950000002</v>
      </c>
    </row>
    <row r="32" spans="1:6">
      <c r="A32" s="27"/>
      <c r="B32" s="28" t="s">
        <v>48</v>
      </c>
      <c r="C32" s="27"/>
      <c r="D32" s="27"/>
      <c r="E32" s="27"/>
      <c r="F32" s="31">
        <f>MROUND(F31, 0.05)</f>
        <v>2058.1</v>
      </c>
    </row>
    <row r="33" spans="1:6">
      <c r="A33" s="453" t="str">
        <f>CONCATENATE("Say ",F32," x Cost Index")</f>
        <v>Say 2058.1 x Cost Index</v>
      </c>
      <c r="B33" s="454"/>
      <c r="C33" s="454"/>
      <c r="D33" s="454"/>
      <c r="E33" s="454"/>
      <c r="F33" s="450"/>
    </row>
    <row r="34" spans="1:6">
      <c r="A34" s="1">
        <v>0</v>
      </c>
      <c r="B34" s="455" t="s">
        <v>117</v>
      </c>
      <c r="C34" s="454"/>
      <c r="D34" s="454"/>
      <c r="E34" s="454"/>
      <c r="F34" s="450"/>
    </row>
    <row r="35" spans="1:6">
      <c r="A35" s="1" t="s">
        <v>3</v>
      </c>
      <c r="B35" s="1" t="s">
        <v>4</v>
      </c>
      <c r="C35" s="1" t="s">
        <v>5</v>
      </c>
      <c r="D35" s="1" t="s">
        <v>6</v>
      </c>
      <c r="E35" s="1" t="s">
        <v>7</v>
      </c>
      <c r="F35" s="2" t="s">
        <v>8</v>
      </c>
    </row>
    <row r="36" spans="1:6">
      <c r="A36" s="456"/>
      <c r="B36" s="3" t="s">
        <v>12</v>
      </c>
      <c r="C36" s="456"/>
      <c r="D36" s="456"/>
      <c r="E36" s="456"/>
      <c r="F36" s="458"/>
    </row>
    <row r="37" spans="1:6">
      <c r="A37" s="457"/>
      <c r="B37" s="4" t="s">
        <v>14</v>
      </c>
      <c r="C37" s="457"/>
      <c r="D37" s="457"/>
      <c r="E37" s="457"/>
      <c r="F37" s="457"/>
    </row>
    <row r="38" spans="1:6">
      <c r="A38" s="5" t="s">
        <v>126</v>
      </c>
      <c r="B38" s="3" t="s">
        <v>127</v>
      </c>
      <c r="C38" s="5" t="s">
        <v>17</v>
      </c>
      <c r="D38" s="5">
        <v>1</v>
      </c>
      <c r="E38" s="5">
        <v>1400</v>
      </c>
      <c r="F38" s="8">
        <f>D38*E38</f>
        <v>1400</v>
      </c>
    </row>
    <row r="39" spans="1:6">
      <c r="A39" s="7"/>
      <c r="B39" s="4" t="s">
        <v>22</v>
      </c>
      <c r="C39" s="7"/>
      <c r="D39" s="7"/>
      <c r="E39" s="7"/>
      <c r="F39" s="8"/>
    </row>
    <row r="40" spans="1:6">
      <c r="A40" s="5">
        <v>2202</v>
      </c>
      <c r="B40" s="3" t="s">
        <v>86</v>
      </c>
      <c r="C40" s="5" t="s">
        <v>17</v>
      </c>
      <c r="D40" s="5">
        <v>1</v>
      </c>
      <c r="E40" s="5">
        <v>163.93</v>
      </c>
      <c r="F40" s="8">
        <f>D40*E40</f>
        <v>163.93</v>
      </c>
    </row>
    <row r="41" spans="1:6">
      <c r="A41" s="7">
        <v>115</v>
      </c>
      <c r="B41" s="4" t="s">
        <v>25</v>
      </c>
      <c r="C41" s="7" t="s">
        <v>26</v>
      </c>
      <c r="D41" s="5">
        <v>0.4</v>
      </c>
      <c r="E41" s="5">
        <v>645</v>
      </c>
      <c r="F41" s="8">
        <f>E41*D41</f>
        <v>258</v>
      </c>
    </row>
    <row r="42" spans="1:6">
      <c r="A42" s="7"/>
      <c r="B42" s="9" t="s">
        <v>27</v>
      </c>
      <c r="C42" s="7"/>
      <c r="D42" s="7"/>
      <c r="E42" s="7"/>
      <c r="F42" s="8">
        <f>SUM(F38:F41)</f>
        <v>1821.93</v>
      </c>
    </row>
    <row r="43" spans="1:6">
      <c r="A43" s="7"/>
      <c r="B43" s="9" t="s">
        <v>28</v>
      </c>
      <c r="C43" s="7"/>
      <c r="D43" s="7"/>
      <c r="E43" s="7"/>
      <c r="F43" s="8">
        <f>F42*1%</f>
        <v>18.2193</v>
      </c>
    </row>
    <row r="44" spans="1:6">
      <c r="A44" s="7"/>
      <c r="B44" s="9" t="s">
        <v>30</v>
      </c>
      <c r="C44" s="7"/>
      <c r="D44" s="7"/>
      <c r="E44" s="7"/>
      <c r="F44" s="8">
        <f>SUM(F42:F43)</f>
        <v>1840.1493</v>
      </c>
    </row>
    <row r="45" spans="1:6">
      <c r="A45" s="7"/>
      <c r="B45" s="9" t="s">
        <v>36</v>
      </c>
      <c r="C45" s="7"/>
      <c r="D45" s="7"/>
      <c r="E45" s="7"/>
      <c r="F45" s="8">
        <f>F44*15%</f>
        <v>276.02239500000002</v>
      </c>
    </row>
    <row r="46" spans="1:6">
      <c r="A46" s="7"/>
      <c r="B46" s="9" t="s">
        <v>30</v>
      </c>
      <c r="C46" s="7"/>
      <c r="D46" s="7"/>
      <c r="E46" s="7"/>
      <c r="F46" s="8">
        <f>SUM(F44:F45)</f>
        <v>2116.171695</v>
      </c>
    </row>
    <row r="47" spans="1:6">
      <c r="A47" s="7"/>
      <c r="B47" s="15" t="s">
        <v>44</v>
      </c>
      <c r="C47" s="7"/>
      <c r="D47" s="7"/>
      <c r="E47" s="7"/>
      <c r="F47" s="8">
        <f>F46</f>
        <v>2116.171695</v>
      </c>
    </row>
    <row r="48" spans="1:6">
      <c r="A48" s="7"/>
      <c r="B48" s="9" t="s">
        <v>48</v>
      </c>
      <c r="C48" s="7"/>
      <c r="D48" s="7"/>
      <c r="E48" s="7"/>
      <c r="F48" s="18">
        <f>MROUND(F47, 0.05)</f>
        <v>2116.15</v>
      </c>
    </row>
    <row r="49" spans="1:6">
      <c r="A49" s="459" t="str">
        <f>CONCATENATE("Say ",F48," x Cost Index")</f>
        <v>Say 2116.15 x Cost Index</v>
      </c>
      <c r="B49" s="454"/>
      <c r="C49" s="454"/>
      <c r="D49" s="454"/>
      <c r="E49" s="454"/>
      <c r="F49" s="450"/>
    </row>
    <row r="50" spans="1:6">
      <c r="A50" s="20">
        <v>0</v>
      </c>
      <c r="B50" s="460" t="s">
        <v>163</v>
      </c>
      <c r="C50" s="454"/>
      <c r="D50" s="454"/>
      <c r="E50" s="454"/>
      <c r="F50" s="450"/>
    </row>
    <row r="51" spans="1:6">
      <c r="A51" s="20" t="s">
        <v>3</v>
      </c>
      <c r="B51" s="20" t="s">
        <v>4</v>
      </c>
      <c r="C51" s="20" t="s">
        <v>5</v>
      </c>
      <c r="D51" s="20" t="s">
        <v>6</v>
      </c>
      <c r="E51" s="20" t="s">
        <v>7</v>
      </c>
      <c r="F51" s="21" t="s">
        <v>8</v>
      </c>
    </row>
    <row r="52" spans="1:6">
      <c r="A52" s="461"/>
      <c r="B52" s="22" t="s">
        <v>12</v>
      </c>
      <c r="C52" s="461"/>
      <c r="D52" s="461"/>
      <c r="E52" s="461"/>
      <c r="F52" s="462"/>
    </row>
    <row r="53" spans="1:6">
      <c r="A53" s="457"/>
      <c r="B53" s="23" t="s">
        <v>14</v>
      </c>
      <c r="C53" s="457"/>
      <c r="D53" s="457"/>
      <c r="E53" s="457"/>
      <c r="F53" s="457"/>
    </row>
    <row r="54" spans="1:6">
      <c r="A54" s="24">
        <v>982</v>
      </c>
      <c r="B54" s="22" t="s">
        <v>171</v>
      </c>
      <c r="C54" s="24" t="s">
        <v>17</v>
      </c>
      <c r="D54" s="24">
        <v>1</v>
      </c>
      <c r="E54" s="24">
        <v>1500</v>
      </c>
      <c r="F54" s="26">
        <f>D54*E54</f>
        <v>1500</v>
      </c>
    </row>
    <row r="55" spans="1:6">
      <c r="A55" s="27"/>
      <c r="B55" s="23" t="s">
        <v>22</v>
      </c>
      <c r="C55" s="27"/>
      <c r="D55" s="27"/>
      <c r="E55" s="27"/>
      <c r="F55" s="26"/>
    </row>
    <row r="56" spans="1:6">
      <c r="A56" s="24">
        <v>2203</v>
      </c>
      <c r="B56" s="22" t="s">
        <v>177</v>
      </c>
      <c r="C56" s="24" t="s">
        <v>17</v>
      </c>
      <c r="D56" s="24">
        <v>1</v>
      </c>
      <c r="E56" s="24">
        <v>163.93</v>
      </c>
      <c r="F56" s="26">
        <f>D56*E56</f>
        <v>163.93</v>
      </c>
    </row>
    <row r="57" spans="1:6">
      <c r="A57" s="27">
        <v>115</v>
      </c>
      <c r="B57" s="23" t="s">
        <v>25</v>
      </c>
      <c r="C57" s="27" t="s">
        <v>26</v>
      </c>
      <c r="D57" s="24">
        <v>0.6</v>
      </c>
      <c r="E57" s="24">
        <v>645</v>
      </c>
      <c r="F57" s="26">
        <f>E57*D57</f>
        <v>387</v>
      </c>
    </row>
    <row r="58" spans="1:6">
      <c r="A58" s="27"/>
      <c r="B58" s="28" t="s">
        <v>27</v>
      </c>
      <c r="C58" s="27"/>
      <c r="D58" s="27"/>
      <c r="E58" s="27"/>
      <c r="F58" s="26">
        <f>SUM(F54:F57)</f>
        <v>2050.9300000000003</v>
      </c>
    </row>
    <row r="59" spans="1:6">
      <c r="A59" s="27"/>
      <c r="B59" s="28" t="s">
        <v>28</v>
      </c>
      <c r="C59" s="27"/>
      <c r="D59" s="27"/>
      <c r="E59" s="27"/>
      <c r="F59" s="26">
        <f>F58*1%</f>
        <v>20.509300000000003</v>
      </c>
    </row>
    <row r="60" spans="1:6">
      <c r="A60" s="27"/>
      <c r="B60" s="28" t="s">
        <v>30</v>
      </c>
      <c r="C60" s="27"/>
      <c r="D60" s="27"/>
      <c r="E60" s="27"/>
      <c r="F60" s="26">
        <f>SUM(F58:F59)</f>
        <v>2071.4393000000005</v>
      </c>
    </row>
    <row r="61" spans="1:6">
      <c r="A61" s="27"/>
      <c r="B61" s="28" t="s">
        <v>36</v>
      </c>
      <c r="C61" s="27"/>
      <c r="D61" s="27"/>
      <c r="E61" s="27"/>
      <c r="F61" s="26">
        <f>F60*15%</f>
        <v>310.71589500000005</v>
      </c>
    </row>
    <row r="62" spans="1:6">
      <c r="A62" s="27"/>
      <c r="B62" s="28" t="s">
        <v>30</v>
      </c>
      <c r="C62" s="27"/>
      <c r="D62" s="27"/>
      <c r="E62" s="27"/>
      <c r="F62" s="26">
        <f>SUM(F60:F61)</f>
        <v>2382.1551950000003</v>
      </c>
    </row>
    <row r="63" spans="1:6">
      <c r="A63" s="27"/>
      <c r="B63" s="29" t="s">
        <v>44</v>
      </c>
      <c r="C63" s="27"/>
      <c r="D63" s="27"/>
      <c r="E63" s="27"/>
      <c r="F63" s="26">
        <f>F62</f>
        <v>2382.1551950000003</v>
      </c>
    </row>
    <row r="64" spans="1:6">
      <c r="A64" s="27"/>
      <c r="B64" s="28" t="s">
        <v>48</v>
      </c>
      <c r="C64" s="27"/>
      <c r="D64" s="27"/>
      <c r="E64" s="27"/>
      <c r="F64" s="31">
        <f>MROUND(F63, 0.05)</f>
        <v>2382.15</v>
      </c>
    </row>
    <row r="65" spans="1:6">
      <c r="A65" s="453" t="str">
        <f>CONCATENATE("Say ",F64," x Cost Index")</f>
        <v>Say 2382.15 x Cost Index</v>
      </c>
      <c r="B65" s="454"/>
      <c r="C65" s="454"/>
      <c r="D65" s="454"/>
      <c r="E65" s="454"/>
      <c r="F65" s="450"/>
    </row>
    <row r="66" spans="1:6">
      <c r="A66" s="1">
        <v>0</v>
      </c>
      <c r="B66" s="455" t="s">
        <v>198</v>
      </c>
      <c r="C66" s="454"/>
      <c r="D66" s="454"/>
      <c r="E66" s="454"/>
      <c r="F66" s="450"/>
    </row>
    <row r="67" spans="1:6">
      <c r="A67" s="1" t="s">
        <v>3</v>
      </c>
      <c r="B67" s="1" t="s">
        <v>4</v>
      </c>
      <c r="C67" s="1" t="s">
        <v>5</v>
      </c>
      <c r="D67" s="1" t="s">
        <v>6</v>
      </c>
      <c r="E67" s="1" t="s">
        <v>7</v>
      </c>
      <c r="F67" s="2" t="s">
        <v>8</v>
      </c>
    </row>
    <row r="68" spans="1:6">
      <c r="A68" s="456"/>
      <c r="B68" s="3" t="s">
        <v>201</v>
      </c>
      <c r="C68" s="456"/>
      <c r="D68" s="456"/>
      <c r="E68" s="456"/>
      <c r="F68" s="458"/>
    </row>
    <row r="69" spans="1:6">
      <c r="A69" s="457"/>
      <c r="B69" s="4" t="s">
        <v>14</v>
      </c>
      <c r="C69" s="457"/>
      <c r="D69" s="457"/>
      <c r="E69" s="457"/>
      <c r="F69" s="457"/>
    </row>
    <row r="70" spans="1:6">
      <c r="A70" s="5" t="s">
        <v>205</v>
      </c>
      <c r="B70" s="3" t="s">
        <v>208</v>
      </c>
      <c r="C70" s="5" t="s">
        <v>209</v>
      </c>
      <c r="D70" s="5">
        <v>1</v>
      </c>
      <c r="E70" s="5">
        <v>675</v>
      </c>
      <c r="F70" s="8">
        <f>D70*E70</f>
        <v>675</v>
      </c>
    </row>
    <row r="71" spans="1:6">
      <c r="A71" s="7"/>
      <c r="B71" s="4" t="s">
        <v>22</v>
      </c>
      <c r="C71" s="7"/>
      <c r="D71" s="7"/>
      <c r="E71" s="7"/>
      <c r="F71" s="8"/>
    </row>
    <row r="72" spans="1:6">
      <c r="A72" s="5">
        <v>2200</v>
      </c>
      <c r="B72" s="3" t="s">
        <v>217</v>
      </c>
      <c r="C72" s="5" t="s">
        <v>218</v>
      </c>
      <c r="D72" s="5">
        <v>0.1</v>
      </c>
      <c r="E72" s="5">
        <v>187</v>
      </c>
      <c r="F72" s="8">
        <f>D72*E72</f>
        <v>18.7</v>
      </c>
    </row>
    <row r="73" spans="1:6">
      <c r="A73" s="7">
        <v>115</v>
      </c>
      <c r="B73" s="4" t="s">
        <v>25</v>
      </c>
      <c r="C73" s="7" t="s">
        <v>26</v>
      </c>
      <c r="D73" s="5">
        <v>0.6</v>
      </c>
      <c r="E73" s="5">
        <v>645</v>
      </c>
      <c r="F73" s="8">
        <f>E73*D73</f>
        <v>387</v>
      </c>
    </row>
    <row r="74" spans="1:6">
      <c r="A74" s="7"/>
      <c r="B74" s="9" t="s">
        <v>27</v>
      </c>
      <c r="C74" s="7"/>
      <c r="D74" s="7"/>
      <c r="E74" s="7"/>
      <c r="F74" s="8">
        <f>SUM(F70:F73)</f>
        <v>1080.7</v>
      </c>
    </row>
    <row r="75" spans="1:6">
      <c r="A75" s="7"/>
      <c r="B75" s="9" t="s">
        <v>28</v>
      </c>
      <c r="C75" s="7"/>
      <c r="D75" s="7"/>
      <c r="E75" s="7"/>
      <c r="F75" s="8">
        <f>F74*1%</f>
        <v>10.807</v>
      </c>
    </row>
    <row r="76" spans="1:6">
      <c r="A76" s="7"/>
      <c r="B76" s="9" t="s">
        <v>30</v>
      </c>
      <c r="C76" s="7"/>
      <c r="D76" s="7"/>
      <c r="E76" s="7"/>
      <c r="F76" s="8">
        <f>SUM(F74:F75)</f>
        <v>1091.5070000000001</v>
      </c>
    </row>
    <row r="77" spans="1:6">
      <c r="A77" s="7"/>
      <c r="B77" s="9" t="s">
        <v>36</v>
      </c>
      <c r="C77" s="7"/>
      <c r="D77" s="7"/>
      <c r="E77" s="7"/>
      <c r="F77" s="8">
        <f>F76*15%</f>
        <v>163.72605000000001</v>
      </c>
    </row>
    <row r="78" spans="1:6">
      <c r="A78" s="7"/>
      <c r="B78" s="9" t="s">
        <v>30</v>
      </c>
      <c r="C78" s="7"/>
      <c r="D78" s="7"/>
      <c r="E78" s="7"/>
      <c r="F78" s="8">
        <f>SUM(F76:F77)</f>
        <v>1255.23305</v>
      </c>
    </row>
    <row r="79" spans="1:6">
      <c r="A79" s="7"/>
      <c r="B79" s="15" t="s">
        <v>236</v>
      </c>
      <c r="C79" s="7"/>
      <c r="D79" s="7"/>
      <c r="E79" s="7"/>
      <c r="F79" s="8">
        <f>F78</f>
        <v>1255.23305</v>
      </c>
    </row>
    <row r="80" spans="1:6">
      <c r="A80" s="7"/>
      <c r="B80" s="15" t="s">
        <v>238</v>
      </c>
      <c r="C80" s="7"/>
      <c r="D80" s="7"/>
      <c r="E80" s="7"/>
      <c r="F80" s="18">
        <f>F79/100</f>
        <v>12.5523305</v>
      </c>
    </row>
    <row r="81" spans="1:6">
      <c r="A81" s="7"/>
      <c r="B81" s="15" t="s">
        <v>241</v>
      </c>
      <c r="C81" s="7"/>
      <c r="D81" s="7"/>
      <c r="E81" s="7"/>
      <c r="F81" s="18">
        <f>F80*200</f>
        <v>2510.4661000000001</v>
      </c>
    </row>
    <row r="82" spans="1:6">
      <c r="A82" s="7"/>
      <c r="B82" s="9" t="s">
        <v>48</v>
      </c>
      <c r="C82" s="7"/>
      <c r="D82" s="7"/>
      <c r="E82" s="7"/>
      <c r="F82" s="18">
        <f>MROUND(F81, 0.05)</f>
        <v>2510.4500000000003</v>
      </c>
    </row>
    <row r="83" spans="1:6">
      <c r="A83" s="459" t="str">
        <f>CONCATENATE("Say ",F82," x Cost Index")</f>
        <v>Say 2510.45 x Cost Index</v>
      </c>
      <c r="B83" s="454"/>
      <c r="C83" s="454"/>
      <c r="D83" s="454"/>
      <c r="E83" s="454"/>
      <c r="F83" s="450"/>
    </row>
  </sheetData>
  <mergeCells count="36">
    <mergeCell ref="A83:F83"/>
    <mergeCell ref="A49:F49"/>
    <mergeCell ref="B50:F50"/>
    <mergeCell ref="A52:A53"/>
    <mergeCell ref="C52:C53"/>
    <mergeCell ref="D52:D53"/>
    <mergeCell ref="E52:E53"/>
    <mergeCell ref="F52:F53"/>
    <mergeCell ref="A65:F65"/>
    <mergeCell ref="B66:F66"/>
    <mergeCell ref="A68:A69"/>
    <mergeCell ref="C68:C69"/>
    <mergeCell ref="D68:D69"/>
    <mergeCell ref="E68:E69"/>
    <mergeCell ref="F68:F69"/>
    <mergeCell ref="A33:F33"/>
    <mergeCell ref="B34:F34"/>
    <mergeCell ref="A36:A37"/>
    <mergeCell ref="C36:C37"/>
    <mergeCell ref="D36:D37"/>
    <mergeCell ref="E36:E37"/>
    <mergeCell ref="F36:F37"/>
    <mergeCell ref="A17:F17"/>
    <mergeCell ref="B18:F18"/>
    <mergeCell ref="A20:A21"/>
    <mergeCell ref="C20:C21"/>
    <mergeCell ref="D20:D21"/>
    <mergeCell ref="E20:E21"/>
    <mergeCell ref="F20:F21"/>
    <mergeCell ref="A1:F1"/>
    <mergeCell ref="B2:F2"/>
    <mergeCell ref="A4:A5"/>
    <mergeCell ref="C4:C5"/>
    <mergeCell ref="D4:D5"/>
    <mergeCell ref="E4:E5"/>
    <mergeCell ref="F4:F5"/>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287"/>
  <sheetViews>
    <sheetView workbookViewId="0"/>
  </sheetViews>
  <sheetFormatPr defaultColWidth="14.453125" defaultRowHeight="15" customHeight="1"/>
  <cols>
    <col min="1" max="1" width="15" customWidth="1"/>
    <col min="2" max="2" width="45.7265625" customWidth="1"/>
    <col min="3" max="3" width="7.7265625" customWidth="1"/>
    <col min="4" max="4" width="11.08984375" customWidth="1"/>
    <col min="5" max="5" width="6.26953125" customWidth="1"/>
    <col min="6" max="6" width="14.453125" customWidth="1"/>
  </cols>
  <sheetData>
    <row r="1" spans="1:6">
      <c r="A1" s="453" t="s">
        <v>2</v>
      </c>
      <c r="B1" s="454"/>
      <c r="C1" s="454"/>
      <c r="D1" s="454"/>
      <c r="E1" s="454"/>
      <c r="F1" s="450"/>
    </row>
    <row r="2" spans="1:6">
      <c r="A2" s="1">
        <v>0</v>
      </c>
      <c r="B2" s="455" t="s">
        <v>9</v>
      </c>
      <c r="C2" s="454"/>
      <c r="D2" s="454"/>
      <c r="E2" s="454"/>
      <c r="F2" s="450"/>
    </row>
    <row r="3" spans="1:6">
      <c r="A3" s="1" t="s">
        <v>3</v>
      </c>
      <c r="B3" s="1" t="s">
        <v>4</v>
      </c>
      <c r="C3" s="1" t="s">
        <v>5</v>
      </c>
      <c r="D3" s="1" t="s">
        <v>6</v>
      </c>
      <c r="E3" s="1" t="s">
        <v>7</v>
      </c>
      <c r="F3" s="2" t="s">
        <v>8</v>
      </c>
    </row>
    <row r="4" spans="1:6">
      <c r="A4" s="456"/>
      <c r="B4" s="4" t="s">
        <v>13</v>
      </c>
      <c r="C4" s="456"/>
      <c r="D4" s="456"/>
      <c r="E4" s="456"/>
      <c r="F4" s="458"/>
    </row>
    <row r="5" spans="1:6">
      <c r="A5" s="457"/>
      <c r="B5" s="4" t="s">
        <v>14</v>
      </c>
      <c r="C5" s="457"/>
      <c r="D5" s="457"/>
      <c r="E5" s="457"/>
      <c r="F5" s="457"/>
    </row>
    <row r="6" spans="1:6">
      <c r="A6" s="5" t="s">
        <v>19</v>
      </c>
      <c r="B6" s="3" t="s">
        <v>20</v>
      </c>
      <c r="C6" s="7" t="s">
        <v>21</v>
      </c>
      <c r="D6" s="7">
        <v>100</v>
      </c>
      <c r="E6" s="7">
        <f t="array" ref="E6">IFERROR(INDEX(LMRRates,MATCH(A6,LMRCodes,0), ), )</f>
        <v>281</v>
      </c>
      <c r="F6" s="8">
        <f>D6*E6</f>
        <v>28100</v>
      </c>
    </row>
    <row r="7" spans="1:6">
      <c r="A7" s="7"/>
      <c r="B7" s="9" t="s">
        <v>27</v>
      </c>
      <c r="C7" s="7"/>
      <c r="D7" s="7"/>
      <c r="E7" s="7"/>
      <c r="F7" s="8">
        <f>SUM(F6)</f>
        <v>28100</v>
      </c>
    </row>
    <row r="8" spans="1:6">
      <c r="A8" s="7"/>
      <c r="B8" s="9" t="s">
        <v>28</v>
      </c>
      <c r="C8" s="7"/>
      <c r="D8" s="7"/>
      <c r="E8" s="7"/>
      <c r="F8" s="8">
        <f>F7*1/100</f>
        <v>281</v>
      </c>
    </row>
    <row r="9" spans="1:6">
      <c r="A9" s="7"/>
      <c r="B9" s="9" t="s">
        <v>30</v>
      </c>
      <c r="C9" s="7"/>
      <c r="D9" s="7"/>
      <c r="E9" s="7"/>
      <c r="F9" s="8">
        <f>SUM(F7:F8)</f>
        <v>28381</v>
      </c>
    </row>
    <row r="10" spans="1:6">
      <c r="A10" s="7"/>
      <c r="B10" s="9" t="s">
        <v>36</v>
      </c>
      <c r="C10" s="7"/>
      <c r="D10" s="7"/>
      <c r="E10" s="7"/>
      <c r="F10" s="8">
        <f>F9*0.15</f>
        <v>4257.1499999999996</v>
      </c>
    </row>
    <row r="11" spans="1:6">
      <c r="A11" s="7"/>
      <c r="B11" s="9" t="s">
        <v>30</v>
      </c>
      <c r="C11" s="7"/>
      <c r="D11" s="7"/>
      <c r="E11" s="7"/>
      <c r="F11" s="8">
        <f>SUM(F9:F10)</f>
        <v>32638.15</v>
      </c>
    </row>
    <row r="12" spans="1:6">
      <c r="A12" s="7"/>
      <c r="B12" s="9" t="s">
        <v>45</v>
      </c>
      <c r="C12" s="7"/>
      <c r="D12" s="7"/>
      <c r="E12" s="7"/>
      <c r="F12" s="8">
        <f>F11</f>
        <v>32638.15</v>
      </c>
    </row>
    <row r="13" spans="1:6">
      <c r="A13" s="7"/>
      <c r="B13" s="9" t="s">
        <v>54</v>
      </c>
      <c r="C13" s="7"/>
      <c r="D13" s="7"/>
      <c r="E13" s="7"/>
      <c r="F13" s="18">
        <f>MROUND((F12/100), 0.05)</f>
        <v>326.40000000000003</v>
      </c>
    </row>
    <row r="14" spans="1:6">
      <c r="A14" s="7"/>
      <c r="B14" s="4" t="s">
        <v>22</v>
      </c>
      <c r="C14" s="7"/>
      <c r="D14" s="7"/>
      <c r="E14" s="7"/>
      <c r="F14" s="8"/>
    </row>
    <row r="15" spans="1:6">
      <c r="A15" s="7">
        <v>2321</v>
      </c>
      <c r="B15" s="4" t="s">
        <v>57</v>
      </c>
      <c r="C15" s="7" t="s">
        <v>58</v>
      </c>
      <c r="D15" s="7">
        <v>50</v>
      </c>
      <c r="E15" s="5">
        <v>597</v>
      </c>
      <c r="F15" s="8">
        <f>E15/2</f>
        <v>298.5</v>
      </c>
    </row>
    <row r="16" spans="1:6">
      <c r="A16" s="7">
        <v>114</v>
      </c>
      <c r="B16" s="4" t="s">
        <v>59</v>
      </c>
      <c r="C16" s="7" t="s">
        <v>26</v>
      </c>
      <c r="D16" s="7">
        <v>0.5</v>
      </c>
      <c r="E16" s="5">
        <v>645</v>
      </c>
      <c r="F16" s="8">
        <f t="shared" ref="F16:F18" si="0">E16*D16</f>
        <v>322.5</v>
      </c>
    </row>
    <row r="17" spans="1:6">
      <c r="A17" s="7">
        <v>115</v>
      </c>
      <c r="B17" s="4" t="s">
        <v>25</v>
      </c>
      <c r="C17" s="7" t="s">
        <v>26</v>
      </c>
      <c r="D17" s="7">
        <v>0.5</v>
      </c>
      <c r="E17" s="5">
        <v>645</v>
      </c>
      <c r="F17" s="8">
        <f t="shared" si="0"/>
        <v>322.5</v>
      </c>
    </row>
    <row r="18" spans="1:6">
      <c r="A18" s="7">
        <v>9999</v>
      </c>
      <c r="B18" s="4" t="s">
        <v>61</v>
      </c>
      <c r="C18" s="7" t="s">
        <v>62</v>
      </c>
      <c r="D18" s="7">
        <v>10.07</v>
      </c>
      <c r="E18" s="5">
        <v>2.12</v>
      </c>
      <c r="F18" s="8">
        <f t="shared" si="0"/>
        <v>21.348400000000002</v>
      </c>
    </row>
    <row r="19" spans="1:6">
      <c r="A19" s="7"/>
      <c r="B19" s="9" t="s">
        <v>27</v>
      </c>
      <c r="C19" s="7"/>
      <c r="D19" s="7"/>
      <c r="E19" s="7"/>
      <c r="F19" s="8">
        <f>SUM(F15:F18)</f>
        <v>964.84839999999997</v>
      </c>
    </row>
    <row r="20" spans="1:6">
      <c r="A20" s="7"/>
      <c r="B20" s="9" t="s">
        <v>28</v>
      </c>
      <c r="C20" s="7"/>
      <c r="D20" s="7"/>
      <c r="E20" s="7"/>
      <c r="F20" s="8">
        <f>F19*0.01</f>
        <v>9.6484839999999998</v>
      </c>
    </row>
    <row r="21" spans="1:6">
      <c r="A21" s="7"/>
      <c r="B21" s="9" t="s">
        <v>30</v>
      </c>
      <c r="C21" s="7"/>
      <c r="D21" s="7"/>
      <c r="E21" s="7"/>
      <c r="F21" s="8">
        <f>SUM(F19:F20)</f>
        <v>974.49688400000002</v>
      </c>
    </row>
    <row r="22" spans="1:6">
      <c r="A22" s="7"/>
      <c r="B22" s="9" t="s">
        <v>36</v>
      </c>
      <c r="C22" s="7"/>
      <c r="D22" s="7"/>
      <c r="E22" s="7"/>
      <c r="F22" s="8">
        <f>F21*0.15</f>
        <v>146.17453259999999</v>
      </c>
    </row>
    <row r="23" spans="1:6">
      <c r="A23" s="7"/>
      <c r="B23" s="9" t="s">
        <v>30</v>
      </c>
      <c r="C23" s="7"/>
      <c r="D23" s="7"/>
      <c r="E23" s="7"/>
      <c r="F23" s="8">
        <f>SUM(F21:F22)</f>
        <v>1120.6714165999999</v>
      </c>
    </row>
    <row r="24" spans="1:6">
      <c r="A24" s="7"/>
      <c r="B24" s="9" t="s">
        <v>73</v>
      </c>
      <c r="C24" s="7"/>
      <c r="D24" s="7"/>
      <c r="E24" s="7"/>
      <c r="F24" s="8">
        <f>F23</f>
        <v>1120.6714165999999</v>
      </c>
    </row>
    <row r="25" spans="1:6">
      <c r="A25" s="7"/>
      <c r="B25" s="9" t="s">
        <v>54</v>
      </c>
      <c r="C25" s="7"/>
      <c r="D25" s="7"/>
      <c r="E25" s="7"/>
      <c r="F25" s="18">
        <f>F24/100</f>
        <v>11.206714165999999</v>
      </c>
    </row>
    <row r="26" spans="1:6">
      <c r="A26" s="7"/>
      <c r="B26" s="9" t="s">
        <v>48</v>
      </c>
      <c r="C26" s="7"/>
      <c r="D26" s="7"/>
      <c r="E26" s="7"/>
      <c r="F26" s="18">
        <f>MROUND(F25, 0.05)</f>
        <v>11.200000000000001</v>
      </c>
    </row>
    <row r="27" spans="1:6">
      <c r="A27" s="459" t="str">
        <f>CONCATENATE("Say ",F13," + ",F26," x Cost Index")</f>
        <v>Say 326.4 + 11.2 x Cost Index</v>
      </c>
      <c r="B27" s="454"/>
      <c r="C27" s="454"/>
      <c r="D27" s="454"/>
      <c r="E27" s="454"/>
      <c r="F27" s="450"/>
    </row>
    <row r="28" spans="1:6">
      <c r="A28" s="20">
        <v>0</v>
      </c>
      <c r="B28" s="460" t="s">
        <v>85</v>
      </c>
      <c r="C28" s="454"/>
      <c r="D28" s="454"/>
      <c r="E28" s="454"/>
      <c r="F28" s="450"/>
    </row>
    <row r="29" spans="1:6">
      <c r="A29" s="20" t="s">
        <v>3</v>
      </c>
      <c r="B29" s="20" t="s">
        <v>4</v>
      </c>
      <c r="C29" s="20" t="s">
        <v>5</v>
      </c>
      <c r="D29" s="20" t="s">
        <v>6</v>
      </c>
      <c r="E29" s="20" t="s">
        <v>7</v>
      </c>
      <c r="F29" s="21" t="s">
        <v>8</v>
      </c>
    </row>
    <row r="30" spans="1:6">
      <c r="A30" s="461"/>
      <c r="B30" s="23" t="s">
        <v>13</v>
      </c>
      <c r="C30" s="461"/>
      <c r="D30" s="461"/>
      <c r="E30" s="461"/>
      <c r="F30" s="462"/>
    </row>
    <row r="31" spans="1:6">
      <c r="A31" s="457"/>
      <c r="B31" s="23" t="s">
        <v>14</v>
      </c>
      <c r="C31" s="457"/>
      <c r="D31" s="457"/>
      <c r="E31" s="457"/>
      <c r="F31" s="457"/>
    </row>
    <row r="32" spans="1:6">
      <c r="A32" s="24" t="s">
        <v>94</v>
      </c>
      <c r="B32" s="22" t="s">
        <v>95</v>
      </c>
      <c r="C32" s="27" t="s">
        <v>21</v>
      </c>
      <c r="D32" s="27">
        <v>100</v>
      </c>
      <c r="E32" s="24">
        <f t="array" ref="E32">IFERROR(INDEX(LMRRates,MATCH(A32,LMRCodes,0), ), )</f>
        <v>398</v>
      </c>
      <c r="F32" s="26">
        <f>D32*E32</f>
        <v>39800</v>
      </c>
    </row>
    <row r="33" spans="1:6">
      <c r="A33" s="27"/>
      <c r="B33" s="28" t="s">
        <v>27</v>
      </c>
      <c r="C33" s="27"/>
      <c r="D33" s="27"/>
      <c r="E33" s="27"/>
      <c r="F33" s="26">
        <f>SUM(F32)</f>
        <v>39800</v>
      </c>
    </row>
    <row r="34" spans="1:6">
      <c r="A34" s="27"/>
      <c r="B34" s="28" t="s">
        <v>28</v>
      </c>
      <c r="C34" s="27"/>
      <c r="D34" s="27"/>
      <c r="E34" s="27"/>
      <c r="F34" s="26">
        <f>F33*0.01</f>
        <v>398</v>
      </c>
    </row>
    <row r="35" spans="1:6">
      <c r="A35" s="27"/>
      <c r="B35" s="28" t="s">
        <v>30</v>
      </c>
      <c r="C35" s="27"/>
      <c r="D35" s="27"/>
      <c r="E35" s="27"/>
      <c r="F35" s="26">
        <f>SUM(F33:F34)</f>
        <v>40198</v>
      </c>
    </row>
    <row r="36" spans="1:6">
      <c r="A36" s="27"/>
      <c r="B36" s="28" t="s">
        <v>36</v>
      </c>
      <c r="C36" s="27"/>
      <c r="D36" s="27"/>
      <c r="E36" s="27"/>
      <c r="F36" s="26">
        <f>F35*0.15</f>
        <v>6029.7</v>
      </c>
    </row>
    <row r="37" spans="1:6">
      <c r="A37" s="27"/>
      <c r="B37" s="28" t="s">
        <v>30</v>
      </c>
      <c r="C37" s="27"/>
      <c r="D37" s="27"/>
      <c r="E37" s="27"/>
      <c r="F37" s="26">
        <f>SUM(F35:F36)</f>
        <v>46227.7</v>
      </c>
    </row>
    <row r="38" spans="1:6">
      <c r="A38" s="27"/>
      <c r="B38" s="28" t="s">
        <v>45</v>
      </c>
      <c r="C38" s="27"/>
      <c r="D38" s="27"/>
      <c r="E38" s="27"/>
      <c r="F38" s="26">
        <f>F37</f>
        <v>46227.7</v>
      </c>
    </row>
    <row r="39" spans="1:6">
      <c r="A39" s="27"/>
      <c r="B39" s="28" t="s">
        <v>54</v>
      </c>
      <c r="C39" s="27"/>
      <c r="D39" s="27"/>
      <c r="E39" s="27"/>
      <c r="F39" s="31">
        <f>MROUND((F38/100), 0.05)</f>
        <v>462.3</v>
      </c>
    </row>
    <row r="40" spans="1:6">
      <c r="A40" s="27"/>
      <c r="B40" s="23" t="s">
        <v>22</v>
      </c>
      <c r="C40" s="27"/>
      <c r="D40" s="27"/>
      <c r="E40" s="27"/>
      <c r="F40" s="26"/>
    </row>
    <row r="41" spans="1:6">
      <c r="A41" s="27">
        <v>2321</v>
      </c>
      <c r="B41" s="23" t="s">
        <v>57</v>
      </c>
      <c r="C41" s="27" t="s">
        <v>58</v>
      </c>
      <c r="D41" s="27">
        <v>50</v>
      </c>
      <c r="E41" s="24">
        <v>597</v>
      </c>
      <c r="F41" s="26">
        <f>E41/2</f>
        <v>298.5</v>
      </c>
    </row>
    <row r="42" spans="1:6">
      <c r="A42" s="27">
        <v>114</v>
      </c>
      <c r="B42" s="23" t="s">
        <v>59</v>
      </c>
      <c r="C42" s="27" t="s">
        <v>26</v>
      </c>
      <c r="D42" s="27">
        <v>0.5</v>
      </c>
      <c r="E42" s="24">
        <v>645</v>
      </c>
      <c r="F42" s="26">
        <f t="shared" ref="F42:F44" si="1">D42*E42</f>
        <v>322.5</v>
      </c>
    </row>
    <row r="43" spans="1:6">
      <c r="A43" s="27">
        <v>115</v>
      </c>
      <c r="B43" s="23" t="s">
        <v>25</v>
      </c>
      <c r="C43" s="27" t="s">
        <v>26</v>
      </c>
      <c r="D43" s="27">
        <v>0.5</v>
      </c>
      <c r="E43" s="24">
        <v>645</v>
      </c>
      <c r="F43" s="26">
        <f t="shared" si="1"/>
        <v>322.5</v>
      </c>
    </row>
    <row r="44" spans="1:6">
      <c r="A44" s="27">
        <v>9999</v>
      </c>
      <c r="B44" s="23" t="s">
        <v>61</v>
      </c>
      <c r="C44" s="27" t="s">
        <v>62</v>
      </c>
      <c r="D44" s="27">
        <v>10.07</v>
      </c>
      <c r="E44" s="24">
        <v>2.12</v>
      </c>
      <c r="F44" s="26">
        <f t="shared" si="1"/>
        <v>21.348400000000002</v>
      </c>
    </row>
    <row r="45" spans="1:6">
      <c r="A45" s="27"/>
      <c r="B45" s="28" t="s">
        <v>27</v>
      </c>
      <c r="C45" s="27"/>
      <c r="D45" s="27"/>
      <c r="E45" s="27"/>
      <c r="F45" s="26">
        <f>SUM(F41:F44)</f>
        <v>964.84839999999997</v>
      </c>
    </row>
    <row r="46" spans="1:6">
      <c r="A46" s="27"/>
      <c r="B46" s="28" t="s">
        <v>28</v>
      </c>
      <c r="C46" s="27"/>
      <c r="D46" s="27"/>
      <c r="E46" s="27"/>
      <c r="F46" s="26">
        <f>F45*0.01</f>
        <v>9.6484839999999998</v>
      </c>
    </row>
    <row r="47" spans="1:6">
      <c r="A47" s="27"/>
      <c r="B47" s="28" t="s">
        <v>30</v>
      </c>
      <c r="C47" s="27"/>
      <c r="D47" s="27"/>
      <c r="E47" s="27"/>
      <c r="F47" s="26">
        <f>SUM(F45:F46)</f>
        <v>974.49688400000002</v>
      </c>
    </row>
    <row r="48" spans="1:6">
      <c r="A48" s="27"/>
      <c r="B48" s="28" t="s">
        <v>36</v>
      </c>
      <c r="C48" s="27"/>
      <c r="D48" s="27"/>
      <c r="E48" s="27"/>
      <c r="F48" s="26">
        <f>F47*0.15</f>
        <v>146.17453259999999</v>
      </c>
    </row>
    <row r="49" spans="1:6">
      <c r="A49" s="27"/>
      <c r="B49" s="28" t="s">
        <v>30</v>
      </c>
      <c r="C49" s="27"/>
      <c r="D49" s="27"/>
      <c r="E49" s="27"/>
      <c r="F49" s="26">
        <f>SUM(F47:F48)</f>
        <v>1120.6714165999999</v>
      </c>
    </row>
    <row r="50" spans="1:6">
      <c r="A50" s="27"/>
      <c r="B50" s="28" t="s">
        <v>73</v>
      </c>
      <c r="C50" s="27"/>
      <c r="D50" s="27"/>
      <c r="E50" s="27"/>
      <c r="F50" s="26">
        <f>F49</f>
        <v>1120.6714165999999</v>
      </c>
    </row>
    <row r="51" spans="1:6">
      <c r="A51" s="27"/>
      <c r="B51" s="28" t="s">
        <v>54</v>
      </c>
      <c r="C51" s="27"/>
      <c r="D51" s="27"/>
      <c r="E51" s="27"/>
      <c r="F51" s="31">
        <f>F50/100</f>
        <v>11.206714165999999</v>
      </c>
    </row>
    <row r="52" spans="1:6">
      <c r="A52" s="27"/>
      <c r="B52" s="28" t="s">
        <v>48</v>
      </c>
      <c r="C52" s="27"/>
      <c r="D52" s="27"/>
      <c r="E52" s="27"/>
      <c r="F52" s="31">
        <f>MROUND(F51, 0.05)</f>
        <v>11.200000000000001</v>
      </c>
    </row>
    <row r="53" spans="1:6">
      <c r="A53" s="459" t="str">
        <f>CONCATENATE("Say ",F39," + ",F52," x Cost Index")</f>
        <v>Say 462.3 + 11.2 x Cost Index</v>
      </c>
      <c r="B53" s="454"/>
      <c r="C53" s="454"/>
      <c r="D53" s="454"/>
      <c r="E53" s="454"/>
      <c r="F53" s="450"/>
    </row>
    <row r="54" spans="1:6">
      <c r="A54" s="1">
        <v>0</v>
      </c>
      <c r="B54" s="455" t="s">
        <v>160</v>
      </c>
      <c r="C54" s="454"/>
      <c r="D54" s="454"/>
      <c r="E54" s="454"/>
      <c r="F54" s="450"/>
    </row>
    <row r="55" spans="1:6">
      <c r="A55" s="1" t="s">
        <v>3</v>
      </c>
      <c r="B55" s="1" t="s">
        <v>4</v>
      </c>
      <c r="C55" s="1" t="s">
        <v>5</v>
      </c>
      <c r="D55" s="1" t="s">
        <v>6</v>
      </c>
      <c r="E55" s="1" t="s">
        <v>7</v>
      </c>
      <c r="F55" s="2" t="s">
        <v>8</v>
      </c>
    </row>
    <row r="56" spans="1:6">
      <c r="A56" s="456"/>
      <c r="B56" s="4" t="s">
        <v>13</v>
      </c>
      <c r="C56" s="456"/>
      <c r="D56" s="456"/>
      <c r="E56" s="456"/>
      <c r="F56" s="458"/>
    </row>
    <row r="57" spans="1:6">
      <c r="A57" s="457"/>
      <c r="B57" s="4" t="s">
        <v>14</v>
      </c>
      <c r="C57" s="457"/>
      <c r="D57" s="457"/>
      <c r="E57" s="457"/>
      <c r="F57" s="457"/>
    </row>
    <row r="58" spans="1:6">
      <c r="A58" s="5" t="s">
        <v>173</v>
      </c>
      <c r="B58" s="3" t="s">
        <v>174</v>
      </c>
      <c r="C58" s="7" t="s">
        <v>21</v>
      </c>
      <c r="D58" s="7">
        <v>100</v>
      </c>
      <c r="E58" s="5">
        <f t="array" ref="E58">IFERROR(INDEX(LMRRates,MATCH(A58,LMRCodes,0), ), )</f>
        <v>387</v>
      </c>
      <c r="F58" s="8">
        <f>D58*E58</f>
        <v>38700</v>
      </c>
    </row>
    <row r="59" spans="1:6">
      <c r="A59" s="7"/>
      <c r="B59" s="9" t="s">
        <v>27</v>
      </c>
      <c r="C59" s="7"/>
      <c r="D59" s="7"/>
      <c r="E59" s="7"/>
      <c r="F59" s="8">
        <f>SUM(F58)</f>
        <v>38700</v>
      </c>
    </row>
    <row r="60" spans="1:6">
      <c r="A60" s="7"/>
      <c r="B60" s="9" t="s">
        <v>28</v>
      </c>
      <c r="C60" s="7"/>
      <c r="D60" s="7"/>
      <c r="E60" s="7"/>
      <c r="F60" s="8">
        <f>F59*0.01</f>
        <v>387</v>
      </c>
    </row>
    <row r="61" spans="1:6">
      <c r="A61" s="7"/>
      <c r="B61" s="9" t="s">
        <v>30</v>
      </c>
      <c r="C61" s="7"/>
      <c r="D61" s="7"/>
      <c r="E61" s="7"/>
      <c r="F61" s="8">
        <f>SUM(F59:F60)</f>
        <v>39087</v>
      </c>
    </row>
    <row r="62" spans="1:6">
      <c r="A62" s="7">
        <v>114</v>
      </c>
      <c r="B62" s="9" t="s">
        <v>36</v>
      </c>
      <c r="C62" s="7"/>
      <c r="D62" s="7"/>
      <c r="E62" s="7"/>
      <c r="F62" s="8">
        <f>F61*0.15</f>
        <v>5863.05</v>
      </c>
    </row>
    <row r="63" spans="1:6">
      <c r="A63" s="7">
        <v>115</v>
      </c>
      <c r="B63" s="9" t="s">
        <v>30</v>
      </c>
      <c r="C63" s="7"/>
      <c r="D63" s="7"/>
      <c r="E63" s="7"/>
      <c r="F63" s="8">
        <f>SUM(F61:F62)</f>
        <v>44950.05</v>
      </c>
    </row>
    <row r="64" spans="1:6">
      <c r="A64" s="7">
        <v>9999</v>
      </c>
      <c r="B64" s="9" t="s">
        <v>45</v>
      </c>
      <c r="C64" s="7"/>
      <c r="D64" s="7"/>
      <c r="E64" s="7"/>
      <c r="F64" s="8">
        <f>F63</f>
        <v>44950.05</v>
      </c>
    </row>
    <row r="65" spans="1:6">
      <c r="A65" s="7"/>
      <c r="B65" s="9" t="s">
        <v>54</v>
      </c>
      <c r="C65" s="7"/>
      <c r="D65" s="7"/>
      <c r="E65" s="7"/>
      <c r="F65" s="18">
        <f>MROUND((F64/100), 0.05)</f>
        <v>449.5</v>
      </c>
    </row>
    <row r="66" spans="1:6">
      <c r="A66" s="7"/>
      <c r="B66" s="4" t="s">
        <v>22</v>
      </c>
      <c r="C66" s="7"/>
      <c r="D66" s="7"/>
      <c r="E66" s="7"/>
      <c r="F66" s="8"/>
    </row>
    <row r="67" spans="1:6">
      <c r="A67" s="7">
        <v>2321</v>
      </c>
      <c r="B67" s="4" t="s">
        <v>57</v>
      </c>
      <c r="C67" s="7" t="s">
        <v>58</v>
      </c>
      <c r="D67" s="7">
        <v>50</v>
      </c>
      <c r="E67" s="5">
        <v>597</v>
      </c>
      <c r="F67" s="8">
        <f>E67/2</f>
        <v>298.5</v>
      </c>
    </row>
    <row r="68" spans="1:6">
      <c r="A68" s="7">
        <v>114</v>
      </c>
      <c r="B68" s="4" t="s">
        <v>59</v>
      </c>
      <c r="C68" s="7" t="s">
        <v>26</v>
      </c>
      <c r="D68" s="7">
        <v>0.5</v>
      </c>
      <c r="E68" s="5">
        <v>645</v>
      </c>
      <c r="F68" s="8">
        <f t="shared" ref="F68:F70" si="2">D68*E68</f>
        <v>322.5</v>
      </c>
    </row>
    <row r="69" spans="1:6">
      <c r="A69" s="7">
        <v>115</v>
      </c>
      <c r="B69" s="4" t="s">
        <v>25</v>
      </c>
      <c r="C69" s="7" t="s">
        <v>26</v>
      </c>
      <c r="D69" s="7">
        <v>0.5</v>
      </c>
      <c r="E69" s="5">
        <v>645</v>
      </c>
      <c r="F69" s="8">
        <f t="shared" si="2"/>
        <v>322.5</v>
      </c>
    </row>
    <row r="70" spans="1:6">
      <c r="A70" s="7">
        <v>9999</v>
      </c>
      <c r="B70" s="4" t="s">
        <v>61</v>
      </c>
      <c r="C70" s="7" t="s">
        <v>62</v>
      </c>
      <c r="D70" s="7">
        <v>10.07</v>
      </c>
      <c r="E70" s="5">
        <v>2.12</v>
      </c>
      <c r="F70" s="8">
        <f t="shared" si="2"/>
        <v>21.348400000000002</v>
      </c>
    </row>
    <row r="71" spans="1:6">
      <c r="A71" s="7"/>
      <c r="B71" s="9" t="s">
        <v>27</v>
      </c>
      <c r="C71" s="7"/>
      <c r="D71" s="7"/>
      <c r="E71" s="7"/>
      <c r="F71" s="8">
        <f>SUM(F67:F70)</f>
        <v>964.84839999999997</v>
      </c>
    </row>
    <row r="72" spans="1:6">
      <c r="A72" s="7"/>
      <c r="B72" s="9" t="s">
        <v>28</v>
      </c>
      <c r="C72" s="7"/>
      <c r="D72" s="7"/>
      <c r="E72" s="7"/>
      <c r="F72" s="8">
        <f>F71*0.01</f>
        <v>9.6484839999999998</v>
      </c>
    </row>
    <row r="73" spans="1:6">
      <c r="A73" s="7"/>
      <c r="B73" s="9" t="s">
        <v>30</v>
      </c>
      <c r="C73" s="7"/>
      <c r="D73" s="7"/>
      <c r="E73" s="7"/>
      <c r="F73" s="8">
        <f>SUM(F71:F72)</f>
        <v>974.49688400000002</v>
      </c>
    </row>
    <row r="74" spans="1:6">
      <c r="A74" s="7"/>
      <c r="B74" s="9" t="s">
        <v>36</v>
      </c>
      <c r="C74" s="7"/>
      <c r="D74" s="7"/>
      <c r="E74" s="7"/>
      <c r="F74" s="8">
        <f>F73*0.15</f>
        <v>146.17453259999999</v>
      </c>
    </row>
    <row r="75" spans="1:6">
      <c r="A75" s="7"/>
      <c r="B75" s="9" t="s">
        <v>30</v>
      </c>
      <c r="C75" s="7"/>
      <c r="D75" s="7"/>
      <c r="E75" s="7"/>
      <c r="F75" s="8">
        <f>SUM(F73:F74)</f>
        <v>1120.6714165999999</v>
      </c>
    </row>
    <row r="76" spans="1:6">
      <c r="A76" s="7"/>
      <c r="B76" s="9" t="s">
        <v>73</v>
      </c>
      <c r="C76" s="7"/>
      <c r="D76" s="7"/>
      <c r="E76" s="7"/>
      <c r="F76" s="8">
        <f>F75</f>
        <v>1120.6714165999999</v>
      </c>
    </row>
    <row r="77" spans="1:6">
      <c r="A77" s="7"/>
      <c r="B77" s="9" t="s">
        <v>54</v>
      </c>
      <c r="C77" s="7"/>
      <c r="D77" s="7"/>
      <c r="E77" s="7"/>
      <c r="F77" s="18">
        <f>F76/100</f>
        <v>11.206714165999999</v>
      </c>
    </row>
    <row r="78" spans="1:6">
      <c r="A78" s="7"/>
      <c r="B78" s="9" t="s">
        <v>48</v>
      </c>
      <c r="C78" s="7"/>
      <c r="D78" s="7"/>
      <c r="E78" s="7"/>
      <c r="F78" s="18">
        <f>MROUND(F77, 0.05)</f>
        <v>11.200000000000001</v>
      </c>
    </row>
    <row r="79" spans="1:6">
      <c r="A79" s="459" t="str">
        <f>CONCATENATE("Say ",F65," + ",F78," x Cost Index")</f>
        <v>Say 449.5 + 11.2 x Cost Index</v>
      </c>
      <c r="B79" s="454"/>
      <c r="C79" s="454"/>
      <c r="D79" s="454"/>
      <c r="E79" s="454"/>
      <c r="F79" s="450"/>
    </row>
    <row r="80" spans="1:6">
      <c r="A80" s="20">
        <v>0</v>
      </c>
      <c r="B80" s="460" t="s">
        <v>235</v>
      </c>
      <c r="C80" s="454"/>
      <c r="D80" s="454"/>
      <c r="E80" s="454"/>
      <c r="F80" s="450"/>
    </row>
    <row r="81" spans="1:6">
      <c r="A81" s="20" t="s">
        <v>3</v>
      </c>
      <c r="B81" s="20" t="s">
        <v>4</v>
      </c>
      <c r="C81" s="20" t="s">
        <v>5</v>
      </c>
      <c r="D81" s="20" t="s">
        <v>6</v>
      </c>
      <c r="E81" s="20" t="s">
        <v>7</v>
      </c>
      <c r="F81" s="21" t="s">
        <v>8</v>
      </c>
    </row>
    <row r="82" spans="1:6">
      <c r="A82" s="461"/>
      <c r="B82" s="23" t="s">
        <v>13</v>
      </c>
      <c r="C82" s="461"/>
      <c r="D82" s="461"/>
      <c r="E82" s="461"/>
      <c r="F82" s="462"/>
    </row>
    <row r="83" spans="1:6">
      <c r="A83" s="457"/>
      <c r="B83" s="23" t="s">
        <v>14</v>
      </c>
      <c r="C83" s="457"/>
      <c r="D83" s="457"/>
      <c r="E83" s="457"/>
      <c r="F83" s="457"/>
    </row>
    <row r="84" spans="1:6">
      <c r="A84" s="24" t="s">
        <v>247</v>
      </c>
      <c r="B84" s="22" t="s">
        <v>248</v>
      </c>
      <c r="C84" s="27" t="s">
        <v>21</v>
      </c>
      <c r="D84" s="27">
        <v>100</v>
      </c>
      <c r="E84" s="27">
        <f t="array" ref="E84">IFERROR(INDEX(DerivedRates,MATCH(A84,DerivedCodes,0), ), )</f>
        <v>487</v>
      </c>
      <c r="F84" s="26">
        <f>D84*E84</f>
        <v>48700</v>
      </c>
    </row>
    <row r="85" spans="1:6">
      <c r="A85" s="27"/>
      <c r="B85" s="28" t="s">
        <v>27</v>
      </c>
      <c r="C85" s="27"/>
      <c r="D85" s="27"/>
      <c r="E85" s="27"/>
      <c r="F85" s="26">
        <f>SUM(F84)</f>
        <v>48700</v>
      </c>
    </row>
    <row r="86" spans="1:6">
      <c r="A86" s="27"/>
      <c r="B86" s="28" t="s">
        <v>28</v>
      </c>
      <c r="C86" s="27"/>
      <c r="D86" s="27"/>
      <c r="E86" s="27"/>
      <c r="F86" s="26">
        <f>F85*0.01</f>
        <v>487</v>
      </c>
    </row>
    <row r="87" spans="1:6">
      <c r="A87" s="27"/>
      <c r="B87" s="28" t="s">
        <v>30</v>
      </c>
      <c r="C87" s="27"/>
      <c r="D87" s="27"/>
      <c r="E87" s="27"/>
      <c r="F87" s="26">
        <f>SUM(F85:F86)</f>
        <v>49187</v>
      </c>
    </row>
    <row r="88" spans="1:6">
      <c r="A88" s="27"/>
      <c r="B88" s="28" t="s">
        <v>36</v>
      </c>
      <c r="C88" s="27"/>
      <c r="D88" s="27"/>
      <c r="E88" s="27"/>
      <c r="F88" s="26">
        <f>F87*0.15</f>
        <v>7378.0499999999993</v>
      </c>
    </row>
    <row r="89" spans="1:6">
      <c r="A89" s="27"/>
      <c r="B89" s="28" t="s">
        <v>30</v>
      </c>
      <c r="C89" s="27"/>
      <c r="D89" s="27"/>
      <c r="E89" s="27"/>
      <c r="F89" s="26">
        <f>SUM(F87:F88)</f>
        <v>56565.05</v>
      </c>
    </row>
    <row r="90" spans="1:6">
      <c r="A90" s="27"/>
      <c r="B90" s="28" t="s">
        <v>45</v>
      </c>
      <c r="C90" s="27"/>
      <c r="D90" s="27"/>
      <c r="E90" s="27"/>
      <c r="F90" s="26">
        <f>F89</f>
        <v>56565.05</v>
      </c>
    </row>
    <row r="91" spans="1:6">
      <c r="A91" s="27"/>
      <c r="B91" s="28" t="s">
        <v>54</v>
      </c>
      <c r="C91" s="27"/>
      <c r="D91" s="27"/>
      <c r="E91" s="27"/>
      <c r="F91" s="31">
        <f>MROUND((F90/100), 0.05)</f>
        <v>565.65</v>
      </c>
    </row>
    <row r="92" spans="1:6">
      <c r="A92" s="27"/>
      <c r="B92" s="23" t="s">
        <v>22</v>
      </c>
      <c r="C92" s="27"/>
      <c r="D92" s="27"/>
      <c r="E92" s="27"/>
      <c r="F92" s="26"/>
    </row>
    <row r="93" spans="1:6">
      <c r="A93" s="27">
        <v>2321</v>
      </c>
      <c r="B93" s="23" t="s">
        <v>57</v>
      </c>
      <c r="C93" s="27" t="s">
        <v>58</v>
      </c>
      <c r="D93" s="27">
        <v>50</v>
      </c>
      <c r="E93" s="24">
        <v>597</v>
      </c>
      <c r="F93" s="26">
        <f>E93/2</f>
        <v>298.5</v>
      </c>
    </row>
    <row r="94" spans="1:6">
      <c r="A94" s="27">
        <v>114</v>
      </c>
      <c r="B94" s="23" t="s">
        <v>59</v>
      </c>
      <c r="C94" s="27" t="s">
        <v>26</v>
      </c>
      <c r="D94" s="27">
        <v>0.5</v>
      </c>
      <c r="E94" s="24">
        <v>645</v>
      </c>
      <c r="F94" s="26">
        <f t="shared" ref="F94:F96" si="3">E94*D94</f>
        <v>322.5</v>
      </c>
    </row>
    <row r="95" spans="1:6">
      <c r="A95" s="27">
        <v>115</v>
      </c>
      <c r="B95" s="23" t="s">
        <v>25</v>
      </c>
      <c r="C95" s="27" t="s">
        <v>26</v>
      </c>
      <c r="D95" s="27">
        <v>0.5</v>
      </c>
      <c r="E95" s="24">
        <v>645</v>
      </c>
      <c r="F95" s="26">
        <f t="shared" si="3"/>
        <v>322.5</v>
      </c>
    </row>
    <row r="96" spans="1:6">
      <c r="A96" s="27">
        <v>9999</v>
      </c>
      <c r="B96" s="23" t="s">
        <v>61</v>
      </c>
      <c r="C96" s="27" t="s">
        <v>62</v>
      </c>
      <c r="D96" s="27">
        <v>10.07</v>
      </c>
      <c r="E96" s="24">
        <v>2.12</v>
      </c>
      <c r="F96" s="26">
        <f t="shared" si="3"/>
        <v>21.348400000000002</v>
      </c>
    </row>
    <row r="97" spans="1:6">
      <c r="A97" s="27"/>
      <c r="B97" s="28" t="s">
        <v>27</v>
      </c>
      <c r="C97" s="27"/>
      <c r="D97" s="27"/>
      <c r="E97" s="27"/>
      <c r="F97" s="26">
        <f>SUM(F93:F96)</f>
        <v>964.84839999999997</v>
      </c>
    </row>
    <row r="98" spans="1:6">
      <c r="A98" s="27"/>
      <c r="B98" s="28" t="s">
        <v>28</v>
      </c>
      <c r="C98" s="27"/>
      <c r="D98" s="27"/>
      <c r="E98" s="27"/>
      <c r="F98" s="26">
        <f>F97*0.01</f>
        <v>9.6484839999999998</v>
      </c>
    </row>
    <row r="99" spans="1:6">
      <c r="A99" s="27"/>
      <c r="B99" s="28" t="s">
        <v>30</v>
      </c>
      <c r="C99" s="27"/>
      <c r="D99" s="27"/>
      <c r="E99" s="27"/>
      <c r="F99" s="26">
        <f>SUM(F97:F98)</f>
        <v>974.49688400000002</v>
      </c>
    </row>
    <row r="100" spans="1:6">
      <c r="A100" s="27"/>
      <c r="B100" s="28" t="s">
        <v>36</v>
      </c>
      <c r="C100" s="27"/>
      <c r="D100" s="27"/>
      <c r="E100" s="27"/>
      <c r="F100" s="26">
        <f>F99*0.15</f>
        <v>146.17453259999999</v>
      </c>
    </row>
    <row r="101" spans="1:6">
      <c r="A101" s="27"/>
      <c r="B101" s="28" t="s">
        <v>30</v>
      </c>
      <c r="C101" s="27"/>
      <c r="D101" s="27"/>
      <c r="E101" s="27"/>
      <c r="F101" s="26">
        <f>SUM(F99:F100)</f>
        <v>1120.6714165999999</v>
      </c>
    </row>
    <row r="102" spans="1:6">
      <c r="A102" s="27"/>
      <c r="B102" s="28" t="s">
        <v>73</v>
      </c>
      <c r="C102" s="27"/>
      <c r="D102" s="27"/>
      <c r="E102" s="27"/>
      <c r="F102" s="26">
        <f>F101</f>
        <v>1120.6714165999999</v>
      </c>
    </row>
    <row r="103" spans="1:6">
      <c r="A103" s="27"/>
      <c r="B103" s="28" t="s">
        <v>54</v>
      </c>
      <c r="C103" s="27"/>
      <c r="D103" s="27"/>
      <c r="E103" s="27"/>
      <c r="F103" s="31">
        <f>F102/100</f>
        <v>11.206714165999999</v>
      </c>
    </row>
    <row r="104" spans="1:6">
      <c r="A104" s="27"/>
      <c r="B104" s="28" t="s">
        <v>48</v>
      </c>
      <c r="C104" s="27"/>
      <c r="D104" s="27"/>
      <c r="E104" s="27"/>
      <c r="F104" s="31">
        <f>MROUND(F103, 0.05)</f>
        <v>11.200000000000001</v>
      </c>
    </row>
    <row r="105" spans="1:6">
      <c r="A105" s="459" t="str">
        <f>CONCATENATE("Say ",F91," + ",F104," x Cost Index")</f>
        <v>Say 565.65 + 11.2 x Cost Index</v>
      </c>
      <c r="B105" s="454"/>
      <c r="C105" s="454"/>
      <c r="D105" s="454"/>
      <c r="E105" s="454"/>
      <c r="F105" s="450"/>
    </row>
    <row r="106" spans="1:6">
      <c r="A106" s="1">
        <v>0</v>
      </c>
      <c r="B106" s="455" t="s">
        <v>305</v>
      </c>
      <c r="C106" s="454"/>
      <c r="D106" s="454"/>
      <c r="E106" s="454"/>
      <c r="F106" s="450"/>
    </row>
    <row r="107" spans="1:6">
      <c r="A107" s="1" t="s">
        <v>3</v>
      </c>
      <c r="B107" s="1" t="s">
        <v>4</v>
      </c>
      <c r="C107" s="1" t="s">
        <v>5</v>
      </c>
      <c r="D107" s="1" t="s">
        <v>6</v>
      </c>
      <c r="E107" s="1" t="s">
        <v>7</v>
      </c>
      <c r="F107" s="2" t="s">
        <v>8</v>
      </c>
    </row>
    <row r="108" spans="1:6">
      <c r="A108" s="456"/>
      <c r="B108" s="4" t="s">
        <v>13</v>
      </c>
      <c r="C108" s="456"/>
      <c r="D108" s="456"/>
      <c r="E108" s="456"/>
      <c r="F108" s="458"/>
    </row>
    <row r="109" spans="1:6">
      <c r="A109" s="457"/>
      <c r="B109" s="4" t="s">
        <v>14</v>
      </c>
      <c r="C109" s="457"/>
      <c r="D109" s="457"/>
      <c r="E109" s="457"/>
      <c r="F109" s="457"/>
    </row>
    <row r="110" spans="1:6">
      <c r="A110" s="5" t="s">
        <v>311</v>
      </c>
      <c r="B110" s="3" t="s">
        <v>313</v>
      </c>
      <c r="C110" s="7" t="s">
        <v>21</v>
      </c>
      <c r="D110" s="7">
        <v>100</v>
      </c>
      <c r="E110" s="5">
        <f t="array" ref="E110">IFERROR(INDEX(LMRRates,MATCH(A110,LMRCodes,0), ), )</f>
        <v>654</v>
      </c>
      <c r="F110" s="8">
        <f>D110*E110</f>
        <v>65400</v>
      </c>
    </row>
    <row r="111" spans="1:6">
      <c r="A111" s="7"/>
      <c r="B111" s="9" t="s">
        <v>27</v>
      </c>
      <c r="C111" s="7"/>
      <c r="D111" s="7"/>
      <c r="E111" s="7"/>
      <c r="F111" s="8">
        <f>SUM(F110)</f>
        <v>65400</v>
      </c>
    </row>
    <row r="112" spans="1:6">
      <c r="A112" s="7"/>
      <c r="B112" s="9" t="s">
        <v>28</v>
      </c>
      <c r="C112" s="7"/>
      <c r="D112" s="7"/>
      <c r="E112" s="7"/>
      <c r="F112" s="8">
        <f>F111*0.01</f>
        <v>654</v>
      </c>
    </row>
    <row r="113" spans="1:6">
      <c r="A113" s="7"/>
      <c r="B113" s="9" t="s">
        <v>30</v>
      </c>
      <c r="C113" s="7"/>
      <c r="D113" s="7"/>
      <c r="E113" s="7"/>
      <c r="F113" s="8">
        <f>SUM(F111:F112)</f>
        <v>66054</v>
      </c>
    </row>
    <row r="114" spans="1:6">
      <c r="A114" s="7"/>
      <c r="B114" s="9" t="s">
        <v>36</v>
      </c>
      <c r="C114" s="7"/>
      <c r="D114" s="7"/>
      <c r="E114" s="7"/>
      <c r="F114" s="8">
        <f>F113*0.15</f>
        <v>9908.1</v>
      </c>
    </row>
    <row r="115" spans="1:6">
      <c r="A115" s="7"/>
      <c r="B115" s="9" t="s">
        <v>30</v>
      </c>
      <c r="C115" s="7"/>
      <c r="D115" s="7"/>
      <c r="E115" s="7"/>
      <c r="F115" s="8">
        <f>SUM(F113:F114)</f>
        <v>75962.100000000006</v>
      </c>
    </row>
    <row r="116" spans="1:6">
      <c r="A116" s="7"/>
      <c r="B116" s="9" t="s">
        <v>45</v>
      </c>
      <c r="C116" s="7"/>
      <c r="D116" s="7"/>
      <c r="E116" s="7"/>
      <c r="F116" s="8">
        <f>F115</f>
        <v>75962.100000000006</v>
      </c>
    </row>
    <row r="117" spans="1:6">
      <c r="A117" s="7"/>
      <c r="B117" s="9" t="s">
        <v>54</v>
      </c>
      <c r="C117" s="7"/>
      <c r="D117" s="7"/>
      <c r="E117" s="7"/>
      <c r="F117" s="18">
        <f>MROUND((F116/100), 0.05)</f>
        <v>759.6</v>
      </c>
    </row>
    <row r="118" spans="1:6">
      <c r="A118" s="7"/>
      <c r="B118" s="4" t="s">
        <v>22</v>
      </c>
      <c r="C118" s="7"/>
      <c r="D118" s="7"/>
      <c r="E118" s="7"/>
      <c r="F118" s="8"/>
    </row>
    <row r="119" spans="1:6">
      <c r="A119" s="7">
        <v>2321</v>
      </c>
      <c r="B119" s="4" t="s">
        <v>57</v>
      </c>
      <c r="C119" s="7" t="s">
        <v>58</v>
      </c>
      <c r="D119" s="7">
        <v>50</v>
      </c>
      <c r="E119" s="5">
        <v>597</v>
      </c>
      <c r="F119" s="8">
        <f>E119/2</f>
        <v>298.5</v>
      </c>
    </row>
    <row r="120" spans="1:6">
      <c r="A120" s="7">
        <v>114</v>
      </c>
      <c r="B120" s="4" t="s">
        <v>59</v>
      </c>
      <c r="C120" s="7" t="s">
        <v>26</v>
      </c>
      <c r="D120" s="7">
        <v>0.5</v>
      </c>
      <c r="E120" s="5">
        <v>645</v>
      </c>
      <c r="F120" s="8">
        <f t="shared" ref="F120:F122" si="4">D120*E120</f>
        <v>322.5</v>
      </c>
    </row>
    <row r="121" spans="1:6">
      <c r="A121" s="7">
        <v>115</v>
      </c>
      <c r="B121" s="4" t="s">
        <v>25</v>
      </c>
      <c r="C121" s="7" t="s">
        <v>26</v>
      </c>
      <c r="D121" s="7">
        <v>0.5</v>
      </c>
      <c r="E121" s="5">
        <v>645</v>
      </c>
      <c r="F121" s="8">
        <f t="shared" si="4"/>
        <v>322.5</v>
      </c>
    </row>
    <row r="122" spans="1:6">
      <c r="A122" s="7">
        <v>9999</v>
      </c>
      <c r="B122" s="4" t="s">
        <v>61</v>
      </c>
      <c r="C122" s="7" t="s">
        <v>62</v>
      </c>
      <c r="D122" s="7">
        <v>10.07</v>
      </c>
      <c r="E122" s="5">
        <v>2.12</v>
      </c>
      <c r="F122" s="8">
        <f t="shared" si="4"/>
        <v>21.348400000000002</v>
      </c>
    </row>
    <row r="123" spans="1:6">
      <c r="A123" s="7"/>
      <c r="B123" s="9" t="s">
        <v>27</v>
      </c>
      <c r="C123" s="7"/>
      <c r="D123" s="7"/>
      <c r="E123" s="7"/>
      <c r="F123" s="8">
        <f>SUM(F119:F122)</f>
        <v>964.84839999999997</v>
      </c>
    </row>
    <row r="124" spans="1:6">
      <c r="A124" s="7"/>
      <c r="B124" s="9" t="s">
        <v>28</v>
      </c>
      <c r="C124" s="7"/>
      <c r="D124" s="7"/>
      <c r="E124" s="7"/>
      <c r="F124" s="8">
        <f>F123*0.01</f>
        <v>9.6484839999999998</v>
      </c>
    </row>
    <row r="125" spans="1:6">
      <c r="A125" s="7"/>
      <c r="B125" s="9" t="s">
        <v>30</v>
      </c>
      <c r="C125" s="7"/>
      <c r="D125" s="7"/>
      <c r="E125" s="7"/>
      <c r="F125" s="8">
        <f>SUM(F123:F124)</f>
        <v>974.49688400000002</v>
      </c>
    </row>
    <row r="126" spans="1:6">
      <c r="A126" s="7"/>
      <c r="B126" s="9" t="s">
        <v>36</v>
      </c>
      <c r="C126" s="7"/>
      <c r="D126" s="7"/>
      <c r="E126" s="7"/>
      <c r="F126" s="8">
        <f>F125*0.15</f>
        <v>146.17453259999999</v>
      </c>
    </row>
    <row r="127" spans="1:6">
      <c r="A127" s="7"/>
      <c r="B127" s="9" t="s">
        <v>30</v>
      </c>
      <c r="C127" s="7"/>
      <c r="D127" s="7"/>
      <c r="E127" s="7"/>
      <c r="F127" s="8">
        <f>SUM(F125:F126)</f>
        <v>1120.6714165999999</v>
      </c>
    </row>
    <row r="128" spans="1:6">
      <c r="A128" s="7"/>
      <c r="B128" s="9" t="s">
        <v>73</v>
      </c>
      <c r="C128" s="7"/>
      <c r="D128" s="7"/>
      <c r="E128" s="7"/>
      <c r="F128" s="8">
        <f>F127</f>
        <v>1120.6714165999999</v>
      </c>
    </row>
    <row r="129" spans="1:6">
      <c r="A129" s="7"/>
      <c r="B129" s="9" t="s">
        <v>54</v>
      </c>
      <c r="C129" s="7"/>
      <c r="D129" s="7"/>
      <c r="E129" s="7"/>
      <c r="F129" s="18">
        <f>F128/100</f>
        <v>11.206714165999999</v>
      </c>
    </row>
    <row r="130" spans="1:6">
      <c r="A130" s="7"/>
      <c r="B130" s="9" t="s">
        <v>48</v>
      </c>
      <c r="C130" s="7"/>
      <c r="D130" s="7"/>
      <c r="E130" s="7"/>
      <c r="F130" s="18">
        <f>MROUND(F129, 0.05)</f>
        <v>11.200000000000001</v>
      </c>
    </row>
    <row r="131" spans="1:6">
      <c r="A131" s="459" t="str">
        <f>CONCATENATE("Say ",F117," + ",F130," x Cost Index")</f>
        <v>Say 759.6 + 11.2 x Cost Index</v>
      </c>
      <c r="B131" s="454"/>
      <c r="C131" s="454"/>
      <c r="D131" s="454"/>
      <c r="E131" s="454"/>
      <c r="F131" s="450"/>
    </row>
    <row r="132" spans="1:6">
      <c r="A132" s="20">
        <v>0</v>
      </c>
      <c r="B132" s="460" t="s">
        <v>426</v>
      </c>
      <c r="C132" s="454"/>
      <c r="D132" s="454"/>
      <c r="E132" s="454"/>
      <c r="F132" s="450"/>
    </row>
    <row r="133" spans="1:6">
      <c r="A133" s="20" t="s">
        <v>3</v>
      </c>
      <c r="B133" s="20" t="s">
        <v>4</v>
      </c>
      <c r="C133" s="20" t="s">
        <v>5</v>
      </c>
      <c r="D133" s="20" t="s">
        <v>6</v>
      </c>
      <c r="E133" s="20" t="s">
        <v>7</v>
      </c>
      <c r="F133" s="21" t="s">
        <v>8</v>
      </c>
    </row>
    <row r="134" spans="1:6">
      <c r="A134" s="461"/>
      <c r="B134" s="23" t="s">
        <v>13</v>
      </c>
      <c r="C134" s="461"/>
      <c r="D134" s="461"/>
      <c r="E134" s="461"/>
      <c r="F134" s="462"/>
    </row>
    <row r="135" spans="1:6">
      <c r="A135" s="457"/>
      <c r="B135" s="23" t="s">
        <v>14</v>
      </c>
      <c r="C135" s="457"/>
      <c r="D135" s="457"/>
      <c r="E135" s="457"/>
      <c r="F135" s="457"/>
    </row>
    <row r="136" spans="1:6">
      <c r="A136" s="24" t="s">
        <v>436</v>
      </c>
      <c r="B136" s="22" t="s">
        <v>437</v>
      </c>
      <c r="C136" s="27" t="s">
        <v>21</v>
      </c>
      <c r="D136" s="27">
        <v>100</v>
      </c>
      <c r="E136" s="27">
        <f t="array" ref="E136">IFERROR(INDEX(LMRRates,MATCH(A136,LMRCodes,0), ), )</f>
        <v>813</v>
      </c>
      <c r="F136" s="26">
        <f>D136*E136</f>
        <v>81300</v>
      </c>
    </row>
    <row r="137" spans="1:6">
      <c r="A137" s="27"/>
      <c r="B137" s="28" t="s">
        <v>27</v>
      </c>
      <c r="C137" s="27"/>
      <c r="D137" s="27"/>
      <c r="E137" s="27"/>
      <c r="F137" s="26">
        <f>SUM(F136)</f>
        <v>81300</v>
      </c>
    </row>
    <row r="138" spans="1:6">
      <c r="A138" s="27"/>
      <c r="B138" s="28" t="s">
        <v>28</v>
      </c>
      <c r="C138" s="27"/>
      <c r="D138" s="27"/>
      <c r="E138" s="27"/>
      <c r="F138" s="26">
        <f>F137*0.01</f>
        <v>813</v>
      </c>
    </row>
    <row r="139" spans="1:6">
      <c r="A139" s="27"/>
      <c r="B139" s="28" t="s">
        <v>30</v>
      </c>
      <c r="C139" s="27"/>
      <c r="D139" s="27"/>
      <c r="E139" s="27"/>
      <c r="F139" s="26">
        <f>SUM(F137:F138)</f>
        <v>82113</v>
      </c>
    </row>
    <row r="140" spans="1:6">
      <c r="A140" s="27"/>
      <c r="B140" s="28" t="s">
        <v>36</v>
      </c>
      <c r="C140" s="27"/>
      <c r="D140" s="27"/>
      <c r="E140" s="27"/>
      <c r="F140" s="26">
        <f>F139*0.15</f>
        <v>12316.949999999999</v>
      </c>
    </row>
    <row r="141" spans="1:6">
      <c r="A141" s="27"/>
      <c r="B141" s="28" t="s">
        <v>30</v>
      </c>
      <c r="C141" s="27"/>
      <c r="D141" s="27"/>
      <c r="E141" s="27"/>
      <c r="F141" s="26">
        <f>SUM(F139:F140)</f>
        <v>94429.95</v>
      </c>
    </row>
    <row r="142" spans="1:6">
      <c r="A142" s="27"/>
      <c r="B142" s="28" t="s">
        <v>45</v>
      </c>
      <c r="C142" s="27"/>
      <c r="D142" s="27"/>
      <c r="E142" s="27"/>
      <c r="F142" s="26">
        <f>F141</f>
        <v>94429.95</v>
      </c>
    </row>
    <row r="143" spans="1:6">
      <c r="A143" s="27"/>
      <c r="B143" s="28" t="s">
        <v>54</v>
      </c>
      <c r="C143" s="27"/>
      <c r="D143" s="27"/>
      <c r="E143" s="27"/>
      <c r="F143" s="31">
        <f>MROUND((F142/100), 0.05)</f>
        <v>944.30000000000007</v>
      </c>
    </row>
    <row r="144" spans="1:6">
      <c r="A144" s="27"/>
      <c r="B144" s="23" t="s">
        <v>22</v>
      </c>
      <c r="C144" s="27"/>
      <c r="D144" s="27"/>
      <c r="E144" s="27"/>
      <c r="F144" s="26"/>
    </row>
    <row r="145" spans="1:6">
      <c r="A145" s="27">
        <v>2321</v>
      </c>
      <c r="B145" s="23" t="s">
        <v>57</v>
      </c>
      <c r="C145" s="27" t="s">
        <v>58</v>
      </c>
      <c r="D145" s="27">
        <v>50</v>
      </c>
      <c r="E145" s="24">
        <v>597</v>
      </c>
      <c r="F145" s="26">
        <f>E145/2</f>
        <v>298.5</v>
      </c>
    </row>
    <row r="146" spans="1:6">
      <c r="A146" s="27">
        <v>114</v>
      </c>
      <c r="B146" s="23" t="s">
        <v>59</v>
      </c>
      <c r="C146" s="27" t="s">
        <v>26</v>
      </c>
      <c r="D146" s="27">
        <v>0.5</v>
      </c>
      <c r="E146" s="24">
        <v>645</v>
      </c>
      <c r="F146" s="26">
        <f t="shared" ref="F146:F147" si="5">D146*E146</f>
        <v>322.5</v>
      </c>
    </row>
    <row r="147" spans="1:6">
      <c r="A147" s="27">
        <v>115</v>
      </c>
      <c r="B147" s="23" t="s">
        <v>25</v>
      </c>
      <c r="C147" s="27" t="s">
        <v>26</v>
      </c>
      <c r="D147" s="27">
        <v>0.5</v>
      </c>
      <c r="E147" s="24">
        <v>645</v>
      </c>
      <c r="F147" s="26">
        <f t="shared" si="5"/>
        <v>322.5</v>
      </c>
    </row>
    <row r="148" spans="1:6">
      <c r="A148" s="27">
        <v>9999</v>
      </c>
      <c r="B148" s="23" t="s">
        <v>61</v>
      </c>
      <c r="C148" s="27" t="s">
        <v>62</v>
      </c>
      <c r="D148" s="27">
        <v>10.07</v>
      </c>
      <c r="E148" s="24">
        <v>2.12</v>
      </c>
      <c r="F148" s="26">
        <v>20.14</v>
      </c>
    </row>
    <row r="149" spans="1:6">
      <c r="A149" s="27"/>
      <c r="B149" s="28" t="s">
        <v>27</v>
      </c>
      <c r="C149" s="27"/>
      <c r="D149" s="27"/>
      <c r="E149" s="27"/>
      <c r="F149" s="26">
        <f>SUM(F145:F148)</f>
        <v>963.64</v>
      </c>
    </row>
    <row r="150" spans="1:6">
      <c r="A150" s="27"/>
      <c r="B150" s="28" t="s">
        <v>28</v>
      </c>
      <c r="C150" s="27"/>
      <c r="D150" s="27"/>
      <c r="E150" s="27"/>
      <c r="F150" s="26">
        <f>F149*0.01</f>
        <v>9.6364000000000001</v>
      </c>
    </row>
    <row r="151" spans="1:6">
      <c r="A151" s="27"/>
      <c r="B151" s="28" t="s">
        <v>30</v>
      </c>
      <c r="C151" s="27"/>
      <c r="D151" s="27"/>
      <c r="E151" s="27"/>
      <c r="F151" s="26">
        <f>SUM(F149:F150)</f>
        <v>973.27639999999997</v>
      </c>
    </row>
    <row r="152" spans="1:6">
      <c r="A152" s="27"/>
      <c r="B152" s="28" t="s">
        <v>36</v>
      </c>
      <c r="C152" s="27"/>
      <c r="D152" s="27"/>
      <c r="E152" s="27"/>
      <c r="F152" s="26">
        <f>F151*0.15</f>
        <v>145.99145999999999</v>
      </c>
    </row>
    <row r="153" spans="1:6">
      <c r="A153" s="27"/>
      <c r="B153" s="28" t="s">
        <v>30</v>
      </c>
      <c r="C153" s="27"/>
      <c r="D153" s="27"/>
      <c r="E153" s="27"/>
      <c r="F153" s="26">
        <f>SUM(F151:F152)</f>
        <v>1119.2678599999999</v>
      </c>
    </row>
    <row r="154" spans="1:6">
      <c r="A154" s="27"/>
      <c r="B154" s="28" t="s">
        <v>73</v>
      </c>
      <c r="C154" s="27"/>
      <c r="D154" s="27"/>
      <c r="E154" s="27"/>
      <c r="F154" s="26">
        <f>F153</f>
        <v>1119.2678599999999</v>
      </c>
    </row>
    <row r="155" spans="1:6">
      <c r="A155" s="27"/>
      <c r="B155" s="28" t="s">
        <v>54</v>
      </c>
      <c r="C155" s="27"/>
      <c r="D155" s="27"/>
      <c r="E155" s="27"/>
      <c r="F155" s="31">
        <f>F154/100</f>
        <v>11.192678599999999</v>
      </c>
    </row>
    <row r="156" spans="1:6">
      <c r="A156" s="27"/>
      <c r="B156" s="28" t="s">
        <v>48</v>
      </c>
      <c r="C156" s="27"/>
      <c r="D156" s="27"/>
      <c r="E156" s="27"/>
      <c r="F156" s="31">
        <f>MROUND(F155, 0.05)</f>
        <v>11.200000000000001</v>
      </c>
    </row>
    <row r="157" spans="1:6">
      <c r="A157" s="459" t="str">
        <f>CONCATENATE("Say ",F143," + ",F156," x Cost Index")</f>
        <v>Say 944.3 + 11.2 x Cost Index</v>
      </c>
      <c r="B157" s="454"/>
      <c r="C157" s="454"/>
      <c r="D157" s="454"/>
      <c r="E157" s="454"/>
      <c r="F157" s="450"/>
    </row>
    <row r="158" spans="1:6">
      <c r="A158" s="1">
        <v>0</v>
      </c>
      <c r="B158" s="455" t="s">
        <v>501</v>
      </c>
      <c r="C158" s="454"/>
      <c r="D158" s="454"/>
      <c r="E158" s="454"/>
      <c r="F158" s="450"/>
    </row>
    <row r="159" spans="1:6">
      <c r="A159" s="1" t="s">
        <v>3</v>
      </c>
      <c r="B159" s="1" t="s">
        <v>4</v>
      </c>
      <c r="C159" s="1" t="s">
        <v>5</v>
      </c>
      <c r="D159" s="1" t="s">
        <v>6</v>
      </c>
      <c r="E159" s="1" t="s">
        <v>7</v>
      </c>
      <c r="F159" s="2" t="s">
        <v>8</v>
      </c>
    </row>
    <row r="160" spans="1:6">
      <c r="A160" s="456"/>
      <c r="B160" s="4" t="s">
        <v>13</v>
      </c>
      <c r="C160" s="456"/>
      <c r="D160" s="456"/>
      <c r="E160" s="456"/>
      <c r="F160" s="458"/>
    </row>
    <row r="161" spans="1:6">
      <c r="A161" s="457"/>
      <c r="B161" s="4" t="s">
        <v>14</v>
      </c>
      <c r="C161" s="457"/>
      <c r="D161" s="457"/>
      <c r="E161" s="457"/>
      <c r="F161" s="457"/>
    </row>
    <row r="162" spans="1:6">
      <c r="A162" s="5" t="s">
        <v>505</v>
      </c>
      <c r="B162" s="3" t="s">
        <v>506</v>
      </c>
      <c r="C162" s="7" t="s">
        <v>21</v>
      </c>
      <c r="D162" s="7">
        <v>100</v>
      </c>
      <c r="E162" s="5">
        <f t="array" ref="E162">IFERROR(INDEX(LMRRates,MATCH(A162,LMRCodes,0), ), )</f>
        <v>957</v>
      </c>
      <c r="F162" s="8">
        <f>D162*E162</f>
        <v>95700</v>
      </c>
    </row>
    <row r="163" spans="1:6">
      <c r="A163" s="7"/>
      <c r="B163" s="9" t="s">
        <v>27</v>
      </c>
      <c r="C163" s="7"/>
      <c r="D163" s="7"/>
      <c r="E163" s="7"/>
      <c r="F163" s="8">
        <f>SUM(F162)</f>
        <v>95700</v>
      </c>
    </row>
    <row r="164" spans="1:6">
      <c r="A164" s="7"/>
      <c r="B164" s="9" t="s">
        <v>28</v>
      </c>
      <c r="C164" s="7"/>
      <c r="D164" s="7"/>
      <c r="E164" s="7"/>
      <c r="F164" s="8">
        <f>F163*0.01</f>
        <v>957</v>
      </c>
    </row>
    <row r="165" spans="1:6">
      <c r="A165" s="7"/>
      <c r="B165" s="9" t="s">
        <v>30</v>
      </c>
      <c r="C165" s="7"/>
      <c r="D165" s="7"/>
      <c r="E165" s="7"/>
      <c r="F165" s="8">
        <f>SUM(F163:F164)</f>
        <v>96657</v>
      </c>
    </row>
    <row r="166" spans="1:6">
      <c r="A166" s="7"/>
      <c r="B166" s="9" t="s">
        <v>36</v>
      </c>
      <c r="C166" s="7"/>
      <c r="D166" s="7"/>
      <c r="E166" s="7"/>
      <c r="F166" s="8">
        <f>F165*0.15</f>
        <v>14498.55</v>
      </c>
    </row>
    <row r="167" spans="1:6">
      <c r="A167" s="7"/>
      <c r="B167" s="9" t="s">
        <v>30</v>
      </c>
      <c r="C167" s="7"/>
      <c r="D167" s="7"/>
      <c r="E167" s="7"/>
      <c r="F167" s="8">
        <f>SUM(F165:F166)</f>
        <v>111155.55</v>
      </c>
    </row>
    <row r="168" spans="1:6">
      <c r="A168" s="7"/>
      <c r="B168" s="9" t="s">
        <v>45</v>
      </c>
      <c r="C168" s="7"/>
      <c r="D168" s="7"/>
      <c r="E168" s="7"/>
      <c r="F168" s="8">
        <f>F167</f>
        <v>111155.55</v>
      </c>
    </row>
    <row r="169" spans="1:6">
      <c r="A169" s="7"/>
      <c r="B169" s="9" t="s">
        <v>54</v>
      </c>
      <c r="C169" s="7"/>
      <c r="D169" s="7"/>
      <c r="E169" s="7"/>
      <c r="F169" s="18">
        <f>MROUND((F168/100), 0.05)</f>
        <v>1111.55</v>
      </c>
    </row>
    <row r="170" spans="1:6">
      <c r="A170" s="7"/>
      <c r="B170" s="4" t="s">
        <v>22</v>
      </c>
      <c r="C170" s="7"/>
      <c r="D170" s="7"/>
      <c r="E170" s="7"/>
      <c r="F170" s="8"/>
    </row>
    <row r="171" spans="1:6">
      <c r="A171" s="7">
        <v>2321</v>
      </c>
      <c r="B171" s="4" t="s">
        <v>57</v>
      </c>
      <c r="C171" s="7" t="s">
        <v>58</v>
      </c>
      <c r="D171" s="7">
        <v>50</v>
      </c>
      <c r="E171" s="5">
        <v>597</v>
      </c>
      <c r="F171" s="8">
        <f>E171/2</f>
        <v>298.5</v>
      </c>
    </row>
    <row r="172" spans="1:6">
      <c r="A172" s="7">
        <v>114</v>
      </c>
      <c r="B172" s="4" t="s">
        <v>59</v>
      </c>
      <c r="C172" s="7" t="s">
        <v>26</v>
      </c>
      <c r="D172" s="7">
        <v>0.5</v>
      </c>
      <c r="E172" s="5">
        <v>645</v>
      </c>
      <c r="F172" s="8">
        <f t="shared" ref="F172:F173" si="6">D172*E172</f>
        <v>322.5</v>
      </c>
    </row>
    <row r="173" spans="1:6">
      <c r="A173" s="7">
        <v>115</v>
      </c>
      <c r="B173" s="4" t="s">
        <v>25</v>
      </c>
      <c r="C173" s="7" t="s">
        <v>26</v>
      </c>
      <c r="D173" s="7">
        <v>0.5</v>
      </c>
      <c r="E173" s="5">
        <v>645</v>
      </c>
      <c r="F173" s="8">
        <f t="shared" si="6"/>
        <v>322.5</v>
      </c>
    </row>
    <row r="174" spans="1:6">
      <c r="A174" s="7">
        <v>9999</v>
      </c>
      <c r="B174" s="4" t="s">
        <v>61</v>
      </c>
      <c r="C174" s="7" t="s">
        <v>62</v>
      </c>
      <c r="D174" s="7">
        <v>10.07</v>
      </c>
      <c r="E174" s="5">
        <v>2.12</v>
      </c>
      <c r="F174" s="8">
        <v>20.14</v>
      </c>
    </row>
    <row r="175" spans="1:6">
      <c r="A175" s="7"/>
      <c r="B175" s="9" t="s">
        <v>27</v>
      </c>
      <c r="C175" s="7"/>
      <c r="D175" s="7"/>
      <c r="E175" s="7"/>
      <c r="F175" s="8">
        <f>SUM(F171:F174)</f>
        <v>963.64</v>
      </c>
    </row>
    <row r="176" spans="1:6">
      <c r="A176" s="7"/>
      <c r="B176" s="9" t="s">
        <v>28</v>
      </c>
      <c r="C176" s="7"/>
      <c r="D176" s="7"/>
      <c r="E176" s="7"/>
      <c r="F176" s="8">
        <f>F175*0.01</f>
        <v>9.6364000000000001</v>
      </c>
    </row>
    <row r="177" spans="1:6">
      <c r="A177" s="7"/>
      <c r="B177" s="9" t="s">
        <v>30</v>
      </c>
      <c r="C177" s="7"/>
      <c r="D177" s="7"/>
      <c r="E177" s="7"/>
      <c r="F177" s="8">
        <f>SUM(F175:F176)</f>
        <v>973.27639999999997</v>
      </c>
    </row>
    <row r="178" spans="1:6">
      <c r="A178" s="7"/>
      <c r="B178" s="9" t="s">
        <v>36</v>
      </c>
      <c r="C178" s="7"/>
      <c r="D178" s="7"/>
      <c r="E178" s="7"/>
      <c r="F178" s="8">
        <f>F177*0.15</f>
        <v>145.99145999999999</v>
      </c>
    </row>
    <row r="179" spans="1:6">
      <c r="A179" s="7"/>
      <c r="B179" s="9" t="s">
        <v>30</v>
      </c>
      <c r="C179" s="7"/>
      <c r="D179" s="7"/>
      <c r="E179" s="7"/>
      <c r="F179" s="8">
        <f>SUM(F177:F178)</f>
        <v>1119.2678599999999</v>
      </c>
    </row>
    <row r="180" spans="1:6">
      <c r="A180" s="7"/>
      <c r="B180" s="9" t="s">
        <v>73</v>
      </c>
      <c r="C180" s="7"/>
      <c r="D180" s="7"/>
      <c r="E180" s="7"/>
      <c r="F180" s="8">
        <f>F179</f>
        <v>1119.2678599999999</v>
      </c>
    </row>
    <row r="181" spans="1:6">
      <c r="A181" s="7"/>
      <c r="B181" s="9" t="s">
        <v>54</v>
      </c>
      <c r="C181" s="7"/>
      <c r="D181" s="7"/>
      <c r="E181" s="7"/>
      <c r="F181" s="18">
        <f>F180/100</f>
        <v>11.192678599999999</v>
      </c>
    </row>
    <row r="182" spans="1:6">
      <c r="A182" s="7"/>
      <c r="B182" s="9" t="s">
        <v>48</v>
      </c>
      <c r="C182" s="7"/>
      <c r="D182" s="7"/>
      <c r="E182" s="7"/>
      <c r="F182" s="18">
        <f>MROUND(F181, 0.05)</f>
        <v>11.200000000000001</v>
      </c>
    </row>
    <row r="183" spans="1:6">
      <c r="A183" s="459" t="str">
        <f>CONCATENATE("Say ",F169," + ",F182," x Cost Index")</f>
        <v>Say 1111.55 + 11.2 x Cost Index</v>
      </c>
      <c r="B183" s="454"/>
      <c r="C183" s="454"/>
      <c r="D183" s="454"/>
      <c r="E183" s="454"/>
      <c r="F183" s="450"/>
    </row>
    <row r="184" spans="1:6">
      <c r="A184" s="20">
        <v>0</v>
      </c>
      <c r="B184" s="460" t="s">
        <v>536</v>
      </c>
      <c r="C184" s="454"/>
      <c r="D184" s="454"/>
      <c r="E184" s="454"/>
      <c r="F184" s="450"/>
    </row>
    <row r="185" spans="1:6">
      <c r="A185" s="20" t="s">
        <v>3</v>
      </c>
      <c r="B185" s="20" t="s">
        <v>4</v>
      </c>
      <c r="C185" s="20" t="s">
        <v>5</v>
      </c>
      <c r="D185" s="20" t="s">
        <v>6</v>
      </c>
      <c r="E185" s="20" t="s">
        <v>7</v>
      </c>
      <c r="F185" s="21" t="s">
        <v>8</v>
      </c>
    </row>
    <row r="186" spans="1:6">
      <c r="A186" s="461"/>
      <c r="B186" s="23" t="s">
        <v>13</v>
      </c>
      <c r="C186" s="461"/>
      <c r="D186" s="461"/>
      <c r="E186" s="461"/>
      <c r="F186" s="462"/>
    </row>
    <row r="187" spans="1:6">
      <c r="A187" s="457"/>
      <c r="B187" s="23" t="s">
        <v>14</v>
      </c>
      <c r="C187" s="457"/>
      <c r="D187" s="457"/>
      <c r="E187" s="457"/>
      <c r="F187" s="457"/>
    </row>
    <row r="188" spans="1:6">
      <c r="A188" s="24" t="s">
        <v>541</v>
      </c>
      <c r="B188" s="22" t="s">
        <v>542</v>
      </c>
      <c r="C188" s="27" t="s">
        <v>21</v>
      </c>
      <c r="D188" s="27">
        <v>100</v>
      </c>
      <c r="E188" s="24">
        <f t="array" ref="E188">IFERROR(INDEX(LMRRates,MATCH(A188,LMRCodes,0), ), )</f>
        <v>180</v>
      </c>
      <c r="F188" s="26">
        <f>D188*E188</f>
        <v>18000</v>
      </c>
    </row>
    <row r="189" spans="1:6">
      <c r="A189" s="27"/>
      <c r="B189" s="28" t="s">
        <v>27</v>
      </c>
      <c r="C189" s="27"/>
      <c r="D189" s="27"/>
      <c r="E189" s="27"/>
      <c r="F189" s="26">
        <f>SUM(F188)</f>
        <v>18000</v>
      </c>
    </row>
    <row r="190" spans="1:6">
      <c r="A190" s="27"/>
      <c r="B190" s="28" t="s">
        <v>28</v>
      </c>
      <c r="C190" s="27"/>
      <c r="D190" s="27"/>
      <c r="E190" s="27"/>
      <c r="F190" s="26">
        <f>F189*0.01</f>
        <v>180</v>
      </c>
    </row>
    <row r="191" spans="1:6">
      <c r="A191" s="27"/>
      <c r="B191" s="28" t="s">
        <v>30</v>
      </c>
      <c r="C191" s="27"/>
      <c r="D191" s="27"/>
      <c r="E191" s="27"/>
      <c r="F191" s="26">
        <f>SUM(F189:F190)</f>
        <v>18180</v>
      </c>
    </row>
    <row r="192" spans="1:6">
      <c r="A192" s="27"/>
      <c r="B192" s="28" t="s">
        <v>36</v>
      </c>
      <c r="C192" s="27"/>
      <c r="D192" s="27"/>
      <c r="E192" s="27"/>
      <c r="F192" s="26">
        <f>F191*0.15</f>
        <v>2727</v>
      </c>
    </row>
    <row r="193" spans="1:6">
      <c r="A193" s="27"/>
      <c r="B193" s="28" t="s">
        <v>30</v>
      </c>
      <c r="C193" s="27"/>
      <c r="D193" s="27"/>
      <c r="E193" s="27"/>
      <c r="F193" s="26">
        <f>SUM(F191:F192)</f>
        <v>20907</v>
      </c>
    </row>
    <row r="194" spans="1:6">
      <c r="A194" s="27"/>
      <c r="B194" s="28" t="s">
        <v>45</v>
      </c>
      <c r="C194" s="27"/>
      <c r="D194" s="27"/>
      <c r="E194" s="27"/>
      <c r="F194" s="26">
        <f>F193</f>
        <v>20907</v>
      </c>
    </row>
    <row r="195" spans="1:6">
      <c r="A195" s="27"/>
      <c r="B195" s="28" t="s">
        <v>54</v>
      </c>
      <c r="C195" s="27"/>
      <c r="D195" s="27"/>
      <c r="E195" s="27"/>
      <c r="F195" s="31">
        <f>MROUND((F194/100), 0.05)</f>
        <v>209.05</v>
      </c>
    </row>
    <row r="196" spans="1:6">
      <c r="A196" s="27"/>
      <c r="B196" s="23" t="s">
        <v>22</v>
      </c>
      <c r="C196" s="27"/>
      <c r="D196" s="27"/>
      <c r="E196" s="27"/>
      <c r="F196" s="26"/>
    </row>
    <row r="197" spans="1:6">
      <c r="A197" s="27">
        <v>2321</v>
      </c>
      <c r="B197" s="23" t="s">
        <v>57</v>
      </c>
      <c r="C197" s="27" t="s">
        <v>58</v>
      </c>
      <c r="D197" s="27">
        <v>50</v>
      </c>
      <c r="E197" s="24">
        <v>597</v>
      </c>
      <c r="F197" s="26">
        <f>E197/2</f>
        <v>298.5</v>
      </c>
    </row>
    <row r="198" spans="1:6">
      <c r="A198" s="27">
        <v>114</v>
      </c>
      <c r="B198" s="23" t="s">
        <v>59</v>
      </c>
      <c r="C198" s="27" t="s">
        <v>26</v>
      </c>
      <c r="D198" s="27">
        <v>0.5</v>
      </c>
      <c r="E198" s="24">
        <v>645</v>
      </c>
      <c r="F198" s="26">
        <f t="shared" ref="F198:F200" si="7">D198*E198</f>
        <v>322.5</v>
      </c>
    </row>
    <row r="199" spans="1:6">
      <c r="A199" s="27">
        <v>115</v>
      </c>
      <c r="B199" s="23" t="s">
        <v>25</v>
      </c>
      <c r="C199" s="27" t="s">
        <v>26</v>
      </c>
      <c r="D199" s="27">
        <v>0.5</v>
      </c>
      <c r="E199" s="24">
        <v>645</v>
      </c>
      <c r="F199" s="26">
        <f t="shared" si="7"/>
        <v>322.5</v>
      </c>
    </row>
    <row r="200" spans="1:6">
      <c r="A200" s="27">
        <v>9999</v>
      </c>
      <c r="B200" s="23" t="s">
        <v>61</v>
      </c>
      <c r="C200" s="27" t="s">
        <v>62</v>
      </c>
      <c r="D200" s="27">
        <v>10.07</v>
      </c>
      <c r="E200" s="24">
        <v>2.12</v>
      </c>
      <c r="F200" s="26">
        <f t="shared" si="7"/>
        <v>21.348400000000002</v>
      </c>
    </row>
    <row r="201" spans="1:6">
      <c r="A201" s="27"/>
      <c r="B201" s="28" t="s">
        <v>27</v>
      </c>
      <c r="C201" s="27"/>
      <c r="D201" s="27"/>
      <c r="E201" s="27"/>
      <c r="F201" s="26">
        <f>SUM(F197:F200)</f>
        <v>964.84839999999997</v>
      </c>
    </row>
    <row r="202" spans="1:6">
      <c r="A202" s="27"/>
      <c r="B202" s="28" t="s">
        <v>28</v>
      </c>
      <c r="C202" s="27"/>
      <c r="D202" s="27"/>
      <c r="E202" s="27"/>
      <c r="F202" s="26">
        <f>F201*0.01</f>
        <v>9.6484839999999998</v>
      </c>
    </row>
    <row r="203" spans="1:6">
      <c r="A203" s="27"/>
      <c r="B203" s="28" t="s">
        <v>30</v>
      </c>
      <c r="C203" s="27"/>
      <c r="D203" s="27"/>
      <c r="E203" s="27"/>
      <c r="F203" s="26">
        <f>SUM(F201:F202)</f>
        <v>974.49688400000002</v>
      </c>
    </row>
    <row r="204" spans="1:6">
      <c r="A204" s="27"/>
      <c r="B204" s="28" t="s">
        <v>36</v>
      </c>
      <c r="C204" s="27"/>
      <c r="D204" s="27"/>
      <c r="E204" s="27"/>
      <c r="F204" s="26">
        <f>F203*0.15</f>
        <v>146.17453259999999</v>
      </c>
    </row>
    <row r="205" spans="1:6">
      <c r="A205" s="27"/>
      <c r="B205" s="28" t="s">
        <v>30</v>
      </c>
      <c r="C205" s="27"/>
      <c r="D205" s="27"/>
      <c r="E205" s="27"/>
      <c r="F205" s="26">
        <f>SUM(F203:F204)</f>
        <v>1120.6714165999999</v>
      </c>
    </row>
    <row r="206" spans="1:6">
      <c r="A206" s="27"/>
      <c r="B206" s="28" t="s">
        <v>73</v>
      </c>
      <c r="C206" s="27"/>
      <c r="D206" s="27"/>
      <c r="E206" s="27"/>
      <c r="F206" s="26">
        <f>F205</f>
        <v>1120.6714165999999</v>
      </c>
    </row>
    <row r="207" spans="1:6">
      <c r="A207" s="27"/>
      <c r="B207" s="28" t="s">
        <v>54</v>
      </c>
      <c r="C207" s="27"/>
      <c r="D207" s="27"/>
      <c r="E207" s="27"/>
      <c r="F207" s="31">
        <f>F206/100</f>
        <v>11.206714165999999</v>
      </c>
    </row>
    <row r="208" spans="1:6">
      <c r="A208" s="27"/>
      <c r="B208" s="28" t="s">
        <v>48</v>
      </c>
      <c r="C208" s="27"/>
      <c r="D208" s="27"/>
      <c r="E208" s="27"/>
      <c r="F208" s="31">
        <f>MROUND(F207, 0.05)</f>
        <v>11.200000000000001</v>
      </c>
    </row>
    <row r="209" spans="1:6">
      <c r="A209" s="459" t="str">
        <f>CONCATENATE("Say ",F195," + ",F208," x Cost Index")</f>
        <v>Say 209.05 + 11.2 x Cost Index</v>
      </c>
      <c r="B209" s="454"/>
      <c r="C209" s="454"/>
      <c r="D209" s="454"/>
      <c r="E209" s="454"/>
      <c r="F209" s="450"/>
    </row>
    <row r="210" spans="1:6">
      <c r="A210" s="1">
        <v>0</v>
      </c>
      <c r="B210" s="455" t="s">
        <v>567</v>
      </c>
      <c r="C210" s="454"/>
      <c r="D210" s="454"/>
      <c r="E210" s="454"/>
      <c r="F210" s="450"/>
    </row>
    <row r="211" spans="1:6">
      <c r="A211" s="1" t="s">
        <v>3</v>
      </c>
      <c r="B211" s="1" t="s">
        <v>4</v>
      </c>
      <c r="C211" s="1" t="s">
        <v>5</v>
      </c>
      <c r="D211" s="1" t="s">
        <v>6</v>
      </c>
      <c r="E211" s="1" t="s">
        <v>7</v>
      </c>
      <c r="F211" s="2" t="s">
        <v>8</v>
      </c>
    </row>
    <row r="212" spans="1:6">
      <c r="A212" s="456"/>
      <c r="B212" s="4" t="s">
        <v>13</v>
      </c>
      <c r="C212" s="456"/>
      <c r="D212" s="456"/>
      <c r="E212" s="456"/>
      <c r="F212" s="458"/>
    </row>
    <row r="213" spans="1:6">
      <c r="A213" s="457"/>
      <c r="B213" s="4" t="s">
        <v>14</v>
      </c>
      <c r="C213" s="457"/>
      <c r="D213" s="457"/>
      <c r="E213" s="457"/>
      <c r="F213" s="457"/>
    </row>
    <row r="214" spans="1:6">
      <c r="A214" s="5" t="s">
        <v>571</v>
      </c>
      <c r="B214" s="3" t="s">
        <v>572</v>
      </c>
      <c r="C214" s="7" t="s">
        <v>21</v>
      </c>
      <c r="D214" s="7">
        <v>100</v>
      </c>
      <c r="E214" s="5">
        <v>170</v>
      </c>
      <c r="F214" s="8">
        <f>D214*E214</f>
        <v>17000</v>
      </c>
    </row>
    <row r="215" spans="1:6">
      <c r="A215" s="7"/>
      <c r="B215" s="9" t="s">
        <v>27</v>
      </c>
      <c r="C215" s="7"/>
      <c r="D215" s="7"/>
      <c r="E215" s="7"/>
      <c r="F215" s="8">
        <f>SUM(F214)</f>
        <v>17000</v>
      </c>
    </row>
    <row r="216" spans="1:6">
      <c r="A216" s="7"/>
      <c r="B216" s="9" t="s">
        <v>28</v>
      </c>
      <c r="C216" s="7"/>
      <c r="D216" s="7"/>
      <c r="E216" s="7"/>
      <c r="F216" s="8">
        <f>F215*0.01</f>
        <v>170</v>
      </c>
    </row>
    <row r="217" spans="1:6">
      <c r="A217" s="7"/>
      <c r="B217" s="9" t="s">
        <v>30</v>
      </c>
      <c r="C217" s="7"/>
      <c r="D217" s="7"/>
      <c r="E217" s="7"/>
      <c r="F217" s="8">
        <f>SUM(F215:F216)</f>
        <v>17170</v>
      </c>
    </row>
    <row r="218" spans="1:6">
      <c r="A218" s="7"/>
      <c r="B218" s="9" t="s">
        <v>36</v>
      </c>
      <c r="C218" s="7"/>
      <c r="D218" s="7"/>
      <c r="E218" s="7"/>
      <c r="F218" s="8">
        <f>F217*0.15</f>
        <v>2575.5</v>
      </c>
    </row>
    <row r="219" spans="1:6">
      <c r="A219" s="7"/>
      <c r="B219" s="9" t="s">
        <v>30</v>
      </c>
      <c r="C219" s="7"/>
      <c r="D219" s="7"/>
      <c r="E219" s="7"/>
      <c r="F219" s="8">
        <f>SUM(F217:F218)</f>
        <v>19745.5</v>
      </c>
    </row>
    <row r="220" spans="1:6">
      <c r="A220" s="7"/>
      <c r="B220" s="9" t="s">
        <v>45</v>
      </c>
      <c r="C220" s="7"/>
      <c r="D220" s="7"/>
      <c r="E220" s="7"/>
      <c r="F220" s="8">
        <f>F219</f>
        <v>19745.5</v>
      </c>
    </row>
    <row r="221" spans="1:6">
      <c r="A221" s="7"/>
      <c r="B221" s="9" t="s">
        <v>54</v>
      </c>
      <c r="C221" s="7"/>
      <c r="D221" s="7"/>
      <c r="E221" s="7"/>
      <c r="F221" s="18">
        <f>MROUND((F220/100), 0.05)</f>
        <v>197.45000000000002</v>
      </c>
    </row>
    <row r="222" spans="1:6">
      <c r="A222" s="7"/>
      <c r="B222" s="4" t="s">
        <v>22</v>
      </c>
      <c r="C222" s="7"/>
      <c r="D222" s="7"/>
      <c r="E222" s="7"/>
      <c r="F222" s="8"/>
    </row>
    <row r="223" spans="1:6">
      <c r="A223" s="7">
        <v>2321</v>
      </c>
      <c r="B223" s="4" t="s">
        <v>57</v>
      </c>
      <c r="C223" s="7" t="s">
        <v>58</v>
      </c>
      <c r="D223" s="7">
        <v>50</v>
      </c>
      <c r="E223" s="5">
        <v>597</v>
      </c>
      <c r="F223" s="8">
        <f>E223/2</f>
        <v>298.5</v>
      </c>
    </row>
    <row r="224" spans="1:6">
      <c r="A224" s="7">
        <v>114</v>
      </c>
      <c r="B224" s="4" t="s">
        <v>59</v>
      </c>
      <c r="C224" s="7" t="s">
        <v>26</v>
      </c>
      <c r="D224" s="7">
        <v>0.5</v>
      </c>
      <c r="E224" s="5">
        <v>645</v>
      </c>
      <c r="F224" s="8">
        <f t="shared" ref="F224:F226" si="8">D224*E224</f>
        <v>322.5</v>
      </c>
    </row>
    <row r="225" spans="1:6">
      <c r="A225" s="7">
        <v>115</v>
      </c>
      <c r="B225" s="4" t="s">
        <v>25</v>
      </c>
      <c r="C225" s="7" t="s">
        <v>26</v>
      </c>
      <c r="D225" s="7">
        <v>0.5</v>
      </c>
      <c r="E225" s="5">
        <v>645</v>
      </c>
      <c r="F225" s="8">
        <f t="shared" si="8"/>
        <v>322.5</v>
      </c>
    </row>
    <row r="226" spans="1:6">
      <c r="A226" s="7">
        <v>9999</v>
      </c>
      <c r="B226" s="4" t="s">
        <v>61</v>
      </c>
      <c r="C226" s="7" t="s">
        <v>62</v>
      </c>
      <c r="D226" s="7">
        <v>10.07</v>
      </c>
      <c r="E226" s="5">
        <v>2.12</v>
      </c>
      <c r="F226" s="8">
        <f t="shared" si="8"/>
        <v>21.348400000000002</v>
      </c>
    </row>
    <row r="227" spans="1:6">
      <c r="A227" s="7"/>
      <c r="B227" s="9" t="s">
        <v>27</v>
      </c>
      <c r="C227" s="7"/>
      <c r="D227" s="7"/>
      <c r="E227" s="7"/>
      <c r="F227" s="8">
        <f>SUM(F223:F226)</f>
        <v>964.84839999999997</v>
      </c>
    </row>
    <row r="228" spans="1:6">
      <c r="A228" s="7"/>
      <c r="B228" s="9" t="s">
        <v>28</v>
      </c>
      <c r="C228" s="7"/>
      <c r="D228" s="7"/>
      <c r="E228" s="7"/>
      <c r="F228" s="8">
        <f>F227*0.01</f>
        <v>9.6484839999999998</v>
      </c>
    </row>
    <row r="229" spans="1:6">
      <c r="A229" s="7"/>
      <c r="B229" s="9" t="s">
        <v>30</v>
      </c>
      <c r="C229" s="7"/>
      <c r="D229" s="7"/>
      <c r="E229" s="7"/>
      <c r="F229" s="8">
        <f>SUM(F227:F228)</f>
        <v>974.49688400000002</v>
      </c>
    </row>
    <row r="230" spans="1:6">
      <c r="A230" s="7"/>
      <c r="B230" s="9" t="s">
        <v>36</v>
      </c>
      <c r="C230" s="7"/>
      <c r="D230" s="7"/>
      <c r="E230" s="7"/>
      <c r="F230" s="8">
        <f>F229*0.15</f>
        <v>146.17453259999999</v>
      </c>
    </row>
    <row r="231" spans="1:6">
      <c r="A231" s="7"/>
      <c r="B231" s="9" t="s">
        <v>30</v>
      </c>
      <c r="C231" s="7"/>
      <c r="D231" s="7"/>
      <c r="E231" s="7"/>
      <c r="F231" s="8">
        <f>SUM(F229:F230)</f>
        <v>1120.6714165999999</v>
      </c>
    </row>
    <row r="232" spans="1:6">
      <c r="A232" s="7"/>
      <c r="B232" s="9" t="s">
        <v>73</v>
      </c>
      <c r="C232" s="7"/>
      <c r="D232" s="7"/>
      <c r="E232" s="7"/>
      <c r="F232" s="8">
        <f>F231</f>
        <v>1120.6714165999999</v>
      </c>
    </row>
    <row r="233" spans="1:6">
      <c r="A233" s="7"/>
      <c r="B233" s="9" t="s">
        <v>54</v>
      </c>
      <c r="C233" s="7"/>
      <c r="D233" s="7"/>
      <c r="E233" s="7"/>
      <c r="F233" s="18">
        <f>F232/100</f>
        <v>11.206714165999999</v>
      </c>
    </row>
    <row r="234" spans="1:6">
      <c r="A234" s="7"/>
      <c r="B234" s="9" t="s">
        <v>48</v>
      </c>
      <c r="C234" s="7"/>
      <c r="D234" s="7"/>
      <c r="E234" s="7"/>
      <c r="F234" s="18">
        <f>MROUND(F233, 0.05)</f>
        <v>11.200000000000001</v>
      </c>
    </row>
    <row r="235" spans="1:6">
      <c r="A235" s="459" t="str">
        <f>CONCATENATE("Say ",F221," + ",F234," x Cost Index")</f>
        <v>Say 197.45 + 11.2 x Cost Index</v>
      </c>
      <c r="B235" s="454"/>
      <c r="C235" s="454"/>
      <c r="D235" s="454"/>
      <c r="E235" s="454"/>
      <c r="F235" s="450"/>
    </row>
    <row r="236" spans="1:6">
      <c r="A236" s="20">
        <v>0</v>
      </c>
      <c r="B236" s="460" t="s">
        <v>634</v>
      </c>
      <c r="C236" s="454"/>
      <c r="D236" s="454"/>
      <c r="E236" s="454"/>
      <c r="F236" s="450"/>
    </row>
    <row r="237" spans="1:6">
      <c r="A237" s="20" t="s">
        <v>3</v>
      </c>
      <c r="B237" s="20" t="s">
        <v>4</v>
      </c>
      <c r="C237" s="20" t="s">
        <v>5</v>
      </c>
      <c r="D237" s="20" t="s">
        <v>6</v>
      </c>
      <c r="E237" s="20" t="s">
        <v>7</v>
      </c>
      <c r="F237" s="21" t="s">
        <v>8</v>
      </c>
    </row>
    <row r="238" spans="1:6">
      <c r="A238" s="461"/>
      <c r="B238" s="23" t="s">
        <v>13</v>
      </c>
      <c r="C238" s="461"/>
      <c r="D238" s="461"/>
      <c r="E238" s="461"/>
      <c r="F238" s="462"/>
    </row>
    <row r="239" spans="1:6">
      <c r="A239" s="457"/>
      <c r="B239" s="23" t="s">
        <v>14</v>
      </c>
      <c r="C239" s="457"/>
      <c r="D239" s="457"/>
      <c r="E239" s="457"/>
      <c r="F239" s="457"/>
    </row>
    <row r="240" spans="1:6">
      <c r="A240" s="24" t="s">
        <v>639</v>
      </c>
      <c r="B240" s="22" t="s">
        <v>640</v>
      </c>
      <c r="C240" s="27" t="s">
        <v>21</v>
      </c>
      <c r="D240" s="27">
        <v>100</v>
      </c>
      <c r="E240" s="24">
        <f t="array" ref="E240">IFERROR(INDEX(LMRRates,MATCH(A240,LMRCodes,0), ), )</f>
        <v>480</v>
      </c>
      <c r="F240" s="26">
        <f>D240*E240</f>
        <v>48000</v>
      </c>
    </row>
    <row r="241" spans="1:6">
      <c r="A241" s="27"/>
      <c r="B241" s="28" t="s">
        <v>27</v>
      </c>
      <c r="C241" s="27"/>
      <c r="D241" s="27"/>
      <c r="E241" s="27"/>
      <c r="F241" s="26">
        <f>SUM(F240)</f>
        <v>48000</v>
      </c>
    </row>
    <row r="242" spans="1:6">
      <c r="A242" s="27"/>
      <c r="B242" s="28" t="s">
        <v>28</v>
      </c>
      <c r="C242" s="27"/>
      <c r="D242" s="27"/>
      <c r="E242" s="27"/>
      <c r="F242" s="26">
        <f>F241*0.01</f>
        <v>480</v>
      </c>
    </row>
    <row r="243" spans="1:6">
      <c r="A243" s="27"/>
      <c r="B243" s="28" t="s">
        <v>30</v>
      </c>
      <c r="C243" s="27"/>
      <c r="D243" s="27"/>
      <c r="E243" s="27"/>
      <c r="F243" s="26">
        <f>SUM(F241:F242)</f>
        <v>48480</v>
      </c>
    </row>
    <row r="244" spans="1:6">
      <c r="A244" s="27"/>
      <c r="B244" s="28" t="s">
        <v>36</v>
      </c>
      <c r="C244" s="27"/>
      <c r="D244" s="27"/>
      <c r="E244" s="27"/>
      <c r="F244" s="26">
        <f>F243*0.15</f>
        <v>7272</v>
      </c>
    </row>
    <row r="245" spans="1:6">
      <c r="A245" s="27"/>
      <c r="B245" s="28" t="s">
        <v>30</v>
      </c>
      <c r="C245" s="27"/>
      <c r="D245" s="27"/>
      <c r="E245" s="27"/>
      <c r="F245" s="26">
        <f>SUM(F243:F244)</f>
        <v>55752</v>
      </c>
    </row>
    <row r="246" spans="1:6">
      <c r="A246" s="27"/>
      <c r="B246" s="28" t="s">
        <v>45</v>
      </c>
      <c r="C246" s="27"/>
      <c r="D246" s="27"/>
      <c r="E246" s="27"/>
      <c r="F246" s="26">
        <f>F245</f>
        <v>55752</v>
      </c>
    </row>
    <row r="247" spans="1:6">
      <c r="A247" s="27"/>
      <c r="B247" s="28" t="s">
        <v>54</v>
      </c>
      <c r="C247" s="27"/>
      <c r="D247" s="27"/>
      <c r="E247" s="27"/>
      <c r="F247" s="31">
        <f>MROUND((F246/100), 0.05)</f>
        <v>557.5</v>
      </c>
    </row>
    <row r="248" spans="1:6">
      <c r="A248" s="27"/>
      <c r="B248" s="23" t="s">
        <v>22</v>
      </c>
      <c r="C248" s="27"/>
      <c r="D248" s="27"/>
      <c r="E248" s="27"/>
      <c r="F248" s="26"/>
    </row>
    <row r="249" spans="1:6">
      <c r="A249" s="27">
        <v>2321</v>
      </c>
      <c r="B249" s="23" t="s">
        <v>57</v>
      </c>
      <c r="C249" s="27" t="s">
        <v>58</v>
      </c>
      <c r="D249" s="27">
        <v>50</v>
      </c>
      <c r="E249" s="24">
        <v>597</v>
      </c>
      <c r="F249" s="26">
        <f>E249/2</f>
        <v>298.5</v>
      </c>
    </row>
    <row r="250" spans="1:6">
      <c r="A250" s="27">
        <v>114</v>
      </c>
      <c r="B250" s="23" t="s">
        <v>59</v>
      </c>
      <c r="C250" s="27" t="s">
        <v>26</v>
      </c>
      <c r="D250" s="27">
        <v>0.5</v>
      </c>
      <c r="E250" s="24">
        <v>645</v>
      </c>
      <c r="F250" s="26">
        <f t="shared" ref="F250:F252" si="9">D250*E250</f>
        <v>322.5</v>
      </c>
    </row>
    <row r="251" spans="1:6">
      <c r="A251" s="27">
        <v>115</v>
      </c>
      <c r="B251" s="23" t="s">
        <v>25</v>
      </c>
      <c r="C251" s="27" t="s">
        <v>26</v>
      </c>
      <c r="D251" s="27">
        <v>0.5</v>
      </c>
      <c r="E251" s="24">
        <v>645</v>
      </c>
      <c r="F251" s="26">
        <f t="shared" si="9"/>
        <v>322.5</v>
      </c>
    </row>
    <row r="252" spans="1:6">
      <c r="A252" s="27">
        <v>9999</v>
      </c>
      <c r="B252" s="23" t="s">
        <v>61</v>
      </c>
      <c r="C252" s="27" t="s">
        <v>62</v>
      </c>
      <c r="D252" s="27">
        <v>10.07</v>
      </c>
      <c r="E252" s="24">
        <v>2.12</v>
      </c>
      <c r="F252" s="26">
        <f t="shared" si="9"/>
        <v>21.348400000000002</v>
      </c>
    </row>
    <row r="253" spans="1:6">
      <c r="A253" s="27"/>
      <c r="B253" s="28" t="s">
        <v>27</v>
      </c>
      <c r="C253" s="27"/>
      <c r="D253" s="27"/>
      <c r="E253" s="27"/>
      <c r="F253" s="26">
        <f>SUM(F249:F252)</f>
        <v>964.84839999999997</v>
      </c>
    </row>
    <row r="254" spans="1:6">
      <c r="A254" s="27"/>
      <c r="B254" s="28" t="s">
        <v>28</v>
      </c>
      <c r="C254" s="27"/>
      <c r="D254" s="27"/>
      <c r="E254" s="27"/>
      <c r="F254" s="26">
        <f>F253*0.01</f>
        <v>9.6484839999999998</v>
      </c>
    </row>
    <row r="255" spans="1:6">
      <c r="A255" s="27"/>
      <c r="B255" s="28" t="s">
        <v>30</v>
      </c>
      <c r="C255" s="27"/>
      <c r="D255" s="27"/>
      <c r="E255" s="27"/>
      <c r="F255" s="26">
        <f>SUM(F253:F254)</f>
        <v>974.49688400000002</v>
      </c>
    </row>
    <row r="256" spans="1:6">
      <c r="A256" s="27"/>
      <c r="B256" s="28" t="s">
        <v>36</v>
      </c>
      <c r="C256" s="27"/>
      <c r="D256" s="27"/>
      <c r="E256" s="27"/>
      <c r="F256" s="26">
        <f>F255*0.15</f>
        <v>146.17453259999999</v>
      </c>
    </row>
    <row r="257" spans="1:6">
      <c r="A257" s="27"/>
      <c r="B257" s="28" t="s">
        <v>30</v>
      </c>
      <c r="C257" s="27"/>
      <c r="D257" s="27"/>
      <c r="E257" s="27"/>
      <c r="F257" s="26">
        <f>SUM(F255:F256)</f>
        <v>1120.6714165999999</v>
      </c>
    </row>
    <row r="258" spans="1:6">
      <c r="A258" s="27"/>
      <c r="B258" s="28" t="s">
        <v>73</v>
      </c>
      <c r="C258" s="27"/>
      <c r="D258" s="27"/>
      <c r="E258" s="27"/>
      <c r="F258" s="26">
        <f>F257</f>
        <v>1120.6714165999999</v>
      </c>
    </row>
    <row r="259" spans="1:6">
      <c r="A259" s="27"/>
      <c r="B259" s="28" t="s">
        <v>54</v>
      </c>
      <c r="C259" s="27"/>
      <c r="D259" s="27"/>
      <c r="E259" s="27"/>
      <c r="F259" s="31">
        <f>F258/100</f>
        <v>11.206714165999999</v>
      </c>
    </row>
    <row r="260" spans="1:6">
      <c r="A260" s="27"/>
      <c r="B260" s="28" t="s">
        <v>48</v>
      </c>
      <c r="C260" s="27"/>
      <c r="D260" s="27"/>
      <c r="E260" s="27"/>
      <c r="F260" s="31">
        <f>MROUND(F259, 0.05)</f>
        <v>11.200000000000001</v>
      </c>
    </row>
    <row r="261" spans="1:6">
      <c r="A261" s="459" t="str">
        <f>CONCATENATE("Say ",F247," + ",F260," x Cost Index")</f>
        <v>Say 557.5 + 11.2 x Cost Index</v>
      </c>
      <c r="B261" s="454"/>
      <c r="C261" s="454"/>
      <c r="D261" s="454"/>
      <c r="E261" s="454"/>
      <c r="F261" s="450"/>
    </row>
    <row r="262" spans="1:6">
      <c r="A262" s="1">
        <v>0</v>
      </c>
      <c r="B262" s="455" t="s">
        <v>703</v>
      </c>
      <c r="C262" s="454"/>
      <c r="D262" s="454"/>
      <c r="E262" s="454"/>
      <c r="F262" s="450"/>
    </row>
    <row r="263" spans="1:6">
      <c r="A263" s="1" t="s">
        <v>3</v>
      </c>
      <c r="B263" s="1" t="s">
        <v>4</v>
      </c>
      <c r="C263" s="1" t="s">
        <v>5</v>
      </c>
      <c r="D263" s="1" t="s">
        <v>6</v>
      </c>
      <c r="E263" s="1" t="s">
        <v>7</v>
      </c>
      <c r="F263" s="2" t="s">
        <v>8</v>
      </c>
    </row>
    <row r="264" spans="1:6">
      <c r="A264" s="456"/>
      <c r="B264" s="4" t="s">
        <v>13</v>
      </c>
      <c r="C264" s="456"/>
      <c r="D264" s="456"/>
      <c r="E264" s="456"/>
      <c r="F264" s="458"/>
    </row>
    <row r="265" spans="1:6">
      <c r="A265" s="457"/>
      <c r="B265" s="4" t="s">
        <v>14</v>
      </c>
      <c r="C265" s="457"/>
      <c r="D265" s="457"/>
      <c r="E265" s="457"/>
      <c r="F265" s="457"/>
    </row>
    <row r="266" spans="1:6">
      <c r="A266" s="5" t="s">
        <v>714</v>
      </c>
      <c r="B266" s="3" t="s">
        <v>715</v>
      </c>
      <c r="C266" s="7" t="s">
        <v>21</v>
      </c>
      <c r="D266" s="7">
        <v>100</v>
      </c>
      <c r="E266" s="7">
        <f t="array" ref="E266">IFERROR(INDEX(DerivedRates,MATCH(A266,DerivedCodes,0), ), )</f>
        <v>787</v>
      </c>
      <c r="F266" s="8">
        <f>D266*E266</f>
        <v>78700</v>
      </c>
    </row>
    <row r="267" spans="1:6">
      <c r="A267" s="7"/>
      <c r="B267" s="9" t="s">
        <v>27</v>
      </c>
      <c r="C267" s="7"/>
      <c r="D267" s="7"/>
      <c r="E267" s="7"/>
      <c r="F267" s="8">
        <f>SUM(F266)</f>
        <v>78700</v>
      </c>
    </row>
    <row r="268" spans="1:6">
      <c r="A268" s="7"/>
      <c r="B268" s="9" t="s">
        <v>28</v>
      </c>
      <c r="C268" s="7"/>
      <c r="D268" s="7"/>
      <c r="E268" s="7"/>
      <c r="F268" s="8">
        <f>F267*0.01</f>
        <v>787</v>
      </c>
    </row>
    <row r="269" spans="1:6">
      <c r="A269" s="7"/>
      <c r="B269" s="9" t="s">
        <v>30</v>
      </c>
      <c r="C269" s="7"/>
      <c r="D269" s="7"/>
      <c r="E269" s="7"/>
      <c r="F269" s="8">
        <f>SUM(F267:F268)</f>
        <v>79487</v>
      </c>
    </row>
    <row r="270" spans="1:6">
      <c r="A270" s="7"/>
      <c r="B270" s="9" t="s">
        <v>36</v>
      </c>
      <c r="C270" s="7"/>
      <c r="D270" s="7"/>
      <c r="E270" s="7"/>
      <c r="F270" s="8">
        <f>F269*0.15</f>
        <v>11923.05</v>
      </c>
    </row>
    <row r="271" spans="1:6">
      <c r="A271" s="7"/>
      <c r="B271" s="9" t="s">
        <v>30</v>
      </c>
      <c r="C271" s="7"/>
      <c r="D271" s="7"/>
      <c r="E271" s="7"/>
      <c r="F271" s="8">
        <f>SUM(F269:F270)</f>
        <v>91410.05</v>
      </c>
    </row>
    <row r="272" spans="1:6">
      <c r="A272" s="7"/>
      <c r="B272" s="9" t="s">
        <v>45</v>
      </c>
      <c r="C272" s="7"/>
      <c r="D272" s="7"/>
      <c r="E272" s="7"/>
      <c r="F272" s="8">
        <f>F271</f>
        <v>91410.05</v>
      </c>
    </row>
    <row r="273" spans="1:6">
      <c r="A273" s="7"/>
      <c r="B273" s="9" t="s">
        <v>54</v>
      </c>
      <c r="C273" s="7"/>
      <c r="D273" s="7"/>
      <c r="E273" s="7"/>
      <c r="F273" s="18">
        <f>MROUND((F272/100), 0.05)</f>
        <v>914.1</v>
      </c>
    </row>
    <row r="274" spans="1:6">
      <c r="A274" s="7"/>
      <c r="B274" s="4" t="s">
        <v>22</v>
      </c>
      <c r="C274" s="7"/>
      <c r="D274" s="7"/>
      <c r="E274" s="7"/>
      <c r="F274" s="8"/>
    </row>
    <row r="275" spans="1:6">
      <c r="A275" s="7">
        <v>2321</v>
      </c>
      <c r="B275" s="4" t="s">
        <v>57</v>
      </c>
      <c r="C275" s="7" t="s">
        <v>58</v>
      </c>
      <c r="D275" s="7">
        <v>50</v>
      </c>
      <c r="E275" s="5">
        <v>597</v>
      </c>
      <c r="F275" s="8">
        <f>E275/2</f>
        <v>298.5</v>
      </c>
    </row>
    <row r="276" spans="1:6">
      <c r="A276" s="7">
        <v>114</v>
      </c>
      <c r="B276" s="4" t="s">
        <v>59</v>
      </c>
      <c r="C276" s="7" t="s">
        <v>26</v>
      </c>
      <c r="D276" s="7">
        <v>0.5</v>
      </c>
      <c r="E276" s="5">
        <v>645</v>
      </c>
      <c r="F276" s="8">
        <f t="shared" ref="F276:F278" si="10">D276*E276</f>
        <v>322.5</v>
      </c>
    </row>
    <row r="277" spans="1:6">
      <c r="A277" s="7">
        <v>115</v>
      </c>
      <c r="B277" s="4" t="s">
        <v>25</v>
      </c>
      <c r="C277" s="7" t="s">
        <v>26</v>
      </c>
      <c r="D277" s="7">
        <v>0.5</v>
      </c>
      <c r="E277" s="5">
        <v>645</v>
      </c>
      <c r="F277" s="8">
        <f t="shared" si="10"/>
        <v>322.5</v>
      </c>
    </row>
    <row r="278" spans="1:6">
      <c r="A278" s="7">
        <v>9999</v>
      </c>
      <c r="B278" s="4" t="s">
        <v>61</v>
      </c>
      <c r="C278" s="7" t="s">
        <v>62</v>
      </c>
      <c r="D278" s="7">
        <v>10.07</v>
      </c>
      <c r="E278" s="5">
        <v>2.12</v>
      </c>
      <c r="F278" s="8">
        <f t="shared" si="10"/>
        <v>21.348400000000002</v>
      </c>
    </row>
    <row r="279" spans="1:6">
      <c r="A279" s="7"/>
      <c r="B279" s="9" t="s">
        <v>27</v>
      </c>
      <c r="C279" s="7"/>
      <c r="D279" s="7"/>
      <c r="E279" s="7"/>
      <c r="F279" s="8">
        <f>SUM(F275:F278)</f>
        <v>964.84839999999997</v>
      </c>
    </row>
    <row r="280" spans="1:6">
      <c r="A280" s="7"/>
      <c r="B280" s="9" t="s">
        <v>28</v>
      </c>
      <c r="C280" s="7"/>
      <c r="D280" s="7"/>
      <c r="E280" s="7"/>
      <c r="F280" s="8">
        <f>F279*0.01</f>
        <v>9.6484839999999998</v>
      </c>
    </row>
    <row r="281" spans="1:6">
      <c r="A281" s="7"/>
      <c r="B281" s="9" t="s">
        <v>30</v>
      </c>
      <c r="C281" s="7"/>
      <c r="D281" s="7"/>
      <c r="E281" s="7"/>
      <c r="F281" s="8">
        <f>SUM(F279:F280)</f>
        <v>974.49688400000002</v>
      </c>
    </row>
    <row r="282" spans="1:6">
      <c r="A282" s="7"/>
      <c r="B282" s="9" t="s">
        <v>36</v>
      </c>
      <c r="C282" s="7"/>
      <c r="D282" s="7"/>
      <c r="E282" s="7"/>
      <c r="F282" s="8">
        <f>F281*0.15</f>
        <v>146.17453259999999</v>
      </c>
    </row>
    <row r="283" spans="1:6">
      <c r="A283" s="7"/>
      <c r="B283" s="9" t="s">
        <v>30</v>
      </c>
      <c r="C283" s="7"/>
      <c r="D283" s="7"/>
      <c r="E283" s="7"/>
      <c r="F283" s="8">
        <f>SUM(F281:F282)</f>
        <v>1120.6714165999999</v>
      </c>
    </row>
    <row r="284" spans="1:6">
      <c r="A284" s="7"/>
      <c r="B284" s="9" t="s">
        <v>73</v>
      </c>
      <c r="C284" s="7"/>
      <c r="D284" s="7"/>
      <c r="E284" s="7"/>
      <c r="F284" s="8">
        <f>F283</f>
        <v>1120.6714165999999</v>
      </c>
    </row>
    <row r="285" spans="1:6">
      <c r="A285" s="7"/>
      <c r="B285" s="9" t="s">
        <v>54</v>
      </c>
      <c r="C285" s="7"/>
      <c r="D285" s="7"/>
      <c r="E285" s="7"/>
      <c r="F285" s="18">
        <f>F284/100</f>
        <v>11.206714165999999</v>
      </c>
    </row>
    <row r="286" spans="1:6">
      <c r="A286" s="7"/>
      <c r="B286" s="9" t="s">
        <v>48</v>
      </c>
      <c r="C286" s="7"/>
      <c r="D286" s="7"/>
      <c r="E286" s="7"/>
      <c r="F286" s="18">
        <f>MROUND(F285, 0.05)</f>
        <v>11.200000000000001</v>
      </c>
    </row>
    <row r="287" spans="1:6">
      <c r="A287" s="459" t="str">
        <f>CONCATENATE("Say ",F273," + ",F286," x Cost Index")</f>
        <v>Say 914.1 + 11.2 x Cost Index</v>
      </c>
      <c r="B287" s="454"/>
      <c r="C287" s="454"/>
      <c r="D287" s="454"/>
      <c r="E287" s="454"/>
      <c r="F287" s="450"/>
    </row>
  </sheetData>
  <mergeCells count="78">
    <mergeCell ref="A157:F157"/>
    <mergeCell ref="B158:F158"/>
    <mergeCell ref="A160:A161"/>
    <mergeCell ref="C160:C161"/>
    <mergeCell ref="D160:D161"/>
    <mergeCell ref="E160:E161"/>
    <mergeCell ref="F160:F161"/>
    <mergeCell ref="A131:F131"/>
    <mergeCell ref="B132:F132"/>
    <mergeCell ref="A134:A135"/>
    <mergeCell ref="C134:C135"/>
    <mergeCell ref="D134:D135"/>
    <mergeCell ref="E134:E135"/>
    <mergeCell ref="F134:F135"/>
    <mergeCell ref="A105:F105"/>
    <mergeCell ref="B106:F106"/>
    <mergeCell ref="A108:A109"/>
    <mergeCell ref="C108:C109"/>
    <mergeCell ref="D108:D109"/>
    <mergeCell ref="E108:E109"/>
    <mergeCell ref="F108:F109"/>
    <mergeCell ref="A79:F79"/>
    <mergeCell ref="B80:F80"/>
    <mergeCell ref="A82:A83"/>
    <mergeCell ref="C82:C83"/>
    <mergeCell ref="D82:D83"/>
    <mergeCell ref="E82:E83"/>
    <mergeCell ref="F82:F83"/>
    <mergeCell ref="A53:F53"/>
    <mergeCell ref="B54:F54"/>
    <mergeCell ref="A56:A57"/>
    <mergeCell ref="C56:C57"/>
    <mergeCell ref="D56:D57"/>
    <mergeCell ref="E56:E57"/>
    <mergeCell ref="F56:F57"/>
    <mergeCell ref="A27:F27"/>
    <mergeCell ref="B28:F28"/>
    <mergeCell ref="A30:A31"/>
    <mergeCell ref="C30:C31"/>
    <mergeCell ref="D30:D31"/>
    <mergeCell ref="E30:E31"/>
    <mergeCell ref="F30:F31"/>
    <mergeCell ref="A1:F1"/>
    <mergeCell ref="B2:F2"/>
    <mergeCell ref="A4:A5"/>
    <mergeCell ref="C4:C5"/>
    <mergeCell ref="D4:D5"/>
    <mergeCell ref="E4:E5"/>
    <mergeCell ref="F4:F5"/>
    <mergeCell ref="A287:F287"/>
    <mergeCell ref="A235:F235"/>
    <mergeCell ref="B236:F236"/>
    <mergeCell ref="A238:A239"/>
    <mergeCell ref="C238:C239"/>
    <mergeCell ref="D238:D239"/>
    <mergeCell ref="E238:E239"/>
    <mergeCell ref="F238:F239"/>
    <mergeCell ref="A261:F261"/>
    <mergeCell ref="B262:F262"/>
    <mergeCell ref="A264:A265"/>
    <mergeCell ref="C264:C265"/>
    <mergeCell ref="D264:D265"/>
    <mergeCell ref="E264:E265"/>
    <mergeCell ref="F264:F265"/>
    <mergeCell ref="A209:F209"/>
    <mergeCell ref="B210:F210"/>
    <mergeCell ref="A212:A213"/>
    <mergeCell ref="C212:C213"/>
    <mergeCell ref="D212:D213"/>
    <mergeCell ref="E212:E213"/>
    <mergeCell ref="F212:F213"/>
    <mergeCell ref="A183:F183"/>
    <mergeCell ref="B184:F184"/>
    <mergeCell ref="A186:A187"/>
    <mergeCell ref="C186:C187"/>
    <mergeCell ref="D186:D187"/>
    <mergeCell ref="E186:E187"/>
    <mergeCell ref="F186:F18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8"/>
  <sheetViews>
    <sheetView workbookViewId="0"/>
  </sheetViews>
  <sheetFormatPr defaultColWidth="14.453125" defaultRowHeight="15" customHeight="1"/>
  <cols>
    <col min="1" max="1" width="15" customWidth="1"/>
    <col min="2" max="2" width="45.7265625" customWidth="1"/>
    <col min="3" max="3" width="7.7265625" customWidth="1"/>
    <col min="4" max="4" width="11.08984375" customWidth="1"/>
    <col min="5" max="5" width="6.26953125" customWidth="1"/>
    <col min="6" max="6" width="9.7265625" customWidth="1"/>
  </cols>
  <sheetData>
    <row r="1" spans="1:6">
      <c r="A1" s="453" t="s">
        <v>2</v>
      </c>
      <c r="B1" s="454"/>
      <c r="C1" s="454"/>
      <c r="D1" s="454"/>
      <c r="E1" s="454"/>
      <c r="F1" s="450"/>
    </row>
    <row r="2" spans="1:6">
      <c r="A2" s="1">
        <v>0</v>
      </c>
      <c r="B2" s="455" t="s">
        <v>271</v>
      </c>
      <c r="C2" s="454"/>
      <c r="D2" s="454"/>
      <c r="E2" s="454"/>
      <c r="F2" s="450"/>
    </row>
    <row r="3" spans="1:6">
      <c r="A3" s="1" t="s">
        <v>3</v>
      </c>
      <c r="B3" s="1" t="s">
        <v>4</v>
      </c>
      <c r="C3" s="1" t="s">
        <v>5</v>
      </c>
      <c r="D3" s="1" t="s">
        <v>6</v>
      </c>
      <c r="E3" s="1" t="s">
        <v>7</v>
      </c>
      <c r="F3" s="2" t="s">
        <v>8</v>
      </c>
    </row>
    <row r="4" spans="1:6">
      <c r="A4" s="7"/>
      <c r="B4" s="4" t="s">
        <v>13</v>
      </c>
      <c r="C4" s="7"/>
      <c r="D4" s="7"/>
      <c r="E4" s="7"/>
      <c r="F4" s="8"/>
    </row>
    <row r="5" spans="1:6">
      <c r="A5" s="7"/>
      <c r="B5" s="4" t="s">
        <v>22</v>
      </c>
      <c r="C5" s="7"/>
      <c r="D5" s="7"/>
      <c r="E5" s="7"/>
      <c r="F5" s="8"/>
    </row>
    <row r="6" spans="1:6">
      <c r="A6" s="7">
        <v>2321</v>
      </c>
      <c r="B6" s="4" t="s">
        <v>57</v>
      </c>
      <c r="C6" s="7" t="s">
        <v>58</v>
      </c>
      <c r="D6" s="7">
        <v>50</v>
      </c>
      <c r="E6" s="5">
        <v>597</v>
      </c>
      <c r="F6" s="8">
        <f>E6/2</f>
        <v>298.5</v>
      </c>
    </row>
    <row r="7" spans="1:6">
      <c r="A7" s="7">
        <v>114</v>
      </c>
      <c r="B7" s="4" t="s">
        <v>59</v>
      </c>
      <c r="C7" s="7" t="s">
        <v>26</v>
      </c>
      <c r="D7" s="7">
        <v>0.5</v>
      </c>
      <c r="E7" s="5">
        <v>645</v>
      </c>
      <c r="F7" s="8">
        <f t="shared" ref="F7:F9" si="0">E7*D7</f>
        <v>322.5</v>
      </c>
    </row>
    <row r="8" spans="1:6">
      <c r="A8" s="7">
        <v>115</v>
      </c>
      <c r="B8" s="4" t="s">
        <v>25</v>
      </c>
      <c r="C8" s="7" t="s">
        <v>26</v>
      </c>
      <c r="D8" s="7">
        <v>0.5</v>
      </c>
      <c r="E8" s="5">
        <v>645</v>
      </c>
      <c r="F8" s="8">
        <f t="shared" si="0"/>
        <v>322.5</v>
      </c>
    </row>
    <row r="9" spans="1:6">
      <c r="A9" s="7">
        <v>9999</v>
      </c>
      <c r="B9" s="4" t="s">
        <v>61</v>
      </c>
      <c r="C9" s="7" t="s">
        <v>62</v>
      </c>
      <c r="D9" s="7">
        <v>10.07</v>
      </c>
      <c r="E9" s="5">
        <v>2.12</v>
      </c>
      <c r="F9" s="8">
        <f t="shared" si="0"/>
        <v>21.348400000000002</v>
      </c>
    </row>
    <row r="10" spans="1:6">
      <c r="A10" s="7"/>
      <c r="B10" s="9" t="s">
        <v>27</v>
      </c>
      <c r="C10" s="7"/>
      <c r="D10" s="7"/>
      <c r="E10" s="7"/>
      <c r="F10" s="8">
        <f>SUM(F6:F9)</f>
        <v>964.84839999999997</v>
      </c>
    </row>
    <row r="11" spans="1:6">
      <c r="A11" s="7"/>
      <c r="B11" s="9" t="s">
        <v>28</v>
      </c>
      <c r="C11" s="7"/>
      <c r="D11" s="7"/>
      <c r="E11" s="7"/>
      <c r="F11" s="8">
        <f>F10*0.01</f>
        <v>9.6484839999999998</v>
      </c>
    </row>
    <row r="12" spans="1:6">
      <c r="A12" s="7"/>
      <c r="B12" s="9" t="s">
        <v>30</v>
      </c>
      <c r="C12" s="7"/>
      <c r="D12" s="7"/>
      <c r="E12" s="7"/>
      <c r="F12" s="8">
        <f>SUM(F10:F11)</f>
        <v>974.49688400000002</v>
      </c>
    </row>
    <row r="13" spans="1:6">
      <c r="A13" s="7"/>
      <c r="B13" s="9" t="s">
        <v>36</v>
      </c>
      <c r="C13" s="7"/>
      <c r="D13" s="7"/>
      <c r="E13" s="7"/>
      <c r="F13" s="8">
        <f>F12*0.15</f>
        <v>146.17453259999999</v>
      </c>
    </row>
    <row r="14" spans="1:6">
      <c r="A14" s="7"/>
      <c r="B14" s="9" t="s">
        <v>30</v>
      </c>
      <c r="C14" s="7"/>
      <c r="D14" s="7"/>
      <c r="E14" s="7"/>
      <c r="F14" s="8">
        <f>SUM(F12:F13)</f>
        <v>1120.6714165999999</v>
      </c>
    </row>
    <row r="15" spans="1:6">
      <c r="A15" s="7"/>
      <c r="B15" s="9" t="s">
        <v>73</v>
      </c>
      <c r="C15" s="7"/>
      <c r="D15" s="7"/>
      <c r="E15" s="7"/>
      <c r="F15" s="8">
        <f>F14</f>
        <v>1120.6714165999999</v>
      </c>
    </row>
    <row r="16" spans="1:6">
      <c r="A16" s="7"/>
      <c r="B16" s="9" t="s">
        <v>54</v>
      </c>
      <c r="C16" s="7"/>
      <c r="D16" s="7"/>
      <c r="E16" s="7"/>
      <c r="F16" s="18">
        <f>F15/100</f>
        <v>11.206714165999999</v>
      </c>
    </row>
    <row r="17" spans="1:6">
      <c r="A17" s="7"/>
      <c r="B17" s="9" t="s">
        <v>48</v>
      </c>
      <c r="C17" s="7"/>
      <c r="D17" s="7"/>
      <c r="E17" s="7"/>
      <c r="F17" s="18">
        <f>MROUND(F16, 0.05)</f>
        <v>11.200000000000001</v>
      </c>
    </row>
    <row r="18" spans="1:6">
      <c r="A18" s="459" t="str">
        <f>CONCATENATE("Say ",F17," x Cost Index")</f>
        <v>Say 11.2 x Cost Index</v>
      </c>
      <c r="B18" s="454"/>
      <c r="C18" s="454"/>
      <c r="D18" s="454"/>
      <c r="E18" s="454"/>
      <c r="F18" s="450"/>
    </row>
  </sheetData>
  <mergeCells count="3">
    <mergeCell ref="A1:F1"/>
    <mergeCell ref="B2:F2"/>
    <mergeCell ref="A18:F18"/>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53"/>
  <sheetViews>
    <sheetView workbookViewId="0"/>
  </sheetViews>
  <sheetFormatPr defaultColWidth="14.453125" defaultRowHeight="15" customHeight="1"/>
  <cols>
    <col min="2" max="2" width="68.26953125" customWidth="1"/>
  </cols>
  <sheetData>
    <row r="1" spans="1:4">
      <c r="A1" s="34" t="s">
        <v>332</v>
      </c>
      <c r="B1" s="34" t="s">
        <v>335</v>
      </c>
      <c r="C1" s="34" t="s">
        <v>336</v>
      </c>
      <c r="D1" s="34" t="s">
        <v>5</v>
      </c>
    </row>
    <row r="2" spans="1:4">
      <c r="A2" s="35" t="s">
        <v>337</v>
      </c>
      <c r="B2" s="36" t="s">
        <v>341</v>
      </c>
      <c r="C2" s="35">
        <v>193.76</v>
      </c>
      <c r="D2" s="35" t="s">
        <v>46</v>
      </c>
    </row>
    <row r="3" spans="1:4">
      <c r="A3" s="37" t="s">
        <v>342</v>
      </c>
      <c r="B3" s="38" t="s">
        <v>345</v>
      </c>
      <c r="C3" s="37">
        <v>452.76</v>
      </c>
      <c r="D3" s="37" t="s">
        <v>46</v>
      </c>
    </row>
    <row r="4" spans="1:4">
      <c r="A4" s="35" t="s">
        <v>346</v>
      </c>
      <c r="B4" s="36" t="s">
        <v>347</v>
      </c>
      <c r="C4" s="35">
        <v>495.76</v>
      </c>
      <c r="D4" s="35" t="s">
        <v>46</v>
      </c>
    </row>
    <row r="5" spans="1:4">
      <c r="A5" s="37" t="s">
        <v>348</v>
      </c>
      <c r="B5" s="38" t="s">
        <v>349</v>
      </c>
      <c r="C5" s="37">
        <v>760.76</v>
      </c>
      <c r="D5" s="37" t="s">
        <v>46</v>
      </c>
    </row>
    <row r="6" spans="1:4">
      <c r="A6" s="35" t="s">
        <v>350</v>
      </c>
      <c r="B6" s="38" t="s">
        <v>351</v>
      </c>
      <c r="C6" s="35">
        <v>927.76</v>
      </c>
      <c r="D6" s="35" t="s">
        <v>46</v>
      </c>
    </row>
    <row r="7" spans="1:4">
      <c r="A7" s="35" t="s">
        <v>352</v>
      </c>
      <c r="B7" s="38" t="s">
        <v>354</v>
      </c>
      <c r="C7" s="35">
        <v>1668.16</v>
      </c>
      <c r="D7" s="35" t="s">
        <v>46</v>
      </c>
    </row>
    <row r="8" spans="1:4">
      <c r="A8" s="35" t="s">
        <v>357</v>
      </c>
      <c r="B8" s="38" t="s">
        <v>358</v>
      </c>
      <c r="C8" s="35">
        <v>1945.16</v>
      </c>
      <c r="D8" s="35" t="s">
        <v>46</v>
      </c>
    </row>
    <row r="9" spans="1:4">
      <c r="A9" s="35" t="s">
        <v>359</v>
      </c>
      <c r="B9" s="38" t="s">
        <v>360</v>
      </c>
      <c r="C9" s="35">
        <v>1750.16</v>
      </c>
      <c r="D9" s="35" t="s">
        <v>46</v>
      </c>
    </row>
    <row r="10" spans="1:4">
      <c r="A10" s="35" t="s">
        <v>361</v>
      </c>
      <c r="B10" s="38" t="s">
        <v>363</v>
      </c>
      <c r="C10" s="35">
        <v>2374.16</v>
      </c>
      <c r="D10" s="35" t="s">
        <v>46</v>
      </c>
    </row>
    <row r="11" spans="1:4">
      <c r="A11" s="35" t="s">
        <v>364</v>
      </c>
      <c r="B11" s="38" t="s">
        <v>365</v>
      </c>
      <c r="C11" s="35">
        <v>1531.45</v>
      </c>
      <c r="D11" s="35" t="s">
        <v>46</v>
      </c>
    </row>
    <row r="12" spans="1:4">
      <c r="A12" s="35" t="s">
        <v>366</v>
      </c>
      <c r="B12" s="38" t="s">
        <v>367</v>
      </c>
      <c r="C12" s="35">
        <v>1995.45</v>
      </c>
      <c r="D12" s="35" t="s">
        <v>46</v>
      </c>
    </row>
    <row r="13" spans="1:4">
      <c r="A13" s="35" t="s">
        <v>368</v>
      </c>
      <c r="B13" s="38" t="s">
        <v>369</v>
      </c>
      <c r="C13" s="35">
        <v>2055.4499999999998</v>
      </c>
      <c r="D13" s="35" t="s">
        <v>46</v>
      </c>
    </row>
    <row r="14" spans="1:4">
      <c r="A14" s="35" t="s">
        <v>371</v>
      </c>
      <c r="B14" s="38" t="s">
        <v>372</v>
      </c>
      <c r="C14" s="35">
        <v>1953.52</v>
      </c>
      <c r="D14" s="35" t="s">
        <v>46</v>
      </c>
    </row>
    <row r="15" spans="1:4">
      <c r="A15" s="35" t="s">
        <v>375</v>
      </c>
      <c r="B15" s="38" t="s">
        <v>376</v>
      </c>
      <c r="C15" s="35">
        <v>2407.52</v>
      </c>
      <c r="D15" s="35" t="s">
        <v>46</v>
      </c>
    </row>
    <row r="16" spans="1:4">
      <c r="A16" s="35" t="s">
        <v>377</v>
      </c>
      <c r="B16" s="38" t="s">
        <v>378</v>
      </c>
      <c r="C16" s="35">
        <v>2169.52</v>
      </c>
      <c r="D16" s="35" t="s">
        <v>46</v>
      </c>
    </row>
    <row r="17" spans="1:4">
      <c r="A17" s="35" t="s">
        <v>379</v>
      </c>
      <c r="B17" s="38" t="s">
        <v>380</v>
      </c>
      <c r="C17" s="35">
        <v>33.78</v>
      </c>
      <c r="D17" s="35" t="s">
        <v>21</v>
      </c>
    </row>
    <row r="18" spans="1:4">
      <c r="A18" s="35" t="s">
        <v>381</v>
      </c>
      <c r="B18" s="38" t="s">
        <v>382</v>
      </c>
      <c r="C18" s="35">
        <v>52.87</v>
      </c>
      <c r="D18" s="35" t="s">
        <v>21</v>
      </c>
    </row>
    <row r="19" spans="1:4">
      <c r="A19" s="35" t="s">
        <v>384</v>
      </c>
      <c r="B19" s="38" t="s">
        <v>385</v>
      </c>
      <c r="C19" s="35">
        <v>71.959999999999994</v>
      </c>
      <c r="D19" s="35" t="s">
        <v>21</v>
      </c>
    </row>
    <row r="20" spans="1:4">
      <c r="A20" s="35" t="s">
        <v>387</v>
      </c>
      <c r="B20" s="38" t="s">
        <v>388</v>
      </c>
      <c r="C20" s="35">
        <v>91.05</v>
      </c>
      <c r="D20" s="35" t="s">
        <v>21</v>
      </c>
    </row>
    <row r="21" spans="1:4">
      <c r="A21" s="35" t="s">
        <v>389</v>
      </c>
      <c r="B21" s="38" t="s">
        <v>390</v>
      </c>
      <c r="C21" s="35">
        <v>117.48</v>
      </c>
      <c r="D21" s="35" t="s">
        <v>21</v>
      </c>
    </row>
    <row r="22" spans="1:4">
      <c r="A22" s="35" t="s">
        <v>391</v>
      </c>
      <c r="B22" s="38" t="s">
        <v>392</v>
      </c>
      <c r="C22" s="35">
        <v>136.57</v>
      </c>
      <c r="D22" s="35" t="s">
        <v>21</v>
      </c>
    </row>
    <row r="23" spans="1:4">
      <c r="A23" s="35" t="s">
        <v>393</v>
      </c>
      <c r="B23" s="38" t="s">
        <v>394</v>
      </c>
      <c r="C23" s="35">
        <v>163</v>
      </c>
      <c r="D23" s="35" t="s">
        <v>21</v>
      </c>
    </row>
    <row r="24" spans="1:4">
      <c r="A24" s="35" t="s">
        <v>395</v>
      </c>
      <c r="B24" s="38" t="s">
        <v>397</v>
      </c>
      <c r="C24" s="35">
        <v>182.09</v>
      </c>
      <c r="D24" s="35" t="s">
        <v>21</v>
      </c>
    </row>
    <row r="25" spans="1:4">
      <c r="A25" s="35" t="s">
        <v>398</v>
      </c>
      <c r="B25" s="38" t="s">
        <v>399</v>
      </c>
      <c r="C25" s="35">
        <v>215.87</v>
      </c>
      <c r="D25" s="35" t="s">
        <v>21</v>
      </c>
    </row>
    <row r="26" spans="1:4">
      <c r="A26" s="35" t="s">
        <v>400</v>
      </c>
      <c r="B26" s="38" t="s">
        <v>401</v>
      </c>
      <c r="C26" s="35">
        <v>234.96</v>
      </c>
      <c r="D26" s="35" t="s">
        <v>21</v>
      </c>
    </row>
    <row r="27" spans="1:4">
      <c r="A27" s="35" t="s">
        <v>402</v>
      </c>
      <c r="B27" s="38" t="s">
        <v>403</v>
      </c>
      <c r="C27" s="35">
        <v>74.08</v>
      </c>
      <c r="D27" s="35" t="s">
        <v>21</v>
      </c>
    </row>
    <row r="28" spans="1:4">
      <c r="A28" s="35" t="s">
        <v>405</v>
      </c>
      <c r="B28" s="38" t="s">
        <v>406</v>
      </c>
      <c r="C28" s="35">
        <v>103.77</v>
      </c>
      <c r="D28" s="35" t="s">
        <v>21</v>
      </c>
    </row>
    <row r="29" spans="1:4">
      <c r="A29" s="35" t="s">
        <v>407</v>
      </c>
      <c r="B29" s="38" t="s">
        <v>408</v>
      </c>
      <c r="C29" s="35">
        <v>133.47</v>
      </c>
      <c r="D29" s="35" t="s">
        <v>21</v>
      </c>
    </row>
    <row r="30" spans="1:4">
      <c r="A30" s="35" t="s">
        <v>409</v>
      </c>
      <c r="B30" s="38" t="s">
        <v>410</v>
      </c>
      <c r="C30" s="35">
        <v>170.51</v>
      </c>
      <c r="D30" s="35" t="s">
        <v>21</v>
      </c>
    </row>
    <row r="31" spans="1:4">
      <c r="A31" s="35" t="s">
        <v>412</v>
      </c>
      <c r="B31" s="38" t="s">
        <v>413</v>
      </c>
      <c r="C31" s="35">
        <v>200.2</v>
      </c>
      <c r="D31" s="35" t="s">
        <v>21</v>
      </c>
    </row>
    <row r="32" spans="1:4">
      <c r="A32" s="35" t="s">
        <v>414</v>
      </c>
      <c r="B32" s="38" t="s">
        <v>415</v>
      </c>
      <c r="C32" s="35">
        <v>237.24</v>
      </c>
      <c r="D32" s="35" t="s">
        <v>21</v>
      </c>
    </row>
    <row r="33" spans="1:4">
      <c r="A33" s="35" t="s">
        <v>416</v>
      </c>
      <c r="B33" s="38" t="s">
        <v>417</v>
      </c>
      <c r="C33" s="35">
        <v>266.93</v>
      </c>
      <c r="D33" s="35" t="s">
        <v>21</v>
      </c>
    </row>
    <row r="34" spans="1:4">
      <c r="A34" s="35" t="s">
        <v>418</v>
      </c>
      <c r="B34" s="38" t="s">
        <v>419</v>
      </c>
      <c r="C34" s="35">
        <v>311.32</v>
      </c>
      <c r="D34" s="35" t="s">
        <v>21</v>
      </c>
    </row>
    <row r="35" spans="1:4">
      <c r="A35" s="35" t="s">
        <v>420</v>
      </c>
      <c r="B35" s="38" t="s">
        <v>421</v>
      </c>
      <c r="C35" s="35">
        <v>341.01</v>
      </c>
      <c r="D35" s="35" t="s">
        <v>21</v>
      </c>
    </row>
    <row r="36" spans="1:4">
      <c r="A36" s="35" t="s">
        <v>422</v>
      </c>
      <c r="B36" s="38" t="s">
        <v>423</v>
      </c>
      <c r="C36" s="35">
        <v>111.12</v>
      </c>
      <c r="D36" s="35" t="s">
        <v>21</v>
      </c>
    </row>
    <row r="37" spans="1:4">
      <c r="A37" s="35" t="s">
        <v>425</v>
      </c>
      <c r="B37" s="38" t="s">
        <v>427</v>
      </c>
      <c r="C37" s="35">
        <v>155.66</v>
      </c>
      <c r="D37" s="35" t="s">
        <v>21</v>
      </c>
    </row>
    <row r="38" spans="1:4">
      <c r="A38" s="35" t="s">
        <v>429</v>
      </c>
      <c r="B38" s="38" t="s">
        <v>430</v>
      </c>
      <c r="C38" s="35">
        <v>207.54</v>
      </c>
      <c r="D38" s="35" t="s">
        <v>21</v>
      </c>
    </row>
    <row r="39" spans="1:4">
      <c r="A39" s="35" t="s">
        <v>431</v>
      </c>
      <c r="B39" s="38" t="s">
        <v>432</v>
      </c>
      <c r="C39" s="35">
        <v>255.03</v>
      </c>
      <c r="D39" s="35" t="s">
        <v>21</v>
      </c>
    </row>
    <row r="40" spans="1:4">
      <c r="A40" s="35" t="s">
        <v>433</v>
      </c>
      <c r="B40" s="38" t="s">
        <v>438</v>
      </c>
      <c r="C40" s="35">
        <v>299.56</v>
      </c>
      <c r="D40" s="35" t="s">
        <v>21</v>
      </c>
    </row>
    <row r="41" spans="1:4">
      <c r="A41" s="35" t="s">
        <v>439</v>
      </c>
      <c r="B41" s="38" t="s">
        <v>441</v>
      </c>
      <c r="C41" s="35">
        <v>345.58</v>
      </c>
      <c r="D41" s="35" t="s">
        <v>21</v>
      </c>
    </row>
    <row r="42" spans="1:4">
      <c r="A42" s="35" t="s">
        <v>442</v>
      </c>
      <c r="B42" s="38" t="s">
        <v>443</v>
      </c>
      <c r="C42" s="35">
        <v>390.12</v>
      </c>
      <c r="D42" s="35" t="s">
        <v>21</v>
      </c>
    </row>
    <row r="43" spans="1:4">
      <c r="A43" s="35" t="s">
        <v>446</v>
      </c>
      <c r="B43" s="38" t="s">
        <v>447</v>
      </c>
      <c r="C43" s="35">
        <v>437.6</v>
      </c>
      <c r="D43" s="35" t="s">
        <v>21</v>
      </c>
    </row>
    <row r="44" spans="1:4">
      <c r="A44" s="35" t="s">
        <v>448</v>
      </c>
      <c r="B44" s="38" t="s">
        <v>449</v>
      </c>
      <c r="C44" s="35">
        <v>489.48</v>
      </c>
      <c r="D44" s="35" t="s">
        <v>21</v>
      </c>
    </row>
    <row r="45" spans="1:4">
      <c r="A45" s="35" t="s">
        <v>450</v>
      </c>
      <c r="B45" s="38" t="s">
        <v>452</v>
      </c>
      <c r="C45" s="35">
        <v>163</v>
      </c>
      <c r="D45" s="35" t="s">
        <v>21</v>
      </c>
    </row>
    <row r="46" spans="1:4">
      <c r="A46" s="35" t="s">
        <v>453</v>
      </c>
      <c r="B46" s="38" t="s">
        <v>454</v>
      </c>
      <c r="C46" s="35">
        <v>229.82</v>
      </c>
      <c r="D46" s="35" t="s">
        <v>21</v>
      </c>
    </row>
    <row r="47" spans="1:4">
      <c r="A47" s="35" t="s">
        <v>455</v>
      </c>
      <c r="B47" s="38" t="s">
        <v>456</v>
      </c>
      <c r="C47" s="35">
        <v>303.97000000000003</v>
      </c>
      <c r="D47" s="35" t="s">
        <v>21</v>
      </c>
    </row>
    <row r="48" spans="1:4">
      <c r="A48" s="35" t="s">
        <v>458</v>
      </c>
      <c r="B48" s="38" t="s">
        <v>459</v>
      </c>
      <c r="C48" s="35">
        <v>370.79</v>
      </c>
      <c r="D48" s="35" t="s">
        <v>21</v>
      </c>
    </row>
    <row r="49" spans="1:4">
      <c r="A49" s="35" t="s">
        <v>460</v>
      </c>
      <c r="B49" s="38" t="s">
        <v>461</v>
      </c>
      <c r="C49" s="35">
        <v>452.28</v>
      </c>
      <c r="D49" s="35" t="s">
        <v>21</v>
      </c>
    </row>
    <row r="50" spans="1:4">
      <c r="A50" s="35" t="s">
        <v>462</v>
      </c>
      <c r="B50" s="38" t="s">
        <v>463</v>
      </c>
      <c r="C50" s="35">
        <v>519.1</v>
      </c>
      <c r="D50" s="35" t="s">
        <v>21</v>
      </c>
    </row>
    <row r="51" spans="1:4">
      <c r="A51" s="35" t="s">
        <v>465</v>
      </c>
      <c r="B51" s="38" t="s">
        <v>466</v>
      </c>
      <c r="C51" s="35">
        <v>593.25</v>
      </c>
      <c r="D51" s="35" t="s">
        <v>21</v>
      </c>
    </row>
    <row r="52" spans="1:4">
      <c r="A52" s="35" t="s">
        <v>467</v>
      </c>
      <c r="B52" s="38" t="s">
        <v>468</v>
      </c>
      <c r="C52" s="35">
        <v>660.07</v>
      </c>
      <c r="D52" s="35" t="s">
        <v>21</v>
      </c>
    </row>
    <row r="53" spans="1:4">
      <c r="A53" s="35" t="s">
        <v>469</v>
      </c>
      <c r="B53" s="38" t="s">
        <v>470</v>
      </c>
      <c r="C53" s="35">
        <v>730.69</v>
      </c>
      <c r="D53" s="35" t="s">
        <v>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7"/>
  <sheetViews>
    <sheetView workbookViewId="0"/>
  </sheetViews>
  <sheetFormatPr defaultColWidth="14.453125" defaultRowHeight="15" customHeight="1"/>
  <cols>
    <col min="1" max="1" width="12.54296875" customWidth="1"/>
    <col min="2" max="2" width="48.26953125" customWidth="1"/>
  </cols>
  <sheetData>
    <row r="1" spans="1:4">
      <c r="A1" s="11" t="s">
        <v>332</v>
      </c>
      <c r="B1" s="11" t="s">
        <v>335</v>
      </c>
      <c r="C1" s="11" t="s">
        <v>336</v>
      </c>
      <c r="D1" s="11" t="s">
        <v>5</v>
      </c>
    </row>
    <row r="2" spans="1:4">
      <c r="A2" s="13" t="s">
        <v>479</v>
      </c>
      <c r="B2" s="13" t="s">
        <v>480</v>
      </c>
      <c r="C2" s="13">
        <v>264.02</v>
      </c>
      <c r="D2" s="13" t="s">
        <v>481</v>
      </c>
    </row>
    <row r="3" spans="1:4">
      <c r="A3" s="13" t="s">
        <v>482</v>
      </c>
      <c r="B3" s="13" t="s">
        <v>483</v>
      </c>
      <c r="C3" s="13">
        <v>324.12</v>
      </c>
      <c r="D3" s="13" t="s">
        <v>481</v>
      </c>
    </row>
    <row r="4" spans="1:4">
      <c r="A4" s="13" t="s">
        <v>484</v>
      </c>
      <c r="B4" s="13" t="s">
        <v>485</v>
      </c>
      <c r="C4" s="13">
        <v>426.41</v>
      </c>
      <c r="D4" s="13" t="s">
        <v>481</v>
      </c>
    </row>
    <row r="5" spans="1:4">
      <c r="A5" s="13" t="s">
        <v>486</v>
      </c>
      <c r="B5" s="13" t="s">
        <v>488</v>
      </c>
      <c r="C5" s="13">
        <v>489.26</v>
      </c>
      <c r="D5" s="13" t="s">
        <v>481</v>
      </c>
    </row>
    <row r="6" spans="1:4">
      <c r="A6" s="13" t="s">
        <v>489</v>
      </c>
      <c r="B6" s="13" t="s">
        <v>490</v>
      </c>
      <c r="C6" s="13">
        <v>629.54</v>
      </c>
      <c r="D6" s="13" t="s">
        <v>481</v>
      </c>
    </row>
    <row r="7" spans="1:4">
      <c r="A7" s="13" t="s">
        <v>491</v>
      </c>
      <c r="B7" s="13" t="s">
        <v>492</v>
      </c>
      <c r="C7" s="13">
        <v>775.43</v>
      </c>
      <c r="D7" s="13" t="s">
        <v>481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61"/>
  <sheetViews>
    <sheetView workbookViewId="0"/>
  </sheetViews>
  <sheetFormatPr defaultColWidth="14.453125" defaultRowHeight="15" customHeight="1"/>
  <cols>
    <col min="1" max="1" width="9.08984375" customWidth="1"/>
    <col min="2" max="2" width="37.54296875" customWidth="1"/>
    <col min="3" max="3" width="9.08984375" customWidth="1"/>
    <col min="4" max="4" width="11.08984375" customWidth="1"/>
    <col min="5" max="5" width="9.08984375" customWidth="1"/>
    <col min="6" max="6" width="14.08984375" customWidth="1"/>
  </cols>
  <sheetData>
    <row r="1" spans="1:6">
      <c r="A1" s="453" t="s">
        <v>504</v>
      </c>
      <c r="B1" s="454"/>
      <c r="C1" s="454"/>
      <c r="D1" s="454"/>
      <c r="E1" s="454"/>
      <c r="F1" s="450"/>
    </row>
    <row r="2" spans="1:6">
      <c r="A2" s="40">
        <v>0</v>
      </c>
      <c r="B2" s="467" t="s">
        <v>508</v>
      </c>
      <c r="C2" s="454"/>
      <c r="D2" s="454"/>
      <c r="E2" s="454"/>
      <c r="F2" s="450"/>
    </row>
    <row r="3" spans="1:6">
      <c r="A3" s="41" t="s">
        <v>3</v>
      </c>
      <c r="B3" s="41" t="s">
        <v>4</v>
      </c>
      <c r="C3" s="41" t="s">
        <v>5</v>
      </c>
      <c r="D3" s="41" t="s">
        <v>6</v>
      </c>
      <c r="E3" s="41" t="s">
        <v>7</v>
      </c>
      <c r="F3" s="41" t="s">
        <v>8</v>
      </c>
    </row>
    <row r="4" spans="1:6">
      <c r="A4" s="463"/>
      <c r="B4" s="42" t="s">
        <v>512</v>
      </c>
      <c r="C4" s="463"/>
      <c r="D4" s="463"/>
      <c r="E4" s="463"/>
      <c r="F4" s="463"/>
    </row>
    <row r="5" spans="1:6">
      <c r="A5" s="457"/>
      <c r="B5" s="42" t="s">
        <v>14</v>
      </c>
      <c r="C5" s="457"/>
      <c r="D5" s="457"/>
      <c r="E5" s="457"/>
      <c r="F5" s="457"/>
    </row>
    <row r="6" spans="1:6">
      <c r="A6" s="463">
        <v>1547</v>
      </c>
      <c r="B6" s="42" t="s">
        <v>514</v>
      </c>
      <c r="C6" s="463" t="s">
        <v>21</v>
      </c>
      <c r="D6" s="463">
        <v>10.199999999999999</v>
      </c>
      <c r="E6" s="463">
        <v>196</v>
      </c>
      <c r="F6" s="463">
        <f>D6*E6</f>
        <v>1999.1999999999998</v>
      </c>
    </row>
    <row r="7" spans="1:6">
      <c r="A7" s="464"/>
      <c r="B7" s="42" t="s">
        <v>519</v>
      </c>
      <c r="C7" s="464"/>
      <c r="D7" s="464"/>
      <c r="E7" s="464"/>
      <c r="F7" s="464"/>
    </row>
    <row r="8" spans="1:6">
      <c r="A8" s="457"/>
      <c r="B8" s="42" t="s">
        <v>520</v>
      </c>
      <c r="C8" s="457"/>
      <c r="D8" s="457"/>
      <c r="E8" s="457"/>
      <c r="F8" s="457"/>
    </row>
    <row r="9" spans="1:6">
      <c r="A9" s="43">
        <v>2271</v>
      </c>
      <c r="B9" s="42" t="s">
        <v>521</v>
      </c>
      <c r="C9" s="43" t="s">
        <v>218</v>
      </c>
      <c r="D9" s="43">
        <v>2.5090000000000001E-2</v>
      </c>
      <c r="E9" s="44">
        <v>145.72</v>
      </c>
      <c r="F9" s="43">
        <f t="shared" ref="F9:F10" si="0">D9*E9</f>
        <v>3.6561148000000001</v>
      </c>
    </row>
    <row r="10" spans="1:6">
      <c r="A10" s="463">
        <v>9999</v>
      </c>
      <c r="B10" s="42" t="s">
        <v>524</v>
      </c>
      <c r="C10" s="463" t="s">
        <v>62</v>
      </c>
      <c r="D10" s="463">
        <v>6.76</v>
      </c>
      <c r="E10" s="463">
        <v>2.12</v>
      </c>
      <c r="F10" s="463">
        <f t="shared" si="0"/>
        <v>14.331200000000001</v>
      </c>
    </row>
    <row r="11" spans="1:6">
      <c r="A11" s="457"/>
      <c r="B11" s="42" t="s">
        <v>22</v>
      </c>
      <c r="C11" s="457"/>
      <c r="D11" s="457"/>
      <c r="E11" s="457"/>
      <c r="F11" s="457"/>
    </row>
    <row r="12" spans="1:6">
      <c r="A12" s="43">
        <v>116</v>
      </c>
      <c r="B12" s="42" t="s">
        <v>527</v>
      </c>
      <c r="C12" s="43" t="s">
        <v>26</v>
      </c>
      <c r="D12" s="43">
        <v>0.12</v>
      </c>
      <c r="E12" s="44">
        <v>784</v>
      </c>
      <c r="F12" s="43">
        <f t="shared" ref="F12:F13" si="1">D12*E12</f>
        <v>94.08</v>
      </c>
    </row>
    <row r="13" spans="1:6">
      <c r="A13" s="43">
        <v>114</v>
      </c>
      <c r="B13" s="42" t="s">
        <v>59</v>
      </c>
      <c r="C13" s="43" t="s">
        <v>26</v>
      </c>
      <c r="D13" s="43">
        <v>0.25</v>
      </c>
      <c r="E13" s="44">
        <v>645</v>
      </c>
      <c r="F13" s="43">
        <f t="shared" si="1"/>
        <v>161.25</v>
      </c>
    </row>
    <row r="14" spans="1:6">
      <c r="A14" s="465"/>
      <c r="B14" s="468" t="s">
        <v>27</v>
      </c>
      <c r="C14" s="454"/>
      <c r="D14" s="454"/>
      <c r="E14" s="450"/>
      <c r="F14" s="47">
        <f>SUM(F6:F13)</f>
        <v>2272.5173147999999</v>
      </c>
    </row>
    <row r="15" spans="1:6">
      <c r="A15" s="464"/>
      <c r="B15" s="468" t="s">
        <v>28</v>
      </c>
      <c r="C15" s="454"/>
      <c r="D15" s="454"/>
      <c r="E15" s="450"/>
      <c r="F15" s="47">
        <f>F14*0.01</f>
        <v>22.725173148</v>
      </c>
    </row>
    <row r="16" spans="1:6">
      <c r="A16" s="464"/>
      <c r="B16" s="468" t="s">
        <v>30</v>
      </c>
      <c r="C16" s="454"/>
      <c r="D16" s="454"/>
      <c r="E16" s="450"/>
      <c r="F16" s="47">
        <f>SUM(F14:F15)</f>
        <v>2295.242487948</v>
      </c>
    </row>
    <row r="17" spans="1:6">
      <c r="A17" s="464"/>
      <c r="B17" s="468" t="s">
        <v>36</v>
      </c>
      <c r="C17" s="454"/>
      <c r="D17" s="454"/>
      <c r="E17" s="450"/>
      <c r="F17" s="47">
        <f>F16*0.15</f>
        <v>344.28637319219996</v>
      </c>
    </row>
    <row r="18" spans="1:6">
      <c r="A18" s="464"/>
      <c r="B18" s="468" t="s">
        <v>30</v>
      </c>
      <c r="C18" s="454"/>
      <c r="D18" s="454"/>
      <c r="E18" s="450"/>
      <c r="F18" s="47">
        <f>SUM(F16:F17)</f>
        <v>2639.5288611401998</v>
      </c>
    </row>
    <row r="19" spans="1:6">
      <c r="A19" s="464"/>
      <c r="B19" s="468" t="s">
        <v>539</v>
      </c>
      <c r="C19" s="454"/>
      <c r="D19" s="454"/>
      <c r="E19" s="450"/>
      <c r="F19" s="47">
        <f>F18</f>
        <v>2639.5288611401998</v>
      </c>
    </row>
    <row r="20" spans="1:6">
      <c r="A20" s="464"/>
      <c r="B20" s="468" t="s">
        <v>54</v>
      </c>
      <c r="C20" s="454"/>
      <c r="D20" s="454"/>
      <c r="E20" s="450"/>
      <c r="F20" s="47">
        <f>F19/10</f>
        <v>263.95288611401998</v>
      </c>
    </row>
    <row r="21" spans="1:6">
      <c r="A21" s="457"/>
      <c r="B21" s="468" t="s">
        <v>48</v>
      </c>
      <c r="C21" s="454"/>
      <c r="D21" s="454"/>
      <c r="E21" s="450"/>
      <c r="F21" s="48">
        <f>MROUND(F20, 0.05)</f>
        <v>263.95</v>
      </c>
    </row>
    <row r="22" spans="1:6">
      <c r="A22" s="1">
        <v>0</v>
      </c>
      <c r="B22" s="455" t="s">
        <v>544</v>
      </c>
      <c r="C22" s="454"/>
      <c r="D22" s="454"/>
      <c r="E22" s="454"/>
      <c r="F22" s="450"/>
    </row>
    <row r="23" spans="1:6">
      <c r="A23" s="1" t="s">
        <v>3</v>
      </c>
      <c r="B23" s="1" t="s">
        <v>4</v>
      </c>
      <c r="C23" s="1" t="s">
        <v>5</v>
      </c>
      <c r="D23" s="1" t="s">
        <v>6</v>
      </c>
      <c r="E23" s="1" t="s">
        <v>7</v>
      </c>
      <c r="F23" s="1" t="s">
        <v>8</v>
      </c>
    </row>
    <row r="24" spans="1:6">
      <c r="A24" s="456"/>
      <c r="B24" s="4" t="s">
        <v>512</v>
      </c>
      <c r="C24" s="456"/>
      <c r="D24" s="456"/>
      <c r="E24" s="456"/>
      <c r="F24" s="456"/>
    </row>
    <row r="25" spans="1:6">
      <c r="A25" s="457"/>
      <c r="B25" s="4" t="s">
        <v>14</v>
      </c>
      <c r="C25" s="457"/>
      <c r="D25" s="457"/>
      <c r="E25" s="457"/>
      <c r="F25" s="457"/>
    </row>
    <row r="26" spans="1:6">
      <c r="A26" s="456">
        <v>1548</v>
      </c>
      <c r="B26" s="4" t="s">
        <v>547</v>
      </c>
      <c r="C26" s="456" t="s">
        <v>21</v>
      </c>
      <c r="D26" s="456">
        <v>10.199999999999999</v>
      </c>
      <c r="E26" s="456">
        <v>225</v>
      </c>
      <c r="F26" s="456">
        <f>10.2*225</f>
        <v>2295</v>
      </c>
    </row>
    <row r="27" spans="1:6">
      <c r="A27" s="464"/>
      <c r="B27" s="4" t="s">
        <v>519</v>
      </c>
      <c r="C27" s="464"/>
      <c r="D27" s="464"/>
      <c r="E27" s="464"/>
      <c r="F27" s="464"/>
    </row>
    <row r="28" spans="1:6">
      <c r="A28" s="457"/>
      <c r="B28" s="4" t="s">
        <v>552</v>
      </c>
      <c r="C28" s="457"/>
      <c r="D28" s="457"/>
      <c r="E28" s="457"/>
      <c r="F28" s="457"/>
    </row>
    <row r="29" spans="1:6">
      <c r="A29" s="7">
        <v>2271</v>
      </c>
      <c r="B29" s="4" t="s">
        <v>521</v>
      </c>
      <c r="C29" s="7" t="s">
        <v>218</v>
      </c>
      <c r="D29" s="7">
        <v>3.2329999999999998E-2</v>
      </c>
      <c r="E29" s="5">
        <v>145.72</v>
      </c>
      <c r="F29" s="7">
        <f t="shared" ref="F29:F30" si="2">D29*E29</f>
        <v>4.7111275999999993</v>
      </c>
    </row>
    <row r="30" spans="1:6">
      <c r="A30" s="456">
        <v>9999</v>
      </c>
      <c r="B30" s="4" t="s">
        <v>554</v>
      </c>
      <c r="C30" s="456" t="s">
        <v>62</v>
      </c>
      <c r="D30" s="456">
        <v>6.76</v>
      </c>
      <c r="E30" s="456">
        <v>2.12</v>
      </c>
      <c r="F30" s="7">
        <f t="shared" si="2"/>
        <v>14.331200000000001</v>
      </c>
    </row>
    <row r="31" spans="1:6">
      <c r="A31" s="457"/>
      <c r="B31" s="4" t="s">
        <v>22</v>
      </c>
      <c r="C31" s="457"/>
      <c r="D31" s="457"/>
      <c r="E31" s="457"/>
      <c r="F31" s="7"/>
    </row>
    <row r="32" spans="1:6">
      <c r="A32" s="7">
        <v>116</v>
      </c>
      <c r="B32" s="4" t="s">
        <v>527</v>
      </c>
      <c r="C32" s="7" t="s">
        <v>26</v>
      </c>
      <c r="D32" s="7">
        <v>0.12</v>
      </c>
      <c r="E32" s="5">
        <v>784</v>
      </c>
      <c r="F32" s="7">
        <f t="shared" ref="F32:F33" si="3">D32*E32</f>
        <v>94.08</v>
      </c>
    </row>
    <row r="33" spans="1:6">
      <c r="A33" s="7">
        <v>114</v>
      </c>
      <c r="B33" s="4" t="s">
        <v>59</v>
      </c>
      <c r="C33" s="7" t="s">
        <v>26</v>
      </c>
      <c r="D33" s="7">
        <v>0.25</v>
      </c>
      <c r="E33" s="5">
        <v>645</v>
      </c>
      <c r="F33" s="7">
        <f t="shared" si="3"/>
        <v>161.25</v>
      </c>
    </row>
    <row r="34" spans="1:6">
      <c r="A34" s="466"/>
      <c r="B34" s="469" t="s">
        <v>27</v>
      </c>
      <c r="C34" s="454"/>
      <c r="D34" s="454"/>
      <c r="E34" s="450"/>
      <c r="F34" s="49">
        <f>SUM(F26:F33)</f>
        <v>2569.3723276000001</v>
      </c>
    </row>
    <row r="35" spans="1:6">
      <c r="A35" s="464"/>
      <c r="B35" s="470" t="s">
        <v>28</v>
      </c>
      <c r="C35" s="454"/>
      <c r="D35" s="454"/>
      <c r="E35" s="450"/>
      <c r="F35" s="49">
        <f>F34*0.01</f>
        <v>25.693723276</v>
      </c>
    </row>
    <row r="36" spans="1:6">
      <c r="A36" s="464"/>
      <c r="B36" s="470" t="s">
        <v>30</v>
      </c>
      <c r="C36" s="454"/>
      <c r="D36" s="454"/>
      <c r="E36" s="450"/>
      <c r="F36" s="49">
        <f>SUM(F34:F35)</f>
        <v>2595.0660508760002</v>
      </c>
    </row>
    <row r="37" spans="1:6">
      <c r="A37" s="464"/>
      <c r="B37" s="470" t="s">
        <v>36</v>
      </c>
      <c r="C37" s="454"/>
      <c r="D37" s="454"/>
      <c r="E37" s="450"/>
      <c r="F37" s="49">
        <f>F36*0.15</f>
        <v>389.25990763140004</v>
      </c>
    </row>
    <row r="38" spans="1:6">
      <c r="A38" s="464"/>
      <c r="B38" s="470" t="s">
        <v>30</v>
      </c>
      <c r="C38" s="454"/>
      <c r="D38" s="454"/>
      <c r="E38" s="450"/>
      <c r="F38" s="49">
        <f>SUM(F36:F37)</f>
        <v>2984.3259585074002</v>
      </c>
    </row>
    <row r="39" spans="1:6">
      <c r="A39" s="464"/>
      <c r="B39" s="470" t="s">
        <v>539</v>
      </c>
      <c r="C39" s="454"/>
      <c r="D39" s="454"/>
      <c r="E39" s="450"/>
      <c r="F39" s="49">
        <f>F38</f>
        <v>2984.3259585074002</v>
      </c>
    </row>
    <row r="40" spans="1:6">
      <c r="A40" s="464"/>
      <c r="B40" s="470" t="s">
        <v>54</v>
      </c>
      <c r="C40" s="454"/>
      <c r="D40" s="454"/>
      <c r="E40" s="450"/>
      <c r="F40" s="49">
        <f>F39/10</f>
        <v>298.43259585074003</v>
      </c>
    </row>
    <row r="41" spans="1:6">
      <c r="A41" s="457"/>
      <c r="B41" s="470" t="s">
        <v>48</v>
      </c>
      <c r="C41" s="454"/>
      <c r="D41" s="454"/>
      <c r="E41" s="450"/>
      <c r="F41" s="18">
        <f>MROUND(F40, 0.05)</f>
        <v>298.45</v>
      </c>
    </row>
    <row r="42" spans="1:6">
      <c r="A42" s="41">
        <v>0</v>
      </c>
      <c r="B42" s="467" t="s">
        <v>569</v>
      </c>
      <c r="C42" s="454"/>
      <c r="D42" s="454"/>
      <c r="E42" s="454"/>
      <c r="F42" s="450"/>
    </row>
    <row r="43" spans="1:6">
      <c r="A43" s="41" t="s">
        <v>3</v>
      </c>
      <c r="B43" s="41" t="s">
        <v>4</v>
      </c>
      <c r="C43" s="41" t="s">
        <v>5</v>
      </c>
      <c r="D43" s="41" t="s">
        <v>6</v>
      </c>
      <c r="E43" s="41" t="s">
        <v>7</v>
      </c>
      <c r="F43" s="41" t="s">
        <v>8</v>
      </c>
    </row>
    <row r="44" spans="1:6">
      <c r="A44" s="463"/>
      <c r="B44" s="42" t="s">
        <v>512</v>
      </c>
      <c r="C44" s="463"/>
      <c r="D44" s="463"/>
      <c r="E44" s="463"/>
      <c r="F44" s="463"/>
    </row>
    <row r="45" spans="1:6">
      <c r="A45" s="457"/>
      <c r="B45" s="42" t="s">
        <v>14</v>
      </c>
      <c r="C45" s="457"/>
      <c r="D45" s="457"/>
      <c r="E45" s="457"/>
      <c r="F45" s="457"/>
    </row>
    <row r="46" spans="1:6">
      <c r="A46" s="463">
        <v>1549</v>
      </c>
      <c r="B46" s="42" t="s">
        <v>573</v>
      </c>
      <c r="C46" s="463" t="s">
        <v>21</v>
      </c>
      <c r="D46" s="463">
        <v>10.199999999999999</v>
      </c>
      <c r="E46" s="463">
        <v>290</v>
      </c>
      <c r="F46" s="463">
        <f>D46*E46</f>
        <v>2958</v>
      </c>
    </row>
    <row r="47" spans="1:6">
      <c r="A47" s="464"/>
      <c r="B47" s="42" t="s">
        <v>519</v>
      </c>
      <c r="C47" s="464"/>
      <c r="D47" s="464"/>
      <c r="E47" s="464"/>
      <c r="F47" s="464"/>
    </row>
    <row r="48" spans="1:6">
      <c r="A48" s="457"/>
      <c r="B48" s="42" t="s">
        <v>577</v>
      </c>
      <c r="C48" s="457"/>
      <c r="D48" s="457"/>
      <c r="E48" s="457"/>
      <c r="F48" s="457"/>
    </row>
    <row r="49" spans="1:6">
      <c r="A49" s="43">
        <v>2271</v>
      </c>
      <c r="B49" s="42" t="s">
        <v>521</v>
      </c>
      <c r="C49" s="43" t="s">
        <v>218</v>
      </c>
      <c r="D49" s="43">
        <v>3.7229999999999999E-2</v>
      </c>
      <c r="E49" s="44">
        <v>145.72</v>
      </c>
      <c r="F49" s="43">
        <f t="shared" ref="F49:F50" si="4">D49*E49</f>
        <v>5.4251556000000001</v>
      </c>
    </row>
    <row r="50" spans="1:6">
      <c r="A50" s="463">
        <v>9999</v>
      </c>
      <c r="B50" s="42" t="s">
        <v>579</v>
      </c>
      <c r="C50" s="463" t="s">
        <v>62</v>
      </c>
      <c r="D50" s="463">
        <v>9.49</v>
      </c>
      <c r="E50" s="463">
        <v>2.12</v>
      </c>
      <c r="F50" s="43">
        <f t="shared" si="4"/>
        <v>20.1188</v>
      </c>
    </row>
    <row r="51" spans="1:6">
      <c r="A51" s="457"/>
      <c r="B51" s="42" t="s">
        <v>22</v>
      </c>
      <c r="C51" s="457"/>
      <c r="D51" s="457"/>
      <c r="E51" s="457"/>
      <c r="F51" s="43"/>
    </row>
    <row r="52" spans="1:6">
      <c r="A52" s="43">
        <v>116</v>
      </c>
      <c r="B52" s="42" t="s">
        <v>527</v>
      </c>
      <c r="C52" s="43" t="s">
        <v>26</v>
      </c>
      <c r="D52" s="43">
        <v>0.16</v>
      </c>
      <c r="E52" s="44">
        <v>784</v>
      </c>
      <c r="F52" s="43">
        <f t="shared" ref="F52:F53" si="5">D52*E52</f>
        <v>125.44</v>
      </c>
    </row>
    <row r="53" spans="1:6">
      <c r="A53" s="43">
        <v>114</v>
      </c>
      <c r="B53" s="42" t="s">
        <v>59</v>
      </c>
      <c r="C53" s="43" t="s">
        <v>26</v>
      </c>
      <c r="D53" s="43">
        <v>0.33</v>
      </c>
      <c r="E53" s="44">
        <v>645</v>
      </c>
      <c r="F53" s="43">
        <f t="shared" si="5"/>
        <v>212.85000000000002</v>
      </c>
    </row>
    <row r="54" spans="1:6">
      <c r="A54" s="465"/>
      <c r="B54" s="468" t="s">
        <v>27</v>
      </c>
      <c r="C54" s="454"/>
      <c r="D54" s="454"/>
      <c r="E54" s="450"/>
      <c r="F54" s="47">
        <f>SUM(F46:F53)</f>
        <v>3321.8339556000001</v>
      </c>
    </row>
    <row r="55" spans="1:6">
      <c r="A55" s="464"/>
      <c r="B55" s="468" t="s">
        <v>28</v>
      </c>
      <c r="C55" s="454"/>
      <c r="D55" s="454"/>
      <c r="E55" s="450"/>
      <c r="F55" s="47">
        <f>F54*0.01</f>
        <v>33.218339556000004</v>
      </c>
    </row>
    <row r="56" spans="1:6">
      <c r="A56" s="464"/>
      <c r="B56" s="468" t="s">
        <v>30</v>
      </c>
      <c r="C56" s="454"/>
      <c r="D56" s="454"/>
      <c r="E56" s="450"/>
      <c r="F56" s="47">
        <f>SUM(F54:F55)</f>
        <v>3355.0522951560001</v>
      </c>
    </row>
    <row r="57" spans="1:6">
      <c r="A57" s="464"/>
      <c r="B57" s="468" t="s">
        <v>36</v>
      </c>
      <c r="C57" s="454"/>
      <c r="D57" s="454"/>
      <c r="E57" s="450"/>
      <c r="F57" s="47">
        <f>F56*0.15</f>
        <v>503.2578442734</v>
      </c>
    </row>
    <row r="58" spans="1:6">
      <c r="A58" s="464"/>
      <c r="B58" s="468" t="s">
        <v>30</v>
      </c>
      <c r="C58" s="454"/>
      <c r="D58" s="454"/>
      <c r="E58" s="450"/>
      <c r="F58" s="47">
        <f>SUM(F56:F57)</f>
        <v>3858.3101394293999</v>
      </c>
    </row>
    <row r="59" spans="1:6">
      <c r="A59" s="464"/>
      <c r="B59" s="468" t="s">
        <v>539</v>
      </c>
      <c r="C59" s="454"/>
      <c r="D59" s="454"/>
      <c r="E59" s="450"/>
      <c r="F59" s="47">
        <f>F58</f>
        <v>3858.3101394293999</v>
      </c>
    </row>
    <row r="60" spans="1:6">
      <c r="A60" s="464"/>
      <c r="B60" s="468" t="s">
        <v>54</v>
      </c>
      <c r="C60" s="454"/>
      <c r="D60" s="454"/>
      <c r="E60" s="450"/>
      <c r="F60" s="47">
        <f>F59/10</f>
        <v>385.83101394293999</v>
      </c>
    </row>
    <row r="61" spans="1:6">
      <c r="A61" s="457"/>
      <c r="B61" s="468" t="s">
        <v>48</v>
      </c>
      <c r="C61" s="454"/>
      <c r="D61" s="454"/>
      <c r="E61" s="450"/>
      <c r="F61" s="48">
        <f>MROUND(F60, 0.05)</f>
        <v>385.85</v>
      </c>
    </row>
    <row r="62" spans="1:6">
      <c r="A62" s="1">
        <v>0</v>
      </c>
      <c r="B62" s="455" t="s">
        <v>601</v>
      </c>
      <c r="C62" s="454"/>
      <c r="D62" s="454"/>
      <c r="E62" s="454"/>
      <c r="F62" s="450"/>
    </row>
    <row r="63" spans="1:6">
      <c r="A63" s="1" t="s">
        <v>3</v>
      </c>
      <c r="B63" s="1" t="s">
        <v>4</v>
      </c>
      <c r="C63" s="1" t="s">
        <v>5</v>
      </c>
      <c r="D63" s="1" t="s">
        <v>6</v>
      </c>
      <c r="E63" s="1" t="s">
        <v>7</v>
      </c>
      <c r="F63" s="1" t="s">
        <v>8</v>
      </c>
    </row>
    <row r="64" spans="1:6">
      <c r="A64" s="456"/>
      <c r="B64" s="4" t="s">
        <v>512</v>
      </c>
      <c r="C64" s="456"/>
      <c r="D64" s="456"/>
      <c r="E64" s="456"/>
      <c r="F64" s="456"/>
    </row>
    <row r="65" spans="1:6">
      <c r="A65" s="457"/>
      <c r="B65" s="4" t="s">
        <v>14</v>
      </c>
      <c r="C65" s="457"/>
      <c r="D65" s="457"/>
      <c r="E65" s="457"/>
      <c r="F65" s="457"/>
    </row>
    <row r="66" spans="1:6">
      <c r="A66" s="456">
        <v>1550</v>
      </c>
      <c r="B66" s="4" t="s">
        <v>608</v>
      </c>
      <c r="C66" s="456" t="s">
        <v>21</v>
      </c>
      <c r="D66" s="456">
        <v>10.199999999999999</v>
      </c>
      <c r="E66" s="456">
        <v>360</v>
      </c>
      <c r="F66" s="456">
        <f>D66*E66</f>
        <v>3671.9999999999995</v>
      </c>
    </row>
    <row r="67" spans="1:6">
      <c r="A67" s="464"/>
      <c r="B67" s="4" t="s">
        <v>519</v>
      </c>
      <c r="C67" s="464"/>
      <c r="D67" s="464"/>
      <c r="E67" s="464"/>
      <c r="F67" s="464"/>
    </row>
    <row r="68" spans="1:6">
      <c r="A68" s="457"/>
      <c r="B68" s="4" t="s">
        <v>614</v>
      </c>
      <c r="C68" s="457"/>
      <c r="D68" s="457"/>
      <c r="E68" s="457"/>
      <c r="F68" s="457"/>
    </row>
    <row r="69" spans="1:6">
      <c r="A69" s="7">
        <v>2271</v>
      </c>
      <c r="B69" s="4" t="s">
        <v>521</v>
      </c>
      <c r="C69" s="7" t="s">
        <v>218</v>
      </c>
      <c r="D69" s="7">
        <v>5.2729999999999999E-2</v>
      </c>
      <c r="E69" s="5">
        <v>145.72</v>
      </c>
      <c r="F69" s="7">
        <f t="shared" ref="F69:F70" si="6">D69*E69</f>
        <v>7.6838156</v>
      </c>
    </row>
    <row r="70" spans="1:6">
      <c r="A70" s="456">
        <v>9999</v>
      </c>
      <c r="B70" s="4" t="s">
        <v>524</v>
      </c>
      <c r="C70" s="456" t="s">
        <v>62</v>
      </c>
      <c r="D70" s="456">
        <v>9.49</v>
      </c>
      <c r="E70" s="456">
        <v>2.12</v>
      </c>
      <c r="F70" s="456">
        <f t="shared" si="6"/>
        <v>20.1188</v>
      </c>
    </row>
    <row r="71" spans="1:6">
      <c r="A71" s="457"/>
      <c r="B71" s="4" t="s">
        <v>22</v>
      </c>
      <c r="C71" s="457"/>
      <c r="D71" s="457"/>
      <c r="E71" s="457"/>
      <c r="F71" s="457"/>
    </row>
    <row r="72" spans="1:6">
      <c r="A72" s="7">
        <v>116</v>
      </c>
      <c r="B72" s="4" t="s">
        <v>527</v>
      </c>
      <c r="C72" s="7" t="s">
        <v>26</v>
      </c>
      <c r="D72" s="7">
        <v>0.16</v>
      </c>
      <c r="E72" s="5">
        <v>784</v>
      </c>
      <c r="F72" s="7">
        <f t="shared" ref="F72:F73" si="7">D72*E72</f>
        <v>125.44</v>
      </c>
    </row>
    <row r="73" spans="1:6">
      <c r="A73" s="7">
        <v>114</v>
      </c>
      <c r="B73" s="4" t="s">
        <v>59</v>
      </c>
      <c r="C73" s="7" t="s">
        <v>26</v>
      </c>
      <c r="D73" s="7">
        <v>0.33</v>
      </c>
      <c r="E73" s="5">
        <v>645</v>
      </c>
      <c r="F73" s="7">
        <f t="shared" si="7"/>
        <v>212.85000000000002</v>
      </c>
    </row>
    <row r="74" spans="1:6">
      <c r="A74" s="466"/>
      <c r="B74" s="469" t="s">
        <v>27</v>
      </c>
      <c r="C74" s="454"/>
      <c r="D74" s="454"/>
      <c r="E74" s="450"/>
      <c r="F74" s="49">
        <f>SUM(F66:F73)</f>
        <v>4038.0926155999996</v>
      </c>
    </row>
    <row r="75" spans="1:6">
      <c r="A75" s="464"/>
      <c r="B75" s="470" t="s">
        <v>28</v>
      </c>
      <c r="C75" s="454"/>
      <c r="D75" s="454"/>
      <c r="E75" s="450"/>
      <c r="F75" s="49">
        <f>F74*0.01</f>
        <v>40.380926155999994</v>
      </c>
    </row>
    <row r="76" spans="1:6">
      <c r="A76" s="464"/>
      <c r="B76" s="470" t="s">
        <v>30</v>
      </c>
      <c r="C76" s="454"/>
      <c r="D76" s="454"/>
      <c r="E76" s="450"/>
      <c r="F76" s="49">
        <f>SUM(F74:F75)</f>
        <v>4078.4735417559996</v>
      </c>
    </row>
    <row r="77" spans="1:6">
      <c r="A77" s="464"/>
      <c r="B77" s="470" t="s">
        <v>36</v>
      </c>
      <c r="C77" s="454"/>
      <c r="D77" s="454"/>
      <c r="E77" s="450"/>
      <c r="F77" s="49">
        <f>F76*0.15</f>
        <v>611.77103126339989</v>
      </c>
    </row>
    <row r="78" spans="1:6">
      <c r="A78" s="464"/>
      <c r="B78" s="470" t="s">
        <v>30</v>
      </c>
      <c r="C78" s="454"/>
      <c r="D78" s="454"/>
      <c r="E78" s="450"/>
      <c r="F78" s="49">
        <f>SUM(F76:F77)</f>
        <v>4690.2445730193995</v>
      </c>
    </row>
    <row r="79" spans="1:6">
      <c r="A79" s="464"/>
      <c r="B79" s="470" t="s">
        <v>539</v>
      </c>
      <c r="C79" s="454"/>
      <c r="D79" s="454"/>
      <c r="E79" s="450"/>
      <c r="F79" s="49">
        <f>F78</f>
        <v>4690.2445730193995</v>
      </c>
    </row>
    <row r="80" spans="1:6">
      <c r="A80" s="464"/>
      <c r="B80" s="470" t="s">
        <v>54</v>
      </c>
      <c r="C80" s="454"/>
      <c r="D80" s="454"/>
      <c r="E80" s="450"/>
      <c r="F80" s="49">
        <f>F79/10</f>
        <v>469.02445730193995</v>
      </c>
    </row>
    <row r="81" spans="1:6">
      <c r="A81" s="457"/>
      <c r="B81" s="470" t="s">
        <v>48</v>
      </c>
      <c r="C81" s="454"/>
      <c r="D81" s="454"/>
      <c r="E81" s="450"/>
      <c r="F81" s="18">
        <f>MROUND(F80, 0.05)</f>
        <v>469</v>
      </c>
    </row>
    <row r="82" spans="1:6">
      <c r="A82" s="41">
        <v>0</v>
      </c>
      <c r="B82" s="467" t="s">
        <v>644</v>
      </c>
      <c r="C82" s="454"/>
      <c r="D82" s="454"/>
      <c r="E82" s="454"/>
      <c r="F82" s="450"/>
    </row>
    <row r="83" spans="1:6">
      <c r="A83" s="41" t="s">
        <v>3</v>
      </c>
      <c r="B83" s="41" t="s">
        <v>4</v>
      </c>
      <c r="C83" s="41" t="s">
        <v>5</v>
      </c>
      <c r="D83" s="41" t="s">
        <v>6</v>
      </c>
      <c r="E83" s="41" t="s">
        <v>7</v>
      </c>
      <c r="F83" s="41" t="s">
        <v>8</v>
      </c>
    </row>
    <row r="84" spans="1:6">
      <c r="A84" s="463"/>
      <c r="B84" s="42" t="s">
        <v>512</v>
      </c>
      <c r="C84" s="463"/>
      <c r="D84" s="463"/>
      <c r="E84" s="463"/>
      <c r="F84" s="463"/>
    </row>
    <row r="85" spans="1:6">
      <c r="A85" s="457"/>
      <c r="B85" s="42" t="s">
        <v>14</v>
      </c>
      <c r="C85" s="457"/>
      <c r="D85" s="457"/>
      <c r="E85" s="457"/>
      <c r="F85" s="457"/>
    </row>
    <row r="86" spans="1:6">
      <c r="A86" s="463">
        <v>1551</v>
      </c>
      <c r="B86" s="42" t="s">
        <v>650</v>
      </c>
      <c r="C86" s="463" t="s">
        <v>21</v>
      </c>
      <c r="D86" s="463">
        <v>10.199999999999999</v>
      </c>
      <c r="E86" s="463">
        <v>415</v>
      </c>
      <c r="F86" s="463">
        <f>D86*E86</f>
        <v>4233</v>
      </c>
    </row>
    <row r="87" spans="1:6">
      <c r="A87" s="464"/>
      <c r="B87" s="42" t="s">
        <v>519</v>
      </c>
      <c r="C87" s="464"/>
      <c r="D87" s="464"/>
      <c r="E87" s="464"/>
      <c r="F87" s="464"/>
    </row>
    <row r="88" spans="1:6">
      <c r="A88" s="457"/>
      <c r="B88" s="42" t="s">
        <v>656</v>
      </c>
      <c r="C88" s="457"/>
      <c r="D88" s="457"/>
      <c r="E88" s="457"/>
      <c r="F88" s="457"/>
    </row>
    <row r="89" spans="1:6">
      <c r="A89" s="43">
        <v>2271</v>
      </c>
      <c r="B89" s="42" t="s">
        <v>521</v>
      </c>
      <c r="C89" s="43" t="s">
        <v>218</v>
      </c>
      <c r="D89" s="43">
        <v>6.7629999999999996E-2</v>
      </c>
      <c r="E89" s="44">
        <v>145.72</v>
      </c>
      <c r="F89" s="43">
        <f t="shared" ref="F89:F90" si="8">D89*E89</f>
        <v>9.8550436000000001</v>
      </c>
    </row>
    <row r="90" spans="1:6">
      <c r="A90" s="463">
        <v>9999</v>
      </c>
      <c r="B90" s="42" t="s">
        <v>524</v>
      </c>
      <c r="C90" s="463" t="s">
        <v>62</v>
      </c>
      <c r="D90" s="463">
        <v>13.52</v>
      </c>
      <c r="E90" s="463">
        <v>2.12</v>
      </c>
      <c r="F90" s="463">
        <f t="shared" si="8"/>
        <v>28.662400000000002</v>
      </c>
    </row>
    <row r="91" spans="1:6">
      <c r="A91" s="457"/>
      <c r="B91" s="42" t="s">
        <v>22</v>
      </c>
      <c r="C91" s="457"/>
      <c r="D91" s="457"/>
      <c r="E91" s="457"/>
      <c r="F91" s="457"/>
    </row>
    <row r="92" spans="1:6">
      <c r="A92" s="43">
        <v>116</v>
      </c>
      <c r="B92" s="42" t="s">
        <v>527</v>
      </c>
      <c r="C92" s="43" t="s">
        <v>26</v>
      </c>
      <c r="D92" s="43">
        <v>0.25</v>
      </c>
      <c r="E92" s="44">
        <v>784</v>
      </c>
      <c r="F92" s="43">
        <f>E92*D92</f>
        <v>196</v>
      </c>
    </row>
    <row r="93" spans="1:6">
      <c r="A93" s="43">
        <v>114</v>
      </c>
      <c r="B93" s="42" t="s">
        <v>59</v>
      </c>
      <c r="C93" s="43" t="s">
        <v>26</v>
      </c>
      <c r="D93" s="43">
        <v>0.66</v>
      </c>
      <c r="E93" s="44">
        <v>645</v>
      </c>
      <c r="F93" s="43">
        <f>D93*E93</f>
        <v>425.70000000000005</v>
      </c>
    </row>
    <row r="94" spans="1:6">
      <c r="A94" s="465"/>
      <c r="B94" s="471" t="s">
        <v>27</v>
      </c>
      <c r="C94" s="454"/>
      <c r="D94" s="454"/>
      <c r="E94" s="450"/>
      <c r="F94" s="47">
        <f>SUM(F86:F93)</f>
        <v>4893.2174435999996</v>
      </c>
    </row>
    <row r="95" spans="1:6">
      <c r="A95" s="464"/>
      <c r="B95" s="468" t="s">
        <v>28</v>
      </c>
      <c r="C95" s="454"/>
      <c r="D95" s="454"/>
      <c r="E95" s="450"/>
      <c r="F95" s="47">
        <f>F94*0.01</f>
        <v>48.932174435999997</v>
      </c>
    </row>
    <row r="96" spans="1:6">
      <c r="A96" s="464"/>
      <c r="B96" s="468" t="s">
        <v>30</v>
      </c>
      <c r="C96" s="454"/>
      <c r="D96" s="454"/>
      <c r="E96" s="450"/>
      <c r="F96" s="47">
        <f>SUM(F94:F95)</f>
        <v>4942.149618036</v>
      </c>
    </row>
    <row r="97" spans="1:6">
      <c r="A97" s="464"/>
      <c r="B97" s="468" t="s">
        <v>36</v>
      </c>
      <c r="C97" s="454"/>
      <c r="D97" s="454"/>
      <c r="E97" s="450"/>
      <c r="F97" s="47">
        <f>F96*0.15</f>
        <v>741.32244270540002</v>
      </c>
    </row>
    <row r="98" spans="1:6">
      <c r="A98" s="464"/>
      <c r="B98" s="468" t="s">
        <v>30</v>
      </c>
      <c r="C98" s="454"/>
      <c r="D98" s="454"/>
      <c r="E98" s="450"/>
      <c r="F98" s="47">
        <f>SUM(F96:F97)</f>
        <v>5683.4720607414001</v>
      </c>
    </row>
    <row r="99" spans="1:6">
      <c r="A99" s="464"/>
      <c r="B99" s="468" t="s">
        <v>539</v>
      </c>
      <c r="C99" s="454"/>
      <c r="D99" s="454"/>
      <c r="E99" s="450"/>
      <c r="F99" s="47">
        <f>F98</f>
        <v>5683.4720607414001</v>
      </c>
    </row>
    <row r="100" spans="1:6">
      <c r="A100" s="464"/>
      <c r="B100" s="468" t="s">
        <v>54</v>
      </c>
      <c r="C100" s="454"/>
      <c r="D100" s="454"/>
      <c r="E100" s="450"/>
      <c r="F100" s="47">
        <f>F99/10</f>
        <v>568.34720607413999</v>
      </c>
    </row>
    <row r="101" spans="1:6">
      <c r="A101" s="457"/>
      <c r="B101" s="468" t="s">
        <v>48</v>
      </c>
      <c r="C101" s="454"/>
      <c r="D101" s="454"/>
      <c r="E101" s="450"/>
      <c r="F101" s="48">
        <f>MROUND(F100, 0.05)</f>
        <v>568.35</v>
      </c>
    </row>
    <row r="102" spans="1:6">
      <c r="A102" s="1">
        <v>0</v>
      </c>
      <c r="B102" s="455" t="s">
        <v>695</v>
      </c>
      <c r="C102" s="454"/>
      <c r="D102" s="454"/>
      <c r="E102" s="454"/>
      <c r="F102" s="450"/>
    </row>
    <row r="103" spans="1:6">
      <c r="A103" s="1" t="s">
        <v>3</v>
      </c>
      <c r="B103" s="1" t="s">
        <v>4</v>
      </c>
      <c r="C103" s="1" t="s">
        <v>5</v>
      </c>
      <c r="D103" s="1" t="s">
        <v>6</v>
      </c>
      <c r="E103" s="1" t="s">
        <v>7</v>
      </c>
      <c r="F103" s="1" t="s">
        <v>8</v>
      </c>
    </row>
    <row r="104" spans="1:6">
      <c r="A104" s="456"/>
      <c r="B104" s="4" t="s">
        <v>512</v>
      </c>
      <c r="C104" s="456"/>
      <c r="D104" s="456"/>
      <c r="E104" s="456"/>
      <c r="F104" s="456"/>
    </row>
    <row r="105" spans="1:6">
      <c r="A105" s="457"/>
      <c r="B105" s="4" t="s">
        <v>14</v>
      </c>
      <c r="C105" s="457"/>
      <c r="D105" s="457"/>
      <c r="E105" s="457"/>
      <c r="F105" s="457"/>
    </row>
    <row r="106" spans="1:6">
      <c r="A106" s="456">
        <v>1552</v>
      </c>
      <c r="B106" s="4" t="s">
        <v>704</v>
      </c>
      <c r="C106" s="456" t="s">
        <v>21</v>
      </c>
      <c r="D106" s="456">
        <v>10.199999999999999</v>
      </c>
      <c r="E106" s="456">
        <v>525</v>
      </c>
      <c r="F106" s="456">
        <f>D106*E106</f>
        <v>5355</v>
      </c>
    </row>
    <row r="107" spans="1:6">
      <c r="A107" s="464"/>
      <c r="B107" s="4" t="s">
        <v>519</v>
      </c>
      <c r="C107" s="464"/>
      <c r="D107" s="464"/>
      <c r="E107" s="464"/>
      <c r="F107" s="464"/>
    </row>
    <row r="108" spans="1:6">
      <c r="A108" s="457"/>
      <c r="B108" s="4" t="s">
        <v>708</v>
      </c>
      <c r="C108" s="457"/>
      <c r="D108" s="457"/>
      <c r="E108" s="457"/>
      <c r="F108" s="457"/>
    </row>
    <row r="109" spans="1:6">
      <c r="A109" s="7">
        <v>2271</v>
      </c>
      <c r="B109" s="4" t="s">
        <v>521</v>
      </c>
      <c r="C109" s="7" t="s">
        <v>218</v>
      </c>
      <c r="D109" s="7">
        <v>8.813E-2</v>
      </c>
      <c r="E109" s="5">
        <v>145.72</v>
      </c>
      <c r="F109" s="7">
        <f t="shared" ref="F109:F110" si="9">E109*D109</f>
        <v>12.842303599999999</v>
      </c>
    </row>
    <row r="110" spans="1:6">
      <c r="A110" s="456">
        <v>9999</v>
      </c>
      <c r="B110" s="4" t="s">
        <v>524</v>
      </c>
      <c r="C110" s="456" t="s">
        <v>62</v>
      </c>
      <c r="D110" s="456">
        <v>13.52</v>
      </c>
      <c r="E110" s="456">
        <v>2.12</v>
      </c>
      <c r="F110" s="456">
        <f t="shared" si="9"/>
        <v>28.662400000000002</v>
      </c>
    </row>
    <row r="111" spans="1:6">
      <c r="A111" s="457"/>
      <c r="B111" s="4" t="s">
        <v>22</v>
      </c>
      <c r="C111" s="457"/>
      <c r="D111" s="457"/>
      <c r="E111" s="457"/>
      <c r="F111" s="457"/>
    </row>
    <row r="112" spans="1:6">
      <c r="A112" s="7">
        <v>116</v>
      </c>
      <c r="B112" s="4" t="s">
        <v>527</v>
      </c>
      <c r="C112" s="7" t="s">
        <v>26</v>
      </c>
      <c r="D112" s="7">
        <v>0.25</v>
      </c>
      <c r="E112" s="5">
        <v>784</v>
      </c>
      <c r="F112" s="7">
        <f t="shared" ref="F112:F113" si="10">E112*D112</f>
        <v>196</v>
      </c>
    </row>
    <row r="113" spans="1:6">
      <c r="A113" s="7">
        <v>114</v>
      </c>
      <c r="B113" s="4" t="s">
        <v>59</v>
      </c>
      <c r="C113" s="7" t="s">
        <v>26</v>
      </c>
      <c r="D113" s="7">
        <v>0.66</v>
      </c>
      <c r="E113" s="5">
        <v>645</v>
      </c>
      <c r="F113" s="7">
        <f t="shared" si="10"/>
        <v>425.70000000000005</v>
      </c>
    </row>
    <row r="114" spans="1:6">
      <c r="A114" s="466"/>
      <c r="B114" s="469" t="s">
        <v>27</v>
      </c>
      <c r="C114" s="454"/>
      <c r="D114" s="454"/>
      <c r="E114" s="450"/>
      <c r="F114" s="49">
        <f>SUM(F106:F113)</f>
        <v>6018.2047036000004</v>
      </c>
    </row>
    <row r="115" spans="1:6">
      <c r="A115" s="464"/>
      <c r="B115" s="470" t="s">
        <v>28</v>
      </c>
      <c r="C115" s="454"/>
      <c r="D115" s="454"/>
      <c r="E115" s="450"/>
      <c r="F115" s="49">
        <f>F114*0.01</f>
        <v>60.182047036000007</v>
      </c>
    </row>
    <row r="116" spans="1:6">
      <c r="A116" s="464"/>
      <c r="B116" s="470" t="s">
        <v>30</v>
      </c>
      <c r="C116" s="454"/>
      <c r="D116" s="454"/>
      <c r="E116" s="450"/>
      <c r="F116" s="49">
        <f>SUM(F114:F115)</f>
        <v>6078.3867506360002</v>
      </c>
    </row>
    <row r="117" spans="1:6">
      <c r="A117" s="464"/>
      <c r="B117" s="470" t="s">
        <v>36</v>
      </c>
      <c r="C117" s="454"/>
      <c r="D117" s="454"/>
      <c r="E117" s="450"/>
      <c r="F117" s="49">
        <f>F116*0.15</f>
        <v>911.75801259540003</v>
      </c>
    </row>
    <row r="118" spans="1:6">
      <c r="A118" s="464"/>
      <c r="B118" s="470" t="s">
        <v>30</v>
      </c>
      <c r="C118" s="454"/>
      <c r="D118" s="454"/>
      <c r="E118" s="450"/>
      <c r="F118" s="49">
        <f>SUM(F116:F117)</f>
        <v>6990.1447632314002</v>
      </c>
    </row>
    <row r="119" spans="1:6">
      <c r="A119" s="464"/>
      <c r="B119" s="470" t="s">
        <v>539</v>
      </c>
      <c r="C119" s="454"/>
      <c r="D119" s="454"/>
      <c r="E119" s="450"/>
      <c r="F119" s="49">
        <f>F118</f>
        <v>6990.1447632314002</v>
      </c>
    </row>
    <row r="120" spans="1:6">
      <c r="A120" s="464"/>
      <c r="B120" s="470" t="s">
        <v>54</v>
      </c>
      <c r="C120" s="454"/>
      <c r="D120" s="454"/>
      <c r="E120" s="450"/>
      <c r="F120" s="49">
        <f>F119/10</f>
        <v>699.01447632314</v>
      </c>
    </row>
    <row r="121" spans="1:6">
      <c r="A121" s="457"/>
      <c r="B121" s="470" t="s">
        <v>48</v>
      </c>
      <c r="C121" s="454"/>
      <c r="D121" s="454"/>
      <c r="E121" s="450"/>
      <c r="F121" s="18">
        <f>MROUND(F120, 0.05)</f>
        <v>699</v>
      </c>
    </row>
    <row r="122" spans="1:6">
      <c r="A122" s="41">
        <v>0</v>
      </c>
      <c r="B122" s="467" t="s">
        <v>745</v>
      </c>
      <c r="C122" s="454"/>
      <c r="D122" s="454"/>
      <c r="E122" s="454"/>
      <c r="F122" s="450"/>
    </row>
    <row r="123" spans="1:6">
      <c r="A123" s="41" t="s">
        <v>3</v>
      </c>
      <c r="B123" s="41" t="s">
        <v>4</v>
      </c>
      <c r="C123" s="41" t="s">
        <v>5</v>
      </c>
      <c r="D123" s="41" t="s">
        <v>6</v>
      </c>
      <c r="E123" s="41" t="s">
        <v>7</v>
      </c>
      <c r="F123" s="41" t="s">
        <v>8</v>
      </c>
    </row>
    <row r="124" spans="1:6">
      <c r="A124" s="463"/>
      <c r="B124" s="42" t="s">
        <v>512</v>
      </c>
      <c r="C124" s="463"/>
      <c r="D124" s="463"/>
      <c r="E124" s="463"/>
      <c r="F124" s="463"/>
    </row>
    <row r="125" spans="1:6">
      <c r="A125" s="457"/>
      <c r="B125" s="42" t="s">
        <v>14</v>
      </c>
      <c r="C125" s="457"/>
      <c r="D125" s="457"/>
      <c r="E125" s="457"/>
      <c r="F125" s="457"/>
    </row>
    <row r="126" spans="1:6">
      <c r="A126" s="463">
        <v>1545</v>
      </c>
      <c r="B126" s="53" t="s">
        <v>749</v>
      </c>
      <c r="C126" s="463" t="s">
        <v>21</v>
      </c>
      <c r="D126" s="463">
        <v>10.199999999999999</v>
      </c>
      <c r="E126" s="463">
        <v>95</v>
      </c>
      <c r="F126" s="463">
        <f>D126*E126</f>
        <v>968.99999999999989</v>
      </c>
    </row>
    <row r="127" spans="1:6">
      <c r="A127" s="464"/>
      <c r="B127" s="42" t="s">
        <v>519</v>
      </c>
      <c r="C127" s="464"/>
      <c r="D127" s="464"/>
      <c r="E127" s="464"/>
      <c r="F127" s="464"/>
    </row>
    <row r="128" spans="1:6">
      <c r="A128" s="457"/>
      <c r="B128" s="42" t="s">
        <v>656</v>
      </c>
      <c r="C128" s="457"/>
      <c r="D128" s="457"/>
      <c r="E128" s="457"/>
      <c r="F128" s="457"/>
    </row>
    <row r="129" spans="1:6">
      <c r="A129" s="43">
        <v>2271</v>
      </c>
      <c r="B129" s="42" t="s">
        <v>521</v>
      </c>
      <c r="C129" s="43" t="s">
        <v>218</v>
      </c>
      <c r="D129" s="43">
        <v>6.7629999999999996E-2</v>
      </c>
      <c r="E129" s="44">
        <v>145.72</v>
      </c>
      <c r="F129" s="43">
        <f t="shared" ref="F129:F130" si="11">D129*E129</f>
        <v>9.8550436000000001</v>
      </c>
    </row>
    <row r="130" spans="1:6">
      <c r="A130" s="463">
        <v>9999</v>
      </c>
      <c r="B130" s="42" t="s">
        <v>524</v>
      </c>
      <c r="C130" s="463" t="s">
        <v>62</v>
      </c>
      <c r="D130" s="463">
        <v>13.52</v>
      </c>
      <c r="E130" s="463">
        <v>2.12</v>
      </c>
      <c r="F130" s="463">
        <f t="shared" si="11"/>
        <v>28.662400000000002</v>
      </c>
    </row>
    <row r="131" spans="1:6">
      <c r="A131" s="457"/>
      <c r="B131" s="42" t="s">
        <v>22</v>
      </c>
      <c r="C131" s="457"/>
      <c r="D131" s="457"/>
      <c r="E131" s="457"/>
      <c r="F131" s="457"/>
    </row>
    <row r="132" spans="1:6">
      <c r="A132" s="43">
        <v>116</v>
      </c>
      <c r="B132" s="42" t="s">
        <v>527</v>
      </c>
      <c r="C132" s="43" t="s">
        <v>26</v>
      </c>
      <c r="D132" s="43">
        <v>0.25</v>
      </c>
      <c r="E132" s="44">
        <v>784</v>
      </c>
      <c r="F132" s="43">
        <f>E132*D132</f>
        <v>196</v>
      </c>
    </row>
    <row r="133" spans="1:6">
      <c r="A133" s="43">
        <v>114</v>
      </c>
      <c r="B133" s="42" t="s">
        <v>59</v>
      </c>
      <c r="C133" s="43" t="s">
        <v>26</v>
      </c>
      <c r="D133" s="43">
        <v>0.66</v>
      </c>
      <c r="E133" s="44">
        <v>645</v>
      </c>
      <c r="F133" s="43">
        <f>D133*E133</f>
        <v>425.70000000000005</v>
      </c>
    </row>
    <row r="134" spans="1:6">
      <c r="A134" s="465"/>
      <c r="B134" s="471" t="s">
        <v>27</v>
      </c>
      <c r="C134" s="454"/>
      <c r="D134" s="454"/>
      <c r="E134" s="450"/>
      <c r="F134" s="47">
        <f>SUM(F126:F133)</f>
        <v>1629.2174436</v>
      </c>
    </row>
    <row r="135" spans="1:6">
      <c r="A135" s="464"/>
      <c r="B135" s="468" t="s">
        <v>28</v>
      </c>
      <c r="C135" s="454"/>
      <c r="D135" s="454"/>
      <c r="E135" s="450"/>
      <c r="F135" s="47">
        <f>F134*0.01</f>
        <v>16.292174436</v>
      </c>
    </row>
    <row r="136" spans="1:6">
      <c r="A136" s="464"/>
      <c r="B136" s="468" t="s">
        <v>30</v>
      </c>
      <c r="C136" s="454"/>
      <c r="D136" s="454"/>
      <c r="E136" s="450"/>
      <c r="F136" s="47">
        <f>SUM(F134:F135)</f>
        <v>1645.5096180360001</v>
      </c>
    </row>
    <row r="137" spans="1:6">
      <c r="A137" s="464"/>
      <c r="B137" s="468" t="s">
        <v>36</v>
      </c>
      <c r="C137" s="454"/>
      <c r="D137" s="454"/>
      <c r="E137" s="450"/>
      <c r="F137" s="47">
        <f>F136*0.15</f>
        <v>246.82644270540001</v>
      </c>
    </row>
    <row r="138" spans="1:6">
      <c r="A138" s="464"/>
      <c r="B138" s="468" t="s">
        <v>30</v>
      </c>
      <c r="C138" s="454"/>
      <c r="D138" s="454"/>
      <c r="E138" s="450"/>
      <c r="F138" s="47">
        <f>SUM(F136:F137)</f>
        <v>1892.3360607414002</v>
      </c>
    </row>
    <row r="139" spans="1:6">
      <c r="A139" s="464"/>
      <c r="B139" s="468" t="s">
        <v>539</v>
      </c>
      <c r="C139" s="454"/>
      <c r="D139" s="454"/>
      <c r="E139" s="450"/>
      <c r="F139" s="47">
        <f>F138</f>
        <v>1892.3360607414002</v>
      </c>
    </row>
    <row r="140" spans="1:6">
      <c r="A140" s="464"/>
      <c r="B140" s="468" t="s">
        <v>54</v>
      </c>
      <c r="C140" s="454"/>
      <c r="D140" s="454"/>
      <c r="E140" s="450"/>
      <c r="F140" s="47">
        <f>F139/10</f>
        <v>189.23360607414003</v>
      </c>
    </row>
    <row r="141" spans="1:6">
      <c r="A141" s="457"/>
      <c r="B141" s="468" t="s">
        <v>48</v>
      </c>
      <c r="C141" s="454"/>
      <c r="D141" s="454"/>
      <c r="E141" s="450"/>
      <c r="F141" s="48">
        <f>MROUND(F140, 0.05)</f>
        <v>189.25</v>
      </c>
    </row>
    <row r="142" spans="1:6">
      <c r="A142" s="1">
        <v>0</v>
      </c>
      <c r="B142" s="455" t="s">
        <v>774</v>
      </c>
      <c r="C142" s="454"/>
      <c r="D142" s="454"/>
      <c r="E142" s="454"/>
      <c r="F142" s="450"/>
    </row>
    <row r="143" spans="1:6">
      <c r="A143" s="1" t="s">
        <v>3</v>
      </c>
      <c r="B143" s="1" t="s">
        <v>4</v>
      </c>
      <c r="C143" s="1" t="s">
        <v>5</v>
      </c>
      <c r="D143" s="1" t="s">
        <v>6</v>
      </c>
      <c r="E143" s="1" t="s">
        <v>7</v>
      </c>
      <c r="F143" s="1" t="s">
        <v>8</v>
      </c>
    </row>
    <row r="144" spans="1:6">
      <c r="A144" s="456"/>
      <c r="B144" s="4" t="s">
        <v>512</v>
      </c>
      <c r="C144" s="456"/>
      <c r="D144" s="456"/>
      <c r="E144" s="456"/>
      <c r="F144" s="456"/>
    </row>
    <row r="145" spans="1:6">
      <c r="A145" s="457"/>
      <c r="B145" s="4" t="s">
        <v>14</v>
      </c>
      <c r="C145" s="457"/>
      <c r="D145" s="457"/>
      <c r="E145" s="457"/>
      <c r="F145" s="457"/>
    </row>
    <row r="146" spans="1:6">
      <c r="A146" s="456">
        <v>1552</v>
      </c>
      <c r="B146" s="3" t="s">
        <v>788</v>
      </c>
      <c r="C146" s="456" t="s">
        <v>21</v>
      </c>
      <c r="D146" s="456">
        <v>10.199999999999999</v>
      </c>
      <c r="E146" s="456">
        <v>130</v>
      </c>
      <c r="F146" s="456">
        <f>D146*E146</f>
        <v>1326</v>
      </c>
    </row>
    <row r="147" spans="1:6">
      <c r="A147" s="464"/>
      <c r="B147" s="4" t="s">
        <v>519</v>
      </c>
      <c r="C147" s="464"/>
      <c r="D147" s="464"/>
      <c r="E147" s="464"/>
      <c r="F147" s="464"/>
    </row>
    <row r="148" spans="1:6">
      <c r="A148" s="457"/>
      <c r="B148" s="4" t="s">
        <v>708</v>
      </c>
      <c r="C148" s="457"/>
      <c r="D148" s="457"/>
      <c r="E148" s="457"/>
      <c r="F148" s="457"/>
    </row>
    <row r="149" spans="1:6">
      <c r="A149" s="7">
        <v>2271</v>
      </c>
      <c r="B149" s="4" t="s">
        <v>521</v>
      </c>
      <c r="C149" s="7" t="s">
        <v>218</v>
      </c>
      <c r="D149" s="7">
        <v>8.813E-2</v>
      </c>
      <c r="E149" s="5">
        <v>145.72</v>
      </c>
      <c r="F149" s="7">
        <f t="shared" ref="F149:F150" si="12">E149*D149</f>
        <v>12.842303599999999</v>
      </c>
    </row>
    <row r="150" spans="1:6">
      <c r="A150" s="456">
        <v>9999</v>
      </c>
      <c r="B150" s="4" t="s">
        <v>524</v>
      </c>
      <c r="C150" s="456" t="s">
        <v>62</v>
      </c>
      <c r="D150" s="456">
        <v>13.52</v>
      </c>
      <c r="E150" s="456">
        <v>2.12</v>
      </c>
      <c r="F150" s="456">
        <f t="shared" si="12"/>
        <v>28.662400000000002</v>
      </c>
    </row>
    <row r="151" spans="1:6">
      <c r="A151" s="457"/>
      <c r="B151" s="4" t="s">
        <v>22</v>
      </c>
      <c r="C151" s="457"/>
      <c r="D151" s="457"/>
      <c r="E151" s="457"/>
      <c r="F151" s="457"/>
    </row>
    <row r="152" spans="1:6">
      <c r="A152" s="7">
        <v>116</v>
      </c>
      <c r="B152" s="4" t="s">
        <v>527</v>
      </c>
      <c r="C152" s="7" t="s">
        <v>26</v>
      </c>
      <c r="D152" s="7">
        <v>0.25</v>
      </c>
      <c r="E152" s="5">
        <v>784</v>
      </c>
      <c r="F152" s="7">
        <f t="shared" ref="F152:F153" si="13">E152*D152</f>
        <v>196</v>
      </c>
    </row>
    <row r="153" spans="1:6">
      <c r="A153" s="7">
        <v>114</v>
      </c>
      <c r="B153" s="4" t="s">
        <v>59</v>
      </c>
      <c r="C153" s="7" t="s">
        <v>26</v>
      </c>
      <c r="D153" s="7">
        <v>0.66</v>
      </c>
      <c r="E153" s="5">
        <v>645</v>
      </c>
      <c r="F153" s="7">
        <f t="shared" si="13"/>
        <v>425.70000000000005</v>
      </c>
    </row>
    <row r="154" spans="1:6">
      <c r="A154" s="466"/>
      <c r="B154" s="469" t="s">
        <v>27</v>
      </c>
      <c r="C154" s="454"/>
      <c r="D154" s="454"/>
      <c r="E154" s="450"/>
      <c r="F154" s="49">
        <f>SUM(F146:F153)</f>
        <v>1989.2047035999999</v>
      </c>
    </row>
    <row r="155" spans="1:6">
      <c r="A155" s="464"/>
      <c r="B155" s="470" t="s">
        <v>28</v>
      </c>
      <c r="C155" s="454"/>
      <c r="D155" s="454"/>
      <c r="E155" s="450"/>
      <c r="F155" s="49">
        <f>F154*0.01</f>
        <v>19.892047036000001</v>
      </c>
    </row>
    <row r="156" spans="1:6">
      <c r="A156" s="464"/>
      <c r="B156" s="470" t="s">
        <v>30</v>
      </c>
      <c r="C156" s="454"/>
      <c r="D156" s="454"/>
      <c r="E156" s="450"/>
      <c r="F156" s="49">
        <f>SUM(F154:F155)</f>
        <v>2009.0967506359998</v>
      </c>
    </row>
    <row r="157" spans="1:6">
      <c r="A157" s="464"/>
      <c r="B157" s="470" t="s">
        <v>36</v>
      </c>
      <c r="C157" s="454"/>
      <c r="D157" s="454"/>
      <c r="E157" s="450"/>
      <c r="F157" s="49">
        <f>F156*0.15</f>
        <v>301.36451259539996</v>
      </c>
    </row>
    <row r="158" spans="1:6">
      <c r="A158" s="464"/>
      <c r="B158" s="470" t="s">
        <v>30</v>
      </c>
      <c r="C158" s="454"/>
      <c r="D158" s="454"/>
      <c r="E158" s="450"/>
      <c r="F158" s="49">
        <f>SUM(F156:F157)</f>
        <v>2310.4612632313997</v>
      </c>
    </row>
    <row r="159" spans="1:6">
      <c r="A159" s="464"/>
      <c r="B159" s="470" t="s">
        <v>539</v>
      </c>
      <c r="C159" s="454"/>
      <c r="D159" s="454"/>
      <c r="E159" s="450"/>
      <c r="F159" s="49">
        <f>F158</f>
        <v>2310.4612632313997</v>
      </c>
    </row>
    <row r="160" spans="1:6">
      <c r="A160" s="464"/>
      <c r="B160" s="470" t="s">
        <v>54</v>
      </c>
      <c r="C160" s="454"/>
      <c r="D160" s="454"/>
      <c r="E160" s="450"/>
      <c r="F160" s="49">
        <f>F159/10</f>
        <v>231.04612632313996</v>
      </c>
    </row>
    <row r="161" spans="1:6">
      <c r="A161" s="457"/>
      <c r="B161" s="470" t="s">
        <v>48</v>
      </c>
      <c r="C161" s="454"/>
      <c r="D161" s="454"/>
      <c r="E161" s="450"/>
      <c r="F161" s="18">
        <f>MROUND(F160, 0.05)</f>
        <v>231.05</v>
      </c>
    </row>
  </sheetData>
  <mergeCells count="199">
    <mergeCell ref="D104:D105"/>
    <mergeCell ref="E104:E105"/>
    <mergeCell ref="F104:F105"/>
    <mergeCell ref="D106:D108"/>
    <mergeCell ref="E106:E108"/>
    <mergeCell ref="F106:F108"/>
    <mergeCell ref="D110:D111"/>
    <mergeCell ref="B94:E94"/>
    <mergeCell ref="B95:E95"/>
    <mergeCell ref="B96:E96"/>
    <mergeCell ref="B97:E97"/>
    <mergeCell ref="B98:E98"/>
    <mergeCell ref="B99:E99"/>
    <mergeCell ref="B100:E100"/>
    <mergeCell ref="B101:E101"/>
    <mergeCell ref="B102:F102"/>
    <mergeCell ref="D84:D85"/>
    <mergeCell ref="E84:E85"/>
    <mergeCell ref="F84:F85"/>
    <mergeCell ref="D86:D88"/>
    <mergeCell ref="E86:E88"/>
    <mergeCell ref="F86:F88"/>
    <mergeCell ref="D90:D91"/>
    <mergeCell ref="E90:E91"/>
    <mergeCell ref="F90:F91"/>
    <mergeCell ref="B74:E74"/>
    <mergeCell ref="B75:E75"/>
    <mergeCell ref="B76:E76"/>
    <mergeCell ref="B77:E77"/>
    <mergeCell ref="B78:E78"/>
    <mergeCell ref="B79:E79"/>
    <mergeCell ref="B80:E80"/>
    <mergeCell ref="B81:E81"/>
    <mergeCell ref="B82:F82"/>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136:E136"/>
    <mergeCell ref="B137:E137"/>
    <mergeCell ref="B138:E138"/>
    <mergeCell ref="B139:E139"/>
    <mergeCell ref="B140:E140"/>
    <mergeCell ref="B141:E141"/>
    <mergeCell ref="B142:F142"/>
    <mergeCell ref="D144:D145"/>
    <mergeCell ref="E144:E145"/>
    <mergeCell ref="F144:F145"/>
    <mergeCell ref="F124:F125"/>
    <mergeCell ref="D126:D128"/>
    <mergeCell ref="E126:E128"/>
    <mergeCell ref="F126:F128"/>
    <mergeCell ref="D130:D131"/>
    <mergeCell ref="E130:E131"/>
    <mergeCell ref="F130:F131"/>
    <mergeCell ref="B134:E134"/>
    <mergeCell ref="B135:E135"/>
    <mergeCell ref="D50:D51"/>
    <mergeCell ref="E50:E51"/>
    <mergeCell ref="B54:E54"/>
    <mergeCell ref="B55:E55"/>
    <mergeCell ref="B56:E56"/>
    <mergeCell ref="E110:E111"/>
    <mergeCell ref="F110:F111"/>
    <mergeCell ref="B114:E114"/>
    <mergeCell ref="B115:E115"/>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38:E38"/>
    <mergeCell ref="B39:E39"/>
    <mergeCell ref="B40:E40"/>
    <mergeCell ref="B41:E41"/>
    <mergeCell ref="B42:F42"/>
    <mergeCell ref="D44:D45"/>
    <mergeCell ref="E44:E45"/>
    <mergeCell ref="F44:F45"/>
    <mergeCell ref="D46:D48"/>
    <mergeCell ref="E46:E48"/>
    <mergeCell ref="F46:F48"/>
    <mergeCell ref="D10:D11"/>
    <mergeCell ref="E10:E11"/>
    <mergeCell ref="F10:F11"/>
    <mergeCell ref="B14:E14"/>
    <mergeCell ref="B15:E15"/>
    <mergeCell ref="B16:E16"/>
    <mergeCell ref="B17:E17"/>
    <mergeCell ref="B18:E18"/>
    <mergeCell ref="B19:E19"/>
    <mergeCell ref="A1:F1"/>
    <mergeCell ref="B2:F2"/>
    <mergeCell ref="A4:A5"/>
    <mergeCell ref="D4:D5"/>
    <mergeCell ref="E4:E5"/>
    <mergeCell ref="F4:F5"/>
    <mergeCell ref="F6:F8"/>
    <mergeCell ref="D6:D8"/>
    <mergeCell ref="E6:E8"/>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B116:E116"/>
    <mergeCell ref="B117:E117"/>
    <mergeCell ref="B118:E118"/>
    <mergeCell ref="B119:E119"/>
    <mergeCell ref="B120:E120"/>
    <mergeCell ref="B121:E121"/>
    <mergeCell ref="B122:F122"/>
    <mergeCell ref="D124:D125"/>
    <mergeCell ref="E124:E125"/>
    <mergeCell ref="C4:C5"/>
    <mergeCell ref="C6:C8"/>
    <mergeCell ref="C10:C11"/>
    <mergeCell ref="C24:C25"/>
    <mergeCell ref="C26:C28"/>
    <mergeCell ref="C30:C31"/>
    <mergeCell ref="C44:C45"/>
    <mergeCell ref="C46:C48"/>
    <mergeCell ref="C50:C51"/>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A50:A51"/>
    <mergeCell ref="A54:A61"/>
    <mergeCell ref="A64:A65"/>
    <mergeCell ref="A66:A68"/>
    <mergeCell ref="A70:A71"/>
    <mergeCell ref="A74:A81"/>
    <mergeCell ref="A84:A85"/>
    <mergeCell ref="A86:A88"/>
    <mergeCell ref="A90:A91"/>
    <mergeCell ref="A6:A8"/>
    <mergeCell ref="A10:A11"/>
    <mergeCell ref="A14:A21"/>
    <mergeCell ref="A24:A25"/>
    <mergeCell ref="A26:A28"/>
    <mergeCell ref="A30:A31"/>
    <mergeCell ref="A34:A41"/>
    <mergeCell ref="A44:A45"/>
    <mergeCell ref="A46:A48"/>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9"/>
  <sheetViews>
    <sheetView workbookViewId="0"/>
  </sheetViews>
  <sheetFormatPr defaultColWidth="14.453125" defaultRowHeight="15" customHeight="1"/>
  <cols>
    <col min="1" max="1" width="12.54296875" customWidth="1"/>
    <col min="2" max="2" width="48.26953125" customWidth="1"/>
  </cols>
  <sheetData>
    <row r="1" spans="1:4">
      <c r="A1" s="11" t="s">
        <v>332</v>
      </c>
      <c r="B1" s="11" t="s">
        <v>335</v>
      </c>
      <c r="C1" s="11" t="s">
        <v>336</v>
      </c>
      <c r="D1" s="11" t="s">
        <v>5</v>
      </c>
    </row>
    <row r="2" spans="1:4">
      <c r="A2" s="13" t="s">
        <v>772</v>
      </c>
      <c r="B2" s="13" t="s">
        <v>773</v>
      </c>
      <c r="C2" s="13">
        <v>232.24</v>
      </c>
      <c r="D2" s="13" t="s">
        <v>481</v>
      </c>
    </row>
    <row r="3" spans="1:4">
      <c r="A3" s="13" t="s">
        <v>775</v>
      </c>
      <c r="B3" s="13" t="s">
        <v>777</v>
      </c>
      <c r="C3" s="13">
        <v>273.77</v>
      </c>
      <c r="D3" s="13" t="s">
        <v>481</v>
      </c>
    </row>
    <row r="4" spans="1:4">
      <c r="A4" s="13" t="s">
        <v>778</v>
      </c>
      <c r="B4" s="13" t="s">
        <v>779</v>
      </c>
      <c r="C4" s="13">
        <v>362.84</v>
      </c>
      <c r="D4" s="13" t="s">
        <v>481</v>
      </c>
    </row>
    <row r="5" spans="1:4">
      <c r="A5" s="13" t="s">
        <v>780</v>
      </c>
      <c r="B5" s="13" t="s">
        <v>781</v>
      </c>
      <c r="C5" s="13">
        <v>397.33</v>
      </c>
      <c r="D5" s="13" t="s">
        <v>481</v>
      </c>
    </row>
    <row r="6" spans="1:4">
      <c r="A6" s="13" t="s">
        <v>783</v>
      </c>
      <c r="B6" s="13" t="s">
        <v>784</v>
      </c>
      <c r="C6" s="13">
        <v>484.72</v>
      </c>
      <c r="D6" s="13" t="s">
        <v>481</v>
      </c>
    </row>
    <row r="7" spans="1:4">
      <c r="A7" s="13" t="s">
        <v>786</v>
      </c>
      <c r="B7" s="13" t="s">
        <v>787</v>
      </c>
      <c r="C7" s="13">
        <v>567.91999999999996</v>
      </c>
      <c r="D7" s="13" t="s">
        <v>481</v>
      </c>
    </row>
    <row r="8" spans="1:4">
      <c r="A8" s="13" t="s">
        <v>792</v>
      </c>
      <c r="B8" s="13" t="s">
        <v>793</v>
      </c>
      <c r="C8" s="13">
        <v>667.24</v>
      </c>
      <c r="D8" s="13" t="s">
        <v>481</v>
      </c>
    </row>
    <row r="9" spans="1:4">
      <c r="A9" s="13" t="s">
        <v>794</v>
      </c>
      <c r="B9" s="13" t="s">
        <v>796</v>
      </c>
      <c r="C9" s="13">
        <v>797.9</v>
      </c>
      <c r="D9" s="13" t="s">
        <v>481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G30"/>
  <sheetViews>
    <sheetView workbookViewId="0"/>
  </sheetViews>
  <sheetFormatPr defaultColWidth="14.453125" defaultRowHeight="15" customHeight="1"/>
  <sheetData>
    <row r="1" spans="1:7">
      <c r="A1" s="475" t="s">
        <v>771</v>
      </c>
      <c r="B1" s="475" t="s">
        <v>776</v>
      </c>
      <c r="C1" s="476" t="s">
        <v>4</v>
      </c>
      <c r="D1" s="454"/>
      <c r="E1" s="450"/>
      <c r="F1" s="477" t="s">
        <v>785</v>
      </c>
      <c r="G1" s="450"/>
    </row>
    <row r="2" spans="1:7">
      <c r="A2" s="457"/>
      <c r="B2" s="457"/>
      <c r="C2" s="54" t="s">
        <v>5</v>
      </c>
      <c r="D2" s="54" t="s">
        <v>6</v>
      </c>
      <c r="E2" s="54" t="s">
        <v>336</v>
      </c>
      <c r="F2" s="55" t="s">
        <v>8</v>
      </c>
      <c r="G2" s="54" t="s">
        <v>789</v>
      </c>
    </row>
    <row r="3" spans="1:7">
      <c r="A3" s="478" t="s">
        <v>790</v>
      </c>
      <c r="B3" s="454"/>
      <c r="C3" s="454"/>
      <c r="D3" s="454"/>
      <c r="E3" s="454"/>
      <c r="F3" s="454"/>
      <c r="G3" s="450"/>
    </row>
    <row r="4" spans="1:7">
      <c r="A4" s="56"/>
      <c r="B4" s="57" t="s">
        <v>795</v>
      </c>
      <c r="C4" s="57" t="s">
        <v>797</v>
      </c>
      <c r="D4" s="57" t="s">
        <v>798</v>
      </c>
      <c r="E4" s="59">
        <v>100</v>
      </c>
      <c r="F4" s="473"/>
      <c r="G4" s="450"/>
    </row>
    <row r="5" spans="1:7">
      <c r="A5" s="57" t="s">
        <v>800</v>
      </c>
      <c r="B5" s="472" t="s">
        <v>801</v>
      </c>
      <c r="C5" s="454"/>
      <c r="D5" s="454"/>
      <c r="E5" s="454"/>
      <c r="F5" s="454"/>
      <c r="G5" s="450"/>
    </row>
    <row r="6" spans="1:7">
      <c r="A6" s="474" t="s">
        <v>802</v>
      </c>
      <c r="B6" s="454"/>
      <c r="C6" s="454"/>
      <c r="D6" s="454"/>
      <c r="E6" s="454"/>
      <c r="F6" s="450"/>
      <c r="G6" s="60" t="s">
        <v>803</v>
      </c>
    </row>
    <row r="7" spans="1:7">
      <c r="A7" s="479">
        <v>8019</v>
      </c>
      <c r="B7" s="479"/>
      <c r="C7" s="472" t="s">
        <v>805</v>
      </c>
      <c r="D7" s="454"/>
      <c r="E7" s="450"/>
      <c r="F7" s="473"/>
      <c r="G7" s="450"/>
    </row>
    <row r="8" spans="1:7">
      <c r="A8" s="457"/>
      <c r="B8" s="457"/>
      <c r="C8" s="57" t="s">
        <v>806</v>
      </c>
      <c r="D8" s="59">
        <v>1.05</v>
      </c>
      <c r="E8" s="59">
        <v>9000</v>
      </c>
      <c r="F8" s="64">
        <f>D8*E8</f>
        <v>9450</v>
      </c>
      <c r="G8" s="57" t="s">
        <v>808</v>
      </c>
    </row>
    <row r="9" spans="1:7">
      <c r="A9" s="474" t="s">
        <v>810</v>
      </c>
      <c r="B9" s="454"/>
      <c r="C9" s="454"/>
      <c r="D9" s="454"/>
      <c r="E9" s="454"/>
      <c r="F9" s="450"/>
      <c r="G9" s="60" t="s">
        <v>811</v>
      </c>
    </row>
    <row r="10" spans="1:7">
      <c r="A10" s="479">
        <v>2205</v>
      </c>
      <c r="B10" s="479"/>
      <c r="C10" s="472" t="s">
        <v>813</v>
      </c>
      <c r="D10" s="454"/>
      <c r="E10" s="450"/>
      <c r="F10" s="473"/>
      <c r="G10" s="450"/>
    </row>
    <row r="11" spans="1:7">
      <c r="A11" s="457"/>
      <c r="B11" s="457"/>
      <c r="C11" s="57" t="s">
        <v>218</v>
      </c>
      <c r="D11" s="59">
        <v>0.105</v>
      </c>
      <c r="E11" s="59">
        <v>145.72</v>
      </c>
      <c r="F11" s="64">
        <f>D11*E11</f>
        <v>15.300599999999999</v>
      </c>
      <c r="G11" s="57" t="s">
        <v>37</v>
      </c>
    </row>
    <row r="12" spans="1:7">
      <c r="A12" s="474" t="s">
        <v>819</v>
      </c>
      <c r="B12" s="454"/>
      <c r="C12" s="454"/>
      <c r="D12" s="454"/>
      <c r="E12" s="454"/>
      <c r="F12" s="450"/>
      <c r="G12" s="60" t="s">
        <v>820</v>
      </c>
    </row>
    <row r="13" spans="1:7">
      <c r="A13" s="479">
        <v>116</v>
      </c>
      <c r="B13" s="479"/>
      <c r="C13" s="472" t="s">
        <v>527</v>
      </c>
      <c r="D13" s="454"/>
      <c r="E13" s="450"/>
      <c r="F13" s="473"/>
      <c r="G13" s="450"/>
    </row>
    <row r="14" spans="1:7">
      <c r="A14" s="457"/>
      <c r="B14" s="457"/>
      <c r="C14" s="57" t="s">
        <v>26</v>
      </c>
      <c r="D14" s="59">
        <v>0.5</v>
      </c>
      <c r="E14" s="59">
        <v>784</v>
      </c>
      <c r="F14" s="64">
        <f>E14*D14</f>
        <v>392</v>
      </c>
      <c r="G14" s="57" t="s">
        <v>822</v>
      </c>
    </row>
    <row r="15" spans="1:7">
      <c r="A15" s="479">
        <v>102</v>
      </c>
      <c r="B15" s="479"/>
      <c r="C15" s="472" t="s">
        <v>823</v>
      </c>
      <c r="D15" s="454"/>
      <c r="E15" s="450"/>
      <c r="F15" s="473"/>
      <c r="G15" s="450"/>
    </row>
    <row r="16" spans="1:7">
      <c r="A16" s="457"/>
      <c r="B16" s="457"/>
      <c r="C16" s="57" t="s">
        <v>26</v>
      </c>
      <c r="D16" s="59">
        <v>0.75</v>
      </c>
      <c r="E16" s="59">
        <v>784</v>
      </c>
      <c r="F16" s="64">
        <f>E16*D16</f>
        <v>588</v>
      </c>
      <c r="G16" s="57" t="s">
        <v>825</v>
      </c>
    </row>
    <row r="17" spans="1:7">
      <c r="A17" s="479">
        <v>103</v>
      </c>
      <c r="B17" s="479"/>
      <c r="C17" s="472" t="s">
        <v>827</v>
      </c>
      <c r="D17" s="454"/>
      <c r="E17" s="450"/>
      <c r="F17" s="473"/>
      <c r="G17" s="450"/>
    </row>
    <row r="18" spans="1:7">
      <c r="A18" s="457"/>
      <c r="B18" s="457"/>
      <c r="C18" s="57" t="s">
        <v>26</v>
      </c>
      <c r="D18" s="59">
        <v>1</v>
      </c>
      <c r="E18" s="59">
        <v>714</v>
      </c>
      <c r="F18" s="64">
        <f>E18*D18</f>
        <v>714</v>
      </c>
      <c r="G18" s="57" t="s">
        <v>825</v>
      </c>
    </row>
    <row r="19" spans="1:7">
      <c r="A19" s="479" t="s">
        <v>831</v>
      </c>
      <c r="B19" s="479"/>
      <c r="C19" s="472" t="s">
        <v>832</v>
      </c>
      <c r="D19" s="454"/>
      <c r="E19" s="450"/>
      <c r="F19" s="473"/>
      <c r="G19" s="450"/>
    </row>
    <row r="20" spans="1:7">
      <c r="A20" s="457"/>
      <c r="B20" s="457"/>
      <c r="C20" s="57" t="s">
        <v>835</v>
      </c>
      <c r="D20" s="59">
        <v>850</v>
      </c>
      <c r="E20" s="59">
        <v>2</v>
      </c>
      <c r="F20" s="64">
        <f>D20*E20</f>
        <v>1700</v>
      </c>
      <c r="G20" s="57" t="s">
        <v>837</v>
      </c>
    </row>
    <row r="21" spans="1:7">
      <c r="A21" s="474" t="s">
        <v>838</v>
      </c>
      <c r="B21" s="454"/>
      <c r="C21" s="454"/>
      <c r="D21" s="454"/>
      <c r="E21" s="454"/>
      <c r="F21" s="450"/>
      <c r="G21" s="60" t="s">
        <v>820</v>
      </c>
    </row>
    <row r="22" spans="1:7">
      <c r="A22" s="483" t="s">
        <v>839</v>
      </c>
      <c r="B22" s="479"/>
      <c r="C22" s="472" t="s">
        <v>841</v>
      </c>
      <c r="D22" s="454"/>
      <c r="E22" s="450"/>
      <c r="F22" s="473"/>
      <c r="G22" s="450"/>
    </row>
    <row r="23" spans="1:7">
      <c r="A23" s="457"/>
      <c r="B23" s="457"/>
      <c r="C23" s="57" t="s">
        <v>328</v>
      </c>
      <c r="D23" s="59">
        <v>3</v>
      </c>
      <c r="E23" s="59">
        <v>48.19</v>
      </c>
      <c r="F23" s="64">
        <f>D23*E23</f>
        <v>144.57</v>
      </c>
      <c r="G23" s="57" t="s">
        <v>844</v>
      </c>
    </row>
    <row r="24" spans="1:7">
      <c r="A24" s="480" t="s">
        <v>30</v>
      </c>
      <c r="B24" s="454"/>
      <c r="C24" s="450"/>
      <c r="D24" s="59">
        <v>100</v>
      </c>
      <c r="E24" s="79" t="s">
        <v>797</v>
      </c>
      <c r="F24" s="81">
        <f>SUM(F8,F11,F14,F16,F18,F20+F23)</f>
        <v>13003.8706</v>
      </c>
      <c r="G24" s="82"/>
    </row>
    <row r="25" spans="1:7">
      <c r="A25" s="480" t="s">
        <v>826</v>
      </c>
      <c r="B25" s="454"/>
      <c r="C25" s="450"/>
      <c r="D25" s="59">
        <v>1</v>
      </c>
      <c r="E25" s="79" t="s">
        <v>797</v>
      </c>
      <c r="F25" s="81">
        <f>F24/100</f>
        <v>130.03870599999999</v>
      </c>
      <c r="G25" s="82"/>
    </row>
    <row r="26" spans="1:7">
      <c r="A26" s="481" t="s">
        <v>829</v>
      </c>
      <c r="B26" s="454"/>
      <c r="C26" s="454"/>
      <c r="D26" s="450"/>
      <c r="E26" s="81">
        <f>F25</f>
        <v>130.03870599999999</v>
      </c>
      <c r="F26" s="81">
        <f>E26/100</f>
        <v>1.3003870599999998</v>
      </c>
      <c r="G26" s="82"/>
    </row>
    <row r="27" spans="1:7">
      <c r="A27" s="481" t="s">
        <v>30</v>
      </c>
      <c r="B27" s="454"/>
      <c r="C27" s="454"/>
      <c r="D27" s="450"/>
      <c r="E27" s="82"/>
      <c r="F27" s="81">
        <f>F25+F26</f>
        <v>131.33909305999998</v>
      </c>
      <c r="G27" s="82"/>
    </row>
    <row r="28" spans="1:7">
      <c r="A28" s="481" t="s">
        <v>836</v>
      </c>
      <c r="B28" s="454"/>
      <c r="C28" s="454"/>
      <c r="D28" s="450"/>
      <c r="E28" s="81">
        <f>F27</f>
        <v>131.33909305999998</v>
      </c>
      <c r="F28" s="81">
        <f>E28*0.15</f>
        <v>19.700863958999996</v>
      </c>
      <c r="G28" s="82"/>
    </row>
    <row r="29" spans="1:7">
      <c r="A29" s="481" t="s">
        <v>30</v>
      </c>
      <c r="B29" s="454"/>
      <c r="C29" s="454"/>
      <c r="D29" s="450"/>
      <c r="E29" s="82"/>
      <c r="F29" s="81">
        <f>F27+F28</f>
        <v>151.03995701899998</v>
      </c>
      <c r="G29" s="82"/>
    </row>
    <row r="30" spans="1:7">
      <c r="A30" s="482" t="s">
        <v>857</v>
      </c>
      <c r="B30" s="454"/>
      <c r="C30" s="454"/>
      <c r="D30" s="450"/>
      <c r="E30" s="86"/>
      <c r="F30" s="88">
        <f>ROUND(F29,2)</f>
        <v>151.04</v>
      </c>
      <c r="G30" s="89" t="s">
        <v>860</v>
      </c>
    </row>
  </sheetData>
  <mergeCells count="46">
    <mergeCell ref="A26:D26"/>
    <mergeCell ref="A27:D27"/>
    <mergeCell ref="A28:D28"/>
    <mergeCell ref="A29:D29"/>
    <mergeCell ref="A30:D30"/>
    <mergeCell ref="B13:B14"/>
    <mergeCell ref="C22:E22"/>
    <mergeCell ref="F22:G22"/>
    <mergeCell ref="A24:C24"/>
    <mergeCell ref="A25:C25"/>
    <mergeCell ref="A19:A20"/>
    <mergeCell ref="B19:B20"/>
    <mergeCell ref="C19:E19"/>
    <mergeCell ref="F19:G19"/>
    <mergeCell ref="A21:F21"/>
    <mergeCell ref="A22:A23"/>
    <mergeCell ref="B22:B23"/>
    <mergeCell ref="A15:A16"/>
    <mergeCell ref="B15:B16"/>
    <mergeCell ref="C15:E15"/>
    <mergeCell ref="F15:G15"/>
    <mergeCell ref="A17:A18"/>
    <mergeCell ref="B17:B18"/>
    <mergeCell ref="C17:E17"/>
    <mergeCell ref="F17:G17"/>
    <mergeCell ref="A12:F12"/>
    <mergeCell ref="C13:E13"/>
    <mergeCell ref="F13:G13"/>
    <mergeCell ref="B1:B2"/>
    <mergeCell ref="C1:E1"/>
    <mergeCell ref="F1:G1"/>
    <mergeCell ref="A3:G3"/>
    <mergeCell ref="F4:G4"/>
    <mergeCell ref="B5:G5"/>
    <mergeCell ref="A6:F6"/>
    <mergeCell ref="A1:A2"/>
    <mergeCell ref="A7:A8"/>
    <mergeCell ref="B7:B8"/>
    <mergeCell ref="A10:A11"/>
    <mergeCell ref="B10:B11"/>
    <mergeCell ref="A13:A14"/>
    <mergeCell ref="C7:E7"/>
    <mergeCell ref="F7:G7"/>
    <mergeCell ref="A9:F9"/>
    <mergeCell ref="C10:E10"/>
    <mergeCell ref="F10:G1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32"/>
  <sheetViews>
    <sheetView workbookViewId="0"/>
  </sheetViews>
  <sheetFormatPr defaultColWidth="14.453125" defaultRowHeight="15" customHeight="1"/>
  <cols>
    <col min="8" max="9" width="14.453125" hidden="1"/>
  </cols>
  <sheetData>
    <row r="1" spans="1:9">
      <c r="A1" s="486" t="s">
        <v>771</v>
      </c>
      <c r="B1" s="486" t="s">
        <v>776</v>
      </c>
      <c r="C1" s="487" t="s">
        <v>4</v>
      </c>
      <c r="D1" s="454"/>
      <c r="E1" s="450"/>
      <c r="F1" s="488" t="s">
        <v>785</v>
      </c>
      <c r="G1" s="450"/>
      <c r="H1" s="61"/>
      <c r="I1" s="61"/>
    </row>
    <row r="2" spans="1:9">
      <c r="A2" s="457"/>
      <c r="B2" s="457"/>
      <c r="C2" s="62" t="s">
        <v>5</v>
      </c>
      <c r="D2" s="62" t="s">
        <v>6</v>
      </c>
      <c r="E2" s="62" t="s">
        <v>336</v>
      </c>
      <c r="F2" s="63" t="s">
        <v>8</v>
      </c>
      <c r="G2" s="62" t="s">
        <v>789</v>
      </c>
      <c r="H2" s="61"/>
      <c r="I2" s="61"/>
    </row>
    <row r="3" spans="1:9">
      <c r="A3" s="489" t="s">
        <v>809</v>
      </c>
      <c r="B3" s="454"/>
      <c r="C3" s="454"/>
      <c r="D3" s="454"/>
      <c r="E3" s="454"/>
      <c r="F3" s="454"/>
      <c r="G3" s="450"/>
      <c r="H3" s="61"/>
      <c r="I3" s="61"/>
    </row>
    <row r="4" spans="1:9">
      <c r="A4" s="65"/>
      <c r="B4" s="66" t="s">
        <v>795</v>
      </c>
      <c r="C4" s="66" t="s">
        <v>812</v>
      </c>
      <c r="D4" s="66" t="s">
        <v>798</v>
      </c>
      <c r="E4" s="67">
        <v>1</v>
      </c>
      <c r="F4" s="485"/>
      <c r="G4" s="450"/>
      <c r="H4" s="61"/>
      <c r="I4" s="61"/>
    </row>
    <row r="5" spans="1:9">
      <c r="A5" s="66" t="s">
        <v>800</v>
      </c>
      <c r="B5" s="484" t="s">
        <v>12</v>
      </c>
      <c r="C5" s="454"/>
      <c r="D5" s="454"/>
      <c r="E5" s="454"/>
      <c r="F5" s="454"/>
      <c r="G5" s="450"/>
      <c r="H5" s="61"/>
      <c r="I5" s="61"/>
    </row>
    <row r="6" spans="1:9">
      <c r="A6" s="490" t="s">
        <v>802</v>
      </c>
      <c r="B6" s="454"/>
      <c r="C6" s="454"/>
      <c r="D6" s="454"/>
      <c r="E6" s="454"/>
      <c r="F6" s="450"/>
      <c r="G6" s="68" t="s">
        <v>803</v>
      </c>
      <c r="H6" s="61"/>
      <c r="I6" s="61"/>
    </row>
    <row r="7" spans="1:9">
      <c r="A7" s="491"/>
      <c r="B7" s="491" t="s">
        <v>817</v>
      </c>
      <c r="C7" s="484" t="s">
        <v>818</v>
      </c>
      <c r="D7" s="454"/>
      <c r="E7" s="450"/>
      <c r="F7" s="485"/>
      <c r="G7" s="450"/>
      <c r="H7" s="61"/>
      <c r="I7" s="61"/>
    </row>
    <row r="8" spans="1:9">
      <c r="A8" s="457"/>
      <c r="B8" s="457"/>
      <c r="C8" s="66" t="s">
        <v>812</v>
      </c>
      <c r="D8" s="67">
        <v>1</v>
      </c>
      <c r="E8" s="67">
        <f t="array" ref="E8">IFERROR(INDEX(LMRRates,MATCH(B7,LMRCodes,0), ), )</f>
        <v>6553</v>
      </c>
      <c r="F8" s="69">
        <f>D8*E8</f>
        <v>6553</v>
      </c>
      <c r="G8" s="66" t="s">
        <v>808</v>
      </c>
      <c r="H8" s="61"/>
      <c r="I8" s="61"/>
    </row>
    <row r="9" spans="1:9">
      <c r="A9" s="492" t="s">
        <v>30</v>
      </c>
      <c r="B9" s="454"/>
      <c r="C9" s="450"/>
      <c r="D9" s="67">
        <v>1</v>
      </c>
      <c r="E9" s="70" t="s">
        <v>812</v>
      </c>
      <c r="F9" s="69">
        <f>F8</f>
        <v>6553</v>
      </c>
      <c r="G9" s="71"/>
      <c r="H9" s="61"/>
      <c r="I9" s="61"/>
    </row>
    <row r="10" spans="1:9">
      <c r="A10" s="492" t="s">
        <v>826</v>
      </c>
      <c r="B10" s="454"/>
      <c r="C10" s="450"/>
      <c r="D10" s="67">
        <v>1</v>
      </c>
      <c r="E10" s="70" t="s">
        <v>812</v>
      </c>
      <c r="F10" s="72">
        <f>F9/D9</f>
        <v>6553</v>
      </c>
      <c r="G10" s="71"/>
      <c r="H10" s="61"/>
      <c r="I10" s="61"/>
    </row>
    <row r="11" spans="1:9">
      <c r="A11" s="493" t="s">
        <v>829</v>
      </c>
      <c r="B11" s="454"/>
      <c r="C11" s="454"/>
      <c r="D11" s="450"/>
      <c r="E11" s="69">
        <f>F10</f>
        <v>6553</v>
      </c>
      <c r="F11" s="69">
        <f>E11*1%</f>
        <v>65.53</v>
      </c>
      <c r="G11" s="71"/>
      <c r="H11" s="61"/>
      <c r="I11" s="61"/>
    </row>
    <row r="12" spans="1:9">
      <c r="A12" s="493" t="s">
        <v>30</v>
      </c>
      <c r="B12" s="454"/>
      <c r="C12" s="454"/>
      <c r="D12" s="450"/>
      <c r="E12" s="71"/>
      <c r="F12" s="72">
        <f>F10+F11</f>
        <v>6618.53</v>
      </c>
      <c r="G12" s="71"/>
      <c r="H12" s="61"/>
      <c r="I12" s="61"/>
    </row>
    <row r="13" spans="1:9">
      <c r="A13" s="493" t="s">
        <v>836</v>
      </c>
      <c r="B13" s="454"/>
      <c r="C13" s="454"/>
      <c r="D13" s="450"/>
      <c r="E13" s="69">
        <f>F12</f>
        <v>6618.53</v>
      </c>
      <c r="F13" s="69">
        <f>E13*15%</f>
        <v>992.77949999999987</v>
      </c>
      <c r="G13" s="71"/>
      <c r="H13" s="61"/>
      <c r="I13" s="61"/>
    </row>
    <row r="14" spans="1:9">
      <c r="A14" s="493" t="s">
        <v>30</v>
      </c>
      <c r="B14" s="454"/>
      <c r="C14" s="454"/>
      <c r="D14" s="450"/>
      <c r="E14" s="71"/>
      <c r="F14" s="72">
        <f>ROUND(F12+F13,2)</f>
        <v>7611.31</v>
      </c>
      <c r="G14" s="71"/>
      <c r="H14" s="61"/>
      <c r="I14" s="61"/>
    </row>
    <row r="15" spans="1:9">
      <c r="A15" s="490" t="s">
        <v>810</v>
      </c>
      <c r="B15" s="454"/>
      <c r="C15" s="454"/>
      <c r="D15" s="454"/>
      <c r="E15" s="454"/>
      <c r="F15" s="450"/>
      <c r="G15" s="68" t="s">
        <v>811</v>
      </c>
      <c r="H15" s="61"/>
      <c r="I15" s="61"/>
    </row>
    <row r="16" spans="1:9">
      <c r="A16" s="491">
        <v>2202</v>
      </c>
      <c r="B16" s="491"/>
      <c r="C16" s="484" t="s">
        <v>86</v>
      </c>
      <c r="D16" s="454"/>
      <c r="E16" s="450"/>
      <c r="F16" s="485"/>
      <c r="G16" s="450"/>
      <c r="H16" s="61"/>
      <c r="I16" s="61"/>
    </row>
    <row r="17" spans="1:9">
      <c r="A17" s="457"/>
      <c r="B17" s="457"/>
      <c r="C17" s="66" t="s">
        <v>812</v>
      </c>
      <c r="D17" s="67">
        <v>1</v>
      </c>
      <c r="E17" s="67">
        <v>163.93</v>
      </c>
      <c r="F17" s="69">
        <f>D17*E17</f>
        <v>163.93</v>
      </c>
      <c r="G17" s="66" t="s">
        <v>37</v>
      </c>
      <c r="H17" s="61"/>
      <c r="I17" s="61"/>
    </row>
    <row r="18" spans="1:9">
      <c r="A18" s="490" t="s">
        <v>819</v>
      </c>
      <c r="B18" s="454"/>
      <c r="C18" s="454"/>
      <c r="D18" s="454"/>
      <c r="E18" s="454"/>
      <c r="F18" s="450"/>
      <c r="G18" s="68" t="s">
        <v>820</v>
      </c>
      <c r="H18" s="61"/>
      <c r="I18" s="61"/>
    </row>
    <row r="19" spans="1:9">
      <c r="A19" s="491">
        <v>115</v>
      </c>
      <c r="B19" s="491"/>
      <c r="C19" s="484" t="s">
        <v>845</v>
      </c>
      <c r="D19" s="454"/>
      <c r="E19" s="450"/>
      <c r="F19" s="485"/>
      <c r="G19" s="450"/>
      <c r="H19" s="61"/>
      <c r="I19" s="61"/>
    </row>
    <row r="20" spans="1:9">
      <c r="A20" s="457"/>
      <c r="B20" s="457"/>
      <c r="C20" s="66" t="s">
        <v>26</v>
      </c>
      <c r="D20" s="67">
        <v>0.8</v>
      </c>
      <c r="E20" s="67">
        <v>645</v>
      </c>
      <c r="F20" s="69">
        <f>D20*E20</f>
        <v>516</v>
      </c>
      <c r="G20" s="66" t="s">
        <v>822</v>
      </c>
      <c r="H20" s="61"/>
      <c r="I20" s="61"/>
    </row>
    <row r="21" spans="1:9">
      <c r="A21" s="490" t="s">
        <v>847</v>
      </c>
      <c r="B21" s="454"/>
      <c r="C21" s="454"/>
      <c r="D21" s="454"/>
      <c r="E21" s="454"/>
      <c r="F21" s="450"/>
      <c r="G21" s="68" t="s">
        <v>820</v>
      </c>
      <c r="H21" s="61"/>
      <c r="I21" s="61"/>
    </row>
    <row r="22" spans="1:9">
      <c r="A22" s="491">
        <v>9999</v>
      </c>
      <c r="B22" s="491"/>
      <c r="C22" s="484" t="s">
        <v>849</v>
      </c>
      <c r="D22" s="454"/>
      <c r="E22" s="450"/>
      <c r="F22" s="485"/>
      <c r="G22" s="450"/>
      <c r="H22" s="61"/>
      <c r="I22" s="61"/>
    </row>
    <row r="23" spans="1:9">
      <c r="A23" s="457"/>
      <c r="B23" s="457"/>
      <c r="C23" s="66" t="s">
        <v>62</v>
      </c>
      <c r="D23" s="67">
        <v>10</v>
      </c>
      <c r="E23" s="67">
        <v>2.12</v>
      </c>
      <c r="F23" s="69">
        <f>D23*E23</f>
        <v>21.200000000000003</v>
      </c>
      <c r="G23" s="66" t="s">
        <v>851</v>
      </c>
      <c r="H23" s="61"/>
      <c r="I23" s="61"/>
    </row>
    <row r="24" spans="1:9">
      <c r="A24" s="491">
        <v>9999</v>
      </c>
      <c r="B24" s="491"/>
      <c r="C24" s="484" t="s">
        <v>852</v>
      </c>
      <c r="D24" s="454"/>
      <c r="E24" s="450"/>
      <c r="F24" s="485"/>
      <c r="G24" s="450"/>
      <c r="H24" s="61"/>
      <c r="I24" s="61"/>
    </row>
    <row r="25" spans="1:9">
      <c r="A25" s="457"/>
      <c r="B25" s="457"/>
      <c r="C25" s="66" t="s">
        <v>62</v>
      </c>
      <c r="D25" s="67">
        <v>5</v>
      </c>
      <c r="E25" s="67">
        <v>2.12</v>
      </c>
      <c r="F25" s="69">
        <f>D25*E25</f>
        <v>10.600000000000001</v>
      </c>
      <c r="G25" s="66" t="s">
        <v>854</v>
      </c>
      <c r="H25" s="61"/>
      <c r="I25" s="61"/>
    </row>
    <row r="26" spans="1:9">
      <c r="A26" s="492" t="s">
        <v>30</v>
      </c>
      <c r="B26" s="454"/>
      <c r="C26" s="450"/>
      <c r="D26" s="67">
        <v>1</v>
      </c>
      <c r="E26" s="70" t="s">
        <v>812</v>
      </c>
      <c r="F26" s="69">
        <f>F17+F20+F23+F25</f>
        <v>711.73000000000013</v>
      </c>
      <c r="G26" s="71"/>
      <c r="H26" s="61"/>
      <c r="I26" s="61"/>
    </row>
    <row r="27" spans="1:9">
      <c r="A27" s="492" t="s">
        <v>826</v>
      </c>
      <c r="B27" s="454"/>
      <c r="C27" s="450"/>
      <c r="D27" s="67">
        <v>1</v>
      </c>
      <c r="E27" s="70" t="s">
        <v>812</v>
      </c>
      <c r="F27" s="72">
        <f>F26/D26</f>
        <v>711.73000000000013</v>
      </c>
      <c r="G27" s="71"/>
      <c r="H27" s="61"/>
      <c r="I27" s="61"/>
    </row>
    <row r="28" spans="1:9">
      <c r="A28" s="493" t="s">
        <v>829</v>
      </c>
      <c r="B28" s="454"/>
      <c r="C28" s="454"/>
      <c r="D28" s="450"/>
      <c r="E28" s="69">
        <f>F27</f>
        <v>711.73000000000013</v>
      </c>
      <c r="F28" s="69">
        <f>E28*1%</f>
        <v>7.1173000000000011</v>
      </c>
      <c r="G28" s="71"/>
      <c r="H28" s="61"/>
      <c r="I28" s="61"/>
    </row>
    <row r="29" spans="1:9">
      <c r="A29" s="493" t="s">
        <v>30</v>
      </c>
      <c r="B29" s="454"/>
      <c r="C29" s="454"/>
      <c r="D29" s="450"/>
      <c r="E29" s="71"/>
      <c r="F29" s="72">
        <f>F27+F28</f>
        <v>718.84730000000013</v>
      </c>
      <c r="G29" s="71"/>
      <c r="H29" s="61"/>
      <c r="I29" s="61"/>
    </row>
    <row r="30" spans="1:9">
      <c r="A30" s="493" t="s">
        <v>836</v>
      </c>
      <c r="B30" s="454"/>
      <c r="C30" s="454"/>
      <c r="D30" s="450"/>
      <c r="E30" s="69">
        <f>F29</f>
        <v>718.84730000000013</v>
      </c>
      <c r="F30" s="69">
        <f>E30*15%</f>
        <v>107.82709500000001</v>
      </c>
      <c r="G30" s="71"/>
      <c r="H30" s="61"/>
      <c r="I30" s="61"/>
    </row>
    <row r="31" spans="1:9">
      <c r="A31" s="493" t="s">
        <v>30</v>
      </c>
      <c r="B31" s="454"/>
      <c r="C31" s="454"/>
      <c r="D31" s="450"/>
      <c r="E31" s="71"/>
      <c r="F31" s="72">
        <f>ROUND(F29+F30,2)</f>
        <v>826.67</v>
      </c>
      <c r="G31" s="71"/>
      <c r="H31" s="61"/>
      <c r="I31" s="61"/>
    </row>
    <row r="32" spans="1:9">
      <c r="A32" s="494" t="str">
        <f>CONCATENATE("Say ₹ ",F14," + ",F31," x Cost Index")</f>
        <v>Say ₹ 7611.31 + 826.67 x Cost Index</v>
      </c>
      <c r="B32" s="454"/>
      <c r="C32" s="454"/>
      <c r="D32" s="454"/>
      <c r="E32" s="454"/>
      <c r="F32" s="454"/>
      <c r="G32" s="450"/>
      <c r="H32" s="91">
        <f>F8*1.01*1.15</f>
        <v>7611.3094999999994</v>
      </c>
      <c r="I32" s="91">
        <f>(F17+F20+F23+F25)*1.01*1.15</f>
        <v>826.67439500000012</v>
      </c>
    </row>
  </sheetData>
  <mergeCells count="44">
    <mergeCell ref="A31:D31"/>
    <mergeCell ref="A32:G32"/>
    <mergeCell ref="A16:A17"/>
    <mergeCell ref="A19:A20"/>
    <mergeCell ref="B19:B20"/>
    <mergeCell ref="A22:A23"/>
    <mergeCell ref="B22:B23"/>
    <mergeCell ref="A24:A25"/>
    <mergeCell ref="B24:B25"/>
    <mergeCell ref="A26:C26"/>
    <mergeCell ref="A27:C27"/>
    <mergeCell ref="A28:D28"/>
    <mergeCell ref="A29:D29"/>
    <mergeCell ref="A30:D30"/>
    <mergeCell ref="F19:G19"/>
    <mergeCell ref="A21:F21"/>
    <mergeCell ref="C22:E22"/>
    <mergeCell ref="F22:G22"/>
    <mergeCell ref="C24:E24"/>
    <mergeCell ref="F24:G24"/>
    <mergeCell ref="A9:C9"/>
    <mergeCell ref="A10:C10"/>
    <mergeCell ref="A11:D11"/>
    <mergeCell ref="A12:D12"/>
    <mergeCell ref="C19:E19"/>
    <mergeCell ref="A13:D13"/>
    <mergeCell ref="A14:D14"/>
    <mergeCell ref="A15:F15"/>
    <mergeCell ref="B16:B17"/>
    <mergeCell ref="C16:E16"/>
    <mergeCell ref="F16:G16"/>
    <mergeCell ref="A18:F18"/>
    <mergeCell ref="C7:E7"/>
    <mergeCell ref="F7:G7"/>
    <mergeCell ref="B1:B2"/>
    <mergeCell ref="C1:E1"/>
    <mergeCell ref="F1:G1"/>
    <mergeCell ref="A3:G3"/>
    <mergeCell ref="F4:G4"/>
    <mergeCell ref="B5:G5"/>
    <mergeCell ref="A6:F6"/>
    <mergeCell ref="A1:A2"/>
    <mergeCell ref="A7:A8"/>
    <mergeCell ref="B7:B8"/>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20"/>
  <sheetViews>
    <sheetView workbookViewId="0"/>
  </sheetViews>
  <sheetFormatPr defaultColWidth="14.453125" defaultRowHeight="15" customHeight="1"/>
  <cols>
    <col min="1" max="1" width="9.08984375" customWidth="1"/>
    <col min="2" max="2" width="35.08984375" customWidth="1"/>
    <col min="3" max="5" width="9.08984375" customWidth="1"/>
    <col min="6" max="6" width="11.453125" customWidth="1"/>
  </cols>
  <sheetData>
    <row r="1" spans="1:6" ht="14.5">
      <c r="A1" s="453" t="s">
        <v>830</v>
      </c>
      <c r="B1" s="454"/>
      <c r="C1" s="454"/>
      <c r="D1" s="454"/>
      <c r="E1" s="454"/>
      <c r="F1" s="450"/>
    </row>
    <row r="2" spans="1:6">
      <c r="A2" s="73">
        <v>0</v>
      </c>
      <c r="B2" s="498" t="s">
        <v>833</v>
      </c>
      <c r="C2" s="499"/>
      <c r="D2" s="499"/>
      <c r="E2" s="499"/>
      <c r="F2" s="500"/>
    </row>
    <row r="3" spans="1:6" ht="30">
      <c r="A3" s="73" t="s">
        <v>3</v>
      </c>
      <c r="B3" s="73" t="s">
        <v>4</v>
      </c>
      <c r="C3" s="73" t="s">
        <v>5</v>
      </c>
      <c r="D3" s="73" t="s">
        <v>6</v>
      </c>
      <c r="E3" s="73" t="s">
        <v>7</v>
      </c>
      <c r="F3" s="73" t="s">
        <v>8</v>
      </c>
    </row>
    <row r="4" spans="1:6">
      <c r="A4" s="495"/>
      <c r="B4" s="75" t="s">
        <v>512</v>
      </c>
      <c r="C4" s="495"/>
      <c r="D4" s="495"/>
      <c r="E4" s="495"/>
      <c r="F4" s="495"/>
    </row>
    <row r="5" spans="1:6">
      <c r="A5" s="496"/>
      <c r="B5" s="75" t="s">
        <v>842</v>
      </c>
      <c r="C5" s="496"/>
      <c r="D5" s="496"/>
      <c r="E5" s="496"/>
      <c r="F5" s="496"/>
    </row>
    <row r="6" spans="1:6">
      <c r="A6" s="456" t="s">
        <v>19</v>
      </c>
      <c r="B6" s="76" t="s">
        <v>20</v>
      </c>
      <c r="C6" s="497" t="s">
        <v>21</v>
      </c>
      <c r="D6" s="497">
        <v>10.5</v>
      </c>
      <c r="E6" s="497">
        <f t="array" ref="E6">IFERROR(INDEX(LMRRates,MATCH(A6,LMRCodes,0), ), )</f>
        <v>281</v>
      </c>
      <c r="F6" s="501">
        <f>D6*E6</f>
        <v>2950.5</v>
      </c>
    </row>
    <row r="7" spans="1:6" ht="30">
      <c r="A7" s="457"/>
      <c r="B7" s="76" t="s">
        <v>846</v>
      </c>
      <c r="C7" s="496"/>
      <c r="D7" s="496"/>
      <c r="E7" s="496"/>
      <c r="F7" s="496"/>
    </row>
    <row r="8" spans="1:6">
      <c r="A8" s="80"/>
      <c r="B8" s="502" t="s">
        <v>40</v>
      </c>
      <c r="C8" s="499"/>
      <c r="D8" s="499"/>
      <c r="E8" s="500"/>
      <c r="F8" s="83">
        <f>SUM(F6:F7)</f>
        <v>2950.5</v>
      </c>
    </row>
    <row r="9" spans="1:6">
      <c r="A9" s="80"/>
      <c r="B9" s="502" t="s">
        <v>28</v>
      </c>
      <c r="C9" s="499"/>
      <c r="D9" s="499"/>
      <c r="E9" s="500"/>
      <c r="F9" s="83">
        <f>F8*0.01</f>
        <v>29.504999999999999</v>
      </c>
    </row>
    <row r="10" spans="1:6">
      <c r="A10" s="80"/>
      <c r="B10" s="502" t="s">
        <v>30</v>
      </c>
      <c r="C10" s="499"/>
      <c r="D10" s="499"/>
      <c r="E10" s="500"/>
      <c r="F10" s="83">
        <f>F8+F9</f>
        <v>2980.0050000000001</v>
      </c>
    </row>
    <row r="11" spans="1:6">
      <c r="A11" s="80"/>
      <c r="B11" s="502" t="s">
        <v>36</v>
      </c>
      <c r="C11" s="499"/>
      <c r="D11" s="499"/>
      <c r="E11" s="500"/>
      <c r="F11" s="83">
        <f>F10*0.15</f>
        <v>447.00074999999998</v>
      </c>
    </row>
    <row r="12" spans="1:6">
      <c r="A12" s="80"/>
      <c r="B12" s="502" t="s">
        <v>30</v>
      </c>
      <c r="C12" s="499"/>
      <c r="D12" s="499"/>
      <c r="E12" s="500"/>
      <c r="F12" s="83">
        <f>F10+F11</f>
        <v>3427.0057500000003</v>
      </c>
    </row>
    <row r="13" spans="1:6">
      <c r="A13" s="80"/>
      <c r="B13" s="502" t="s">
        <v>539</v>
      </c>
      <c r="C13" s="499"/>
      <c r="D13" s="499"/>
      <c r="E13" s="500"/>
      <c r="F13" s="83">
        <f>F12</f>
        <v>3427.0057500000003</v>
      </c>
    </row>
    <row r="14" spans="1:6">
      <c r="A14" s="80"/>
      <c r="B14" s="502" t="s">
        <v>54</v>
      </c>
      <c r="C14" s="499"/>
      <c r="D14" s="499"/>
      <c r="E14" s="500"/>
      <c r="F14" s="84">
        <f>ROUND((F13/10),2)</f>
        <v>342.7</v>
      </c>
    </row>
    <row r="15" spans="1:6">
      <c r="A15" s="80">
        <v>116</v>
      </c>
      <c r="B15" s="75" t="s">
        <v>527</v>
      </c>
      <c r="C15" s="80" t="s">
        <v>26</v>
      </c>
      <c r="D15" s="80">
        <v>0.33</v>
      </c>
      <c r="E15" s="85">
        <v>784</v>
      </c>
      <c r="F15" s="87">
        <f t="shared" ref="F15:F17" si="0">D15*E15</f>
        <v>258.72000000000003</v>
      </c>
    </row>
    <row r="16" spans="1:6">
      <c r="A16" s="80">
        <v>117</v>
      </c>
      <c r="B16" s="75" t="s">
        <v>858</v>
      </c>
      <c r="C16" s="80" t="s">
        <v>26</v>
      </c>
      <c r="D16" s="80">
        <v>0.4</v>
      </c>
      <c r="E16" s="85">
        <v>714</v>
      </c>
      <c r="F16" s="87">
        <f t="shared" si="0"/>
        <v>285.60000000000002</v>
      </c>
    </row>
    <row r="17" spans="1:6">
      <c r="A17" s="80">
        <v>114</v>
      </c>
      <c r="B17" s="75" t="s">
        <v>59</v>
      </c>
      <c r="C17" s="80" t="s">
        <v>26</v>
      </c>
      <c r="D17" s="80">
        <v>0.4</v>
      </c>
      <c r="E17" s="85">
        <v>645</v>
      </c>
      <c r="F17" s="87">
        <f t="shared" si="0"/>
        <v>258</v>
      </c>
    </row>
    <row r="18" spans="1:6">
      <c r="A18" s="90"/>
      <c r="B18" s="502" t="s">
        <v>27</v>
      </c>
      <c r="C18" s="499"/>
      <c r="D18" s="499"/>
      <c r="E18" s="500"/>
      <c r="F18" s="83">
        <f>SUM(F15:F17)</f>
        <v>802.32</v>
      </c>
    </row>
    <row r="19" spans="1:6">
      <c r="A19" s="90"/>
      <c r="B19" s="502" t="s">
        <v>28</v>
      </c>
      <c r="C19" s="499"/>
      <c r="D19" s="499"/>
      <c r="E19" s="500"/>
      <c r="F19" s="83">
        <f>F18*0.01</f>
        <v>8.023200000000001</v>
      </c>
    </row>
    <row r="20" spans="1:6">
      <c r="A20" s="90"/>
      <c r="B20" s="502" t="s">
        <v>30</v>
      </c>
      <c r="C20" s="499"/>
      <c r="D20" s="499"/>
      <c r="E20" s="500"/>
      <c r="F20" s="83">
        <f>SUM(F18:F19)</f>
        <v>810.34320000000002</v>
      </c>
    </row>
    <row r="21" spans="1:6">
      <c r="A21" s="90"/>
      <c r="B21" s="502" t="s">
        <v>36</v>
      </c>
      <c r="C21" s="499"/>
      <c r="D21" s="499"/>
      <c r="E21" s="500"/>
      <c r="F21" s="83">
        <f>F20*0.15</f>
        <v>121.55148</v>
      </c>
    </row>
    <row r="22" spans="1:6">
      <c r="A22" s="90"/>
      <c r="B22" s="502" t="s">
        <v>30</v>
      </c>
      <c r="C22" s="499"/>
      <c r="D22" s="499"/>
      <c r="E22" s="500"/>
      <c r="F22" s="83">
        <f>SUM(F20:F21)</f>
        <v>931.89467999999999</v>
      </c>
    </row>
    <row r="23" spans="1:6">
      <c r="A23" s="90"/>
      <c r="B23" s="502" t="s">
        <v>539</v>
      </c>
      <c r="C23" s="499"/>
      <c r="D23" s="499"/>
      <c r="E23" s="500"/>
      <c r="F23" s="83">
        <f>F22</f>
        <v>931.89467999999999</v>
      </c>
    </row>
    <row r="24" spans="1:6">
      <c r="A24" s="90"/>
      <c r="B24" s="502" t="s">
        <v>54</v>
      </c>
      <c r="C24" s="499"/>
      <c r="D24" s="499"/>
      <c r="E24" s="500"/>
      <c r="F24" s="84">
        <f>ROUND((F23/10),2)</f>
        <v>93.19</v>
      </c>
    </row>
    <row r="25" spans="1:6" ht="14.5">
      <c r="A25" s="503" t="str">
        <f>CONCATENATE("Say ₹ ",F14," + ",F24," x Cost Index")</f>
        <v>Say ₹ 342.7 + 93.19 x Cost Index</v>
      </c>
      <c r="B25" s="499"/>
      <c r="C25" s="499"/>
      <c r="D25" s="499"/>
      <c r="E25" s="499"/>
      <c r="F25" s="500"/>
    </row>
    <row r="26" spans="1:6">
      <c r="A26" s="98">
        <v>0</v>
      </c>
      <c r="B26" s="504" t="s">
        <v>872</v>
      </c>
      <c r="C26" s="499"/>
      <c r="D26" s="499"/>
      <c r="E26" s="499"/>
      <c r="F26" s="500"/>
    </row>
    <row r="27" spans="1:6" ht="30">
      <c r="A27" s="98" t="s">
        <v>3</v>
      </c>
      <c r="B27" s="98" t="s">
        <v>4</v>
      </c>
      <c r="C27" s="98" t="s">
        <v>5</v>
      </c>
      <c r="D27" s="98" t="s">
        <v>6</v>
      </c>
      <c r="E27" s="98" t="s">
        <v>7</v>
      </c>
      <c r="F27" s="98" t="s">
        <v>8</v>
      </c>
    </row>
    <row r="28" spans="1:6">
      <c r="A28" s="505"/>
      <c r="B28" s="106" t="s">
        <v>512</v>
      </c>
      <c r="C28" s="505"/>
      <c r="D28" s="505"/>
      <c r="E28" s="505"/>
      <c r="F28" s="505"/>
    </row>
    <row r="29" spans="1:6">
      <c r="A29" s="496"/>
      <c r="B29" s="106" t="s">
        <v>842</v>
      </c>
      <c r="C29" s="496"/>
      <c r="D29" s="496"/>
      <c r="E29" s="496"/>
      <c r="F29" s="496"/>
    </row>
    <row r="30" spans="1:6">
      <c r="A30" s="506" t="s">
        <v>173</v>
      </c>
      <c r="B30" s="111" t="s">
        <v>174</v>
      </c>
      <c r="C30" s="507" t="s">
        <v>21</v>
      </c>
      <c r="D30" s="507">
        <v>10.5</v>
      </c>
      <c r="E30" s="507">
        <f t="array" ref="E30">IFERROR(INDEX(LMRRates,MATCH(A30,LMRCodes,0), ), )</f>
        <v>387</v>
      </c>
      <c r="F30" s="508">
        <f>D30*E30</f>
        <v>4063.5</v>
      </c>
    </row>
    <row r="31" spans="1:6" ht="30">
      <c r="A31" s="457"/>
      <c r="B31" s="111" t="s">
        <v>846</v>
      </c>
      <c r="C31" s="496"/>
      <c r="D31" s="496"/>
      <c r="E31" s="496"/>
      <c r="F31" s="496"/>
    </row>
    <row r="32" spans="1:6">
      <c r="A32" s="118"/>
      <c r="B32" s="509" t="s">
        <v>40</v>
      </c>
      <c r="C32" s="499"/>
      <c r="D32" s="499"/>
      <c r="E32" s="500"/>
      <c r="F32" s="121">
        <f>SUM(F30:F31)</f>
        <v>4063.5</v>
      </c>
    </row>
    <row r="33" spans="1:6">
      <c r="A33" s="118"/>
      <c r="B33" s="509" t="s">
        <v>28</v>
      </c>
      <c r="C33" s="499"/>
      <c r="D33" s="499"/>
      <c r="E33" s="500"/>
      <c r="F33" s="121">
        <f>F32*0.01</f>
        <v>40.634999999999998</v>
      </c>
    </row>
    <row r="34" spans="1:6">
      <c r="A34" s="118"/>
      <c r="B34" s="509" t="s">
        <v>30</v>
      </c>
      <c r="C34" s="499"/>
      <c r="D34" s="499"/>
      <c r="E34" s="500"/>
      <c r="F34" s="121">
        <f>F32+F33</f>
        <v>4104.1350000000002</v>
      </c>
    </row>
    <row r="35" spans="1:6">
      <c r="A35" s="118"/>
      <c r="B35" s="509" t="s">
        <v>36</v>
      </c>
      <c r="C35" s="499"/>
      <c r="D35" s="499"/>
      <c r="E35" s="500"/>
      <c r="F35" s="121">
        <f>F34*0.15</f>
        <v>615.62025000000006</v>
      </c>
    </row>
    <row r="36" spans="1:6">
      <c r="A36" s="118"/>
      <c r="B36" s="509" t="s">
        <v>30</v>
      </c>
      <c r="C36" s="499"/>
      <c r="D36" s="499"/>
      <c r="E36" s="500"/>
      <c r="F36" s="121">
        <f>F34+F35</f>
        <v>4719.7552500000002</v>
      </c>
    </row>
    <row r="37" spans="1:6">
      <c r="A37" s="118"/>
      <c r="B37" s="509" t="s">
        <v>539</v>
      </c>
      <c r="C37" s="499"/>
      <c r="D37" s="499"/>
      <c r="E37" s="500"/>
      <c r="F37" s="121">
        <f>F36</f>
        <v>4719.7552500000002</v>
      </c>
    </row>
    <row r="38" spans="1:6">
      <c r="A38" s="118"/>
      <c r="B38" s="509" t="s">
        <v>54</v>
      </c>
      <c r="C38" s="499"/>
      <c r="D38" s="499"/>
      <c r="E38" s="500"/>
      <c r="F38" s="127">
        <f>ROUND((F37/10),2)</f>
        <v>471.98</v>
      </c>
    </row>
    <row r="39" spans="1:6">
      <c r="A39" s="118">
        <v>116</v>
      </c>
      <c r="B39" s="106" t="s">
        <v>527</v>
      </c>
      <c r="C39" s="118" t="s">
        <v>26</v>
      </c>
      <c r="D39" s="118">
        <v>0.33</v>
      </c>
      <c r="E39" s="129">
        <v>784</v>
      </c>
      <c r="F39" s="132">
        <f t="shared" ref="F39:F41" si="1">D39*E39</f>
        <v>258.72000000000003</v>
      </c>
    </row>
    <row r="40" spans="1:6">
      <c r="A40" s="118">
        <v>117</v>
      </c>
      <c r="B40" s="106" t="s">
        <v>858</v>
      </c>
      <c r="C40" s="118" t="s">
        <v>26</v>
      </c>
      <c r="D40" s="118">
        <v>0.4</v>
      </c>
      <c r="E40" s="129">
        <v>714</v>
      </c>
      <c r="F40" s="132">
        <f t="shared" si="1"/>
        <v>285.60000000000002</v>
      </c>
    </row>
    <row r="41" spans="1:6">
      <c r="A41" s="118">
        <v>114</v>
      </c>
      <c r="B41" s="106" t="s">
        <v>59</v>
      </c>
      <c r="C41" s="118" t="s">
        <v>26</v>
      </c>
      <c r="D41" s="118">
        <v>0.4</v>
      </c>
      <c r="E41" s="129">
        <v>645</v>
      </c>
      <c r="F41" s="132">
        <f t="shared" si="1"/>
        <v>258</v>
      </c>
    </row>
    <row r="42" spans="1:6">
      <c r="A42" s="138"/>
      <c r="B42" s="509" t="s">
        <v>27</v>
      </c>
      <c r="C42" s="499"/>
      <c r="D42" s="499"/>
      <c r="E42" s="500"/>
      <c r="F42" s="121">
        <f>SUM(F39:F41)</f>
        <v>802.32</v>
      </c>
    </row>
    <row r="43" spans="1:6">
      <c r="A43" s="138"/>
      <c r="B43" s="509" t="s">
        <v>28</v>
      </c>
      <c r="C43" s="499"/>
      <c r="D43" s="499"/>
      <c r="E43" s="500"/>
      <c r="F43" s="121">
        <f>F42*0.01</f>
        <v>8.023200000000001</v>
      </c>
    </row>
    <row r="44" spans="1:6">
      <c r="A44" s="138"/>
      <c r="B44" s="509" t="s">
        <v>30</v>
      </c>
      <c r="C44" s="499"/>
      <c r="D44" s="499"/>
      <c r="E44" s="500"/>
      <c r="F44" s="121">
        <f>SUM(F42:F43)</f>
        <v>810.34320000000002</v>
      </c>
    </row>
    <row r="45" spans="1:6">
      <c r="A45" s="138"/>
      <c r="B45" s="509" t="s">
        <v>36</v>
      </c>
      <c r="C45" s="499"/>
      <c r="D45" s="499"/>
      <c r="E45" s="500"/>
      <c r="F45" s="121">
        <f>F44*0.15</f>
        <v>121.55148</v>
      </c>
    </row>
    <row r="46" spans="1:6">
      <c r="A46" s="138"/>
      <c r="B46" s="509" t="s">
        <v>30</v>
      </c>
      <c r="C46" s="499"/>
      <c r="D46" s="499"/>
      <c r="E46" s="500"/>
      <c r="F46" s="121">
        <f>SUM(F44:F45)</f>
        <v>931.89467999999999</v>
      </c>
    </row>
    <row r="47" spans="1:6">
      <c r="A47" s="138"/>
      <c r="B47" s="509" t="s">
        <v>539</v>
      </c>
      <c r="C47" s="499"/>
      <c r="D47" s="499"/>
      <c r="E47" s="500"/>
      <c r="F47" s="121">
        <f>F46</f>
        <v>931.89467999999999</v>
      </c>
    </row>
    <row r="48" spans="1:6">
      <c r="A48" s="138"/>
      <c r="B48" s="509" t="s">
        <v>54</v>
      </c>
      <c r="C48" s="499"/>
      <c r="D48" s="499"/>
      <c r="E48" s="500"/>
      <c r="F48" s="127">
        <f>ROUND((F47/10),2)</f>
        <v>93.19</v>
      </c>
    </row>
    <row r="49" spans="1:6" ht="14.5">
      <c r="A49" s="510" t="str">
        <f>CONCATENATE("Say ₹ ",F38," + ",F48," x Cost Index")</f>
        <v>Say ₹ 471.98 + 93.19 x Cost Index</v>
      </c>
      <c r="B49" s="499"/>
      <c r="C49" s="499"/>
      <c r="D49" s="499"/>
      <c r="E49" s="499"/>
      <c r="F49" s="500"/>
    </row>
    <row r="50" spans="1:6">
      <c r="A50" s="73">
        <v>0</v>
      </c>
      <c r="B50" s="498" t="s">
        <v>911</v>
      </c>
      <c r="C50" s="499"/>
      <c r="D50" s="499"/>
      <c r="E50" s="499"/>
      <c r="F50" s="500"/>
    </row>
    <row r="51" spans="1:6" ht="30">
      <c r="A51" s="73" t="s">
        <v>3</v>
      </c>
      <c r="B51" s="73" t="s">
        <v>4</v>
      </c>
      <c r="C51" s="73" t="s">
        <v>5</v>
      </c>
      <c r="D51" s="73" t="s">
        <v>6</v>
      </c>
      <c r="E51" s="73" t="s">
        <v>7</v>
      </c>
      <c r="F51" s="73" t="s">
        <v>8</v>
      </c>
    </row>
    <row r="52" spans="1:6">
      <c r="A52" s="495"/>
      <c r="B52" s="75" t="s">
        <v>512</v>
      </c>
      <c r="C52" s="495"/>
      <c r="D52" s="495"/>
      <c r="E52" s="495"/>
      <c r="F52" s="495"/>
    </row>
    <row r="53" spans="1:6">
      <c r="A53" s="496"/>
      <c r="B53" s="75" t="s">
        <v>842</v>
      </c>
      <c r="C53" s="496"/>
      <c r="D53" s="496"/>
      <c r="E53" s="496"/>
      <c r="F53" s="496"/>
    </row>
    <row r="54" spans="1:6" ht="20.25" customHeight="1">
      <c r="A54" s="497">
        <v>0</v>
      </c>
      <c r="B54" s="76" t="s">
        <v>915</v>
      </c>
      <c r="C54" s="497" t="s">
        <v>21</v>
      </c>
      <c r="D54" s="497">
        <v>10.5</v>
      </c>
      <c r="E54" s="497">
        <v>340</v>
      </c>
      <c r="F54" s="501">
        <f>D54*E54</f>
        <v>3570</v>
      </c>
    </row>
    <row r="55" spans="1:6" ht="30">
      <c r="A55" s="496"/>
      <c r="B55" s="76" t="s">
        <v>846</v>
      </c>
      <c r="C55" s="496"/>
      <c r="D55" s="496"/>
      <c r="E55" s="496"/>
      <c r="F55" s="496"/>
    </row>
    <row r="56" spans="1:6">
      <c r="A56" s="80"/>
      <c r="B56" s="502" t="s">
        <v>40</v>
      </c>
      <c r="C56" s="499"/>
      <c r="D56" s="499"/>
      <c r="E56" s="500"/>
      <c r="F56" s="83">
        <f>SUM(F54:F55)</f>
        <v>3570</v>
      </c>
    </row>
    <row r="57" spans="1:6">
      <c r="A57" s="80"/>
      <c r="B57" s="502" t="s">
        <v>28</v>
      </c>
      <c r="C57" s="499"/>
      <c r="D57" s="499"/>
      <c r="E57" s="500"/>
      <c r="F57" s="83">
        <f>F56*0.01</f>
        <v>35.700000000000003</v>
      </c>
    </row>
    <row r="58" spans="1:6">
      <c r="A58" s="80"/>
      <c r="B58" s="502" t="s">
        <v>30</v>
      </c>
      <c r="C58" s="499"/>
      <c r="D58" s="499"/>
      <c r="E58" s="500"/>
      <c r="F58" s="83">
        <f>F56+F57</f>
        <v>3605.7</v>
      </c>
    </row>
    <row r="59" spans="1:6">
      <c r="A59" s="80"/>
      <c r="B59" s="502" t="s">
        <v>36</v>
      </c>
      <c r="C59" s="499"/>
      <c r="D59" s="499"/>
      <c r="E59" s="500"/>
      <c r="F59" s="83">
        <f>F58*0.15</f>
        <v>540.8549999999999</v>
      </c>
    </row>
    <row r="60" spans="1:6">
      <c r="A60" s="80"/>
      <c r="B60" s="502" t="s">
        <v>30</v>
      </c>
      <c r="C60" s="499"/>
      <c r="D60" s="499"/>
      <c r="E60" s="500"/>
      <c r="F60" s="83">
        <f>F58+F59</f>
        <v>4146.5549999999994</v>
      </c>
    </row>
    <row r="61" spans="1:6">
      <c r="A61" s="80"/>
      <c r="B61" s="502" t="s">
        <v>539</v>
      </c>
      <c r="C61" s="499"/>
      <c r="D61" s="499"/>
      <c r="E61" s="500"/>
      <c r="F61" s="83">
        <f>F60</f>
        <v>4146.5549999999994</v>
      </c>
    </row>
    <row r="62" spans="1:6">
      <c r="A62" s="80"/>
      <c r="B62" s="502" t="s">
        <v>54</v>
      </c>
      <c r="C62" s="499"/>
      <c r="D62" s="499"/>
      <c r="E62" s="500"/>
      <c r="F62" s="84">
        <f>ROUND((F61/10),2)</f>
        <v>414.66</v>
      </c>
    </row>
    <row r="63" spans="1:6">
      <c r="A63" s="80">
        <v>116</v>
      </c>
      <c r="B63" s="75" t="s">
        <v>527</v>
      </c>
      <c r="C63" s="80" t="s">
        <v>26</v>
      </c>
      <c r="D63" s="80">
        <v>0.33</v>
      </c>
      <c r="E63" s="85">
        <v>784</v>
      </c>
      <c r="F63" s="87">
        <f t="shared" ref="F63:F65" si="2">D63*E63</f>
        <v>258.72000000000003</v>
      </c>
    </row>
    <row r="64" spans="1:6">
      <c r="A64" s="80">
        <v>117</v>
      </c>
      <c r="B64" s="75" t="s">
        <v>858</v>
      </c>
      <c r="C64" s="80" t="s">
        <v>26</v>
      </c>
      <c r="D64" s="80">
        <v>0.4</v>
      </c>
      <c r="E64" s="85">
        <v>714</v>
      </c>
      <c r="F64" s="87">
        <f t="shared" si="2"/>
        <v>285.60000000000002</v>
      </c>
    </row>
    <row r="65" spans="1:6">
      <c r="A65" s="80">
        <v>114</v>
      </c>
      <c r="B65" s="75" t="s">
        <v>59</v>
      </c>
      <c r="C65" s="80" t="s">
        <v>26</v>
      </c>
      <c r="D65" s="80">
        <v>0.4</v>
      </c>
      <c r="E65" s="85">
        <v>645</v>
      </c>
      <c r="F65" s="87">
        <f t="shared" si="2"/>
        <v>258</v>
      </c>
    </row>
    <row r="66" spans="1:6">
      <c r="A66" s="90"/>
      <c r="B66" s="502" t="s">
        <v>27</v>
      </c>
      <c r="C66" s="499"/>
      <c r="D66" s="499"/>
      <c r="E66" s="500"/>
      <c r="F66" s="83">
        <f>SUM(F63:F65)</f>
        <v>802.32</v>
      </c>
    </row>
    <row r="67" spans="1:6">
      <c r="A67" s="90"/>
      <c r="B67" s="502" t="s">
        <v>28</v>
      </c>
      <c r="C67" s="499"/>
      <c r="D67" s="499"/>
      <c r="E67" s="500"/>
      <c r="F67" s="83">
        <f>F66*0.01</f>
        <v>8.023200000000001</v>
      </c>
    </row>
    <row r="68" spans="1:6">
      <c r="A68" s="90"/>
      <c r="B68" s="502" t="s">
        <v>30</v>
      </c>
      <c r="C68" s="499"/>
      <c r="D68" s="499"/>
      <c r="E68" s="500"/>
      <c r="F68" s="83">
        <f>SUM(F66:F67)</f>
        <v>810.34320000000002</v>
      </c>
    </row>
    <row r="69" spans="1:6">
      <c r="A69" s="90"/>
      <c r="B69" s="502" t="s">
        <v>36</v>
      </c>
      <c r="C69" s="499"/>
      <c r="D69" s="499"/>
      <c r="E69" s="500"/>
      <c r="F69" s="83">
        <f>F68*0.15</f>
        <v>121.55148</v>
      </c>
    </row>
    <row r="70" spans="1:6">
      <c r="A70" s="90"/>
      <c r="B70" s="502" t="s">
        <v>30</v>
      </c>
      <c r="C70" s="499"/>
      <c r="D70" s="499"/>
      <c r="E70" s="500"/>
      <c r="F70" s="83">
        <f>SUM(F68:F69)</f>
        <v>931.89467999999999</v>
      </c>
    </row>
    <row r="71" spans="1:6">
      <c r="A71" s="90"/>
      <c r="B71" s="502" t="s">
        <v>539</v>
      </c>
      <c r="C71" s="499"/>
      <c r="D71" s="499"/>
      <c r="E71" s="500"/>
      <c r="F71" s="83">
        <f>F70</f>
        <v>931.89467999999999</v>
      </c>
    </row>
    <row r="72" spans="1:6">
      <c r="A72" s="90"/>
      <c r="B72" s="502" t="s">
        <v>54</v>
      </c>
      <c r="C72" s="499"/>
      <c r="D72" s="499"/>
      <c r="E72" s="500"/>
      <c r="F72" s="84">
        <f>ROUND((F71/10),2)</f>
        <v>93.19</v>
      </c>
    </row>
    <row r="73" spans="1:6" ht="14.5">
      <c r="A73" s="503" t="str">
        <f>CONCATENATE("Say ₹ ",F62," + ",F72," x Cost Index")</f>
        <v>Say ₹ 414.66 + 93.19 x Cost Index</v>
      </c>
      <c r="B73" s="499"/>
      <c r="C73" s="499"/>
      <c r="D73" s="499"/>
      <c r="E73" s="499"/>
      <c r="F73" s="500"/>
    </row>
    <row r="74" spans="1:6">
      <c r="A74" s="98">
        <v>0</v>
      </c>
      <c r="B74" s="504" t="s">
        <v>950</v>
      </c>
      <c r="C74" s="499"/>
      <c r="D74" s="499"/>
      <c r="E74" s="499"/>
      <c r="F74" s="500"/>
    </row>
    <row r="75" spans="1:6" ht="30">
      <c r="A75" s="98" t="s">
        <v>3</v>
      </c>
      <c r="B75" s="98" t="s">
        <v>4</v>
      </c>
      <c r="C75" s="98" t="s">
        <v>5</v>
      </c>
      <c r="D75" s="98" t="s">
        <v>6</v>
      </c>
      <c r="E75" s="98" t="s">
        <v>7</v>
      </c>
      <c r="F75" s="98" t="s">
        <v>8</v>
      </c>
    </row>
    <row r="76" spans="1:6">
      <c r="A76" s="505"/>
      <c r="B76" s="106" t="s">
        <v>512</v>
      </c>
      <c r="C76" s="505"/>
      <c r="D76" s="505"/>
      <c r="E76" s="505"/>
      <c r="F76" s="505"/>
    </row>
    <row r="77" spans="1:6">
      <c r="A77" s="496"/>
      <c r="B77" s="106" t="s">
        <v>842</v>
      </c>
      <c r="C77" s="496"/>
      <c r="D77" s="496"/>
      <c r="E77" s="496"/>
      <c r="F77" s="496"/>
    </row>
    <row r="78" spans="1:6">
      <c r="A78" s="507">
        <v>0</v>
      </c>
      <c r="B78" s="111" t="s">
        <v>955</v>
      </c>
      <c r="C78" s="507" t="s">
        <v>21</v>
      </c>
      <c r="D78" s="507">
        <v>11.5</v>
      </c>
      <c r="E78" s="507">
        <v>350</v>
      </c>
      <c r="F78" s="508">
        <f>D78*E78</f>
        <v>4025</v>
      </c>
    </row>
    <row r="79" spans="1:6" ht="30">
      <c r="A79" s="496"/>
      <c r="B79" s="106" t="s">
        <v>958</v>
      </c>
      <c r="C79" s="496"/>
      <c r="D79" s="496"/>
      <c r="E79" s="496"/>
      <c r="F79" s="496"/>
    </row>
    <row r="80" spans="1:6">
      <c r="A80" s="118"/>
      <c r="B80" s="509" t="s">
        <v>40</v>
      </c>
      <c r="C80" s="499"/>
      <c r="D80" s="499"/>
      <c r="E80" s="500"/>
      <c r="F80" s="121">
        <f>SUM(F78:F79)</f>
        <v>4025</v>
      </c>
    </row>
    <row r="81" spans="1:6">
      <c r="A81" s="118"/>
      <c r="B81" s="509" t="s">
        <v>28</v>
      </c>
      <c r="C81" s="499"/>
      <c r="D81" s="499"/>
      <c r="E81" s="500"/>
      <c r="F81" s="121">
        <f>F80*0.01</f>
        <v>40.25</v>
      </c>
    </row>
    <row r="82" spans="1:6">
      <c r="A82" s="118"/>
      <c r="B82" s="509" t="s">
        <v>30</v>
      </c>
      <c r="C82" s="499"/>
      <c r="D82" s="499"/>
      <c r="E82" s="500"/>
      <c r="F82" s="121">
        <f>F80+F81</f>
        <v>4065.25</v>
      </c>
    </row>
    <row r="83" spans="1:6">
      <c r="A83" s="118"/>
      <c r="B83" s="509" t="s">
        <v>36</v>
      </c>
      <c r="C83" s="499"/>
      <c r="D83" s="499"/>
      <c r="E83" s="500"/>
      <c r="F83" s="121">
        <f>F82*0.15</f>
        <v>609.78750000000002</v>
      </c>
    </row>
    <row r="84" spans="1:6">
      <c r="A84" s="118"/>
      <c r="B84" s="509" t="s">
        <v>30</v>
      </c>
      <c r="C84" s="499"/>
      <c r="D84" s="499"/>
      <c r="E84" s="500"/>
      <c r="F84" s="121">
        <f>F82+F83</f>
        <v>4675.0375000000004</v>
      </c>
    </row>
    <row r="85" spans="1:6">
      <c r="A85" s="118"/>
      <c r="B85" s="509" t="s">
        <v>539</v>
      </c>
      <c r="C85" s="499"/>
      <c r="D85" s="499"/>
      <c r="E85" s="500"/>
      <c r="F85" s="121">
        <f>F84</f>
        <v>4675.0375000000004</v>
      </c>
    </row>
    <row r="86" spans="1:6">
      <c r="A86" s="118"/>
      <c r="B86" s="509" t="s">
        <v>54</v>
      </c>
      <c r="C86" s="499"/>
      <c r="D86" s="499"/>
      <c r="E86" s="500"/>
      <c r="F86" s="127">
        <f>ROUND((F85/10),2)</f>
        <v>467.5</v>
      </c>
    </row>
    <row r="87" spans="1:6">
      <c r="A87" s="118">
        <v>116</v>
      </c>
      <c r="B87" s="106" t="s">
        <v>527</v>
      </c>
      <c r="C87" s="118" t="s">
        <v>26</v>
      </c>
      <c r="D87" s="118">
        <v>0.33</v>
      </c>
      <c r="E87" s="129">
        <v>784</v>
      </c>
      <c r="F87" s="132">
        <f t="shared" ref="F87:F89" si="3">D87*E87</f>
        <v>258.72000000000003</v>
      </c>
    </row>
    <row r="88" spans="1:6">
      <c r="A88" s="118">
        <v>117</v>
      </c>
      <c r="B88" s="106" t="s">
        <v>858</v>
      </c>
      <c r="C88" s="118" t="s">
        <v>26</v>
      </c>
      <c r="D88" s="118">
        <v>0.4</v>
      </c>
      <c r="E88" s="129">
        <v>714</v>
      </c>
      <c r="F88" s="132">
        <f t="shared" si="3"/>
        <v>285.60000000000002</v>
      </c>
    </row>
    <row r="89" spans="1:6">
      <c r="A89" s="118">
        <v>114</v>
      </c>
      <c r="B89" s="106" t="s">
        <v>59</v>
      </c>
      <c r="C89" s="118" t="s">
        <v>26</v>
      </c>
      <c r="D89" s="118">
        <v>0.4</v>
      </c>
      <c r="E89" s="129">
        <v>645</v>
      </c>
      <c r="F89" s="132">
        <f t="shared" si="3"/>
        <v>258</v>
      </c>
    </row>
    <row r="90" spans="1:6">
      <c r="A90" s="138"/>
      <c r="B90" s="509" t="s">
        <v>27</v>
      </c>
      <c r="C90" s="499"/>
      <c r="D90" s="499"/>
      <c r="E90" s="500"/>
      <c r="F90" s="121">
        <f>SUM(F87:F89)</f>
        <v>802.32</v>
      </c>
    </row>
    <row r="91" spans="1:6">
      <c r="A91" s="138"/>
      <c r="B91" s="509" t="s">
        <v>28</v>
      </c>
      <c r="C91" s="499"/>
      <c r="D91" s="499"/>
      <c r="E91" s="500"/>
      <c r="F91" s="121">
        <f>F90*0.01</f>
        <v>8.023200000000001</v>
      </c>
    </row>
    <row r="92" spans="1:6">
      <c r="A92" s="138"/>
      <c r="B92" s="509" t="s">
        <v>30</v>
      </c>
      <c r="C92" s="499"/>
      <c r="D92" s="499"/>
      <c r="E92" s="500"/>
      <c r="F92" s="121">
        <f>SUM(F90:F91)</f>
        <v>810.34320000000002</v>
      </c>
    </row>
    <row r="93" spans="1:6">
      <c r="A93" s="138"/>
      <c r="B93" s="509" t="s">
        <v>36</v>
      </c>
      <c r="C93" s="499"/>
      <c r="D93" s="499"/>
      <c r="E93" s="500"/>
      <c r="F93" s="121">
        <f>F92*0.15</f>
        <v>121.55148</v>
      </c>
    </row>
    <row r="94" spans="1:6">
      <c r="A94" s="138"/>
      <c r="B94" s="509" t="s">
        <v>30</v>
      </c>
      <c r="C94" s="499"/>
      <c r="D94" s="499"/>
      <c r="E94" s="500"/>
      <c r="F94" s="121">
        <f>SUM(F92:F93)</f>
        <v>931.89467999999999</v>
      </c>
    </row>
    <row r="95" spans="1:6">
      <c r="A95" s="138"/>
      <c r="B95" s="509" t="s">
        <v>539</v>
      </c>
      <c r="C95" s="499"/>
      <c r="D95" s="499"/>
      <c r="E95" s="500"/>
      <c r="F95" s="121">
        <f>F94</f>
        <v>931.89467999999999</v>
      </c>
    </row>
    <row r="96" spans="1:6">
      <c r="A96" s="138"/>
      <c r="B96" s="509" t="s">
        <v>54</v>
      </c>
      <c r="C96" s="499"/>
      <c r="D96" s="499"/>
      <c r="E96" s="500"/>
      <c r="F96" s="127">
        <f>ROUND((F95/10),2)</f>
        <v>93.19</v>
      </c>
    </row>
    <row r="97" spans="1:6" ht="14.5">
      <c r="A97" s="510" t="str">
        <f>CONCATENATE("Say ₹ ",F86," + ",F96," x Cost Index")</f>
        <v>Say ₹ 467.5 + 93.19 x Cost Index</v>
      </c>
      <c r="B97" s="499"/>
      <c r="C97" s="499"/>
      <c r="D97" s="499"/>
      <c r="E97" s="499"/>
      <c r="F97" s="500"/>
    </row>
    <row r="98" spans="1:6">
      <c r="A98" s="73">
        <v>0</v>
      </c>
      <c r="B98" s="498" t="s">
        <v>985</v>
      </c>
      <c r="C98" s="499"/>
      <c r="D98" s="499"/>
      <c r="E98" s="499"/>
      <c r="F98" s="500"/>
    </row>
    <row r="99" spans="1:6" ht="30">
      <c r="A99" s="73" t="s">
        <v>3</v>
      </c>
      <c r="B99" s="73" t="s">
        <v>4</v>
      </c>
      <c r="C99" s="73" t="s">
        <v>5</v>
      </c>
      <c r="D99" s="73" t="s">
        <v>6</v>
      </c>
      <c r="E99" s="73" t="s">
        <v>7</v>
      </c>
      <c r="F99" s="73" t="s">
        <v>8</v>
      </c>
    </row>
    <row r="100" spans="1:6">
      <c r="A100" s="495"/>
      <c r="B100" s="75" t="s">
        <v>990</v>
      </c>
      <c r="C100" s="495"/>
      <c r="D100" s="495"/>
      <c r="E100" s="495"/>
      <c r="F100" s="495"/>
    </row>
    <row r="101" spans="1:6">
      <c r="A101" s="496"/>
      <c r="B101" s="75" t="s">
        <v>842</v>
      </c>
      <c r="C101" s="496"/>
      <c r="D101" s="496"/>
      <c r="E101" s="496"/>
      <c r="F101" s="496"/>
    </row>
    <row r="102" spans="1:6" ht="30">
      <c r="A102" s="85" t="s">
        <v>994</v>
      </c>
      <c r="B102" s="76" t="s">
        <v>995</v>
      </c>
      <c r="C102" s="80" t="s">
        <v>996</v>
      </c>
      <c r="D102" s="80">
        <v>10</v>
      </c>
      <c r="E102" s="85">
        <v>35</v>
      </c>
      <c r="F102" s="87">
        <f>D102*E102</f>
        <v>350</v>
      </c>
    </row>
    <row r="103" spans="1:6">
      <c r="A103" s="80"/>
      <c r="B103" s="502" t="s">
        <v>40</v>
      </c>
      <c r="C103" s="499"/>
      <c r="D103" s="499"/>
      <c r="E103" s="500"/>
      <c r="F103" s="83">
        <f>SUM(F102)</f>
        <v>350</v>
      </c>
    </row>
    <row r="104" spans="1:6">
      <c r="A104" s="80"/>
      <c r="B104" s="502" t="s">
        <v>28</v>
      </c>
      <c r="C104" s="499"/>
      <c r="D104" s="499"/>
      <c r="E104" s="500"/>
      <c r="F104" s="83">
        <f>F103*0.01</f>
        <v>3.5</v>
      </c>
    </row>
    <row r="105" spans="1:6">
      <c r="A105" s="80"/>
      <c r="B105" s="502" t="s">
        <v>30</v>
      </c>
      <c r="C105" s="499"/>
      <c r="D105" s="499"/>
      <c r="E105" s="500"/>
      <c r="F105" s="83">
        <f>F103+F104</f>
        <v>353.5</v>
      </c>
    </row>
    <row r="106" spans="1:6">
      <c r="A106" s="80"/>
      <c r="B106" s="502" t="s">
        <v>36</v>
      </c>
      <c r="C106" s="499"/>
      <c r="D106" s="499"/>
      <c r="E106" s="500"/>
      <c r="F106" s="83">
        <f>F105*0.15</f>
        <v>53.024999999999999</v>
      </c>
    </row>
    <row r="107" spans="1:6">
      <c r="A107" s="80"/>
      <c r="B107" s="502" t="s">
        <v>30</v>
      </c>
      <c r="C107" s="499"/>
      <c r="D107" s="499"/>
      <c r="E107" s="500"/>
      <c r="F107" s="83">
        <f>F105+F106</f>
        <v>406.52499999999998</v>
      </c>
    </row>
    <row r="108" spans="1:6">
      <c r="A108" s="80"/>
      <c r="B108" s="502" t="s">
        <v>1006</v>
      </c>
      <c r="C108" s="499"/>
      <c r="D108" s="499"/>
      <c r="E108" s="500"/>
      <c r="F108" s="83">
        <f>F107</f>
        <v>406.52499999999998</v>
      </c>
    </row>
    <row r="109" spans="1:6">
      <c r="A109" s="80"/>
      <c r="B109" s="502" t="s">
        <v>1011</v>
      </c>
      <c r="C109" s="499"/>
      <c r="D109" s="499"/>
      <c r="E109" s="500"/>
      <c r="F109" s="84">
        <f>ROUND((F108/10),2)</f>
        <v>40.65</v>
      </c>
    </row>
    <row r="110" spans="1:6">
      <c r="A110" s="80">
        <v>116</v>
      </c>
      <c r="B110" s="75" t="s">
        <v>527</v>
      </c>
      <c r="C110" s="80" t="s">
        <v>26</v>
      </c>
      <c r="D110" s="80">
        <v>0.15</v>
      </c>
      <c r="E110" s="85">
        <v>784</v>
      </c>
      <c r="F110" s="87">
        <f t="shared" ref="F110:F112" si="4">D110*E110</f>
        <v>117.6</v>
      </c>
    </row>
    <row r="111" spans="1:6">
      <c r="A111" s="80">
        <v>103</v>
      </c>
      <c r="B111" s="75" t="s">
        <v>1019</v>
      </c>
      <c r="C111" s="80" t="s">
        <v>26</v>
      </c>
      <c r="D111" s="80">
        <v>0.1</v>
      </c>
      <c r="E111" s="85">
        <v>714</v>
      </c>
      <c r="F111" s="87">
        <f t="shared" si="4"/>
        <v>71.400000000000006</v>
      </c>
    </row>
    <row r="112" spans="1:6">
      <c r="A112" s="80">
        <v>114</v>
      </c>
      <c r="B112" s="75" t="s">
        <v>59</v>
      </c>
      <c r="C112" s="80" t="s">
        <v>26</v>
      </c>
      <c r="D112" s="80">
        <v>0.1</v>
      </c>
      <c r="E112" s="85">
        <v>645</v>
      </c>
      <c r="F112" s="87">
        <f t="shared" si="4"/>
        <v>64.5</v>
      </c>
    </row>
    <row r="113" spans="1:6">
      <c r="A113" s="90"/>
      <c r="B113" s="502" t="s">
        <v>27</v>
      </c>
      <c r="C113" s="499"/>
      <c r="D113" s="499"/>
      <c r="E113" s="500"/>
      <c r="F113" s="83">
        <f>SUM(F110:F112)</f>
        <v>253.5</v>
      </c>
    </row>
    <row r="114" spans="1:6">
      <c r="A114" s="90"/>
      <c r="B114" s="502" t="s">
        <v>28</v>
      </c>
      <c r="C114" s="499"/>
      <c r="D114" s="499"/>
      <c r="E114" s="500"/>
      <c r="F114" s="83">
        <f>F113*0.01</f>
        <v>2.5350000000000001</v>
      </c>
    </row>
    <row r="115" spans="1:6">
      <c r="A115" s="90"/>
      <c r="B115" s="502" t="s">
        <v>30</v>
      </c>
      <c r="C115" s="499"/>
      <c r="D115" s="499"/>
      <c r="E115" s="500"/>
      <c r="F115" s="83">
        <f>SUM(F113:F114)</f>
        <v>256.03500000000003</v>
      </c>
    </row>
    <row r="116" spans="1:6">
      <c r="A116" s="90"/>
      <c r="B116" s="502" t="s">
        <v>36</v>
      </c>
      <c r="C116" s="499"/>
      <c r="D116" s="499"/>
      <c r="E116" s="500"/>
      <c r="F116" s="83">
        <f>F115*0.15</f>
        <v>38.405250000000002</v>
      </c>
    </row>
    <row r="117" spans="1:6">
      <c r="A117" s="90"/>
      <c r="B117" s="502" t="s">
        <v>30</v>
      </c>
      <c r="C117" s="499"/>
      <c r="D117" s="499"/>
      <c r="E117" s="500"/>
      <c r="F117" s="83">
        <f>SUM(F115:F116)</f>
        <v>294.44025000000005</v>
      </c>
    </row>
    <row r="118" spans="1:6">
      <c r="A118" s="90"/>
      <c r="B118" s="502" t="s">
        <v>1006</v>
      </c>
      <c r="C118" s="499"/>
      <c r="D118" s="499"/>
      <c r="E118" s="500"/>
      <c r="F118" s="83">
        <f>F117</f>
        <v>294.44025000000005</v>
      </c>
    </row>
    <row r="119" spans="1:6">
      <c r="A119" s="90"/>
      <c r="B119" s="502" t="s">
        <v>1011</v>
      </c>
      <c r="C119" s="499"/>
      <c r="D119" s="499"/>
      <c r="E119" s="500"/>
      <c r="F119" s="84">
        <f>ROUND((F118/10),2)</f>
        <v>29.44</v>
      </c>
    </row>
    <row r="120" spans="1:6" ht="14.5">
      <c r="A120" s="503" t="str">
        <f>CONCATENATE("Say ₹ ",F109," + ",F119," x Cost Index")</f>
        <v>Say ₹ 40.65 + 29.44 x Cost Index</v>
      </c>
      <c r="B120" s="499"/>
      <c r="C120" s="499"/>
      <c r="D120" s="499"/>
      <c r="E120" s="499"/>
      <c r="F120" s="500"/>
    </row>
  </sheetData>
  <mergeCells count="126">
    <mergeCell ref="B119:E119"/>
    <mergeCell ref="A120:F120"/>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106:E106"/>
    <mergeCell ref="B107:E107"/>
    <mergeCell ref="B108:E108"/>
    <mergeCell ref="B109:E109"/>
    <mergeCell ref="B113:E113"/>
    <mergeCell ref="B114:E114"/>
    <mergeCell ref="B115:E115"/>
    <mergeCell ref="B116:E116"/>
    <mergeCell ref="B117:E117"/>
    <mergeCell ref="B68:E68"/>
    <mergeCell ref="B69:E69"/>
    <mergeCell ref="B70:E70"/>
    <mergeCell ref="B71:E71"/>
    <mergeCell ref="B72:E72"/>
    <mergeCell ref="E100:E101"/>
    <mergeCell ref="B103:E103"/>
    <mergeCell ref="B104:E104"/>
    <mergeCell ref="B105:E105"/>
    <mergeCell ref="B94:E94"/>
    <mergeCell ref="B95:E95"/>
    <mergeCell ref="B96:E96"/>
    <mergeCell ref="A97:F97"/>
    <mergeCell ref="B98:F98"/>
    <mergeCell ref="A100:A101"/>
    <mergeCell ref="C100:C101"/>
    <mergeCell ref="D100:D101"/>
    <mergeCell ref="F100:F101"/>
    <mergeCell ref="B56:E56"/>
    <mergeCell ref="B57:E57"/>
    <mergeCell ref="B58:E58"/>
    <mergeCell ref="B59:E59"/>
    <mergeCell ref="B60:E60"/>
    <mergeCell ref="B61:E61"/>
    <mergeCell ref="B62:E62"/>
    <mergeCell ref="B66:E66"/>
    <mergeCell ref="B67:E67"/>
    <mergeCell ref="B48:E48"/>
    <mergeCell ref="A49:F49"/>
    <mergeCell ref="C54:C55"/>
    <mergeCell ref="D54:D55"/>
    <mergeCell ref="E54:E55"/>
    <mergeCell ref="F54:F55"/>
    <mergeCell ref="B50:F50"/>
    <mergeCell ref="A52:A53"/>
    <mergeCell ref="C52:C53"/>
    <mergeCell ref="D52:D53"/>
    <mergeCell ref="E52:E53"/>
    <mergeCell ref="F52:F53"/>
    <mergeCell ref="A54:A55"/>
    <mergeCell ref="B36:E36"/>
    <mergeCell ref="B37:E37"/>
    <mergeCell ref="B38:E38"/>
    <mergeCell ref="B42:E42"/>
    <mergeCell ref="B43:E43"/>
    <mergeCell ref="B44:E44"/>
    <mergeCell ref="B45:E45"/>
    <mergeCell ref="B46:E46"/>
    <mergeCell ref="B47:E47"/>
    <mergeCell ref="A30:A31"/>
    <mergeCell ref="C30:C31"/>
    <mergeCell ref="D30:D31"/>
    <mergeCell ref="E30:E31"/>
    <mergeCell ref="F30:F31"/>
    <mergeCell ref="B32:E32"/>
    <mergeCell ref="B33:E33"/>
    <mergeCell ref="B34:E34"/>
    <mergeCell ref="B35:E35"/>
    <mergeCell ref="B20:E20"/>
    <mergeCell ref="B21:E21"/>
    <mergeCell ref="B22:E22"/>
    <mergeCell ref="B23:E23"/>
    <mergeCell ref="B24:E24"/>
    <mergeCell ref="A25:F25"/>
    <mergeCell ref="B26:F26"/>
    <mergeCell ref="C28:C29"/>
    <mergeCell ref="D28:D29"/>
    <mergeCell ref="E28:E29"/>
    <mergeCell ref="F28:F29"/>
    <mergeCell ref="A28:A29"/>
    <mergeCell ref="B8:E8"/>
    <mergeCell ref="B9:E9"/>
    <mergeCell ref="B10:E10"/>
    <mergeCell ref="B11:E11"/>
    <mergeCell ref="B12:E12"/>
    <mergeCell ref="B13:E13"/>
    <mergeCell ref="B14:E14"/>
    <mergeCell ref="B18:E18"/>
    <mergeCell ref="B19:E19"/>
    <mergeCell ref="C4:C5"/>
    <mergeCell ref="C6:C7"/>
    <mergeCell ref="D6:D7"/>
    <mergeCell ref="E6:E7"/>
    <mergeCell ref="A1:F1"/>
    <mergeCell ref="B2:F2"/>
    <mergeCell ref="A4:A5"/>
    <mergeCell ref="D4:D5"/>
    <mergeCell ref="E4:E5"/>
    <mergeCell ref="F4:F5"/>
    <mergeCell ref="A6:A7"/>
    <mergeCell ref="F6:F7"/>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F67"/>
  <sheetViews>
    <sheetView workbookViewId="0"/>
  </sheetViews>
  <sheetFormatPr defaultColWidth="14.453125" defaultRowHeight="15" customHeight="1"/>
  <sheetData>
    <row r="1" spans="1:6">
      <c r="A1" s="453" t="s">
        <v>864</v>
      </c>
      <c r="B1" s="454"/>
      <c r="C1" s="454"/>
      <c r="D1" s="454"/>
      <c r="E1" s="454"/>
      <c r="F1" s="450"/>
    </row>
    <row r="2" spans="1:6">
      <c r="A2" s="92" t="s">
        <v>865</v>
      </c>
      <c r="B2" s="498" t="s">
        <v>867</v>
      </c>
      <c r="C2" s="499"/>
      <c r="D2" s="499"/>
      <c r="E2" s="499"/>
      <c r="F2" s="500"/>
    </row>
    <row r="3" spans="1:6">
      <c r="A3" s="92" t="s">
        <v>3</v>
      </c>
      <c r="B3" s="73" t="s">
        <v>4</v>
      </c>
      <c r="C3" s="73" t="s">
        <v>5</v>
      </c>
      <c r="D3" s="73" t="s">
        <v>6</v>
      </c>
      <c r="E3" s="73" t="s">
        <v>7</v>
      </c>
      <c r="F3" s="95" t="s">
        <v>8</v>
      </c>
    </row>
    <row r="4" spans="1:6">
      <c r="A4" s="97"/>
      <c r="B4" s="75" t="s">
        <v>873</v>
      </c>
      <c r="C4" s="80" t="s">
        <v>875</v>
      </c>
      <c r="D4" s="80">
        <v>0.2</v>
      </c>
      <c r="E4" s="85">
        <v>3000</v>
      </c>
      <c r="F4" s="84">
        <f t="shared" ref="F4:F6" si="0">D4*E4</f>
        <v>600</v>
      </c>
    </row>
    <row r="5" spans="1:6">
      <c r="A5" s="97" t="s">
        <v>877</v>
      </c>
      <c r="B5" s="75" t="s">
        <v>878</v>
      </c>
      <c r="C5" s="80" t="s">
        <v>26</v>
      </c>
      <c r="D5" s="80">
        <v>1.5</v>
      </c>
      <c r="E5" s="85">
        <v>784</v>
      </c>
      <c r="F5" s="84">
        <f t="shared" si="0"/>
        <v>1176</v>
      </c>
    </row>
    <row r="6" spans="1:6">
      <c r="A6" s="97" t="s">
        <v>880</v>
      </c>
      <c r="B6" s="75" t="s">
        <v>59</v>
      </c>
      <c r="C6" s="80" t="s">
        <v>26</v>
      </c>
      <c r="D6" s="80">
        <v>3</v>
      </c>
      <c r="E6" s="85">
        <v>645</v>
      </c>
      <c r="F6" s="84">
        <f t="shared" si="0"/>
        <v>1935</v>
      </c>
    </row>
    <row r="7" spans="1:6">
      <c r="A7" s="110"/>
      <c r="B7" s="502" t="s">
        <v>30</v>
      </c>
      <c r="C7" s="499"/>
      <c r="D7" s="499"/>
      <c r="E7" s="500"/>
      <c r="F7" s="84">
        <f>SUM(F4:F6)</f>
        <v>3711</v>
      </c>
    </row>
    <row r="8" spans="1:6">
      <c r="A8" s="110"/>
      <c r="B8" s="502" t="s">
        <v>28</v>
      </c>
      <c r="C8" s="499"/>
      <c r="D8" s="499"/>
      <c r="E8" s="500"/>
      <c r="F8" s="84">
        <f>F7*0.01</f>
        <v>37.11</v>
      </c>
    </row>
    <row r="9" spans="1:6">
      <c r="A9" s="110"/>
      <c r="B9" s="502" t="s">
        <v>30</v>
      </c>
      <c r="C9" s="499"/>
      <c r="D9" s="499"/>
      <c r="E9" s="500"/>
      <c r="F9" s="84">
        <f>SUM(F7:F8)</f>
        <v>3748.11</v>
      </c>
    </row>
    <row r="10" spans="1:6">
      <c r="A10" s="110"/>
      <c r="B10" s="502" t="s">
        <v>36</v>
      </c>
      <c r="C10" s="499"/>
      <c r="D10" s="499"/>
      <c r="E10" s="500"/>
      <c r="F10" s="84">
        <f>F9*0.15</f>
        <v>562.2165</v>
      </c>
    </row>
    <row r="11" spans="1:6">
      <c r="A11" s="110"/>
      <c r="B11" s="502" t="s">
        <v>30</v>
      </c>
      <c r="C11" s="499"/>
      <c r="D11" s="499"/>
      <c r="E11" s="500"/>
      <c r="F11" s="84">
        <f>MROUND(SUM(F9:F10),1)</f>
        <v>4310</v>
      </c>
    </row>
    <row r="12" spans="1:6">
      <c r="A12" s="503" t="str">
        <f>CONCATENATE("Say Rs (",F11," x Cost Index)")</f>
        <v>Say Rs (4310 x Cost Index)</v>
      </c>
      <c r="B12" s="499"/>
      <c r="C12" s="499"/>
      <c r="D12" s="499"/>
      <c r="E12" s="499"/>
      <c r="F12" s="500"/>
    </row>
    <row r="13" spans="1:6">
      <c r="A13" s="126" t="s">
        <v>865</v>
      </c>
      <c r="B13" s="511" t="s">
        <v>899</v>
      </c>
      <c r="C13" s="499"/>
      <c r="D13" s="499"/>
      <c r="E13" s="499"/>
      <c r="F13" s="500"/>
    </row>
    <row r="14" spans="1:6">
      <c r="A14" s="126" t="s">
        <v>3</v>
      </c>
      <c r="B14" s="128" t="s">
        <v>4</v>
      </c>
      <c r="C14" s="128" t="s">
        <v>5</v>
      </c>
      <c r="D14" s="128" t="s">
        <v>6</v>
      </c>
      <c r="E14" s="128" t="s">
        <v>7</v>
      </c>
      <c r="F14" s="130" t="s">
        <v>8</v>
      </c>
    </row>
    <row r="15" spans="1:6">
      <c r="A15" s="133" t="s">
        <v>901</v>
      </c>
      <c r="B15" s="134" t="s">
        <v>873</v>
      </c>
      <c r="C15" s="136" t="s">
        <v>875</v>
      </c>
      <c r="D15" s="136">
        <v>0.3</v>
      </c>
      <c r="E15" s="137">
        <v>3000</v>
      </c>
      <c r="F15" s="139">
        <f t="shared" ref="F15:F17" si="1">D15*E15</f>
        <v>900</v>
      </c>
    </row>
    <row r="16" spans="1:6">
      <c r="A16" s="133" t="s">
        <v>871</v>
      </c>
      <c r="B16" s="134" t="s">
        <v>878</v>
      </c>
      <c r="C16" s="136" t="s">
        <v>26</v>
      </c>
      <c r="D16" s="136">
        <v>2.5</v>
      </c>
      <c r="E16" s="137">
        <v>784</v>
      </c>
      <c r="F16" s="139">
        <f t="shared" si="1"/>
        <v>1960</v>
      </c>
    </row>
    <row r="17" spans="1:6">
      <c r="A17" s="133" t="s">
        <v>903</v>
      </c>
      <c r="B17" s="134" t="s">
        <v>59</v>
      </c>
      <c r="C17" s="136" t="s">
        <v>26</v>
      </c>
      <c r="D17" s="136">
        <v>3</v>
      </c>
      <c r="E17" s="137">
        <v>645</v>
      </c>
      <c r="F17" s="139">
        <f t="shared" si="1"/>
        <v>1935</v>
      </c>
    </row>
    <row r="18" spans="1:6">
      <c r="A18" s="140"/>
      <c r="B18" s="512" t="s">
        <v>27</v>
      </c>
      <c r="C18" s="499"/>
      <c r="D18" s="499"/>
      <c r="E18" s="500"/>
      <c r="F18" s="139">
        <f>SUM(F15:F17)</f>
        <v>4795</v>
      </c>
    </row>
    <row r="19" spans="1:6">
      <c r="A19" s="140"/>
      <c r="B19" s="512" t="s">
        <v>28</v>
      </c>
      <c r="C19" s="499"/>
      <c r="D19" s="499"/>
      <c r="E19" s="500"/>
      <c r="F19" s="139">
        <f>F18*0.01</f>
        <v>47.95</v>
      </c>
    </row>
    <row r="20" spans="1:6">
      <c r="A20" s="140"/>
      <c r="B20" s="512" t="s">
        <v>30</v>
      </c>
      <c r="C20" s="499"/>
      <c r="D20" s="499"/>
      <c r="E20" s="500"/>
      <c r="F20" s="139">
        <f>SUM(F18:F19)</f>
        <v>4842.95</v>
      </c>
    </row>
    <row r="21" spans="1:6">
      <c r="A21" s="140"/>
      <c r="B21" s="512" t="s">
        <v>36</v>
      </c>
      <c r="C21" s="499"/>
      <c r="D21" s="499"/>
      <c r="E21" s="500"/>
      <c r="F21" s="139">
        <f>F20*0.15</f>
        <v>726.4425</v>
      </c>
    </row>
    <row r="22" spans="1:6">
      <c r="A22" s="140"/>
      <c r="B22" s="512" t="s">
        <v>30</v>
      </c>
      <c r="C22" s="499"/>
      <c r="D22" s="499"/>
      <c r="E22" s="500"/>
      <c r="F22" s="139">
        <f>MROUND(SUM(F20:F21),1)</f>
        <v>5569</v>
      </c>
    </row>
    <row r="23" spans="1:6">
      <c r="A23" s="513" t="str">
        <f>CONCATENATE("Say Rs (",F22," x Cost Index)")</f>
        <v>Say Rs (5569 x Cost Index)</v>
      </c>
      <c r="B23" s="499"/>
      <c r="C23" s="499"/>
      <c r="D23" s="499"/>
      <c r="E23" s="499"/>
      <c r="F23" s="500"/>
    </row>
    <row r="24" spans="1:6">
      <c r="A24" s="92" t="s">
        <v>865</v>
      </c>
      <c r="B24" s="498" t="s">
        <v>917</v>
      </c>
      <c r="C24" s="499"/>
      <c r="D24" s="499"/>
      <c r="E24" s="499"/>
      <c r="F24" s="500"/>
    </row>
    <row r="25" spans="1:6">
      <c r="A25" s="92" t="s">
        <v>3</v>
      </c>
      <c r="B25" s="73" t="s">
        <v>4</v>
      </c>
      <c r="C25" s="73" t="s">
        <v>5</v>
      </c>
      <c r="D25" s="73" t="s">
        <v>6</v>
      </c>
      <c r="E25" s="73" t="s">
        <v>7</v>
      </c>
      <c r="F25" s="95" t="s">
        <v>8</v>
      </c>
    </row>
    <row r="26" spans="1:6">
      <c r="A26" s="97"/>
      <c r="B26" s="75" t="s">
        <v>873</v>
      </c>
      <c r="C26" s="80" t="s">
        <v>875</v>
      </c>
      <c r="D26" s="80">
        <v>0.1</v>
      </c>
      <c r="E26" s="85">
        <v>3000</v>
      </c>
      <c r="F26" s="84">
        <f t="shared" ref="F26:F28" si="2">D26*E26</f>
        <v>300</v>
      </c>
    </row>
    <row r="27" spans="1:6">
      <c r="A27" s="97" t="s">
        <v>877</v>
      </c>
      <c r="B27" s="75" t="s">
        <v>878</v>
      </c>
      <c r="C27" s="80" t="s">
        <v>26</v>
      </c>
      <c r="D27" s="80">
        <v>0.75</v>
      </c>
      <c r="E27" s="85">
        <v>784</v>
      </c>
      <c r="F27" s="84">
        <f t="shared" si="2"/>
        <v>588</v>
      </c>
    </row>
    <row r="28" spans="1:6">
      <c r="A28" s="97" t="s">
        <v>880</v>
      </c>
      <c r="B28" s="75" t="s">
        <v>59</v>
      </c>
      <c r="C28" s="80" t="s">
        <v>26</v>
      </c>
      <c r="D28" s="80">
        <v>1.5</v>
      </c>
      <c r="E28" s="85">
        <v>645</v>
      </c>
      <c r="F28" s="84">
        <f t="shared" si="2"/>
        <v>967.5</v>
      </c>
    </row>
    <row r="29" spans="1:6">
      <c r="A29" s="110"/>
      <c r="B29" s="502" t="s">
        <v>27</v>
      </c>
      <c r="C29" s="499"/>
      <c r="D29" s="499"/>
      <c r="E29" s="500"/>
      <c r="F29" s="84">
        <f>SUM(F26:F28)</f>
        <v>1855.5</v>
      </c>
    </row>
    <row r="30" spans="1:6">
      <c r="A30" s="110"/>
      <c r="B30" s="502" t="s">
        <v>28</v>
      </c>
      <c r="C30" s="499"/>
      <c r="D30" s="499"/>
      <c r="E30" s="500"/>
      <c r="F30" s="84">
        <f>F29*0.01</f>
        <v>18.555</v>
      </c>
    </row>
    <row r="31" spans="1:6">
      <c r="A31" s="110"/>
      <c r="B31" s="502" t="s">
        <v>30</v>
      </c>
      <c r="C31" s="499"/>
      <c r="D31" s="499"/>
      <c r="E31" s="500"/>
      <c r="F31" s="84">
        <f>SUM(F29:F30)</f>
        <v>1874.0550000000001</v>
      </c>
    </row>
    <row r="32" spans="1:6">
      <c r="A32" s="110"/>
      <c r="B32" s="502" t="s">
        <v>36</v>
      </c>
      <c r="C32" s="499"/>
      <c r="D32" s="499"/>
      <c r="E32" s="500"/>
      <c r="F32" s="84">
        <f>F31*0.15</f>
        <v>281.10825</v>
      </c>
    </row>
    <row r="33" spans="1:6">
      <c r="A33" s="110"/>
      <c r="B33" s="502" t="s">
        <v>30</v>
      </c>
      <c r="C33" s="499"/>
      <c r="D33" s="499"/>
      <c r="E33" s="500"/>
      <c r="F33" s="84">
        <f>MROUND(SUM(F31:F32),1)</f>
        <v>2155</v>
      </c>
    </row>
    <row r="34" spans="1:6">
      <c r="A34" s="514" t="str">
        <f>CONCATENATE("Say Rs (",F33," x Cost Index)")</f>
        <v>Say Rs (2155 x Cost Index)</v>
      </c>
      <c r="B34" s="499"/>
      <c r="C34" s="499"/>
      <c r="D34" s="499"/>
      <c r="E34" s="499"/>
      <c r="F34" s="500"/>
    </row>
    <row r="35" spans="1:6">
      <c r="A35" s="126" t="s">
        <v>865</v>
      </c>
      <c r="B35" s="511" t="s">
        <v>938</v>
      </c>
      <c r="C35" s="499"/>
      <c r="D35" s="499"/>
      <c r="E35" s="499"/>
      <c r="F35" s="500"/>
    </row>
    <row r="36" spans="1:6">
      <c r="A36" s="126" t="s">
        <v>3</v>
      </c>
      <c r="B36" s="128" t="s">
        <v>4</v>
      </c>
      <c r="C36" s="128" t="s">
        <v>5</v>
      </c>
      <c r="D36" s="128" t="s">
        <v>6</v>
      </c>
      <c r="E36" s="128" t="s">
        <v>7</v>
      </c>
      <c r="F36" s="130" t="s">
        <v>8</v>
      </c>
    </row>
    <row r="37" spans="1:6">
      <c r="A37" s="147"/>
      <c r="B37" s="134" t="s">
        <v>873</v>
      </c>
      <c r="C37" s="136" t="s">
        <v>875</v>
      </c>
      <c r="D37" s="136">
        <v>0.15</v>
      </c>
      <c r="E37" s="137">
        <v>3000</v>
      </c>
      <c r="F37" s="139">
        <f t="shared" ref="F37:F39" si="3">D37*E37</f>
        <v>450</v>
      </c>
    </row>
    <row r="38" spans="1:6">
      <c r="A38" s="147" t="s">
        <v>877</v>
      </c>
      <c r="B38" s="134" t="s">
        <v>878</v>
      </c>
      <c r="C38" s="136" t="s">
        <v>26</v>
      </c>
      <c r="D38" s="136">
        <v>1.25</v>
      </c>
      <c r="E38" s="137">
        <v>784</v>
      </c>
      <c r="F38" s="139">
        <f t="shared" si="3"/>
        <v>980</v>
      </c>
    </row>
    <row r="39" spans="1:6">
      <c r="A39" s="147" t="s">
        <v>880</v>
      </c>
      <c r="B39" s="134" t="s">
        <v>59</v>
      </c>
      <c r="C39" s="136" t="s">
        <v>26</v>
      </c>
      <c r="D39" s="136">
        <v>1.5</v>
      </c>
      <c r="E39" s="137">
        <v>645</v>
      </c>
      <c r="F39" s="139">
        <f t="shared" si="3"/>
        <v>967.5</v>
      </c>
    </row>
    <row r="40" spans="1:6">
      <c r="A40" s="140"/>
      <c r="B40" s="512" t="s">
        <v>27</v>
      </c>
      <c r="C40" s="499"/>
      <c r="D40" s="499"/>
      <c r="E40" s="500"/>
      <c r="F40" s="139">
        <f>SUM(F37:F39)</f>
        <v>2397.5</v>
      </c>
    </row>
    <row r="41" spans="1:6">
      <c r="A41" s="140"/>
      <c r="B41" s="512" t="s">
        <v>28</v>
      </c>
      <c r="C41" s="499"/>
      <c r="D41" s="499"/>
      <c r="E41" s="500"/>
      <c r="F41" s="139">
        <f>F40*0.01</f>
        <v>23.975000000000001</v>
      </c>
    </row>
    <row r="42" spans="1:6">
      <c r="A42" s="140"/>
      <c r="B42" s="512" t="s">
        <v>30</v>
      </c>
      <c r="C42" s="499"/>
      <c r="D42" s="499"/>
      <c r="E42" s="500"/>
      <c r="F42" s="139">
        <f>SUM(F40:F41)</f>
        <v>2421.4749999999999</v>
      </c>
    </row>
    <row r="43" spans="1:6">
      <c r="A43" s="140"/>
      <c r="B43" s="512" t="s">
        <v>36</v>
      </c>
      <c r="C43" s="499"/>
      <c r="D43" s="499"/>
      <c r="E43" s="500"/>
      <c r="F43" s="139">
        <f>F42*0.15</f>
        <v>363.22125</v>
      </c>
    </row>
    <row r="44" spans="1:6">
      <c r="A44" s="140"/>
      <c r="B44" s="512" t="s">
        <v>30</v>
      </c>
      <c r="C44" s="499"/>
      <c r="D44" s="499"/>
      <c r="E44" s="500"/>
      <c r="F44" s="139">
        <f>MROUND(SUM(F42:F43),1)</f>
        <v>2785</v>
      </c>
    </row>
    <row r="45" spans="1:6">
      <c r="A45" s="513" t="str">
        <f>CONCATENATE("Say Rs (",F44," x Cost Index)")</f>
        <v>Say Rs (2785 x Cost Index)</v>
      </c>
      <c r="B45" s="499"/>
      <c r="C45" s="499"/>
      <c r="D45" s="499"/>
      <c r="E45" s="499"/>
      <c r="F45" s="500"/>
    </row>
    <row r="46" spans="1:6">
      <c r="A46" s="92" t="s">
        <v>865</v>
      </c>
      <c r="B46" s="498" t="s">
        <v>960</v>
      </c>
      <c r="C46" s="499"/>
      <c r="D46" s="499"/>
      <c r="E46" s="499"/>
      <c r="F46" s="500"/>
    </row>
    <row r="47" spans="1:6">
      <c r="A47" s="92" t="s">
        <v>3</v>
      </c>
      <c r="B47" s="73" t="s">
        <v>4</v>
      </c>
      <c r="C47" s="73" t="s">
        <v>5</v>
      </c>
      <c r="D47" s="73" t="s">
        <v>6</v>
      </c>
      <c r="E47" s="73" t="s">
        <v>7</v>
      </c>
      <c r="F47" s="95" t="s">
        <v>8</v>
      </c>
    </row>
    <row r="48" spans="1:6">
      <c r="A48" s="97"/>
      <c r="B48" s="75" t="s">
        <v>873</v>
      </c>
      <c r="C48" s="80" t="s">
        <v>875</v>
      </c>
      <c r="D48" s="85">
        <v>0.1</v>
      </c>
      <c r="E48" s="85">
        <v>3000</v>
      </c>
      <c r="F48" s="84">
        <f t="shared" ref="F48:F50" si="4">D48*E48</f>
        <v>300</v>
      </c>
    </row>
    <row r="49" spans="1:6">
      <c r="A49" s="97" t="s">
        <v>877</v>
      </c>
      <c r="B49" s="75" t="s">
        <v>878</v>
      </c>
      <c r="C49" s="80" t="s">
        <v>26</v>
      </c>
      <c r="D49" s="85">
        <v>2</v>
      </c>
      <c r="E49" s="85">
        <v>784</v>
      </c>
      <c r="F49" s="84">
        <f t="shared" si="4"/>
        <v>1568</v>
      </c>
    </row>
    <row r="50" spans="1:6">
      <c r="A50" s="97" t="s">
        <v>880</v>
      </c>
      <c r="B50" s="75" t="s">
        <v>59</v>
      </c>
      <c r="C50" s="80" t="s">
        <v>26</v>
      </c>
      <c r="D50" s="85">
        <v>3.5</v>
      </c>
      <c r="E50" s="85">
        <v>645</v>
      </c>
      <c r="F50" s="84">
        <f t="shared" si="4"/>
        <v>2257.5</v>
      </c>
    </row>
    <row r="51" spans="1:6">
      <c r="A51" s="110"/>
      <c r="B51" s="502" t="s">
        <v>27</v>
      </c>
      <c r="C51" s="499"/>
      <c r="D51" s="499"/>
      <c r="E51" s="500"/>
      <c r="F51" s="84">
        <f>SUM(F48:F50)</f>
        <v>4125.5</v>
      </c>
    </row>
    <row r="52" spans="1:6">
      <c r="A52" s="110"/>
      <c r="B52" s="502" t="s">
        <v>28</v>
      </c>
      <c r="C52" s="499"/>
      <c r="D52" s="499"/>
      <c r="E52" s="500"/>
      <c r="F52" s="84">
        <f>F51*0.01</f>
        <v>41.255000000000003</v>
      </c>
    </row>
    <row r="53" spans="1:6">
      <c r="A53" s="110"/>
      <c r="B53" s="502" t="s">
        <v>30</v>
      </c>
      <c r="C53" s="499"/>
      <c r="D53" s="499"/>
      <c r="E53" s="500"/>
      <c r="F53" s="84">
        <f>SUM(F51:F52)</f>
        <v>4166.7550000000001</v>
      </c>
    </row>
    <row r="54" spans="1:6">
      <c r="A54" s="110"/>
      <c r="B54" s="502" t="s">
        <v>36</v>
      </c>
      <c r="C54" s="499"/>
      <c r="D54" s="499"/>
      <c r="E54" s="500"/>
      <c r="F54" s="84">
        <f>F53*0.15</f>
        <v>625.01324999999997</v>
      </c>
    </row>
    <row r="55" spans="1:6">
      <c r="A55" s="110"/>
      <c r="B55" s="502" t="s">
        <v>30</v>
      </c>
      <c r="C55" s="499"/>
      <c r="D55" s="499"/>
      <c r="E55" s="500"/>
      <c r="F55" s="84">
        <f>MROUND(SUM(F53:F54),1)</f>
        <v>4792</v>
      </c>
    </row>
    <row r="56" spans="1:6">
      <c r="A56" s="514" t="str">
        <f>CONCATENATE("Say Rs (",F55," x Cost Index)")</f>
        <v>Say Rs (4792 x Cost Index)</v>
      </c>
      <c r="B56" s="499"/>
      <c r="C56" s="499"/>
      <c r="D56" s="499"/>
      <c r="E56" s="499"/>
      <c r="F56" s="500"/>
    </row>
    <row r="57" spans="1:6">
      <c r="A57" s="148" t="s">
        <v>865</v>
      </c>
      <c r="B57" s="515" t="s">
        <v>978</v>
      </c>
      <c r="C57" s="499"/>
      <c r="D57" s="499"/>
      <c r="E57" s="499"/>
      <c r="F57" s="500"/>
    </row>
    <row r="58" spans="1:6">
      <c r="A58" s="148" t="s">
        <v>3</v>
      </c>
      <c r="B58" s="149" t="s">
        <v>4</v>
      </c>
      <c r="C58" s="149" t="s">
        <v>5</v>
      </c>
      <c r="D58" s="149" t="s">
        <v>6</v>
      </c>
      <c r="E58" s="149" t="s">
        <v>7</v>
      </c>
      <c r="F58" s="150" t="s">
        <v>8</v>
      </c>
    </row>
    <row r="59" spans="1:6">
      <c r="A59" s="151"/>
      <c r="B59" s="152" t="s">
        <v>873</v>
      </c>
      <c r="C59" s="153" t="s">
        <v>875</v>
      </c>
      <c r="D59" s="155">
        <v>0.2</v>
      </c>
      <c r="E59" s="155">
        <v>3000</v>
      </c>
      <c r="F59" s="156">
        <f t="shared" ref="F59:F61" si="5">D59*E59</f>
        <v>600</v>
      </c>
    </row>
    <row r="60" spans="1:6">
      <c r="A60" s="151" t="s">
        <v>877</v>
      </c>
      <c r="B60" s="152" t="s">
        <v>878</v>
      </c>
      <c r="C60" s="153" t="s">
        <v>26</v>
      </c>
      <c r="D60" s="155">
        <v>2.5</v>
      </c>
      <c r="E60" s="155">
        <v>784</v>
      </c>
      <c r="F60" s="156">
        <f t="shared" si="5"/>
        <v>1960</v>
      </c>
    </row>
    <row r="61" spans="1:6">
      <c r="A61" s="151" t="s">
        <v>880</v>
      </c>
      <c r="B61" s="152" t="s">
        <v>59</v>
      </c>
      <c r="C61" s="153" t="s">
        <v>26</v>
      </c>
      <c r="D61" s="155">
        <v>4</v>
      </c>
      <c r="E61" s="155">
        <v>645</v>
      </c>
      <c r="F61" s="156">
        <f t="shared" si="5"/>
        <v>2580</v>
      </c>
    </row>
    <row r="62" spans="1:6">
      <c r="A62" s="157"/>
      <c r="B62" s="516" t="s">
        <v>27</v>
      </c>
      <c r="C62" s="499"/>
      <c r="D62" s="499"/>
      <c r="E62" s="500"/>
      <c r="F62" s="156">
        <f>SUM(F59:F61)</f>
        <v>5140</v>
      </c>
    </row>
    <row r="63" spans="1:6">
      <c r="A63" s="157"/>
      <c r="B63" s="516" t="s">
        <v>28</v>
      </c>
      <c r="C63" s="499"/>
      <c r="D63" s="499"/>
      <c r="E63" s="500"/>
      <c r="F63" s="156">
        <f>F62*0.01</f>
        <v>51.4</v>
      </c>
    </row>
    <row r="64" spans="1:6">
      <c r="A64" s="157"/>
      <c r="B64" s="516" t="s">
        <v>30</v>
      </c>
      <c r="C64" s="499"/>
      <c r="D64" s="499"/>
      <c r="E64" s="500"/>
      <c r="F64" s="156">
        <f>SUM(F62:F63)</f>
        <v>5191.3999999999996</v>
      </c>
    </row>
    <row r="65" spans="1:6">
      <c r="A65" s="157"/>
      <c r="B65" s="516" t="s">
        <v>36</v>
      </c>
      <c r="C65" s="499"/>
      <c r="D65" s="499"/>
      <c r="E65" s="500"/>
      <c r="F65" s="156">
        <f>F64*0.15</f>
        <v>778.70999999999992</v>
      </c>
    </row>
    <row r="66" spans="1:6">
      <c r="A66" s="157"/>
      <c r="B66" s="516" t="s">
        <v>30</v>
      </c>
      <c r="C66" s="499"/>
      <c r="D66" s="499"/>
      <c r="E66" s="500"/>
      <c r="F66" s="156">
        <f>MROUND(SUM(F64:F65),1)</f>
        <v>5970</v>
      </c>
    </row>
    <row r="67" spans="1:6">
      <c r="A67" s="517" t="str">
        <f>CONCATENATE("Say Rs (",F66," x Cost Index)")</f>
        <v>Say Rs (5970 x Cost Index)</v>
      </c>
      <c r="B67" s="499"/>
      <c r="C67" s="499"/>
      <c r="D67" s="499"/>
      <c r="E67" s="499"/>
      <c r="F67" s="500"/>
    </row>
  </sheetData>
  <mergeCells count="43">
    <mergeCell ref="A67:F67"/>
    <mergeCell ref="A45:F45"/>
    <mergeCell ref="B46:F46"/>
    <mergeCell ref="B51:E51"/>
    <mergeCell ref="B52:E52"/>
    <mergeCell ref="B53:E53"/>
    <mergeCell ref="B54:E54"/>
    <mergeCell ref="B55:E55"/>
    <mergeCell ref="B62:E62"/>
    <mergeCell ref="B63:E63"/>
    <mergeCell ref="B64:E64"/>
    <mergeCell ref="B65:E65"/>
    <mergeCell ref="B66:E66"/>
    <mergeCell ref="B42:E42"/>
    <mergeCell ref="B43:E43"/>
    <mergeCell ref="B44:E44"/>
    <mergeCell ref="A56:F56"/>
    <mergeCell ref="B57:F57"/>
    <mergeCell ref="B33:E33"/>
    <mergeCell ref="A34:F34"/>
    <mergeCell ref="B35:F35"/>
    <mergeCell ref="B40:E40"/>
    <mergeCell ref="B41:E41"/>
    <mergeCell ref="B24:F24"/>
    <mergeCell ref="B29:E29"/>
    <mergeCell ref="B30:E30"/>
    <mergeCell ref="B31:E31"/>
    <mergeCell ref="B32:E32"/>
    <mergeCell ref="B19:E19"/>
    <mergeCell ref="B20:E20"/>
    <mergeCell ref="B21:E21"/>
    <mergeCell ref="B22:E22"/>
    <mergeCell ref="A23:F23"/>
    <mergeCell ref="B10:E10"/>
    <mergeCell ref="B11:E11"/>
    <mergeCell ref="A12:F12"/>
    <mergeCell ref="B13:F13"/>
    <mergeCell ref="B18:E18"/>
    <mergeCell ref="A1:F1"/>
    <mergeCell ref="B2:F2"/>
    <mergeCell ref="B7:E7"/>
    <mergeCell ref="B8:E8"/>
    <mergeCell ref="B9:E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14"/>
  <sheetViews>
    <sheetView workbookViewId="0"/>
  </sheetViews>
  <sheetFormatPr defaultColWidth="14.453125" defaultRowHeight="15" customHeight="1"/>
  <cols>
    <col min="8" max="9" width="14.453125" hidden="1"/>
  </cols>
  <sheetData>
    <row r="1" spans="1:9">
      <c r="A1" s="518" t="s">
        <v>863</v>
      </c>
      <c r="B1" s="519"/>
      <c r="C1" s="519"/>
      <c r="D1" s="519"/>
      <c r="E1" s="519"/>
      <c r="F1" s="519"/>
      <c r="G1" s="520"/>
      <c r="H1" s="93"/>
      <c r="I1" s="93"/>
    </row>
    <row r="2" spans="1:9">
      <c r="A2" s="94" t="s">
        <v>868</v>
      </c>
      <c r="B2" s="521" t="s">
        <v>869</v>
      </c>
      <c r="C2" s="454"/>
      <c r="D2" s="454"/>
      <c r="E2" s="454"/>
      <c r="F2" s="454"/>
      <c r="G2" s="522"/>
      <c r="H2" s="96"/>
      <c r="I2" s="96"/>
    </row>
    <row r="3" spans="1:9">
      <c r="A3" s="99" t="s">
        <v>871</v>
      </c>
      <c r="B3" s="100" t="s">
        <v>874</v>
      </c>
      <c r="C3" s="102">
        <v>1</v>
      </c>
      <c r="D3" s="103" t="s">
        <v>875</v>
      </c>
      <c r="E3" s="102">
        <v>784</v>
      </c>
      <c r="F3" s="104" t="s">
        <v>876</v>
      </c>
      <c r="G3" s="107">
        <f t="shared" ref="G3:G5" si="0">E3*C3</f>
        <v>784</v>
      </c>
      <c r="H3" s="108"/>
      <c r="I3" s="108"/>
    </row>
    <row r="4" spans="1:9">
      <c r="A4" s="99" t="s">
        <v>881</v>
      </c>
      <c r="B4" s="109" t="s">
        <v>882</v>
      </c>
      <c r="C4" s="102">
        <v>1</v>
      </c>
      <c r="D4" s="103" t="s">
        <v>875</v>
      </c>
      <c r="E4" s="103">
        <v>714</v>
      </c>
      <c r="F4" s="104" t="s">
        <v>876</v>
      </c>
      <c r="G4" s="107">
        <f t="shared" si="0"/>
        <v>714</v>
      </c>
      <c r="H4" s="108"/>
      <c r="I4" s="108"/>
    </row>
    <row r="5" spans="1:9">
      <c r="A5" s="99" t="s">
        <v>883</v>
      </c>
      <c r="B5" s="109" t="s">
        <v>25</v>
      </c>
      <c r="C5" s="103">
        <v>4</v>
      </c>
      <c r="D5" s="103" t="s">
        <v>875</v>
      </c>
      <c r="E5" s="103">
        <v>645</v>
      </c>
      <c r="F5" s="104" t="s">
        <v>876</v>
      </c>
      <c r="G5" s="107">
        <f t="shared" si="0"/>
        <v>2580</v>
      </c>
      <c r="H5" s="108"/>
      <c r="I5" s="108"/>
    </row>
    <row r="6" spans="1:9">
      <c r="A6" s="99" t="s">
        <v>884</v>
      </c>
      <c r="B6" s="523" t="s">
        <v>885</v>
      </c>
      <c r="C6" s="454"/>
      <c r="D6" s="454"/>
      <c r="E6" s="454"/>
      <c r="F6" s="454"/>
      <c r="G6" s="522"/>
      <c r="H6" s="114"/>
      <c r="I6" s="114"/>
    </row>
    <row r="7" spans="1:9">
      <c r="A7" s="99" t="s">
        <v>886</v>
      </c>
      <c r="B7" s="109" t="s">
        <v>887</v>
      </c>
      <c r="C7" s="102">
        <v>1</v>
      </c>
      <c r="D7" s="103" t="s">
        <v>875</v>
      </c>
      <c r="E7" s="103">
        <v>1400</v>
      </c>
      <c r="F7" s="104" t="s">
        <v>876</v>
      </c>
      <c r="G7" s="107">
        <f t="shared" ref="G7:G8" si="1">E7*C7</f>
        <v>1400</v>
      </c>
      <c r="H7" s="108"/>
      <c r="I7" s="108"/>
    </row>
    <row r="8" spans="1:9">
      <c r="A8" s="99" t="s">
        <v>889</v>
      </c>
      <c r="B8" s="109" t="s">
        <v>890</v>
      </c>
      <c r="C8" s="103">
        <v>50</v>
      </c>
      <c r="D8" s="103" t="s">
        <v>891</v>
      </c>
      <c r="E8" s="103">
        <v>2.12</v>
      </c>
      <c r="F8" s="104" t="s">
        <v>892</v>
      </c>
      <c r="G8" s="107">
        <f t="shared" si="1"/>
        <v>106</v>
      </c>
      <c r="H8" s="108"/>
      <c r="I8" s="108"/>
    </row>
    <row r="9" spans="1:9">
      <c r="A9" s="115"/>
      <c r="B9" s="116" t="s">
        <v>893</v>
      </c>
      <c r="C9" s="117"/>
      <c r="D9" s="119"/>
      <c r="E9" s="119"/>
      <c r="F9" s="120"/>
      <c r="G9" s="122">
        <f>(SUM(G3:G5,G7:G8,))</f>
        <v>5584</v>
      </c>
      <c r="H9" s="123"/>
      <c r="I9" s="123"/>
    </row>
    <row r="10" spans="1:9">
      <c r="A10" s="115"/>
      <c r="B10" s="124" t="s">
        <v>896</v>
      </c>
      <c r="C10" s="102"/>
      <c r="D10" s="102"/>
      <c r="E10" s="102"/>
      <c r="F10" s="125"/>
      <c r="G10" s="107">
        <f>G9*1%</f>
        <v>55.84</v>
      </c>
      <c r="H10" s="108"/>
      <c r="I10" s="108"/>
    </row>
    <row r="11" spans="1:9">
      <c r="A11" s="115"/>
      <c r="B11" s="124" t="s">
        <v>40</v>
      </c>
      <c r="C11" s="102"/>
      <c r="D11" s="102"/>
      <c r="E11" s="102"/>
      <c r="F11" s="125"/>
      <c r="G11" s="107">
        <f>SUM(G9:G10)</f>
        <v>5639.84</v>
      </c>
      <c r="H11" s="108"/>
      <c r="I11" s="108"/>
    </row>
    <row r="12" spans="1:9">
      <c r="A12" s="115"/>
      <c r="B12" s="124" t="s">
        <v>898</v>
      </c>
      <c r="C12" s="102"/>
      <c r="D12" s="102"/>
      <c r="E12" s="102"/>
      <c r="F12" s="125"/>
      <c r="G12" s="107">
        <f>G11*15%</f>
        <v>845.976</v>
      </c>
      <c r="H12" s="108"/>
      <c r="I12" s="108"/>
    </row>
    <row r="13" spans="1:9">
      <c r="A13" s="115"/>
      <c r="B13" s="116" t="s">
        <v>893</v>
      </c>
      <c r="C13" s="117"/>
      <c r="D13" s="119"/>
      <c r="E13" s="119"/>
      <c r="F13" s="120"/>
      <c r="G13" s="122">
        <f>ROUND(SUM(G11:G12),2)</f>
        <v>6485.82</v>
      </c>
      <c r="H13" s="123"/>
      <c r="I13" s="123"/>
    </row>
    <row r="14" spans="1:9">
      <c r="A14" s="524" t="str">
        <f>CONCATENATE("Say ₹ ",G13," x Cost Index")</f>
        <v>Say ₹ 6485.82 x Cost Index</v>
      </c>
      <c r="B14" s="454"/>
      <c r="C14" s="454"/>
      <c r="D14" s="454"/>
      <c r="E14" s="454"/>
      <c r="F14" s="454"/>
      <c r="G14" s="450"/>
      <c r="H14" s="131">
        <v>0</v>
      </c>
      <c r="I14" s="135">
        <f>G13</f>
        <v>6485.82</v>
      </c>
    </row>
  </sheetData>
  <mergeCells count="4">
    <mergeCell ref="A1:G1"/>
    <mergeCell ref="B2:G2"/>
    <mergeCell ref="B6:G6"/>
    <mergeCell ref="A14:G1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G58"/>
  <sheetViews>
    <sheetView workbookViewId="0"/>
  </sheetViews>
  <sheetFormatPr defaultColWidth="14.453125" defaultRowHeight="15" customHeight="1"/>
  <cols>
    <col min="1" max="1" width="4.453125" customWidth="1"/>
    <col min="2" max="2" width="62.7265625" customWidth="1"/>
    <col min="3" max="4" width="20" customWidth="1"/>
    <col min="5" max="7" width="15.453125" hidden="1" customWidth="1"/>
  </cols>
  <sheetData>
    <row r="1" spans="1:7">
      <c r="A1" s="526" t="s">
        <v>904</v>
      </c>
      <c r="B1" s="454"/>
      <c r="C1" s="454"/>
      <c r="D1" s="450"/>
      <c r="E1" s="141" t="str">
        <f t="shared" ref="E1:G1" si="0">B7</f>
        <v>Head Assembly complete (with Head, Handle, Ball Bearings and  Chain Assembly)</v>
      </c>
      <c r="F1" s="141">
        <f t="shared" si="0"/>
        <v>4800</v>
      </c>
      <c r="G1" s="141">
        <f t="shared" si="0"/>
        <v>0</v>
      </c>
    </row>
    <row r="2" spans="1:7">
      <c r="A2" s="526" t="s">
        <v>906</v>
      </c>
      <c r="B2" s="454"/>
      <c r="C2" s="454"/>
      <c r="D2" s="450"/>
      <c r="E2" s="141" t="str">
        <f t="shared" ref="E2:G2" si="1">B8</f>
        <v>Head with welded components only without cover</v>
      </c>
      <c r="F2" s="141">
        <f t="shared" si="1"/>
        <v>2280</v>
      </c>
      <c r="G2" s="141">
        <f t="shared" si="1"/>
        <v>0</v>
      </c>
    </row>
    <row r="3" spans="1:7">
      <c r="A3" s="526" t="s">
        <v>907</v>
      </c>
      <c r="B3" s="454"/>
      <c r="C3" s="454"/>
      <c r="D3" s="450"/>
      <c r="E3" s="141" t="str">
        <f t="shared" ref="E3:G3" si="2">B9</f>
        <v>Handle (welded components only)</v>
      </c>
      <c r="F3" s="141">
        <f t="shared" si="2"/>
        <v>1800</v>
      </c>
      <c r="G3" s="141">
        <f t="shared" si="2"/>
        <v>0</v>
      </c>
    </row>
    <row r="4" spans="1:7">
      <c r="A4" s="526" t="s">
        <v>909</v>
      </c>
      <c r="B4" s="454"/>
      <c r="C4" s="454"/>
      <c r="D4" s="450"/>
      <c r="E4" s="141" t="str">
        <f t="shared" ref="E4:G4" si="3">B10</f>
        <v>Additional Plate</v>
      </c>
      <c r="F4" s="141">
        <f t="shared" si="3"/>
        <v>450</v>
      </c>
      <c r="G4" s="141">
        <f t="shared" si="3"/>
        <v>0</v>
      </c>
    </row>
    <row r="5" spans="1:7">
      <c r="A5" s="526" t="s">
        <v>910</v>
      </c>
      <c r="B5" s="454"/>
      <c r="C5" s="454"/>
      <c r="D5" s="450"/>
      <c r="E5" s="141" t="str">
        <f t="shared" ref="E5:G5" si="4">B13</f>
        <v>Ball Bearing 6204 Z</v>
      </c>
      <c r="F5" s="141">
        <f t="shared" si="4"/>
        <v>216</v>
      </c>
      <c r="G5" s="141">
        <f t="shared" si="4"/>
        <v>0</v>
      </c>
    </row>
    <row r="6" spans="1:7">
      <c r="A6" s="525" t="s">
        <v>913</v>
      </c>
      <c r="B6" s="454"/>
      <c r="C6" s="454"/>
      <c r="D6" s="450"/>
      <c r="E6" s="141" t="str">
        <f t="shared" ref="E6:G6" si="5">B14</f>
        <v>Chain with coupling</v>
      </c>
      <c r="F6" s="141">
        <f t="shared" si="5"/>
        <v>240</v>
      </c>
      <c r="G6" s="141">
        <f t="shared" si="5"/>
        <v>0</v>
      </c>
    </row>
    <row r="7" spans="1:7">
      <c r="A7" s="142">
        <v>1</v>
      </c>
      <c r="B7" s="143" t="s">
        <v>914</v>
      </c>
      <c r="C7" s="144">
        <v>4800</v>
      </c>
      <c r="D7" s="145">
        <v>0</v>
      </c>
      <c r="E7" s="141" t="str">
        <f t="shared" ref="E7:G7" si="6">B15</f>
        <v>Spacer for Axle Pin</v>
      </c>
      <c r="F7" s="141">
        <f t="shared" si="6"/>
        <v>24</v>
      </c>
      <c r="G7" s="141">
        <f t="shared" si="6"/>
        <v>0</v>
      </c>
    </row>
    <row r="8" spans="1:7">
      <c r="A8" s="142">
        <v>2</v>
      </c>
      <c r="B8" s="146" t="s">
        <v>918</v>
      </c>
      <c r="C8" s="144">
        <v>2280</v>
      </c>
      <c r="D8" s="145">
        <v>0</v>
      </c>
      <c r="E8" s="141" t="str">
        <f t="shared" ref="E8:G8" si="7">B16</f>
        <v>M 12 x 20 Hex Bolt for Top Head Cover</v>
      </c>
      <c r="F8" s="141">
        <f t="shared" si="7"/>
        <v>18</v>
      </c>
      <c r="G8" s="141">
        <f t="shared" si="7"/>
        <v>0</v>
      </c>
    </row>
    <row r="9" spans="1:7">
      <c r="A9" s="142">
        <v>3</v>
      </c>
      <c r="B9" s="143" t="s">
        <v>919</v>
      </c>
      <c r="C9" s="144">
        <v>1800</v>
      </c>
      <c r="D9" s="145">
        <v>0</v>
      </c>
      <c r="E9" s="141" t="str">
        <f t="shared" ref="E9:G9" si="8">B17</f>
        <v>M 12 x 40 Hex Bolt</v>
      </c>
      <c r="F9" s="141">
        <f t="shared" si="8"/>
        <v>18</v>
      </c>
      <c r="G9" s="141">
        <f t="shared" si="8"/>
        <v>0</v>
      </c>
    </row>
    <row r="10" spans="1:7">
      <c r="A10" s="142">
        <v>4</v>
      </c>
      <c r="B10" s="143" t="s">
        <v>920</v>
      </c>
      <c r="C10" s="144">
        <v>450</v>
      </c>
      <c r="D10" s="145">
        <v>0</v>
      </c>
      <c r="E10" s="141" t="str">
        <f t="shared" ref="E10:G10" si="9">B18</f>
        <v>M 12 Nut</v>
      </c>
      <c r="F10" s="141">
        <f t="shared" si="9"/>
        <v>12</v>
      </c>
      <c r="G10" s="141">
        <f t="shared" si="9"/>
        <v>0</v>
      </c>
    </row>
    <row r="11" spans="1:7">
      <c r="A11" s="142">
        <v>5</v>
      </c>
      <c r="B11" s="143" t="s">
        <v>922</v>
      </c>
      <c r="C11" s="144">
        <v>300</v>
      </c>
      <c r="D11" s="145">
        <v>0</v>
      </c>
      <c r="E11" s="141" t="str">
        <f t="shared" ref="E11:G11" si="10">B19</f>
        <v>M.12 Washer</v>
      </c>
      <c r="F11" s="141">
        <f t="shared" si="10"/>
        <v>12</v>
      </c>
      <c r="G11" s="141">
        <f t="shared" si="10"/>
        <v>0</v>
      </c>
    </row>
    <row r="12" spans="1:7">
      <c r="A12" s="142">
        <v>6</v>
      </c>
      <c r="B12" s="143" t="s">
        <v>923</v>
      </c>
      <c r="C12" s="144">
        <v>228</v>
      </c>
      <c r="D12" s="145">
        <v>0</v>
      </c>
      <c r="E12" s="141" t="str">
        <f t="shared" ref="E12:G12" si="11">B20</f>
        <v>M 10 x 40 H.T Bolt</v>
      </c>
      <c r="F12" s="141">
        <f t="shared" si="11"/>
        <v>18</v>
      </c>
      <c r="G12" s="141">
        <f t="shared" si="11"/>
        <v>0</v>
      </c>
    </row>
    <row r="13" spans="1:7">
      <c r="A13" s="142">
        <v>7</v>
      </c>
      <c r="B13" s="143" t="s">
        <v>924</v>
      </c>
      <c r="C13" s="144">
        <v>216</v>
      </c>
      <c r="D13" s="145">
        <v>0</v>
      </c>
      <c r="E13" s="141" t="str">
        <f t="shared" ref="E13:G13" si="12">B21</f>
        <v>M.10 Nylon Nut</v>
      </c>
      <c r="F13" s="141">
        <f t="shared" si="12"/>
        <v>12</v>
      </c>
      <c r="G13" s="141">
        <f t="shared" si="12"/>
        <v>0</v>
      </c>
    </row>
    <row r="14" spans="1:7">
      <c r="A14" s="142">
        <v>8</v>
      </c>
      <c r="B14" s="143" t="s">
        <v>925</v>
      </c>
      <c r="C14" s="144">
        <v>240</v>
      </c>
      <c r="D14" s="145">
        <v>0</v>
      </c>
      <c r="E14" s="141" t="str">
        <f t="shared" ref="E14:G14" si="13">B22</f>
        <v>Special Washer for Axle</v>
      </c>
      <c r="F14" s="141">
        <f t="shared" si="13"/>
        <v>12</v>
      </c>
      <c r="G14" s="141">
        <f t="shared" si="13"/>
        <v>0</v>
      </c>
    </row>
    <row r="15" spans="1:7">
      <c r="A15" s="142">
        <v>9</v>
      </c>
      <c r="B15" s="143" t="s">
        <v>927</v>
      </c>
      <c r="C15" s="144">
        <v>24</v>
      </c>
      <c r="D15" s="145">
        <v>0</v>
      </c>
      <c r="E15" s="141" t="str">
        <f t="shared" ref="E15:G15" si="14">B24</f>
        <v>Cylinder Assembly Complete</v>
      </c>
      <c r="F15" s="141">
        <f t="shared" si="14"/>
        <v>3000</v>
      </c>
      <c r="G15" s="141">
        <f t="shared" si="14"/>
        <v>0</v>
      </c>
    </row>
    <row r="16" spans="1:7">
      <c r="A16" s="142">
        <v>10</v>
      </c>
      <c r="B16" s="143" t="s">
        <v>928</v>
      </c>
      <c r="C16" s="144">
        <v>18</v>
      </c>
      <c r="D16" s="145">
        <v>0</v>
      </c>
      <c r="E16" s="141" t="str">
        <f t="shared" ref="E16:G16" si="15">B25</f>
        <v>C.I.Cylinder Body with liner</v>
      </c>
      <c r="F16" s="141">
        <f t="shared" si="15"/>
        <v>1080</v>
      </c>
      <c r="G16" s="141">
        <f t="shared" si="15"/>
        <v>0</v>
      </c>
    </row>
    <row r="17" spans="1:7">
      <c r="A17" s="142">
        <v>11</v>
      </c>
      <c r="B17" s="143" t="s">
        <v>929</v>
      </c>
      <c r="C17" s="144">
        <v>18</v>
      </c>
      <c r="D17" s="145">
        <v>0</v>
      </c>
      <c r="E17" s="141" t="str">
        <f t="shared" ref="E17:G17" si="16">B26</f>
        <v>Plunger Rod S.S</v>
      </c>
      <c r="F17" s="141">
        <f t="shared" si="16"/>
        <v>216</v>
      </c>
      <c r="G17" s="141">
        <f t="shared" si="16"/>
        <v>0</v>
      </c>
    </row>
    <row r="18" spans="1:7">
      <c r="A18" s="142">
        <v>12</v>
      </c>
      <c r="B18" s="143" t="s">
        <v>930</v>
      </c>
      <c r="C18" s="144">
        <v>12</v>
      </c>
      <c r="D18" s="145">
        <v>0</v>
      </c>
      <c r="E18" s="141" t="str">
        <f t="shared" ref="E18:G18" si="17">B27</f>
        <v>Reducer cap</v>
      </c>
      <c r="F18" s="141">
        <f t="shared" si="17"/>
        <v>156</v>
      </c>
      <c r="G18" s="141">
        <f t="shared" si="17"/>
        <v>0</v>
      </c>
    </row>
    <row r="19" spans="1:7">
      <c r="A19" s="142">
        <v>13</v>
      </c>
      <c r="B19" s="143" t="s">
        <v>932</v>
      </c>
      <c r="C19" s="144">
        <v>12</v>
      </c>
      <c r="D19" s="145">
        <v>0</v>
      </c>
      <c r="E19" s="141" t="str">
        <f t="shared" ref="E19:G19" si="18">B28</f>
        <v>Plunger Yoke body</v>
      </c>
      <c r="F19" s="141">
        <f t="shared" si="18"/>
        <v>288</v>
      </c>
      <c r="G19" s="141">
        <f t="shared" si="18"/>
        <v>0</v>
      </c>
    </row>
    <row r="20" spans="1:7">
      <c r="A20" s="142">
        <v>14</v>
      </c>
      <c r="B20" s="143" t="s">
        <v>934</v>
      </c>
      <c r="C20" s="144">
        <v>18</v>
      </c>
      <c r="D20" s="145">
        <v>0</v>
      </c>
      <c r="E20" s="141" t="str">
        <f t="shared" ref="E20:G20" si="19">B29</f>
        <v>Spacer</v>
      </c>
      <c r="F20" s="141">
        <f t="shared" si="19"/>
        <v>228</v>
      </c>
      <c r="G20" s="141">
        <f t="shared" si="19"/>
        <v>0</v>
      </c>
    </row>
    <row r="21" spans="1:7">
      <c r="A21" s="142">
        <v>15</v>
      </c>
      <c r="B21" s="143" t="s">
        <v>935</v>
      </c>
      <c r="C21" s="144">
        <v>12</v>
      </c>
      <c r="D21" s="145">
        <v>0</v>
      </c>
      <c r="E21" s="141" t="str">
        <f t="shared" ref="E21:G21" si="20">B30</f>
        <v>Follower</v>
      </c>
      <c r="F21" s="141">
        <f t="shared" si="20"/>
        <v>252</v>
      </c>
      <c r="G21" s="141">
        <f t="shared" si="20"/>
        <v>0</v>
      </c>
    </row>
    <row r="22" spans="1:7">
      <c r="A22" s="142">
        <v>16</v>
      </c>
      <c r="B22" s="143" t="s">
        <v>937</v>
      </c>
      <c r="C22" s="144">
        <v>12</v>
      </c>
      <c r="D22" s="145">
        <v>0</v>
      </c>
      <c r="E22" s="141" t="str">
        <f t="shared" ref="E22:G22" si="21">B31</f>
        <v>Upper Valve ( one piece)</v>
      </c>
      <c r="F22" s="141">
        <f t="shared" si="21"/>
        <v>90</v>
      </c>
      <c r="G22" s="141">
        <f t="shared" si="21"/>
        <v>0</v>
      </c>
    </row>
    <row r="23" spans="1:7">
      <c r="A23" s="525" t="s">
        <v>939</v>
      </c>
      <c r="B23" s="454"/>
      <c r="C23" s="454"/>
      <c r="D23" s="450"/>
      <c r="E23" s="141" t="str">
        <f t="shared" ref="E23:G23" si="22">B32</f>
        <v>Check valve guide</v>
      </c>
      <c r="F23" s="141">
        <f t="shared" si="22"/>
        <v>120</v>
      </c>
      <c r="G23" s="141">
        <f t="shared" si="22"/>
        <v>0</v>
      </c>
    </row>
    <row r="24" spans="1:7">
      <c r="A24" s="142">
        <v>1</v>
      </c>
      <c r="B24" s="143" t="s">
        <v>941</v>
      </c>
      <c r="C24" s="144">
        <v>3000</v>
      </c>
      <c r="D24" s="145">
        <v>0</v>
      </c>
      <c r="E24" s="141" t="str">
        <f t="shared" ref="E24:G24" si="23">B33</f>
        <v>Check valve seat</v>
      </c>
      <c r="F24" s="141">
        <f t="shared" si="23"/>
        <v>192</v>
      </c>
      <c r="G24" s="141">
        <f t="shared" si="23"/>
        <v>0</v>
      </c>
    </row>
    <row r="25" spans="1:7">
      <c r="A25" s="142">
        <v>2</v>
      </c>
      <c r="B25" s="143" t="s">
        <v>942</v>
      </c>
      <c r="C25" s="144">
        <v>1080</v>
      </c>
      <c r="D25" s="145">
        <v>0</v>
      </c>
      <c r="E25" s="141" t="str">
        <f t="shared" ref="E25:G25" si="24">B34</f>
        <v>Rubber seat Retainer</v>
      </c>
      <c r="F25" s="141">
        <f t="shared" si="24"/>
        <v>96</v>
      </c>
      <c r="G25" s="141">
        <f t="shared" si="24"/>
        <v>0</v>
      </c>
    </row>
    <row r="26" spans="1:7">
      <c r="A26" s="142">
        <v>3</v>
      </c>
      <c r="B26" s="143" t="s">
        <v>944</v>
      </c>
      <c r="C26" s="144">
        <v>216</v>
      </c>
      <c r="D26" s="145">
        <v>0</v>
      </c>
      <c r="E26" s="141" t="str">
        <f t="shared" ref="E26:G26" si="25">B35</f>
        <v>Sealing ring (Nitrile Rubber)</v>
      </c>
      <c r="F26" s="141">
        <f t="shared" si="25"/>
        <v>18</v>
      </c>
      <c r="G26" s="141">
        <f t="shared" si="25"/>
        <v>0</v>
      </c>
    </row>
    <row r="27" spans="1:7">
      <c r="A27" s="142">
        <v>4</v>
      </c>
      <c r="B27" s="143" t="s">
        <v>945</v>
      </c>
      <c r="C27" s="144">
        <v>156</v>
      </c>
      <c r="D27" s="145">
        <v>0</v>
      </c>
      <c r="E27" s="141" t="str">
        <f t="shared" ref="E27:G27" si="26">B36</f>
        <v>Rubber seating upper valve</v>
      </c>
      <c r="F27" s="141">
        <f t="shared" si="26"/>
        <v>12</v>
      </c>
      <c r="G27" s="141">
        <f t="shared" si="26"/>
        <v>0</v>
      </c>
    </row>
    <row r="28" spans="1:7">
      <c r="A28" s="142">
        <v>5</v>
      </c>
      <c r="B28" s="143" t="s">
        <v>947</v>
      </c>
      <c r="C28" s="144">
        <v>288</v>
      </c>
      <c r="D28" s="145">
        <v>0</v>
      </c>
      <c r="E28" s="141" t="str">
        <f t="shared" ref="E28:G28" si="27">B37</f>
        <v>Rubber seating check valve</v>
      </c>
      <c r="F28" s="141">
        <f t="shared" si="27"/>
        <v>12</v>
      </c>
      <c r="G28" s="141">
        <f t="shared" si="27"/>
        <v>0</v>
      </c>
    </row>
    <row r="29" spans="1:7">
      <c r="A29" s="142">
        <v>6</v>
      </c>
      <c r="B29" s="143" t="s">
        <v>948</v>
      </c>
      <c r="C29" s="144">
        <v>228</v>
      </c>
      <c r="D29" s="145">
        <v>0</v>
      </c>
      <c r="E29" s="141" t="str">
        <f t="shared" ref="E29:G29" si="28">B38</f>
        <v>Pump Bucket (Nitrile Rubber)</v>
      </c>
      <c r="F29" s="141">
        <f t="shared" si="28"/>
        <v>30</v>
      </c>
      <c r="G29" s="141">
        <f t="shared" si="28"/>
        <v>0</v>
      </c>
    </row>
    <row r="30" spans="1:7">
      <c r="A30" s="142">
        <v>7</v>
      </c>
      <c r="B30" s="143" t="s">
        <v>949</v>
      </c>
      <c r="C30" s="144">
        <v>252</v>
      </c>
      <c r="D30" s="145">
        <v>0</v>
      </c>
      <c r="E30" s="141" t="str">
        <f t="shared" ref="E30:G30" si="29">B39</f>
        <v>Upper valve Assembly comprising of SS Plunger rod, Plunger Yoke body, 2 spacer &amp; 2 bucket washers</v>
      </c>
      <c r="F30" s="141">
        <f t="shared" si="29"/>
        <v>1200</v>
      </c>
      <c r="G30" s="141">
        <f t="shared" si="29"/>
        <v>0</v>
      </c>
    </row>
    <row r="31" spans="1:7">
      <c r="A31" s="142">
        <v>8</v>
      </c>
      <c r="B31" s="143" t="s">
        <v>952</v>
      </c>
      <c r="C31" s="144">
        <v>90</v>
      </c>
      <c r="D31" s="145">
        <v>0</v>
      </c>
      <c r="E31" s="141" t="str">
        <f t="shared" ref="E31:G31" si="30">B40</f>
        <v>Same as above but without plunger rod</v>
      </c>
      <c r="F31" s="141">
        <f t="shared" si="30"/>
        <v>1080</v>
      </c>
      <c r="G31" s="141">
        <f t="shared" si="30"/>
        <v>0</v>
      </c>
    </row>
    <row r="32" spans="1:7">
      <c r="A32" s="142">
        <v>9</v>
      </c>
      <c r="B32" s="143" t="s">
        <v>953</v>
      </c>
      <c r="C32" s="144">
        <v>120</v>
      </c>
      <c r="D32" s="145">
        <v>0</v>
      </c>
      <c r="E32" s="141" t="str">
        <f t="shared" ref="E32:G32" si="31">B41</f>
        <v>Lower Valve Assembly comprising of Rubber Seat Retainer, Check valve guide and rubber seating</v>
      </c>
      <c r="F32" s="141">
        <f t="shared" si="31"/>
        <v>540</v>
      </c>
      <c r="G32" s="141">
        <f t="shared" si="31"/>
        <v>0</v>
      </c>
    </row>
    <row r="33" spans="1:7">
      <c r="A33" s="142">
        <v>10</v>
      </c>
      <c r="B33" s="143" t="s">
        <v>954</v>
      </c>
      <c r="C33" s="144">
        <v>192</v>
      </c>
      <c r="D33" s="145">
        <v>0</v>
      </c>
      <c r="E33" s="141" t="str">
        <f t="shared" ref="E33:G33" si="32">B43</f>
        <v>Water Tank</v>
      </c>
      <c r="F33" s="141">
        <f t="shared" si="32"/>
        <v>1800</v>
      </c>
      <c r="G33" s="141">
        <f t="shared" si="32"/>
        <v>0</v>
      </c>
    </row>
    <row r="34" spans="1:7">
      <c r="A34" s="142">
        <v>11</v>
      </c>
      <c r="B34" s="143" t="s">
        <v>957</v>
      </c>
      <c r="C34" s="144">
        <v>96</v>
      </c>
      <c r="D34" s="145">
        <v>0</v>
      </c>
      <c r="E34" s="141" t="str">
        <f t="shared" ref="E34:G34" si="33">B44</f>
        <v>Pipe Sockets</v>
      </c>
      <c r="F34" s="141">
        <f t="shared" si="33"/>
        <v>120</v>
      </c>
      <c r="G34" s="141">
        <f t="shared" si="33"/>
        <v>0</v>
      </c>
    </row>
    <row r="35" spans="1:7">
      <c r="A35" s="142">
        <v>12</v>
      </c>
      <c r="B35" s="146" t="s">
        <v>959</v>
      </c>
      <c r="C35" s="144">
        <v>18</v>
      </c>
      <c r="D35" s="145">
        <v>0</v>
      </c>
      <c r="E35" s="141" t="str">
        <f t="shared" ref="E35:G35" si="34">B46</f>
        <v>Pedestal (Ordinary)</v>
      </c>
      <c r="F35" s="141">
        <f t="shared" si="34"/>
        <v>3120</v>
      </c>
      <c r="G35" s="141">
        <f t="shared" si="34"/>
        <v>0</v>
      </c>
    </row>
    <row r="36" spans="1:7">
      <c r="A36" s="142">
        <v>13</v>
      </c>
      <c r="B36" s="143" t="s">
        <v>961</v>
      </c>
      <c r="C36" s="144">
        <v>12</v>
      </c>
      <c r="D36" s="145">
        <v>0</v>
      </c>
      <c r="E36" s="141" t="str">
        <f t="shared" ref="E36:G36" si="35">B48</f>
        <v>12 mm dia x 3 m electro galvanized</v>
      </c>
      <c r="F36" s="141">
        <f t="shared" si="35"/>
        <v>336</v>
      </c>
      <c r="G36" s="141">
        <f t="shared" si="35"/>
        <v>0</v>
      </c>
    </row>
    <row r="37" spans="1:7">
      <c r="A37" s="142">
        <v>14</v>
      </c>
      <c r="B37" s="143" t="s">
        <v>963</v>
      </c>
      <c r="C37" s="144">
        <v>12</v>
      </c>
      <c r="D37" s="145">
        <v>0</v>
      </c>
      <c r="E37" s="141" t="str">
        <f t="shared" ref="E37:G37" si="36">B49</f>
        <v>Hex. Coupler 12 x 50 mm</v>
      </c>
      <c r="F37" s="141">
        <f t="shared" si="36"/>
        <v>30</v>
      </c>
      <c r="G37" s="141">
        <f t="shared" si="36"/>
        <v>0</v>
      </c>
    </row>
    <row r="38" spans="1:7">
      <c r="A38" s="142">
        <v>15</v>
      </c>
      <c r="B38" s="146" t="s">
        <v>964</v>
      </c>
      <c r="C38" s="144">
        <v>30</v>
      </c>
      <c r="D38" s="145">
        <v>0</v>
      </c>
      <c r="E38" s="141" t="str">
        <f t="shared" ref="E38:G38" si="37">B50</f>
        <v>Hex. Coupler 12 x 20 mm</v>
      </c>
      <c r="F38" s="141">
        <f t="shared" si="37"/>
        <v>24</v>
      </c>
      <c r="G38" s="141">
        <f t="shared" si="37"/>
        <v>0</v>
      </c>
    </row>
    <row r="39" spans="1:7">
      <c r="A39" s="142">
        <v>16</v>
      </c>
      <c r="B39" s="143" t="s">
        <v>965</v>
      </c>
      <c r="C39" s="144">
        <v>1200</v>
      </c>
      <c r="D39" s="145">
        <v>0</v>
      </c>
      <c r="E39" s="141" t="str">
        <f t="shared" ref="E39:G39" si="38">B52</f>
        <v>GI Riser pipe (B class) 3 m long 32mm bore size both end threaded with one end socket (Code: 1548 - Including Water Charge and CPOH)</v>
      </c>
      <c r="F39" s="141">
        <f t="shared" si="38"/>
        <v>0</v>
      </c>
      <c r="G39" s="141">
        <f t="shared" si="38"/>
        <v>784.02</v>
      </c>
    </row>
    <row r="40" spans="1:7">
      <c r="A40" s="142">
        <v>17</v>
      </c>
      <c r="B40" s="143" t="s">
        <v>967</v>
      </c>
      <c r="C40" s="144">
        <v>1080</v>
      </c>
      <c r="D40" s="145">
        <v>0</v>
      </c>
      <c r="E40" s="141" t="str">
        <f t="shared" ref="E40:G40" si="39">B54</f>
        <v>Cylinder Extra deep well hand pump</v>
      </c>
      <c r="F40" s="141">
        <f t="shared" si="39"/>
        <v>4320</v>
      </c>
      <c r="G40" s="141">
        <f t="shared" si="39"/>
        <v>0</v>
      </c>
    </row>
    <row r="41" spans="1:7">
      <c r="A41" s="142">
        <v>18</v>
      </c>
      <c r="B41" s="143" t="s">
        <v>968</v>
      </c>
      <c r="C41" s="144">
        <v>540</v>
      </c>
      <c r="D41" s="145">
        <v>0</v>
      </c>
      <c r="E41" s="141" t="str">
        <f t="shared" ref="E41:G41" si="40">B55</f>
        <v>Head Assembly for extra deep well pump with T</v>
      </c>
      <c r="F41" s="141">
        <f t="shared" si="40"/>
        <v>7200</v>
      </c>
      <c r="G41" s="141">
        <f t="shared" si="40"/>
        <v>0</v>
      </c>
    </row>
    <row r="42" spans="1:7">
      <c r="A42" s="525" t="s">
        <v>970</v>
      </c>
      <c r="B42" s="454"/>
      <c r="C42" s="454"/>
      <c r="D42" s="450"/>
      <c r="E42" s="141" t="str">
        <f t="shared" ref="E42:G42" si="41">B57</f>
        <v xml:space="preserve"> ISI marked India Mark II (Standard) Deep well hand pumps confirming to IS: 15500 (Part II) 2004 complete with 10 Nos. GI pipe (B class) 3m long  32mm bore both end threaded with one end socket and 10 Nos connecting rods</v>
      </c>
      <c r="F42" s="141">
        <f t="shared" si="41"/>
        <v>31000</v>
      </c>
      <c r="G42" s="141">
        <f t="shared" si="41"/>
        <v>0</v>
      </c>
    </row>
    <row r="43" spans="1:7">
      <c r="A43" s="142">
        <v>1</v>
      </c>
      <c r="B43" s="146" t="s">
        <v>970</v>
      </c>
      <c r="C43" s="144">
        <v>1800</v>
      </c>
      <c r="D43" s="145">
        <v>0</v>
      </c>
      <c r="E43" s="141" t="str">
        <f t="shared" ref="E43:G43" si="42">B58</f>
        <v xml:space="preserve"> ISI marked India Mark II (Standard) Extra Deep well hand pumps confirming to IS: 15500 (Part II) 2004 complete with 20 Nos. GI pipe (B class) 3m long  32mm bore both end threaded with one end socket and 20 Nos connecting rods</v>
      </c>
      <c r="F43" s="141">
        <f t="shared" si="42"/>
        <v>49000</v>
      </c>
      <c r="G43" s="141">
        <f t="shared" si="42"/>
        <v>0</v>
      </c>
    </row>
    <row r="44" spans="1:7">
      <c r="A44" s="142">
        <v>2</v>
      </c>
      <c r="B44" s="146" t="s">
        <v>972</v>
      </c>
      <c r="C44" s="144">
        <v>120</v>
      </c>
      <c r="D44" s="145">
        <v>0</v>
      </c>
      <c r="E44" s="141">
        <f t="shared" ref="E44:E51" si="43">B59</f>
        <v>0</v>
      </c>
      <c r="F44" s="141"/>
      <c r="G44" s="141"/>
    </row>
    <row r="45" spans="1:7">
      <c r="A45" s="525" t="s">
        <v>973</v>
      </c>
      <c r="B45" s="454"/>
      <c r="C45" s="454"/>
      <c r="D45" s="450"/>
      <c r="E45" s="141">
        <f t="shared" si="43"/>
        <v>0</v>
      </c>
      <c r="F45" s="141"/>
      <c r="G45" s="141"/>
    </row>
    <row r="46" spans="1:7">
      <c r="A46" s="142">
        <v>1</v>
      </c>
      <c r="B46" s="146" t="s">
        <v>974</v>
      </c>
      <c r="C46" s="144">
        <v>3120</v>
      </c>
      <c r="D46" s="145">
        <v>0</v>
      </c>
      <c r="E46" s="141">
        <f t="shared" si="43"/>
        <v>0</v>
      </c>
      <c r="F46" s="141"/>
      <c r="G46" s="141"/>
    </row>
    <row r="47" spans="1:7">
      <c r="A47" s="525" t="s">
        <v>975</v>
      </c>
      <c r="B47" s="454"/>
      <c r="C47" s="454"/>
      <c r="D47" s="450"/>
      <c r="E47" s="141">
        <f t="shared" si="43"/>
        <v>0</v>
      </c>
      <c r="F47" s="141"/>
      <c r="G47" s="141"/>
    </row>
    <row r="48" spans="1:7">
      <c r="A48" s="142">
        <v>1</v>
      </c>
      <c r="B48" s="143" t="s">
        <v>976</v>
      </c>
      <c r="C48" s="144">
        <v>336</v>
      </c>
      <c r="D48" s="145">
        <v>0</v>
      </c>
      <c r="E48" s="141">
        <f t="shared" si="43"/>
        <v>0</v>
      </c>
      <c r="F48" s="141"/>
      <c r="G48" s="141"/>
    </row>
    <row r="49" spans="1:7">
      <c r="A49" s="142">
        <v>2</v>
      </c>
      <c r="B49" s="143" t="s">
        <v>979</v>
      </c>
      <c r="C49" s="144">
        <v>30</v>
      </c>
      <c r="D49" s="145">
        <v>0</v>
      </c>
      <c r="E49" s="141">
        <f t="shared" si="43"/>
        <v>0</v>
      </c>
      <c r="F49" s="141"/>
      <c r="G49" s="141"/>
    </row>
    <row r="50" spans="1:7">
      <c r="A50" s="142">
        <v>3</v>
      </c>
      <c r="B50" s="143" t="s">
        <v>980</v>
      </c>
      <c r="C50" s="144">
        <v>24</v>
      </c>
      <c r="D50" s="145">
        <v>0</v>
      </c>
      <c r="E50" s="141">
        <f t="shared" si="43"/>
        <v>0</v>
      </c>
      <c r="F50" s="141"/>
      <c r="G50" s="141"/>
    </row>
    <row r="51" spans="1:7">
      <c r="A51" s="525" t="s">
        <v>981</v>
      </c>
      <c r="B51" s="454"/>
      <c r="C51" s="454"/>
      <c r="D51" s="450"/>
      <c r="E51" s="141">
        <f t="shared" si="43"/>
        <v>0</v>
      </c>
      <c r="F51" s="141"/>
      <c r="G51" s="141"/>
    </row>
    <row r="52" spans="1:7">
      <c r="A52" s="142">
        <v>1</v>
      </c>
      <c r="B52" s="146" t="s">
        <v>982</v>
      </c>
      <c r="C52" s="145">
        <v>0</v>
      </c>
      <c r="D52" s="145">
        <f>261.34*3</f>
        <v>784.02</v>
      </c>
      <c r="E52" s="154"/>
      <c r="F52" s="154"/>
      <c r="G52" s="154"/>
    </row>
    <row r="53" spans="1:7">
      <c r="A53" s="525" t="s">
        <v>984</v>
      </c>
      <c r="B53" s="454"/>
      <c r="C53" s="454"/>
      <c r="D53" s="450"/>
      <c r="E53" s="154"/>
      <c r="F53" s="154"/>
      <c r="G53" s="154"/>
    </row>
    <row r="54" spans="1:7">
      <c r="A54" s="142">
        <v>1</v>
      </c>
      <c r="B54" s="146" t="s">
        <v>986</v>
      </c>
      <c r="C54" s="144">
        <v>4320</v>
      </c>
      <c r="D54" s="145">
        <v>0</v>
      </c>
      <c r="E54" s="154"/>
      <c r="F54" s="154"/>
      <c r="G54" s="154"/>
    </row>
    <row r="55" spans="1:7">
      <c r="A55" s="142">
        <v>2</v>
      </c>
      <c r="B55" s="143" t="s">
        <v>987</v>
      </c>
      <c r="C55" s="144">
        <v>7200</v>
      </c>
      <c r="D55" s="145">
        <v>0</v>
      </c>
      <c r="E55" s="154"/>
      <c r="F55" s="154"/>
      <c r="G55" s="154"/>
    </row>
    <row r="56" spans="1:7">
      <c r="A56" s="525" t="s">
        <v>988</v>
      </c>
      <c r="B56" s="454"/>
      <c r="C56" s="454"/>
      <c r="D56" s="450"/>
      <c r="E56" s="154"/>
      <c r="F56" s="154"/>
      <c r="G56" s="154"/>
    </row>
    <row r="57" spans="1:7">
      <c r="A57" s="142">
        <v>1</v>
      </c>
      <c r="B57" s="143" t="s">
        <v>991</v>
      </c>
      <c r="C57" s="158">
        <v>31000</v>
      </c>
      <c r="D57" s="145">
        <v>0</v>
      </c>
      <c r="E57" s="154"/>
      <c r="F57" s="154"/>
      <c r="G57" s="154"/>
    </row>
    <row r="58" spans="1:7">
      <c r="A58" s="142">
        <v>2</v>
      </c>
      <c r="B58" s="143" t="s">
        <v>992</v>
      </c>
      <c r="C58" s="158">
        <v>49000</v>
      </c>
      <c r="D58" s="145">
        <v>0</v>
      </c>
      <c r="E58" s="154"/>
      <c r="F58" s="154"/>
      <c r="G58" s="154"/>
    </row>
  </sheetData>
  <mergeCells count="13">
    <mergeCell ref="A56:D56"/>
    <mergeCell ref="A1:D1"/>
    <mergeCell ref="A2:D2"/>
    <mergeCell ref="A3:D3"/>
    <mergeCell ref="A4:D4"/>
    <mergeCell ref="A5:D5"/>
    <mergeCell ref="A6:D6"/>
    <mergeCell ref="A23:D23"/>
    <mergeCell ref="A42:D42"/>
    <mergeCell ref="A45:D45"/>
    <mergeCell ref="A47:D47"/>
    <mergeCell ref="A51:D51"/>
    <mergeCell ref="A53:D53"/>
  </mergeCell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H52"/>
  <sheetViews>
    <sheetView workbookViewId="0"/>
  </sheetViews>
  <sheetFormatPr defaultColWidth="14.453125" defaultRowHeight="15" customHeight="1"/>
  <cols>
    <col min="1" max="1" width="7.08984375" customWidth="1"/>
    <col min="2" max="2" width="38.453125" customWidth="1"/>
    <col min="3" max="3" width="7.08984375" customWidth="1"/>
    <col min="4" max="4" width="6.453125" customWidth="1"/>
    <col min="5" max="5" width="9.54296875" customWidth="1"/>
    <col min="6" max="6" width="10.26953125" customWidth="1"/>
    <col min="7" max="8" width="19.7265625" customWidth="1"/>
  </cols>
  <sheetData>
    <row r="1" spans="1:8">
      <c r="A1" s="459" t="s">
        <v>998</v>
      </c>
      <c r="B1" s="454"/>
      <c r="C1" s="454"/>
      <c r="D1" s="454"/>
      <c r="E1" s="454"/>
      <c r="F1" s="454"/>
      <c r="G1" s="450"/>
      <c r="H1" s="159" t="s">
        <v>3</v>
      </c>
    </row>
    <row r="2" spans="1:8" ht="17">
      <c r="A2" s="7">
        <v>1</v>
      </c>
      <c r="B2" s="4" t="s">
        <v>999</v>
      </c>
      <c r="C2" s="7">
        <v>110</v>
      </c>
      <c r="D2" s="7" t="s">
        <v>835</v>
      </c>
      <c r="E2" s="7">
        <v>170</v>
      </c>
      <c r="F2" s="7" t="s">
        <v>1000</v>
      </c>
      <c r="G2" s="160">
        <f t="shared" ref="G2:G3" si="0">C2*E2/100</f>
        <v>187</v>
      </c>
      <c r="H2" s="160"/>
    </row>
    <row r="3" spans="1:8" ht="17">
      <c r="A3" s="7">
        <v>2</v>
      </c>
      <c r="B3" s="4" t="s">
        <v>1002</v>
      </c>
      <c r="C3" s="7">
        <v>150</v>
      </c>
      <c r="D3" s="7" t="s">
        <v>835</v>
      </c>
      <c r="E3" s="7">
        <v>65</v>
      </c>
      <c r="F3" s="7" t="s">
        <v>1000</v>
      </c>
      <c r="G3" s="160">
        <f t="shared" si="0"/>
        <v>97.5</v>
      </c>
      <c r="H3" s="160"/>
    </row>
    <row r="4" spans="1:8">
      <c r="A4" s="7">
        <v>3</v>
      </c>
      <c r="B4" s="3" t="s">
        <v>1004</v>
      </c>
      <c r="C4" s="7">
        <v>1</v>
      </c>
      <c r="D4" s="7" t="s">
        <v>1005</v>
      </c>
      <c r="E4" s="5">
        <f t="array" ref="E4">IFERROR(INDEX(LMRRates,MATCH(H4,LMRCodes,0), ), )</f>
        <v>64</v>
      </c>
      <c r="F4" s="7" t="s">
        <v>1007</v>
      </c>
      <c r="G4" s="160">
        <f t="shared" ref="G4:G8" si="1">C4*E4</f>
        <v>64</v>
      </c>
      <c r="H4" s="161" t="s">
        <v>1009</v>
      </c>
    </row>
    <row r="5" spans="1:8">
      <c r="A5" s="7">
        <v>4</v>
      </c>
      <c r="B5" s="4" t="s">
        <v>1010</v>
      </c>
      <c r="C5" s="7">
        <v>1</v>
      </c>
      <c r="D5" s="7" t="s">
        <v>1005</v>
      </c>
      <c r="E5" s="7">
        <v>40</v>
      </c>
      <c r="F5" s="7" t="s">
        <v>1007</v>
      </c>
      <c r="G5" s="160">
        <f t="shared" si="1"/>
        <v>40</v>
      </c>
      <c r="H5" s="160"/>
    </row>
    <row r="6" spans="1:8">
      <c r="A6" s="7">
        <v>5</v>
      </c>
      <c r="B6" s="4" t="s">
        <v>1012</v>
      </c>
      <c r="C6" s="7">
        <v>2</v>
      </c>
      <c r="D6" s="5" t="s">
        <v>1005</v>
      </c>
      <c r="E6" s="7">
        <v>45</v>
      </c>
      <c r="F6" s="7" t="s">
        <v>1007</v>
      </c>
      <c r="G6" s="160">
        <f t="shared" si="1"/>
        <v>90</v>
      </c>
      <c r="H6" s="160"/>
    </row>
    <row r="7" spans="1:8">
      <c r="A7" s="7">
        <v>6</v>
      </c>
      <c r="B7" s="3" t="s">
        <v>1015</v>
      </c>
      <c r="C7" s="7">
        <v>1</v>
      </c>
      <c r="D7" s="7" t="s">
        <v>1005</v>
      </c>
      <c r="E7" s="7">
        <v>45</v>
      </c>
      <c r="F7" s="7" t="s">
        <v>1007</v>
      </c>
      <c r="G7" s="160">
        <f t="shared" si="1"/>
        <v>45</v>
      </c>
      <c r="H7" s="160"/>
    </row>
    <row r="8" spans="1:8">
      <c r="A8" s="7">
        <v>7</v>
      </c>
      <c r="B8" s="4" t="s">
        <v>1016</v>
      </c>
      <c r="C8" s="7">
        <v>1</v>
      </c>
      <c r="D8" s="7" t="s">
        <v>1005</v>
      </c>
      <c r="E8" s="7">
        <v>55</v>
      </c>
      <c r="F8" s="7" t="s">
        <v>1007</v>
      </c>
      <c r="G8" s="160">
        <f t="shared" si="1"/>
        <v>55</v>
      </c>
      <c r="H8" s="160"/>
    </row>
    <row r="9" spans="1:8">
      <c r="A9" s="7"/>
      <c r="B9" s="4" t="s">
        <v>1017</v>
      </c>
      <c r="C9" s="7"/>
      <c r="D9" s="7"/>
      <c r="E9" s="7"/>
      <c r="F9" s="7"/>
      <c r="G9" s="160">
        <f>SUM(G2:G8)</f>
        <v>578.5</v>
      </c>
      <c r="H9" s="160"/>
    </row>
    <row r="10" spans="1:8">
      <c r="A10" s="7"/>
      <c r="B10" s="4" t="s">
        <v>896</v>
      </c>
      <c r="C10" s="7"/>
      <c r="D10" s="7"/>
      <c r="E10" s="7"/>
      <c r="F10" s="7"/>
      <c r="G10" s="160">
        <f>G9*0.01</f>
        <v>5.7850000000000001</v>
      </c>
      <c r="H10" s="160"/>
    </row>
    <row r="11" spans="1:8">
      <c r="A11" s="7"/>
      <c r="B11" s="4" t="s">
        <v>40</v>
      </c>
      <c r="C11" s="7"/>
      <c r="D11" s="7"/>
      <c r="E11" s="7"/>
      <c r="F11" s="7"/>
      <c r="G11" s="160">
        <f>SUM(G9:G10)</f>
        <v>584.28499999999997</v>
      </c>
      <c r="H11" s="160"/>
    </row>
    <row r="12" spans="1:8">
      <c r="A12" s="7"/>
      <c r="B12" s="4" t="s">
        <v>898</v>
      </c>
      <c r="C12" s="7"/>
      <c r="D12" s="7"/>
      <c r="E12" s="7"/>
      <c r="F12" s="7"/>
      <c r="G12" s="160">
        <f>G11*15%</f>
        <v>87.642749999999992</v>
      </c>
      <c r="H12" s="160"/>
    </row>
    <row r="13" spans="1:8">
      <c r="A13" s="7"/>
      <c r="B13" s="3" t="s">
        <v>1025</v>
      </c>
      <c r="C13" s="7"/>
      <c r="D13" s="7"/>
      <c r="E13" s="7"/>
      <c r="F13" s="7"/>
      <c r="G13" s="167">
        <f>ROUND(SUM(G11:G12),2)</f>
        <v>671.93</v>
      </c>
      <c r="H13" s="167"/>
    </row>
    <row r="14" spans="1:8" ht="30">
      <c r="A14" s="7">
        <v>8</v>
      </c>
      <c r="B14" s="3" t="s">
        <v>1030</v>
      </c>
      <c r="C14" s="7">
        <v>0.1</v>
      </c>
      <c r="D14" s="7" t="s">
        <v>1031</v>
      </c>
      <c r="E14" s="5">
        <v>249.03</v>
      </c>
      <c r="F14" s="7" t="s">
        <v>1032</v>
      </c>
      <c r="G14" s="160">
        <f t="shared" ref="G14:G19" si="2">C14*E14</f>
        <v>24.903000000000002</v>
      </c>
      <c r="H14" s="160"/>
    </row>
    <row r="15" spans="1:8" ht="60">
      <c r="A15" s="7">
        <v>9</v>
      </c>
      <c r="B15" s="3" t="s">
        <v>1038</v>
      </c>
      <c r="C15" s="7">
        <v>0.14599999999999999</v>
      </c>
      <c r="D15" s="7" t="s">
        <v>1039</v>
      </c>
      <c r="E15" s="168">
        <v>6393.89</v>
      </c>
      <c r="F15" s="7" t="s">
        <v>1032</v>
      </c>
      <c r="G15" s="160">
        <f t="shared" si="2"/>
        <v>933.50793999999996</v>
      </c>
      <c r="H15" s="160"/>
    </row>
    <row r="16" spans="1:8" ht="17">
      <c r="A16" s="7">
        <v>10</v>
      </c>
      <c r="B16" s="3" t="s">
        <v>1042</v>
      </c>
      <c r="C16" s="7">
        <f>2*(0.8+0.5)*0.1</f>
        <v>0.26</v>
      </c>
      <c r="D16" s="7" t="s">
        <v>1048</v>
      </c>
      <c r="E16" s="5">
        <v>267.33</v>
      </c>
      <c r="F16" s="7" t="s">
        <v>1049</v>
      </c>
      <c r="G16" s="160">
        <f t="shared" si="2"/>
        <v>69.505799999999994</v>
      </c>
      <c r="H16" s="160"/>
    </row>
    <row r="17" spans="1:8" ht="45">
      <c r="A17" s="7">
        <v>11</v>
      </c>
      <c r="B17" s="4" t="s">
        <v>1052</v>
      </c>
      <c r="C17" s="7">
        <f>0.8*0.5+C16</f>
        <v>0.66</v>
      </c>
      <c r="D17" s="7" t="s">
        <v>1055</v>
      </c>
      <c r="E17" s="5">
        <v>255.98</v>
      </c>
      <c r="F17" s="7" t="s">
        <v>1056</v>
      </c>
      <c r="G17" s="160">
        <f t="shared" si="2"/>
        <v>168.9468</v>
      </c>
      <c r="H17" s="160"/>
    </row>
    <row r="18" spans="1:8" ht="60">
      <c r="A18" s="456">
        <v>12</v>
      </c>
      <c r="B18" s="3" t="s">
        <v>1059</v>
      </c>
      <c r="C18" s="7">
        <v>0.22</v>
      </c>
      <c r="D18" s="5" t="s">
        <v>875</v>
      </c>
      <c r="E18" s="5">
        <v>784</v>
      </c>
      <c r="F18" s="5" t="s">
        <v>876</v>
      </c>
      <c r="G18" s="160">
        <f t="shared" si="2"/>
        <v>172.48</v>
      </c>
      <c r="H18" s="160"/>
    </row>
    <row r="19" spans="1:8">
      <c r="A19" s="457"/>
      <c r="B19" s="3" t="s">
        <v>1060</v>
      </c>
      <c r="C19" s="7">
        <v>0.22</v>
      </c>
      <c r="D19" s="5" t="s">
        <v>875</v>
      </c>
      <c r="E19" s="5">
        <v>645</v>
      </c>
      <c r="F19" s="5" t="s">
        <v>876</v>
      </c>
      <c r="G19" s="160">
        <f t="shared" si="2"/>
        <v>141.9</v>
      </c>
      <c r="H19" s="160"/>
    </row>
    <row r="20" spans="1:8">
      <c r="A20" s="7"/>
      <c r="B20" s="4" t="s">
        <v>1064</v>
      </c>
      <c r="C20" s="7"/>
      <c r="D20" s="7"/>
      <c r="E20" s="7"/>
      <c r="F20" s="7"/>
      <c r="G20" s="160">
        <f>SUM(G18:G19)</f>
        <v>314.38</v>
      </c>
      <c r="H20" s="160"/>
    </row>
    <row r="21" spans="1:8">
      <c r="A21" s="7"/>
      <c r="B21" s="4" t="s">
        <v>896</v>
      </c>
      <c r="C21" s="7"/>
      <c r="D21" s="7"/>
      <c r="E21" s="7"/>
      <c r="F21" s="7"/>
      <c r="G21" s="160">
        <f>G20*0.01</f>
        <v>3.1438000000000001</v>
      </c>
      <c r="H21" s="160"/>
    </row>
    <row r="22" spans="1:8">
      <c r="A22" s="7"/>
      <c r="B22" s="4" t="s">
        <v>40</v>
      </c>
      <c r="C22" s="7"/>
      <c r="D22" s="7"/>
      <c r="E22" s="7"/>
      <c r="F22" s="7"/>
      <c r="G22" s="160">
        <f>SUM(G20:G21)</f>
        <v>317.52379999999999</v>
      </c>
      <c r="H22" s="160"/>
    </row>
    <row r="23" spans="1:8">
      <c r="A23" s="7"/>
      <c r="B23" s="4" t="s">
        <v>898</v>
      </c>
      <c r="C23" s="7"/>
      <c r="D23" s="7"/>
      <c r="E23" s="7"/>
      <c r="F23" s="7"/>
      <c r="G23" s="160">
        <f>G22*15%</f>
        <v>47.628569999999996</v>
      </c>
      <c r="H23" s="160"/>
    </row>
    <row r="24" spans="1:8">
      <c r="A24" s="7"/>
      <c r="B24" s="5" t="s">
        <v>1072</v>
      </c>
      <c r="C24" s="7"/>
      <c r="D24" s="7"/>
      <c r="E24" s="7"/>
      <c r="F24" s="7"/>
      <c r="G24" s="160">
        <f>SUM(G22:G23)</f>
        <v>365.15237000000002</v>
      </c>
      <c r="H24" s="160"/>
    </row>
    <row r="25" spans="1:8">
      <c r="A25" s="7"/>
      <c r="B25" s="159" t="s">
        <v>1025</v>
      </c>
      <c r="C25" s="7"/>
      <c r="D25" s="7"/>
      <c r="E25" s="7"/>
      <c r="F25" s="7"/>
      <c r="G25" s="167">
        <f>ROUND(G14+G15+G16+G17+G24,2)</f>
        <v>1562.02</v>
      </c>
      <c r="H25" s="167"/>
    </row>
    <row r="26" spans="1:8" ht="21.75" customHeight="1">
      <c r="A26" s="459" t="str">
        <f>CONCATENATE("Say ₹ ",G13," + ",G25," x Cost Index")</f>
        <v>Say ₹ 671.93 + 1562.02 x Cost Index</v>
      </c>
      <c r="B26" s="454"/>
      <c r="C26" s="454"/>
      <c r="D26" s="454"/>
      <c r="E26" s="454"/>
      <c r="F26" s="454"/>
      <c r="G26" s="450"/>
      <c r="H26" s="159"/>
    </row>
    <row r="27" spans="1:8">
      <c r="A27" s="527" t="s">
        <v>1086</v>
      </c>
      <c r="B27" s="454"/>
      <c r="C27" s="454"/>
      <c r="D27" s="454"/>
      <c r="E27" s="454"/>
      <c r="F27" s="454"/>
      <c r="G27" s="450"/>
      <c r="H27" s="174"/>
    </row>
    <row r="28" spans="1:8" ht="17">
      <c r="A28" s="175">
        <v>1</v>
      </c>
      <c r="B28" s="176" t="s">
        <v>1093</v>
      </c>
      <c r="C28" s="175">
        <v>110</v>
      </c>
      <c r="D28" s="175" t="s">
        <v>835</v>
      </c>
      <c r="E28" s="175">
        <v>170</v>
      </c>
      <c r="F28" s="175" t="s">
        <v>1000</v>
      </c>
      <c r="G28" s="177">
        <f t="shared" ref="G28:G29" si="3">C28*E28/100</f>
        <v>187</v>
      </c>
      <c r="H28" s="177"/>
    </row>
    <row r="29" spans="1:8" ht="17">
      <c r="A29" s="175">
        <v>2</v>
      </c>
      <c r="B29" s="176" t="s">
        <v>1099</v>
      </c>
      <c r="C29" s="175">
        <v>150</v>
      </c>
      <c r="D29" s="175" t="s">
        <v>835</v>
      </c>
      <c r="E29" s="175">
        <v>65</v>
      </c>
      <c r="F29" s="175" t="s">
        <v>1000</v>
      </c>
      <c r="G29" s="177">
        <f t="shared" si="3"/>
        <v>97.5</v>
      </c>
      <c r="H29" s="177"/>
    </row>
    <row r="30" spans="1:8">
      <c r="A30" s="175">
        <v>3</v>
      </c>
      <c r="B30" s="178" t="s">
        <v>1004</v>
      </c>
      <c r="C30" s="175">
        <v>1</v>
      </c>
      <c r="D30" s="175" t="s">
        <v>1005</v>
      </c>
      <c r="E30" s="179">
        <f t="array" ref="E30">IFERROR(INDEX(LMRRates,MATCH(H30,LMRCodes,0), ), )</f>
        <v>64</v>
      </c>
      <c r="F30" s="175" t="s">
        <v>1007</v>
      </c>
      <c r="G30" s="177">
        <f t="shared" ref="G30:G34" si="4">C30*E30</f>
        <v>64</v>
      </c>
      <c r="H30" s="180" t="s">
        <v>1009</v>
      </c>
    </row>
    <row r="31" spans="1:8">
      <c r="A31" s="175">
        <v>4</v>
      </c>
      <c r="B31" s="176" t="s">
        <v>1010</v>
      </c>
      <c r="C31" s="175">
        <v>1</v>
      </c>
      <c r="D31" s="175" t="s">
        <v>1005</v>
      </c>
      <c r="E31" s="175">
        <v>40</v>
      </c>
      <c r="F31" s="175" t="s">
        <v>1007</v>
      </c>
      <c r="G31" s="177">
        <f t="shared" si="4"/>
        <v>40</v>
      </c>
      <c r="H31" s="177"/>
    </row>
    <row r="32" spans="1:8">
      <c r="A32" s="175">
        <v>5</v>
      </c>
      <c r="B32" s="176" t="s">
        <v>1012</v>
      </c>
      <c r="C32" s="175">
        <v>2</v>
      </c>
      <c r="D32" s="175" t="s">
        <v>996</v>
      </c>
      <c r="E32" s="175">
        <v>45</v>
      </c>
      <c r="F32" s="175" t="s">
        <v>1007</v>
      </c>
      <c r="G32" s="177">
        <f t="shared" si="4"/>
        <v>90</v>
      </c>
      <c r="H32" s="177"/>
    </row>
    <row r="33" spans="1:8">
      <c r="A33" s="175">
        <v>6</v>
      </c>
      <c r="B33" s="176" t="s">
        <v>1108</v>
      </c>
      <c r="C33" s="175">
        <v>1</v>
      </c>
      <c r="D33" s="175" t="s">
        <v>1005</v>
      </c>
      <c r="E33" s="175">
        <v>45</v>
      </c>
      <c r="F33" s="175" t="s">
        <v>1007</v>
      </c>
      <c r="G33" s="177">
        <f t="shared" si="4"/>
        <v>45</v>
      </c>
      <c r="H33" s="177"/>
    </row>
    <row r="34" spans="1:8">
      <c r="A34" s="175">
        <v>7</v>
      </c>
      <c r="B34" s="176" t="s">
        <v>1016</v>
      </c>
      <c r="C34" s="175">
        <v>1</v>
      </c>
      <c r="D34" s="175"/>
      <c r="E34" s="175">
        <v>55</v>
      </c>
      <c r="F34" s="175" t="s">
        <v>1007</v>
      </c>
      <c r="G34" s="177">
        <f t="shared" si="4"/>
        <v>55</v>
      </c>
      <c r="H34" s="177"/>
    </row>
    <row r="35" spans="1:8">
      <c r="A35" s="175"/>
      <c r="B35" s="176" t="s">
        <v>1017</v>
      </c>
      <c r="C35" s="175"/>
      <c r="D35" s="175"/>
      <c r="E35" s="175"/>
      <c r="F35" s="175"/>
      <c r="G35" s="177">
        <f>SUM(G28:G34)</f>
        <v>578.5</v>
      </c>
      <c r="H35" s="177"/>
    </row>
    <row r="36" spans="1:8">
      <c r="A36" s="175"/>
      <c r="B36" s="176" t="s">
        <v>896</v>
      </c>
      <c r="C36" s="175"/>
      <c r="D36" s="175"/>
      <c r="E36" s="175"/>
      <c r="F36" s="175"/>
      <c r="G36" s="177">
        <f>G35*0.01</f>
        <v>5.7850000000000001</v>
      </c>
      <c r="H36" s="177"/>
    </row>
    <row r="37" spans="1:8">
      <c r="A37" s="175"/>
      <c r="B37" s="176" t="s">
        <v>40</v>
      </c>
      <c r="C37" s="175"/>
      <c r="D37" s="175"/>
      <c r="E37" s="175"/>
      <c r="F37" s="175"/>
      <c r="G37" s="177">
        <f>SUM(G35:G36)</f>
        <v>584.28499999999997</v>
      </c>
      <c r="H37" s="177"/>
    </row>
    <row r="38" spans="1:8">
      <c r="A38" s="175"/>
      <c r="B38" s="176" t="s">
        <v>898</v>
      </c>
      <c r="C38" s="175"/>
      <c r="D38" s="175"/>
      <c r="E38" s="175"/>
      <c r="F38" s="175"/>
      <c r="G38" s="177">
        <f>G37*15%</f>
        <v>87.642749999999992</v>
      </c>
      <c r="H38" s="177"/>
    </row>
    <row r="39" spans="1:8">
      <c r="A39" s="175"/>
      <c r="B39" s="178" t="s">
        <v>1025</v>
      </c>
      <c r="C39" s="175"/>
      <c r="D39" s="175"/>
      <c r="E39" s="175"/>
      <c r="F39" s="175"/>
      <c r="G39" s="192">
        <f>ROUND(SUM(G37:G38),2)</f>
        <v>671.93</v>
      </c>
      <c r="H39" s="192"/>
    </row>
    <row r="40" spans="1:8" ht="30">
      <c r="A40" s="175">
        <v>8</v>
      </c>
      <c r="B40" s="178" t="s">
        <v>1030</v>
      </c>
      <c r="C40" s="175">
        <v>5.3999999999999999E-2</v>
      </c>
      <c r="D40" s="175" t="s">
        <v>1125</v>
      </c>
      <c r="E40" s="179">
        <v>249.03</v>
      </c>
      <c r="F40" s="175" t="s">
        <v>1032</v>
      </c>
      <c r="G40" s="177">
        <f t="shared" ref="G40:G45" si="5">C40*E40</f>
        <v>13.447620000000001</v>
      </c>
      <c r="H40" s="177"/>
    </row>
    <row r="41" spans="1:8" ht="60">
      <c r="A41" s="175">
        <v>9</v>
      </c>
      <c r="B41" s="178" t="s">
        <v>1038</v>
      </c>
      <c r="C41" s="175">
        <v>0.08</v>
      </c>
      <c r="D41" s="175" t="s">
        <v>1126</v>
      </c>
      <c r="E41" s="194">
        <v>6393.89</v>
      </c>
      <c r="F41" s="175" t="s">
        <v>1032</v>
      </c>
      <c r="G41" s="177">
        <f t="shared" si="5"/>
        <v>511.51120000000003</v>
      </c>
      <c r="H41" s="177"/>
    </row>
    <row r="42" spans="1:8" ht="17">
      <c r="A42" s="175">
        <v>10</v>
      </c>
      <c r="B42" s="178" t="s">
        <v>1042</v>
      </c>
      <c r="C42" s="175">
        <v>0.18</v>
      </c>
      <c r="D42" s="175" t="s">
        <v>1128</v>
      </c>
      <c r="E42" s="179">
        <v>267.33</v>
      </c>
      <c r="F42" s="175" t="s">
        <v>1129</v>
      </c>
      <c r="G42" s="177">
        <f t="shared" si="5"/>
        <v>48.119399999999999</v>
      </c>
      <c r="H42" s="177"/>
    </row>
    <row r="43" spans="1:8" ht="45">
      <c r="A43" s="175">
        <v>11</v>
      </c>
      <c r="B43" s="176" t="s">
        <v>1052</v>
      </c>
      <c r="C43" s="175">
        <v>0.36</v>
      </c>
      <c r="D43" s="175" t="s">
        <v>1131</v>
      </c>
      <c r="E43" s="179">
        <v>255.98</v>
      </c>
      <c r="F43" s="175" t="s">
        <v>1132</v>
      </c>
      <c r="G43" s="196">
        <f t="shared" si="5"/>
        <v>92.152799999999999</v>
      </c>
      <c r="H43" s="196"/>
    </row>
    <row r="44" spans="1:8" ht="60">
      <c r="A44" s="528">
        <v>12</v>
      </c>
      <c r="B44" s="178" t="s">
        <v>1059</v>
      </c>
      <c r="C44" s="175">
        <v>0.22</v>
      </c>
      <c r="D44" s="175" t="s">
        <v>996</v>
      </c>
      <c r="E44" s="179">
        <v>784</v>
      </c>
      <c r="F44" s="175" t="s">
        <v>1007</v>
      </c>
      <c r="G44" s="177">
        <f t="shared" si="5"/>
        <v>172.48</v>
      </c>
      <c r="H44" s="177"/>
    </row>
    <row r="45" spans="1:8">
      <c r="A45" s="457"/>
      <c r="B45" s="178" t="s">
        <v>1060</v>
      </c>
      <c r="C45" s="175">
        <v>0.22</v>
      </c>
      <c r="D45" s="175" t="s">
        <v>996</v>
      </c>
      <c r="E45" s="179">
        <v>645</v>
      </c>
      <c r="F45" s="175" t="s">
        <v>1007</v>
      </c>
      <c r="G45" s="177">
        <f t="shared" si="5"/>
        <v>141.9</v>
      </c>
      <c r="H45" s="177"/>
    </row>
    <row r="46" spans="1:8">
      <c r="A46" s="175"/>
      <c r="B46" s="176" t="s">
        <v>1064</v>
      </c>
      <c r="C46" s="175"/>
      <c r="D46" s="175"/>
      <c r="E46" s="175"/>
      <c r="F46" s="175"/>
      <c r="G46" s="177">
        <f>SUM(G44:G45)</f>
        <v>314.38</v>
      </c>
      <c r="H46" s="177"/>
    </row>
    <row r="47" spans="1:8">
      <c r="A47" s="175"/>
      <c r="B47" s="176" t="s">
        <v>896</v>
      </c>
      <c r="C47" s="175"/>
      <c r="D47" s="175"/>
      <c r="E47" s="175"/>
      <c r="F47" s="175"/>
      <c r="G47" s="177">
        <f>G46*0.01</f>
        <v>3.1438000000000001</v>
      </c>
      <c r="H47" s="177"/>
    </row>
    <row r="48" spans="1:8">
      <c r="A48" s="175"/>
      <c r="B48" s="176" t="s">
        <v>40</v>
      </c>
      <c r="C48" s="175"/>
      <c r="D48" s="175"/>
      <c r="E48" s="175"/>
      <c r="F48" s="175"/>
      <c r="G48" s="177">
        <f>SUM(G46:G47)</f>
        <v>317.52379999999999</v>
      </c>
      <c r="H48" s="177"/>
    </row>
    <row r="49" spans="1:8">
      <c r="A49" s="175"/>
      <c r="B49" s="176" t="s">
        <v>898</v>
      </c>
      <c r="C49" s="175"/>
      <c r="D49" s="175"/>
      <c r="E49" s="175"/>
      <c r="F49" s="175"/>
      <c r="G49" s="177">
        <f>G48*15%</f>
        <v>47.628569999999996</v>
      </c>
      <c r="H49" s="177"/>
    </row>
    <row r="50" spans="1:8">
      <c r="A50" s="175"/>
      <c r="B50" s="179" t="s">
        <v>1139</v>
      </c>
      <c r="C50" s="175"/>
      <c r="D50" s="175"/>
      <c r="E50" s="175"/>
      <c r="F50" s="175"/>
      <c r="G50" s="177">
        <f>SUM(G48:G49)</f>
        <v>365.15237000000002</v>
      </c>
      <c r="H50" s="177"/>
    </row>
    <row r="51" spans="1:8">
      <c r="A51" s="175"/>
      <c r="B51" s="174" t="s">
        <v>1025</v>
      </c>
      <c r="C51" s="175"/>
      <c r="D51" s="175"/>
      <c r="E51" s="175"/>
      <c r="F51" s="175"/>
      <c r="G51" s="192">
        <f>ROUND(G40+G41+G42+G43+G50,2)</f>
        <v>1030.3800000000001</v>
      </c>
      <c r="H51" s="192"/>
    </row>
    <row r="52" spans="1:8" ht="27" customHeight="1">
      <c r="A52" s="527" t="str">
        <f>CONCATENATE("Say ₹ ",G39," + ",G51," x Cost Index")</f>
        <v>Say ₹ 671.93 + 1030.38 x Cost Index</v>
      </c>
      <c r="B52" s="454"/>
      <c r="C52" s="454"/>
      <c r="D52" s="454"/>
      <c r="E52" s="454"/>
      <c r="F52" s="454"/>
      <c r="G52" s="450"/>
      <c r="H52" s="174"/>
    </row>
  </sheetData>
  <mergeCells count="6">
    <mergeCell ref="A52:G52"/>
    <mergeCell ref="A1:G1"/>
    <mergeCell ref="A18:A19"/>
    <mergeCell ref="A26:G26"/>
    <mergeCell ref="A27:G27"/>
    <mergeCell ref="A44:A45"/>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176"/>
  <sheetViews>
    <sheetView workbookViewId="0"/>
  </sheetViews>
  <sheetFormatPr defaultColWidth="14.453125" defaultRowHeight="15" customHeight="1"/>
  <cols>
    <col min="1" max="1" width="3.54296875" customWidth="1"/>
    <col min="2" max="2" width="48.26953125" customWidth="1"/>
    <col min="3" max="3" width="9.08984375" customWidth="1"/>
    <col min="4" max="6" width="6.81640625" customWidth="1"/>
    <col min="7" max="7" width="11.08984375" customWidth="1"/>
    <col min="8" max="8" width="9.453125" customWidth="1"/>
    <col min="9" max="9" width="8.54296875" customWidth="1"/>
    <col min="10" max="10" width="12.453125" customWidth="1"/>
  </cols>
  <sheetData>
    <row r="1" spans="1:10" ht="14.5">
      <c r="A1" s="544" t="s">
        <v>1014</v>
      </c>
      <c r="B1" s="545"/>
      <c r="C1" s="545"/>
      <c r="D1" s="545"/>
      <c r="E1" s="545"/>
      <c r="F1" s="545"/>
      <c r="G1" s="545"/>
      <c r="H1" s="545"/>
      <c r="I1" s="545"/>
      <c r="J1" s="545"/>
    </row>
    <row r="2" spans="1:10">
      <c r="A2" s="534">
        <v>1</v>
      </c>
      <c r="B2" s="546" t="s">
        <v>1018</v>
      </c>
      <c r="C2" s="499"/>
      <c r="D2" s="499"/>
      <c r="E2" s="499"/>
      <c r="F2" s="499"/>
      <c r="G2" s="499"/>
      <c r="H2" s="499"/>
      <c r="I2" s="499"/>
      <c r="J2" s="500"/>
    </row>
    <row r="3" spans="1:10">
      <c r="A3" s="535"/>
      <c r="B3" s="550" t="s">
        <v>1021</v>
      </c>
      <c r="C3" s="499"/>
      <c r="D3" s="499"/>
      <c r="E3" s="499"/>
      <c r="F3" s="500"/>
      <c r="G3" s="163" t="s">
        <v>1022</v>
      </c>
      <c r="H3" s="163" t="s">
        <v>820</v>
      </c>
      <c r="I3" s="163" t="s">
        <v>5</v>
      </c>
      <c r="J3" s="164" t="s">
        <v>40</v>
      </c>
    </row>
    <row r="4" spans="1:10" ht="17">
      <c r="A4" s="535"/>
      <c r="B4" s="138" t="s">
        <v>1023</v>
      </c>
      <c r="C4" s="529" t="s">
        <v>1024</v>
      </c>
      <c r="D4" s="499"/>
      <c r="E4" s="499"/>
      <c r="F4" s="500"/>
      <c r="G4" s="165">
        <v>4</v>
      </c>
      <c r="H4" s="165">
        <v>4.5999999999999996</v>
      </c>
      <c r="I4" s="165" t="s">
        <v>1026</v>
      </c>
      <c r="J4" s="166">
        <f t="shared" ref="J4:J11" si="0">G4*H4</f>
        <v>18.399999999999999</v>
      </c>
    </row>
    <row r="5" spans="1:10" ht="17">
      <c r="A5" s="535"/>
      <c r="B5" s="138" t="s">
        <v>1028</v>
      </c>
      <c r="C5" s="529" t="s">
        <v>1029</v>
      </c>
      <c r="D5" s="499"/>
      <c r="E5" s="499"/>
      <c r="F5" s="500"/>
      <c r="G5" s="165">
        <v>4</v>
      </c>
      <c r="H5" s="165">
        <v>0.9</v>
      </c>
      <c r="I5" s="165" t="s">
        <v>1026</v>
      </c>
      <c r="J5" s="166">
        <f t="shared" si="0"/>
        <v>3.6</v>
      </c>
    </row>
    <row r="6" spans="1:10" ht="17">
      <c r="A6" s="535"/>
      <c r="B6" s="138" t="s">
        <v>1033</v>
      </c>
      <c r="C6" s="529" t="s">
        <v>1035</v>
      </c>
      <c r="D6" s="499"/>
      <c r="E6" s="499"/>
      <c r="F6" s="500"/>
      <c r="G6" s="165">
        <v>4</v>
      </c>
      <c r="H6" s="165">
        <v>2.6</v>
      </c>
      <c r="I6" s="165" t="s">
        <v>1026</v>
      </c>
      <c r="J6" s="166">
        <f t="shared" si="0"/>
        <v>10.4</v>
      </c>
    </row>
    <row r="7" spans="1:10" ht="17">
      <c r="A7" s="535"/>
      <c r="B7" s="138" t="s">
        <v>1036</v>
      </c>
      <c r="C7" s="529" t="s">
        <v>1037</v>
      </c>
      <c r="D7" s="499"/>
      <c r="E7" s="499"/>
      <c r="F7" s="500"/>
      <c r="G7" s="165">
        <v>4</v>
      </c>
      <c r="H7" s="165">
        <v>2.4</v>
      </c>
      <c r="I7" s="165" t="s">
        <v>1026</v>
      </c>
      <c r="J7" s="166">
        <f t="shared" si="0"/>
        <v>9.6</v>
      </c>
    </row>
    <row r="8" spans="1:10" ht="17">
      <c r="A8" s="535"/>
      <c r="B8" s="138" t="s">
        <v>1040</v>
      </c>
      <c r="C8" s="529" t="s">
        <v>1041</v>
      </c>
      <c r="D8" s="499"/>
      <c r="E8" s="499"/>
      <c r="F8" s="500"/>
      <c r="G8" s="165">
        <v>4</v>
      </c>
      <c r="H8" s="165">
        <v>2.2999999999999998</v>
      </c>
      <c r="I8" s="165" t="s">
        <v>1026</v>
      </c>
      <c r="J8" s="166">
        <f t="shared" si="0"/>
        <v>9.1999999999999993</v>
      </c>
    </row>
    <row r="9" spans="1:10" ht="17">
      <c r="A9" s="535"/>
      <c r="B9" s="138" t="s">
        <v>1043</v>
      </c>
      <c r="C9" s="529" t="s">
        <v>1045</v>
      </c>
      <c r="D9" s="499"/>
      <c r="E9" s="499"/>
      <c r="F9" s="500"/>
      <c r="G9" s="165">
        <v>8</v>
      </c>
      <c r="H9" s="165">
        <v>2.9</v>
      </c>
      <c r="I9" s="165" t="s">
        <v>1026</v>
      </c>
      <c r="J9" s="166">
        <f t="shared" si="0"/>
        <v>23.2</v>
      </c>
    </row>
    <row r="10" spans="1:10" ht="17">
      <c r="A10" s="535"/>
      <c r="B10" s="138" t="s">
        <v>1046</v>
      </c>
      <c r="C10" s="529" t="s">
        <v>1047</v>
      </c>
      <c r="D10" s="499"/>
      <c r="E10" s="499"/>
      <c r="F10" s="500"/>
      <c r="G10" s="165">
        <v>8</v>
      </c>
      <c r="H10" s="165">
        <v>2.8</v>
      </c>
      <c r="I10" s="165" t="s">
        <v>1026</v>
      </c>
      <c r="J10" s="166">
        <f t="shared" si="0"/>
        <v>22.4</v>
      </c>
    </row>
    <row r="11" spans="1:10" ht="17">
      <c r="A11" s="535"/>
      <c r="B11" s="138" t="s">
        <v>1050</v>
      </c>
      <c r="C11" s="529" t="s">
        <v>1051</v>
      </c>
      <c r="D11" s="499"/>
      <c r="E11" s="499"/>
      <c r="F11" s="500"/>
      <c r="G11" s="165">
        <v>8</v>
      </c>
      <c r="H11" s="165">
        <v>0.5</v>
      </c>
      <c r="I11" s="165" t="s">
        <v>1026</v>
      </c>
      <c r="J11" s="166">
        <f t="shared" si="0"/>
        <v>4</v>
      </c>
    </row>
    <row r="12" spans="1:10">
      <c r="A12" s="535"/>
      <c r="B12" s="530" t="s">
        <v>1054</v>
      </c>
      <c r="C12" s="499"/>
      <c r="D12" s="499"/>
      <c r="E12" s="499"/>
      <c r="F12" s="499"/>
      <c r="G12" s="499"/>
      <c r="H12" s="499"/>
      <c r="I12" s="499"/>
      <c r="J12" s="500"/>
    </row>
    <row r="13" spans="1:10" ht="17">
      <c r="A13" s="535"/>
      <c r="B13" s="138" t="s">
        <v>1057</v>
      </c>
      <c r="C13" s="529" t="s">
        <v>1058</v>
      </c>
      <c r="D13" s="499"/>
      <c r="E13" s="499"/>
      <c r="F13" s="500"/>
      <c r="G13" s="165">
        <v>4</v>
      </c>
      <c r="H13" s="165">
        <v>2.2000000000000002</v>
      </c>
      <c r="I13" s="165" t="s">
        <v>1026</v>
      </c>
      <c r="J13" s="166">
        <f t="shared" ref="J13:J14" si="1">G13*H13</f>
        <v>8.8000000000000007</v>
      </c>
    </row>
    <row r="14" spans="1:10" ht="17">
      <c r="A14" s="535"/>
      <c r="B14" s="138" t="s">
        <v>1062</v>
      </c>
      <c r="C14" s="529" t="s">
        <v>1063</v>
      </c>
      <c r="D14" s="499"/>
      <c r="E14" s="499"/>
      <c r="F14" s="500"/>
      <c r="G14" s="165">
        <v>6</v>
      </c>
      <c r="H14" s="165">
        <v>2.2000000000000002</v>
      </c>
      <c r="I14" s="165" t="s">
        <v>1026</v>
      </c>
      <c r="J14" s="166">
        <f t="shared" si="1"/>
        <v>13.200000000000001</v>
      </c>
    </row>
    <row r="15" spans="1:10">
      <c r="A15" s="535"/>
      <c r="B15" s="530" t="s">
        <v>1065</v>
      </c>
      <c r="C15" s="499"/>
      <c r="D15" s="499"/>
      <c r="E15" s="499"/>
      <c r="F15" s="499"/>
      <c r="G15" s="499"/>
      <c r="H15" s="499"/>
      <c r="I15" s="499"/>
      <c r="J15" s="500"/>
    </row>
    <row r="16" spans="1:10" ht="17">
      <c r="A16" s="535"/>
      <c r="B16" s="138" t="s">
        <v>1066</v>
      </c>
      <c r="C16" s="529" t="s">
        <v>1067</v>
      </c>
      <c r="D16" s="499"/>
      <c r="E16" s="499"/>
      <c r="F16" s="500"/>
      <c r="G16" s="165">
        <v>16</v>
      </c>
      <c r="H16" s="165">
        <v>0.9</v>
      </c>
      <c r="I16" s="165" t="s">
        <v>1026</v>
      </c>
      <c r="J16" s="166">
        <f t="shared" ref="J16:J17" si="2">G16*H16</f>
        <v>14.4</v>
      </c>
    </row>
    <row r="17" spans="1:10" ht="17">
      <c r="A17" s="535"/>
      <c r="B17" s="138" t="s">
        <v>1069</v>
      </c>
      <c r="C17" s="529" t="s">
        <v>1070</v>
      </c>
      <c r="D17" s="499"/>
      <c r="E17" s="499"/>
      <c r="F17" s="500"/>
      <c r="G17" s="165">
        <v>4</v>
      </c>
      <c r="H17" s="165">
        <v>2.2000000000000002</v>
      </c>
      <c r="I17" s="165" t="s">
        <v>1026</v>
      </c>
      <c r="J17" s="166">
        <f t="shared" si="2"/>
        <v>8.8000000000000007</v>
      </c>
    </row>
    <row r="18" spans="1:10">
      <c r="A18" s="535"/>
      <c r="B18" s="530" t="s">
        <v>1073</v>
      </c>
      <c r="C18" s="499"/>
      <c r="D18" s="499"/>
      <c r="E18" s="499"/>
      <c r="F18" s="499"/>
      <c r="G18" s="499"/>
      <c r="H18" s="499"/>
      <c r="I18" s="499"/>
      <c r="J18" s="500"/>
    </row>
    <row r="19" spans="1:10">
      <c r="A19" s="535"/>
      <c r="B19" s="138" t="s">
        <v>1074</v>
      </c>
      <c r="C19" s="529" t="s">
        <v>1075</v>
      </c>
      <c r="D19" s="499"/>
      <c r="E19" s="499"/>
      <c r="F19" s="500"/>
      <c r="G19" s="165">
        <v>2</v>
      </c>
      <c r="H19" s="165">
        <v>4.4000000000000004</v>
      </c>
      <c r="I19" s="165" t="s">
        <v>1026</v>
      </c>
      <c r="J19" s="166">
        <f t="shared" ref="J19:J21" si="3">G19*H19</f>
        <v>8.8000000000000007</v>
      </c>
    </row>
    <row r="20" spans="1:10">
      <c r="A20" s="535"/>
      <c r="B20" s="138" t="s">
        <v>1077</v>
      </c>
      <c r="C20" s="529" t="s">
        <v>1075</v>
      </c>
      <c r="D20" s="499"/>
      <c r="E20" s="499"/>
      <c r="F20" s="500"/>
      <c r="G20" s="165">
        <v>12</v>
      </c>
      <c r="H20" s="165">
        <v>0.3</v>
      </c>
      <c r="I20" s="165" t="s">
        <v>1026</v>
      </c>
      <c r="J20" s="166">
        <f t="shared" si="3"/>
        <v>3.5999999999999996</v>
      </c>
    </row>
    <row r="21" spans="1:10" ht="17">
      <c r="A21" s="535"/>
      <c r="B21" s="173" t="s">
        <v>1078</v>
      </c>
      <c r="C21" s="529"/>
      <c r="D21" s="499"/>
      <c r="E21" s="499"/>
      <c r="F21" s="500"/>
      <c r="G21" s="165">
        <v>2.2000000000000002</v>
      </c>
      <c r="H21" s="165">
        <v>2.2000000000000002</v>
      </c>
      <c r="I21" s="165" t="s">
        <v>1079</v>
      </c>
      <c r="J21" s="166">
        <f t="shared" si="3"/>
        <v>4.8400000000000007</v>
      </c>
    </row>
    <row r="22" spans="1:10" ht="17">
      <c r="A22" s="535"/>
      <c r="B22" s="138" t="s">
        <v>1080</v>
      </c>
      <c r="C22" s="529">
        <v>4</v>
      </c>
      <c r="D22" s="499"/>
      <c r="E22" s="499"/>
      <c r="F22" s="500"/>
      <c r="G22" s="165">
        <v>0.3</v>
      </c>
      <c r="H22" s="165">
        <v>0.3</v>
      </c>
      <c r="I22" s="165" t="s">
        <v>1081</v>
      </c>
      <c r="J22" s="166">
        <f>G22*H22*C22</f>
        <v>0.36</v>
      </c>
    </row>
    <row r="23" spans="1:10">
      <c r="A23" s="535"/>
      <c r="B23" s="529"/>
      <c r="C23" s="499"/>
      <c r="D23" s="499"/>
      <c r="E23" s="499"/>
      <c r="F23" s="499"/>
      <c r="G23" s="499"/>
      <c r="H23" s="499"/>
      <c r="I23" s="499"/>
      <c r="J23" s="500"/>
    </row>
    <row r="24" spans="1:10">
      <c r="A24" s="535"/>
      <c r="B24" s="530" t="s">
        <v>1085</v>
      </c>
      <c r="C24" s="499"/>
      <c r="D24" s="499"/>
      <c r="E24" s="499"/>
      <c r="F24" s="500"/>
      <c r="G24" s="163" t="s">
        <v>820</v>
      </c>
      <c r="H24" s="163" t="s">
        <v>1087</v>
      </c>
      <c r="I24" s="163" t="s">
        <v>5</v>
      </c>
      <c r="J24" s="164" t="s">
        <v>1088</v>
      </c>
    </row>
    <row r="25" spans="1:10" ht="17">
      <c r="A25" s="535"/>
      <c r="B25" s="138" t="s">
        <v>1089</v>
      </c>
      <c r="C25" s="529" t="s">
        <v>1090</v>
      </c>
      <c r="D25" s="499"/>
      <c r="E25" s="499"/>
      <c r="F25" s="500"/>
      <c r="G25" s="165">
        <v>30.8</v>
      </c>
      <c r="H25" s="165">
        <v>6.8</v>
      </c>
      <c r="I25" s="165" t="s">
        <v>1091</v>
      </c>
      <c r="J25" s="166">
        <f t="shared" ref="J25:J29" si="4">G25*H25</f>
        <v>209.44</v>
      </c>
    </row>
    <row r="26" spans="1:10" ht="17">
      <c r="A26" s="535"/>
      <c r="B26" s="138" t="s">
        <v>1089</v>
      </c>
      <c r="C26" s="529" t="s">
        <v>1095</v>
      </c>
      <c r="D26" s="499"/>
      <c r="E26" s="499"/>
      <c r="F26" s="500"/>
      <c r="G26" s="165">
        <v>46.4</v>
      </c>
      <c r="H26" s="165">
        <v>4.5</v>
      </c>
      <c r="I26" s="165" t="s">
        <v>1091</v>
      </c>
      <c r="J26" s="166">
        <f t="shared" si="4"/>
        <v>208.79999999999998</v>
      </c>
    </row>
    <row r="27" spans="1:10" ht="17">
      <c r="A27" s="535"/>
      <c r="B27" s="138" t="s">
        <v>1089</v>
      </c>
      <c r="C27" s="529" t="s">
        <v>1097</v>
      </c>
      <c r="D27" s="499"/>
      <c r="E27" s="499"/>
      <c r="F27" s="500"/>
      <c r="G27" s="165">
        <v>54.4</v>
      </c>
      <c r="H27" s="165">
        <v>2.6</v>
      </c>
      <c r="I27" s="165" t="s">
        <v>1091</v>
      </c>
      <c r="J27" s="166">
        <f t="shared" si="4"/>
        <v>141.44</v>
      </c>
    </row>
    <row r="28" spans="1:10" ht="17">
      <c r="A28" s="535"/>
      <c r="B28" s="138" t="s">
        <v>1089</v>
      </c>
      <c r="C28" s="529" t="s">
        <v>1098</v>
      </c>
      <c r="D28" s="499"/>
      <c r="E28" s="499"/>
      <c r="F28" s="500"/>
      <c r="G28" s="165">
        <v>14.4</v>
      </c>
      <c r="H28" s="165">
        <v>1.8</v>
      </c>
      <c r="I28" s="165" t="s">
        <v>1091</v>
      </c>
      <c r="J28" s="166">
        <f t="shared" si="4"/>
        <v>25.92</v>
      </c>
    </row>
    <row r="29" spans="1:10">
      <c r="A29" s="535"/>
      <c r="B29" s="138" t="s">
        <v>1100</v>
      </c>
      <c r="C29" s="529" t="s">
        <v>1075</v>
      </c>
      <c r="D29" s="499"/>
      <c r="E29" s="499"/>
      <c r="F29" s="500"/>
      <c r="G29" s="165">
        <v>12.4</v>
      </c>
      <c r="H29" s="165">
        <v>1.68</v>
      </c>
      <c r="I29" s="165" t="s">
        <v>1091</v>
      </c>
      <c r="J29" s="166">
        <f t="shared" si="4"/>
        <v>20.832000000000001</v>
      </c>
    </row>
    <row r="30" spans="1:10">
      <c r="A30" s="535"/>
      <c r="B30" s="529" t="s">
        <v>1064</v>
      </c>
      <c r="C30" s="499"/>
      <c r="D30" s="499"/>
      <c r="E30" s="499"/>
      <c r="F30" s="499"/>
      <c r="G30" s="499"/>
      <c r="H30" s="499"/>
      <c r="I30" s="500"/>
      <c r="J30" s="166">
        <f>SUM(J25:J29)</f>
        <v>606.43200000000002</v>
      </c>
    </row>
    <row r="31" spans="1:10" ht="17">
      <c r="A31" s="535"/>
      <c r="B31" s="173" t="s">
        <v>1078</v>
      </c>
      <c r="C31" s="165"/>
      <c r="D31" s="165"/>
      <c r="E31" s="165"/>
      <c r="F31" s="165"/>
      <c r="G31" s="165">
        <v>4.84</v>
      </c>
      <c r="H31" s="165">
        <v>12.56</v>
      </c>
      <c r="I31" s="165" t="s">
        <v>1104</v>
      </c>
      <c r="J31" s="166">
        <f t="shared" ref="J31:J32" si="5">G31*H31</f>
        <v>60.790399999999998</v>
      </c>
    </row>
    <row r="32" spans="1:10" ht="17">
      <c r="A32" s="535"/>
      <c r="B32" s="181" t="s">
        <v>1080</v>
      </c>
      <c r="C32" s="162"/>
      <c r="D32" s="162"/>
      <c r="E32" s="162"/>
      <c r="F32" s="162"/>
      <c r="G32" s="162">
        <v>0.36</v>
      </c>
      <c r="H32" s="162">
        <v>117.8</v>
      </c>
      <c r="I32" s="162" t="s">
        <v>1106</v>
      </c>
      <c r="J32" s="182">
        <f t="shared" si="5"/>
        <v>42.407999999999994</v>
      </c>
    </row>
    <row r="33" spans="1:10">
      <c r="A33" s="535"/>
      <c r="B33" s="556" t="s">
        <v>40</v>
      </c>
      <c r="C33" s="454"/>
      <c r="D33" s="454"/>
      <c r="E33" s="454"/>
      <c r="F33" s="454"/>
      <c r="G33" s="454"/>
      <c r="H33" s="454"/>
      <c r="I33" s="450"/>
      <c r="J33" s="184">
        <f>SUM(J30:J32)</f>
        <v>709.63040000000001</v>
      </c>
    </row>
    <row r="34" spans="1:10">
      <c r="A34" s="185"/>
      <c r="B34" s="186" t="s">
        <v>1110</v>
      </c>
      <c r="C34" s="187" t="s">
        <v>1005</v>
      </c>
      <c r="D34" s="187" t="s">
        <v>820</v>
      </c>
      <c r="E34" s="187" t="s">
        <v>1111</v>
      </c>
      <c r="F34" s="187" t="s">
        <v>1112</v>
      </c>
      <c r="G34" s="187" t="s">
        <v>6</v>
      </c>
      <c r="H34" s="187" t="s">
        <v>7</v>
      </c>
      <c r="I34" s="187" t="s">
        <v>5</v>
      </c>
      <c r="J34" s="188" t="s">
        <v>8</v>
      </c>
    </row>
    <row r="35" spans="1:10" ht="60">
      <c r="A35" s="189">
        <v>2</v>
      </c>
      <c r="B35" s="106" t="s">
        <v>1114</v>
      </c>
      <c r="C35" s="118"/>
      <c r="D35" s="118"/>
      <c r="E35" s="118"/>
      <c r="F35" s="118"/>
      <c r="G35" s="166">
        <f>J33</f>
        <v>709.63040000000001</v>
      </c>
      <c r="H35" s="190">
        <v>80.78</v>
      </c>
      <c r="I35" s="165" t="s">
        <v>1116</v>
      </c>
      <c r="J35" s="166">
        <f t="shared" ref="J35:J37" si="6">G35*H35</f>
        <v>57323.943712</v>
      </c>
    </row>
    <row r="36" spans="1:10" ht="30">
      <c r="A36" s="190">
        <v>3</v>
      </c>
      <c r="B36" s="106" t="s">
        <v>1117</v>
      </c>
      <c r="C36" s="118"/>
      <c r="D36" s="118"/>
      <c r="E36" s="118"/>
      <c r="F36" s="118"/>
      <c r="G36" s="165">
        <v>4</v>
      </c>
      <c r="H36" s="190">
        <v>121.67</v>
      </c>
      <c r="I36" s="165" t="s">
        <v>1116</v>
      </c>
      <c r="J36" s="166">
        <f t="shared" si="6"/>
        <v>486.68</v>
      </c>
    </row>
    <row r="37" spans="1:10" ht="120">
      <c r="A37" s="190">
        <v>4</v>
      </c>
      <c r="B37" s="106" t="s">
        <v>1119</v>
      </c>
      <c r="C37" s="118">
        <v>4</v>
      </c>
      <c r="D37" s="118">
        <v>0.75</v>
      </c>
      <c r="E37" s="118">
        <v>0.75</v>
      </c>
      <c r="F37" s="118">
        <v>1</v>
      </c>
      <c r="G37" s="165">
        <f t="shared" ref="G37:G39" si="7">C37*D37*E37*F37</f>
        <v>2.25</v>
      </c>
      <c r="H37" s="190">
        <v>249.03</v>
      </c>
      <c r="I37" s="118" t="s">
        <v>1032</v>
      </c>
      <c r="J37" s="166">
        <f t="shared" si="6"/>
        <v>560.3175</v>
      </c>
    </row>
    <row r="38" spans="1:10" ht="21" customHeight="1">
      <c r="A38" s="534">
        <v>5</v>
      </c>
      <c r="B38" s="536" t="s">
        <v>1120</v>
      </c>
      <c r="C38" s="118">
        <v>4</v>
      </c>
      <c r="D38" s="118">
        <v>0.75</v>
      </c>
      <c r="E38" s="118">
        <v>0.75</v>
      </c>
      <c r="F38" s="118">
        <v>0.4</v>
      </c>
      <c r="G38" s="165">
        <f t="shared" si="7"/>
        <v>0.9</v>
      </c>
      <c r="H38" s="165"/>
      <c r="I38" s="118"/>
      <c r="J38" s="166"/>
    </row>
    <row r="39" spans="1:10" ht="21" customHeight="1">
      <c r="A39" s="535"/>
      <c r="B39" s="535"/>
      <c r="C39" s="118">
        <v>4</v>
      </c>
      <c r="D39" s="118">
        <v>0.6</v>
      </c>
      <c r="E39" s="118">
        <v>0.6</v>
      </c>
      <c r="F39" s="118">
        <v>0.7</v>
      </c>
      <c r="G39" s="165">
        <f t="shared" si="7"/>
        <v>1.008</v>
      </c>
      <c r="H39" s="165"/>
      <c r="I39" s="118"/>
      <c r="J39" s="166"/>
    </row>
    <row r="40" spans="1:10" ht="21" customHeight="1">
      <c r="A40" s="496"/>
      <c r="B40" s="496"/>
      <c r="C40" s="548" t="s">
        <v>40</v>
      </c>
      <c r="D40" s="499"/>
      <c r="E40" s="499"/>
      <c r="F40" s="500"/>
      <c r="G40" s="165">
        <f>SUM(G38:G39)</f>
        <v>1.9079999999999999</v>
      </c>
      <c r="H40" s="190">
        <v>6393.89</v>
      </c>
      <c r="I40" s="118" t="s">
        <v>1032</v>
      </c>
      <c r="J40" s="166">
        <f>G40*H40</f>
        <v>12199.54212</v>
      </c>
    </row>
    <row r="41" spans="1:10">
      <c r="A41" s="190">
        <v>6</v>
      </c>
      <c r="B41" s="546" t="s">
        <v>1124</v>
      </c>
      <c r="C41" s="499"/>
      <c r="D41" s="499"/>
      <c r="E41" s="499"/>
      <c r="F41" s="499"/>
      <c r="G41" s="499"/>
      <c r="H41" s="499"/>
      <c r="I41" s="500"/>
      <c r="J41" s="193">
        <v>429.52</v>
      </c>
    </row>
    <row r="42" spans="1:10">
      <c r="A42" s="190">
        <v>7</v>
      </c>
      <c r="B42" s="530" t="s">
        <v>40</v>
      </c>
      <c r="C42" s="499"/>
      <c r="D42" s="499"/>
      <c r="E42" s="499"/>
      <c r="F42" s="499"/>
      <c r="G42" s="499"/>
      <c r="H42" s="499"/>
      <c r="I42" s="500"/>
      <c r="J42" s="164">
        <f>SUM(J35:J41)</f>
        <v>71000.003332000008</v>
      </c>
    </row>
    <row r="43" spans="1:10">
      <c r="A43" s="190">
        <v>8</v>
      </c>
      <c r="B43" s="550" t="s">
        <v>1130</v>
      </c>
      <c r="C43" s="499"/>
      <c r="D43" s="499"/>
      <c r="E43" s="499"/>
      <c r="F43" s="499"/>
      <c r="G43" s="499"/>
      <c r="H43" s="499"/>
      <c r="I43" s="499"/>
      <c r="J43" s="500"/>
    </row>
    <row r="44" spans="1:10" ht="16.5">
      <c r="A44" s="551" t="s">
        <v>1133</v>
      </c>
      <c r="B44" s="545"/>
      <c r="C44" s="545"/>
      <c r="D44" s="545"/>
      <c r="E44" s="545"/>
      <c r="F44" s="545"/>
      <c r="G44" s="545"/>
      <c r="H44" s="545"/>
      <c r="I44" s="545"/>
      <c r="J44" s="545"/>
    </row>
    <row r="45" spans="1:10">
      <c r="A45" s="537">
        <v>1</v>
      </c>
      <c r="B45" s="552" t="s">
        <v>1018</v>
      </c>
      <c r="C45" s="499"/>
      <c r="D45" s="499"/>
      <c r="E45" s="499"/>
      <c r="F45" s="499"/>
      <c r="G45" s="499"/>
      <c r="H45" s="499"/>
      <c r="I45" s="499"/>
      <c r="J45" s="500"/>
    </row>
    <row r="46" spans="1:10">
      <c r="A46" s="532"/>
      <c r="B46" s="553" t="s">
        <v>1021</v>
      </c>
      <c r="C46" s="499"/>
      <c r="D46" s="499"/>
      <c r="E46" s="499"/>
      <c r="F46" s="500"/>
      <c r="G46" s="197" t="s">
        <v>1022</v>
      </c>
      <c r="H46" s="197" t="s">
        <v>820</v>
      </c>
      <c r="I46" s="197" t="s">
        <v>5</v>
      </c>
      <c r="J46" s="198" t="s">
        <v>40</v>
      </c>
    </row>
    <row r="47" spans="1:10">
      <c r="A47" s="532"/>
      <c r="B47" s="199" t="s">
        <v>1023</v>
      </c>
      <c r="C47" s="540" t="s">
        <v>1136</v>
      </c>
      <c r="D47" s="499"/>
      <c r="E47" s="499"/>
      <c r="F47" s="500"/>
      <c r="G47" s="200">
        <v>4</v>
      </c>
      <c r="H47" s="200">
        <v>4.5999999999999996</v>
      </c>
      <c r="I47" s="200" t="s">
        <v>1026</v>
      </c>
      <c r="J47" s="201">
        <v>18.399999999999999</v>
      </c>
    </row>
    <row r="48" spans="1:10">
      <c r="A48" s="532"/>
      <c r="B48" s="202" t="s">
        <v>1028</v>
      </c>
      <c r="C48" s="540" t="s">
        <v>1136</v>
      </c>
      <c r="D48" s="499"/>
      <c r="E48" s="499"/>
      <c r="F48" s="500"/>
      <c r="G48" s="200">
        <v>4</v>
      </c>
      <c r="H48" s="200">
        <v>0.9</v>
      </c>
      <c r="I48" s="200" t="s">
        <v>1026</v>
      </c>
      <c r="J48" s="201">
        <v>3.6</v>
      </c>
    </row>
    <row r="49" spans="1:10">
      <c r="A49" s="532"/>
      <c r="B49" s="202" t="s">
        <v>1137</v>
      </c>
      <c r="C49" s="540" t="s">
        <v>1138</v>
      </c>
      <c r="D49" s="499"/>
      <c r="E49" s="499"/>
      <c r="F49" s="500"/>
      <c r="G49" s="200">
        <v>4</v>
      </c>
      <c r="H49" s="200">
        <v>2.2000000000000002</v>
      </c>
      <c r="I49" s="200" t="s">
        <v>1026</v>
      </c>
      <c r="J49" s="201">
        <v>8.8000000000000007</v>
      </c>
    </row>
    <row r="50" spans="1:10">
      <c r="A50" s="532"/>
      <c r="B50" s="202" t="s">
        <v>1140</v>
      </c>
      <c r="C50" s="540" t="s">
        <v>1138</v>
      </c>
      <c r="D50" s="499"/>
      <c r="E50" s="499"/>
      <c r="F50" s="500"/>
      <c r="G50" s="200">
        <v>4</v>
      </c>
      <c r="H50" s="200">
        <v>2</v>
      </c>
      <c r="I50" s="200" t="s">
        <v>1026</v>
      </c>
      <c r="J50" s="201">
        <v>8</v>
      </c>
    </row>
    <row r="51" spans="1:10">
      <c r="A51" s="532"/>
      <c r="B51" s="202" t="s">
        <v>1142</v>
      </c>
      <c r="C51" s="540" t="s">
        <v>1138</v>
      </c>
      <c r="D51" s="499"/>
      <c r="E51" s="499"/>
      <c r="F51" s="500"/>
      <c r="G51" s="200">
        <v>4</v>
      </c>
      <c r="H51" s="200">
        <v>1.8</v>
      </c>
      <c r="I51" s="200" t="s">
        <v>1026</v>
      </c>
      <c r="J51" s="201">
        <v>7.2</v>
      </c>
    </row>
    <row r="52" spans="1:10">
      <c r="A52" s="532"/>
      <c r="B52" s="202" t="s">
        <v>1143</v>
      </c>
      <c r="C52" s="540" t="s">
        <v>1144</v>
      </c>
      <c r="D52" s="499"/>
      <c r="E52" s="499"/>
      <c r="F52" s="500"/>
      <c r="G52" s="200">
        <v>8</v>
      </c>
      <c r="H52" s="200">
        <v>2.6</v>
      </c>
      <c r="I52" s="200" t="s">
        <v>1026</v>
      </c>
      <c r="J52" s="201">
        <v>20.8</v>
      </c>
    </row>
    <row r="53" spans="1:10">
      <c r="A53" s="532"/>
      <c r="B53" s="202" t="s">
        <v>1145</v>
      </c>
      <c r="C53" s="540" t="s">
        <v>1144</v>
      </c>
      <c r="D53" s="499"/>
      <c r="E53" s="499"/>
      <c r="F53" s="500"/>
      <c r="G53" s="200">
        <v>8</v>
      </c>
      <c r="H53" s="200">
        <v>2.4</v>
      </c>
      <c r="I53" s="200" t="s">
        <v>1026</v>
      </c>
      <c r="J53" s="201">
        <v>19.2</v>
      </c>
    </row>
    <row r="54" spans="1:10">
      <c r="A54" s="532"/>
      <c r="B54" s="202" t="s">
        <v>1050</v>
      </c>
      <c r="C54" s="540" t="s">
        <v>1144</v>
      </c>
      <c r="D54" s="499"/>
      <c r="E54" s="499"/>
      <c r="F54" s="500"/>
      <c r="G54" s="200">
        <v>8</v>
      </c>
      <c r="H54" s="200">
        <v>0.5</v>
      </c>
      <c r="I54" s="200" t="s">
        <v>1026</v>
      </c>
      <c r="J54" s="201">
        <v>4</v>
      </c>
    </row>
    <row r="55" spans="1:10">
      <c r="A55" s="532"/>
      <c r="B55" s="554" t="s">
        <v>1054</v>
      </c>
      <c r="C55" s="499"/>
      <c r="D55" s="499"/>
      <c r="E55" s="499"/>
      <c r="F55" s="499"/>
      <c r="G55" s="499"/>
      <c r="H55" s="499"/>
      <c r="I55" s="499"/>
      <c r="J55" s="500"/>
    </row>
    <row r="56" spans="1:10">
      <c r="A56" s="532"/>
      <c r="B56" s="202" t="s">
        <v>1057</v>
      </c>
      <c r="C56" s="540" t="s">
        <v>1136</v>
      </c>
      <c r="D56" s="499"/>
      <c r="E56" s="499"/>
      <c r="F56" s="500"/>
      <c r="G56" s="200">
        <v>4</v>
      </c>
      <c r="H56" s="200">
        <v>1.8</v>
      </c>
      <c r="I56" s="200" t="s">
        <v>1026</v>
      </c>
      <c r="J56" s="201">
        <v>7.2</v>
      </c>
    </row>
    <row r="57" spans="1:10">
      <c r="A57" s="532"/>
      <c r="B57" s="202" t="s">
        <v>1062</v>
      </c>
      <c r="C57" s="540" t="s">
        <v>1138</v>
      </c>
      <c r="D57" s="499"/>
      <c r="E57" s="499"/>
      <c r="F57" s="500"/>
      <c r="G57" s="200">
        <v>6</v>
      </c>
      <c r="H57" s="200">
        <v>1.8</v>
      </c>
      <c r="I57" s="200" t="s">
        <v>1026</v>
      </c>
      <c r="J57" s="201">
        <v>10.8</v>
      </c>
    </row>
    <row r="58" spans="1:10">
      <c r="A58" s="532"/>
      <c r="B58" s="554" t="s">
        <v>1065</v>
      </c>
      <c r="C58" s="499"/>
      <c r="D58" s="499"/>
      <c r="E58" s="499"/>
      <c r="F58" s="499"/>
      <c r="G58" s="499"/>
      <c r="H58" s="499"/>
      <c r="I58" s="499"/>
      <c r="J58" s="500"/>
    </row>
    <row r="59" spans="1:10">
      <c r="A59" s="532"/>
      <c r="B59" s="202" t="s">
        <v>1066</v>
      </c>
      <c r="C59" s="540" t="s">
        <v>1147</v>
      </c>
      <c r="D59" s="499"/>
      <c r="E59" s="499"/>
      <c r="F59" s="500"/>
      <c r="G59" s="200">
        <v>16</v>
      </c>
      <c r="H59" s="200">
        <v>0.9</v>
      </c>
      <c r="I59" s="200" t="s">
        <v>1026</v>
      </c>
      <c r="J59" s="201">
        <v>14.4</v>
      </c>
    </row>
    <row r="60" spans="1:10">
      <c r="A60" s="532"/>
      <c r="B60" s="202" t="s">
        <v>1069</v>
      </c>
      <c r="C60" s="540" t="s">
        <v>1144</v>
      </c>
      <c r="D60" s="499"/>
      <c r="E60" s="499"/>
      <c r="F60" s="500"/>
      <c r="G60" s="200">
        <v>4</v>
      </c>
      <c r="H60" s="200">
        <v>1.8</v>
      </c>
      <c r="I60" s="200" t="s">
        <v>1026</v>
      </c>
      <c r="J60" s="201">
        <v>7.2</v>
      </c>
    </row>
    <row r="61" spans="1:10">
      <c r="A61" s="532"/>
      <c r="B61" s="554" t="s">
        <v>1073</v>
      </c>
      <c r="C61" s="499"/>
      <c r="D61" s="499"/>
      <c r="E61" s="499"/>
      <c r="F61" s="499"/>
      <c r="G61" s="499"/>
      <c r="H61" s="499"/>
      <c r="I61" s="499"/>
      <c r="J61" s="500"/>
    </row>
    <row r="62" spans="1:10">
      <c r="A62" s="532"/>
      <c r="B62" s="202" t="s">
        <v>1074</v>
      </c>
      <c r="C62" s="540" t="s">
        <v>1075</v>
      </c>
      <c r="D62" s="499"/>
      <c r="E62" s="499"/>
      <c r="F62" s="500"/>
      <c r="G62" s="200">
        <v>2</v>
      </c>
      <c r="H62" s="200">
        <v>4.7</v>
      </c>
      <c r="I62" s="200" t="s">
        <v>1026</v>
      </c>
      <c r="J62" s="201">
        <v>9.4</v>
      </c>
    </row>
    <row r="63" spans="1:10">
      <c r="A63" s="532"/>
      <c r="B63" s="202" t="s">
        <v>1149</v>
      </c>
      <c r="C63" s="540" t="s">
        <v>1075</v>
      </c>
      <c r="D63" s="499"/>
      <c r="E63" s="499"/>
      <c r="F63" s="500"/>
      <c r="G63" s="200">
        <v>12</v>
      </c>
      <c r="H63" s="200">
        <v>0.3</v>
      </c>
      <c r="I63" s="200" t="s">
        <v>1026</v>
      </c>
      <c r="J63" s="201">
        <v>3.6</v>
      </c>
    </row>
    <row r="64" spans="1:10">
      <c r="A64" s="532"/>
      <c r="B64" s="202" t="s">
        <v>1078</v>
      </c>
      <c r="C64" s="540"/>
      <c r="D64" s="499"/>
      <c r="E64" s="499"/>
      <c r="F64" s="500"/>
      <c r="G64" s="200">
        <v>1.8</v>
      </c>
      <c r="H64" s="200">
        <v>1.8</v>
      </c>
      <c r="I64" s="200" t="s">
        <v>1150</v>
      </c>
      <c r="J64" s="201">
        <v>3.24</v>
      </c>
    </row>
    <row r="65" spans="1:10">
      <c r="A65" s="532"/>
      <c r="B65" s="202" t="s">
        <v>1151</v>
      </c>
      <c r="C65" s="540">
        <v>4</v>
      </c>
      <c r="D65" s="499"/>
      <c r="E65" s="499"/>
      <c r="F65" s="500"/>
      <c r="G65" s="200">
        <v>0.3</v>
      </c>
      <c r="H65" s="200">
        <v>0.3</v>
      </c>
      <c r="I65" s="200" t="s">
        <v>1150</v>
      </c>
      <c r="J65" s="201">
        <v>0.36</v>
      </c>
    </row>
    <row r="66" spans="1:10">
      <c r="A66" s="532"/>
      <c r="B66" s="555"/>
      <c r="C66" s="499"/>
      <c r="D66" s="499"/>
      <c r="E66" s="499"/>
      <c r="F66" s="499"/>
      <c r="G66" s="499"/>
      <c r="H66" s="499"/>
      <c r="I66" s="499"/>
      <c r="J66" s="500"/>
    </row>
    <row r="67" spans="1:10">
      <c r="A67" s="532"/>
      <c r="B67" s="554" t="s">
        <v>1085</v>
      </c>
      <c r="C67" s="499"/>
      <c r="D67" s="499"/>
      <c r="E67" s="499"/>
      <c r="F67" s="500"/>
      <c r="G67" s="197" t="s">
        <v>820</v>
      </c>
      <c r="H67" s="197" t="s">
        <v>1087</v>
      </c>
      <c r="I67" s="197" t="s">
        <v>5</v>
      </c>
      <c r="J67" s="198" t="s">
        <v>1088</v>
      </c>
    </row>
    <row r="68" spans="1:10">
      <c r="A68" s="532"/>
      <c r="B68" s="202" t="s">
        <v>1089</v>
      </c>
      <c r="C68" s="540" t="s">
        <v>1136</v>
      </c>
      <c r="D68" s="499"/>
      <c r="E68" s="499"/>
      <c r="F68" s="500"/>
      <c r="G68" s="200">
        <v>29.2</v>
      </c>
      <c r="H68" s="200">
        <v>5.8</v>
      </c>
      <c r="I68" s="200" t="s">
        <v>1091</v>
      </c>
      <c r="J68" s="201">
        <v>169.36</v>
      </c>
    </row>
    <row r="69" spans="1:10">
      <c r="A69" s="532"/>
      <c r="B69" s="202" t="s">
        <v>1089</v>
      </c>
      <c r="C69" s="540" t="s">
        <v>1138</v>
      </c>
      <c r="D69" s="499"/>
      <c r="E69" s="499"/>
      <c r="F69" s="500"/>
      <c r="G69" s="200">
        <v>34.799999999999997</v>
      </c>
      <c r="H69" s="200">
        <v>4.5</v>
      </c>
      <c r="I69" s="200" t="s">
        <v>1091</v>
      </c>
      <c r="J69" s="201">
        <v>156.6</v>
      </c>
    </row>
    <row r="70" spans="1:10">
      <c r="A70" s="532"/>
      <c r="B70" s="202" t="s">
        <v>1089</v>
      </c>
      <c r="C70" s="540" t="s">
        <v>1144</v>
      </c>
      <c r="D70" s="499"/>
      <c r="E70" s="499"/>
      <c r="F70" s="500"/>
      <c r="G70" s="200">
        <v>51.2</v>
      </c>
      <c r="H70" s="200">
        <v>2.6</v>
      </c>
      <c r="I70" s="200" t="s">
        <v>1091</v>
      </c>
      <c r="J70" s="201">
        <v>133.12</v>
      </c>
    </row>
    <row r="71" spans="1:10">
      <c r="A71" s="532"/>
      <c r="B71" s="202" t="s">
        <v>1089</v>
      </c>
      <c r="C71" s="540" t="s">
        <v>1147</v>
      </c>
      <c r="D71" s="499"/>
      <c r="E71" s="499"/>
      <c r="F71" s="500"/>
      <c r="G71" s="200">
        <v>14.4</v>
      </c>
      <c r="H71" s="200">
        <v>1.8</v>
      </c>
      <c r="I71" s="200" t="s">
        <v>1091</v>
      </c>
      <c r="J71" s="201">
        <v>25.92</v>
      </c>
    </row>
    <row r="72" spans="1:10">
      <c r="A72" s="532"/>
      <c r="B72" s="202" t="s">
        <v>1100</v>
      </c>
      <c r="C72" s="540" t="s">
        <v>1075</v>
      </c>
      <c r="D72" s="499"/>
      <c r="E72" s="499"/>
      <c r="F72" s="500"/>
      <c r="G72" s="200">
        <v>13</v>
      </c>
      <c r="H72" s="200">
        <v>1.68</v>
      </c>
      <c r="I72" s="200" t="s">
        <v>1091</v>
      </c>
      <c r="J72" s="201">
        <v>21.84</v>
      </c>
    </row>
    <row r="73" spans="1:10">
      <c r="A73" s="532"/>
      <c r="B73" s="555" t="s">
        <v>1064</v>
      </c>
      <c r="C73" s="499"/>
      <c r="D73" s="499"/>
      <c r="E73" s="499"/>
      <c r="F73" s="499"/>
      <c r="G73" s="499"/>
      <c r="H73" s="499"/>
      <c r="I73" s="500"/>
      <c r="J73" s="201">
        <v>506.84</v>
      </c>
    </row>
    <row r="74" spans="1:10">
      <c r="A74" s="532"/>
      <c r="B74" s="202" t="s">
        <v>1078</v>
      </c>
      <c r="C74" s="208"/>
      <c r="D74" s="208"/>
      <c r="E74" s="208"/>
      <c r="F74" s="208"/>
      <c r="G74" s="200">
        <v>3.24</v>
      </c>
      <c r="H74" s="200">
        <v>12.56</v>
      </c>
      <c r="I74" s="200" t="s">
        <v>1160</v>
      </c>
      <c r="J74" s="201">
        <v>40.69</v>
      </c>
    </row>
    <row r="75" spans="1:10">
      <c r="A75" s="532"/>
      <c r="B75" s="202" t="s">
        <v>1151</v>
      </c>
      <c r="C75" s="208"/>
      <c r="D75" s="208"/>
      <c r="E75" s="208"/>
      <c r="F75" s="208"/>
      <c r="G75" s="200">
        <v>0.36</v>
      </c>
      <c r="H75" s="200">
        <v>117.8</v>
      </c>
      <c r="I75" s="200" t="s">
        <v>1160</v>
      </c>
      <c r="J75" s="201">
        <v>42.41</v>
      </c>
    </row>
    <row r="76" spans="1:10">
      <c r="A76" s="533"/>
      <c r="B76" s="557" t="s">
        <v>40</v>
      </c>
      <c r="C76" s="454"/>
      <c r="D76" s="454"/>
      <c r="E76" s="454"/>
      <c r="F76" s="454"/>
      <c r="G76" s="454"/>
      <c r="H76" s="454"/>
      <c r="I76" s="450"/>
      <c r="J76" s="210">
        <v>589.94000000000005</v>
      </c>
    </row>
    <row r="77" spans="1:10">
      <c r="A77" s="211"/>
      <c r="B77" s="197" t="s">
        <v>1110</v>
      </c>
      <c r="C77" s="197" t="s">
        <v>1005</v>
      </c>
      <c r="D77" s="197" t="s">
        <v>820</v>
      </c>
      <c r="E77" s="197" t="s">
        <v>1111</v>
      </c>
      <c r="F77" s="197" t="s">
        <v>1112</v>
      </c>
      <c r="G77" s="197" t="s">
        <v>6</v>
      </c>
      <c r="H77" s="197" t="s">
        <v>7</v>
      </c>
      <c r="I77" s="197" t="s">
        <v>5</v>
      </c>
      <c r="J77" s="198" t="s">
        <v>8</v>
      </c>
    </row>
    <row r="78" spans="1:10">
      <c r="A78" s="200">
        <v>2</v>
      </c>
      <c r="B78" s="212" t="s">
        <v>1163</v>
      </c>
      <c r="C78" s="213"/>
      <c r="D78" s="213"/>
      <c r="E78" s="213"/>
      <c r="F78" s="213"/>
      <c r="G78" s="200">
        <v>589.94000000000005</v>
      </c>
      <c r="H78" s="200">
        <v>80.78</v>
      </c>
      <c r="I78" s="200" t="s">
        <v>1116</v>
      </c>
      <c r="J78" s="201">
        <v>47655.55</v>
      </c>
    </row>
    <row r="79" spans="1:10">
      <c r="A79" s="200">
        <v>3</v>
      </c>
      <c r="B79" s="212" t="s">
        <v>1117</v>
      </c>
      <c r="C79" s="213"/>
      <c r="D79" s="213"/>
      <c r="E79" s="213"/>
      <c r="F79" s="213"/>
      <c r="G79" s="200">
        <v>3</v>
      </c>
      <c r="H79" s="200">
        <v>121.67</v>
      </c>
      <c r="I79" s="200" t="s">
        <v>1116</v>
      </c>
      <c r="J79" s="201">
        <v>365.01</v>
      </c>
    </row>
    <row r="80" spans="1:10">
      <c r="A80" s="200">
        <v>4</v>
      </c>
      <c r="B80" s="212" t="s">
        <v>1119</v>
      </c>
      <c r="C80" s="214">
        <v>4</v>
      </c>
      <c r="D80" s="214">
        <v>0.75</v>
      </c>
      <c r="E80" s="214">
        <v>0.75</v>
      </c>
      <c r="F80" s="214">
        <v>1</v>
      </c>
      <c r="G80" s="200">
        <v>2.25</v>
      </c>
      <c r="H80" s="200">
        <v>249.03</v>
      </c>
      <c r="I80" s="214" t="s">
        <v>1032</v>
      </c>
      <c r="J80" s="201">
        <v>560.32000000000005</v>
      </c>
    </row>
    <row r="81" spans="1:10" ht="21" customHeight="1">
      <c r="A81" s="538">
        <v>5</v>
      </c>
      <c r="B81" s="539" t="s">
        <v>1120</v>
      </c>
      <c r="C81" s="214">
        <v>4</v>
      </c>
      <c r="D81" s="214">
        <v>0.75</v>
      </c>
      <c r="E81" s="214">
        <v>0.75</v>
      </c>
      <c r="F81" s="214">
        <v>0.4</v>
      </c>
      <c r="G81" s="200">
        <v>0.9</v>
      </c>
      <c r="H81" s="208"/>
      <c r="I81" s="213"/>
      <c r="J81" s="218"/>
    </row>
    <row r="82" spans="1:10" ht="21" customHeight="1">
      <c r="A82" s="535"/>
      <c r="B82" s="535"/>
      <c r="C82" s="214">
        <v>4</v>
      </c>
      <c r="D82" s="214">
        <v>0.6</v>
      </c>
      <c r="E82" s="214">
        <v>0.6</v>
      </c>
      <c r="F82" s="214">
        <v>0.7</v>
      </c>
      <c r="G82" s="200">
        <v>1.008</v>
      </c>
      <c r="H82" s="208"/>
      <c r="I82" s="213"/>
      <c r="J82" s="218"/>
    </row>
    <row r="83" spans="1:10" ht="21" customHeight="1">
      <c r="A83" s="496"/>
      <c r="B83" s="496"/>
      <c r="C83" s="540" t="s">
        <v>40</v>
      </c>
      <c r="D83" s="499"/>
      <c r="E83" s="499"/>
      <c r="F83" s="500"/>
      <c r="G83" s="200">
        <v>1.9079999999999999</v>
      </c>
      <c r="H83" s="200">
        <v>6393.89</v>
      </c>
      <c r="I83" s="214" t="s">
        <v>1032</v>
      </c>
      <c r="J83" s="201">
        <v>12199.54</v>
      </c>
    </row>
    <row r="84" spans="1:10">
      <c r="A84" s="200">
        <v>6</v>
      </c>
      <c r="B84" s="541" t="s">
        <v>1124</v>
      </c>
      <c r="C84" s="499"/>
      <c r="D84" s="499"/>
      <c r="E84" s="499"/>
      <c r="F84" s="499"/>
      <c r="G84" s="499"/>
      <c r="H84" s="499"/>
      <c r="I84" s="500"/>
      <c r="J84" s="201">
        <v>1219.58</v>
      </c>
    </row>
    <row r="85" spans="1:10">
      <c r="A85" s="200">
        <v>7</v>
      </c>
      <c r="B85" s="542" t="s">
        <v>40</v>
      </c>
      <c r="C85" s="499"/>
      <c r="D85" s="499"/>
      <c r="E85" s="499"/>
      <c r="F85" s="499"/>
      <c r="G85" s="499"/>
      <c r="H85" s="499"/>
      <c r="I85" s="500"/>
      <c r="J85" s="198">
        <v>62000</v>
      </c>
    </row>
    <row r="86" spans="1:10">
      <c r="A86" s="220">
        <v>8</v>
      </c>
      <c r="B86" s="543" t="s">
        <v>1176</v>
      </c>
      <c r="C86" s="499"/>
      <c r="D86" s="499"/>
      <c r="E86" s="499"/>
      <c r="F86" s="499"/>
      <c r="G86" s="499"/>
      <c r="H86" s="499"/>
      <c r="I86" s="499"/>
      <c r="J86" s="500"/>
    </row>
    <row r="87" spans="1:10" ht="14.5">
      <c r="A87" s="544" t="s">
        <v>1180</v>
      </c>
      <c r="B87" s="545"/>
      <c r="C87" s="545"/>
      <c r="D87" s="545"/>
      <c r="E87" s="545"/>
      <c r="F87" s="545"/>
      <c r="G87" s="545"/>
      <c r="H87" s="545"/>
      <c r="I87" s="545"/>
      <c r="J87" s="545"/>
    </row>
    <row r="88" spans="1:10">
      <c r="A88" s="531">
        <v>1</v>
      </c>
      <c r="B88" s="546" t="s">
        <v>1018</v>
      </c>
      <c r="C88" s="499"/>
      <c r="D88" s="499"/>
      <c r="E88" s="499"/>
      <c r="F88" s="499"/>
      <c r="G88" s="499"/>
      <c r="H88" s="499"/>
      <c r="I88" s="499"/>
      <c r="J88" s="500"/>
    </row>
    <row r="89" spans="1:10">
      <c r="A89" s="532"/>
      <c r="B89" s="550" t="s">
        <v>1021</v>
      </c>
      <c r="C89" s="499"/>
      <c r="D89" s="499"/>
      <c r="E89" s="499"/>
      <c r="F89" s="500"/>
      <c r="G89" s="163" t="s">
        <v>1022</v>
      </c>
      <c r="H89" s="163" t="s">
        <v>820</v>
      </c>
      <c r="I89" s="163" t="s">
        <v>5</v>
      </c>
      <c r="J89" s="164" t="s">
        <v>40</v>
      </c>
    </row>
    <row r="90" spans="1:10" ht="17">
      <c r="A90" s="532"/>
      <c r="B90" s="223" t="s">
        <v>1023</v>
      </c>
      <c r="C90" s="529" t="s">
        <v>1185</v>
      </c>
      <c r="D90" s="499"/>
      <c r="E90" s="499"/>
      <c r="F90" s="500"/>
      <c r="G90" s="165">
        <v>4</v>
      </c>
      <c r="H90" s="165">
        <v>7</v>
      </c>
      <c r="I90" s="165" t="s">
        <v>1026</v>
      </c>
      <c r="J90" s="166">
        <f t="shared" ref="J90:J99" si="8">G90*H90</f>
        <v>28</v>
      </c>
    </row>
    <row r="91" spans="1:10" ht="17">
      <c r="A91" s="532"/>
      <c r="B91" s="138" t="s">
        <v>1028</v>
      </c>
      <c r="C91" s="529" t="s">
        <v>1188</v>
      </c>
      <c r="D91" s="499"/>
      <c r="E91" s="499"/>
      <c r="F91" s="500"/>
      <c r="G91" s="165">
        <v>4</v>
      </c>
      <c r="H91" s="165">
        <v>0.9</v>
      </c>
      <c r="I91" s="165" t="s">
        <v>1026</v>
      </c>
      <c r="J91" s="166">
        <f t="shared" si="8"/>
        <v>3.6</v>
      </c>
    </row>
    <row r="92" spans="1:10" ht="17">
      <c r="A92" s="532"/>
      <c r="B92" s="138" t="s">
        <v>1189</v>
      </c>
      <c r="C92" s="529" t="s">
        <v>1191</v>
      </c>
      <c r="D92" s="499"/>
      <c r="E92" s="499"/>
      <c r="F92" s="500"/>
      <c r="G92" s="165">
        <v>4</v>
      </c>
      <c r="H92" s="165">
        <v>2.8</v>
      </c>
      <c r="I92" s="165" t="s">
        <v>1026</v>
      </c>
      <c r="J92" s="166">
        <f t="shared" si="8"/>
        <v>11.2</v>
      </c>
    </row>
    <row r="93" spans="1:10" ht="17">
      <c r="A93" s="532"/>
      <c r="B93" s="138" t="s">
        <v>1195</v>
      </c>
      <c r="C93" s="529" t="s">
        <v>1196</v>
      </c>
      <c r="D93" s="499"/>
      <c r="E93" s="499"/>
      <c r="F93" s="500"/>
      <c r="G93" s="165">
        <v>4</v>
      </c>
      <c r="H93" s="165">
        <v>2.6</v>
      </c>
      <c r="I93" s="165" t="s">
        <v>1026</v>
      </c>
      <c r="J93" s="166">
        <f t="shared" si="8"/>
        <v>10.4</v>
      </c>
    </row>
    <row r="94" spans="1:10" ht="17">
      <c r="A94" s="532"/>
      <c r="B94" s="138" t="s">
        <v>1198</v>
      </c>
      <c r="C94" s="529" t="s">
        <v>1199</v>
      </c>
      <c r="D94" s="499"/>
      <c r="E94" s="499"/>
      <c r="F94" s="500"/>
      <c r="G94" s="165">
        <v>4</v>
      </c>
      <c r="H94" s="165">
        <v>2.5</v>
      </c>
      <c r="I94" s="165" t="s">
        <v>1026</v>
      </c>
      <c r="J94" s="166">
        <f t="shared" si="8"/>
        <v>10</v>
      </c>
    </row>
    <row r="95" spans="1:10" ht="17">
      <c r="A95" s="532"/>
      <c r="B95" s="138" t="s">
        <v>1201</v>
      </c>
      <c r="C95" s="529" t="s">
        <v>1202</v>
      </c>
      <c r="D95" s="499"/>
      <c r="E95" s="499"/>
      <c r="F95" s="500"/>
      <c r="G95" s="165">
        <v>4</v>
      </c>
      <c r="H95" s="165">
        <v>2.2999999999999998</v>
      </c>
      <c r="I95" s="165" t="s">
        <v>1026</v>
      </c>
      <c r="J95" s="166">
        <f t="shared" si="8"/>
        <v>9.1999999999999993</v>
      </c>
    </row>
    <row r="96" spans="1:10" ht="17">
      <c r="A96" s="532"/>
      <c r="B96" s="138" t="s">
        <v>1204</v>
      </c>
      <c r="C96" s="529" t="s">
        <v>1205</v>
      </c>
      <c r="D96" s="499"/>
      <c r="E96" s="499"/>
      <c r="F96" s="500"/>
      <c r="G96" s="165">
        <v>8</v>
      </c>
      <c r="H96" s="165">
        <v>3.1</v>
      </c>
      <c r="I96" s="165" t="s">
        <v>1026</v>
      </c>
      <c r="J96" s="166">
        <f t="shared" si="8"/>
        <v>24.8</v>
      </c>
    </row>
    <row r="97" spans="1:10" ht="17">
      <c r="A97" s="532"/>
      <c r="B97" s="138" t="s">
        <v>1209</v>
      </c>
      <c r="C97" s="529" t="s">
        <v>1210</v>
      </c>
      <c r="D97" s="499"/>
      <c r="E97" s="499"/>
      <c r="F97" s="500"/>
      <c r="G97" s="165">
        <v>8</v>
      </c>
      <c r="H97" s="165">
        <v>2.9</v>
      </c>
      <c r="I97" s="165" t="s">
        <v>1026</v>
      </c>
      <c r="J97" s="166">
        <f t="shared" si="8"/>
        <v>23.2</v>
      </c>
    </row>
    <row r="98" spans="1:10" ht="17">
      <c r="A98" s="532"/>
      <c r="B98" s="138" t="s">
        <v>1211</v>
      </c>
      <c r="C98" s="529" t="s">
        <v>1212</v>
      </c>
      <c r="D98" s="499"/>
      <c r="E98" s="499"/>
      <c r="F98" s="500"/>
      <c r="G98" s="165">
        <v>8</v>
      </c>
      <c r="H98" s="165">
        <v>2.8</v>
      </c>
      <c r="I98" s="165" t="s">
        <v>1026</v>
      </c>
      <c r="J98" s="166">
        <f t="shared" si="8"/>
        <v>22.4</v>
      </c>
    </row>
    <row r="99" spans="1:10" ht="17">
      <c r="A99" s="532"/>
      <c r="B99" s="138" t="s">
        <v>1050</v>
      </c>
      <c r="C99" s="529" t="s">
        <v>1215</v>
      </c>
      <c r="D99" s="499"/>
      <c r="E99" s="499"/>
      <c r="F99" s="500"/>
      <c r="G99" s="165">
        <v>8</v>
      </c>
      <c r="H99" s="165">
        <v>1</v>
      </c>
      <c r="I99" s="165" t="s">
        <v>1026</v>
      </c>
      <c r="J99" s="166">
        <f t="shared" si="8"/>
        <v>8</v>
      </c>
    </row>
    <row r="100" spans="1:10">
      <c r="A100" s="532"/>
      <c r="B100" s="530" t="s">
        <v>1054</v>
      </c>
      <c r="C100" s="499"/>
      <c r="D100" s="499"/>
      <c r="E100" s="499"/>
      <c r="F100" s="499"/>
      <c r="G100" s="499"/>
      <c r="H100" s="499"/>
      <c r="I100" s="499"/>
      <c r="J100" s="500"/>
    </row>
    <row r="101" spans="1:10" ht="17">
      <c r="A101" s="532"/>
      <c r="B101" s="138" t="s">
        <v>1057</v>
      </c>
      <c r="C101" s="529" t="s">
        <v>1220</v>
      </c>
      <c r="D101" s="499"/>
      <c r="E101" s="499"/>
      <c r="F101" s="500"/>
      <c r="G101" s="165">
        <v>4</v>
      </c>
      <c r="H101" s="165">
        <v>2.2000000000000002</v>
      </c>
      <c r="I101" s="165" t="s">
        <v>1026</v>
      </c>
      <c r="J101" s="166">
        <f t="shared" ref="J101:J102" si="9">G101*H101</f>
        <v>8.8000000000000007</v>
      </c>
    </row>
    <row r="102" spans="1:10" ht="17">
      <c r="A102" s="532"/>
      <c r="B102" s="138" t="s">
        <v>1062</v>
      </c>
      <c r="C102" s="529" t="s">
        <v>1222</v>
      </c>
      <c r="D102" s="499"/>
      <c r="E102" s="499"/>
      <c r="F102" s="500"/>
      <c r="G102" s="165">
        <v>6</v>
      </c>
      <c r="H102" s="165">
        <v>2.2000000000000002</v>
      </c>
      <c r="I102" s="165" t="s">
        <v>1026</v>
      </c>
      <c r="J102" s="166">
        <f t="shared" si="9"/>
        <v>13.200000000000001</v>
      </c>
    </row>
    <row r="103" spans="1:10">
      <c r="A103" s="532"/>
      <c r="B103" s="530" t="s">
        <v>1065</v>
      </c>
      <c r="C103" s="499"/>
      <c r="D103" s="499"/>
      <c r="E103" s="499"/>
      <c r="F103" s="499"/>
      <c r="G103" s="499"/>
      <c r="H103" s="499"/>
      <c r="I103" s="499"/>
      <c r="J103" s="500"/>
    </row>
    <row r="104" spans="1:10" ht="17">
      <c r="A104" s="532"/>
      <c r="B104" s="138" t="s">
        <v>1066</v>
      </c>
      <c r="C104" s="529" t="s">
        <v>1226</v>
      </c>
      <c r="D104" s="499"/>
      <c r="E104" s="499"/>
      <c r="F104" s="500"/>
      <c r="G104" s="165">
        <v>16</v>
      </c>
      <c r="H104" s="165">
        <v>0.9</v>
      </c>
      <c r="I104" s="165" t="s">
        <v>1026</v>
      </c>
      <c r="J104" s="166">
        <f t="shared" ref="J104:J105" si="10">G104*H104</f>
        <v>14.4</v>
      </c>
    </row>
    <row r="105" spans="1:10" ht="17">
      <c r="A105" s="532"/>
      <c r="B105" s="138" t="s">
        <v>1069</v>
      </c>
      <c r="C105" s="529" t="s">
        <v>1230</v>
      </c>
      <c r="D105" s="499"/>
      <c r="E105" s="499"/>
      <c r="F105" s="500"/>
      <c r="G105" s="165">
        <v>4</v>
      </c>
      <c r="H105" s="165">
        <v>2.2000000000000002</v>
      </c>
      <c r="I105" s="165" t="s">
        <v>1026</v>
      </c>
      <c r="J105" s="166">
        <f t="shared" si="10"/>
        <v>8.8000000000000007</v>
      </c>
    </row>
    <row r="106" spans="1:10">
      <c r="A106" s="532"/>
      <c r="B106" s="530" t="s">
        <v>1073</v>
      </c>
      <c r="C106" s="499"/>
      <c r="D106" s="499"/>
      <c r="E106" s="499"/>
      <c r="F106" s="499"/>
      <c r="G106" s="499"/>
      <c r="H106" s="499"/>
      <c r="I106" s="499"/>
      <c r="J106" s="500"/>
    </row>
    <row r="107" spans="1:10">
      <c r="A107" s="532"/>
      <c r="B107" s="138" t="s">
        <v>1074</v>
      </c>
      <c r="C107" s="529" t="s">
        <v>1075</v>
      </c>
      <c r="D107" s="499"/>
      <c r="E107" s="499"/>
      <c r="F107" s="500"/>
      <c r="G107" s="165">
        <v>2</v>
      </c>
      <c r="H107" s="165">
        <v>6.4</v>
      </c>
      <c r="I107" s="165" t="s">
        <v>1026</v>
      </c>
      <c r="J107" s="166">
        <f t="shared" ref="J107:J109" si="11">G107*H107</f>
        <v>12.8</v>
      </c>
    </row>
    <row r="108" spans="1:10">
      <c r="A108" s="532"/>
      <c r="B108" s="138" t="s">
        <v>1077</v>
      </c>
      <c r="C108" s="529" t="s">
        <v>1075</v>
      </c>
      <c r="D108" s="499"/>
      <c r="E108" s="499"/>
      <c r="F108" s="500"/>
      <c r="G108" s="165">
        <v>18</v>
      </c>
      <c r="H108" s="165">
        <v>0.3</v>
      </c>
      <c r="I108" s="165" t="s">
        <v>1026</v>
      </c>
      <c r="J108" s="166">
        <f t="shared" si="11"/>
        <v>5.3999999999999995</v>
      </c>
    </row>
    <row r="109" spans="1:10" ht="17">
      <c r="A109" s="532"/>
      <c r="B109" s="173" t="s">
        <v>1078</v>
      </c>
      <c r="C109" s="529"/>
      <c r="D109" s="499"/>
      <c r="E109" s="499"/>
      <c r="F109" s="500"/>
      <c r="G109" s="165">
        <v>2.2000000000000002</v>
      </c>
      <c r="H109" s="165">
        <v>2.2000000000000002</v>
      </c>
      <c r="I109" s="165" t="s">
        <v>1236</v>
      </c>
      <c r="J109" s="166">
        <f t="shared" si="11"/>
        <v>4.8400000000000007</v>
      </c>
    </row>
    <row r="110" spans="1:10" ht="17">
      <c r="A110" s="532"/>
      <c r="B110" s="138" t="s">
        <v>1080</v>
      </c>
      <c r="C110" s="529">
        <v>4</v>
      </c>
      <c r="D110" s="499"/>
      <c r="E110" s="499"/>
      <c r="F110" s="500"/>
      <c r="G110" s="165">
        <v>0.3</v>
      </c>
      <c r="H110" s="165">
        <v>0.3</v>
      </c>
      <c r="I110" s="165" t="s">
        <v>1237</v>
      </c>
      <c r="J110" s="166">
        <f>G110*H110*C110</f>
        <v>0.36</v>
      </c>
    </row>
    <row r="111" spans="1:10">
      <c r="A111" s="532"/>
      <c r="B111" s="529"/>
      <c r="C111" s="499"/>
      <c r="D111" s="499"/>
      <c r="E111" s="499"/>
      <c r="F111" s="499"/>
      <c r="G111" s="499"/>
      <c r="H111" s="499"/>
      <c r="I111" s="499"/>
      <c r="J111" s="500"/>
    </row>
    <row r="112" spans="1:10">
      <c r="A112" s="532"/>
      <c r="B112" s="530" t="s">
        <v>1085</v>
      </c>
      <c r="C112" s="499"/>
      <c r="D112" s="499"/>
      <c r="E112" s="499"/>
      <c r="F112" s="500"/>
      <c r="G112" s="163" t="s">
        <v>820</v>
      </c>
      <c r="H112" s="163" t="s">
        <v>1087</v>
      </c>
      <c r="I112" s="163" t="s">
        <v>5</v>
      </c>
      <c r="J112" s="164" t="s">
        <v>1088</v>
      </c>
    </row>
    <row r="113" spans="1:10" ht="17">
      <c r="A113" s="532"/>
      <c r="B113" s="138" t="s">
        <v>1089</v>
      </c>
      <c r="C113" s="529" t="s">
        <v>1242</v>
      </c>
      <c r="D113" s="499"/>
      <c r="E113" s="499"/>
      <c r="F113" s="500"/>
      <c r="G113" s="165">
        <v>40.4</v>
      </c>
      <c r="H113" s="165">
        <v>6.8</v>
      </c>
      <c r="I113" s="165" t="s">
        <v>1091</v>
      </c>
      <c r="J113" s="166">
        <f t="shared" ref="J113:J117" si="12">G113*H113</f>
        <v>274.71999999999997</v>
      </c>
    </row>
    <row r="114" spans="1:10" ht="17">
      <c r="A114" s="532"/>
      <c r="B114" s="138" t="s">
        <v>1089</v>
      </c>
      <c r="C114" s="529" t="s">
        <v>1245</v>
      </c>
      <c r="D114" s="499"/>
      <c r="E114" s="499"/>
      <c r="F114" s="500"/>
      <c r="G114" s="165">
        <v>62</v>
      </c>
      <c r="H114" s="165">
        <v>4.5</v>
      </c>
      <c r="I114" s="165" t="s">
        <v>1091</v>
      </c>
      <c r="J114" s="166">
        <f t="shared" si="12"/>
        <v>279</v>
      </c>
    </row>
    <row r="115" spans="1:10" ht="17">
      <c r="A115" s="532"/>
      <c r="B115" s="138" t="s">
        <v>1089</v>
      </c>
      <c r="C115" s="529" t="s">
        <v>1248</v>
      </c>
      <c r="D115" s="499"/>
      <c r="E115" s="499"/>
      <c r="F115" s="500"/>
      <c r="G115" s="165">
        <v>79.2</v>
      </c>
      <c r="H115" s="165">
        <v>2.6</v>
      </c>
      <c r="I115" s="165" t="s">
        <v>1091</v>
      </c>
      <c r="J115" s="166">
        <f t="shared" si="12"/>
        <v>205.92000000000002</v>
      </c>
    </row>
    <row r="116" spans="1:10" ht="17">
      <c r="A116" s="532"/>
      <c r="B116" s="138" t="s">
        <v>1089</v>
      </c>
      <c r="C116" s="529" t="s">
        <v>1250</v>
      </c>
      <c r="D116" s="499"/>
      <c r="E116" s="499"/>
      <c r="F116" s="500"/>
      <c r="G116" s="165">
        <v>14.4</v>
      </c>
      <c r="H116" s="165">
        <v>1.8</v>
      </c>
      <c r="I116" s="165" t="s">
        <v>1091</v>
      </c>
      <c r="J116" s="166">
        <f t="shared" si="12"/>
        <v>25.92</v>
      </c>
    </row>
    <row r="117" spans="1:10">
      <c r="A117" s="532"/>
      <c r="B117" s="138" t="s">
        <v>1100</v>
      </c>
      <c r="C117" s="529" t="s">
        <v>1075</v>
      </c>
      <c r="D117" s="499"/>
      <c r="E117" s="499"/>
      <c r="F117" s="500"/>
      <c r="G117" s="165">
        <v>18.2</v>
      </c>
      <c r="H117" s="165">
        <v>1.68</v>
      </c>
      <c r="I117" s="165" t="s">
        <v>1091</v>
      </c>
      <c r="J117" s="166">
        <f t="shared" si="12"/>
        <v>30.575999999999997</v>
      </c>
    </row>
    <row r="118" spans="1:10">
      <c r="A118" s="532"/>
      <c r="B118" s="529" t="s">
        <v>1064</v>
      </c>
      <c r="C118" s="499"/>
      <c r="D118" s="499"/>
      <c r="E118" s="499"/>
      <c r="F118" s="499"/>
      <c r="G118" s="499"/>
      <c r="H118" s="499"/>
      <c r="I118" s="500"/>
      <c r="J118" s="166">
        <f>SUM(J113:J117)</f>
        <v>816.13600000000008</v>
      </c>
    </row>
    <row r="119" spans="1:10" ht="17">
      <c r="A119" s="532"/>
      <c r="B119" s="173" t="s">
        <v>1078</v>
      </c>
      <c r="C119" s="165"/>
      <c r="D119" s="165"/>
      <c r="E119" s="165"/>
      <c r="F119" s="165"/>
      <c r="G119" s="165">
        <v>4.84</v>
      </c>
      <c r="H119" s="165">
        <v>12.56</v>
      </c>
      <c r="I119" s="165" t="s">
        <v>1256</v>
      </c>
      <c r="J119" s="166">
        <f t="shared" ref="J119:J120" si="13">G119*H119</f>
        <v>60.790399999999998</v>
      </c>
    </row>
    <row r="120" spans="1:10" ht="17">
      <c r="A120" s="532"/>
      <c r="B120" s="138" t="s">
        <v>1080</v>
      </c>
      <c r="C120" s="165"/>
      <c r="D120" s="165"/>
      <c r="E120" s="165"/>
      <c r="F120" s="165"/>
      <c r="G120" s="165">
        <v>0.36</v>
      </c>
      <c r="H120" s="165">
        <v>117.8</v>
      </c>
      <c r="I120" s="165" t="s">
        <v>1260</v>
      </c>
      <c r="J120" s="166">
        <f t="shared" si="13"/>
        <v>42.407999999999994</v>
      </c>
    </row>
    <row r="121" spans="1:10">
      <c r="A121" s="533"/>
      <c r="B121" s="547" t="s">
        <v>40</v>
      </c>
      <c r="C121" s="454"/>
      <c r="D121" s="454"/>
      <c r="E121" s="454"/>
      <c r="F121" s="454"/>
      <c r="G121" s="454"/>
      <c r="H121" s="454"/>
      <c r="I121" s="450"/>
      <c r="J121" s="184">
        <f>SUM(J118:J120)</f>
        <v>919.33440000000007</v>
      </c>
    </row>
    <row r="122" spans="1:10">
      <c r="A122" s="163"/>
      <c r="B122" s="163" t="s">
        <v>1110</v>
      </c>
      <c r="C122" s="163" t="s">
        <v>1005</v>
      </c>
      <c r="D122" s="163" t="s">
        <v>820</v>
      </c>
      <c r="E122" s="163" t="s">
        <v>1111</v>
      </c>
      <c r="F122" s="163" t="s">
        <v>1112</v>
      </c>
      <c r="G122" s="163" t="s">
        <v>6</v>
      </c>
      <c r="H122" s="163" t="s">
        <v>7</v>
      </c>
      <c r="I122" s="163" t="s">
        <v>5</v>
      </c>
      <c r="J122" s="164" t="s">
        <v>8</v>
      </c>
    </row>
    <row r="123" spans="1:10" ht="60">
      <c r="A123" s="165">
        <v>2</v>
      </c>
      <c r="B123" s="106" t="s">
        <v>1163</v>
      </c>
      <c r="C123" s="118"/>
      <c r="D123" s="118"/>
      <c r="E123" s="118"/>
      <c r="F123" s="118"/>
      <c r="G123" s="166">
        <f>J121</f>
        <v>919.33440000000007</v>
      </c>
      <c r="H123" s="190">
        <v>80.78</v>
      </c>
      <c r="I123" s="165" t="s">
        <v>1116</v>
      </c>
      <c r="J123" s="166">
        <f t="shared" ref="J123:J125" si="14">G123*H123</f>
        <v>74263.832832</v>
      </c>
    </row>
    <row r="124" spans="1:10" ht="30">
      <c r="A124" s="190">
        <v>3</v>
      </c>
      <c r="B124" s="106" t="s">
        <v>1117</v>
      </c>
      <c r="C124" s="118"/>
      <c r="D124" s="118"/>
      <c r="E124" s="118"/>
      <c r="F124" s="118"/>
      <c r="G124" s="165">
        <v>5</v>
      </c>
      <c r="H124" s="190">
        <v>121.67</v>
      </c>
      <c r="I124" s="165" t="s">
        <v>1116</v>
      </c>
      <c r="J124" s="166">
        <f t="shared" si="14"/>
        <v>608.35</v>
      </c>
    </row>
    <row r="125" spans="1:10" ht="120">
      <c r="A125" s="190">
        <v>4</v>
      </c>
      <c r="B125" s="106" t="s">
        <v>1119</v>
      </c>
      <c r="C125" s="118">
        <v>4</v>
      </c>
      <c r="D125" s="118">
        <v>0.75</v>
      </c>
      <c r="E125" s="118">
        <v>0.75</v>
      </c>
      <c r="F125" s="118">
        <v>1.5</v>
      </c>
      <c r="G125" s="165">
        <f t="shared" ref="G125:G127" si="15">C125*D125*E125*F125</f>
        <v>3.375</v>
      </c>
      <c r="H125" s="190">
        <v>249.03</v>
      </c>
      <c r="I125" s="118" t="s">
        <v>1032</v>
      </c>
      <c r="J125" s="166">
        <f t="shared" si="14"/>
        <v>840.47625000000005</v>
      </c>
    </row>
    <row r="126" spans="1:10">
      <c r="A126" s="534">
        <v>5</v>
      </c>
      <c r="B126" s="536" t="s">
        <v>1120</v>
      </c>
      <c r="C126" s="118">
        <v>4</v>
      </c>
      <c r="D126" s="118">
        <v>0.75</v>
      </c>
      <c r="E126" s="118">
        <v>0.75</v>
      </c>
      <c r="F126" s="118">
        <v>0.5</v>
      </c>
      <c r="G126" s="165">
        <f t="shared" si="15"/>
        <v>1.125</v>
      </c>
      <c r="H126" s="165"/>
      <c r="I126" s="118"/>
      <c r="J126" s="166"/>
    </row>
    <row r="127" spans="1:10">
      <c r="A127" s="535"/>
      <c r="B127" s="535"/>
      <c r="C127" s="118">
        <v>4</v>
      </c>
      <c r="D127" s="118">
        <v>0.6</v>
      </c>
      <c r="E127" s="118">
        <v>0.6</v>
      </c>
      <c r="F127" s="118">
        <v>1.1000000000000001</v>
      </c>
      <c r="G127" s="165">
        <f t="shared" si="15"/>
        <v>1.5840000000000001</v>
      </c>
      <c r="H127" s="165"/>
      <c r="I127" s="118"/>
      <c r="J127" s="166"/>
    </row>
    <row r="128" spans="1:10" ht="25.5" customHeight="1">
      <c r="A128" s="496"/>
      <c r="B128" s="496"/>
      <c r="C128" s="548" t="s">
        <v>40</v>
      </c>
      <c r="D128" s="499"/>
      <c r="E128" s="499"/>
      <c r="F128" s="500"/>
      <c r="G128" s="165">
        <f>SUM(G126:G127)</f>
        <v>2.7090000000000001</v>
      </c>
      <c r="H128" s="190">
        <v>6393.89</v>
      </c>
      <c r="I128" s="118" t="s">
        <v>1032</v>
      </c>
      <c r="J128" s="166">
        <f>G128*H128</f>
        <v>17321.048010000002</v>
      </c>
    </row>
    <row r="129" spans="1:10">
      <c r="A129" s="190">
        <v>6</v>
      </c>
      <c r="B129" s="549" t="s">
        <v>1124</v>
      </c>
      <c r="C129" s="499"/>
      <c r="D129" s="499"/>
      <c r="E129" s="499"/>
      <c r="F129" s="499"/>
      <c r="G129" s="499"/>
      <c r="H129" s="499"/>
      <c r="I129" s="500"/>
      <c r="J129" s="193">
        <v>966.29</v>
      </c>
    </row>
    <row r="130" spans="1:10">
      <c r="A130" s="190">
        <v>7</v>
      </c>
      <c r="B130" s="530" t="s">
        <v>40</v>
      </c>
      <c r="C130" s="499"/>
      <c r="D130" s="499"/>
      <c r="E130" s="499"/>
      <c r="F130" s="499"/>
      <c r="G130" s="499"/>
      <c r="H130" s="499"/>
      <c r="I130" s="500"/>
      <c r="J130" s="164">
        <f>SUM(J123:J129)</f>
        <v>93999.997092000005</v>
      </c>
    </row>
    <row r="131" spans="1:10">
      <c r="A131" s="190">
        <v>8</v>
      </c>
      <c r="B131" s="550" t="s">
        <v>1280</v>
      </c>
      <c r="C131" s="499"/>
      <c r="D131" s="499"/>
      <c r="E131" s="499"/>
      <c r="F131" s="499"/>
      <c r="G131" s="499"/>
      <c r="H131" s="499"/>
      <c r="I131" s="499"/>
      <c r="J131" s="500"/>
    </row>
    <row r="132" spans="1:10" ht="16.5">
      <c r="A132" s="551" t="s">
        <v>1282</v>
      </c>
      <c r="B132" s="545"/>
      <c r="C132" s="545"/>
      <c r="D132" s="545"/>
      <c r="E132" s="545"/>
      <c r="F132" s="545"/>
      <c r="G132" s="545"/>
      <c r="H132" s="545"/>
      <c r="I132" s="545"/>
      <c r="J132" s="545"/>
    </row>
    <row r="133" spans="1:10">
      <c r="A133" s="537">
        <v>1</v>
      </c>
      <c r="B133" s="552" t="s">
        <v>1018</v>
      </c>
      <c r="C133" s="499"/>
      <c r="D133" s="499"/>
      <c r="E133" s="499"/>
      <c r="F133" s="499"/>
      <c r="G133" s="499"/>
      <c r="H133" s="499"/>
      <c r="I133" s="499"/>
      <c r="J133" s="500"/>
    </row>
    <row r="134" spans="1:10">
      <c r="A134" s="532"/>
      <c r="B134" s="553" t="s">
        <v>1021</v>
      </c>
      <c r="C134" s="499"/>
      <c r="D134" s="499"/>
      <c r="E134" s="499"/>
      <c r="F134" s="500"/>
      <c r="G134" s="197" t="s">
        <v>1022</v>
      </c>
      <c r="H134" s="197" t="s">
        <v>820</v>
      </c>
      <c r="I134" s="197" t="s">
        <v>5</v>
      </c>
      <c r="J134" s="198" t="s">
        <v>40</v>
      </c>
    </row>
    <row r="135" spans="1:10">
      <c r="A135" s="532"/>
      <c r="B135" s="199" t="s">
        <v>1023</v>
      </c>
      <c r="C135" s="540" t="s">
        <v>1287</v>
      </c>
      <c r="D135" s="499"/>
      <c r="E135" s="499"/>
      <c r="F135" s="500"/>
      <c r="G135" s="200">
        <v>4</v>
      </c>
      <c r="H135" s="200">
        <v>7</v>
      </c>
      <c r="I135" s="200" t="s">
        <v>1026</v>
      </c>
      <c r="J135" s="201">
        <v>28</v>
      </c>
    </row>
    <row r="136" spans="1:10">
      <c r="A136" s="532"/>
      <c r="B136" s="202" t="s">
        <v>1028</v>
      </c>
      <c r="C136" s="540" t="s">
        <v>1287</v>
      </c>
      <c r="D136" s="499"/>
      <c r="E136" s="499"/>
      <c r="F136" s="500"/>
      <c r="G136" s="200">
        <v>4</v>
      </c>
      <c r="H136" s="200">
        <v>0.9</v>
      </c>
      <c r="I136" s="200" t="s">
        <v>1026</v>
      </c>
      <c r="J136" s="201">
        <v>3.6</v>
      </c>
    </row>
    <row r="137" spans="1:10">
      <c r="A137" s="532"/>
      <c r="B137" s="202" t="s">
        <v>1137</v>
      </c>
      <c r="C137" s="540" t="s">
        <v>1138</v>
      </c>
      <c r="D137" s="499"/>
      <c r="E137" s="499"/>
      <c r="F137" s="500"/>
      <c r="G137" s="200">
        <v>4</v>
      </c>
      <c r="H137" s="200">
        <v>2.4</v>
      </c>
      <c r="I137" s="200" t="s">
        <v>1026</v>
      </c>
      <c r="J137" s="201">
        <v>9.6</v>
      </c>
    </row>
    <row r="138" spans="1:10">
      <c r="A138" s="532"/>
      <c r="B138" s="202" t="s">
        <v>1140</v>
      </c>
      <c r="C138" s="540" t="s">
        <v>1138</v>
      </c>
      <c r="D138" s="499"/>
      <c r="E138" s="499"/>
      <c r="F138" s="500"/>
      <c r="G138" s="200">
        <v>4</v>
      </c>
      <c r="H138" s="200">
        <v>2.2000000000000002</v>
      </c>
      <c r="I138" s="200" t="s">
        <v>1026</v>
      </c>
      <c r="J138" s="201">
        <v>8.8000000000000007</v>
      </c>
    </row>
    <row r="139" spans="1:10">
      <c r="A139" s="532"/>
      <c r="B139" s="202" t="s">
        <v>1142</v>
      </c>
      <c r="C139" s="540" t="s">
        <v>1138</v>
      </c>
      <c r="D139" s="499"/>
      <c r="E139" s="499"/>
      <c r="F139" s="500"/>
      <c r="G139" s="200">
        <v>4</v>
      </c>
      <c r="H139" s="200">
        <v>2</v>
      </c>
      <c r="I139" s="200" t="s">
        <v>1026</v>
      </c>
      <c r="J139" s="201">
        <v>8</v>
      </c>
    </row>
    <row r="140" spans="1:10">
      <c r="A140" s="532"/>
      <c r="B140" s="202" t="s">
        <v>1295</v>
      </c>
      <c r="C140" s="540" t="s">
        <v>1138</v>
      </c>
      <c r="D140" s="499"/>
      <c r="E140" s="499"/>
      <c r="F140" s="500"/>
      <c r="G140" s="200">
        <v>4</v>
      </c>
      <c r="H140" s="200">
        <v>1.8</v>
      </c>
      <c r="I140" s="200" t="s">
        <v>1026</v>
      </c>
      <c r="J140" s="201">
        <v>7.2</v>
      </c>
    </row>
    <row r="141" spans="1:10">
      <c r="A141" s="532"/>
      <c r="B141" s="202" t="s">
        <v>1143</v>
      </c>
      <c r="C141" s="540" t="s">
        <v>1144</v>
      </c>
      <c r="D141" s="499"/>
      <c r="E141" s="499"/>
      <c r="F141" s="500"/>
      <c r="G141" s="200">
        <v>8</v>
      </c>
      <c r="H141" s="200">
        <v>2.75</v>
      </c>
      <c r="I141" s="200" t="s">
        <v>1026</v>
      </c>
      <c r="J141" s="201">
        <v>22</v>
      </c>
    </row>
    <row r="142" spans="1:10">
      <c r="A142" s="532"/>
      <c r="B142" s="202" t="s">
        <v>1145</v>
      </c>
      <c r="C142" s="540" t="s">
        <v>1144</v>
      </c>
      <c r="D142" s="499"/>
      <c r="E142" s="499"/>
      <c r="F142" s="500"/>
      <c r="G142" s="200">
        <v>8</v>
      </c>
      <c r="H142" s="200">
        <v>2.6</v>
      </c>
      <c r="I142" s="200" t="s">
        <v>1026</v>
      </c>
      <c r="J142" s="201">
        <v>20.8</v>
      </c>
    </row>
    <row r="143" spans="1:10">
      <c r="A143" s="532"/>
      <c r="B143" s="202" t="s">
        <v>1298</v>
      </c>
      <c r="C143" s="540" t="s">
        <v>1144</v>
      </c>
      <c r="D143" s="499"/>
      <c r="E143" s="499"/>
      <c r="F143" s="500"/>
      <c r="G143" s="200">
        <v>8</v>
      </c>
      <c r="H143" s="200">
        <v>2.4</v>
      </c>
      <c r="I143" s="200" t="s">
        <v>1026</v>
      </c>
      <c r="J143" s="201">
        <v>19.2</v>
      </c>
    </row>
    <row r="144" spans="1:10">
      <c r="A144" s="532"/>
      <c r="B144" s="202" t="s">
        <v>1050</v>
      </c>
      <c r="C144" s="540" t="s">
        <v>1144</v>
      </c>
      <c r="D144" s="499"/>
      <c r="E144" s="499"/>
      <c r="F144" s="500"/>
      <c r="G144" s="200">
        <v>8</v>
      </c>
      <c r="H144" s="200">
        <v>1</v>
      </c>
      <c r="I144" s="200" t="s">
        <v>1026</v>
      </c>
      <c r="J144" s="201">
        <v>8</v>
      </c>
    </row>
    <row r="145" spans="1:10">
      <c r="A145" s="532"/>
      <c r="B145" s="554" t="s">
        <v>1054</v>
      </c>
      <c r="C145" s="499"/>
      <c r="D145" s="499"/>
      <c r="E145" s="499"/>
      <c r="F145" s="499"/>
      <c r="G145" s="499"/>
      <c r="H145" s="499"/>
      <c r="I145" s="499"/>
      <c r="J145" s="500"/>
    </row>
    <row r="146" spans="1:10">
      <c r="A146" s="532"/>
      <c r="B146" s="202" t="s">
        <v>1057</v>
      </c>
      <c r="C146" s="540" t="s">
        <v>1287</v>
      </c>
      <c r="D146" s="499"/>
      <c r="E146" s="499"/>
      <c r="F146" s="500"/>
      <c r="G146" s="200">
        <v>4</v>
      </c>
      <c r="H146" s="200">
        <v>1.8</v>
      </c>
      <c r="I146" s="200" t="s">
        <v>1026</v>
      </c>
      <c r="J146" s="201">
        <v>7.2</v>
      </c>
    </row>
    <row r="147" spans="1:10">
      <c r="A147" s="532"/>
      <c r="B147" s="202" t="s">
        <v>1062</v>
      </c>
      <c r="C147" s="540" t="s">
        <v>1144</v>
      </c>
      <c r="D147" s="499"/>
      <c r="E147" s="499"/>
      <c r="F147" s="500"/>
      <c r="G147" s="200">
        <v>6</v>
      </c>
      <c r="H147" s="200">
        <v>1.8</v>
      </c>
      <c r="I147" s="200" t="s">
        <v>1026</v>
      </c>
      <c r="J147" s="201">
        <v>10.8</v>
      </c>
    </row>
    <row r="148" spans="1:10">
      <c r="A148" s="532"/>
      <c r="B148" s="554" t="s">
        <v>1065</v>
      </c>
      <c r="C148" s="499"/>
      <c r="D148" s="499"/>
      <c r="E148" s="499"/>
      <c r="F148" s="499"/>
      <c r="G148" s="499"/>
      <c r="H148" s="499"/>
      <c r="I148" s="499"/>
      <c r="J148" s="500"/>
    </row>
    <row r="149" spans="1:10">
      <c r="A149" s="532"/>
      <c r="B149" s="202" t="s">
        <v>1066</v>
      </c>
      <c r="C149" s="540" t="s">
        <v>1147</v>
      </c>
      <c r="D149" s="499"/>
      <c r="E149" s="499"/>
      <c r="F149" s="500"/>
      <c r="G149" s="200">
        <v>16</v>
      </c>
      <c r="H149" s="200">
        <v>0.9</v>
      </c>
      <c r="I149" s="200" t="s">
        <v>1026</v>
      </c>
      <c r="J149" s="201">
        <v>14.4</v>
      </c>
    </row>
    <row r="150" spans="1:10">
      <c r="A150" s="532"/>
      <c r="B150" s="202" t="s">
        <v>1069</v>
      </c>
      <c r="C150" s="540" t="s">
        <v>1144</v>
      </c>
      <c r="D150" s="499"/>
      <c r="E150" s="499"/>
      <c r="F150" s="500"/>
      <c r="G150" s="200">
        <v>4</v>
      </c>
      <c r="H150" s="200">
        <v>1.8</v>
      </c>
      <c r="I150" s="200" t="s">
        <v>1026</v>
      </c>
      <c r="J150" s="201">
        <v>7.2</v>
      </c>
    </row>
    <row r="151" spans="1:10">
      <c r="A151" s="532"/>
      <c r="B151" s="554" t="s">
        <v>1073</v>
      </c>
      <c r="C151" s="499"/>
      <c r="D151" s="499"/>
      <c r="E151" s="499"/>
      <c r="F151" s="499"/>
      <c r="G151" s="499"/>
      <c r="H151" s="499"/>
      <c r="I151" s="499"/>
      <c r="J151" s="500"/>
    </row>
    <row r="152" spans="1:10">
      <c r="A152" s="532"/>
      <c r="B152" s="202" t="s">
        <v>1074</v>
      </c>
      <c r="C152" s="540" t="s">
        <v>1075</v>
      </c>
      <c r="D152" s="499"/>
      <c r="E152" s="499"/>
      <c r="F152" s="500"/>
      <c r="G152" s="200">
        <v>2</v>
      </c>
      <c r="H152" s="200">
        <v>7</v>
      </c>
      <c r="I152" s="200" t="s">
        <v>1026</v>
      </c>
      <c r="J152" s="201">
        <v>14</v>
      </c>
    </row>
    <row r="153" spans="1:10">
      <c r="A153" s="532"/>
      <c r="B153" s="202" t="s">
        <v>1149</v>
      </c>
      <c r="C153" s="540" t="s">
        <v>1075</v>
      </c>
      <c r="D153" s="499"/>
      <c r="E153" s="499"/>
      <c r="F153" s="500"/>
      <c r="G153" s="200">
        <v>18</v>
      </c>
      <c r="H153" s="200">
        <v>0.3</v>
      </c>
      <c r="I153" s="200" t="s">
        <v>1026</v>
      </c>
      <c r="J153" s="201">
        <v>5.4</v>
      </c>
    </row>
    <row r="154" spans="1:10">
      <c r="A154" s="532"/>
      <c r="B154" s="202" t="s">
        <v>1078</v>
      </c>
      <c r="C154" s="540"/>
      <c r="D154" s="499"/>
      <c r="E154" s="499"/>
      <c r="F154" s="500"/>
      <c r="G154" s="200">
        <v>1.8</v>
      </c>
      <c r="H154" s="200">
        <v>1.8</v>
      </c>
      <c r="I154" s="200" t="s">
        <v>1150</v>
      </c>
      <c r="J154" s="201">
        <v>3.24</v>
      </c>
    </row>
    <row r="155" spans="1:10">
      <c r="A155" s="532"/>
      <c r="B155" s="202" t="s">
        <v>1151</v>
      </c>
      <c r="C155" s="540">
        <v>4</v>
      </c>
      <c r="D155" s="499"/>
      <c r="E155" s="499"/>
      <c r="F155" s="500"/>
      <c r="G155" s="200">
        <v>0.3</v>
      </c>
      <c r="H155" s="200">
        <v>0.3</v>
      </c>
      <c r="I155" s="200" t="s">
        <v>1150</v>
      </c>
      <c r="J155" s="201">
        <v>0.36</v>
      </c>
    </row>
    <row r="156" spans="1:10">
      <c r="A156" s="532"/>
      <c r="B156" s="555"/>
      <c r="C156" s="499"/>
      <c r="D156" s="499"/>
      <c r="E156" s="499"/>
      <c r="F156" s="499"/>
      <c r="G156" s="499"/>
      <c r="H156" s="499"/>
      <c r="I156" s="499"/>
      <c r="J156" s="500"/>
    </row>
    <row r="157" spans="1:10">
      <c r="A157" s="532"/>
      <c r="B157" s="554" t="s">
        <v>1085</v>
      </c>
      <c r="C157" s="499"/>
      <c r="D157" s="499"/>
      <c r="E157" s="499"/>
      <c r="F157" s="500"/>
      <c r="G157" s="197" t="s">
        <v>820</v>
      </c>
      <c r="H157" s="197" t="s">
        <v>1087</v>
      </c>
      <c r="I157" s="197" t="s">
        <v>5</v>
      </c>
      <c r="J157" s="198" t="s">
        <v>1088</v>
      </c>
    </row>
    <row r="158" spans="1:10">
      <c r="A158" s="532"/>
      <c r="B158" s="202" t="s">
        <v>1089</v>
      </c>
      <c r="C158" s="540" t="s">
        <v>1287</v>
      </c>
      <c r="D158" s="499"/>
      <c r="E158" s="499"/>
      <c r="F158" s="500"/>
      <c r="G158" s="200">
        <v>38.799999999999997</v>
      </c>
      <c r="H158" s="200">
        <v>6.8</v>
      </c>
      <c r="I158" s="200" t="s">
        <v>1091</v>
      </c>
      <c r="J158" s="201">
        <v>263.83999999999997</v>
      </c>
    </row>
    <row r="159" spans="1:10">
      <c r="A159" s="532"/>
      <c r="B159" s="202" t="s">
        <v>1089</v>
      </c>
      <c r="C159" s="540" t="s">
        <v>1138</v>
      </c>
      <c r="D159" s="499"/>
      <c r="E159" s="499"/>
      <c r="F159" s="500"/>
      <c r="G159" s="200">
        <v>33.6</v>
      </c>
      <c r="H159" s="200">
        <v>4.5</v>
      </c>
      <c r="I159" s="200" t="s">
        <v>1091</v>
      </c>
      <c r="J159" s="201">
        <v>151.19999999999999</v>
      </c>
    </row>
    <row r="160" spans="1:10">
      <c r="A160" s="532"/>
      <c r="B160" s="202" t="s">
        <v>1089</v>
      </c>
      <c r="C160" s="540" t="s">
        <v>1144</v>
      </c>
      <c r="D160" s="499"/>
      <c r="E160" s="499"/>
      <c r="F160" s="500"/>
      <c r="G160" s="200">
        <v>88</v>
      </c>
      <c r="H160" s="200">
        <v>2.6</v>
      </c>
      <c r="I160" s="200" t="s">
        <v>1091</v>
      </c>
      <c r="J160" s="201">
        <v>228.8</v>
      </c>
    </row>
    <row r="161" spans="1:10">
      <c r="A161" s="532"/>
      <c r="B161" s="202" t="s">
        <v>1089</v>
      </c>
      <c r="C161" s="540" t="s">
        <v>1147</v>
      </c>
      <c r="D161" s="499"/>
      <c r="E161" s="499"/>
      <c r="F161" s="500"/>
      <c r="G161" s="200">
        <v>14.4</v>
      </c>
      <c r="H161" s="200">
        <v>1.8</v>
      </c>
      <c r="I161" s="200" t="s">
        <v>1091</v>
      </c>
      <c r="J161" s="201">
        <v>25.92</v>
      </c>
    </row>
    <row r="162" spans="1:10">
      <c r="A162" s="532"/>
      <c r="B162" s="202" t="s">
        <v>1100</v>
      </c>
      <c r="C162" s="540" t="s">
        <v>1075</v>
      </c>
      <c r="D162" s="499"/>
      <c r="E162" s="499"/>
      <c r="F162" s="500"/>
      <c r="G162" s="200">
        <v>19.399999999999999</v>
      </c>
      <c r="H162" s="200">
        <v>1.68</v>
      </c>
      <c r="I162" s="200" t="s">
        <v>1091</v>
      </c>
      <c r="J162" s="201">
        <v>32.590000000000003</v>
      </c>
    </row>
    <row r="163" spans="1:10">
      <c r="A163" s="532"/>
      <c r="B163" s="555" t="s">
        <v>1064</v>
      </c>
      <c r="C163" s="499"/>
      <c r="D163" s="499"/>
      <c r="E163" s="499"/>
      <c r="F163" s="499"/>
      <c r="G163" s="499"/>
      <c r="H163" s="499"/>
      <c r="I163" s="500"/>
      <c r="J163" s="201">
        <v>702.35</v>
      </c>
    </row>
    <row r="164" spans="1:10">
      <c r="A164" s="532"/>
      <c r="B164" s="202" t="s">
        <v>1078</v>
      </c>
      <c r="C164" s="208"/>
      <c r="D164" s="208"/>
      <c r="E164" s="208"/>
      <c r="F164" s="208"/>
      <c r="G164" s="200">
        <v>3.24</v>
      </c>
      <c r="H164" s="200">
        <v>12.56</v>
      </c>
      <c r="I164" s="200" t="s">
        <v>1160</v>
      </c>
      <c r="J164" s="201">
        <v>40.69</v>
      </c>
    </row>
    <row r="165" spans="1:10">
      <c r="A165" s="532"/>
      <c r="B165" s="202" t="s">
        <v>1151</v>
      </c>
      <c r="C165" s="208"/>
      <c r="D165" s="208"/>
      <c r="E165" s="208"/>
      <c r="F165" s="208"/>
      <c r="G165" s="200">
        <v>0.36</v>
      </c>
      <c r="H165" s="200">
        <v>117.8</v>
      </c>
      <c r="I165" s="200" t="s">
        <v>1160</v>
      </c>
      <c r="J165" s="201">
        <v>42.41</v>
      </c>
    </row>
    <row r="166" spans="1:10">
      <c r="A166" s="533"/>
      <c r="B166" s="557" t="s">
        <v>40</v>
      </c>
      <c r="C166" s="454"/>
      <c r="D166" s="454"/>
      <c r="E166" s="454"/>
      <c r="F166" s="454"/>
      <c r="G166" s="454"/>
      <c r="H166" s="454"/>
      <c r="I166" s="450"/>
      <c r="J166" s="210">
        <v>785.45</v>
      </c>
    </row>
    <row r="167" spans="1:10">
      <c r="A167" s="211"/>
      <c r="B167" s="197" t="s">
        <v>1110</v>
      </c>
      <c r="C167" s="197" t="s">
        <v>1005</v>
      </c>
      <c r="D167" s="197" t="s">
        <v>820</v>
      </c>
      <c r="E167" s="197" t="s">
        <v>1111</v>
      </c>
      <c r="F167" s="197" t="s">
        <v>1112</v>
      </c>
      <c r="G167" s="197" t="s">
        <v>6</v>
      </c>
      <c r="H167" s="197" t="s">
        <v>7</v>
      </c>
      <c r="I167" s="197" t="s">
        <v>5</v>
      </c>
      <c r="J167" s="198" t="s">
        <v>8</v>
      </c>
    </row>
    <row r="168" spans="1:10">
      <c r="A168" s="200">
        <v>2</v>
      </c>
      <c r="B168" s="212" t="s">
        <v>1163</v>
      </c>
      <c r="C168" s="213"/>
      <c r="D168" s="213"/>
      <c r="E168" s="213"/>
      <c r="F168" s="213"/>
      <c r="G168" s="200">
        <v>785.45</v>
      </c>
      <c r="H168" s="200">
        <v>80.78</v>
      </c>
      <c r="I168" s="200" t="s">
        <v>1116</v>
      </c>
      <c r="J168" s="201">
        <v>63449.01</v>
      </c>
    </row>
    <row r="169" spans="1:10">
      <c r="A169" s="200">
        <v>3</v>
      </c>
      <c r="B169" s="212" t="s">
        <v>1117</v>
      </c>
      <c r="C169" s="213"/>
      <c r="D169" s="213"/>
      <c r="E169" s="213"/>
      <c r="F169" s="213"/>
      <c r="G169" s="200">
        <v>4</v>
      </c>
      <c r="H169" s="200">
        <v>121.67</v>
      </c>
      <c r="I169" s="200" t="s">
        <v>1116</v>
      </c>
      <c r="J169" s="201">
        <v>486.68</v>
      </c>
    </row>
    <row r="170" spans="1:10">
      <c r="A170" s="200">
        <v>4</v>
      </c>
      <c r="B170" s="212" t="s">
        <v>1119</v>
      </c>
      <c r="C170" s="214">
        <v>4</v>
      </c>
      <c r="D170" s="214">
        <v>0.75</v>
      </c>
      <c r="E170" s="214">
        <v>0.75</v>
      </c>
      <c r="F170" s="214">
        <v>1.5</v>
      </c>
      <c r="G170" s="200">
        <v>3.375</v>
      </c>
      <c r="H170" s="200">
        <v>249.03</v>
      </c>
      <c r="I170" s="214" t="s">
        <v>1032</v>
      </c>
      <c r="J170" s="201">
        <v>840.48</v>
      </c>
    </row>
    <row r="171" spans="1:10">
      <c r="A171" s="538">
        <v>5</v>
      </c>
      <c r="B171" s="539" t="s">
        <v>1120</v>
      </c>
      <c r="C171" s="214">
        <v>4</v>
      </c>
      <c r="D171" s="214">
        <v>0.75</v>
      </c>
      <c r="E171" s="214">
        <v>0.75</v>
      </c>
      <c r="F171" s="214">
        <v>0.5</v>
      </c>
      <c r="G171" s="200">
        <v>1.125</v>
      </c>
      <c r="H171" s="208"/>
      <c r="I171" s="213"/>
      <c r="J171" s="218"/>
    </row>
    <row r="172" spans="1:10">
      <c r="A172" s="535"/>
      <c r="B172" s="535"/>
      <c r="C172" s="214">
        <v>4</v>
      </c>
      <c r="D172" s="214">
        <v>0.6</v>
      </c>
      <c r="E172" s="214">
        <v>0.6</v>
      </c>
      <c r="F172" s="214">
        <v>1.1000000000000001</v>
      </c>
      <c r="G172" s="200">
        <v>1.5840000000000001</v>
      </c>
      <c r="H172" s="208"/>
      <c r="I172" s="213"/>
      <c r="J172" s="218"/>
    </row>
    <row r="173" spans="1:10" ht="32.25" customHeight="1">
      <c r="A173" s="496"/>
      <c r="B173" s="496"/>
      <c r="C173" s="540" t="s">
        <v>40</v>
      </c>
      <c r="D173" s="499"/>
      <c r="E173" s="499"/>
      <c r="F173" s="500"/>
      <c r="G173" s="200">
        <v>2.7090000000000001</v>
      </c>
      <c r="H173" s="200">
        <v>6393.89</v>
      </c>
      <c r="I173" s="214" t="s">
        <v>1032</v>
      </c>
      <c r="J173" s="201">
        <v>17321.05</v>
      </c>
    </row>
    <row r="174" spans="1:10">
      <c r="A174" s="200">
        <v>6</v>
      </c>
      <c r="B174" s="558" t="s">
        <v>1124</v>
      </c>
      <c r="C174" s="499"/>
      <c r="D174" s="499"/>
      <c r="E174" s="499"/>
      <c r="F174" s="499"/>
      <c r="G174" s="499"/>
      <c r="H174" s="499"/>
      <c r="I174" s="500"/>
      <c r="J174" s="201">
        <v>902.79</v>
      </c>
    </row>
    <row r="175" spans="1:10">
      <c r="A175" s="200">
        <v>7</v>
      </c>
      <c r="B175" s="542" t="s">
        <v>40</v>
      </c>
      <c r="C175" s="499"/>
      <c r="D175" s="499"/>
      <c r="E175" s="499"/>
      <c r="F175" s="499"/>
      <c r="G175" s="499"/>
      <c r="H175" s="499"/>
      <c r="I175" s="500"/>
      <c r="J175" s="198">
        <v>83000</v>
      </c>
    </row>
    <row r="176" spans="1:10">
      <c r="A176" s="220">
        <v>8</v>
      </c>
      <c r="B176" s="559" t="s">
        <v>1319</v>
      </c>
      <c r="C176" s="499"/>
      <c r="D176" s="499"/>
      <c r="E176" s="499"/>
      <c r="F176" s="499"/>
      <c r="G176" s="499"/>
      <c r="H176" s="499"/>
      <c r="I176" s="499"/>
      <c r="J176" s="500"/>
    </row>
  </sheetData>
  <mergeCells count="156">
    <mergeCell ref="C173:F173"/>
    <mergeCell ref="B174:I174"/>
    <mergeCell ref="B175:I175"/>
    <mergeCell ref="B176:J176"/>
    <mergeCell ref="C158:F158"/>
    <mergeCell ref="C159:F159"/>
    <mergeCell ref="C160:F160"/>
    <mergeCell ref="C161:F161"/>
    <mergeCell ref="C162:F162"/>
    <mergeCell ref="B163:I163"/>
    <mergeCell ref="B166:I166"/>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72:F72"/>
    <mergeCell ref="B73:I73"/>
    <mergeCell ref="B76:I76"/>
    <mergeCell ref="B89:F89"/>
    <mergeCell ref="C90:F90"/>
    <mergeCell ref="C91:F91"/>
    <mergeCell ref="C92:F92"/>
    <mergeCell ref="C93:F93"/>
    <mergeCell ref="C94:F94"/>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51:F51"/>
    <mergeCell ref="B66:J66"/>
    <mergeCell ref="B67:F67"/>
    <mergeCell ref="C59:F59"/>
    <mergeCell ref="C60:F60"/>
    <mergeCell ref="B61:J61"/>
    <mergeCell ref="C62:F62"/>
    <mergeCell ref="C63:F63"/>
    <mergeCell ref="C64:F64"/>
    <mergeCell ref="C65:F65"/>
    <mergeCell ref="B42:I42"/>
    <mergeCell ref="B43:J43"/>
    <mergeCell ref="A44:J44"/>
    <mergeCell ref="B45:J45"/>
    <mergeCell ref="B46:F46"/>
    <mergeCell ref="C47:F47"/>
    <mergeCell ref="C48:F48"/>
    <mergeCell ref="C49:F49"/>
    <mergeCell ref="C50:F50"/>
    <mergeCell ref="C16:F16"/>
    <mergeCell ref="C19:F19"/>
    <mergeCell ref="C20:F20"/>
    <mergeCell ref="C21:F21"/>
    <mergeCell ref="C22:F22"/>
    <mergeCell ref="C27:F27"/>
    <mergeCell ref="C28:F28"/>
    <mergeCell ref="C40:F40"/>
    <mergeCell ref="B41:I41"/>
    <mergeCell ref="C17:F17"/>
    <mergeCell ref="B18:J18"/>
    <mergeCell ref="B23:J23"/>
    <mergeCell ref="B24:F24"/>
    <mergeCell ref="C25:F25"/>
    <mergeCell ref="C26:F26"/>
    <mergeCell ref="C29:F29"/>
    <mergeCell ref="B30:I30"/>
    <mergeCell ref="C7:F7"/>
    <mergeCell ref="C8:F8"/>
    <mergeCell ref="C9:F9"/>
    <mergeCell ref="C10:F10"/>
    <mergeCell ref="C11:F11"/>
    <mergeCell ref="B12:J12"/>
    <mergeCell ref="C13:F13"/>
    <mergeCell ref="C14:F14"/>
    <mergeCell ref="B15:J15"/>
    <mergeCell ref="C146:F146"/>
    <mergeCell ref="C147:F147"/>
    <mergeCell ref="B148:J148"/>
    <mergeCell ref="C135:F135"/>
    <mergeCell ref="C136:F136"/>
    <mergeCell ref="C137:F137"/>
    <mergeCell ref="C138:F138"/>
    <mergeCell ref="C139:F139"/>
    <mergeCell ref="C140:F140"/>
    <mergeCell ref="C141:F141"/>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10:F110"/>
    <mergeCell ref="C113:F113"/>
    <mergeCell ref="C114:F114"/>
    <mergeCell ref="C115:F115"/>
    <mergeCell ref="C116:F116"/>
    <mergeCell ref="B111:J111"/>
    <mergeCell ref="B112:F112"/>
    <mergeCell ref="C117:F117"/>
    <mergeCell ref="B118:I118"/>
    <mergeCell ref="C99:F99"/>
    <mergeCell ref="B100:J100"/>
    <mergeCell ref="B103:J103"/>
    <mergeCell ref="C104:F104"/>
    <mergeCell ref="C105:F105"/>
    <mergeCell ref="B106:J106"/>
    <mergeCell ref="C107:F107"/>
    <mergeCell ref="C108:F108"/>
    <mergeCell ref="C109:F109"/>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H26"/>
  <sheetViews>
    <sheetView workbookViewId="0"/>
  </sheetViews>
  <sheetFormatPr defaultColWidth="14.453125" defaultRowHeight="15" customHeight="1"/>
  <cols>
    <col min="4" max="4" width="18.453125" customWidth="1"/>
    <col min="7" max="8" width="14.453125" hidden="1"/>
  </cols>
  <sheetData>
    <row r="1" spans="1:8">
      <c r="A1" s="562" t="s">
        <v>1071</v>
      </c>
      <c r="B1" s="454"/>
      <c r="C1" s="454"/>
      <c r="D1" s="454"/>
      <c r="E1" s="454"/>
      <c r="F1" s="450"/>
      <c r="G1" s="169"/>
      <c r="H1" s="169"/>
    </row>
    <row r="2" spans="1:8">
      <c r="A2" s="170"/>
      <c r="B2" s="171" t="s">
        <v>795</v>
      </c>
      <c r="C2" s="171" t="s">
        <v>46</v>
      </c>
      <c r="D2" s="171" t="s">
        <v>798</v>
      </c>
      <c r="E2" s="171">
        <v>1</v>
      </c>
      <c r="F2" s="172"/>
      <c r="G2" s="169"/>
      <c r="H2" s="169"/>
    </row>
    <row r="3" spans="1:8">
      <c r="A3" s="171" t="s">
        <v>800</v>
      </c>
      <c r="B3" s="561"/>
      <c r="C3" s="454"/>
      <c r="D3" s="454"/>
      <c r="E3" s="454"/>
      <c r="F3" s="450"/>
      <c r="G3" s="169"/>
      <c r="H3" s="169"/>
    </row>
    <row r="4" spans="1:8">
      <c r="A4" s="563" t="s">
        <v>802</v>
      </c>
      <c r="B4" s="454"/>
      <c r="C4" s="454"/>
      <c r="D4" s="454"/>
      <c r="E4" s="454"/>
      <c r="F4" s="450"/>
      <c r="G4" s="169"/>
      <c r="H4" s="169"/>
    </row>
    <row r="5" spans="1:8">
      <c r="A5" s="560"/>
      <c r="B5" s="560" t="s">
        <v>1083</v>
      </c>
      <c r="C5" s="561" t="s">
        <v>1084</v>
      </c>
      <c r="D5" s="454"/>
      <c r="E5" s="450"/>
      <c r="F5" s="172"/>
      <c r="G5" s="169"/>
      <c r="H5" s="169"/>
    </row>
    <row r="6" spans="1:8">
      <c r="A6" s="457"/>
      <c r="B6" s="457"/>
      <c r="C6" s="171" t="s">
        <v>46</v>
      </c>
      <c r="D6" s="171">
        <v>1</v>
      </c>
      <c r="E6" s="171">
        <v>70</v>
      </c>
      <c r="F6" s="171">
        <f>D6*E6</f>
        <v>70</v>
      </c>
      <c r="G6" s="169"/>
      <c r="H6" s="169"/>
    </row>
    <row r="7" spans="1:8">
      <c r="A7" s="560"/>
      <c r="B7" s="560" t="s">
        <v>1094</v>
      </c>
      <c r="C7" s="561" t="s">
        <v>1096</v>
      </c>
      <c r="D7" s="454"/>
      <c r="E7" s="450"/>
      <c r="F7" s="172"/>
      <c r="G7" s="169"/>
      <c r="H7" s="169"/>
    </row>
    <row r="8" spans="1:8">
      <c r="A8" s="457"/>
      <c r="B8" s="457"/>
      <c r="C8" s="171" t="s">
        <v>21</v>
      </c>
      <c r="D8" s="171">
        <v>3.5</v>
      </c>
      <c r="E8" s="171">
        <v>72</v>
      </c>
      <c r="F8" s="171">
        <f>D8*E8</f>
        <v>252</v>
      </c>
      <c r="G8" s="169"/>
      <c r="H8" s="169"/>
    </row>
    <row r="9" spans="1:8">
      <c r="A9" s="560"/>
      <c r="B9" s="560" t="s">
        <v>1101</v>
      </c>
      <c r="C9" s="561" t="s">
        <v>1102</v>
      </c>
      <c r="D9" s="454"/>
      <c r="E9" s="450"/>
      <c r="F9" s="172"/>
      <c r="G9" s="169"/>
      <c r="H9" s="169"/>
    </row>
    <row r="10" spans="1:8">
      <c r="A10" s="457"/>
      <c r="B10" s="457"/>
      <c r="C10" s="171" t="s">
        <v>46</v>
      </c>
      <c r="D10" s="171">
        <v>1</v>
      </c>
      <c r="E10" s="171">
        <v>230</v>
      </c>
      <c r="F10" s="171">
        <f>D10*E10</f>
        <v>230</v>
      </c>
      <c r="G10" s="169"/>
      <c r="H10" s="169"/>
    </row>
    <row r="11" spans="1:8">
      <c r="A11" s="492" t="s">
        <v>1105</v>
      </c>
      <c r="B11" s="454"/>
      <c r="C11" s="450"/>
      <c r="D11" s="67">
        <v>1</v>
      </c>
      <c r="E11" s="70" t="s">
        <v>1107</v>
      </c>
      <c r="F11" s="67">
        <f>F10+F8+F6</f>
        <v>552</v>
      </c>
      <c r="G11" s="183"/>
      <c r="H11" s="183"/>
    </row>
    <row r="12" spans="1:8">
      <c r="A12" s="492" t="s">
        <v>826</v>
      </c>
      <c r="B12" s="454"/>
      <c r="C12" s="450"/>
      <c r="D12" s="67">
        <v>1</v>
      </c>
      <c r="E12" s="70" t="s">
        <v>1107</v>
      </c>
      <c r="F12" s="67">
        <f>F11</f>
        <v>552</v>
      </c>
      <c r="G12" s="183"/>
      <c r="H12" s="183"/>
    </row>
    <row r="13" spans="1:8">
      <c r="A13" s="493" t="s">
        <v>829</v>
      </c>
      <c r="B13" s="454"/>
      <c r="C13" s="454"/>
      <c r="D13" s="450"/>
      <c r="E13" s="67"/>
      <c r="F13" s="67">
        <f>F12*1%</f>
        <v>5.5200000000000005</v>
      </c>
      <c r="G13" s="183"/>
      <c r="H13" s="183"/>
    </row>
    <row r="14" spans="1:8">
      <c r="A14" s="493" t="s">
        <v>30</v>
      </c>
      <c r="B14" s="454"/>
      <c r="C14" s="454"/>
      <c r="D14" s="450"/>
      <c r="E14" s="71"/>
      <c r="F14" s="67">
        <f>F12+F13</f>
        <v>557.52</v>
      </c>
      <c r="G14" s="183"/>
      <c r="H14" s="183"/>
    </row>
    <row r="15" spans="1:8">
      <c r="A15" s="493" t="s">
        <v>836</v>
      </c>
      <c r="B15" s="454"/>
      <c r="C15" s="454"/>
      <c r="D15" s="450"/>
      <c r="E15" s="67"/>
      <c r="F15" s="67">
        <f>F14*15%</f>
        <v>83.628</v>
      </c>
      <c r="G15" s="183"/>
      <c r="H15" s="183"/>
    </row>
    <row r="16" spans="1:8">
      <c r="A16" s="493" t="s">
        <v>30</v>
      </c>
      <c r="B16" s="454"/>
      <c r="C16" s="454"/>
      <c r="D16" s="450"/>
      <c r="E16" s="71"/>
      <c r="F16" s="191">
        <f>ROUND(F14+F15,2)</f>
        <v>641.15</v>
      </c>
      <c r="G16" s="183"/>
      <c r="H16" s="183"/>
    </row>
    <row r="17" spans="1:8">
      <c r="A17" s="563" t="s">
        <v>819</v>
      </c>
      <c r="B17" s="454"/>
      <c r="C17" s="454"/>
      <c r="D17" s="454"/>
      <c r="E17" s="454"/>
      <c r="F17" s="450"/>
      <c r="G17" s="169"/>
      <c r="H17" s="169"/>
    </row>
    <row r="18" spans="1:8">
      <c r="A18" s="560">
        <v>112</v>
      </c>
      <c r="B18" s="560"/>
      <c r="C18" s="561" t="s">
        <v>1123</v>
      </c>
      <c r="D18" s="454"/>
      <c r="E18" s="450"/>
      <c r="F18" s="172"/>
      <c r="G18" s="169"/>
      <c r="H18" s="169"/>
    </row>
    <row r="19" spans="1:8">
      <c r="A19" s="457"/>
      <c r="B19" s="457"/>
      <c r="C19" s="171" t="s">
        <v>26</v>
      </c>
      <c r="D19" s="171">
        <v>0.25</v>
      </c>
      <c r="E19" s="171">
        <v>714</v>
      </c>
      <c r="F19" s="171">
        <f>D19*E19</f>
        <v>178.5</v>
      </c>
      <c r="G19" s="169"/>
      <c r="H19" s="169"/>
    </row>
    <row r="20" spans="1:8">
      <c r="A20" s="568" t="s">
        <v>30</v>
      </c>
      <c r="B20" s="454"/>
      <c r="C20" s="450"/>
      <c r="D20" s="171">
        <v>1</v>
      </c>
      <c r="E20" s="195" t="s">
        <v>46</v>
      </c>
      <c r="F20" s="171">
        <f>F19</f>
        <v>178.5</v>
      </c>
      <c r="G20" s="169"/>
      <c r="H20" s="169"/>
    </row>
    <row r="21" spans="1:8">
      <c r="A21" s="568" t="s">
        <v>826</v>
      </c>
      <c r="B21" s="454"/>
      <c r="C21" s="450"/>
      <c r="D21" s="171">
        <v>1</v>
      </c>
      <c r="E21" s="195" t="s">
        <v>46</v>
      </c>
      <c r="F21" s="171">
        <f>F20/1</f>
        <v>178.5</v>
      </c>
      <c r="G21" s="169"/>
      <c r="H21" s="169"/>
    </row>
    <row r="22" spans="1:8">
      <c r="A22" s="564" t="s">
        <v>829</v>
      </c>
      <c r="B22" s="454"/>
      <c r="C22" s="454"/>
      <c r="D22" s="450"/>
      <c r="E22" s="171">
        <f>F21</f>
        <v>178.5</v>
      </c>
      <c r="F22" s="171">
        <f>E22*1%</f>
        <v>1.7850000000000001</v>
      </c>
      <c r="G22" s="169"/>
      <c r="H22" s="169"/>
    </row>
    <row r="23" spans="1:8">
      <c r="A23" s="564" t="s">
        <v>30</v>
      </c>
      <c r="B23" s="454"/>
      <c r="C23" s="454"/>
      <c r="D23" s="450"/>
      <c r="E23" s="172"/>
      <c r="F23" s="171">
        <f>SUM(F21:F22)</f>
        <v>180.285</v>
      </c>
      <c r="G23" s="169"/>
      <c r="H23" s="169"/>
    </row>
    <row r="24" spans="1:8">
      <c r="A24" s="564" t="s">
        <v>836</v>
      </c>
      <c r="B24" s="454"/>
      <c r="C24" s="454"/>
      <c r="D24" s="450"/>
      <c r="E24" s="171">
        <f>F23</f>
        <v>180.285</v>
      </c>
      <c r="F24" s="171">
        <f>E24*15%</f>
        <v>27.042749999999998</v>
      </c>
      <c r="G24" s="169"/>
      <c r="H24" s="169"/>
    </row>
    <row r="25" spans="1:8">
      <c r="A25" s="564" t="s">
        <v>30</v>
      </c>
      <c r="B25" s="454"/>
      <c r="C25" s="454"/>
      <c r="D25" s="450"/>
      <c r="E25" s="172"/>
      <c r="F25" s="204">
        <f>SUM(F23:F24)</f>
        <v>207.32774999999998</v>
      </c>
      <c r="G25" s="169"/>
      <c r="H25" s="169"/>
    </row>
    <row r="26" spans="1:8">
      <c r="A26" s="565" t="str">
        <f>CONCATENATE("Say ₹ ",F16," + ",F25," x Cost Index")</f>
        <v>Say ₹ 641.15 + 207.32775 x Cost Index</v>
      </c>
      <c r="B26" s="566"/>
      <c r="C26" s="566"/>
      <c r="D26" s="566"/>
      <c r="E26" s="566"/>
      <c r="F26" s="567"/>
      <c r="G26" s="169">
        <f>F16</f>
        <v>641.15</v>
      </c>
      <c r="H26" s="169">
        <f>F25</f>
        <v>207.32774999999998</v>
      </c>
    </row>
  </sheetData>
  <mergeCells count="29">
    <mergeCell ref="A20:C20"/>
    <mergeCell ref="A21:C21"/>
    <mergeCell ref="A16:D16"/>
    <mergeCell ref="A17:F17"/>
    <mergeCell ref="A18:A19"/>
    <mergeCell ref="B18:B19"/>
    <mergeCell ref="C18:E18"/>
    <mergeCell ref="A22:D22"/>
    <mergeCell ref="A23:D23"/>
    <mergeCell ref="A24:D24"/>
    <mergeCell ref="A25:D25"/>
    <mergeCell ref="A26:F26"/>
    <mergeCell ref="A11:C11"/>
    <mergeCell ref="A12:C12"/>
    <mergeCell ref="A13:D13"/>
    <mergeCell ref="A14:D14"/>
    <mergeCell ref="A15:D15"/>
    <mergeCell ref="B7:B8"/>
    <mergeCell ref="C7:E7"/>
    <mergeCell ref="C9:E9"/>
    <mergeCell ref="A1:F1"/>
    <mergeCell ref="B3:F3"/>
    <mergeCell ref="A4:F4"/>
    <mergeCell ref="A5:A6"/>
    <mergeCell ref="B5:B6"/>
    <mergeCell ref="C5:E5"/>
    <mergeCell ref="A7:A8"/>
    <mergeCell ref="A9:A10"/>
    <mergeCell ref="B9:B10"/>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63"/>
  <sheetViews>
    <sheetView workbookViewId="0"/>
  </sheetViews>
  <sheetFormatPr defaultColWidth="14.453125" defaultRowHeight="15" customHeight="1"/>
  <cols>
    <col min="1" max="1" width="4.54296875" customWidth="1"/>
    <col min="2" max="2" width="45.54296875" customWidth="1"/>
    <col min="3" max="3" width="4.7265625" customWidth="1"/>
    <col min="4" max="4" width="9" customWidth="1"/>
    <col min="5" max="5" width="6.81640625" customWidth="1"/>
    <col min="6" max="6" width="9" customWidth="1"/>
    <col min="7" max="7" width="10.7265625" customWidth="1"/>
    <col min="8" max="8" width="9" customWidth="1"/>
    <col min="9" max="9" width="9.453125" customWidth="1"/>
    <col min="10" max="10" width="11.81640625" customWidth="1"/>
  </cols>
  <sheetData>
    <row r="1" spans="1:10" ht="14.5">
      <c r="A1" s="544" t="s">
        <v>1152</v>
      </c>
      <c r="B1" s="545"/>
      <c r="C1" s="545"/>
      <c r="D1" s="545"/>
      <c r="E1" s="545"/>
      <c r="F1" s="545"/>
      <c r="G1" s="545"/>
      <c r="H1" s="545"/>
      <c r="I1" s="545"/>
      <c r="J1" s="545"/>
    </row>
    <row r="2" spans="1:10" ht="30">
      <c r="A2" s="118" t="s">
        <v>1154</v>
      </c>
      <c r="B2" s="118" t="s">
        <v>1021</v>
      </c>
      <c r="C2" s="118" t="s">
        <v>1022</v>
      </c>
      <c r="D2" s="118" t="s">
        <v>820</v>
      </c>
      <c r="E2" s="118" t="s">
        <v>1111</v>
      </c>
      <c r="F2" s="118" t="s">
        <v>1155</v>
      </c>
      <c r="G2" s="205" t="s">
        <v>40</v>
      </c>
      <c r="H2" s="118" t="s">
        <v>1156</v>
      </c>
      <c r="I2" s="118" t="s">
        <v>7</v>
      </c>
      <c r="J2" s="206" t="s">
        <v>8</v>
      </c>
    </row>
    <row r="3" spans="1:10">
      <c r="A3" s="507">
        <v>1</v>
      </c>
      <c r="B3" s="569" t="s">
        <v>1157</v>
      </c>
      <c r="C3" s="499"/>
      <c r="D3" s="499"/>
      <c r="E3" s="499"/>
      <c r="F3" s="499"/>
      <c r="G3" s="499"/>
      <c r="H3" s="499"/>
      <c r="I3" s="499"/>
      <c r="J3" s="118"/>
    </row>
    <row r="4" spans="1:10">
      <c r="A4" s="535"/>
      <c r="B4" s="207" t="s">
        <v>1159</v>
      </c>
      <c r="C4" s="118">
        <v>1</v>
      </c>
      <c r="D4" s="129">
        <v>2</v>
      </c>
      <c r="E4" s="129">
        <v>1.5</v>
      </c>
      <c r="F4" s="118"/>
      <c r="G4" s="209">
        <f>PRODUCT(C4:F4)</f>
        <v>3</v>
      </c>
      <c r="H4" s="118"/>
      <c r="I4" s="118"/>
      <c r="J4" s="118"/>
    </row>
    <row r="5" spans="1:10" ht="17">
      <c r="A5" s="496"/>
      <c r="B5" s="106" t="s">
        <v>40</v>
      </c>
      <c r="C5" s="118"/>
      <c r="D5" s="118"/>
      <c r="E5" s="118"/>
      <c r="F5" s="118"/>
      <c r="G5" s="209">
        <f>SUM(G4)</f>
        <v>3</v>
      </c>
      <c r="H5" s="118" t="s">
        <v>1162</v>
      </c>
      <c r="I5" s="129">
        <v>24.43</v>
      </c>
      <c r="J5" s="206">
        <f>G5*I5</f>
        <v>73.289999999999992</v>
      </c>
    </row>
    <row r="6" spans="1:10">
      <c r="A6" s="507">
        <v>2</v>
      </c>
      <c r="B6" s="504" t="s">
        <v>1164</v>
      </c>
      <c r="C6" s="499"/>
      <c r="D6" s="499"/>
      <c r="E6" s="499"/>
      <c r="F6" s="499"/>
      <c r="G6" s="499"/>
      <c r="H6" s="499"/>
      <c r="I6" s="500"/>
      <c r="J6" s="118"/>
    </row>
    <row r="7" spans="1:10">
      <c r="A7" s="535"/>
      <c r="B7" s="106" t="s">
        <v>1166</v>
      </c>
      <c r="C7" s="118">
        <v>1</v>
      </c>
      <c r="D7" s="118">
        <f>2*(1.2+0.9)</f>
        <v>4.2</v>
      </c>
      <c r="E7" s="118">
        <v>0.3</v>
      </c>
      <c r="F7" s="118">
        <v>0.3</v>
      </c>
      <c r="G7" s="209">
        <f t="shared" ref="G7:G8" si="0">PRODUCT(C7:F7)</f>
        <v>0.378</v>
      </c>
      <c r="H7" s="118"/>
      <c r="I7" s="118"/>
      <c r="J7" s="118"/>
    </row>
    <row r="8" spans="1:10">
      <c r="A8" s="535"/>
      <c r="B8" s="106" t="s">
        <v>1170</v>
      </c>
      <c r="C8" s="118">
        <v>1</v>
      </c>
      <c r="D8" s="118">
        <v>0.5</v>
      </c>
      <c r="E8" s="118">
        <v>0.3</v>
      </c>
      <c r="F8" s="118">
        <v>0.2</v>
      </c>
      <c r="G8" s="209">
        <f t="shared" si="0"/>
        <v>0.03</v>
      </c>
      <c r="H8" s="118"/>
      <c r="I8" s="118"/>
      <c r="J8" s="118"/>
    </row>
    <row r="9" spans="1:10" ht="17">
      <c r="A9" s="496"/>
      <c r="B9" s="106" t="s">
        <v>40</v>
      </c>
      <c r="C9" s="118"/>
      <c r="D9" s="118"/>
      <c r="E9" s="118"/>
      <c r="F9" s="118"/>
      <c r="G9" s="209">
        <f>SUM(G7:G8)</f>
        <v>0.40800000000000003</v>
      </c>
      <c r="H9" s="118" t="s">
        <v>1172</v>
      </c>
      <c r="I9" s="129">
        <v>249.04</v>
      </c>
      <c r="J9" s="206">
        <f>G9*I9</f>
        <v>101.60832000000001</v>
      </c>
    </row>
    <row r="10" spans="1:10">
      <c r="A10" s="507">
        <v>3</v>
      </c>
      <c r="B10" s="569" t="s">
        <v>1175</v>
      </c>
      <c r="C10" s="499"/>
      <c r="D10" s="499"/>
      <c r="E10" s="499"/>
      <c r="F10" s="499"/>
      <c r="G10" s="499"/>
      <c r="H10" s="499"/>
      <c r="I10" s="500"/>
      <c r="J10" s="118"/>
    </row>
    <row r="11" spans="1:10">
      <c r="A11" s="535"/>
      <c r="B11" s="106" t="s">
        <v>1166</v>
      </c>
      <c r="C11" s="118">
        <v>1</v>
      </c>
      <c r="D11" s="118">
        <f t="shared" ref="D11:E11" si="1">D7</f>
        <v>4.2</v>
      </c>
      <c r="E11" s="118">
        <f t="shared" si="1"/>
        <v>0.3</v>
      </c>
      <c r="F11" s="118">
        <v>0.1</v>
      </c>
      <c r="G11" s="209">
        <f t="shared" ref="G11:G12" si="2">PRODUCT(C11:F11)</f>
        <v>0.126</v>
      </c>
      <c r="H11" s="118"/>
      <c r="I11" s="118"/>
      <c r="J11" s="118"/>
    </row>
    <row r="12" spans="1:10">
      <c r="A12" s="535"/>
      <c r="B12" s="106" t="s">
        <v>1170</v>
      </c>
      <c r="C12" s="118">
        <v>1</v>
      </c>
      <c r="D12" s="118">
        <f t="shared" ref="D12:E12" si="3">D8</f>
        <v>0.5</v>
      </c>
      <c r="E12" s="118">
        <f t="shared" si="3"/>
        <v>0.3</v>
      </c>
      <c r="F12" s="118">
        <v>0.1</v>
      </c>
      <c r="G12" s="209">
        <f t="shared" si="2"/>
        <v>1.4999999999999999E-2</v>
      </c>
      <c r="H12" s="118"/>
      <c r="I12" s="118"/>
      <c r="J12" s="118"/>
    </row>
    <row r="13" spans="1:10" ht="17">
      <c r="A13" s="496"/>
      <c r="B13" s="106" t="s">
        <v>40</v>
      </c>
      <c r="C13" s="118"/>
      <c r="D13" s="118"/>
      <c r="E13" s="118"/>
      <c r="F13" s="118"/>
      <c r="G13" s="209">
        <f>SUM(G11:G12)</f>
        <v>0.14100000000000001</v>
      </c>
      <c r="H13" s="118" t="s">
        <v>1192</v>
      </c>
      <c r="I13" s="129">
        <v>5491.79</v>
      </c>
      <c r="J13" s="206">
        <f>G13*I13</f>
        <v>774.34239000000002</v>
      </c>
    </row>
    <row r="14" spans="1:10">
      <c r="A14" s="507">
        <v>4</v>
      </c>
      <c r="B14" s="569" t="s">
        <v>1193</v>
      </c>
      <c r="C14" s="499"/>
      <c r="D14" s="499"/>
      <c r="E14" s="499"/>
      <c r="F14" s="499"/>
      <c r="G14" s="499"/>
      <c r="H14" s="499"/>
      <c r="I14" s="499"/>
      <c r="J14" s="118"/>
    </row>
    <row r="15" spans="1:10">
      <c r="A15" s="535"/>
      <c r="B15" s="111" t="s">
        <v>1197</v>
      </c>
      <c r="C15" s="118">
        <v>1</v>
      </c>
      <c r="D15" s="118">
        <f t="shared" ref="D15:E15" si="4">D11</f>
        <v>4.2</v>
      </c>
      <c r="E15" s="118">
        <f t="shared" si="4"/>
        <v>0.3</v>
      </c>
      <c r="F15" s="118">
        <f>0.2+0.3</f>
        <v>0.5</v>
      </c>
      <c r="G15" s="209">
        <f t="shared" ref="G15:G16" si="5">PRODUCT(C15:F15)</f>
        <v>0.63</v>
      </c>
      <c r="H15" s="118"/>
      <c r="I15" s="118"/>
      <c r="J15" s="118"/>
    </row>
    <row r="16" spans="1:10">
      <c r="A16" s="535"/>
      <c r="B16" s="106" t="s">
        <v>1170</v>
      </c>
      <c r="C16" s="118">
        <v>1</v>
      </c>
      <c r="D16" s="118">
        <f t="shared" ref="D16:E16" si="6">D12</f>
        <v>0.5</v>
      </c>
      <c r="E16" s="118">
        <f t="shared" si="6"/>
        <v>0.3</v>
      </c>
      <c r="F16" s="118">
        <f>0.1+0.15</f>
        <v>0.25</v>
      </c>
      <c r="G16" s="209">
        <f t="shared" si="5"/>
        <v>3.7499999999999999E-2</v>
      </c>
      <c r="H16" s="118"/>
      <c r="I16" s="118"/>
      <c r="J16" s="118"/>
    </row>
    <row r="17" spans="1:10" ht="17">
      <c r="A17" s="496"/>
      <c r="B17" s="106" t="s">
        <v>40</v>
      </c>
      <c r="C17" s="118"/>
      <c r="D17" s="118"/>
      <c r="E17" s="118"/>
      <c r="F17" s="118"/>
      <c r="G17" s="209">
        <f>SUM(G15:G16)</f>
        <v>0.66749999999999998</v>
      </c>
      <c r="H17" s="118" t="s">
        <v>1213</v>
      </c>
      <c r="I17" s="129">
        <v>6870.79</v>
      </c>
      <c r="J17" s="206">
        <f>G17*I17</f>
        <v>4586.2523249999995</v>
      </c>
    </row>
    <row r="18" spans="1:10">
      <c r="A18" s="507">
        <v>5</v>
      </c>
      <c r="B18" s="569" t="s">
        <v>1217</v>
      </c>
      <c r="C18" s="499"/>
      <c r="D18" s="499"/>
      <c r="E18" s="499"/>
      <c r="F18" s="499"/>
      <c r="G18" s="499"/>
      <c r="H18" s="499"/>
      <c r="I18" s="499"/>
      <c r="J18" s="118"/>
    </row>
    <row r="19" spans="1:10">
      <c r="A19" s="535"/>
      <c r="B19" s="106" t="s">
        <v>1219</v>
      </c>
      <c r="C19" s="118">
        <v>1</v>
      </c>
      <c r="D19" s="118">
        <f>2*(1.2+0.3+0.9+0.3)</f>
        <v>5.3999999999999995</v>
      </c>
      <c r="E19" s="227"/>
      <c r="F19" s="118"/>
      <c r="G19" s="209">
        <f t="shared" ref="G19:G22" si="7">PRODUCT(C19:F19)</f>
        <v>5.3999999999999995</v>
      </c>
      <c r="H19" s="118"/>
      <c r="I19" s="118"/>
      <c r="J19" s="118"/>
    </row>
    <row r="20" spans="1:10">
      <c r="A20" s="535"/>
      <c r="B20" s="106" t="s">
        <v>1224</v>
      </c>
      <c r="C20" s="118">
        <v>1</v>
      </c>
      <c r="D20" s="118">
        <f t="shared" ref="D20:E20" si="8">D15</f>
        <v>4.2</v>
      </c>
      <c r="E20" s="118">
        <f t="shared" si="8"/>
        <v>0.3</v>
      </c>
      <c r="F20" s="118"/>
      <c r="G20" s="209">
        <f t="shared" si="7"/>
        <v>1.26</v>
      </c>
      <c r="H20" s="118"/>
      <c r="I20" s="118"/>
      <c r="J20" s="118"/>
    </row>
    <row r="21" spans="1:10">
      <c r="A21" s="535"/>
      <c r="B21" s="106" t="s">
        <v>1227</v>
      </c>
      <c r="C21" s="118">
        <v>2</v>
      </c>
      <c r="D21" s="118"/>
      <c r="E21" s="118">
        <f>E12</f>
        <v>0.3</v>
      </c>
      <c r="F21" s="118">
        <v>0.15</v>
      </c>
      <c r="G21" s="209">
        <f t="shared" si="7"/>
        <v>0.09</v>
      </c>
      <c r="H21" s="118"/>
      <c r="I21" s="118"/>
      <c r="J21" s="118"/>
    </row>
    <row r="22" spans="1:10">
      <c r="A22" s="535"/>
      <c r="B22" s="106" t="s">
        <v>1229</v>
      </c>
      <c r="C22" s="118">
        <v>1</v>
      </c>
      <c r="D22" s="118">
        <f t="shared" ref="D22:E22" si="9">D16</f>
        <v>0.5</v>
      </c>
      <c r="E22" s="118">
        <f t="shared" si="9"/>
        <v>0.3</v>
      </c>
      <c r="F22" s="118"/>
      <c r="G22" s="209">
        <f t="shared" si="7"/>
        <v>0.15</v>
      </c>
      <c r="H22" s="118"/>
      <c r="I22" s="118"/>
      <c r="J22" s="118"/>
    </row>
    <row r="23" spans="1:10" ht="17">
      <c r="A23" s="496"/>
      <c r="B23" s="106" t="s">
        <v>40</v>
      </c>
      <c r="C23" s="118"/>
      <c r="D23" s="118"/>
      <c r="E23" s="118"/>
      <c r="F23" s="118"/>
      <c r="G23" s="209">
        <f>SUM(G19:G22)</f>
        <v>6.8999999999999995</v>
      </c>
      <c r="H23" s="118" t="s">
        <v>1232</v>
      </c>
      <c r="I23" s="129">
        <v>255.98</v>
      </c>
      <c r="J23" s="206">
        <f>G23*I23</f>
        <v>1766.2619999999997</v>
      </c>
    </row>
    <row r="24" spans="1:10">
      <c r="A24" s="507">
        <v>6</v>
      </c>
      <c r="B24" s="569" t="s">
        <v>1233</v>
      </c>
      <c r="C24" s="499"/>
      <c r="D24" s="499"/>
      <c r="E24" s="499"/>
      <c r="F24" s="499"/>
      <c r="G24" s="499"/>
      <c r="H24" s="499"/>
      <c r="I24" s="499"/>
      <c r="J24" s="118"/>
    </row>
    <row r="25" spans="1:10">
      <c r="A25" s="535"/>
      <c r="B25" s="230" t="s">
        <v>1235</v>
      </c>
      <c r="C25" s="118">
        <v>1</v>
      </c>
      <c r="D25" s="118">
        <f>1.2-E15</f>
        <v>0.89999999999999991</v>
      </c>
      <c r="E25" s="118">
        <f>0.9-E15</f>
        <v>0.60000000000000009</v>
      </c>
      <c r="F25" s="129">
        <v>0.27</v>
      </c>
      <c r="G25" s="209">
        <f>PRODUCT(C25:F25)</f>
        <v>0.14580000000000001</v>
      </c>
      <c r="H25" s="118"/>
      <c r="I25" s="118"/>
      <c r="J25" s="118"/>
    </row>
    <row r="26" spans="1:10" ht="17">
      <c r="A26" s="496"/>
      <c r="B26" s="106" t="s">
        <v>40</v>
      </c>
      <c r="C26" s="118"/>
      <c r="D26" s="118"/>
      <c r="E26" s="118"/>
      <c r="F26" s="118"/>
      <c r="G26" s="209">
        <f>SUM(G25)</f>
        <v>0.14580000000000001</v>
      </c>
      <c r="H26" s="118" t="s">
        <v>1240</v>
      </c>
      <c r="I26" s="129">
        <v>220.47</v>
      </c>
      <c r="J26" s="206">
        <f>G26*I26</f>
        <v>32.144526000000006</v>
      </c>
    </row>
    <row r="27" spans="1:10">
      <c r="A27" s="507">
        <v>7</v>
      </c>
      <c r="B27" s="569" t="s">
        <v>1243</v>
      </c>
      <c r="C27" s="499"/>
      <c r="D27" s="499"/>
      <c r="E27" s="499"/>
      <c r="F27" s="499"/>
      <c r="G27" s="499"/>
      <c r="H27" s="499"/>
      <c r="I27" s="499"/>
      <c r="J27" s="118"/>
    </row>
    <row r="28" spans="1:10">
      <c r="A28" s="535"/>
      <c r="B28" s="207" t="s">
        <v>1247</v>
      </c>
      <c r="C28" s="118">
        <v>1</v>
      </c>
      <c r="D28" s="118">
        <f t="shared" ref="D28:E28" si="10">D25</f>
        <v>0.89999999999999991</v>
      </c>
      <c r="E28" s="118">
        <f t="shared" si="10"/>
        <v>0.60000000000000009</v>
      </c>
      <c r="F28" s="118"/>
      <c r="G28" s="209">
        <f>PRODUCT(C28:F28)</f>
        <v>0.54</v>
      </c>
      <c r="H28" s="118"/>
      <c r="I28" s="118"/>
      <c r="J28" s="118"/>
    </row>
    <row r="29" spans="1:10" ht="17">
      <c r="A29" s="496"/>
      <c r="B29" s="106" t="s">
        <v>40</v>
      </c>
      <c r="C29" s="118"/>
      <c r="D29" s="118"/>
      <c r="E29" s="118"/>
      <c r="F29" s="118"/>
      <c r="G29" s="209">
        <f>SUM(G27:G28)</f>
        <v>0.54</v>
      </c>
      <c r="H29" s="118" t="s">
        <v>1251</v>
      </c>
      <c r="I29" s="129">
        <v>473.11</v>
      </c>
      <c r="J29" s="206">
        <f>G29*I29</f>
        <v>255.47940000000003</v>
      </c>
    </row>
    <row r="30" spans="1:10">
      <c r="A30" s="507">
        <v>8</v>
      </c>
      <c r="B30" s="569" t="s">
        <v>1114</v>
      </c>
      <c r="C30" s="499"/>
      <c r="D30" s="499"/>
      <c r="E30" s="499"/>
      <c r="F30" s="499"/>
      <c r="G30" s="499"/>
      <c r="H30" s="499"/>
      <c r="I30" s="499"/>
      <c r="J30" s="118"/>
    </row>
    <row r="31" spans="1:10" ht="30">
      <c r="A31" s="535"/>
      <c r="B31" s="106" t="s">
        <v>1253</v>
      </c>
      <c r="C31" s="118" t="s">
        <v>1022</v>
      </c>
      <c r="D31" s="118" t="s">
        <v>820</v>
      </c>
      <c r="E31" s="118" t="s">
        <v>1254</v>
      </c>
      <c r="F31" s="118" t="s">
        <v>1087</v>
      </c>
      <c r="G31" s="118" t="s">
        <v>5</v>
      </c>
      <c r="H31" s="118" t="s">
        <v>1255</v>
      </c>
      <c r="I31" s="118" t="s">
        <v>7</v>
      </c>
      <c r="J31" s="118"/>
    </row>
    <row r="32" spans="1:10">
      <c r="A32" s="535"/>
      <c r="B32" s="106" t="s">
        <v>1257</v>
      </c>
      <c r="C32" s="118">
        <v>2</v>
      </c>
      <c r="D32" s="118">
        <v>2.1</v>
      </c>
      <c r="E32" s="118">
        <f t="shared" ref="E32:E37" si="11">C32*D32</f>
        <v>4.2</v>
      </c>
      <c r="F32" s="118"/>
      <c r="G32" s="205"/>
      <c r="H32" s="118"/>
      <c r="I32" s="118"/>
      <c r="J32" s="118"/>
    </row>
    <row r="33" spans="1:10">
      <c r="A33" s="535"/>
      <c r="B33" s="106" t="s">
        <v>1259</v>
      </c>
      <c r="C33" s="118">
        <v>2</v>
      </c>
      <c r="D33" s="118">
        <v>2.2999999999999998</v>
      </c>
      <c r="E33" s="118">
        <f t="shared" si="11"/>
        <v>4.5999999999999996</v>
      </c>
      <c r="F33" s="118"/>
      <c r="G33" s="205"/>
      <c r="H33" s="118"/>
      <c r="I33" s="118"/>
      <c r="J33" s="118"/>
    </row>
    <row r="34" spans="1:10">
      <c r="A34" s="535"/>
      <c r="B34" s="106" t="s">
        <v>1261</v>
      </c>
      <c r="C34" s="118">
        <v>2</v>
      </c>
      <c r="D34" s="118">
        <v>1.2</v>
      </c>
      <c r="E34" s="118">
        <f t="shared" si="11"/>
        <v>2.4</v>
      </c>
      <c r="F34" s="118"/>
      <c r="G34" s="205"/>
      <c r="H34" s="118"/>
      <c r="I34" s="118"/>
      <c r="J34" s="118"/>
    </row>
    <row r="35" spans="1:10">
      <c r="A35" s="535"/>
      <c r="B35" s="106" t="s">
        <v>1263</v>
      </c>
      <c r="C35" s="118">
        <v>2</v>
      </c>
      <c r="D35" s="118">
        <v>0.9</v>
      </c>
      <c r="E35" s="118">
        <f t="shared" si="11"/>
        <v>1.8</v>
      </c>
      <c r="F35" s="118"/>
      <c r="G35" s="205"/>
      <c r="H35" s="118"/>
      <c r="I35" s="118"/>
      <c r="J35" s="118"/>
    </row>
    <row r="36" spans="1:10">
      <c r="A36" s="535"/>
      <c r="B36" s="106" t="s">
        <v>1264</v>
      </c>
      <c r="C36" s="118">
        <v>2</v>
      </c>
      <c r="D36" s="118">
        <v>1.8</v>
      </c>
      <c r="E36" s="118">
        <f t="shared" si="11"/>
        <v>3.6</v>
      </c>
      <c r="F36" s="118"/>
      <c r="G36" s="205"/>
      <c r="H36" s="118"/>
      <c r="I36" s="118"/>
      <c r="J36" s="118"/>
    </row>
    <row r="37" spans="1:10">
      <c r="A37" s="535"/>
      <c r="B37" s="106" t="s">
        <v>1265</v>
      </c>
      <c r="C37" s="118">
        <v>2</v>
      </c>
      <c r="D37" s="118">
        <v>0.6</v>
      </c>
      <c r="E37" s="118">
        <f t="shared" si="11"/>
        <v>1.2</v>
      </c>
      <c r="F37" s="118"/>
      <c r="G37" s="205"/>
      <c r="H37" s="118"/>
      <c r="I37" s="118"/>
      <c r="J37" s="118"/>
    </row>
    <row r="38" spans="1:10">
      <c r="A38" s="535"/>
      <c r="B38" s="106" t="s">
        <v>1267</v>
      </c>
      <c r="C38" s="118"/>
      <c r="D38" s="118"/>
      <c r="E38" s="118">
        <f>SUM(E32:E37)</f>
        <v>17.8</v>
      </c>
      <c r="F38" s="118">
        <v>2.6</v>
      </c>
      <c r="G38" s="118" t="s">
        <v>1091</v>
      </c>
      <c r="H38" s="118">
        <f>E38*F38</f>
        <v>46.28</v>
      </c>
      <c r="I38" s="231">
        <v>80.78</v>
      </c>
      <c r="J38" s="206">
        <f>H38*I38</f>
        <v>3738.4983999999999</v>
      </c>
    </row>
    <row r="39" spans="1:10">
      <c r="A39" s="535"/>
      <c r="B39" s="106" t="s">
        <v>1269</v>
      </c>
      <c r="C39" s="118"/>
      <c r="D39" s="118"/>
      <c r="E39" s="118"/>
      <c r="F39" s="118"/>
      <c r="G39" s="205"/>
      <c r="H39" s="118"/>
      <c r="I39" s="118"/>
      <c r="J39" s="118"/>
    </row>
    <row r="40" spans="1:10">
      <c r="A40" s="535"/>
      <c r="B40" s="106" t="s">
        <v>1270</v>
      </c>
      <c r="C40" s="118">
        <v>2</v>
      </c>
      <c r="D40" s="118">
        <v>2.2999999999999998</v>
      </c>
      <c r="E40" s="118">
        <f t="shared" ref="E40:E49" si="12">C40*D40</f>
        <v>4.5999999999999996</v>
      </c>
      <c r="F40" s="118"/>
      <c r="G40" s="205"/>
      <c r="H40" s="118"/>
      <c r="I40" s="118"/>
      <c r="J40" s="118"/>
    </row>
    <row r="41" spans="1:10">
      <c r="A41" s="535"/>
      <c r="B41" s="106" t="s">
        <v>1271</v>
      </c>
      <c r="C41" s="118">
        <v>2</v>
      </c>
      <c r="D41" s="118">
        <v>1.2</v>
      </c>
      <c r="E41" s="118">
        <f t="shared" si="12"/>
        <v>2.4</v>
      </c>
      <c r="F41" s="118"/>
      <c r="G41" s="205"/>
      <c r="H41" s="118"/>
      <c r="I41" s="118"/>
      <c r="J41" s="118"/>
    </row>
    <row r="42" spans="1:10">
      <c r="A42" s="535"/>
      <c r="B42" s="106" t="s">
        <v>1273</v>
      </c>
      <c r="C42" s="118">
        <v>1</v>
      </c>
      <c r="D42" s="118">
        <v>2.1</v>
      </c>
      <c r="E42" s="118">
        <f t="shared" si="12"/>
        <v>2.1</v>
      </c>
      <c r="F42" s="118"/>
      <c r="G42" s="205"/>
      <c r="H42" s="118"/>
      <c r="I42" s="118"/>
      <c r="J42" s="118"/>
    </row>
    <row r="43" spans="1:10">
      <c r="A43" s="535"/>
      <c r="B43" s="106" t="s">
        <v>1274</v>
      </c>
      <c r="C43" s="118">
        <v>2</v>
      </c>
      <c r="D43" s="118">
        <v>0.6</v>
      </c>
      <c r="E43" s="118">
        <f t="shared" si="12"/>
        <v>1.2</v>
      </c>
      <c r="F43" s="118"/>
      <c r="G43" s="205"/>
      <c r="H43" s="118"/>
      <c r="I43" s="118"/>
      <c r="J43" s="118"/>
    </row>
    <row r="44" spans="1:10">
      <c r="A44" s="535"/>
      <c r="B44" s="106" t="s">
        <v>1275</v>
      </c>
      <c r="C44" s="118">
        <v>2</v>
      </c>
      <c r="D44" s="118">
        <v>2.2000000000000002</v>
      </c>
      <c r="E44" s="118">
        <f t="shared" si="12"/>
        <v>4.4000000000000004</v>
      </c>
      <c r="F44" s="118"/>
      <c r="G44" s="205"/>
      <c r="H44" s="118"/>
      <c r="I44" s="118"/>
      <c r="J44" s="118"/>
    </row>
    <row r="45" spans="1:10">
      <c r="A45" s="535"/>
      <c r="B45" s="106" t="s">
        <v>1277</v>
      </c>
      <c r="C45" s="118">
        <v>4</v>
      </c>
      <c r="D45" s="118">
        <v>0.9</v>
      </c>
      <c r="E45" s="118">
        <f t="shared" si="12"/>
        <v>3.6</v>
      </c>
      <c r="F45" s="118"/>
      <c r="G45" s="205"/>
      <c r="H45" s="118"/>
      <c r="I45" s="118"/>
      <c r="J45" s="118"/>
    </row>
    <row r="46" spans="1:10">
      <c r="A46" s="535"/>
      <c r="B46" s="106" t="s">
        <v>1264</v>
      </c>
      <c r="C46" s="118">
        <v>1</v>
      </c>
      <c r="D46" s="118">
        <v>1.8</v>
      </c>
      <c r="E46" s="118">
        <f t="shared" si="12"/>
        <v>1.8</v>
      </c>
      <c r="F46" s="118"/>
      <c r="G46" s="205"/>
      <c r="H46" s="118"/>
      <c r="I46" s="118"/>
      <c r="J46" s="118"/>
    </row>
    <row r="47" spans="1:10">
      <c r="A47" s="535"/>
      <c r="B47" s="106" t="s">
        <v>1265</v>
      </c>
      <c r="C47" s="118">
        <v>2</v>
      </c>
      <c r="D47" s="118">
        <v>0.6</v>
      </c>
      <c r="E47" s="118">
        <f t="shared" si="12"/>
        <v>1.2</v>
      </c>
      <c r="F47" s="118"/>
      <c r="G47" s="205"/>
      <c r="H47" s="118"/>
      <c r="I47" s="118"/>
      <c r="J47" s="118"/>
    </row>
    <row r="48" spans="1:10">
      <c r="A48" s="535"/>
      <c r="B48" s="106" t="s">
        <v>1279</v>
      </c>
      <c r="C48" s="118">
        <v>2</v>
      </c>
      <c r="D48" s="118">
        <v>1.2</v>
      </c>
      <c r="E48" s="118">
        <f t="shared" si="12"/>
        <v>2.4</v>
      </c>
      <c r="F48" s="118"/>
      <c r="G48" s="205"/>
      <c r="H48" s="118"/>
      <c r="I48" s="118"/>
      <c r="J48" s="118"/>
    </row>
    <row r="49" spans="1:10">
      <c r="A49" s="535"/>
      <c r="B49" s="106"/>
      <c r="C49" s="118">
        <v>1</v>
      </c>
      <c r="D49" s="118">
        <v>0.9</v>
      </c>
      <c r="E49" s="118">
        <f t="shared" si="12"/>
        <v>0.9</v>
      </c>
      <c r="F49" s="118"/>
      <c r="G49" s="205"/>
      <c r="H49" s="118"/>
      <c r="I49" s="118"/>
      <c r="J49" s="118"/>
    </row>
    <row r="50" spans="1:10">
      <c r="A50" s="496"/>
      <c r="B50" s="106" t="s">
        <v>1267</v>
      </c>
      <c r="C50" s="118"/>
      <c r="D50" s="118"/>
      <c r="E50" s="118">
        <f>SUM(E40:E49)</f>
        <v>24.599999999999998</v>
      </c>
      <c r="F50" s="118">
        <v>1.68</v>
      </c>
      <c r="G50" s="118" t="s">
        <v>1091</v>
      </c>
      <c r="H50" s="206">
        <f>E50*F50</f>
        <v>41.327999999999996</v>
      </c>
      <c r="I50" s="231">
        <v>80.78</v>
      </c>
      <c r="J50" s="206">
        <f>H50*I50</f>
        <v>3338.4758399999996</v>
      </c>
    </row>
    <row r="51" spans="1:10">
      <c r="A51" s="507">
        <v>9</v>
      </c>
      <c r="B51" s="569" t="s">
        <v>1283</v>
      </c>
      <c r="C51" s="499"/>
      <c r="D51" s="499"/>
      <c r="E51" s="499"/>
      <c r="F51" s="499"/>
      <c r="G51" s="499"/>
      <c r="H51" s="499"/>
      <c r="I51" s="499"/>
      <c r="J51" s="118"/>
    </row>
    <row r="52" spans="1:10">
      <c r="A52" s="535"/>
      <c r="B52" s="111" t="s">
        <v>1285</v>
      </c>
      <c r="C52" s="118" t="s">
        <v>820</v>
      </c>
      <c r="D52" s="118" t="s">
        <v>1111</v>
      </c>
      <c r="E52" s="118"/>
      <c r="F52" s="118"/>
      <c r="G52" s="118"/>
      <c r="H52" s="118"/>
      <c r="I52" s="205"/>
      <c r="J52" s="118"/>
    </row>
    <row r="53" spans="1:10">
      <c r="A53" s="535"/>
      <c r="B53" s="106" t="s">
        <v>1286</v>
      </c>
      <c r="C53" s="118">
        <v>1.2</v>
      </c>
      <c r="D53" s="118">
        <v>2</v>
      </c>
      <c r="E53" s="118">
        <f t="shared" ref="E53:E56" si="13">C53*D53</f>
        <v>2.4</v>
      </c>
      <c r="F53" s="118"/>
      <c r="G53" s="118"/>
      <c r="H53" s="118"/>
      <c r="I53" s="205"/>
      <c r="J53" s="118"/>
    </row>
    <row r="54" spans="1:10">
      <c r="A54" s="535"/>
      <c r="B54" s="106" t="s">
        <v>1289</v>
      </c>
      <c r="C54" s="118">
        <v>1.2</v>
      </c>
      <c r="D54" s="118">
        <v>1.8</v>
      </c>
      <c r="E54" s="118">
        <f t="shared" si="13"/>
        <v>2.16</v>
      </c>
      <c r="F54" s="118"/>
      <c r="G54" s="205"/>
      <c r="H54" s="118"/>
      <c r="I54" s="118"/>
      <c r="J54" s="118"/>
    </row>
    <row r="55" spans="1:10">
      <c r="A55" s="535"/>
      <c r="B55" s="106" t="s">
        <v>1290</v>
      </c>
      <c r="C55" s="118">
        <v>1.8</v>
      </c>
      <c r="D55" s="118">
        <v>1.9</v>
      </c>
      <c r="E55" s="118">
        <f t="shared" si="13"/>
        <v>3.42</v>
      </c>
      <c r="F55" s="118"/>
      <c r="G55" s="205"/>
      <c r="H55" s="118"/>
      <c r="I55" s="118"/>
      <c r="J55" s="118"/>
    </row>
    <row r="56" spans="1:10">
      <c r="A56" s="535"/>
      <c r="B56" s="106" t="s">
        <v>1291</v>
      </c>
      <c r="C56" s="118">
        <v>1.6</v>
      </c>
      <c r="D56" s="118">
        <v>1.3</v>
      </c>
      <c r="E56" s="118">
        <f t="shared" si="13"/>
        <v>2.08</v>
      </c>
      <c r="F56" s="118"/>
      <c r="G56" s="205"/>
      <c r="H56" s="118"/>
      <c r="I56" s="118"/>
      <c r="J56" s="118"/>
    </row>
    <row r="57" spans="1:10" ht="17">
      <c r="A57" s="535"/>
      <c r="B57" s="106" t="s">
        <v>1293</v>
      </c>
      <c r="C57" s="118"/>
      <c r="D57" s="118"/>
      <c r="E57" s="118">
        <f>SUM(E53:E56)</f>
        <v>10.06</v>
      </c>
      <c r="F57" s="118">
        <v>6.3</v>
      </c>
      <c r="G57" s="118" t="s">
        <v>1296</v>
      </c>
      <c r="H57" s="206">
        <f>E57*F57</f>
        <v>63.378</v>
      </c>
      <c r="I57" s="118"/>
      <c r="J57" s="118"/>
    </row>
    <row r="58" spans="1:10">
      <c r="A58" s="496"/>
      <c r="B58" s="106" t="s">
        <v>40</v>
      </c>
      <c r="C58" s="118"/>
      <c r="D58" s="118"/>
      <c r="E58" s="118"/>
      <c r="F58" s="118"/>
      <c r="G58" s="205">
        <v>63.38</v>
      </c>
      <c r="H58" s="118" t="s">
        <v>691</v>
      </c>
      <c r="I58" s="231">
        <f>'GI Works'!F29</f>
        <v>151.03995701899998</v>
      </c>
      <c r="J58" s="206">
        <f t="shared" ref="J58:J60" si="14">G58*I58</f>
        <v>9572.9124758642192</v>
      </c>
    </row>
    <row r="59" spans="1:10">
      <c r="A59" s="118">
        <v>10</v>
      </c>
      <c r="B59" s="101" t="s">
        <v>1300</v>
      </c>
      <c r="C59" s="118"/>
      <c r="D59" s="118"/>
      <c r="E59" s="118"/>
      <c r="F59" s="118"/>
      <c r="G59" s="129">
        <v>1</v>
      </c>
      <c r="H59" s="129" t="s">
        <v>996</v>
      </c>
      <c r="I59" s="129">
        <v>222.08</v>
      </c>
      <c r="J59" s="118">
        <f t="shared" si="14"/>
        <v>222.08</v>
      </c>
    </row>
    <row r="60" spans="1:10">
      <c r="A60" s="118">
        <v>11</v>
      </c>
      <c r="B60" s="111" t="s">
        <v>1302</v>
      </c>
      <c r="C60" s="118"/>
      <c r="D60" s="118"/>
      <c r="E60" s="118"/>
      <c r="F60" s="118"/>
      <c r="G60" s="118">
        <v>3</v>
      </c>
      <c r="H60" s="118" t="s">
        <v>996</v>
      </c>
      <c r="I60" s="129">
        <v>128.22999999999999</v>
      </c>
      <c r="J60" s="206">
        <f t="shared" si="14"/>
        <v>384.68999999999994</v>
      </c>
    </row>
    <row r="61" spans="1:10">
      <c r="A61" s="129">
        <v>12</v>
      </c>
      <c r="B61" s="504" t="s">
        <v>1303</v>
      </c>
      <c r="C61" s="499"/>
      <c r="D61" s="499"/>
      <c r="E61" s="499"/>
      <c r="F61" s="499"/>
      <c r="G61" s="499"/>
      <c r="H61" s="499"/>
      <c r="I61" s="500"/>
      <c r="J61" s="129">
        <v>1153.96</v>
      </c>
    </row>
    <row r="62" spans="1:10">
      <c r="A62" s="129">
        <v>13</v>
      </c>
      <c r="B62" s="570" t="s">
        <v>30</v>
      </c>
      <c r="C62" s="499"/>
      <c r="D62" s="499"/>
      <c r="E62" s="499"/>
      <c r="F62" s="499"/>
      <c r="G62" s="499"/>
      <c r="H62" s="499"/>
      <c r="I62" s="500"/>
      <c r="J62" s="232">
        <f>SUM(J5:J61)</f>
        <v>25999.995676864219</v>
      </c>
    </row>
    <row r="63" spans="1:10" ht="22.5" customHeight="1">
      <c r="A63" s="129">
        <v>14</v>
      </c>
      <c r="B63" s="510" t="s">
        <v>1305</v>
      </c>
      <c r="C63" s="499"/>
      <c r="D63" s="499"/>
      <c r="E63" s="499"/>
      <c r="F63" s="499"/>
      <c r="G63" s="499"/>
      <c r="H63" s="499"/>
      <c r="I63" s="499"/>
      <c r="J63" s="500"/>
    </row>
  </sheetData>
  <mergeCells count="22">
    <mergeCell ref="B61:I61"/>
    <mergeCell ref="B62:I62"/>
    <mergeCell ref="B63:J63"/>
    <mergeCell ref="A14:A17"/>
    <mergeCell ref="B14:I14"/>
    <mergeCell ref="A18:A23"/>
    <mergeCell ref="B18:I18"/>
    <mergeCell ref="A24:A26"/>
    <mergeCell ref="B24:I24"/>
    <mergeCell ref="B27:I27"/>
    <mergeCell ref="A10:A13"/>
    <mergeCell ref="B10:I10"/>
    <mergeCell ref="A27:A29"/>
    <mergeCell ref="A30:A50"/>
    <mergeCell ref="A51:A58"/>
    <mergeCell ref="B30:I30"/>
    <mergeCell ref="B51:I51"/>
    <mergeCell ref="A1:J1"/>
    <mergeCell ref="A3:A5"/>
    <mergeCell ref="B3:I3"/>
    <mergeCell ref="A6:A9"/>
    <mergeCell ref="B6:I6"/>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17"/>
  <sheetViews>
    <sheetView workbookViewId="0"/>
  </sheetViews>
  <sheetFormatPr defaultColWidth="14.453125" defaultRowHeight="15" customHeight="1"/>
  <cols>
    <col min="8" max="9" width="14.453125" hidden="1"/>
  </cols>
  <sheetData>
    <row r="1" spans="1:9">
      <c r="A1" s="571" t="s">
        <v>771</v>
      </c>
      <c r="B1" s="571" t="s">
        <v>776</v>
      </c>
      <c r="C1" s="572" t="s">
        <v>4</v>
      </c>
      <c r="D1" s="454"/>
      <c r="E1" s="450"/>
      <c r="F1" s="572" t="s">
        <v>785</v>
      </c>
      <c r="G1" s="450"/>
      <c r="H1" s="215"/>
      <c r="I1" s="215"/>
    </row>
    <row r="2" spans="1:9">
      <c r="A2" s="457"/>
      <c r="B2" s="457"/>
      <c r="C2" s="216" t="s">
        <v>5</v>
      </c>
      <c r="D2" s="216" t="s">
        <v>6</v>
      </c>
      <c r="E2" s="216" t="s">
        <v>336</v>
      </c>
      <c r="F2" s="216" t="s">
        <v>8</v>
      </c>
      <c r="G2" s="216" t="s">
        <v>789</v>
      </c>
      <c r="H2" s="215"/>
      <c r="I2" s="215"/>
    </row>
    <row r="3" spans="1:9">
      <c r="A3" s="573" t="s">
        <v>1167</v>
      </c>
      <c r="B3" s="454"/>
      <c r="C3" s="454"/>
      <c r="D3" s="454"/>
      <c r="E3" s="454"/>
      <c r="F3" s="454"/>
      <c r="G3" s="450"/>
      <c r="H3" s="215"/>
      <c r="I3" s="215"/>
    </row>
    <row r="4" spans="1:9">
      <c r="A4" s="217"/>
      <c r="B4" s="217" t="s">
        <v>795</v>
      </c>
      <c r="C4" s="217" t="s">
        <v>46</v>
      </c>
      <c r="D4" s="217" t="s">
        <v>798</v>
      </c>
      <c r="E4" s="217">
        <v>1</v>
      </c>
      <c r="F4" s="217"/>
      <c r="G4" s="217"/>
      <c r="H4" s="215"/>
      <c r="I4" s="215"/>
    </row>
    <row r="5" spans="1:9">
      <c r="A5" s="217" t="s">
        <v>800</v>
      </c>
      <c r="B5" s="574" t="s">
        <v>1168</v>
      </c>
      <c r="C5" s="454"/>
      <c r="D5" s="454"/>
      <c r="E5" s="454"/>
      <c r="F5" s="454"/>
      <c r="G5" s="450"/>
      <c r="H5" s="215"/>
      <c r="I5" s="215"/>
    </row>
    <row r="6" spans="1:9">
      <c r="A6" s="574" t="s">
        <v>1171</v>
      </c>
      <c r="B6" s="454"/>
      <c r="C6" s="454"/>
      <c r="D6" s="454"/>
      <c r="E6" s="454"/>
      <c r="F6" s="454"/>
      <c r="G6" s="450"/>
      <c r="H6" s="215"/>
      <c r="I6" s="215"/>
    </row>
    <row r="7" spans="1:9">
      <c r="A7" s="577"/>
      <c r="B7" s="577" t="s">
        <v>1155</v>
      </c>
      <c r="C7" s="576" t="s">
        <v>1174</v>
      </c>
      <c r="D7" s="454"/>
      <c r="E7" s="450"/>
      <c r="F7" s="576"/>
      <c r="G7" s="450"/>
      <c r="H7" s="215"/>
      <c r="I7" s="215"/>
    </row>
    <row r="8" spans="1:9">
      <c r="A8" s="457"/>
      <c r="B8" s="457"/>
      <c r="C8" s="219" t="s">
        <v>46</v>
      </c>
      <c r="D8" s="219">
        <v>1</v>
      </c>
      <c r="E8" s="219">
        <v>1850</v>
      </c>
      <c r="F8" s="219">
        <f>D8*E8</f>
        <v>1850</v>
      </c>
      <c r="G8" s="219" t="s">
        <v>808</v>
      </c>
      <c r="H8" s="215"/>
      <c r="I8" s="215"/>
    </row>
    <row r="9" spans="1:9">
      <c r="A9" s="577"/>
      <c r="B9" s="577" t="s">
        <v>1178</v>
      </c>
      <c r="C9" s="576" t="s">
        <v>1179</v>
      </c>
      <c r="D9" s="454"/>
      <c r="E9" s="450"/>
      <c r="F9" s="576"/>
      <c r="G9" s="450"/>
      <c r="H9" s="215"/>
      <c r="I9" s="215"/>
    </row>
    <row r="10" spans="1:9">
      <c r="A10" s="457"/>
      <c r="B10" s="457"/>
      <c r="C10" s="219" t="s">
        <v>26</v>
      </c>
      <c r="D10" s="219">
        <v>0.01</v>
      </c>
      <c r="E10" s="219">
        <v>675</v>
      </c>
      <c r="F10" s="219">
        <f>D10*E10</f>
        <v>6.75</v>
      </c>
      <c r="G10" s="219" t="s">
        <v>825</v>
      </c>
      <c r="H10" s="215"/>
      <c r="I10" s="215"/>
    </row>
    <row r="11" spans="1:9">
      <c r="A11" s="577" t="s">
        <v>1181</v>
      </c>
      <c r="B11" s="577"/>
      <c r="C11" s="575" t="s">
        <v>1182</v>
      </c>
      <c r="D11" s="454"/>
      <c r="E11" s="450"/>
      <c r="F11" s="576"/>
      <c r="G11" s="450"/>
      <c r="H11" s="215"/>
      <c r="I11" s="215"/>
    </row>
    <row r="12" spans="1:9">
      <c r="A12" s="457"/>
      <c r="B12" s="457"/>
      <c r="C12" s="219" t="s">
        <v>891</v>
      </c>
      <c r="D12" s="221"/>
      <c r="E12" s="221"/>
      <c r="F12" s="219">
        <f>(F8+F10)*0.5%</f>
        <v>9.2837499999999995</v>
      </c>
      <c r="G12" s="219" t="s">
        <v>1184</v>
      </c>
      <c r="H12" s="215"/>
      <c r="I12" s="215"/>
    </row>
    <row r="13" spans="1:9">
      <c r="A13" s="574" t="s">
        <v>30</v>
      </c>
      <c r="B13" s="454"/>
      <c r="C13" s="450"/>
      <c r="D13" s="222">
        <v>1</v>
      </c>
      <c r="E13" s="222" t="s">
        <v>46</v>
      </c>
      <c r="F13" s="222">
        <f>F8+F10+F12</f>
        <v>1866.0337500000001</v>
      </c>
      <c r="G13" s="217"/>
      <c r="H13" s="215"/>
      <c r="I13" s="215"/>
    </row>
    <row r="14" spans="1:9">
      <c r="A14" s="574" t="s">
        <v>826</v>
      </c>
      <c r="B14" s="454"/>
      <c r="C14" s="450"/>
      <c r="D14" s="222">
        <v>1</v>
      </c>
      <c r="E14" s="222" t="s">
        <v>46</v>
      </c>
      <c r="F14" s="222">
        <f>F13/D13</f>
        <v>1866.0337500000001</v>
      </c>
      <c r="G14" s="217"/>
      <c r="H14" s="215"/>
      <c r="I14" s="215"/>
    </row>
    <row r="15" spans="1:9">
      <c r="A15" s="574" t="s">
        <v>1187</v>
      </c>
      <c r="B15" s="454"/>
      <c r="C15" s="454"/>
      <c r="D15" s="450"/>
      <c r="E15" s="224">
        <f>F8*100.5%/D13</f>
        <v>1859.2499999999998</v>
      </c>
      <c r="F15" s="222">
        <f>E15*1%</f>
        <v>18.592499999999998</v>
      </c>
      <c r="G15" s="217"/>
      <c r="H15" s="215"/>
      <c r="I15" s="215"/>
    </row>
    <row r="16" spans="1:9">
      <c r="A16" s="574" t="s">
        <v>30</v>
      </c>
      <c r="B16" s="454"/>
      <c r="C16" s="454"/>
      <c r="D16" s="450"/>
      <c r="E16" s="217"/>
      <c r="F16" s="222">
        <f>F14+F15</f>
        <v>1884.62625</v>
      </c>
      <c r="G16" s="217"/>
      <c r="H16" s="215"/>
      <c r="I16" s="215"/>
    </row>
    <row r="17" spans="1:9">
      <c r="A17" s="574" t="s">
        <v>836</v>
      </c>
      <c r="B17" s="454"/>
      <c r="C17" s="454"/>
      <c r="D17" s="450"/>
      <c r="E17" s="222">
        <f>F16</f>
        <v>1884.62625</v>
      </c>
      <c r="F17" s="222">
        <f>E17*15%</f>
        <v>282.6939375</v>
      </c>
      <c r="G17" s="217"/>
      <c r="H17" s="215"/>
      <c r="I17" s="215"/>
    </row>
    <row r="18" spans="1:9">
      <c r="A18" s="578" t="s">
        <v>30</v>
      </c>
      <c r="B18" s="454"/>
      <c r="C18" s="454"/>
      <c r="D18" s="450"/>
      <c r="E18" s="225"/>
      <c r="F18" s="226">
        <f>ROUND(F16+F17,2)</f>
        <v>2167.3200000000002</v>
      </c>
      <c r="G18" s="217"/>
      <c r="H18" s="215"/>
      <c r="I18" s="215"/>
    </row>
    <row r="19" spans="1:9">
      <c r="A19" s="577">
        <v>2852</v>
      </c>
      <c r="B19" s="577"/>
      <c r="C19" s="576" t="s">
        <v>1203</v>
      </c>
      <c r="D19" s="454"/>
      <c r="E19" s="450"/>
      <c r="F19" s="576"/>
      <c r="G19" s="450"/>
      <c r="H19" s="215"/>
      <c r="I19" s="215"/>
    </row>
    <row r="20" spans="1:9">
      <c r="A20" s="457"/>
      <c r="B20" s="457"/>
      <c r="C20" s="219" t="s">
        <v>46</v>
      </c>
      <c r="D20" s="219">
        <v>4</v>
      </c>
      <c r="E20" s="219">
        <v>1.8</v>
      </c>
      <c r="F20" s="219">
        <f>D20*E20</f>
        <v>7.2</v>
      </c>
      <c r="G20" s="219" t="s">
        <v>1207</v>
      </c>
      <c r="H20" s="215"/>
      <c r="I20" s="215"/>
    </row>
    <row r="21" spans="1:9">
      <c r="A21" s="577">
        <v>1005</v>
      </c>
      <c r="B21" s="577"/>
      <c r="C21" s="576" t="s">
        <v>1208</v>
      </c>
      <c r="D21" s="454"/>
      <c r="E21" s="450"/>
      <c r="F21" s="576"/>
      <c r="G21" s="450"/>
      <c r="H21" s="215"/>
      <c r="I21" s="215"/>
    </row>
    <row r="22" spans="1:9">
      <c r="A22" s="457"/>
      <c r="B22" s="457"/>
      <c r="C22" s="219" t="s">
        <v>26</v>
      </c>
      <c r="D22" s="219">
        <v>0.01</v>
      </c>
      <c r="E22" s="219">
        <v>734</v>
      </c>
      <c r="F22" s="219">
        <f>D22*E22</f>
        <v>7.34</v>
      </c>
      <c r="G22" s="219" t="s">
        <v>822</v>
      </c>
      <c r="H22" s="215"/>
      <c r="I22" s="215"/>
    </row>
    <row r="23" spans="1:9">
      <c r="A23" s="577" t="s">
        <v>1181</v>
      </c>
      <c r="B23" s="577"/>
      <c r="C23" s="575" t="s">
        <v>1216</v>
      </c>
      <c r="D23" s="454"/>
      <c r="E23" s="450"/>
      <c r="F23" s="576"/>
      <c r="G23" s="450"/>
      <c r="H23" s="215"/>
      <c r="I23" s="215"/>
    </row>
    <row r="24" spans="1:9">
      <c r="A24" s="457"/>
      <c r="B24" s="457"/>
      <c r="C24" s="219" t="s">
        <v>891</v>
      </c>
      <c r="D24" s="221"/>
      <c r="E24" s="221"/>
      <c r="F24" s="219">
        <f>(F20+F22)*0.5%</f>
        <v>7.2700000000000001E-2</v>
      </c>
      <c r="G24" s="219" t="s">
        <v>1218</v>
      </c>
      <c r="H24" s="215"/>
      <c r="I24" s="215"/>
    </row>
    <row r="25" spans="1:9">
      <c r="A25" s="574" t="s">
        <v>30</v>
      </c>
      <c r="B25" s="454"/>
      <c r="C25" s="450"/>
      <c r="D25" s="222">
        <v>1</v>
      </c>
      <c r="E25" s="222" t="s">
        <v>46</v>
      </c>
      <c r="F25" s="222">
        <f>F20+F22+F24</f>
        <v>14.612699999999998</v>
      </c>
      <c r="G25" s="225"/>
      <c r="H25" s="215"/>
      <c r="I25" s="215"/>
    </row>
    <row r="26" spans="1:9">
      <c r="A26" s="574" t="s">
        <v>826</v>
      </c>
      <c r="B26" s="454"/>
      <c r="C26" s="450"/>
      <c r="D26" s="222">
        <v>1</v>
      </c>
      <c r="E26" s="222" t="s">
        <v>46</v>
      </c>
      <c r="F26" s="222">
        <f>F25/D25</f>
        <v>14.612699999999998</v>
      </c>
      <c r="G26" s="225"/>
      <c r="H26" s="215"/>
      <c r="I26" s="215"/>
    </row>
    <row r="27" spans="1:9">
      <c r="A27" s="574" t="s">
        <v>1187</v>
      </c>
      <c r="B27" s="454"/>
      <c r="C27" s="454"/>
      <c r="D27" s="450"/>
      <c r="E27" s="224">
        <f>F20*100.5%/D25</f>
        <v>7.2359999999999998</v>
      </c>
      <c r="F27" s="222">
        <f>E27*1%</f>
        <v>7.2359999999999994E-2</v>
      </c>
      <c r="G27" s="225"/>
      <c r="H27" s="215"/>
      <c r="I27" s="215"/>
    </row>
    <row r="28" spans="1:9">
      <c r="A28" s="574" t="s">
        <v>30</v>
      </c>
      <c r="B28" s="454"/>
      <c r="C28" s="454"/>
      <c r="D28" s="450"/>
      <c r="E28" s="217"/>
      <c r="F28" s="222">
        <f>F26+F27</f>
        <v>14.685059999999998</v>
      </c>
      <c r="G28" s="225"/>
      <c r="H28" s="215"/>
      <c r="I28" s="215"/>
    </row>
    <row r="29" spans="1:9">
      <c r="A29" s="574" t="s">
        <v>836</v>
      </c>
      <c r="B29" s="454"/>
      <c r="C29" s="454"/>
      <c r="D29" s="450"/>
      <c r="E29" s="222">
        <f>F28</f>
        <v>14.685059999999998</v>
      </c>
      <c r="F29" s="222">
        <f>E29*15%</f>
        <v>2.2027589999999995</v>
      </c>
      <c r="G29" s="225"/>
      <c r="H29" s="215"/>
      <c r="I29" s="215"/>
    </row>
    <row r="30" spans="1:9">
      <c r="A30" s="578" t="s">
        <v>30</v>
      </c>
      <c r="B30" s="454"/>
      <c r="C30" s="454"/>
      <c r="D30" s="450"/>
      <c r="E30" s="225"/>
      <c r="F30" s="226">
        <f>ROUND(F28+F29,2)</f>
        <v>16.89</v>
      </c>
      <c r="G30" s="217"/>
      <c r="H30" s="215"/>
      <c r="I30" s="215"/>
    </row>
    <row r="31" spans="1:9">
      <c r="A31" s="579" t="str">
        <f>CONCATENATE("Say ₹ ",F18," + ",F30," x Cost Index")</f>
        <v>Say ₹ 2167.32 + 16.89 x Cost Index</v>
      </c>
      <c r="B31" s="454"/>
      <c r="C31" s="454"/>
      <c r="D31" s="454"/>
      <c r="E31" s="454"/>
      <c r="F31" s="450"/>
      <c r="G31" s="228" t="s">
        <v>1007</v>
      </c>
      <c r="H31" s="229">
        <f>((F8*1.005*1.01)+(F10*1.005))*1.15</f>
        <v>2167.3201874999995</v>
      </c>
      <c r="I31" s="229">
        <f>((F20*1.005*1.01)+(F22*1.005))*1.15</f>
        <v>16.887818999999997</v>
      </c>
    </row>
    <row r="32" spans="1:9">
      <c r="A32" s="571" t="s">
        <v>771</v>
      </c>
      <c r="B32" s="571" t="s">
        <v>776</v>
      </c>
      <c r="C32" s="572" t="s">
        <v>4</v>
      </c>
      <c r="D32" s="454"/>
      <c r="E32" s="450"/>
      <c r="F32" s="572" t="s">
        <v>785</v>
      </c>
      <c r="G32" s="450"/>
      <c r="H32" s="215"/>
      <c r="I32" s="215"/>
    </row>
    <row r="33" spans="1:9">
      <c r="A33" s="457"/>
      <c r="B33" s="457"/>
      <c r="C33" s="216" t="s">
        <v>5</v>
      </c>
      <c r="D33" s="216" t="s">
        <v>6</v>
      </c>
      <c r="E33" s="216" t="s">
        <v>336</v>
      </c>
      <c r="F33" s="216" t="s">
        <v>8</v>
      </c>
      <c r="G33" s="216" t="s">
        <v>789</v>
      </c>
      <c r="H33" s="215"/>
      <c r="I33" s="215"/>
    </row>
    <row r="34" spans="1:9">
      <c r="A34" s="573" t="s">
        <v>1239</v>
      </c>
      <c r="B34" s="454"/>
      <c r="C34" s="454"/>
      <c r="D34" s="454"/>
      <c r="E34" s="454"/>
      <c r="F34" s="454"/>
      <c r="G34" s="450"/>
      <c r="H34" s="215"/>
      <c r="I34" s="215"/>
    </row>
    <row r="35" spans="1:9">
      <c r="A35" s="217"/>
      <c r="B35" s="217" t="s">
        <v>795</v>
      </c>
      <c r="C35" s="217" t="s">
        <v>46</v>
      </c>
      <c r="D35" s="217" t="s">
        <v>798</v>
      </c>
      <c r="E35" s="217">
        <v>1</v>
      </c>
      <c r="F35" s="217"/>
      <c r="G35" s="217"/>
      <c r="H35" s="215"/>
      <c r="I35" s="215"/>
    </row>
    <row r="36" spans="1:9">
      <c r="A36" s="217" t="s">
        <v>800</v>
      </c>
      <c r="B36" s="574" t="s">
        <v>1168</v>
      </c>
      <c r="C36" s="454"/>
      <c r="D36" s="454"/>
      <c r="E36" s="454"/>
      <c r="F36" s="454"/>
      <c r="G36" s="450"/>
      <c r="H36" s="215"/>
      <c r="I36" s="215"/>
    </row>
    <row r="37" spans="1:9">
      <c r="A37" s="574" t="s">
        <v>1171</v>
      </c>
      <c r="B37" s="454"/>
      <c r="C37" s="454"/>
      <c r="D37" s="454"/>
      <c r="E37" s="454"/>
      <c r="F37" s="454"/>
      <c r="G37" s="450"/>
      <c r="H37" s="215"/>
      <c r="I37" s="215"/>
    </row>
    <row r="38" spans="1:9">
      <c r="A38" s="577"/>
      <c r="B38" s="577" t="s">
        <v>1155</v>
      </c>
      <c r="C38" s="576" t="s">
        <v>1244</v>
      </c>
      <c r="D38" s="454"/>
      <c r="E38" s="450"/>
      <c r="F38" s="576"/>
      <c r="G38" s="450"/>
      <c r="H38" s="215"/>
      <c r="I38" s="215"/>
    </row>
    <row r="39" spans="1:9">
      <c r="A39" s="457"/>
      <c r="B39" s="457"/>
      <c r="C39" s="219" t="s">
        <v>46</v>
      </c>
      <c r="D39" s="219">
        <v>1</v>
      </c>
      <c r="E39" s="219">
        <v>2100</v>
      </c>
      <c r="F39" s="219">
        <f>D39*E39</f>
        <v>2100</v>
      </c>
      <c r="G39" s="219" t="s">
        <v>808</v>
      </c>
      <c r="H39" s="215"/>
      <c r="I39" s="215"/>
    </row>
    <row r="40" spans="1:9">
      <c r="A40" s="577"/>
      <c r="B40" s="577" t="s">
        <v>1178</v>
      </c>
      <c r="C40" s="576" t="s">
        <v>1179</v>
      </c>
      <c r="D40" s="454"/>
      <c r="E40" s="450"/>
      <c r="F40" s="576"/>
      <c r="G40" s="450"/>
      <c r="H40" s="215"/>
      <c r="I40" s="215"/>
    </row>
    <row r="41" spans="1:9">
      <c r="A41" s="457"/>
      <c r="B41" s="457"/>
      <c r="C41" s="219" t="s">
        <v>26</v>
      </c>
      <c r="D41" s="219">
        <v>0.01</v>
      </c>
      <c r="E41" s="219">
        <v>675</v>
      </c>
      <c r="F41" s="219">
        <f>D41*E41</f>
        <v>6.75</v>
      </c>
      <c r="G41" s="219" t="s">
        <v>825</v>
      </c>
      <c r="H41" s="215"/>
      <c r="I41" s="215"/>
    </row>
    <row r="42" spans="1:9">
      <c r="A42" s="577" t="s">
        <v>1181</v>
      </c>
      <c r="B42" s="577"/>
      <c r="C42" s="575" t="s">
        <v>1182</v>
      </c>
      <c r="D42" s="454"/>
      <c r="E42" s="450"/>
      <c r="F42" s="576"/>
      <c r="G42" s="450"/>
      <c r="H42" s="215"/>
      <c r="I42" s="215"/>
    </row>
    <row r="43" spans="1:9">
      <c r="A43" s="457"/>
      <c r="B43" s="457"/>
      <c r="C43" s="219" t="s">
        <v>891</v>
      </c>
      <c r="D43" s="221"/>
      <c r="E43" s="221"/>
      <c r="F43" s="219">
        <f>(F39+F41)*0.5%</f>
        <v>10.53375</v>
      </c>
      <c r="G43" s="219" t="s">
        <v>1184</v>
      </c>
      <c r="H43" s="215"/>
      <c r="I43" s="215"/>
    </row>
    <row r="44" spans="1:9">
      <c r="A44" s="574" t="s">
        <v>30</v>
      </c>
      <c r="B44" s="454"/>
      <c r="C44" s="450"/>
      <c r="D44" s="222">
        <v>1</v>
      </c>
      <c r="E44" s="222" t="s">
        <v>46</v>
      </c>
      <c r="F44" s="222">
        <f>F39+F41+F43</f>
        <v>2117.2837500000001</v>
      </c>
      <c r="G44" s="217"/>
      <c r="H44" s="215"/>
      <c r="I44" s="215"/>
    </row>
    <row r="45" spans="1:9">
      <c r="A45" s="574" t="s">
        <v>826</v>
      </c>
      <c r="B45" s="454"/>
      <c r="C45" s="450"/>
      <c r="D45" s="222">
        <v>1</v>
      </c>
      <c r="E45" s="222" t="s">
        <v>46</v>
      </c>
      <c r="F45" s="222">
        <f>F44/D44</f>
        <v>2117.2837500000001</v>
      </c>
      <c r="G45" s="217"/>
      <c r="H45" s="215"/>
      <c r="I45" s="215"/>
    </row>
    <row r="46" spans="1:9">
      <c r="A46" s="574" t="s">
        <v>1187</v>
      </c>
      <c r="B46" s="454"/>
      <c r="C46" s="454"/>
      <c r="D46" s="450"/>
      <c r="E46" s="224">
        <f>F39*100.5%/D44</f>
        <v>2110.5</v>
      </c>
      <c r="F46" s="222">
        <f>E46*1%</f>
        <v>21.105</v>
      </c>
      <c r="G46" s="217"/>
      <c r="H46" s="215"/>
      <c r="I46" s="215"/>
    </row>
    <row r="47" spans="1:9">
      <c r="A47" s="574" t="s">
        <v>30</v>
      </c>
      <c r="B47" s="454"/>
      <c r="C47" s="454"/>
      <c r="D47" s="450"/>
      <c r="E47" s="217"/>
      <c r="F47" s="222">
        <f>F45+F46</f>
        <v>2138.3887500000001</v>
      </c>
      <c r="G47" s="217"/>
      <c r="H47" s="215"/>
      <c r="I47" s="215"/>
    </row>
    <row r="48" spans="1:9">
      <c r="A48" s="574" t="s">
        <v>836</v>
      </c>
      <c r="B48" s="454"/>
      <c r="C48" s="454"/>
      <c r="D48" s="450"/>
      <c r="E48" s="222">
        <f>F47</f>
        <v>2138.3887500000001</v>
      </c>
      <c r="F48" s="222">
        <f>E48*15%</f>
        <v>320.75831249999999</v>
      </c>
      <c r="G48" s="217"/>
      <c r="H48" s="215"/>
      <c r="I48" s="215"/>
    </row>
    <row r="49" spans="1:9">
      <c r="A49" s="578" t="s">
        <v>30</v>
      </c>
      <c r="B49" s="454"/>
      <c r="C49" s="454"/>
      <c r="D49" s="450"/>
      <c r="E49" s="225"/>
      <c r="F49" s="226">
        <f>ROUND(F47+F48,2)</f>
        <v>2459.15</v>
      </c>
      <c r="G49" s="217"/>
      <c r="H49" s="215"/>
      <c r="I49" s="215"/>
    </row>
    <row r="50" spans="1:9">
      <c r="A50" s="577">
        <v>2852</v>
      </c>
      <c r="B50" s="577"/>
      <c r="C50" s="576" t="s">
        <v>1203</v>
      </c>
      <c r="D50" s="454"/>
      <c r="E50" s="450"/>
      <c r="F50" s="576"/>
      <c r="G50" s="450"/>
      <c r="H50" s="215"/>
      <c r="I50" s="215"/>
    </row>
    <row r="51" spans="1:9">
      <c r="A51" s="457"/>
      <c r="B51" s="457"/>
      <c r="C51" s="219" t="s">
        <v>46</v>
      </c>
      <c r="D51" s="219">
        <v>4</v>
      </c>
      <c r="E51" s="219">
        <v>1.8</v>
      </c>
      <c r="F51" s="219">
        <f>D51*E51</f>
        <v>7.2</v>
      </c>
      <c r="G51" s="219" t="s">
        <v>1207</v>
      </c>
      <c r="H51" s="215"/>
      <c r="I51" s="215"/>
    </row>
    <row r="52" spans="1:9">
      <c r="A52" s="577">
        <v>1005</v>
      </c>
      <c r="B52" s="577"/>
      <c r="C52" s="576" t="s">
        <v>1208</v>
      </c>
      <c r="D52" s="454"/>
      <c r="E52" s="450"/>
      <c r="F52" s="576"/>
      <c r="G52" s="450"/>
      <c r="H52" s="215"/>
      <c r="I52" s="215"/>
    </row>
    <row r="53" spans="1:9">
      <c r="A53" s="457"/>
      <c r="B53" s="457"/>
      <c r="C53" s="219" t="s">
        <v>26</v>
      </c>
      <c r="D53" s="219">
        <v>0.01</v>
      </c>
      <c r="E53" s="219">
        <v>734</v>
      </c>
      <c r="F53" s="219">
        <f>D53*E53</f>
        <v>7.34</v>
      </c>
      <c r="G53" s="219" t="s">
        <v>822</v>
      </c>
      <c r="H53" s="215"/>
      <c r="I53" s="215"/>
    </row>
    <row r="54" spans="1:9">
      <c r="A54" s="577" t="s">
        <v>1181</v>
      </c>
      <c r="B54" s="577"/>
      <c r="C54" s="575" t="s">
        <v>1216</v>
      </c>
      <c r="D54" s="454"/>
      <c r="E54" s="450"/>
      <c r="F54" s="576"/>
      <c r="G54" s="450"/>
      <c r="H54" s="215"/>
      <c r="I54" s="215"/>
    </row>
    <row r="55" spans="1:9">
      <c r="A55" s="457"/>
      <c r="B55" s="457"/>
      <c r="C55" s="219" t="s">
        <v>891</v>
      </c>
      <c r="D55" s="221"/>
      <c r="E55" s="221"/>
      <c r="F55" s="219">
        <f>(F51+F53)*0.5%</f>
        <v>7.2700000000000001E-2</v>
      </c>
      <c r="G55" s="219" t="s">
        <v>1218</v>
      </c>
      <c r="H55" s="215"/>
      <c r="I55" s="215"/>
    </row>
    <row r="56" spans="1:9">
      <c r="A56" s="574" t="s">
        <v>30</v>
      </c>
      <c r="B56" s="454"/>
      <c r="C56" s="450"/>
      <c r="D56" s="222">
        <v>1</v>
      </c>
      <c r="E56" s="222" t="s">
        <v>46</v>
      </c>
      <c r="F56" s="222">
        <f>F51+F53+F55</f>
        <v>14.612699999999998</v>
      </c>
      <c r="G56" s="225"/>
      <c r="H56" s="215"/>
      <c r="I56" s="215"/>
    </row>
    <row r="57" spans="1:9">
      <c r="A57" s="574" t="s">
        <v>826</v>
      </c>
      <c r="B57" s="454"/>
      <c r="C57" s="450"/>
      <c r="D57" s="222">
        <v>1</v>
      </c>
      <c r="E57" s="222" t="s">
        <v>46</v>
      </c>
      <c r="F57" s="222">
        <f>F56/D56</f>
        <v>14.612699999999998</v>
      </c>
      <c r="G57" s="225"/>
      <c r="H57" s="215"/>
      <c r="I57" s="215"/>
    </row>
    <row r="58" spans="1:9">
      <c r="A58" s="574" t="s">
        <v>1187</v>
      </c>
      <c r="B58" s="454"/>
      <c r="C58" s="454"/>
      <c r="D58" s="450"/>
      <c r="E58" s="224">
        <f>F51*100.5%/D56</f>
        <v>7.2359999999999998</v>
      </c>
      <c r="F58" s="222">
        <f>E58*1%</f>
        <v>7.2359999999999994E-2</v>
      </c>
      <c r="G58" s="225"/>
      <c r="H58" s="215"/>
      <c r="I58" s="215"/>
    </row>
    <row r="59" spans="1:9">
      <c r="A59" s="574" t="s">
        <v>30</v>
      </c>
      <c r="B59" s="454"/>
      <c r="C59" s="454"/>
      <c r="D59" s="450"/>
      <c r="E59" s="217"/>
      <c r="F59" s="222">
        <f>F57+F58</f>
        <v>14.685059999999998</v>
      </c>
      <c r="G59" s="225"/>
      <c r="H59" s="215"/>
      <c r="I59" s="215"/>
    </row>
    <row r="60" spans="1:9">
      <c r="A60" s="574" t="s">
        <v>836</v>
      </c>
      <c r="B60" s="454"/>
      <c r="C60" s="454"/>
      <c r="D60" s="450"/>
      <c r="E60" s="222">
        <f>F59</f>
        <v>14.685059999999998</v>
      </c>
      <c r="F60" s="222">
        <f>E60*15%</f>
        <v>2.2027589999999995</v>
      </c>
      <c r="G60" s="225"/>
      <c r="H60" s="215"/>
      <c r="I60" s="215"/>
    </row>
    <row r="61" spans="1:9">
      <c r="A61" s="578" t="s">
        <v>30</v>
      </c>
      <c r="B61" s="454"/>
      <c r="C61" s="454"/>
      <c r="D61" s="450"/>
      <c r="E61" s="225"/>
      <c r="F61" s="226">
        <f>ROUND(F59+F60,2)</f>
        <v>16.89</v>
      </c>
      <c r="G61" s="217"/>
      <c r="H61" s="215"/>
      <c r="I61" s="215"/>
    </row>
    <row r="62" spans="1:9">
      <c r="A62" s="579" t="str">
        <f>CONCATENATE("Say ₹ ",F49," + ",F61," x Cost Index")</f>
        <v>Say ₹ 2459.15 + 16.89 x Cost Index</v>
      </c>
      <c r="B62" s="454"/>
      <c r="C62" s="454"/>
      <c r="D62" s="454"/>
      <c r="E62" s="454"/>
      <c r="F62" s="450"/>
      <c r="G62" s="228" t="s">
        <v>1007</v>
      </c>
      <c r="H62" s="229">
        <f>((F39*1.005*1.01)+(F41*1.005))*1.15</f>
        <v>2459.1470624999997</v>
      </c>
      <c r="I62" s="229">
        <f>((F51*1.005*1.01)+(F53*1.005))*1.15</f>
        <v>16.887818999999997</v>
      </c>
    </row>
    <row r="63" spans="1:9">
      <c r="A63" s="571" t="s">
        <v>771</v>
      </c>
      <c r="B63" s="571" t="s">
        <v>776</v>
      </c>
      <c r="C63" s="572" t="s">
        <v>4</v>
      </c>
      <c r="D63" s="454"/>
      <c r="E63" s="450"/>
      <c r="F63" s="572" t="s">
        <v>785</v>
      </c>
      <c r="G63" s="450"/>
      <c r="H63" s="215"/>
      <c r="I63" s="215"/>
    </row>
    <row r="64" spans="1:9">
      <c r="A64" s="457"/>
      <c r="B64" s="457"/>
      <c r="C64" s="216" t="s">
        <v>5</v>
      </c>
      <c r="D64" s="216" t="s">
        <v>6</v>
      </c>
      <c r="E64" s="216" t="s">
        <v>336</v>
      </c>
      <c r="F64" s="216" t="s">
        <v>8</v>
      </c>
      <c r="G64" s="216" t="s">
        <v>789</v>
      </c>
      <c r="H64" s="215"/>
      <c r="I64" s="215"/>
    </row>
    <row r="65" spans="1:9">
      <c r="A65" s="573" t="s">
        <v>1292</v>
      </c>
      <c r="B65" s="454"/>
      <c r="C65" s="454"/>
      <c r="D65" s="454"/>
      <c r="E65" s="454"/>
      <c r="F65" s="454"/>
      <c r="G65" s="450"/>
      <c r="H65" s="215"/>
      <c r="I65" s="215"/>
    </row>
    <row r="66" spans="1:9">
      <c r="A66" s="217"/>
      <c r="B66" s="217" t="s">
        <v>795</v>
      </c>
      <c r="C66" s="217" t="s">
        <v>46</v>
      </c>
      <c r="D66" s="217" t="s">
        <v>798</v>
      </c>
      <c r="E66" s="217">
        <v>1</v>
      </c>
      <c r="F66" s="217"/>
      <c r="G66" s="217"/>
      <c r="H66" s="215"/>
      <c r="I66" s="215"/>
    </row>
    <row r="67" spans="1:9">
      <c r="A67" s="217" t="s">
        <v>800</v>
      </c>
      <c r="B67" s="574" t="s">
        <v>1168</v>
      </c>
      <c r="C67" s="454"/>
      <c r="D67" s="454"/>
      <c r="E67" s="454"/>
      <c r="F67" s="454"/>
      <c r="G67" s="450"/>
      <c r="H67" s="215"/>
      <c r="I67" s="215"/>
    </row>
    <row r="68" spans="1:9">
      <c r="A68" s="574" t="s">
        <v>1171</v>
      </c>
      <c r="B68" s="454"/>
      <c r="C68" s="454"/>
      <c r="D68" s="454"/>
      <c r="E68" s="454"/>
      <c r="F68" s="454"/>
      <c r="G68" s="450"/>
      <c r="H68" s="215"/>
      <c r="I68" s="215"/>
    </row>
    <row r="69" spans="1:9">
      <c r="A69" s="577"/>
      <c r="B69" s="577" t="s">
        <v>1155</v>
      </c>
      <c r="C69" s="576" t="s">
        <v>1297</v>
      </c>
      <c r="D69" s="454"/>
      <c r="E69" s="450"/>
      <c r="F69" s="576"/>
      <c r="G69" s="450"/>
      <c r="H69" s="215"/>
      <c r="I69" s="215"/>
    </row>
    <row r="70" spans="1:9">
      <c r="A70" s="457"/>
      <c r="B70" s="457"/>
      <c r="C70" s="219" t="s">
        <v>46</v>
      </c>
      <c r="D70" s="219">
        <v>1</v>
      </c>
      <c r="E70" s="219">
        <v>2400</v>
      </c>
      <c r="F70" s="219">
        <f>D70*E70</f>
        <v>2400</v>
      </c>
      <c r="G70" s="219" t="s">
        <v>808</v>
      </c>
      <c r="H70" s="215"/>
      <c r="I70" s="215"/>
    </row>
    <row r="71" spans="1:9">
      <c r="A71" s="577"/>
      <c r="B71" s="577" t="s">
        <v>1178</v>
      </c>
      <c r="C71" s="576" t="s">
        <v>1179</v>
      </c>
      <c r="D71" s="454"/>
      <c r="E71" s="450"/>
      <c r="F71" s="576"/>
      <c r="G71" s="450"/>
      <c r="H71" s="215"/>
      <c r="I71" s="215"/>
    </row>
    <row r="72" spans="1:9">
      <c r="A72" s="457"/>
      <c r="B72" s="457"/>
      <c r="C72" s="219" t="s">
        <v>26</v>
      </c>
      <c r="D72" s="219">
        <v>0.01</v>
      </c>
      <c r="E72" s="219">
        <v>675</v>
      </c>
      <c r="F72" s="219">
        <f>D72*E72</f>
        <v>6.75</v>
      </c>
      <c r="G72" s="219" t="s">
        <v>825</v>
      </c>
      <c r="H72" s="215"/>
      <c r="I72" s="215"/>
    </row>
    <row r="73" spans="1:9">
      <c r="A73" s="577" t="s">
        <v>1181</v>
      </c>
      <c r="B73" s="577"/>
      <c r="C73" s="575" t="s">
        <v>1182</v>
      </c>
      <c r="D73" s="454"/>
      <c r="E73" s="450"/>
      <c r="F73" s="576"/>
      <c r="G73" s="450"/>
      <c r="H73" s="215"/>
      <c r="I73" s="215"/>
    </row>
    <row r="74" spans="1:9">
      <c r="A74" s="457"/>
      <c r="B74" s="457"/>
      <c r="C74" s="219" t="s">
        <v>891</v>
      </c>
      <c r="D74" s="221"/>
      <c r="E74" s="221"/>
      <c r="F74" s="219">
        <f>(F70+F72)*0.5%</f>
        <v>12.03375</v>
      </c>
      <c r="G74" s="219" t="s">
        <v>1184</v>
      </c>
      <c r="H74" s="215"/>
      <c r="I74" s="215"/>
    </row>
    <row r="75" spans="1:9">
      <c r="A75" s="574" t="s">
        <v>30</v>
      </c>
      <c r="B75" s="454"/>
      <c r="C75" s="450"/>
      <c r="D75" s="222">
        <v>1</v>
      </c>
      <c r="E75" s="222" t="s">
        <v>46</v>
      </c>
      <c r="F75" s="222">
        <f>F70+F72+F74</f>
        <v>2418.7837500000001</v>
      </c>
      <c r="G75" s="217"/>
      <c r="H75" s="215"/>
      <c r="I75" s="215"/>
    </row>
    <row r="76" spans="1:9">
      <c r="A76" s="574" t="s">
        <v>826</v>
      </c>
      <c r="B76" s="454"/>
      <c r="C76" s="450"/>
      <c r="D76" s="222">
        <v>1</v>
      </c>
      <c r="E76" s="222" t="s">
        <v>46</v>
      </c>
      <c r="F76" s="222">
        <f>F75/D75</f>
        <v>2418.7837500000001</v>
      </c>
      <c r="G76" s="217"/>
      <c r="H76" s="215"/>
      <c r="I76" s="215"/>
    </row>
    <row r="77" spans="1:9">
      <c r="A77" s="574" t="s">
        <v>1187</v>
      </c>
      <c r="B77" s="454"/>
      <c r="C77" s="454"/>
      <c r="D77" s="450"/>
      <c r="E77" s="224">
        <f>F70*100.5%/D75</f>
        <v>2411.9999999999995</v>
      </c>
      <c r="F77" s="222">
        <f>E77*1%</f>
        <v>24.119999999999997</v>
      </c>
      <c r="G77" s="217"/>
      <c r="H77" s="215"/>
      <c r="I77" s="215"/>
    </row>
    <row r="78" spans="1:9">
      <c r="A78" s="574" t="s">
        <v>30</v>
      </c>
      <c r="B78" s="454"/>
      <c r="C78" s="454"/>
      <c r="D78" s="450"/>
      <c r="E78" s="217"/>
      <c r="F78" s="222">
        <f>F76+F77</f>
        <v>2442.9037499999999</v>
      </c>
      <c r="G78" s="217"/>
      <c r="H78" s="215"/>
      <c r="I78" s="215"/>
    </row>
    <row r="79" spans="1:9">
      <c r="A79" s="574" t="s">
        <v>836</v>
      </c>
      <c r="B79" s="454"/>
      <c r="C79" s="454"/>
      <c r="D79" s="450"/>
      <c r="E79" s="222">
        <f>F78</f>
        <v>2442.9037499999999</v>
      </c>
      <c r="F79" s="222">
        <f>E79*15%</f>
        <v>366.4355625</v>
      </c>
      <c r="G79" s="217"/>
      <c r="H79" s="215"/>
      <c r="I79" s="215"/>
    </row>
    <row r="80" spans="1:9">
      <c r="A80" s="578" t="s">
        <v>30</v>
      </c>
      <c r="B80" s="454"/>
      <c r="C80" s="454"/>
      <c r="D80" s="450"/>
      <c r="E80" s="225"/>
      <c r="F80" s="226">
        <f>ROUND(F78+F79,2)</f>
        <v>2809.34</v>
      </c>
      <c r="G80" s="217"/>
      <c r="H80" s="215"/>
      <c r="I80" s="215"/>
    </row>
    <row r="81" spans="1:9">
      <c r="A81" s="577">
        <v>2852</v>
      </c>
      <c r="B81" s="577"/>
      <c r="C81" s="576" t="s">
        <v>1203</v>
      </c>
      <c r="D81" s="454"/>
      <c r="E81" s="450"/>
      <c r="F81" s="576"/>
      <c r="G81" s="450"/>
      <c r="H81" s="215"/>
      <c r="I81" s="215"/>
    </row>
    <row r="82" spans="1:9">
      <c r="A82" s="457"/>
      <c r="B82" s="457"/>
      <c r="C82" s="219" t="s">
        <v>46</v>
      </c>
      <c r="D82" s="219">
        <v>4</v>
      </c>
      <c r="E82" s="219">
        <v>1.8</v>
      </c>
      <c r="F82" s="219">
        <f>D82*E82</f>
        <v>7.2</v>
      </c>
      <c r="G82" s="219" t="s">
        <v>1207</v>
      </c>
      <c r="H82" s="215"/>
      <c r="I82" s="215"/>
    </row>
    <row r="83" spans="1:9">
      <c r="A83" s="577">
        <v>1005</v>
      </c>
      <c r="B83" s="577"/>
      <c r="C83" s="576" t="s">
        <v>1208</v>
      </c>
      <c r="D83" s="454"/>
      <c r="E83" s="450"/>
      <c r="F83" s="576"/>
      <c r="G83" s="450"/>
      <c r="H83" s="215"/>
      <c r="I83" s="215"/>
    </row>
    <row r="84" spans="1:9">
      <c r="A84" s="457"/>
      <c r="B84" s="457"/>
      <c r="C84" s="219" t="s">
        <v>26</v>
      </c>
      <c r="D84" s="219">
        <v>0.01</v>
      </c>
      <c r="E84" s="219">
        <v>734</v>
      </c>
      <c r="F84" s="219">
        <f>D84*E84</f>
        <v>7.34</v>
      </c>
      <c r="G84" s="219" t="s">
        <v>822</v>
      </c>
      <c r="H84" s="215"/>
      <c r="I84" s="215"/>
    </row>
    <row r="85" spans="1:9">
      <c r="A85" s="577" t="s">
        <v>1181</v>
      </c>
      <c r="B85" s="577"/>
      <c r="C85" s="575" t="s">
        <v>1216</v>
      </c>
      <c r="D85" s="454"/>
      <c r="E85" s="450"/>
      <c r="F85" s="576"/>
      <c r="G85" s="450"/>
      <c r="H85" s="215"/>
      <c r="I85" s="215"/>
    </row>
    <row r="86" spans="1:9">
      <c r="A86" s="457"/>
      <c r="B86" s="457"/>
      <c r="C86" s="219" t="s">
        <v>891</v>
      </c>
      <c r="D86" s="221"/>
      <c r="E86" s="221"/>
      <c r="F86" s="219">
        <f>(F82+F84)*0.5%</f>
        <v>7.2700000000000001E-2</v>
      </c>
      <c r="G86" s="219" t="s">
        <v>1218</v>
      </c>
      <c r="H86" s="215"/>
      <c r="I86" s="215"/>
    </row>
    <row r="87" spans="1:9">
      <c r="A87" s="574" t="s">
        <v>30</v>
      </c>
      <c r="B87" s="454"/>
      <c r="C87" s="450"/>
      <c r="D87" s="222">
        <v>1</v>
      </c>
      <c r="E87" s="222" t="s">
        <v>46</v>
      </c>
      <c r="F87" s="222">
        <f>F82+F84+F86</f>
        <v>14.612699999999998</v>
      </c>
      <c r="G87" s="225"/>
      <c r="H87" s="215"/>
      <c r="I87" s="215"/>
    </row>
    <row r="88" spans="1:9">
      <c r="A88" s="574" t="s">
        <v>826</v>
      </c>
      <c r="B88" s="454"/>
      <c r="C88" s="450"/>
      <c r="D88" s="222">
        <v>1</v>
      </c>
      <c r="E88" s="222" t="s">
        <v>46</v>
      </c>
      <c r="F88" s="222">
        <f>F87/D87</f>
        <v>14.612699999999998</v>
      </c>
      <c r="G88" s="225"/>
      <c r="H88" s="215"/>
      <c r="I88" s="215"/>
    </row>
    <row r="89" spans="1:9">
      <c r="A89" s="574" t="s">
        <v>1187</v>
      </c>
      <c r="B89" s="454"/>
      <c r="C89" s="454"/>
      <c r="D89" s="450"/>
      <c r="E89" s="224">
        <f>F82*100.5%/D87</f>
        <v>7.2359999999999998</v>
      </c>
      <c r="F89" s="222">
        <f>E89*1%</f>
        <v>7.2359999999999994E-2</v>
      </c>
      <c r="G89" s="225"/>
      <c r="H89" s="215"/>
      <c r="I89" s="215"/>
    </row>
    <row r="90" spans="1:9">
      <c r="A90" s="574" t="s">
        <v>30</v>
      </c>
      <c r="B90" s="454"/>
      <c r="C90" s="454"/>
      <c r="D90" s="450"/>
      <c r="E90" s="217"/>
      <c r="F90" s="222">
        <f>F88+F89</f>
        <v>14.685059999999998</v>
      </c>
      <c r="G90" s="225"/>
      <c r="H90" s="215"/>
      <c r="I90" s="215"/>
    </row>
    <row r="91" spans="1:9">
      <c r="A91" s="574" t="s">
        <v>836</v>
      </c>
      <c r="B91" s="454"/>
      <c r="C91" s="454"/>
      <c r="D91" s="450"/>
      <c r="E91" s="222">
        <f>F90</f>
        <v>14.685059999999998</v>
      </c>
      <c r="F91" s="222">
        <f>E91*15%</f>
        <v>2.2027589999999995</v>
      </c>
      <c r="G91" s="225"/>
      <c r="H91" s="215"/>
      <c r="I91" s="215"/>
    </row>
    <row r="92" spans="1:9">
      <c r="A92" s="578" t="s">
        <v>30</v>
      </c>
      <c r="B92" s="454"/>
      <c r="C92" s="454"/>
      <c r="D92" s="450"/>
      <c r="E92" s="225"/>
      <c r="F92" s="226">
        <f>ROUND(F90+F91,2)</f>
        <v>16.89</v>
      </c>
      <c r="G92" s="217"/>
      <c r="H92" s="215"/>
      <c r="I92" s="215"/>
    </row>
    <row r="93" spans="1:9">
      <c r="A93" s="579" t="str">
        <f>CONCATENATE("Say ₹ ",F80," + ",F92," x Cost Index")</f>
        <v>Say ₹ 2809.34 + 16.89 x Cost Index</v>
      </c>
      <c r="B93" s="454"/>
      <c r="C93" s="454"/>
      <c r="D93" s="454"/>
      <c r="E93" s="454"/>
      <c r="F93" s="450"/>
      <c r="G93" s="228" t="s">
        <v>1007</v>
      </c>
      <c r="H93" s="229">
        <f>((F70*1.005*1.01)+(F72*1.005))*1.15</f>
        <v>2809.3393124999993</v>
      </c>
      <c r="I93" s="229">
        <f>((F82*1.005*1.01)+(F84*1.005))*1.15</f>
        <v>16.887818999999997</v>
      </c>
    </row>
    <row r="94" spans="1:9">
      <c r="A94" s="571" t="s">
        <v>771</v>
      </c>
      <c r="B94" s="571" t="s">
        <v>776</v>
      </c>
      <c r="C94" s="572" t="s">
        <v>4</v>
      </c>
      <c r="D94" s="454"/>
      <c r="E94" s="450"/>
      <c r="F94" s="572" t="s">
        <v>785</v>
      </c>
      <c r="G94" s="450"/>
      <c r="H94" s="215"/>
      <c r="I94" s="215"/>
    </row>
    <row r="95" spans="1:9">
      <c r="A95" s="457"/>
      <c r="B95" s="457"/>
      <c r="C95" s="216" t="s">
        <v>5</v>
      </c>
      <c r="D95" s="216" t="s">
        <v>6</v>
      </c>
      <c r="E95" s="216" t="s">
        <v>336</v>
      </c>
      <c r="F95" s="216" t="s">
        <v>8</v>
      </c>
      <c r="G95" s="216" t="s">
        <v>789</v>
      </c>
      <c r="H95" s="215"/>
      <c r="I95" s="215"/>
    </row>
    <row r="96" spans="1:9">
      <c r="A96" s="573" t="s">
        <v>1324</v>
      </c>
      <c r="B96" s="454"/>
      <c r="C96" s="454"/>
      <c r="D96" s="454"/>
      <c r="E96" s="454"/>
      <c r="F96" s="454"/>
      <c r="G96" s="450"/>
      <c r="H96" s="215"/>
      <c r="I96" s="215"/>
    </row>
    <row r="97" spans="1:9">
      <c r="A97" s="217"/>
      <c r="B97" s="217" t="s">
        <v>795</v>
      </c>
      <c r="C97" s="217" t="s">
        <v>46</v>
      </c>
      <c r="D97" s="217" t="s">
        <v>798</v>
      </c>
      <c r="E97" s="217">
        <v>1</v>
      </c>
      <c r="F97" s="217"/>
      <c r="G97" s="217"/>
      <c r="H97" s="215"/>
      <c r="I97" s="215"/>
    </row>
    <row r="98" spans="1:9">
      <c r="A98" s="217" t="s">
        <v>800</v>
      </c>
      <c r="B98" s="574" t="s">
        <v>1168</v>
      </c>
      <c r="C98" s="454"/>
      <c r="D98" s="454"/>
      <c r="E98" s="454"/>
      <c r="F98" s="454"/>
      <c r="G98" s="450"/>
      <c r="H98" s="215"/>
      <c r="I98" s="215"/>
    </row>
    <row r="99" spans="1:9">
      <c r="A99" s="574" t="s">
        <v>1171</v>
      </c>
      <c r="B99" s="454"/>
      <c r="C99" s="454"/>
      <c r="D99" s="454"/>
      <c r="E99" s="454"/>
      <c r="F99" s="454"/>
      <c r="G99" s="450"/>
      <c r="H99" s="215"/>
      <c r="I99" s="215"/>
    </row>
    <row r="100" spans="1:9">
      <c r="A100" s="577"/>
      <c r="B100" s="577" t="s">
        <v>1155</v>
      </c>
      <c r="C100" s="576" t="s">
        <v>1326</v>
      </c>
      <c r="D100" s="454"/>
      <c r="E100" s="450"/>
      <c r="F100" s="576"/>
      <c r="G100" s="450"/>
      <c r="H100" s="215"/>
      <c r="I100" s="215"/>
    </row>
    <row r="101" spans="1:9">
      <c r="A101" s="457"/>
      <c r="B101" s="457"/>
      <c r="C101" s="219" t="s">
        <v>46</v>
      </c>
      <c r="D101" s="219">
        <v>1</v>
      </c>
      <c r="E101" s="219">
        <v>3094.49</v>
      </c>
      <c r="F101" s="219">
        <f>D101*E101</f>
        <v>3094.49</v>
      </c>
      <c r="G101" s="219" t="s">
        <v>808</v>
      </c>
      <c r="H101" s="215"/>
      <c r="I101" s="215"/>
    </row>
    <row r="102" spans="1:9">
      <c r="A102" s="577"/>
      <c r="B102" s="577" t="s">
        <v>1178</v>
      </c>
      <c r="C102" s="576" t="s">
        <v>1179</v>
      </c>
      <c r="D102" s="454"/>
      <c r="E102" s="450"/>
      <c r="F102" s="576"/>
      <c r="G102" s="450"/>
      <c r="H102" s="215"/>
      <c r="I102" s="215"/>
    </row>
    <row r="103" spans="1:9">
      <c r="A103" s="457"/>
      <c r="B103" s="457"/>
      <c r="C103" s="219" t="s">
        <v>26</v>
      </c>
      <c r="D103" s="219">
        <v>0.01</v>
      </c>
      <c r="E103" s="219">
        <v>675</v>
      </c>
      <c r="F103" s="219">
        <f>D103*E103</f>
        <v>6.75</v>
      </c>
      <c r="G103" s="219" t="s">
        <v>825</v>
      </c>
      <c r="H103" s="215"/>
      <c r="I103" s="215"/>
    </row>
    <row r="104" spans="1:9">
      <c r="A104" s="577" t="s">
        <v>1181</v>
      </c>
      <c r="B104" s="577"/>
      <c r="C104" s="575" t="s">
        <v>1182</v>
      </c>
      <c r="D104" s="454"/>
      <c r="E104" s="450"/>
      <c r="F104" s="576"/>
      <c r="G104" s="450"/>
      <c r="H104" s="215"/>
      <c r="I104" s="215"/>
    </row>
    <row r="105" spans="1:9">
      <c r="A105" s="457"/>
      <c r="B105" s="457"/>
      <c r="C105" s="219" t="s">
        <v>891</v>
      </c>
      <c r="D105" s="221"/>
      <c r="E105" s="221"/>
      <c r="F105" s="219">
        <f>(F101+F103)*0.5%</f>
        <v>15.5062</v>
      </c>
      <c r="G105" s="219" t="s">
        <v>1184</v>
      </c>
      <c r="H105" s="215"/>
      <c r="I105" s="215"/>
    </row>
    <row r="106" spans="1:9">
      <c r="A106" s="574" t="s">
        <v>30</v>
      </c>
      <c r="B106" s="454"/>
      <c r="C106" s="450"/>
      <c r="D106" s="222">
        <v>1</v>
      </c>
      <c r="E106" s="222" t="s">
        <v>46</v>
      </c>
      <c r="F106" s="222">
        <f>F101+F103+F105</f>
        <v>3116.7461999999996</v>
      </c>
      <c r="G106" s="217"/>
      <c r="H106" s="215"/>
      <c r="I106" s="215"/>
    </row>
    <row r="107" spans="1:9">
      <c r="A107" s="574" t="s">
        <v>826</v>
      </c>
      <c r="B107" s="454"/>
      <c r="C107" s="450"/>
      <c r="D107" s="222">
        <v>1</v>
      </c>
      <c r="E107" s="222" t="s">
        <v>46</v>
      </c>
      <c r="F107" s="222">
        <f>F106/D106</f>
        <v>3116.7461999999996</v>
      </c>
      <c r="G107" s="217"/>
      <c r="H107" s="215"/>
      <c r="I107" s="215"/>
    </row>
    <row r="108" spans="1:9">
      <c r="A108" s="574" t="s">
        <v>1187</v>
      </c>
      <c r="B108" s="454"/>
      <c r="C108" s="454"/>
      <c r="D108" s="450"/>
      <c r="E108" s="224">
        <f>F101*100.5%/D106</f>
        <v>3109.9624499999995</v>
      </c>
      <c r="F108" s="222">
        <f>E108*1%</f>
        <v>31.099624499999997</v>
      </c>
      <c r="G108" s="217"/>
      <c r="H108" s="215"/>
      <c r="I108" s="215"/>
    </row>
    <row r="109" spans="1:9">
      <c r="A109" s="574" t="s">
        <v>30</v>
      </c>
      <c r="B109" s="454"/>
      <c r="C109" s="454"/>
      <c r="D109" s="450"/>
      <c r="E109" s="217"/>
      <c r="F109" s="222">
        <f>F107+F108</f>
        <v>3147.8458244999997</v>
      </c>
      <c r="G109" s="217"/>
      <c r="H109" s="215"/>
      <c r="I109" s="215"/>
    </row>
    <row r="110" spans="1:9">
      <c r="A110" s="574" t="s">
        <v>836</v>
      </c>
      <c r="B110" s="454"/>
      <c r="C110" s="454"/>
      <c r="D110" s="450"/>
      <c r="E110" s="222">
        <f>F109</f>
        <v>3147.8458244999997</v>
      </c>
      <c r="F110" s="222">
        <f>E110*15%</f>
        <v>472.17687367499991</v>
      </c>
      <c r="G110" s="217"/>
      <c r="H110" s="215"/>
      <c r="I110" s="215"/>
    </row>
    <row r="111" spans="1:9">
      <c r="A111" s="578" t="s">
        <v>30</v>
      </c>
      <c r="B111" s="454"/>
      <c r="C111" s="454"/>
      <c r="D111" s="450"/>
      <c r="E111" s="225"/>
      <c r="F111" s="226">
        <f>ROUND(F109+F110,2)</f>
        <v>3620.02</v>
      </c>
      <c r="G111" s="217"/>
      <c r="H111" s="215"/>
      <c r="I111" s="215"/>
    </row>
    <row r="112" spans="1:9">
      <c r="A112" s="577">
        <v>2852</v>
      </c>
      <c r="B112" s="577"/>
      <c r="C112" s="576" t="s">
        <v>1203</v>
      </c>
      <c r="D112" s="454"/>
      <c r="E112" s="450"/>
      <c r="F112" s="576"/>
      <c r="G112" s="450"/>
      <c r="H112" s="215"/>
      <c r="I112" s="215"/>
    </row>
    <row r="113" spans="1:9">
      <c r="A113" s="457"/>
      <c r="B113" s="457"/>
      <c r="C113" s="219" t="s">
        <v>46</v>
      </c>
      <c r="D113" s="219">
        <v>4</v>
      </c>
      <c r="E113" s="219">
        <v>1.8</v>
      </c>
      <c r="F113" s="219">
        <f>D113*E113</f>
        <v>7.2</v>
      </c>
      <c r="G113" s="219" t="s">
        <v>1207</v>
      </c>
      <c r="H113" s="215"/>
      <c r="I113" s="215"/>
    </row>
    <row r="114" spans="1:9">
      <c r="A114" s="577">
        <v>1005</v>
      </c>
      <c r="B114" s="577"/>
      <c r="C114" s="576" t="s">
        <v>1208</v>
      </c>
      <c r="D114" s="454"/>
      <c r="E114" s="450"/>
      <c r="F114" s="576"/>
      <c r="G114" s="450"/>
      <c r="H114" s="215"/>
      <c r="I114" s="215"/>
    </row>
    <row r="115" spans="1:9">
      <c r="A115" s="457"/>
      <c r="B115" s="457"/>
      <c r="C115" s="219" t="s">
        <v>26</v>
      </c>
      <c r="D115" s="219">
        <v>0.01</v>
      </c>
      <c r="E115" s="219">
        <v>734</v>
      </c>
      <c r="F115" s="219">
        <f>D115*E115</f>
        <v>7.34</v>
      </c>
      <c r="G115" s="219" t="s">
        <v>822</v>
      </c>
      <c r="H115" s="215"/>
      <c r="I115" s="215"/>
    </row>
    <row r="116" spans="1:9">
      <c r="A116" s="577" t="s">
        <v>1181</v>
      </c>
      <c r="B116" s="577"/>
      <c r="C116" s="575" t="s">
        <v>1216</v>
      </c>
      <c r="D116" s="454"/>
      <c r="E116" s="450"/>
      <c r="F116" s="576"/>
      <c r="G116" s="450"/>
      <c r="H116" s="215"/>
      <c r="I116" s="215"/>
    </row>
    <row r="117" spans="1:9">
      <c r="A117" s="457"/>
      <c r="B117" s="457"/>
      <c r="C117" s="219" t="s">
        <v>891</v>
      </c>
      <c r="D117" s="221"/>
      <c r="E117" s="221"/>
      <c r="F117" s="219">
        <f>(F113+F115)*0.5%</f>
        <v>7.2700000000000001E-2</v>
      </c>
      <c r="G117" s="219" t="s">
        <v>1218</v>
      </c>
      <c r="H117" s="215"/>
      <c r="I117" s="215"/>
    </row>
    <row r="118" spans="1:9">
      <c r="A118" s="574" t="s">
        <v>30</v>
      </c>
      <c r="B118" s="454"/>
      <c r="C118" s="450"/>
      <c r="D118" s="222">
        <v>1</v>
      </c>
      <c r="E118" s="222" t="s">
        <v>46</v>
      </c>
      <c r="F118" s="222">
        <f>F113+F115+F117</f>
        <v>14.612699999999998</v>
      </c>
      <c r="G118" s="225"/>
      <c r="H118" s="215"/>
      <c r="I118" s="215"/>
    </row>
    <row r="119" spans="1:9">
      <c r="A119" s="574" t="s">
        <v>826</v>
      </c>
      <c r="B119" s="454"/>
      <c r="C119" s="450"/>
      <c r="D119" s="222">
        <v>1</v>
      </c>
      <c r="E119" s="222" t="s">
        <v>46</v>
      </c>
      <c r="F119" s="222">
        <f>F118/D118</f>
        <v>14.612699999999998</v>
      </c>
      <c r="G119" s="225"/>
      <c r="H119" s="215"/>
      <c r="I119" s="215"/>
    </row>
    <row r="120" spans="1:9">
      <c r="A120" s="574" t="s">
        <v>1187</v>
      </c>
      <c r="B120" s="454"/>
      <c r="C120" s="454"/>
      <c r="D120" s="450"/>
      <c r="E120" s="224">
        <f>F113*100.5%/D118</f>
        <v>7.2359999999999998</v>
      </c>
      <c r="F120" s="222">
        <f>E120*1%</f>
        <v>7.2359999999999994E-2</v>
      </c>
      <c r="G120" s="225"/>
      <c r="H120" s="215"/>
      <c r="I120" s="215"/>
    </row>
    <row r="121" spans="1:9">
      <c r="A121" s="574" t="s">
        <v>30</v>
      </c>
      <c r="B121" s="454"/>
      <c r="C121" s="454"/>
      <c r="D121" s="450"/>
      <c r="E121" s="217"/>
      <c r="F121" s="222">
        <f>F119+F120</f>
        <v>14.685059999999998</v>
      </c>
      <c r="G121" s="225"/>
      <c r="H121" s="215"/>
      <c r="I121" s="215"/>
    </row>
    <row r="122" spans="1:9">
      <c r="A122" s="574" t="s">
        <v>836</v>
      </c>
      <c r="B122" s="454"/>
      <c r="C122" s="454"/>
      <c r="D122" s="450"/>
      <c r="E122" s="222">
        <f>F121</f>
        <v>14.685059999999998</v>
      </c>
      <c r="F122" s="222">
        <f>E122*15%</f>
        <v>2.2027589999999995</v>
      </c>
      <c r="G122" s="225"/>
      <c r="H122" s="215"/>
      <c r="I122" s="215"/>
    </row>
    <row r="123" spans="1:9">
      <c r="A123" s="578" t="s">
        <v>30</v>
      </c>
      <c r="B123" s="454"/>
      <c r="C123" s="454"/>
      <c r="D123" s="450"/>
      <c r="E123" s="225"/>
      <c r="F123" s="226">
        <f>ROUND(F121+F122,2)</f>
        <v>16.89</v>
      </c>
      <c r="G123" s="217"/>
      <c r="H123" s="215"/>
      <c r="I123" s="215"/>
    </row>
    <row r="124" spans="1:9">
      <c r="A124" s="579" t="str">
        <f>CONCATENATE("Say ₹ ",F111," + ",F123," x Cost Index")</f>
        <v>Say ₹ 3620.02 + 16.89 x Cost Index</v>
      </c>
      <c r="B124" s="454"/>
      <c r="C124" s="454"/>
      <c r="D124" s="454"/>
      <c r="E124" s="454"/>
      <c r="F124" s="450"/>
      <c r="G124" s="228" t="s">
        <v>1007</v>
      </c>
      <c r="H124" s="229">
        <f>((F101*1.005*1.01)+(F103*1.005))*1.15</f>
        <v>3620.0226981749993</v>
      </c>
      <c r="I124" s="229">
        <f>((F113*1.005*1.01)+(F115*1.005))*1.15</f>
        <v>16.887818999999997</v>
      </c>
    </row>
    <row r="125" spans="1:9">
      <c r="A125" s="571" t="s">
        <v>771</v>
      </c>
      <c r="B125" s="571" t="s">
        <v>776</v>
      </c>
      <c r="C125" s="572" t="s">
        <v>4</v>
      </c>
      <c r="D125" s="454"/>
      <c r="E125" s="450"/>
      <c r="F125" s="572" t="s">
        <v>785</v>
      </c>
      <c r="G125" s="450"/>
      <c r="H125" s="215"/>
      <c r="I125" s="215"/>
    </row>
    <row r="126" spans="1:9">
      <c r="A126" s="457"/>
      <c r="B126" s="457"/>
      <c r="C126" s="216" t="s">
        <v>5</v>
      </c>
      <c r="D126" s="216" t="s">
        <v>6</v>
      </c>
      <c r="E126" s="216" t="s">
        <v>336</v>
      </c>
      <c r="F126" s="216" t="s">
        <v>8</v>
      </c>
      <c r="G126" s="216" t="s">
        <v>789</v>
      </c>
      <c r="H126" s="215"/>
      <c r="I126" s="215"/>
    </row>
    <row r="127" spans="1:9">
      <c r="A127" s="573" t="s">
        <v>1350</v>
      </c>
      <c r="B127" s="454"/>
      <c r="C127" s="454"/>
      <c r="D127" s="454"/>
      <c r="E127" s="454"/>
      <c r="F127" s="454"/>
      <c r="G127" s="450"/>
      <c r="H127" s="215"/>
      <c r="I127" s="215"/>
    </row>
    <row r="128" spans="1:9">
      <c r="A128" s="217"/>
      <c r="B128" s="217" t="s">
        <v>795</v>
      </c>
      <c r="C128" s="217" t="s">
        <v>46</v>
      </c>
      <c r="D128" s="217" t="s">
        <v>798</v>
      </c>
      <c r="E128" s="217">
        <v>1</v>
      </c>
      <c r="F128" s="217"/>
      <c r="G128" s="217"/>
      <c r="H128" s="215"/>
      <c r="I128" s="215"/>
    </row>
    <row r="129" spans="1:9">
      <c r="A129" s="217" t="s">
        <v>800</v>
      </c>
      <c r="B129" s="574" t="s">
        <v>1168</v>
      </c>
      <c r="C129" s="454"/>
      <c r="D129" s="454"/>
      <c r="E129" s="454"/>
      <c r="F129" s="454"/>
      <c r="G129" s="450"/>
      <c r="H129" s="215"/>
      <c r="I129" s="215"/>
    </row>
    <row r="130" spans="1:9">
      <c r="A130" s="574" t="s">
        <v>1171</v>
      </c>
      <c r="B130" s="454"/>
      <c r="C130" s="454"/>
      <c r="D130" s="454"/>
      <c r="E130" s="454"/>
      <c r="F130" s="454"/>
      <c r="G130" s="450"/>
      <c r="H130" s="215"/>
      <c r="I130" s="215"/>
    </row>
    <row r="131" spans="1:9">
      <c r="A131" s="577"/>
      <c r="B131" s="577" t="s">
        <v>1155</v>
      </c>
      <c r="C131" s="576" t="s">
        <v>1353</v>
      </c>
      <c r="D131" s="454"/>
      <c r="E131" s="450"/>
      <c r="F131" s="576"/>
      <c r="G131" s="450"/>
      <c r="H131" s="215"/>
      <c r="I131" s="215"/>
    </row>
    <row r="132" spans="1:9">
      <c r="A132" s="457"/>
      <c r="B132" s="457"/>
      <c r="C132" s="219" t="s">
        <v>46</v>
      </c>
      <c r="D132" s="219">
        <v>1</v>
      </c>
      <c r="E132" s="219">
        <v>3779.67</v>
      </c>
      <c r="F132" s="219">
        <f>D132*E132</f>
        <v>3779.67</v>
      </c>
      <c r="G132" s="219" t="s">
        <v>808</v>
      </c>
      <c r="H132" s="215"/>
      <c r="I132" s="215"/>
    </row>
    <row r="133" spans="1:9">
      <c r="A133" s="577"/>
      <c r="B133" s="577" t="s">
        <v>1178</v>
      </c>
      <c r="C133" s="576" t="s">
        <v>1179</v>
      </c>
      <c r="D133" s="454"/>
      <c r="E133" s="450"/>
      <c r="F133" s="576"/>
      <c r="G133" s="450"/>
      <c r="H133" s="215"/>
      <c r="I133" s="215"/>
    </row>
    <row r="134" spans="1:9">
      <c r="A134" s="457"/>
      <c r="B134" s="457"/>
      <c r="C134" s="219" t="s">
        <v>26</v>
      </c>
      <c r="D134" s="219">
        <v>0.01</v>
      </c>
      <c r="E134" s="219">
        <v>675</v>
      </c>
      <c r="F134" s="219">
        <f>D134*E134</f>
        <v>6.75</v>
      </c>
      <c r="G134" s="219" t="s">
        <v>825</v>
      </c>
      <c r="H134" s="215"/>
      <c r="I134" s="215"/>
    </row>
    <row r="135" spans="1:9">
      <c r="A135" s="577" t="s">
        <v>1181</v>
      </c>
      <c r="B135" s="577"/>
      <c r="C135" s="575" t="s">
        <v>1182</v>
      </c>
      <c r="D135" s="454"/>
      <c r="E135" s="450"/>
      <c r="F135" s="576"/>
      <c r="G135" s="450"/>
      <c r="H135" s="215"/>
      <c r="I135" s="215"/>
    </row>
    <row r="136" spans="1:9">
      <c r="A136" s="457"/>
      <c r="B136" s="457"/>
      <c r="C136" s="219" t="s">
        <v>891</v>
      </c>
      <c r="D136" s="221"/>
      <c r="E136" s="221"/>
      <c r="F136" s="219">
        <f>(F132+F134)*0.5%</f>
        <v>18.932100000000002</v>
      </c>
      <c r="G136" s="219" t="s">
        <v>1184</v>
      </c>
      <c r="H136" s="215"/>
      <c r="I136" s="215"/>
    </row>
    <row r="137" spans="1:9">
      <c r="A137" s="574" t="s">
        <v>30</v>
      </c>
      <c r="B137" s="454"/>
      <c r="C137" s="450"/>
      <c r="D137" s="222">
        <v>1</v>
      </c>
      <c r="E137" s="222" t="s">
        <v>46</v>
      </c>
      <c r="F137" s="222">
        <f>F132+F134+F136</f>
        <v>3805.3521000000001</v>
      </c>
      <c r="G137" s="217"/>
      <c r="H137" s="215"/>
      <c r="I137" s="215"/>
    </row>
    <row r="138" spans="1:9">
      <c r="A138" s="574" t="s">
        <v>826</v>
      </c>
      <c r="B138" s="454"/>
      <c r="C138" s="450"/>
      <c r="D138" s="222">
        <v>1</v>
      </c>
      <c r="E138" s="222" t="s">
        <v>46</v>
      </c>
      <c r="F138" s="222">
        <f>F137/D137</f>
        <v>3805.3521000000001</v>
      </c>
      <c r="G138" s="217"/>
      <c r="H138" s="215"/>
      <c r="I138" s="215"/>
    </row>
    <row r="139" spans="1:9">
      <c r="A139" s="574" t="s">
        <v>1187</v>
      </c>
      <c r="B139" s="454"/>
      <c r="C139" s="454"/>
      <c r="D139" s="450"/>
      <c r="E139" s="224">
        <f>F132*100.5%/D137</f>
        <v>3798.5683499999996</v>
      </c>
      <c r="F139" s="222">
        <f>E139*1%</f>
        <v>37.985683499999993</v>
      </c>
      <c r="G139" s="217"/>
      <c r="H139" s="215"/>
      <c r="I139" s="215"/>
    </row>
    <row r="140" spans="1:9">
      <c r="A140" s="574" t="s">
        <v>30</v>
      </c>
      <c r="B140" s="454"/>
      <c r="C140" s="454"/>
      <c r="D140" s="450"/>
      <c r="E140" s="217"/>
      <c r="F140" s="222">
        <f>F138+F139</f>
        <v>3843.3377835000001</v>
      </c>
      <c r="G140" s="217"/>
      <c r="H140" s="215"/>
      <c r="I140" s="215"/>
    </row>
    <row r="141" spans="1:9">
      <c r="A141" s="574" t="s">
        <v>836</v>
      </c>
      <c r="B141" s="454"/>
      <c r="C141" s="454"/>
      <c r="D141" s="450"/>
      <c r="E141" s="222">
        <f>F140</f>
        <v>3843.3377835000001</v>
      </c>
      <c r="F141" s="222">
        <f>E141*15%</f>
        <v>576.50066752500004</v>
      </c>
      <c r="G141" s="217"/>
      <c r="H141" s="215"/>
      <c r="I141" s="215"/>
    </row>
    <row r="142" spans="1:9">
      <c r="A142" s="578" t="s">
        <v>30</v>
      </c>
      <c r="B142" s="454"/>
      <c r="C142" s="454"/>
      <c r="D142" s="450"/>
      <c r="E142" s="225"/>
      <c r="F142" s="226">
        <f>ROUND(F140+F141,2)</f>
        <v>4419.84</v>
      </c>
      <c r="G142" s="217"/>
      <c r="H142" s="215"/>
      <c r="I142" s="215"/>
    </row>
    <row r="143" spans="1:9">
      <c r="A143" s="577">
        <v>2852</v>
      </c>
      <c r="B143" s="577"/>
      <c r="C143" s="576" t="s">
        <v>1203</v>
      </c>
      <c r="D143" s="454"/>
      <c r="E143" s="450"/>
      <c r="F143" s="576"/>
      <c r="G143" s="450"/>
      <c r="H143" s="215"/>
      <c r="I143" s="215"/>
    </row>
    <row r="144" spans="1:9">
      <c r="A144" s="457"/>
      <c r="B144" s="457"/>
      <c r="C144" s="219" t="s">
        <v>46</v>
      </c>
      <c r="D144" s="219">
        <v>4</v>
      </c>
      <c r="E144" s="219">
        <v>1.8</v>
      </c>
      <c r="F144" s="219">
        <f>D144*E144</f>
        <v>7.2</v>
      </c>
      <c r="G144" s="219" t="s">
        <v>1207</v>
      </c>
      <c r="H144" s="215"/>
      <c r="I144" s="215"/>
    </row>
    <row r="145" spans="1:9">
      <c r="A145" s="577">
        <v>1005</v>
      </c>
      <c r="B145" s="577"/>
      <c r="C145" s="576" t="s">
        <v>1208</v>
      </c>
      <c r="D145" s="454"/>
      <c r="E145" s="450"/>
      <c r="F145" s="576"/>
      <c r="G145" s="450"/>
      <c r="H145" s="215"/>
      <c r="I145" s="215"/>
    </row>
    <row r="146" spans="1:9">
      <c r="A146" s="457"/>
      <c r="B146" s="457"/>
      <c r="C146" s="219" t="s">
        <v>26</v>
      </c>
      <c r="D146" s="219">
        <v>0.01</v>
      </c>
      <c r="E146" s="219">
        <v>734</v>
      </c>
      <c r="F146" s="219">
        <f>D146*E146</f>
        <v>7.34</v>
      </c>
      <c r="G146" s="219" t="s">
        <v>822</v>
      </c>
      <c r="H146" s="215"/>
      <c r="I146" s="215"/>
    </row>
    <row r="147" spans="1:9">
      <c r="A147" s="577" t="s">
        <v>1181</v>
      </c>
      <c r="B147" s="577"/>
      <c r="C147" s="575" t="s">
        <v>1216</v>
      </c>
      <c r="D147" s="454"/>
      <c r="E147" s="450"/>
      <c r="F147" s="576"/>
      <c r="G147" s="450"/>
      <c r="H147" s="215"/>
      <c r="I147" s="215"/>
    </row>
    <row r="148" spans="1:9">
      <c r="A148" s="457"/>
      <c r="B148" s="457"/>
      <c r="C148" s="219" t="s">
        <v>891</v>
      </c>
      <c r="D148" s="221"/>
      <c r="E148" s="221"/>
      <c r="F148" s="219">
        <f>(F144+F146)*0.5%</f>
        <v>7.2700000000000001E-2</v>
      </c>
      <c r="G148" s="219" t="s">
        <v>1218</v>
      </c>
      <c r="H148" s="215"/>
      <c r="I148" s="215"/>
    </row>
    <row r="149" spans="1:9">
      <c r="A149" s="574" t="s">
        <v>30</v>
      </c>
      <c r="B149" s="454"/>
      <c r="C149" s="450"/>
      <c r="D149" s="222">
        <v>1</v>
      </c>
      <c r="E149" s="222" t="s">
        <v>46</v>
      </c>
      <c r="F149" s="222">
        <f>F144+F146+F148</f>
        <v>14.612699999999998</v>
      </c>
      <c r="G149" s="225"/>
      <c r="H149" s="215"/>
      <c r="I149" s="215"/>
    </row>
    <row r="150" spans="1:9">
      <c r="A150" s="574" t="s">
        <v>826</v>
      </c>
      <c r="B150" s="454"/>
      <c r="C150" s="450"/>
      <c r="D150" s="222">
        <v>1</v>
      </c>
      <c r="E150" s="222" t="s">
        <v>46</v>
      </c>
      <c r="F150" s="222">
        <f>F149/D149</f>
        <v>14.612699999999998</v>
      </c>
      <c r="G150" s="225"/>
      <c r="H150" s="215"/>
      <c r="I150" s="215"/>
    </row>
    <row r="151" spans="1:9">
      <c r="A151" s="574" t="s">
        <v>1187</v>
      </c>
      <c r="B151" s="454"/>
      <c r="C151" s="454"/>
      <c r="D151" s="450"/>
      <c r="E151" s="224">
        <f>F144*100.5%/D149</f>
        <v>7.2359999999999998</v>
      </c>
      <c r="F151" s="222">
        <f>E151*1%</f>
        <v>7.2359999999999994E-2</v>
      </c>
      <c r="G151" s="225"/>
      <c r="H151" s="215"/>
      <c r="I151" s="215"/>
    </row>
    <row r="152" spans="1:9">
      <c r="A152" s="574" t="s">
        <v>30</v>
      </c>
      <c r="B152" s="454"/>
      <c r="C152" s="454"/>
      <c r="D152" s="450"/>
      <c r="E152" s="217"/>
      <c r="F152" s="222">
        <f>F150+F151</f>
        <v>14.685059999999998</v>
      </c>
      <c r="G152" s="225"/>
      <c r="H152" s="215"/>
      <c r="I152" s="215"/>
    </row>
    <row r="153" spans="1:9">
      <c r="A153" s="574" t="s">
        <v>836</v>
      </c>
      <c r="B153" s="454"/>
      <c r="C153" s="454"/>
      <c r="D153" s="450"/>
      <c r="E153" s="222">
        <f>F152</f>
        <v>14.685059999999998</v>
      </c>
      <c r="F153" s="222">
        <f>E153*15%</f>
        <v>2.2027589999999995</v>
      </c>
      <c r="G153" s="225"/>
      <c r="H153" s="215"/>
      <c r="I153" s="215"/>
    </row>
    <row r="154" spans="1:9">
      <c r="A154" s="578" t="s">
        <v>30</v>
      </c>
      <c r="B154" s="454"/>
      <c r="C154" s="454"/>
      <c r="D154" s="450"/>
      <c r="E154" s="225"/>
      <c r="F154" s="226">
        <f>ROUND(F152+F153,2)</f>
        <v>16.89</v>
      </c>
      <c r="G154" s="217"/>
      <c r="H154" s="215"/>
      <c r="I154" s="215"/>
    </row>
    <row r="155" spans="1:9">
      <c r="A155" s="579" t="str">
        <f>CONCATENATE("Say ₹ ",F142," + ",F154," x Cost Index")</f>
        <v>Say ₹ 4419.84 + 16.89 x Cost Index</v>
      </c>
      <c r="B155" s="454"/>
      <c r="C155" s="454"/>
      <c r="D155" s="454"/>
      <c r="E155" s="454"/>
      <c r="F155" s="450"/>
      <c r="G155" s="228" t="s">
        <v>1007</v>
      </c>
      <c r="H155" s="229">
        <f>((F132*1.005*1.01)+(F134*1.005))*1.15</f>
        <v>4419.8384510249989</v>
      </c>
      <c r="I155" s="229">
        <f>((F144*1.005*1.01)+(F146*1.005))*1.15</f>
        <v>16.887818999999997</v>
      </c>
    </row>
    <row r="156" spans="1:9">
      <c r="A156" s="571" t="s">
        <v>771</v>
      </c>
      <c r="B156" s="571" t="s">
        <v>776</v>
      </c>
      <c r="C156" s="572" t="s">
        <v>4</v>
      </c>
      <c r="D156" s="454"/>
      <c r="E156" s="450"/>
      <c r="F156" s="572" t="s">
        <v>785</v>
      </c>
      <c r="G156" s="450"/>
      <c r="H156" s="215"/>
      <c r="I156" s="215"/>
    </row>
    <row r="157" spans="1:9">
      <c r="A157" s="457"/>
      <c r="B157" s="457"/>
      <c r="C157" s="216" t="s">
        <v>5</v>
      </c>
      <c r="D157" s="216" t="s">
        <v>6</v>
      </c>
      <c r="E157" s="216" t="s">
        <v>336</v>
      </c>
      <c r="F157" s="216" t="s">
        <v>8</v>
      </c>
      <c r="G157" s="216" t="s">
        <v>789</v>
      </c>
      <c r="H157" s="215"/>
      <c r="I157" s="215"/>
    </row>
    <row r="158" spans="1:9">
      <c r="A158" s="573" t="s">
        <v>1443</v>
      </c>
      <c r="B158" s="454"/>
      <c r="C158" s="454"/>
      <c r="D158" s="454"/>
      <c r="E158" s="454"/>
      <c r="F158" s="454"/>
      <c r="G158" s="450"/>
      <c r="H158" s="215"/>
      <c r="I158" s="215"/>
    </row>
    <row r="159" spans="1:9">
      <c r="A159" s="217"/>
      <c r="B159" s="217" t="s">
        <v>795</v>
      </c>
      <c r="C159" s="217" t="s">
        <v>46</v>
      </c>
      <c r="D159" s="217" t="s">
        <v>798</v>
      </c>
      <c r="E159" s="217">
        <v>1</v>
      </c>
      <c r="F159" s="217"/>
      <c r="G159" s="217"/>
      <c r="H159" s="215"/>
      <c r="I159" s="215"/>
    </row>
    <row r="160" spans="1:9">
      <c r="A160" s="217" t="s">
        <v>800</v>
      </c>
      <c r="B160" s="574" t="s">
        <v>1168</v>
      </c>
      <c r="C160" s="454"/>
      <c r="D160" s="454"/>
      <c r="E160" s="454"/>
      <c r="F160" s="454"/>
      <c r="G160" s="450"/>
      <c r="H160" s="215"/>
      <c r="I160" s="215"/>
    </row>
    <row r="161" spans="1:9">
      <c r="A161" s="574" t="s">
        <v>1171</v>
      </c>
      <c r="B161" s="454"/>
      <c r="C161" s="454"/>
      <c r="D161" s="454"/>
      <c r="E161" s="454"/>
      <c r="F161" s="454"/>
      <c r="G161" s="450"/>
      <c r="H161" s="215"/>
      <c r="I161" s="215"/>
    </row>
    <row r="162" spans="1:9">
      <c r="A162" s="577"/>
      <c r="B162" s="580">
        <v>0</v>
      </c>
      <c r="C162" s="576" t="s">
        <v>1448</v>
      </c>
      <c r="D162" s="454"/>
      <c r="E162" s="450"/>
      <c r="F162" s="576"/>
      <c r="G162" s="450"/>
      <c r="H162" s="215"/>
      <c r="I162" s="215"/>
    </row>
    <row r="163" spans="1:9">
      <c r="A163" s="457"/>
      <c r="B163" s="457"/>
      <c r="C163" s="219" t="s">
        <v>46</v>
      </c>
      <c r="D163" s="219">
        <v>1</v>
      </c>
      <c r="E163" s="219">
        <v>2550</v>
      </c>
      <c r="F163" s="219">
        <f>D163*E163</f>
        <v>2550</v>
      </c>
      <c r="G163" s="219" t="s">
        <v>808</v>
      </c>
      <c r="H163" s="215"/>
      <c r="I163" s="215"/>
    </row>
    <row r="164" spans="1:9">
      <c r="A164" s="577"/>
      <c r="B164" s="577" t="s">
        <v>1178</v>
      </c>
      <c r="C164" s="576" t="s">
        <v>1179</v>
      </c>
      <c r="D164" s="454"/>
      <c r="E164" s="450"/>
      <c r="F164" s="576"/>
      <c r="G164" s="450"/>
      <c r="H164" s="215"/>
      <c r="I164" s="215"/>
    </row>
    <row r="165" spans="1:9">
      <c r="A165" s="457"/>
      <c r="B165" s="457"/>
      <c r="C165" s="219" t="s">
        <v>26</v>
      </c>
      <c r="D165" s="219">
        <v>0.01</v>
      </c>
      <c r="E165" s="219">
        <v>675</v>
      </c>
      <c r="F165" s="219">
        <f>D165*E165</f>
        <v>6.75</v>
      </c>
      <c r="G165" s="219" t="s">
        <v>825</v>
      </c>
      <c r="H165" s="215"/>
      <c r="I165" s="215"/>
    </row>
    <row r="166" spans="1:9">
      <c r="A166" s="577" t="s">
        <v>1181</v>
      </c>
      <c r="B166" s="577"/>
      <c r="C166" s="575" t="s">
        <v>1182</v>
      </c>
      <c r="D166" s="454"/>
      <c r="E166" s="450"/>
      <c r="F166" s="576"/>
      <c r="G166" s="450"/>
      <c r="H166" s="215"/>
      <c r="I166" s="215"/>
    </row>
    <row r="167" spans="1:9">
      <c r="A167" s="457"/>
      <c r="B167" s="457"/>
      <c r="C167" s="219" t="s">
        <v>891</v>
      </c>
      <c r="D167" s="221"/>
      <c r="E167" s="221"/>
      <c r="F167" s="219">
        <f>(F163+F165)*0.5%</f>
        <v>12.78375</v>
      </c>
      <c r="G167" s="219" t="s">
        <v>1184</v>
      </c>
      <c r="H167" s="215"/>
      <c r="I167" s="215"/>
    </row>
    <row r="168" spans="1:9">
      <c r="A168" s="574" t="s">
        <v>30</v>
      </c>
      <c r="B168" s="454"/>
      <c r="C168" s="450"/>
      <c r="D168" s="222">
        <v>1</v>
      </c>
      <c r="E168" s="222" t="s">
        <v>46</v>
      </c>
      <c r="F168" s="222">
        <f>F163+F165+F167</f>
        <v>2569.5337500000001</v>
      </c>
      <c r="G168" s="217"/>
      <c r="H168" s="215"/>
      <c r="I168" s="215"/>
    </row>
    <row r="169" spans="1:9">
      <c r="A169" s="574" t="s">
        <v>826</v>
      </c>
      <c r="B169" s="454"/>
      <c r="C169" s="450"/>
      <c r="D169" s="222">
        <v>1</v>
      </c>
      <c r="E169" s="222" t="s">
        <v>46</v>
      </c>
      <c r="F169" s="222">
        <f>F168/D168</f>
        <v>2569.5337500000001</v>
      </c>
      <c r="G169" s="217"/>
      <c r="H169" s="215"/>
      <c r="I169" s="215"/>
    </row>
    <row r="170" spans="1:9">
      <c r="A170" s="574" t="s">
        <v>1187</v>
      </c>
      <c r="B170" s="454"/>
      <c r="C170" s="454"/>
      <c r="D170" s="450"/>
      <c r="E170" s="224">
        <f>F163*100.5%/D168</f>
        <v>2562.7499999999995</v>
      </c>
      <c r="F170" s="222">
        <f>E170*1%</f>
        <v>25.627499999999998</v>
      </c>
      <c r="G170" s="217"/>
      <c r="H170" s="215"/>
      <c r="I170" s="215"/>
    </row>
    <row r="171" spans="1:9">
      <c r="A171" s="574" t="s">
        <v>30</v>
      </c>
      <c r="B171" s="454"/>
      <c r="C171" s="454"/>
      <c r="D171" s="450"/>
      <c r="E171" s="217"/>
      <c r="F171" s="222">
        <f>F169+F170</f>
        <v>2595.1612500000001</v>
      </c>
      <c r="G171" s="217"/>
      <c r="H171" s="215"/>
      <c r="I171" s="215"/>
    </row>
    <row r="172" spans="1:9">
      <c r="A172" s="574" t="s">
        <v>836</v>
      </c>
      <c r="B172" s="454"/>
      <c r="C172" s="454"/>
      <c r="D172" s="450"/>
      <c r="E172" s="222">
        <f>F171</f>
        <v>2595.1612500000001</v>
      </c>
      <c r="F172" s="222">
        <f>E172*15%</f>
        <v>389.27418749999998</v>
      </c>
      <c r="G172" s="217"/>
      <c r="H172" s="215"/>
      <c r="I172" s="215"/>
    </row>
    <row r="173" spans="1:9">
      <c r="A173" s="578" t="s">
        <v>30</v>
      </c>
      <c r="B173" s="454"/>
      <c r="C173" s="454"/>
      <c r="D173" s="450"/>
      <c r="E173" s="225"/>
      <c r="F173" s="226">
        <f>ROUND(F171+F172,2)</f>
        <v>2984.44</v>
      </c>
      <c r="G173" s="217"/>
      <c r="H173" s="215"/>
      <c r="I173" s="215"/>
    </row>
    <row r="174" spans="1:9">
      <c r="A174" s="577">
        <v>2852</v>
      </c>
      <c r="B174" s="577"/>
      <c r="C174" s="576" t="s">
        <v>1203</v>
      </c>
      <c r="D174" s="454"/>
      <c r="E174" s="450"/>
      <c r="F174" s="576"/>
      <c r="G174" s="450"/>
      <c r="H174" s="215"/>
      <c r="I174" s="215"/>
    </row>
    <row r="175" spans="1:9">
      <c r="A175" s="457"/>
      <c r="B175" s="457"/>
      <c r="C175" s="219" t="s">
        <v>46</v>
      </c>
      <c r="D175" s="219">
        <v>4</v>
      </c>
      <c r="E175" s="219">
        <v>1.8</v>
      </c>
      <c r="F175" s="219">
        <f>D175*E175</f>
        <v>7.2</v>
      </c>
      <c r="G175" s="219" t="s">
        <v>1207</v>
      </c>
      <c r="H175" s="215"/>
      <c r="I175" s="215"/>
    </row>
    <row r="176" spans="1:9">
      <c r="A176" s="577">
        <v>1005</v>
      </c>
      <c r="B176" s="577"/>
      <c r="C176" s="576" t="s">
        <v>1208</v>
      </c>
      <c r="D176" s="454"/>
      <c r="E176" s="450"/>
      <c r="F176" s="576"/>
      <c r="G176" s="450"/>
      <c r="H176" s="215"/>
      <c r="I176" s="215"/>
    </row>
    <row r="177" spans="1:9">
      <c r="A177" s="457"/>
      <c r="B177" s="457"/>
      <c r="C177" s="219" t="s">
        <v>26</v>
      </c>
      <c r="D177" s="219">
        <v>0.01</v>
      </c>
      <c r="E177" s="219">
        <v>734</v>
      </c>
      <c r="F177" s="219">
        <f>D177*E177</f>
        <v>7.34</v>
      </c>
      <c r="G177" s="219" t="s">
        <v>822</v>
      </c>
      <c r="H177" s="215"/>
      <c r="I177" s="215"/>
    </row>
    <row r="178" spans="1:9">
      <c r="A178" s="577" t="s">
        <v>1181</v>
      </c>
      <c r="B178" s="577"/>
      <c r="C178" s="575" t="s">
        <v>1216</v>
      </c>
      <c r="D178" s="454"/>
      <c r="E178" s="450"/>
      <c r="F178" s="576"/>
      <c r="G178" s="450"/>
      <c r="H178" s="215"/>
      <c r="I178" s="215"/>
    </row>
    <row r="179" spans="1:9">
      <c r="A179" s="457"/>
      <c r="B179" s="457"/>
      <c r="C179" s="219" t="s">
        <v>891</v>
      </c>
      <c r="D179" s="221"/>
      <c r="E179" s="221"/>
      <c r="F179" s="219">
        <f>(F175+F177)*0.5%</f>
        <v>7.2700000000000001E-2</v>
      </c>
      <c r="G179" s="219" t="s">
        <v>1218</v>
      </c>
      <c r="H179" s="215"/>
      <c r="I179" s="215"/>
    </row>
    <row r="180" spans="1:9">
      <c r="A180" s="574" t="s">
        <v>30</v>
      </c>
      <c r="B180" s="454"/>
      <c r="C180" s="450"/>
      <c r="D180" s="222">
        <v>1</v>
      </c>
      <c r="E180" s="222" t="s">
        <v>46</v>
      </c>
      <c r="F180" s="222">
        <f>F175+F177+F179</f>
        <v>14.612699999999998</v>
      </c>
      <c r="G180" s="225"/>
      <c r="H180" s="215"/>
      <c r="I180" s="215"/>
    </row>
    <row r="181" spans="1:9">
      <c r="A181" s="574" t="s">
        <v>826</v>
      </c>
      <c r="B181" s="454"/>
      <c r="C181" s="450"/>
      <c r="D181" s="222">
        <v>1</v>
      </c>
      <c r="E181" s="222" t="s">
        <v>46</v>
      </c>
      <c r="F181" s="222">
        <f>F180/D180</f>
        <v>14.612699999999998</v>
      </c>
      <c r="G181" s="225"/>
      <c r="H181" s="215"/>
      <c r="I181" s="215"/>
    </row>
    <row r="182" spans="1:9">
      <c r="A182" s="574" t="s">
        <v>1187</v>
      </c>
      <c r="B182" s="454"/>
      <c r="C182" s="454"/>
      <c r="D182" s="450"/>
      <c r="E182" s="224">
        <f>F175*100.5%/D180</f>
        <v>7.2359999999999998</v>
      </c>
      <c r="F182" s="222">
        <f>E182*1%</f>
        <v>7.2359999999999994E-2</v>
      </c>
      <c r="G182" s="225"/>
      <c r="H182" s="215"/>
      <c r="I182" s="215"/>
    </row>
    <row r="183" spans="1:9">
      <c r="A183" s="574" t="s">
        <v>30</v>
      </c>
      <c r="B183" s="454"/>
      <c r="C183" s="454"/>
      <c r="D183" s="450"/>
      <c r="E183" s="217"/>
      <c r="F183" s="222">
        <f>F181+F182</f>
        <v>14.685059999999998</v>
      </c>
      <c r="G183" s="225"/>
      <c r="H183" s="215"/>
      <c r="I183" s="215"/>
    </row>
    <row r="184" spans="1:9">
      <c r="A184" s="574" t="s">
        <v>836</v>
      </c>
      <c r="B184" s="454"/>
      <c r="C184" s="454"/>
      <c r="D184" s="450"/>
      <c r="E184" s="222">
        <f>F183</f>
        <v>14.685059999999998</v>
      </c>
      <c r="F184" s="222">
        <f>E184*15%</f>
        <v>2.2027589999999995</v>
      </c>
      <c r="G184" s="225"/>
      <c r="H184" s="215"/>
      <c r="I184" s="215"/>
    </row>
    <row r="185" spans="1:9">
      <c r="A185" s="578" t="s">
        <v>30</v>
      </c>
      <c r="B185" s="454"/>
      <c r="C185" s="454"/>
      <c r="D185" s="450"/>
      <c r="E185" s="225"/>
      <c r="F185" s="226">
        <f>ROUND(F183+F184,2)</f>
        <v>16.89</v>
      </c>
      <c r="G185" s="217"/>
      <c r="H185" s="215"/>
      <c r="I185" s="215"/>
    </row>
    <row r="186" spans="1:9">
      <c r="A186" s="579" t="str">
        <f>CONCATENATE("Say ₹ ",F173," + ",F185," x Cost Index")</f>
        <v>Say ₹ 2984.44 + 16.89 x Cost Index</v>
      </c>
      <c r="B186" s="454"/>
      <c r="C186" s="454"/>
      <c r="D186" s="454"/>
      <c r="E186" s="454"/>
      <c r="F186" s="450"/>
      <c r="G186" s="228" t="s">
        <v>1007</v>
      </c>
      <c r="H186" s="229">
        <f>((F163*1.005*1.01)+(F165*1.005))*1.15</f>
        <v>2984.4354374999994</v>
      </c>
      <c r="I186" s="229">
        <f>((F175*1.005*1.01)+(F177*1.005))*1.15</f>
        <v>16.887818999999997</v>
      </c>
    </row>
    <row r="187" spans="1:9">
      <c r="A187" s="571" t="s">
        <v>771</v>
      </c>
      <c r="B187" s="571" t="s">
        <v>776</v>
      </c>
      <c r="C187" s="572" t="s">
        <v>4</v>
      </c>
      <c r="D187" s="454"/>
      <c r="E187" s="450"/>
      <c r="F187" s="572" t="s">
        <v>785</v>
      </c>
      <c r="G187" s="450"/>
      <c r="H187" s="215"/>
      <c r="I187" s="215"/>
    </row>
    <row r="188" spans="1:9">
      <c r="A188" s="457"/>
      <c r="B188" s="457"/>
      <c r="C188" s="216" t="s">
        <v>5</v>
      </c>
      <c r="D188" s="216" t="s">
        <v>6</v>
      </c>
      <c r="E188" s="216" t="s">
        <v>336</v>
      </c>
      <c r="F188" s="216" t="s">
        <v>8</v>
      </c>
      <c r="G188" s="216" t="s">
        <v>789</v>
      </c>
      <c r="H188" s="215"/>
      <c r="I188" s="215"/>
    </row>
    <row r="189" spans="1:9">
      <c r="A189" s="573" t="s">
        <v>1496</v>
      </c>
      <c r="B189" s="454"/>
      <c r="C189" s="454"/>
      <c r="D189" s="454"/>
      <c r="E189" s="454"/>
      <c r="F189" s="454"/>
      <c r="G189" s="450"/>
      <c r="H189" s="215"/>
      <c r="I189" s="215"/>
    </row>
    <row r="190" spans="1:9">
      <c r="A190" s="217"/>
      <c r="B190" s="217" t="s">
        <v>795</v>
      </c>
      <c r="C190" s="217" t="s">
        <v>46</v>
      </c>
      <c r="D190" s="217" t="s">
        <v>798</v>
      </c>
      <c r="E190" s="217">
        <v>1</v>
      </c>
      <c r="F190" s="217"/>
      <c r="G190" s="217"/>
      <c r="H190" s="215"/>
      <c r="I190" s="215"/>
    </row>
    <row r="191" spans="1:9">
      <c r="A191" s="217" t="s">
        <v>800</v>
      </c>
      <c r="B191" s="574" t="s">
        <v>1168</v>
      </c>
      <c r="C191" s="454"/>
      <c r="D191" s="454"/>
      <c r="E191" s="454"/>
      <c r="F191" s="454"/>
      <c r="G191" s="450"/>
      <c r="H191" s="215"/>
      <c r="I191" s="215"/>
    </row>
    <row r="192" spans="1:9">
      <c r="A192" s="574" t="s">
        <v>1171</v>
      </c>
      <c r="B192" s="454"/>
      <c r="C192" s="454"/>
      <c r="D192" s="454"/>
      <c r="E192" s="454"/>
      <c r="F192" s="454"/>
      <c r="G192" s="450"/>
      <c r="H192" s="215"/>
      <c r="I192" s="215"/>
    </row>
    <row r="193" spans="1:9">
      <c r="A193" s="577"/>
      <c r="B193" s="580">
        <v>0</v>
      </c>
      <c r="C193" s="576" t="s">
        <v>1498</v>
      </c>
      <c r="D193" s="454"/>
      <c r="E193" s="450"/>
      <c r="F193" s="576"/>
      <c r="G193" s="450"/>
      <c r="H193" s="215"/>
      <c r="I193" s="215"/>
    </row>
    <row r="194" spans="1:9">
      <c r="A194" s="457"/>
      <c r="B194" s="457"/>
      <c r="C194" s="219" t="s">
        <v>46</v>
      </c>
      <c r="D194" s="219">
        <v>1</v>
      </c>
      <c r="E194" s="219">
        <v>2600</v>
      </c>
      <c r="F194" s="219">
        <f>D194*E194</f>
        <v>2600</v>
      </c>
      <c r="G194" s="219" t="s">
        <v>808</v>
      </c>
      <c r="H194" s="215"/>
      <c r="I194" s="215"/>
    </row>
    <row r="195" spans="1:9">
      <c r="A195" s="577"/>
      <c r="B195" s="577" t="s">
        <v>1178</v>
      </c>
      <c r="C195" s="576" t="s">
        <v>1179</v>
      </c>
      <c r="D195" s="454"/>
      <c r="E195" s="450"/>
      <c r="F195" s="576"/>
      <c r="G195" s="450"/>
      <c r="H195" s="215"/>
      <c r="I195" s="215"/>
    </row>
    <row r="196" spans="1:9">
      <c r="A196" s="457"/>
      <c r="B196" s="457"/>
      <c r="C196" s="219" t="s">
        <v>26</v>
      </c>
      <c r="D196" s="219">
        <v>0.01</v>
      </c>
      <c r="E196" s="219">
        <v>675</v>
      </c>
      <c r="F196" s="219">
        <f>D196*E196</f>
        <v>6.75</v>
      </c>
      <c r="G196" s="219" t="s">
        <v>825</v>
      </c>
      <c r="H196" s="215"/>
      <c r="I196" s="215"/>
    </row>
    <row r="197" spans="1:9">
      <c r="A197" s="577" t="s">
        <v>1181</v>
      </c>
      <c r="B197" s="577"/>
      <c r="C197" s="575" t="s">
        <v>1182</v>
      </c>
      <c r="D197" s="454"/>
      <c r="E197" s="450"/>
      <c r="F197" s="576"/>
      <c r="G197" s="450"/>
      <c r="H197" s="215"/>
      <c r="I197" s="215"/>
    </row>
    <row r="198" spans="1:9">
      <c r="A198" s="457"/>
      <c r="B198" s="457"/>
      <c r="C198" s="219" t="s">
        <v>891</v>
      </c>
      <c r="D198" s="221"/>
      <c r="E198" s="221"/>
      <c r="F198" s="219">
        <f>(F194+F196)*0.5%</f>
        <v>13.03375</v>
      </c>
      <c r="G198" s="219" t="s">
        <v>1184</v>
      </c>
      <c r="H198" s="215"/>
      <c r="I198" s="215"/>
    </row>
    <row r="199" spans="1:9">
      <c r="A199" s="574" t="s">
        <v>30</v>
      </c>
      <c r="B199" s="454"/>
      <c r="C199" s="450"/>
      <c r="D199" s="222">
        <v>1</v>
      </c>
      <c r="E199" s="222" t="s">
        <v>46</v>
      </c>
      <c r="F199" s="222">
        <f>F194+F196+F198</f>
        <v>2619.7837500000001</v>
      </c>
      <c r="G199" s="217"/>
      <c r="H199" s="215"/>
      <c r="I199" s="215"/>
    </row>
    <row r="200" spans="1:9">
      <c r="A200" s="574" t="s">
        <v>826</v>
      </c>
      <c r="B200" s="454"/>
      <c r="C200" s="450"/>
      <c r="D200" s="222">
        <v>1</v>
      </c>
      <c r="E200" s="222" t="s">
        <v>46</v>
      </c>
      <c r="F200" s="222">
        <f>F199/D199</f>
        <v>2619.7837500000001</v>
      </c>
      <c r="G200" s="217"/>
      <c r="H200" s="215"/>
      <c r="I200" s="215"/>
    </row>
    <row r="201" spans="1:9">
      <c r="A201" s="574" t="s">
        <v>1187</v>
      </c>
      <c r="B201" s="454"/>
      <c r="C201" s="454"/>
      <c r="D201" s="450"/>
      <c r="E201" s="224">
        <f>F194*100.5%/D199</f>
        <v>2612.9999999999995</v>
      </c>
      <c r="F201" s="222">
        <f>E201*1%</f>
        <v>26.129999999999995</v>
      </c>
      <c r="G201" s="217"/>
      <c r="H201" s="215"/>
      <c r="I201" s="215"/>
    </row>
    <row r="202" spans="1:9">
      <c r="A202" s="574" t="s">
        <v>30</v>
      </c>
      <c r="B202" s="454"/>
      <c r="C202" s="454"/>
      <c r="D202" s="450"/>
      <c r="E202" s="217"/>
      <c r="F202" s="222">
        <f>F200+F201</f>
        <v>2645.9137500000002</v>
      </c>
      <c r="G202" s="217"/>
      <c r="H202" s="215"/>
      <c r="I202" s="215"/>
    </row>
    <row r="203" spans="1:9">
      <c r="A203" s="574" t="s">
        <v>836</v>
      </c>
      <c r="B203" s="454"/>
      <c r="C203" s="454"/>
      <c r="D203" s="450"/>
      <c r="E203" s="222">
        <f>F202</f>
        <v>2645.9137500000002</v>
      </c>
      <c r="F203" s="222">
        <f>E203*15%</f>
        <v>396.88706250000001</v>
      </c>
      <c r="G203" s="217"/>
      <c r="H203" s="215"/>
      <c r="I203" s="215"/>
    </row>
    <row r="204" spans="1:9">
      <c r="A204" s="578" t="s">
        <v>30</v>
      </c>
      <c r="B204" s="454"/>
      <c r="C204" s="454"/>
      <c r="D204" s="450"/>
      <c r="E204" s="225"/>
      <c r="F204" s="226">
        <f>ROUND(F202+F203,2)</f>
        <v>3042.8</v>
      </c>
      <c r="G204" s="217"/>
      <c r="H204" s="215"/>
      <c r="I204" s="215"/>
    </row>
    <row r="205" spans="1:9">
      <c r="A205" s="577">
        <v>2852</v>
      </c>
      <c r="B205" s="577"/>
      <c r="C205" s="576" t="s">
        <v>1203</v>
      </c>
      <c r="D205" s="454"/>
      <c r="E205" s="450"/>
      <c r="F205" s="576"/>
      <c r="G205" s="450"/>
      <c r="H205" s="215"/>
      <c r="I205" s="215"/>
    </row>
    <row r="206" spans="1:9">
      <c r="A206" s="457"/>
      <c r="B206" s="457"/>
      <c r="C206" s="219" t="s">
        <v>46</v>
      </c>
      <c r="D206" s="219">
        <v>4</v>
      </c>
      <c r="E206" s="219">
        <v>1.8</v>
      </c>
      <c r="F206" s="219">
        <f>D206*E206</f>
        <v>7.2</v>
      </c>
      <c r="G206" s="219" t="s">
        <v>1207</v>
      </c>
      <c r="H206" s="215"/>
      <c r="I206" s="215"/>
    </row>
    <row r="207" spans="1:9">
      <c r="A207" s="577">
        <v>1005</v>
      </c>
      <c r="B207" s="577"/>
      <c r="C207" s="576" t="s">
        <v>1208</v>
      </c>
      <c r="D207" s="454"/>
      <c r="E207" s="450"/>
      <c r="F207" s="576"/>
      <c r="G207" s="450"/>
      <c r="H207" s="215"/>
      <c r="I207" s="215"/>
    </row>
    <row r="208" spans="1:9">
      <c r="A208" s="457"/>
      <c r="B208" s="457"/>
      <c r="C208" s="219" t="s">
        <v>26</v>
      </c>
      <c r="D208" s="219">
        <v>0.01</v>
      </c>
      <c r="E208" s="219">
        <v>734</v>
      </c>
      <c r="F208" s="219">
        <f>D208*E208</f>
        <v>7.34</v>
      </c>
      <c r="G208" s="219" t="s">
        <v>822</v>
      </c>
      <c r="H208" s="215"/>
      <c r="I208" s="215"/>
    </row>
    <row r="209" spans="1:9">
      <c r="A209" s="577" t="s">
        <v>1181</v>
      </c>
      <c r="B209" s="577"/>
      <c r="C209" s="575" t="s">
        <v>1216</v>
      </c>
      <c r="D209" s="454"/>
      <c r="E209" s="450"/>
      <c r="F209" s="576"/>
      <c r="G209" s="450"/>
      <c r="H209" s="215"/>
      <c r="I209" s="215"/>
    </row>
    <row r="210" spans="1:9">
      <c r="A210" s="457"/>
      <c r="B210" s="457"/>
      <c r="C210" s="219" t="s">
        <v>891</v>
      </c>
      <c r="D210" s="221"/>
      <c r="E210" s="221"/>
      <c r="F210" s="219">
        <f>(F206+F208)*0.5%</f>
        <v>7.2700000000000001E-2</v>
      </c>
      <c r="G210" s="219" t="s">
        <v>1218</v>
      </c>
      <c r="H210" s="215"/>
      <c r="I210" s="215"/>
    </row>
    <row r="211" spans="1:9">
      <c r="A211" s="574" t="s">
        <v>30</v>
      </c>
      <c r="B211" s="454"/>
      <c r="C211" s="450"/>
      <c r="D211" s="222">
        <v>1</v>
      </c>
      <c r="E211" s="222" t="s">
        <v>46</v>
      </c>
      <c r="F211" s="222">
        <f>F206+F208+F210</f>
        <v>14.612699999999998</v>
      </c>
      <c r="G211" s="225"/>
      <c r="H211" s="215"/>
      <c r="I211" s="215"/>
    </row>
    <row r="212" spans="1:9">
      <c r="A212" s="574" t="s">
        <v>826</v>
      </c>
      <c r="B212" s="454"/>
      <c r="C212" s="450"/>
      <c r="D212" s="222">
        <v>1</v>
      </c>
      <c r="E212" s="222" t="s">
        <v>46</v>
      </c>
      <c r="F212" s="222">
        <f>F211/D211</f>
        <v>14.612699999999998</v>
      </c>
      <c r="G212" s="225"/>
      <c r="H212" s="215"/>
      <c r="I212" s="215"/>
    </row>
    <row r="213" spans="1:9">
      <c r="A213" s="574" t="s">
        <v>1187</v>
      </c>
      <c r="B213" s="454"/>
      <c r="C213" s="454"/>
      <c r="D213" s="450"/>
      <c r="E213" s="224">
        <f>F206*100.5%/D211</f>
        <v>7.2359999999999998</v>
      </c>
      <c r="F213" s="222">
        <f>E213*1%</f>
        <v>7.2359999999999994E-2</v>
      </c>
      <c r="G213" s="225"/>
      <c r="H213" s="215"/>
      <c r="I213" s="215"/>
    </row>
    <row r="214" spans="1:9">
      <c r="A214" s="574" t="s">
        <v>30</v>
      </c>
      <c r="B214" s="454"/>
      <c r="C214" s="454"/>
      <c r="D214" s="450"/>
      <c r="E214" s="217"/>
      <c r="F214" s="222">
        <f>F212+F213</f>
        <v>14.685059999999998</v>
      </c>
      <c r="G214" s="225"/>
      <c r="H214" s="215"/>
      <c r="I214" s="215"/>
    </row>
    <row r="215" spans="1:9">
      <c r="A215" s="574" t="s">
        <v>836</v>
      </c>
      <c r="B215" s="454"/>
      <c r="C215" s="454"/>
      <c r="D215" s="450"/>
      <c r="E215" s="222">
        <f>F214</f>
        <v>14.685059999999998</v>
      </c>
      <c r="F215" s="222">
        <f>E215*15%</f>
        <v>2.2027589999999995</v>
      </c>
      <c r="G215" s="225"/>
      <c r="H215" s="215"/>
      <c r="I215" s="215"/>
    </row>
    <row r="216" spans="1:9">
      <c r="A216" s="578" t="s">
        <v>30</v>
      </c>
      <c r="B216" s="454"/>
      <c r="C216" s="454"/>
      <c r="D216" s="450"/>
      <c r="E216" s="225"/>
      <c r="F216" s="226">
        <f>ROUND(F214+F215,2)</f>
        <v>16.89</v>
      </c>
      <c r="G216" s="217"/>
      <c r="H216" s="215"/>
      <c r="I216" s="215"/>
    </row>
    <row r="217" spans="1:9">
      <c r="A217" s="579" t="str">
        <f>CONCATENATE("Say ₹ ",F204," + ",F216," x Cost Index")</f>
        <v>Say ₹ 3042.8 + 16.89 x Cost Index</v>
      </c>
      <c r="B217" s="454"/>
      <c r="C217" s="454"/>
      <c r="D217" s="454"/>
      <c r="E217" s="454"/>
      <c r="F217" s="450"/>
      <c r="G217" s="228" t="s">
        <v>1007</v>
      </c>
      <c r="H217" s="229">
        <f>((F194*1.005*1.01)+(F196*1.005))*1.15</f>
        <v>3042.8008124999992</v>
      </c>
      <c r="I217" s="229">
        <f>((F206*1.005*1.01)+(F208*1.005))*1.15</f>
        <v>16.887818999999997</v>
      </c>
    </row>
  </sheetData>
  <mergeCells count="308">
    <mergeCell ref="A204:D204"/>
    <mergeCell ref="C209:E209"/>
    <mergeCell ref="F209:G209"/>
    <mergeCell ref="A205:A206"/>
    <mergeCell ref="B205:B206"/>
    <mergeCell ref="C205:E205"/>
    <mergeCell ref="F205:G205"/>
    <mergeCell ref="B207:B208"/>
    <mergeCell ref="C207:E207"/>
    <mergeCell ref="F207:G207"/>
    <mergeCell ref="A197:A198"/>
    <mergeCell ref="C197:E197"/>
    <mergeCell ref="F197:G197"/>
    <mergeCell ref="B197:B198"/>
    <mergeCell ref="A199:C199"/>
    <mergeCell ref="A200:C200"/>
    <mergeCell ref="A201:D201"/>
    <mergeCell ref="A202:D202"/>
    <mergeCell ref="A203:D203"/>
    <mergeCell ref="A189:G189"/>
    <mergeCell ref="B191:G191"/>
    <mergeCell ref="A192:G192"/>
    <mergeCell ref="A193:A194"/>
    <mergeCell ref="B193:B194"/>
    <mergeCell ref="C193:E193"/>
    <mergeCell ref="F193:G193"/>
    <mergeCell ref="A195:A196"/>
    <mergeCell ref="B195:B196"/>
    <mergeCell ref="C195:E195"/>
    <mergeCell ref="F195:G195"/>
    <mergeCell ref="A180:C180"/>
    <mergeCell ref="A181:C181"/>
    <mergeCell ref="A182:D182"/>
    <mergeCell ref="A183:D183"/>
    <mergeCell ref="A184:D184"/>
    <mergeCell ref="A185:D185"/>
    <mergeCell ref="A186:F186"/>
    <mergeCell ref="A187:A188"/>
    <mergeCell ref="B187:B188"/>
    <mergeCell ref="C187:E187"/>
    <mergeCell ref="F187:G187"/>
    <mergeCell ref="A215:D215"/>
    <mergeCell ref="A216:D216"/>
    <mergeCell ref="A217:F217"/>
    <mergeCell ref="A207:A208"/>
    <mergeCell ref="A209:A210"/>
    <mergeCell ref="B209:B210"/>
    <mergeCell ref="A211:C211"/>
    <mergeCell ref="A212:C212"/>
    <mergeCell ref="A213:D213"/>
    <mergeCell ref="A214:D214"/>
    <mergeCell ref="A173:D173"/>
    <mergeCell ref="C178:E178"/>
    <mergeCell ref="F178:G178"/>
    <mergeCell ref="A174:A175"/>
    <mergeCell ref="B174:B175"/>
    <mergeCell ref="C174:E174"/>
    <mergeCell ref="F174:G174"/>
    <mergeCell ref="B176:B177"/>
    <mergeCell ref="C176:E176"/>
    <mergeCell ref="F176:G176"/>
    <mergeCell ref="A176:A177"/>
    <mergeCell ref="A178:A179"/>
    <mergeCell ref="B178:B179"/>
    <mergeCell ref="A166:A167"/>
    <mergeCell ref="C166:E166"/>
    <mergeCell ref="F166:G166"/>
    <mergeCell ref="B166:B167"/>
    <mergeCell ref="A168:C168"/>
    <mergeCell ref="A169:C169"/>
    <mergeCell ref="A170:D170"/>
    <mergeCell ref="A171:D171"/>
    <mergeCell ref="A172:D172"/>
    <mergeCell ref="A158:G158"/>
    <mergeCell ref="B160:G160"/>
    <mergeCell ref="A161:G161"/>
    <mergeCell ref="A162:A163"/>
    <mergeCell ref="B162:B163"/>
    <mergeCell ref="C162:E162"/>
    <mergeCell ref="F162:G162"/>
    <mergeCell ref="A164:A165"/>
    <mergeCell ref="B164:B165"/>
    <mergeCell ref="C164:E164"/>
    <mergeCell ref="F164:G164"/>
    <mergeCell ref="A149:C149"/>
    <mergeCell ref="A150:C150"/>
    <mergeCell ref="A151:D151"/>
    <mergeCell ref="A152:D152"/>
    <mergeCell ref="A153:D153"/>
    <mergeCell ref="A154:D154"/>
    <mergeCell ref="A155:F155"/>
    <mergeCell ref="A156:A157"/>
    <mergeCell ref="B156:B157"/>
    <mergeCell ref="C156:E156"/>
    <mergeCell ref="F156:G156"/>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35:A136"/>
    <mergeCell ref="C135:E135"/>
    <mergeCell ref="F135:G135"/>
    <mergeCell ref="B135:B136"/>
    <mergeCell ref="A137:C137"/>
    <mergeCell ref="A138:C138"/>
    <mergeCell ref="A139:D139"/>
    <mergeCell ref="A140:D140"/>
    <mergeCell ref="A141:D141"/>
    <mergeCell ref="A127:G127"/>
    <mergeCell ref="B129:G129"/>
    <mergeCell ref="A130:G130"/>
    <mergeCell ref="A131:A132"/>
    <mergeCell ref="B131:B132"/>
    <mergeCell ref="C131:E131"/>
    <mergeCell ref="F131:G131"/>
    <mergeCell ref="A133:A134"/>
    <mergeCell ref="B133:B134"/>
    <mergeCell ref="C133:E133"/>
    <mergeCell ref="F133:G133"/>
    <mergeCell ref="A118:C118"/>
    <mergeCell ref="A119:C119"/>
    <mergeCell ref="A120:D120"/>
    <mergeCell ref="A121:D121"/>
    <mergeCell ref="A122:D122"/>
    <mergeCell ref="A123:D123"/>
    <mergeCell ref="A124:F124"/>
    <mergeCell ref="A125:A126"/>
    <mergeCell ref="B125:B126"/>
    <mergeCell ref="C125:E125"/>
    <mergeCell ref="F125:G125"/>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04:A105"/>
    <mergeCell ref="C104:E104"/>
    <mergeCell ref="F104:G104"/>
    <mergeCell ref="B104:B105"/>
    <mergeCell ref="A106:C106"/>
    <mergeCell ref="A107:C107"/>
    <mergeCell ref="A108:D108"/>
    <mergeCell ref="A109:D109"/>
    <mergeCell ref="A110:D110"/>
    <mergeCell ref="A96:G96"/>
    <mergeCell ref="B98:G98"/>
    <mergeCell ref="A99:G99"/>
    <mergeCell ref="A100:A101"/>
    <mergeCell ref="B100:B101"/>
    <mergeCell ref="C100:E100"/>
    <mergeCell ref="F100:G100"/>
    <mergeCell ref="A102:A103"/>
    <mergeCell ref="B102:B103"/>
    <mergeCell ref="C102:E102"/>
    <mergeCell ref="F102:G102"/>
    <mergeCell ref="A87:C87"/>
    <mergeCell ref="A88:C88"/>
    <mergeCell ref="A89:D89"/>
    <mergeCell ref="A90:D90"/>
    <mergeCell ref="A91:D91"/>
    <mergeCell ref="A92:D92"/>
    <mergeCell ref="A93:F93"/>
    <mergeCell ref="A94:A95"/>
    <mergeCell ref="B94:B95"/>
    <mergeCell ref="C94:E94"/>
    <mergeCell ref="F94:G94"/>
    <mergeCell ref="A80:D80"/>
    <mergeCell ref="C85:E85"/>
    <mergeCell ref="F85:G85"/>
    <mergeCell ref="A81:A82"/>
    <mergeCell ref="B81:B82"/>
    <mergeCell ref="C81:E81"/>
    <mergeCell ref="F81:G81"/>
    <mergeCell ref="B83:B84"/>
    <mergeCell ref="C83:E83"/>
    <mergeCell ref="F83:G83"/>
    <mergeCell ref="A83:A84"/>
    <mergeCell ref="A85:A86"/>
    <mergeCell ref="B85:B86"/>
    <mergeCell ref="A73:A74"/>
    <mergeCell ref="C73:E73"/>
    <mergeCell ref="F73:G73"/>
    <mergeCell ref="B73:B74"/>
    <mergeCell ref="A75:C75"/>
    <mergeCell ref="A76:C76"/>
    <mergeCell ref="A77:D77"/>
    <mergeCell ref="A78:D78"/>
    <mergeCell ref="A79:D79"/>
    <mergeCell ref="A65:G65"/>
    <mergeCell ref="B67:G67"/>
    <mergeCell ref="A68:G68"/>
    <mergeCell ref="A69:A70"/>
    <mergeCell ref="B69:B70"/>
    <mergeCell ref="C69:E69"/>
    <mergeCell ref="F69:G69"/>
    <mergeCell ref="A71:A72"/>
    <mergeCell ref="B71:B72"/>
    <mergeCell ref="C71:E71"/>
    <mergeCell ref="F71:G71"/>
    <mergeCell ref="A56:C56"/>
    <mergeCell ref="A57:C57"/>
    <mergeCell ref="A58:D58"/>
    <mergeCell ref="A59:D59"/>
    <mergeCell ref="A60:D60"/>
    <mergeCell ref="A61:D61"/>
    <mergeCell ref="A62:F62"/>
    <mergeCell ref="A63:A64"/>
    <mergeCell ref="B63:B64"/>
    <mergeCell ref="C63:E63"/>
    <mergeCell ref="F63:G63"/>
    <mergeCell ref="A49:D49"/>
    <mergeCell ref="C54:E54"/>
    <mergeCell ref="F54:G54"/>
    <mergeCell ref="A50:A51"/>
    <mergeCell ref="B50:B51"/>
    <mergeCell ref="C50:E50"/>
    <mergeCell ref="F50:G50"/>
    <mergeCell ref="B52:B53"/>
    <mergeCell ref="C52:E52"/>
    <mergeCell ref="F52:G52"/>
    <mergeCell ref="A52:A53"/>
    <mergeCell ref="A54:A55"/>
    <mergeCell ref="B54:B55"/>
    <mergeCell ref="A42:A43"/>
    <mergeCell ref="C42:E42"/>
    <mergeCell ref="F42:G42"/>
    <mergeCell ref="B42:B43"/>
    <mergeCell ref="A44:C44"/>
    <mergeCell ref="A45:C45"/>
    <mergeCell ref="A46:D46"/>
    <mergeCell ref="A47:D47"/>
    <mergeCell ref="A48:D48"/>
    <mergeCell ref="A34:G34"/>
    <mergeCell ref="B36:G36"/>
    <mergeCell ref="A37:G37"/>
    <mergeCell ref="A38:A39"/>
    <mergeCell ref="B38:B39"/>
    <mergeCell ref="C38:E38"/>
    <mergeCell ref="F38:G38"/>
    <mergeCell ref="A40:A41"/>
    <mergeCell ref="B40:B41"/>
    <mergeCell ref="C40:E40"/>
    <mergeCell ref="F40:G40"/>
    <mergeCell ref="A25:C25"/>
    <mergeCell ref="A26:C26"/>
    <mergeCell ref="C32:E32"/>
    <mergeCell ref="F32:G32"/>
    <mergeCell ref="A27:D27"/>
    <mergeCell ref="A28:D28"/>
    <mergeCell ref="A29:D29"/>
    <mergeCell ref="A30:D30"/>
    <mergeCell ref="A31:F31"/>
    <mergeCell ref="A32:A33"/>
    <mergeCell ref="B32:B33"/>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35"/>
  <sheetViews>
    <sheetView workbookViewId="0"/>
  </sheetViews>
  <sheetFormatPr defaultColWidth="14.453125" defaultRowHeight="15" customHeight="1"/>
  <cols>
    <col min="8" max="8" width="7.54296875" hidden="1" customWidth="1"/>
    <col min="9" max="9" width="6.7265625" hidden="1" customWidth="1"/>
  </cols>
  <sheetData>
    <row r="1" spans="1:9">
      <c r="A1" s="571" t="s">
        <v>771</v>
      </c>
      <c r="B1" s="571" t="s">
        <v>776</v>
      </c>
      <c r="C1" s="572" t="s">
        <v>4</v>
      </c>
      <c r="D1" s="454"/>
      <c r="E1" s="450"/>
      <c r="F1" s="572" t="s">
        <v>785</v>
      </c>
      <c r="G1" s="450"/>
      <c r="H1" s="233"/>
      <c r="I1" s="233"/>
    </row>
    <row r="2" spans="1:9">
      <c r="A2" s="457"/>
      <c r="B2" s="457"/>
      <c r="C2" s="216" t="s">
        <v>5</v>
      </c>
      <c r="D2" s="216" t="s">
        <v>6</v>
      </c>
      <c r="E2" s="216" t="s">
        <v>336</v>
      </c>
      <c r="F2" s="216" t="s">
        <v>8</v>
      </c>
      <c r="G2" s="216" t="s">
        <v>789</v>
      </c>
      <c r="H2" s="233"/>
      <c r="I2" s="233"/>
    </row>
    <row r="3" spans="1:9">
      <c r="A3" s="573" t="s">
        <v>1310</v>
      </c>
      <c r="B3" s="454"/>
      <c r="C3" s="454"/>
      <c r="D3" s="454"/>
      <c r="E3" s="454"/>
      <c r="F3" s="454"/>
      <c r="G3" s="450"/>
      <c r="H3" s="233"/>
      <c r="I3" s="233"/>
    </row>
    <row r="4" spans="1:9">
      <c r="A4" s="225"/>
      <c r="B4" s="222" t="s">
        <v>795</v>
      </c>
      <c r="C4" s="222" t="s">
        <v>46</v>
      </c>
      <c r="D4" s="222" t="s">
        <v>798</v>
      </c>
      <c r="E4" s="222">
        <v>1</v>
      </c>
      <c r="F4" s="225"/>
      <c r="G4" s="225"/>
      <c r="H4" s="233"/>
      <c r="I4" s="233"/>
    </row>
    <row r="5" spans="1:9">
      <c r="A5" s="222" t="s">
        <v>800</v>
      </c>
      <c r="B5" s="574" t="s">
        <v>1168</v>
      </c>
      <c r="C5" s="454"/>
      <c r="D5" s="454"/>
      <c r="E5" s="454"/>
      <c r="F5" s="454"/>
      <c r="G5" s="450"/>
      <c r="H5" s="233"/>
      <c r="I5" s="233"/>
    </row>
    <row r="6" spans="1:9">
      <c r="A6" s="574" t="s">
        <v>1171</v>
      </c>
      <c r="B6" s="454"/>
      <c r="C6" s="454"/>
      <c r="D6" s="454"/>
      <c r="E6" s="454"/>
      <c r="F6" s="454"/>
      <c r="G6" s="450"/>
      <c r="H6" s="233"/>
      <c r="I6" s="233"/>
    </row>
    <row r="7" spans="1:9">
      <c r="A7" s="577"/>
      <c r="B7" s="577" t="s">
        <v>1312</v>
      </c>
      <c r="C7" s="576" t="s">
        <v>1313</v>
      </c>
      <c r="D7" s="454"/>
      <c r="E7" s="450"/>
      <c r="F7" s="576"/>
      <c r="G7" s="450"/>
      <c r="H7" s="233"/>
      <c r="I7" s="233"/>
    </row>
    <row r="8" spans="1:9">
      <c r="A8" s="457"/>
      <c r="B8" s="457"/>
      <c r="C8" s="219" t="s">
        <v>46</v>
      </c>
      <c r="D8" s="219">
        <v>1</v>
      </c>
      <c r="E8" s="219">
        <v>728.81</v>
      </c>
      <c r="F8" s="219">
        <f>D8*E8</f>
        <v>728.81</v>
      </c>
      <c r="G8" s="219" t="s">
        <v>808</v>
      </c>
      <c r="H8" s="233"/>
      <c r="I8" s="233"/>
    </row>
    <row r="9" spans="1:9">
      <c r="A9" s="577"/>
      <c r="B9" s="577" t="s">
        <v>1316</v>
      </c>
      <c r="C9" s="576" t="s">
        <v>1317</v>
      </c>
      <c r="D9" s="454"/>
      <c r="E9" s="450"/>
      <c r="F9" s="576"/>
      <c r="G9" s="450"/>
      <c r="H9" s="233"/>
      <c r="I9" s="233"/>
    </row>
    <row r="10" spans="1:9">
      <c r="A10" s="457"/>
      <c r="B10" s="457"/>
      <c r="C10" s="219" t="s">
        <v>46</v>
      </c>
      <c r="D10" s="219">
        <v>4</v>
      </c>
      <c r="E10" s="219">
        <v>0.25</v>
      </c>
      <c r="F10" s="219">
        <f>D10*E10</f>
        <v>1</v>
      </c>
      <c r="G10" s="219" t="s">
        <v>1318</v>
      </c>
      <c r="H10" s="233"/>
      <c r="I10" s="233"/>
    </row>
    <row r="11" spans="1:9">
      <c r="A11" s="577"/>
      <c r="B11" s="577" t="s">
        <v>1178</v>
      </c>
      <c r="C11" s="576" t="s">
        <v>1179</v>
      </c>
      <c r="D11" s="454"/>
      <c r="E11" s="450"/>
      <c r="F11" s="576"/>
      <c r="G11" s="450"/>
      <c r="H11" s="233"/>
      <c r="I11" s="233"/>
    </row>
    <row r="12" spans="1:9">
      <c r="A12" s="457"/>
      <c r="B12" s="457"/>
      <c r="C12" s="219" t="s">
        <v>26</v>
      </c>
      <c r="D12" s="219">
        <v>0.01</v>
      </c>
      <c r="E12" s="219">
        <v>675</v>
      </c>
      <c r="F12" s="219">
        <f>D12*E12</f>
        <v>6.75</v>
      </c>
      <c r="G12" s="219" t="s">
        <v>825</v>
      </c>
      <c r="H12" s="233"/>
      <c r="I12" s="233"/>
    </row>
    <row r="13" spans="1:9">
      <c r="A13" s="577" t="s">
        <v>1181</v>
      </c>
      <c r="B13" s="577"/>
      <c r="C13" s="575" t="s">
        <v>1321</v>
      </c>
      <c r="D13" s="454"/>
      <c r="E13" s="450"/>
      <c r="F13" s="576"/>
      <c r="G13" s="450"/>
      <c r="H13" s="233"/>
      <c r="I13" s="233"/>
    </row>
    <row r="14" spans="1:9">
      <c r="A14" s="457"/>
      <c r="B14" s="457"/>
      <c r="C14" s="219" t="s">
        <v>891</v>
      </c>
      <c r="D14" s="221"/>
      <c r="E14" s="221"/>
      <c r="F14" s="219">
        <f>(F8+F10+F12)*0.5%</f>
        <v>3.6827999999999999</v>
      </c>
      <c r="G14" s="219" t="s">
        <v>1184</v>
      </c>
      <c r="H14" s="233"/>
      <c r="I14" s="233"/>
    </row>
    <row r="15" spans="1:9">
      <c r="A15" s="574" t="s">
        <v>30</v>
      </c>
      <c r="B15" s="454"/>
      <c r="C15" s="450"/>
      <c r="D15" s="222">
        <v>1</v>
      </c>
      <c r="E15" s="222" t="s">
        <v>46</v>
      </c>
      <c r="F15" s="222">
        <f>F8+F10+F12+F14</f>
        <v>740.24279999999999</v>
      </c>
      <c r="G15" s="217"/>
      <c r="H15" s="233"/>
      <c r="I15" s="233"/>
    </row>
    <row r="16" spans="1:9">
      <c r="A16" s="574" t="s">
        <v>826</v>
      </c>
      <c r="B16" s="454"/>
      <c r="C16" s="450"/>
      <c r="D16" s="222">
        <v>1</v>
      </c>
      <c r="E16" s="222" t="s">
        <v>46</v>
      </c>
      <c r="F16" s="222">
        <f>F15/D15</f>
        <v>740.24279999999999</v>
      </c>
      <c r="G16" s="217"/>
      <c r="H16" s="233"/>
      <c r="I16" s="233"/>
    </row>
    <row r="17" spans="1:9">
      <c r="A17" s="574" t="s">
        <v>1187</v>
      </c>
      <c r="B17" s="454"/>
      <c r="C17" s="454"/>
      <c r="D17" s="450"/>
      <c r="E17" s="222">
        <f>(F8+F10)*1.005</f>
        <v>733.45904999999982</v>
      </c>
      <c r="F17" s="222">
        <f>E17*1%</f>
        <v>7.3345904999999982</v>
      </c>
      <c r="G17" s="217"/>
      <c r="H17" s="233"/>
      <c r="I17" s="233"/>
    </row>
    <row r="18" spans="1:9">
      <c r="A18" s="574" t="s">
        <v>30</v>
      </c>
      <c r="B18" s="454"/>
      <c r="C18" s="454"/>
      <c r="D18" s="450"/>
      <c r="E18" s="217"/>
      <c r="F18" s="222">
        <f>F16+F17</f>
        <v>747.57739049999998</v>
      </c>
      <c r="G18" s="217"/>
      <c r="H18" s="233"/>
      <c r="I18" s="233"/>
    </row>
    <row r="19" spans="1:9">
      <c r="A19" s="574" t="s">
        <v>836</v>
      </c>
      <c r="B19" s="454"/>
      <c r="C19" s="454"/>
      <c r="D19" s="450"/>
      <c r="E19" s="222">
        <f>F18</f>
        <v>747.57739049999998</v>
      </c>
      <c r="F19" s="222">
        <f>E19*15%</f>
        <v>112.136608575</v>
      </c>
      <c r="G19" s="217"/>
      <c r="H19" s="233"/>
      <c r="I19" s="233"/>
    </row>
    <row r="20" spans="1:9">
      <c r="A20" s="578" t="s">
        <v>30</v>
      </c>
      <c r="B20" s="454"/>
      <c r="C20" s="454"/>
      <c r="D20" s="450"/>
      <c r="E20" s="225"/>
      <c r="F20" s="226">
        <f>ROUND(F18+F19,2)</f>
        <v>859.71</v>
      </c>
      <c r="G20" s="217"/>
      <c r="H20" s="233"/>
      <c r="I20" s="233"/>
    </row>
    <row r="21" spans="1:9">
      <c r="A21" s="577">
        <v>2862</v>
      </c>
      <c r="B21" s="577"/>
      <c r="C21" s="576" t="s">
        <v>1330</v>
      </c>
      <c r="D21" s="454"/>
      <c r="E21" s="450"/>
      <c r="F21" s="576"/>
      <c r="G21" s="450"/>
      <c r="H21" s="233"/>
      <c r="I21" s="233"/>
    </row>
    <row r="22" spans="1:9">
      <c r="A22" s="457"/>
      <c r="B22" s="457"/>
      <c r="C22" s="219" t="s">
        <v>46</v>
      </c>
      <c r="D22" s="219">
        <v>4</v>
      </c>
      <c r="E22" s="219">
        <v>5.4</v>
      </c>
      <c r="F22" s="219">
        <f>D22*E22</f>
        <v>21.6</v>
      </c>
      <c r="G22" s="219" t="s">
        <v>1207</v>
      </c>
      <c r="H22" s="233"/>
      <c r="I22" s="233"/>
    </row>
    <row r="23" spans="1:9">
      <c r="A23" s="577">
        <v>2920</v>
      </c>
      <c r="B23" s="577"/>
      <c r="C23" s="219" t="s">
        <v>1333</v>
      </c>
      <c r="D23" s="234"/>
      <c r="E23" s="234"/>
      <c r="F23" s="221"/>
      <c r="G23" s="221"/>
      <c r="H23" s="233"/>
      <c r="I23" s="233"/>
    </row>
    <row r="24" spans="1:9">
      <c r="A24" s="457"/>
      <c r="B24" s="457"/>
      <c r="C24" s="219" t="s">
        <v>46</v>
      </c>
      <c r="D24" s="219">
        <v>4</v>
      </c>
      <c r="E24" s="219">
        <v>0</v>
      </c>
      <c r="F24" s="219">
        <f>D24*E24</f>
        <v>0</v>
      </c>
      <c r="G24" s="219" t="s">
        <v>1337</v>
      </c>
      <c r="H24" s="233"/>
      <c r="I24" s="233"/>
    </row>
    <row r="25" spans="1:9">
      <c r="A25" s="577">
        <v>1005</v>
      </c>
      <c r="B25" s="577"/>
      <c r="C25" s="576" t="s">
        <v>1208</v>
      </c>
      <c r="D25" s="454"/>
      <c r="E25" s="450"/>
      <c r="F25" s="576"/>
      <c r="G25" s="450"/>
      <c r="H25" s="233"/>
      <c r="I25" s="233"/>
    </row>
    <row r="26" spans="1:9">
      <c r="A26" s="457"/>
      <c r="B26" s="457"/>
      <c r="C26" s="219" t="s">
        <v>26</v>
      </c>
      <c r="D26" s="219">
        <v>0.01</v>
      </c>
      <c r="E26" s="219">
        <v>734</v>
      </c>
      <c r="F26" s="219">
        <f>D26*E26</f>
        <v>7.34</v>
      </c>
      <c r="G26" s="219" t="s">
        <v>822</v>
      </c>
      <c r="H26" s="233"/>
      <c r="I26" s="233"/>
    </row>
    <row r="27" spans="1:9">
      <c r="A27" s="577" t="s">
        <v>1181</v>
      </c>
      <c r="B27" s="577"/>
      <c r="C27" s="575" t="s">
        <v>1341</v>
      </c>
      <c r="D27" s="454"/>
      <c r="E27" s="450"/>
      <c r="F27" s="576"/>
      <c r="G27" s="450"/>
      <c r="H27" s="233"/>
      <c r="I27" s="233"/>
    </row>
    <row r="28" spans="1:9">
      <c r="A28" s="457"/>
      <c r="B28" s="457"/>
      <c r="C28" s="219" t="s">
        <v>891</v>
      </c>
      <c r="D28" s="221"/>
      <c r="E28" s="221"/>
      <c r="F28" s="219">
        <f>(F22+F24+F26)*0.5%</f>
        <v>0.14470000000000002</v>
      </c>
      <c r="G28" s="219" t="s">
        <v>1218</v>
      </c>
      <c r="H28" s="233"/>
      <c r="I28" s="233"/>
    </row>
    <row r="29" spans="1:9">
      <c r="A29" s="574" t="s">
        <v>30</v>
      </c>
      <c r="B29" s="454"/>
      <c r="C29" s="450"/>
      <c r="D29" s="222">
        <v>1</v>
      </c>
      <c r="E29" s="222" t="s">
        <v>46</v>
      </c>
      <c r="F29" s="222">
        <f>F22+F24+F26+F28</f>
        <v>29.084700000000002</v>
      </c>
      <c r="G29" s="225"/>
      <c r="H29" s="233"/>
      <c r="I29" s="233"/>
    </row>
    <row r="30" spans="1:9">
      <c r="A30" s="574" t="s">
        <v>826</v>
      </c>
      <c r="B30" s="454"/>
      <c r="C30" s="450"/>
      <c r="D30" s="222">
        <v>1</v>
      </c>
      <c r="E30" s="222" t="s">
        <v>46</v>
      </c>
      <c r="F30" s="222">
        <f>F29/D29</f>
        <v>29.084700000000002</v>
      </c>
      <c r="G30" s="225"/>
      <c r="H30" s="233"/>
      <c r="I30" s="233"/>
    </row>
    <row r="31" spans="1:9">
      <c r="A31" s="574" t="s">
        <v>1187</v>
      </c>
      <c r="B31" s="454"/>
      <c r="C31" s="454"/>
      <c r="D31" s="450"/>
      <c r="E31" s="222">
        <f>(F22+F24)*1.005</f>
        <v>21.707999999999998</v>
      </c>
      <c r="F31" s="222">
        <f>E31*1%</f>
        <v>0.21708</v>
      </c>
      <c r="G31" s="225"/>
      <c r="H31" s="233"/>
      <c r="I31" s="233"/>
    </row>
    <row r="32" spans="1:9">
      <c r="A32" s="574" t="s">
        <v>30</v>
      </c>
      <c r="B32" s="454"/>
      <c r="C32" s="454"/>
      <c r="D32" s="450"/>
      <c r="E32" s="217"/>
      <c r="F32" s="222">
        <f>F30+F31</f>
        <v>29.301780000000001</v>
      </c>
      <c r="G32" s="225"/>
      <c r="H32" s="233"/>
      <c r="I32" s="233"/>
    </row>
    <row r="33" spans="1:9">
      <c r="A33" s="574" t="s">
        <v>836</v>
      </c>
      <c r="B33" s="454"/>
      <c r="C33" s="454"/>
      <c r="D33" s="450"/>
      <c r="E33" s="222">
        <f>F32</f>
        <v>29.301780000000001</v>
      </c>
      <c r="F33" s="222">
        <f>E33*15%</f>
        <v>4.3952669999999996</v>
      </c>
      <c r="G33" s="225"/>
      <c r="H33" s="233"/>
      <c r="I33" s="233"/>
    </row>
    <row r="34" spans="1:9">
      <c r="A34" s="578" t="s">
        <v>30</v>
      </c>
      <c r="B34" s="454"/>
      <c r="C34" s="454"/>
      <c r="D34" s="450"/>
      <c r="E34" s="225"/>
      <c r="F34" s="226">
        <f>ROUND(F32+F33,2)</f>
        <v>33.700000000000003</v>
      </c>
      <c r="G34" s="217"/>
      <c r="H34" s="233"/>
      <c r="I34" s="233"/>
    </row>
    <row r="35" spans="1:9">
      <c r="A35" s="579" t="str">
        <f>CONCATENATE("Say ₹ ",F20," + ",F34," x Cost Index")</f>
        <v>Say ₹ 859.71 + 33.7 x Cost Index</v>
      </c>
      <c r="B35" s="454"/>
      <c r="C35" s="454"/>
      <c r="D35" s="454"/>
      <c r="E35" s="454"/>
      <c r="F35" s="450"/>
      <c r="G35" s="228" t="s">
        <v>1007</v>
      </c>
      <c r="H35" s="233">
        <f>((F8+F10)*1.005*1.01*1.15)+(F12*1.005*1.15)</f>
        <v>859.71399907499972</v>
      </c>
      <c r="I35" s="233">
        <f>((F22+F24)*1.005*1.01*1.15)+(F26*1.005*1.15)</f>
        <v>33.697046999999998</v>
      </c>
    </row>
  </sheetData>
  <mergeCells count="50">
    <mergeCell ref="A32:D32"/>
    <mergeCell ref="A33:D33"/>
    <mergeCell ref="A34:D34"/>
    <mergeCell ref="A35:F35"/>
    <mergeCell ref="A27:A28"/>
    <mergeCell ref="B27:B28"/>
    <mergeCell ref="C27:E27"/>
    <mergeCell ref="F27:G27"/>
    <mergeCell ref="A29:C29"/>
    <mergeCell ref="A30:C30"/>
    <mergeCell ref="A31:D31"/>
    <mergeCell ref="F21:G21"/>
    <mergeCell ref="A21:A22"/>
    <mergeCell ref="A23:A24"/>
    <mergeCell ref="B23:B24"/>
    <mergeCell ref="A25:A26"/>
    <mergeCell ref="B25:B26"/>
    <mergeCell ref="C25:E25"/>
    <mergeCell ref="F25:G25"/>
    <mergeCell ref="A18:D18"/>
    <mergeCell ref="A19:D19"/>
    <mergeCell ref="A20:D20"/>
    <mergeCell ref="B21:B22"/>
    <mergeCell ref="C21:E21"/>
    <mergeCell ref="A13:A14"/>
    <mergeCell ref="B13:B14"/>
    <mergeCell ref="A15:C15"/>
    <mergeCell ref="A16:C16"/>
    <mergeCell ref="A17:D17"/>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A2"/>
    <mergeCell ref="B1:B2"/>
    <mergeCell ref="C1:E1"/>
    <mergeCell ref="F1:G1"/>
    <mergeCell ref="A3:G3"/>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79"/>
  <sheetViews>
    <sheetView workbookViewId="0"/>
  </sheetViews>
  <sheetFormatPr defaultColWidth="14.453125" defaultRowHeight="15" customHeight="1"/>
  <cols>
    <col min="8" max="9" width="14.453125" hidden="1"/>
  </cols>
  <sheetData>
    <row r="1" spans="1:9">
      <c r="A1" s="571" t="s">
        <v>771</v>
      </c>
      <c r="B1" s="571" t="s">
        <v>776</v>
      </c>
      <c r="C1" s="572" t="s">
        <v>4</v>
      </c>
      <c r="D1" s="454"/>
      <c r="E1" s="450"/>
      <c r="F1" s="572" t="s">
        <v>785</v>
      </c>
      <c r="G1" s="450"/>
      <c r="H1" s="215"/>
      <c r="I1" s="215"/>
    </row>
    <row r="2" spans="1:9">
      <c r="A2" s="457"/>
      <c r="B2" s="457"/>
      <c r="C2" s="216" t="s">
        <v>5</v>
      </c>
      <c r="D2" s="216" t="s">
        <v>6</v>
      </c>
      <c r="E2" s="216" t="s">
        <v>336</v>
      </c>
      <c r="F2" s="216" t="s">
        <v>8</v>
      </c>
      <c r="G2" s="216" t="s">
        <v>789</v>
      </c>
      <c r="H2" s="215"/>
      <c r="I2" s="215"/>
    </row>
    <row r="3" spans="1:9">
      <c r="A3" s="573" t="s">
        <v>1335</v>
      </c>
      <c r="B3" s="454"/>
      <c r="C3" s="454"/>
      <c r="D3" s="454"/>
      <c r="E3" s="454"/>
      <c r="F3" s="454"/>
      <c r="G3" s="450"/>
      <c r="H3" s="215"/>
      <c r="I3" s="215"/>
    </row>
    <row r="4" spans="1:9">
      <c r="A4" s="217"/>
      <c r="B4" s="217" t="s">
        <v>795</v>
      </c>
      <c r="C4" s="217" t="s">
        <v>46</v>
      </c>
      <c r="D4" s="217" t="s">
        <v>798</v>
      </c>
      <c r="E4" s="217">
        <v>1</v>
      </c>
      <c r="F4" s="217"/>
      <c r="G4" s="217"/>
      <c r="H4" s="215"/>
      <c r="I4" s="215"/>
    </row>
    <row r="5" spans="1:9">
      <c r="A5" s="217" t="s">
        <v>800</v>
      </c>
      <c r="B5" s="574" t="s">
        <v>1168</v>
      </c>
      <c r="C5" s="454"/>
      <c r="D5" s="454"/>
      <c r="E5" s="454"/>
      <c r="F5" s="454"/>
      <c r="G5" s="450"/>
      <c r="H5" s="215"/>
      <c r="I5" s="215"/>
    </row>
    <row r="6" spans="1:9">
      <c r="A6" s="574" t="s">
        <v>1171</v>
      </c>
      <c r="B6" s="454"/>
      <c r="C6" s="454"/>
      <c r="D6" s="454"/>
      <c r="E6" s="454"/>
      <c r="F6" s="454"/>
      <c r="G6" s="450"/>
      <c r="H6" s="215"/>
      <c r="I6" s="215"/>
    </row>
    <row r="7" spans="1:9">
      <c r="A7" s="577"/>
      <c r="B7" s="577" t="s">
        <v>1338</v>
      </c>
      <c r="C7" s="576" t="s">
        <v>1339</v>
      </c>
      <c r="D7" s="454"/>
      <c r="E7" s="450"/>
      <c r="F7" s="576"/>
      <c r="G7" s="450"/>
      <c r="H7" s="215"/>
      <c r="I7" s="215"/>
    </row>
    <row r="8" spans="1:9">
      <c r="A8" s="457"/>
      <c r="B8" s="457"/>
      <c r="C8" s="219" t="s">
        <v>46</v>
      </c>
      <c r="D8" s="219">
        <v>1</v>
      </c>
      <c r="E8" s="219">
        <v>1525.42</v>
      </c>
      <c r="F8" s="219">
        <f>D8*E8</f>
        <v>1525.42</v>
      </c>
      <c r="G8" s="219" t="s">
        <v>808</v>
      </c>
      <c r="H8" s="215"/>
      <c r="I8" s="215"/>
    </row>
    <row r="9" spans="1:9">
      <c r="A9" s="577"/>
      <c r="B9" s="577" t="s">
        <v>1178</v>
      </c>
      <c r="C9" s="576" t="s">
        <v>1179</v>
      </c>
      <c r="D9" s="454"/>
      <c r="E9" s="450"/>
      <c r="F9" s="576"/>
      <c r="G9" s="450"/>
      <c r="H9" s="215"/>
      <c r="I9" s="215"/>
    </row>
    <row r="10" spans="1:9">
      <c r="A10" s="457"/>
      <c r="B10" s="457"/>
      <c r="C10" s="219" t="s">
        <v>26</v>
      </c>
      <c r="D10" s="219">
        <v>0.01</v>
      </c>
      <c r="E10" s="219">
        <v>675</v>
      </c>
      <c r="F10" s="219">
        <f>D10*E10</f>
        <v>6.75</v>
      </c>
      <c r="G10" s="219" t="s">
        <v>825</v>
      </c>
      <c r="H10" s="215"/>
      <c r="I10" s="215"/>
    </row>
    <row r="11" spans="1:9">
      <c r="A11" s="577" t="s">
        <v>1181</v>
      </c>
      <c r="B11" s="577"/>
      <c r="C11" s="575" t="s">
        <v>1182</v>
      </c>
      <c r="D11" s="454"/>
      <c r="E11" s="450"/>
      <c r="F11" s="576"/>
      <c r="G11" s="450"/>
      <c r="H11" s="215"/>
      <c r="I11" s="215"/>
    </row>
    <row r="12" spans="1:9">
      <c r="A12" s="457"/>
      <c r="B12" s="457"/>
      <c r="C12" s="219" t="s">
        <v>891</v>
      </c>
      <c r="D12" s="221"/>
      <c r="E12" s="221"/>
      <c r="F12" s="219">
        <f>(F8+F10)*0.5%</f>
        <v>7.6608500000000008</v>
      </c>
      <c r="G12" s="219" t="s">
        <v>1184</v>
      </c>
      <c r="H12" s="215"/>
      <c r="I12" s="215"/>
    </row>
    <row r="13" spans="1:9">
      <c r="A13" s="574" t="s">
        <v>30</v>
      </c>
      <c r="B13" s="454"/>
      <c r="C13" s="450"/>
      <c r="D13" s="222">
        <v>1</v>
      </c>
      <c r="E13" s="222" t="s">
        <v>46</v>
      </c>
      <c r="F13" s="222">
        <f>F8+F10+F12</f>
        <v>1539.8308500000001</v>
      </c>
      <c r="G13" s="217"/>
      <c r="H13" s="215"/>
      <c r="I13" s="215"/>
    </row>
    <row r="14" spans="1:9">
      <c r="A14" s="574" t="s">
        <v>826</v>
      </c>
      <c r="B14" s="454"/>
      <c r="C14" s="450"/>
      <c r="D14" s="222">
        <v>1</v>
      </c>
      <c r="E14" s="222" t="s">
        <v>46</v>
      </c>
      <c r="F14" s="222">
        <f>F13/D13</f>
        <v>1539.8308500000001</v>
      </c>
      <c r="G14" s="217"/>
      <c r="H14" s="215"/>
      <c r="I14" s="215"/>
    </row>
    <row r="15" spans="1:9">
      <c r="A15" s="574" t="s">
        <v>1187</v>
      </c>
      <c r="B15" s="454"/>
      <c r="C15" s="454"/>
      <c r="D15" s="450"/>
      <c r="E15" s="224">
        <f>F8*100.5%/D13</f>
        <v>1533.0471</v>
      </c>
      <c r="F15" s="222">
        <f>E15*1%</f>
        <v>15.330471000000001</v>
      </c>
      <c r="G15" s="217"/>
      <c r="H15" s="215"/>
      <c r="I15" s="215"/>
    </row>
    <row r="16" spans="1:9">
      <c r="A16" s="574" t="s">
        <v>30</v>
      </c>
      <c r="B16" s="454"/>
      <c r="C16" s="454"/>
      <c r="D16" s="450"/>
      <c r="E16" s="217"/>
      <c r="F16" s="222">
        <f>F14+F15</f>
        <v>1555.161321</v>
      </c>
      <c r="G16" s="217"/>
      <c r="H16" s="215"/>
      <c r="I16" s="215"/>
    </row>
    <row r="17" spans="1:9">
      <c r="A17" s="574" t="s">
        <v>836</v>
      </c>
      <c r="B17" s="454"/>
      <c r="C17" s="454"/>
      <c r="D17" s="450"/>
      <c r="E17" s="222">
        <f>F16</f>
        <v>1555.161321</v>
      </c>
      <c r="F17" s="222">
        <f>E17*15%</f>
        <v>233.27419814999999</v>
      </c>
      <c r="G17" s="217"/>
      <c r="H17" s="215"/>
      <c r="I17" s="215"/>
    </row>
    <row r="18" spans="1:9">
      <c r="A18" s="578" t="s">
        <v>30</v>
      </c>
      <c r="B18" s="454"/>
      <c r="C18" s="454"/>
      <c r="D18" s="450"/>
      <c r="E18" s="225"/>
      <c r="F18" s="226">
        <f>ROUND(F16+F17,2)</f>
        <v>1788.44</v>
      </c>
      <c r="G18" s="217"/>
      <c r="H18" s="215"/>
      <c r="I18" s="215"/>
    </row>
    <row r="19" spans="1:9">
      <c r="A19" s="577">
        <v>2852</v>
      </c>
      <c r="B19" s="577"/>
      <c r="C19" s="576" t="s">
        <v>1203</v>
      </c>
      <c r="D19" s="454"/>
      <c r="E19" s="450"/>
      <c r="F19" s="576"/>
      <c r="G19" s="450"/>
      <c r="H19" s="215"/>
      <c r="I19" s="215"/>
    </row>
    <row r="20" spans="1:9">
      <c r="A20" s="457"/>
      <c r="B20" s="457"/>
      <c r="C20" s="219" t="s">
        <v>46</v>
      </c>
      <c r="D20" s="219">
        <v>4</v>
      </c>
      <c r="E20" s="219">
        <v>1.8</v>
      </c>
      <c r="F20" s="219">
        <f>D20*E20</f>
        <v>7.2</v>
      </c>
      <c r="G20" s="219" t="s">
        <v>1207</v>
      </c>
      <c r="H20" s="215"/>
      <c r="I20" s="215"/>
    </row>
    <row r="21" spans="1:9">
      <c r="A21" s="577">
        <v>1005</v>
      </c>
      <c r="B21" s="577"/>
      <c r="C21" s="576" t="s">
        <v>1208</v>
      </c>
      <c r="D21" s="454"/>
      <c r="E21" s="450"/>
      <c r="F21" s="576"/>
      <c r="G21" s="450"/>
      <c r="H21" s="215"/>
      <c r="I21" s="215"/>
    </row>
    <row r="22" spans="1:9">
      <c r="A22" s="457"/>
      <c r="B22" s="457"/>
      <c r="C22" s="219" t="s">
        <v>26</v>
      </c>
      <c r="D22" s="219">
        <v>0.01</v>
      </c>
      <c r="E22" s="219">
        <v>734</v>
      </c>
      <c r="F22" s="219">
        <f>D22*E22</f>
        <v>7.34</v>
      </c>
      <c r="G22" s="219" t="s">
        <v>822</v>
      </c>
      <c r="H22" s="215"/>
      <c r="I22" s="215"/>
    </row>
    <row r="23" spans="1:9">
      <c r="A23" s="577" t="s">
        <v>1181</v>
      </c>
      <c r="B23" s="577"/>
      <c r="C23" s="575" t="s">
        <v>1216</v>
      </c>
      <c r="D23" s="454"/>
      <c r="E23" s="450"/>
      <c r="F23" s="576"/>
      <c r="G23" s="450"/>
      <c r="H23" s="215"/>
      <c r="I23" s="215"/>
    </row>
    <row r="24" spans="1:9">
      <c r="A24" s="457"/>
      <c r="B24" s="457"/>
      <c r="C24" s="219" t="s">
        <v>891</v>
      </c>
      <c r="D24" s="221"/>
      <c r="E24" s="221"/>
      <c r="F24" s="219">
        <f>(F20+F22)*0.5%</f>
        <v>7.2700000000000001E-2</v>
      </c>
      <c r="G24" s="219" t="s">
        <v>1218</v>
      </c>
      <c r="H24" s="215">
        <f>F24+F12</f>
        <v>7.733550000000001</v>
      </c>
      <c r="I24" s="215"/>
    </row>
    <row r="25" spans="1:9">
      <c r="A25" s="574" t="s">
        <v>30</v>
      </c>
      <c r="B25" s="454"/>
      <c r="C25" s="450"/>
      <c r="D25" s="222">
        <v>1</v>
      </c>
      <c r="E25" s="222" t="s">
        <v>46</v>
      </c>
      <c r="F25" s="222">
        <f>F20+F22+F24</f>
        <v>14.612699999999998</v>
      </c>
      <c r="G25" s="225"/>
      <c r="H25" s="215"/>
      <c r="I25" s="215"/>
    </row>
    <row r="26" spans="1:9">
      <c r="A26" s="574" t="s">
        <v>826</v>
      </c>
      <c r="B26" s="454"/>
      <c r="C26" s="450"/>
      <c r="D26" s="222">
        <v>1</v>
      </c>
      <c r="E26" s="222" t="s">
        <v>46</v>
      </c>
      <c r="F26" s="222">
        <f>F25/D25</f>
        <v>14.612699999999998</v>
      </c>
      <c r="G26" s="225"/>
      <c r="H26" s="215"/>
      <c r="I26" s="215"/>
    </row>
    <row r="27" spans="1:9">
      <c r="A27" s="574" t="s">
        <v>1187</v>
      </c>
      <c r="B27" s="454"/>
      <c r="C27" s="454"/>
      <c r="D27" s="450"/>
      <c r="E27" s="224">
        <f>F20*100.5%/D25</f>
        <v>7.2359999999999998</v>
      </c>
      <c r="F27" s="222">
        <f>E27*1%</f>
        <v>7.2359999999999994E-2</v>
      </c>
      <c r="G27" s="225"/>
      <c r="H27" s="215"/>
      <c r="I27" s="215"/>
    </row>
    <row r="28" spans="1:9">
      <c r="A28" s="574" t="s">
        <v>30</v>
      </c>
      <c r="B28" s="454"/>
      <c r="C28" s="454"/>
      <c r="D28" s="450"/>
      <c r="E28" s="217"/>
      <c r="F28" s="222">
        <f>F26+F27</f>
        <v>14.685059999999998</v>
      </c>
      <c r="G28" s="225"/>
      <c r="H28" s="215"/>
      <c r="I28" s="215"/>
    </row>
    <row r="29" spans="1:9">
      <c r="A29" s="574" t="s">
        <v>836</v>
      </c>
      <c r="B29" s="454"/>
      <c r="C29" s="454"/>
      <c r="D29" s="450"/>
      <c r="E29" s="222">
        <f>F28</f>
        <v>14.685059999999998</v>
      </c>
      <c r="F29" s="222">
        <f>E29*15%</f>
        <v>2.2027589999999995</v>
      </c>
      <c r="G29" s="225"/>
      <c r="H29" s="215"/>
      <c r="I29" s="215"/>
    </row>
    <row r="30" spans="1:9">
      <c r="A30" s="578" t="s">
        <v>30</v>
      </c>
      <c r="B30" s="454"/>
      <c r="C30" s="454"/>
      <c r="D30" s="450"/>
      <c r="E30" s="225"/>
      <c r="F30" s="226">
        <f>ROUND(F28+F29,2)</f>
        <v>16.89</v>
      </c>
      <c r="G30" s="217"/>
      <c r="H30" s="215"/>
      <c r="I30" s="215">
        <f>F30+F18</f>
        <v>1805.3300000000002</v>
      </c>
    </row>
    <row r="31" spans="1:9">
      <c r="A31" s="579" t="str">
        <f>CONCATENATE("Say ₹ ",F18," + ",F30," x Cost Index")</f>
        <v>Say ₹ 1788.44 + 16.89 x Cost Index</v>
      </c>
      <c r="B31" s="454"/>
      <c r="C31" s="454"/>
      <c r="D31" s="454"/>
      <c r="E31" s="454"/>
      <c r="F31" s="450"/>
      <c r="G31" s="228" t="s">
        <v>1007</v>
      </c>
      <c r="H31" s="229">
        <f>((F8*1.005*1.01)+(F10*1.005))*1.15</f>
        <v>1788.4355191499999</v>
      </c>
      <c r="I31" s="229">
        <f>((F20*1.005*1.01)+(F22*1.005))*1.15</f>
        <v>16.887818999999997</v>
      </c>
    </row>
    <row r="32" spans="1:9">
      <c r="A32" s="571" t="s">
        <v>771</v>
      </c>
      <c r="B32" s="571" t="s">
        <v>776</v>
      </c>
      <c r="C32" s="572" t="s">
        <v>4</v>
      </c>
      <c r="D32" s="454"/>
      <c r="E32" s="450"/>
      <c r="F32" s="572" t="s">
        <v>785</v>
      </c>
      <c r="G32" s="450"/>
      <c r="H32" s="215"/>
      <c r="I32" s="215"/>
    </row>
    <row r="33" spans="1:9">
      <c r="A33" s="457"/>
      <c r="B33" s="457"/>
      <c r="C33" s="216" t="s">
        <v>5</v>
      </c>
      <c r="D33" s="216" t="s">
        <v>6</v>
      </c>
      <c r="E33" s="216" t="s">
        <v>336</v>
      </c>
      <c r="F33" s="216" t="s">
        <v>8</v>
      </c>
      <c r="G33" s="216" t="s">
        <v>789</v>
      </c>
      <c r="H33" s="215"/>
      <c r="I33" s="215"/>
    </row>
    <row r="34" spans="1:9">
      <c r="A34" s="573" t="s">
        <v>1452</v>
      </c>
      <c r="B34" s="454"/>
      <c r="C34" s="454"/>
      <c r="D34" s="454"/>
      <c r="E34" s="454"/>
      <c r="F34" s="454"/>
      <c r="G34" s="450"/>
      <c r="H34" s="215"/>
      <c r="I34" s="215"/>
    </row>
    <row r="35" spans="1:9">
      <c r="A35" s="217"/>
      <c r="B35" s="217" t="s">
        <v>795</v>
      </c>
      <c r="C35" s="217" t="s">
        <v>46</v>
      </c>
      <c r="D35" s="217" t="s">
        <v>798</v>
      </c>
      <c r="E35" s="217">
        <v>1</v>
      </c>
      <c r="F35" s="217"/>
      <c r="G35" s="217"/>
      <c r="H35" s="215"/>
      <c r="I35" s="215"/>
    </row>
    <row r="36" spans="1:9">
      <c r="A36" s="217" t="s">
        <v>800</v>
      </c>
      <c r="B36" s="574" t="s">
        <v>1168</v>
      </c>
      <c r="C36" s="454"/>
      <c r="D36" s="454"/>
      <c r="E36" s="454"/>
      <c r="F36" s="454"/>
      <c r="G36" s="450"/>
      <c r="H36" s="215"/>
      <c r="I36" s="215"/>
    </row>
    <row r="37" spans="1:9">
      <c r="A37" s="574" t="s">
        <v>1171</v>
      </c>
      <c r="B37" s="454"/>
      <c r="C37" s="454"/>
      <c r="D37" s="454"/>
      <c r="E37" s="454"/>
      <c r="F37" s="454"/>
      <c r="G37" s="450"/>
      <c r="H37" s="215"/>
      <c r="I37" s="215"/>
    </row>
    <row r="38" spans="1:9">
      <c r="A38" s="577"/>
      <c r="B38" s="577" t="s">
        <v>1458</v>
      </c>
      <c r="C38" s="576" t="s">
        <v>1460</v>
      </c>
      <c r="D38" s="454"/>
      <c r="E38" s="450"/>
      <c r="F38" s="576"/>
      <c r="G38" s="450"/>
      <c r="H38" s="215"/>
      <c r="I38" s="215"/>
    </row>
    <row r="39" spans="1:9">
      <c r="A39" s="457"/>
      <c r="B39" s="457"/>
      <c r="C39" s="219" t="s">
        <v>46</v>
      </c>
      <c r="D39" s="219">
        <v>1</v>
      </c>
      <c r="E39" s="219">
        <v>1567.8</v>
      </c>
      <c r="F39" s="219">
        <f>D39*E39</f>
        <v>1567.8</v>
      </c>
      <c r="G39" s="219" t="s">
        <v>808</v>
      </c>
      <c r="H39" s="215"/>
      <c r="I39" s="215"/>
    </row>
    <row r="40" spans="1:9">
      <c r="A40" s="577"/>
      <c r="B40" s="577" t="s">
        <v>1178</v>
      </c>
      <c r="C40" s="576" t="s">
        <v>1179</v>
      </c>
      <c r="D40" s="454"/>
      <c r="E40" s="450"/>
      <c r="F40" s="576"/>
      <c r="G40" s="450"/>
      <c r="H40" s="215"/>
      <c r="I40" s="215"/>
    </row>
    <row r="41" spans="1:9">
      <c r="A41" s="457"/>
      <c r="B41" s="457"/>
      <c r="C41" s="219" t="s">
        <v>26</v>
      </c>
      <c r="D41" s="219">
        <v>0.01</v>
      </c>
      <c r="E41" s="219">
        <v>675</v>
      </c>
      <c r="F41" s="219">
        <f>D41*E41</f>
        <v>6.75</v>
      </c>
      <c r="G41" s="219" t="s">
        <v>825</v>
      </c>
      <c r="H41" s="215"/>
      <c r="I41" s="215"/>
    </row>
    <row r="42" spans="1:9">
      <c r="A42" s="577" t="s">
        <v>1181</v>
      </c>
      <c r="B42" s="577"/>
      <c r="C42" s="575" t="s">
        <v>1182</v>
      </c>
      <c r="D42" s="454"/>
      <c r="E42" s="450"/>
      <c r="F42" s="576"/>
      <c r="G42" s="450"/>
      <c r="H42" s="215"/>
      <c r="I42" s="215"/>
    </row>
    <row r="43" spans="1:9">
      <c r="A43" s="457"/>
      <c r="B43" s="457"/>
      <c r="C43" s="219" t="s">
        <v>891</v>
      </c>
      <c r="D43" s="221"/>
      <c r="E43" s="221"/>
      <c r="F43" s="219">
        <f>(F39+F41)*0.5%</f>
        <v>7.8727499999999999</v>
      </c>
      <c r="G43" s="219" t="s">
        <v>1184</v>
      </c>
      <c r="H43" s="215"/>
      <c r="I43" s="215"/>
    </row>
    <row r="44" spans="1:9">
      <c r="A44" s="574" t="s">
        <v>30</v>
      </c>
      <c r="B44" s="454"/>
      <c r="C44" s="450"/>
      <c r="D44" s="222">
        <v>1</v>
      </c>
      <c r="E44" s="222" t="s">
        <v>46</v>
      </c>
      <c r="F44" s="222">
        <f>F39+F41+F43</f>
        <v>1582.42275</v>
      </c>
      <c r="G44" s="217"/>
      <c r="H44" s="215"/>
      <c r="I44" s="215"/>
    </row>
    <row r="45" spans="1:9">
      <c r="A45" s="574" t="s">
        <v>826</v>
      </c>
      <c r="B45" s="454"/>
      <c r="C45" s="450"/>
      <c r="D45" s="222">
        <v>1</v>
      </c>
      <c r="E45" s="222" t="s">
        <v>46</v>
      </c>
      <c r="F45" s="222">
        <f>F44/D44</f>
        <v>1582.42275</v>
      </c>
      <c r="G45" s="217"/>
      <c r="H45" s="215"/>
      <c r="I45" s="215"/>
    </row>
    <row r="46" spans="1:9">
      <c r="A46" s="574" t="s">
        <v>1187</v>
      </c>
      <c r="B46" s="454"/>
      <c r="C46" s="454"/>
      <c r="D46" s="450"/>
      <c r="E46" s="224">
        <f>F39*100.5%/D44</f>
        <v>1575.6389999999999</v>
      </c>
      <c r="F46" s="222">
        <f>E46*1%</f>
        <v>15.75639</v>
      </c>
      <c r="G46" s="217"/>
      <c r="H46" s="215"/>
      <c r="I46" s="215"/>
    </row>
    <row r="47" spans="1:9">
      <c r="A47" s="574" t="s">
        <v>30</v>
      </c>
      <c r="B47" s="454"/>
      <c r="C47" s="454"/>
      <c r="D47" s="450"/>
      <c r="E47" s="217"/>
      <c r="F47" s="222">
        <f>F45+F46</f>
        <v>1598.17914</v>
      </c>
      <c r="G47" s="217"/>
      <c r="H47" s="215"/>
      <c r="I47" s="215"/>
    </row>
    <row r="48" spans="1:9">
      <c r="A48" s="574" t="s">
        <v>836</v>
      </c>
      <c r="B48" s="454"/>
      <c r="C48" s="454"/>
      <c r="D48" s="450"/>
      <c r="E48" s="222">
        <f>F47</f>
        <v>1598.17914</v>
      </c>
      <c r="F48" s="222">
        <f>E48*15%</f>
        <v>239.72687099999999</v>
      </c>
      <c r="G48" s="217"/>
      <c r="H48" s="215"/>
      <c r="I48" s="215"/>
    </row>
    <row r="49" spans="1:9">
      <c r="A49" s="578" t="s">
        <v>30</v>
      </c>
      <c r="B49" s="454"/>
      <c r="C49" s="454"/>
      <c r="D49" s="450"/>
      <c r="E49" s="225"/>
      <c r="F49" s="226">
        <f>ROUND(F47+F48,2)</f>
        <v>1837.91</v>
      </c>
      <c r="G49" s="217"/>
      <c r="H49" s="215"/>
      <c r="I49" s="215"/>
    </row>
    <row r="50" spans="1:9">
      <c r="A50" s="577">
        <v>2852</v>
      </c>
      <c r="B50" s="577"/>
      <c r="C50" s="576" t="s">
        <v>1203</v>
      </c>
      <c r="D50" s="454"/>
      <c r="E50" s="450"/>
      <c r="F50" s="576"/>
      <c r="G50" s="450"/>
      <c r="H50" s="215"/>
      <c r="I50" s="215"/>
    </row>
    <row r="51" spans="1:9">
      <c r="A51" s="457"/>
      <c r="B51" s="457"/>
      <c r="C51" s="219" t="s">
        <v>46</v>
      </c>
      <c r="D51" s="219">
        <v>4</v>
      </c>
      <c r="E51" s="219">
        <v>1.8</v>
      </c>
      <c r="F51" s="219">
        <f>D51*E51</f>
        <v>7.2</v>
      </c>
      <c r="G51" s="219" t="s">
        <v>1207</v>
      </c>
      <c r="H51" s="215"/>
      <c r="I51" s="215"/>
    </row>
    <row r="52" spans="1:9">
      <c r="A52" s="577">
        <v>1005</v>
      </c>
      <c r="B52" s="577"/>
      <c r="C52" s="576" t="s">
        <v>1208</v>
      </c>
      <c r="D52" s="454"/>
      <c r="E52" s="450"/>
      <c r="F52" s="576"/>
      <c r="G52" s="450"/>
      <c r="H52" s="215"/>
      <c r="I52" s="215"/>
    </row>
    <row r="53" spans="1:9">
      <c r="A53" s="457"/>
      <c r="B53" s="457"/>
      <c r="C53" s="219" t="s">
        <v>26</v>
      </c>
      <c r="D53" s="219">
        <v>0.01</v>
      </c>
      <c r="E53" s="219">
        <v>734</v>
      </c>
      <c r="F53" s="219">
        <f>D53*E53</f>
        <v>7.34</v>
      </c>
      <c r="G53" s="219" t="s">
        <v>822</v>
      </c>
      <c r="H53" s="215"/>
      <c r="I53" s="215"/>
    </row>
    <row r="54" spans="1:9">
      <c r="A54" s="577" t="s">
        <v>1181</v>
      </c>
      <c r="B54" s="577"/>
      <c r="C54" s="575" t="s">
        <v>1216</v>
      </c>
      <c r="D54" s="454"/>
      <c r="E54" s="450"/>
      <c r="F54" s="576"/>
      <c r="G54" s="450"/>
      <c r="H54" s="215"/>
      <c r="I54" s="215"/>
    </row>
    <row r="55" spans="1:9">
      <c r="A55" s="457"/>
      <c r="B55" s="457"/>
      <c r="C55" s="219" t="s">
        <v>891</v>
      </c>
      <c r="D55" s="221"/>
      <c r="E55" s="221"/>
      <c r="F55" s="219">
        <f>(F51+F53)*0.5%</f>
        <v>7.2700000000000001E-2</v>
      </c>
      <c r="G55" s="219" t="s">
        <v>1218</v>
      </c>
      <c r="H55" s="215">
        <f>F55+F43</f>
        <v>7.9454500000000001</v>
      </c>
      <c r="I55" s="215"/>
    </row>
    <row r="56" spans="1:9">
      <c r="A56" s="574" t="s">
        <v>30</v>
      </c>
      <c r="B56" s="454"/>
      <c r="C56" s="450"/>
      <c r="D56" s="222">
        <v>1</v>
      </c>
      <c r="E56" s="222" t="s">
        <v>46</v>
      </c>
      <c r="F56" s="222">
        <f>F51+F53+F55</f>
        <v>14.612699999999998</v>
      </c>
      <c r="G56" s="225"/>
      <c r="H56" s="215"/>
      <c r="I56" s="215"/>
    </row>
    <row r="57" spans="1:9">
      <c r="A57" s="574" t="s">
        <v>826</v>
      </c>
      <c r="B57" s="454"/>
      <c r="C57" s="450"/>
      <c r="D57" s="222">
        <v>1</v>
      </c>
      <c r="E57" s="222" t="s">
        <v>46</v>
      </c>
      <c r="F57" s="222">
        <f>F56/D56</f>
        <v>14.612699999999998</v>
      </c>
      <c r="G57" s="225"/>
      <c r="H57" s="215"/>
      <c r="I57" s="215"/>
    </row>
    <row r="58" spans="1:9">
      <c r="A58" s="574" t="s">
        <v>1187</v>
      </c>
      <c r="B58" s="454"/>
      <c r="C58" s="454"/>
      <c r="D58" s="450"/>
      <c r="E58" s="224">
        <f>F51*100.5%/D56</f>
        <v>7.2359999999999998</v>
      </c>
      <c r="F58" s="222">
        <f>E58*1%</f>
        <v>7.2359999999999994E-2</v>
      </c>
      <c r="G58" s="225"/>
      <c r="H58" s="215"/>
      <c r="I58" s="215"/>
    </row>
    <row r="59" spans="1:9">
      <c r="A59" s="574" t="s">
        <v>30</v>
      </c>
      <c r="B59" s="454"/>
      <c r="C59" s="454"/>
      <c r="D59" s="450"/>
      <c r="E59" s="217"/>
      <c r="F59" s="222">
        <f>F57+F58</f>
        <v>14.685059999999998</v>
      </c>
      <c r="G59" s="225"/>
      <c r="H59" s="215"/>
      <c r="I59" s="215"/>
    </row>
    <row r="60" spans="1:9">
      <c r="A60" s="574" t="s">
        <v>836</v>
      </c>
      <c r="B60" s="454"/>
      <c r="C60" s="454"/>
      <c r="D60" s="450"/>
      <c r="E60" s="222">
        <f>F59</f>
        <v>14.685059999999998</v>
      </c>
      <c r="F60" s="222">
        <f>E60*15%</f>
        <v>2.2027589999999995</v>
      </c>
      <c r="G60" s="225"/>
      <c r="H60" s="215"/>
      <c r="I60" s="215"/>
    </row>
    <row r="61" spans="1:9">
      <c r="A61" s="578" t="s">
        <v>30</v>
      </c>
      <c r="B61" s="454"/>
      <c r="C61" s="454"/>
      <c r="D61" s="450"/>
      <c r="E61" s="225"/>
      <c r="F61" s="226">
        <f>ROUND(F59+F60,2)</f>
        <v>16.89</v>
      </c>
      <c r="G61" s="217"/>
      <c r="H61" s="215"/>
      <c r="I61" s="215">
        <f>F61+F49</f>
        <v>1854.8000000000002</v>
      </c>
    </row>
    <row r="62" spans="1:9">
      <c r="A62" s="579" t="str">
        <f>CONCATENATE("Say ₹ ",F49," + ",F61," x Cost Index")</f>
        <v>Say ₹ 1837.91 + 16.89 x Cost Index</v>
      </c>
      <c r="B62" s="454"/>
      <c r="C62" s="454"/>
      <c r="D62" s="454"/>
      <c r="E62" s="454"/>
      <c r="F62" s="450"/>
      <c r="G62" s="228" t="s">
        <v>1007</v>
      </c>
      <c r="H62" s="229">
        <f>((F39*1.005*1.01)+(F41*1.005))*1.15</f>
        <v>1837.9060109999998</v>
      </c>
      <c r="I62" s="229">
        <f>((F51*1.005*1.01)+(F53*1.005))*1.15</f>
        <v>16.887818999999997</v>
      </c>
    </row>
    <row r="63" spans="1:9">
      <c r="A63" s="571" t="s">
        <v>771</v>
      </c>
      <c r="B63" s="571" t="s">
        <v>776</v>
      </c>
      <c r="C63" s="572" t="s">
        <v>4</v>
      </c>
      <c r="D63" s="454"/>
      <c r="E63" s="450"/>
      <c r="F63" s="572" t="s">
        <v>785</v>
      </c>
      <c r="G63" s="450"/>
      <c r="H63" s="215"/>
      <c r="I63" s="215"/>
    </row>
    <row r="64" spans="1:9">
      <c r="A64" s="457"/>
      <c r="B64" s="457"/>
      <c r="C64" s="216" t="s">
        <v>5</v>
      </c>
      <c r="D64" s="216" t="s">
        <v>6</v>
      </c>
      <c r="E64" s="216" t="s">
        <v>336</v>
      </c>
      <c r="F64" s="216" t="s">
        <v>8</v>
      </c>
      <c r="G64" s="216" t="s">
        <v>789</v>
      </c>
      <c r="H64" s="215"/>
      <c r="I64" s="215"/>
    </row>
    <row r="65" spans="1:9">
      <c r="A65" s="573" t="s">
        <v>1511</v>
      </c>
      <c r="B65" s="454"/>
      <c r="C65" s="454"/>
      <c r="D65" s="454"/>
      <c r="E65" s="454"/>
      <c r="F65" s="454"/>
      <c r="G65" s="450"/>
      <c r="H65" s="215"/>
      <c r="I65" s="215"/>
    </row>
    <row r="66" spans="1:9">
      <c r="A66" s="217"/>
      <c r="B66" s="217" t="s">
        <v>795</v>
      </c>
      <c r="C66" s="217" t="s">
        <v>46</v>
      </c>
      <c r="D66" s="217" t="s">
        <v>798</v>
      </c>
      <c r="E66" s="217">
        <v>1</v>
      </c>
      <c r="F66" s="217"/>
      <c r="G66" s="217"/>
      <c r="H66" s="215"/>
      <c r="I66" s="215"/>
    </row>
    <row r="67" spans="1:9">
      <c r="A67" s="217" t="s">
        <v>800</v>
      </c>
      <c r="B67" s="574" t="s">
        <v>1168</v>
      </c>
      <c r="C67" s="454"/>
      <c r="D67" s="454"/>
      <c r="E67" s="454"/>
      <c r="F67" s="454"/>
      <c r="G67" s="450"/>
      <c r="H67" s="215"/>
      <c r="I67" s="215"/>
    </row>
    <row r="68" spans="1:9">
      <c r="A68" s="574" t="s">
        <v>1171</v>
      </c>
      <c r="B68" s="454"/>
      <c r="C68" s="454"/>
      <c r="D68" s="454"/>
      <c r="E68" s="454"/>
      <c r="F68" s="454"/>
      <c r="G68" s="450"/>
      <c r="H68" s="215"/>
      <c r="I68" s="215"/>
    </row>
    <row r="69" spans="1:9">
      <c r="A69" s="577"/>
      <c r="B69" s="577" t="s">
        <v>1514</v>
      </c>
      <c r="C69" s="576" t="s">
        <v>1516</v>
      </c>
      <c r="D69" s="454"/>
      <c r="E69" s="450"/>
      <c r="F69" s="576"/>
      <c r="G69" s="450"/>
      <c r="H69" s="215"/>
      <c r="I69" s="215"/>
    </row>
    <row r="70" spans="1:9">
      <c r="A70" s="457"/>
      <c r="B70" s="457"/>
      <c r="C70" s="219" t="s">
        <v>46</v>
      </c>
      <c r="D70" s="219">
        <v>1</v>
      </c>
      <c r="E70" s="219">
        <v>1610.17</v>
      </c>
      <c r="F70" s="219">
        <f>D70*E70</f>
        <v>1610.17</v>
      </c>
      <c r="G70" s="219" t="s">
        <v>808</v>
      </c>
      <c r="H70" s="215"/>
      <c r="I70" s="215"/>
    </row>
    <row r="71" spans="1:9">
      <c r="A71" s="577"/>
      <c r="B71" s="577" t="s">
        <v>1178</v>
      </c>
      <c r="C71" s="576" t="s">
        <v>1179</v>
      </c>
      <c r="D71" s="454"/>
      <c r="E71" s="450"/>
      <c r="F71" s="576"/>
      <c r="G71" s="450"/>
      <c r="H71" s="215"/>
      <c r="I71" s="215"/>
    </row>
    <row r="72" spans="1:9">
      <c r="A72" s="457"/>
      <c r="B72" s="457"/>
      <c r="C72" s="219" t="s">
        <v>26</v>
      </c>
      <c r="D72" s="219">
        <v>0.01</v>
      </c>
      <c r="E72" s="219">
        <v>675</v>
      </c>
      <c r="F72" s="219">
        <f>D72*E72</f>
        <v>6.75</v>
      </c>
      <c r="G72" s="219" t="s">
        <v>825</v>
      </c>
      <c r="H72" s="215"/>
      <c r="I72" s="215"/>
    </row>
    <row r="73" spans="1:9">
      <c r="A73" s="577" t="s">
        <v>1181</v>
      </c>
      <c r="B73" s="577"/>
      <c r="C73" s="575" t="s">
        <v>1182</v>
      </c>
      <c r="D73" s="454"/>
      <c r="E73" s="450"/>
      <c r="F73" s="576"/>
      <c r="G73" s="450"/>
      <c r="H73" s="215"/>
      <c r="I73" s="215"/>
    </row>
    <row r="74" spans="1:9">
      <c r="A74" s="457"/>
      <c r="B74" s="457"/>
      <c r="C74" s="219" t="s">
        <v>891</v>
      </c>
      <c r="D74" s="221"/>
      <c r="E74" s="221"/>
      <c r="F74" s="219">
        <f>(F70+F72)*0.5%</f>
        <v>8.0846</v>
      </c>
      <c r="G74" s="219" t="s">
        <v>1184</v>
      </c>
      <c r="H74" s="215"/>
      <c r="I74" s="215"/>
    </row>
    <row r="75" spans="1:9">
      <c r="A75" s="574" t="s">
        <v>30</v>
      </c>
      <c r="B75" s="454"/>
      <c r="C75" s="450"/>
      <c r="D75" s="222">
        <v>1</v>
      </c>
      <c r="E75" s="222" t="s">
        <v>46</v>
      </c>
      <c r="F75" s="222">
        <f>F70+F72+F74</f>
        <v>1625.0046</v>
      </c>
      <c r="G75" s="217"/>
      <c r="H75" s="215"/>
      <c r="I75" s="215"/>
    </row>
    <row r="76" spans="1:9">
      <c r="A76" s="574" t="s">
        <v>826</v>
      </c>
      <c r="B76" s="454"/>
      <c r="C76" s="450"/>
      <c r="D76" s="222">
        <v>1</v>
      </c>
      <c r="E76" s="222" t="s">
        <v>46</v>
      </c>
      <c r="F76" s="222">
        <f>F75/D75</f>
        <v>1625.0046</v>
      </c>
      <c r="G76" s="217"/>
      <c r="H76" s="215"/>
      <c r="I76" s="215"/>
    </row>
    <row r="77" spans="1:9">
      <c r="A77" s="574" t="s">
        <v>1187</v>
      </c>
      <c r="B77" s="454"/>
      <c r="C77" s="454"/>
      <c r="D77" s="450"/>
      <c r="E77" s="224">
        <f>F70*100.5%/D75</f>
        <v>1618.2208499999999</v>
      </c>
      <c r="F77" s="222">
        <f>E77*1%</f>
        <v>16.182208499999998</v>
      </c>
      <c r="G77" s="217"/>
      <c r="H77" s="215"/>
      <c r="I77" s="215"/>
    </row>
    <row r="78" spans="1:9">
      <c r="A78" s="574" t="s">
        <v>30</v>
      </c>
      <c r="B78" s="454"/>
      <c r="C78" s="454"/>
      <c r="D78" s="450"/>
      <c r="E78" s="217"/>
      <c r="F78" s="222">
        <f>F76+F77</f>
        <v>1641.1868084999999</v>
      </c>
      <c r="G78" s="217"/>
      <c r="H78" s="215"/>
      <c r="I78" s="215"/>
    </row>
    <row r="79" spans="1:9">
      <c r="A79" s="574" t="s">
        <v>836</v>
      </c>
      <c r="B79" s="454"/>
      <c r="C79" s="454"/>
      <c r="D79" s="450"/>
      <c r="E79" s="222">
        <f>F78</f>
        <v>1641.1868084999999</v>
      </c>
      <c r="F79" s="222">
        <f>E79*15%</f>
        <v>246.17802127499996</v>
      </c>
      <c r="G79" s="217"/>
      <c r="H79" s="215"/>
      <c r="I79" s="215"/>
    </row>
    <row r="80" spans="1:9">
      <c r="A80" s="578" t="s">
        <v>30</v>
      </c>
      <c r="B80" s="454"/>
      <c r="C80" s="454"/>
      <c r="D80" s="450"/>
      <c r="E80" s="225"/>
      <c r="F80" s="226">
        <f>ROUND(F78+F79,2)</f>
        <v>1887.36</v>
      </c>
      <c r="G80" s="217"/>
      <c r="H80" s="215"/>
      <c r="I80" s="215"/>
    </row>
    <row r="81" spans="1:9">
      <c r="A81" s="577">
        <v>2852</v>
      </c>
      <c r="B81" s="577"/>
      <c r="C81" s="576" t="s">
        <v>1203</v>
      </c>
      <c r="D81" s="454"/>
      <c r="E81" s="450"/>
      <c r="F81" s="576"/>
      <c r="G81" s="450"/>
      <c r="H81" s="215"/>
      <c r="I81" s="215"/>
    </row>
    <row r="82" spans="1:9">
      <c r="A82" s="457"/>
      <c r="B82" s="457"/>
      <c r="C82" s="219" t="s">
        <v>46</v>
      </c>
      <c r="D82" s="219">
        <v>4</v>
      </c>
      <c r="E82" s="219">
        <v>1.8</v>
      </c>
      <c r="F82" s="219">
        <f>D82*E82</f>
        <v>7.2</v>
      </c>
      <c r="G82" s="219" t="s">
        <v>1207</v>
      </c>
      <c r="H82" s="215"/>
      <c r="I82" s="215"/>
    </row>
    <row r="83" spans="1:9">
      <c r="A83" s="577">
        <v>1005</v>
      </c>
      <c r="B83" s="577"/>
      <c r="C83" s="576" t="s">
        <v>1208</v>
      </c>
      <c r="D83" s="454"/>
      <c r="E83" s="450"/>
      <c r="F83" s="576"/>
      <c r="G83" s="450"/>
      <c r="H83" s="215"/>
      <c r="I83" s="215"/>
    </row>
    <row r="84" spans="1:9">
      <c r="A84" s="457"/>
      <c r="B84" s="457"/>
      <c r="C84" s="219" t="s">
        <v>26</v>
      </c>
      <c r="D84" s="219">
        <v>0.01</v>
      </c>
      <c r="E84" s="219">
        <v>734</v>
      </c>
      <c r="F84" s="219">
        <f>D84*E84</f>
        <v>7.34</v>
      </c>
      <c r="G84" s="219" t="s">
        <v>822</v>
      </c>
      <c r="H84" s="215"/>
      <c r="I84" s="215"/>
    </row>
    <row r="85" spans="1:9">
      <c r="A85" s="577" t="s">
        <v>1181</v>
      </c>
      <c r="B85" s="577"/>
      <c r="C85" s="575" t="s">
        <v>1216</v>
      </c>
      <c r="D85" s="454"/>
      <c r="E85" s="450"/>
      <c r="F85" s="576"/>
      <c r="G85" s="450"/>
      <c r="H85" s="215"/>
      <c r="I85" s="215"/>
    </row>
    <row r="86" spans="1:9">
      <c r="A86" s="457"/>
      <c r="B86" s="457"/>
      <c r="C86" s="219" t="s">
        <v>891</v>
      </c>
      <c r="D86" s="221"/>
      <c r="E86" s="221"/>
      <c r="F86" s="219">
        <f>(F82+F84)*0.5%</f>
        <v>7.2700000000000001E-2</v>
      </c>
      <c r="G86" s="219" t="s">
        <v>1218</v>
      </c>
      <c r="H86" s="215">
        <f>F86+F74</f>
        <v>8.1572999999999993</v>
      </c>
      <c r="I86" s="215"/>
    </row>
    <row r="87" spans="1:9">
      <c r="A87" s="574" t="s">
        <v>30</v>
      </c>
      <c r="B87" s="454"/>
      <c r="C87" s="450"/>
      <c r="D87" s="222">
        <v>1</v>
      </c>
      <c r="E87" s="222" t="s">
        <v>46</v>
      </c>
      <c r="F87" s="222">
        <f>F82+F84+F86</f>
        <v>14.612699999999998</v>
      </c>
      <c r="G87" s="225"/>
      <c r="H87" s="215"/>
      <c r="I87" s="215"/>
    </row>
    <row r="88" spans="1:9">
      <c r="A88" s="574" t="s">
        <v>826</v>
      </c>
      <c r="B88" s="454"/>
      <c r="C88" s="450"/>
      <c r="D88" s="222">
        <v>1</v>
      </c>
      <c r="E88" s="222" t="s">
        <v>46</v>
      </c>
      <c r="F88" s="222">
        <f>F87/D87</f>
        <v>14.612699999999998</v>
      </c>
      <c r="G88" s="225"/>
      <c r="H88" s="215"/>
      <c r="I88" s="215"/>
    </row>
    <row r="89" spans="1:9">
      <c r="A89" s="574" t="s">
        <v>1187</v>
      </c>
      <c r="B89" s="454"/>
      <c r="C89" s="454"/>
      <c r="D89" s="450"/>
      <c r="E89" s="224">
        <f>F82*100.5%/D87</f>
        <v>7.2359999999999998</v>
      </c>
      <c r="F89" s="222">
        <f>E89*1%</f>
        <v>7.2359999999999994E-2</v>
      </c>
      <c r="G89" s="225"/>
      <c r="H89" s="215"/>
      <c r="I89" s="215"/>
    </row>
    <row r="90" spans="1:9">
      <c r="A90" s="574" t="s">
        <v>30</v>
      </c>
      <c r="B90" s="454"/>
      <c r="C90" s="454"/>
      <c r="D90" s="450"/>
      <c r="E90" s="217"/>
      <c r="F90" s="222">
        <f>F88+F89</f>
        <v>14.685059999999998</v>
      </c>
      <c r="G90" s="225"/>
      <c r="H90" s="215"/>
      <c r="I90" s="215"/>
    </row>
    <row r="91" spans="1:9">
      <c r="A91" s="574" t="s">
        <v>836</v>
      </c>
      <c r="B91" s="454"/>
      <c r="C91" s="454"/>
      <c r="D91" s="450"/>
      <c r="E91" s="222">
        <f>F90</f>
        <v>14.685059999999998</v>
      </c>
      <c r="F91" s="222">
        <f>E91*15%</f>
        <v>2.2027589999999995</v>
      </c>
      <c r="G91" s="225"/>
      <c r="H91" s="215"/>
      <c r="I91" s="215"/>
    </row>
    <row r="92" spans="1:9">
      <c r="A92" s="578" t="s">
        <v>30</v>
      </c>
      <c r="B92" s="454"/>
      <c r="C92" s="454"/>
      <c r="D92" s="450"/>
      <c r="E92" s="225"/>
      <c r="F92" s="226">
        <f>ROUND(F90+F91,2)</f>
        <v>16.89</v>
      </c>
      <c r="G92" s="217"/>
      <c r="H92" s="215"/>
      <c r="I92" s="215">
        <f>F92+F80</f>
        <v>1904.25</v>
      </c>
    </row>
    <row r="93" spans="1:9">
      <c r="A93" s="579" t="str">
        <f>CONCATENATE("Say ₹ ",F80," + ",F92," x Cost Index")</f>
        <v>Say ₹ 1887.36 + 16.89 x Cost Index</v>
      </c>
      <c r="B93" s="454"/>
      <c r="C93" s="454"/>
      <c r="D93" s="454"/>
      <c r="E93" s="454"/>
      <c r="F93" s="450"/>
      <c r="G93" s="228" t="s">
        <v>1007</v>
      </c>
      <c r="H93" s="229">
        <f>((F70*1.005*1.01)+(F72*1.005))*1.15</f>
        <v>1887.3648297749999</v>
      </c>
      <c r="I93" s="229">
        <f>((F82*1.005*1.01)+(F84*1.005))*1.15</f>
        <v>16.887818999999997</v>
      </c>
    </row>
    <row r="94" spans="1:9">
      <c r="A94" s="571" t="s">
        <v>771</v>
      </c>
      <c r="B94" s="571" t="s">
        <v>776</v>
      </c>
      <c r="C94" s="572" t="s">
        <v>4</v>
      </c>
      <c r="D94" s="454"/>
      <c r="E94" s="450"/>
      <c r="F94" s="572" t="s">
        <v>785</v>
      </c>
      <c r="G94" s="450"/>
      <c r="H94" s="215"/>
      <c r="I94" s="215"/>
    </row>
    <row r="95" spans="1:9">
      <c r="A95" s="457"/>
      <c r="B95" s="457"/>
      <c r="C95" s="216" t="s">
        <v>5</v>
      </c>
      <c r="D95" s="216" t="s">
        <v>6</v>
      </c>
      <c r="E95" s="216" t="s">
        <v>336</v>
      </c>
      <c r="F95" s="216" t="s">
        <v>8</v>
      </c>
      <c r="G95" s="216" t="s">
        <v>789</v>
      </c>
      <c r="H95" s="215"/>
      <c r="I95" s="215"/>
    </row>
    <row r="96" spans="1:9">
      <c r="A96" s="573" t="s">
        <v>1554</v>
      </c>
      <c r="B96" s="454"/>
      <c r="C96" s="454"/>
      <c r="D96" s="454"/>
      <c r="E96" s="454"/>
      <c r="F96" s="454"/>
      <c r="G96" s="450"/>
      <c r="H96" s="215"/>
      <c r="I96" s="215"/>
    </row>
    <row r="97" spans="1:9">
      <c r="A97" s="217"/>
      <c r="B97" s="217" t="s">
        <v>795</v>
      </c>
      <c r="C97" s="217" t="s">
        <v>46</v>
      </c>
      <c r="D97" s="217" t="s">
        <v>798</v>
      </c>
      <c r="E97" s="217">
        <v>1</v>
      </c>
      <c r="F97" s="217"/>
      <c r="G97" s="217"/>
      <c r="H97" s="215"/>
      <c r="I97" s="215"/>
    </row>
    <row r="98" spans="1:9">
      <c r="A98" s="217" t="s">
        <v>800</v>
      </c>
      <c r="B98" s="574" t="s">
        <v>1168</v>
      </c>
      <c r="C98" s="454"/>
      <c r="D98" s="454"/>
      <c r="E98" s="454"/>
      <c r="F98" s="454"/>
      <c r="G98" s="450"/>
      <c r="H98" s="215"/>
      <c r="I98" s="215"/>
    </row>
    <row r="99" spans="1:9">
      <c r="A99" s="574" t="s">
        <v>1171</v>
      </c>
      <c r="B99" s="454"/>
      <c r="C99" s="454"/>
      <c r="D99" s="454"/>
      <c r="E99" s="454"/>
      <c r="F99" s="454"/>
      <c r="G99" s="450"/>
      <c r="H99" s="215"/>
      <c r="I99" s="215"/>
    </row>
    <row r="100" spans="1:9">
      <c r="A100" s="577"/>
      <c r="B100" s="577" t="s">
        <v>1561</v>
      </c>
      <c r="C100" s="576" t="s">
        <v>1562</v>
      </c>
      <c r="D100" s="454"/>
      <c r="E100" s="450"/>
      <c r="F100" s="576"/>
      <c r="G100" s="450"/>
      <c r="H100" s="215"/>
      <c r="I100" s="215"/>
    </row>
    <row r="101" spans="1:9">
      <c r="A101" s="457"/>
      <c r="B101" s="457"/>
      <c r="C101" s="219" t="s">
        <v>46</v>
      </c>
      <c r="D101" s="219">
        <v>1</v>
      </c>
      <c r="E101" s="219">
        <v>1652.54</v>
      </c>
      <c r="F101" s="219">
        <f>D101*E101</f>
        <v>1652.54</v>
      </c>
      <c r="G101" s="219" t="s">
        <v>808</v>
      </c>
      <c r="H101" s="215"/>
      <c r="I101" s="215"/>
    </row>
    <row r="102" spans="1:9">
      <c r="A102" s="577"/>
      <c r="B102" s="577" t="s">
        <v>1178</v>
      </c>
      <c r="C102" s="576" t="s">
        <v>1179</v>
      </c>
      <c r="D102" s="454"/>
      <c r="E102" s="450"/>
      <c r="F102" s="576"/>
      <c r="G102" s="450"/>
      <c r="H102" s="215"/>
      <c r="I102" s="215"/>
    </row>
    <row r="103" spans="1:9">
      <c r="A103" s="457"/>
      <c r="B103" s="457"/>
      <c r="C103" s="219" t="s">
        <v>26</v>
      </c>
      <c r="D103" s="219">
        <v>0.01</v>
      </c>
      <c r="E103" s="219">
        <v>675</v>
      </c>
      <c r="F103" s="219">
        <f>D103*E103</f>
        <v>6.75</v>
      </c>
      <c r="G103" s="219" t="s">
        <v>825</v>
      </c>
      <c r="H103" s="215"/>
      <c r="I103" s="215"/>
    </row>
    <row r="104" spans="1:9">
      <c r="A104" s="577" t="s">
        <v>1181</v>
      </c>
      <c r="B104" s="577"/>
      <c r="C104" s="575" t="s">
        <v>1182</v>
      </c>
      <c r="D104" s="454"/>
      <c r="E104" s="450"/>
      <c r="F104" s="576"/>
      <c r="G104" s="450"/>
      <c r="H104" s="215"/>
      <c r="I104" s="215"/>
    </row>
    <row r="105" spans="1:9">
      <c r="A105" s="457"/>
      <c r="B105" s="457"/>
      <c r="C105" s="219" t="s">
        <v>891</v>
      </c>
      <c r="D105" s="221"/>
      <c r="E105" s="221"/>
      <c r="F105" s="219">
        <f>(F101+F103)*0.5%</f>
        <v>8.2964500000000001</v>
      </c>
      <c r="G105" s="219" t="s">
        <v>1184</v>
      </c>
      <c r="H105" s="215"/>
      <c r="I105" s="215"/>
    </row>
    <row r="106" spans="1:9">
      <c r="A106" s="574" t="s">
        <v>30</v>
      </c>
      <c r="B106" s="454"/>
      <c r="C106" s="450"/>
      <c r="D106" s="222">
        <v>1</v>
      </c>
      <c r="E106" s="222" t="s">
        <v>46</v>
      </c>
      <c r="F106" s="222">
        <f>F101+F103+F105</f>
        <v>1667.58645</v>
      </c>
      <c r="G106" s="217"/>
      <c r="H106" s="215"/>
      <c r="I106" s="215"/>
    </row>
    <row r="107" spans="1:9">
      <c r="A107" s="574" t="s">
        <v>826</v>
      </c>
      <c r="B107" s="454"/>
      <c r="C107" s="450"/>
      <c r="D107" s="222">
        <v>1</v>
      </c>
      <c r="E107" s="222" t="s">
        <v>46</v>
      </c>
      <c r="F107" s="222">
        <f>F106/D106</f>
        <v>1667.58645</v>
      </c>
      <c r="G107" s="217"/>
      <c r="H107" s="215"/>
      <c r="I107" s="215"/>
    </row>
    <row r="108" spans="1:9">
      <c r="A108" s="574" t="s">
        <v>1187</v>
      </c>
      <c r="B108" s="454"/>
      <c r="C108" s="454"/>
      <c r="D108" s="450"/>
      <c r="E108" s="224">
        <f>F101*100.5%/D106</f>
        <v>1660.8026999999997</v>
      </c>
      <c r="F108" s="222">
        <f>E108*1%</f>
        <v>16.608026999999996</v>
      </c>
      <c r="G108" s="217"/>
      <c r="H108" s="215"/>
      <c r="I108" s="215"/>
    </row>
    <row r="109" spans="1:9">
      <c r="A109" s="574" t="s">
        <v>30</v>
      </c>
      <c r="B109" s="454"/>
      <c r="C109" s="454"/>
      <c r="D109" s="450"/>
      <c r="E109" s="217"/>
      <c r="F109" s="222">
        <f>F107+F108</f>
        <v>1684.194477</v>
      </c>
      <c r="G109" s="217"/>
      <c r="H109" s="215"/>
      <c r="I109" s="215"/>
    </row>
    <row r="110" spans="1:9">
      <c r="A110" s="574" t="s">
        <v>836</v>
      </c>
      <c r="B110" s="454"/>
      <c r="C110" s="454"/>
      <c r="D110" s="450"/>
      <c r="E110" s="222">
        <f>F109</f>
        <v>1684.194477</v>
      </c>
      <c r="F110" s="222">
        <f>E110*15%</f>
        <v>252.62917155</v>
      </c>
      <c r="G110" s="217"/>
      <c r="H110" s="215"/>
      <c r="I110" s="215"/>
    </row>
    <row r="111" spans="1:9">
      <c r="A111" s="578" t="s">
        <v>30</v>
      </c>
      <c r="B111" s="454"/>
      <c r="C111" s="454"/>
      <c r="D111" s="450"/>
      <c r="E111" s="225"/>
      <c r="F111" s="226">
        <f>ROUND(F109+F110,2)</f>
        <v>1936.82</v>
      </c>
      <c r="G111" s="217"/>
      <c r="H111" s="215"/>
      <c r="I111" s="215"/>
    </row>
    <row r="112" spans="1:9">
      <c r="A112" s="577">
        <v>2852</v>
      </c>
      <c r="B112" s="577"/>
      <c r="C112" s="576" t="s">
        <v>1203</v>
      </c>
      <c r="D112" s="454"/>
      <c r="E112" s="450"/>
      <c r="F112" s="576"/>
      <c r="G112" s="450"/>
      <c r="H112" s="215"/>
      <c r="I112" s="215"/>
    </row>
    <row r="113" spans="1:9">
      <c r="A113" s="457"/>
      <c r="B113" s="457"/>
      <c r="C113" s="219" t="s">
        <v>46</v>
      </c>
      <c r="D113" s="219">
        <v>4</v>
      </c>
      <c r="E113" s="219">
        <v>1.8</v>
      </c>
      <c r="F113" s="219">
        <f>D113*E113</f>
        <v>7.2</v>
      </c>
      <c r="G113" s="219" t="s">
        <v>1207</v>
      </c>
      <c r="H113" s="215"/>
      <c r="I113" s="215"/>
    </row>
    <row r="114" spans="1:9">
      <c r="A114" s="577">
        <v>1005</v>
      </c>
      <c r="B114" s="577"/>
      <c r="C114" s="576" t="s">
        <v>1208</v>
      </c>
      <c r="D114" s="454"/>
      <c r="E114" s="450"/>
      <c r="F114" s="576"/>
      <c r="G114" s="450"/>
      <c r="H114" s="215"/>
      <c r="I114" s="215"/>
    </row>
    <row r="115" spans="1:9">
      <c r="A115" s="457"/>
      <c r="B115" s="457"/>
      <c r="C115" s="219" t="s">
        <v>26</v>
      </c>
      <c r="D115" s="219">
        <v>0.01</v>
      </c>
      <c r="E115" s="219">
        <v>734</v>
      </c>
      <c r="F115" s="219">
        <f>D115*E115</f>
        <v>7.34</v>
      </c>
      <c r="G115" s="219" t="s">
        <v>822</v>
      </c>
      <c r="H115" s="215"/>
      <c r="I115" s="215"/>
    </row>
    <row r="116" spans="1:9">
      <c r="A116" s="577" t="s">
        <v>1181</v>
      </c>
      <c r="B116" s="577"/>
      <c r="C116" s="575" t="s">
        <v>1216</v>
      </c>
      <c r="D116" s="454"/>
      <c r="E116" s="450"/>
      <c r="F116" s="576"/>
      <c r="G116" s="450"/>
      <c r="H116" s="215"/>
      <c r="I116" s="215"/>
    </row>
    <row r="117" spans="1:9">
      <c r="A117" s="457"/>
      <c r="B117" s="457"/>
      <c r="C117" s="219" t="s">
        <v>891</v>
      </c>
      <c r="D117" s="221"/>
      <c r="E117" s="221"/>
      <c r="F117" s="219">
        <f>(F113+F115)*0.5%</f>
        <v>7.2700000000000001E-2</v>
      </c>
      <c r="G117" s="219" t="s">
        <v>1218</v>
      </c>
      <c r="H117" s="215">
        <f>F117+F105</f>
        <v>8.3691499999999994</v>
      </c>
      <c r="I117" s="215"/>
    </row>
    <row r="118" spans="1:9">
      <c r="A118" s="574" t="s">
        <v>30</v>
      </c>
      <c r="B118" s="454"/>
      <c r="C118" s="450"/>
      <c r="D118" s="222">
        <v>1</v>
      </c>
      <c r="E118" s="222" t="s">
        <v>46</v>
      </c>
      <c r="F118" s="222">
        <f>F113+F115+F117</f>
        <v>14.612699999999998</v>
      </c>
      <c r="G118" s="225"/>
      <c r="H118" s="215"/>
      <c r="I118" s="215"/>
    </row>
    <row r="119" spans="1:9">
      <c r="A119" s="574" t="s">
        <v>826</v>
      </c>
      <c r="B119" s="454"/>
      <c r="C119" s="450"/>
      <c r="D119" s="222">
        <v>1</v>
      </c>
      <c r="E119" s="222" t="s">
        <v>46</v>
      </c>
      <c r="F119" s="222">
        <f>F118/D118</f>
        <v>14.612699999999998</v>
      </c>
      <c r="G119" s="225"/>
      <c r="H119" s="215"/>
      <c r="I119" s="215"/>
    </row>
    <row r="120" spans="1:9">
      <c r="A120" s="574" t="s">
        <v>1187</v>
      </c>
      <c r="B120" s="454"/>
      <c r="C120" s="454"/>
      <c r="D120" s="450"/>
      <c r="E120" s="224">
        <f>F113*100.5%/D118</f>
        <v>7.2359999999999998</v>
      </c>
      <c r="F120" s="222">
        <f>E120*1%</f>
        <v>7.2359999999999994E-2</v>
      </c>
      <c r="G120" s="225"/>
      <c r="H120" s="215"/>
      <c r="I120" s="215"/>
    </row>
    <row r="121" spans="1:9">
      <c r="A121" s="574" t="s">
        <v>30</v>
      </c>
      <c r="B121" s="454"/>
      <c r="C121" s="454"/>
      <c r="D121" s="450"/>
      <c r="E121" s="217"/>
      <c r="F121" s="222">
        <f>F119+F120</f>
        <v>14.685059999999998</v>
      </c>
      <c r="G121" s="225"/>
      <c r="H121" s="215"/>
      <c r="I121" s="215"/>
    </row>
    <row r="122" spans="1:9">
      <c r="A122" s="574" t="s">
        <v>836</v>
      </c>
      <c r="B122" s="454"/>
      <c r="C122" s="454"/>
      <c r="D122" s="450"/>
      <c r="E122" s="222">
        <f>F121</f>
        <v>14.685059999999998</v>
      </c>
      <c r="F122" s="222">
        <f>E122*15%</f>
        <v>2.2027589999999995</v>
      </c>
      <c r="G122" s="225"/>
      <c r="H122" s="215"/>
      <c r="I122" s="215"/>
    </row>
    <row r="123" spans="1:9">
      <c r="A123" s="578" t="s">
        <v>30</v>
      </c>
      <c r="B123" s="454"/>
      <c r="C123" s="454"/>
      <c r="D123" s="450"/>
      <c r="E123" s="225"/>
      <c r="F123" s="226">
        <f>ROUND(F121+F122,2)</f>
        <v>16.89</v>
      </c>
      <c r="G123" s="217"/>
      <c r="H123" s="215"/>
      <c r="I123" s="215">
        <f>F123+F111</f>
        <v>1953.71</v>
      </c>
    </row>
    <row r="124" spans="1:9">
      <c r="A124" s="579" t="str">
        <f>CONCATENATE("Say ₹ ",F111," + ",F123," x Cost Index")</f>
        <v>Say ₹ 1936.82 + 16.89 x Cost Index</v>
      </c>
      <c r="B124" s="454"/>
      <c r="C124" s="454"/>
      <c r="D124" s="454"/>
      <c r="E124" s="454"/>
      <c r="F124" s="450"/>
      <c r="G124" s="228" t="s">
        <v>1007</v>
      </c>
      <c r="H124" s="229">
        <f>((F101*1.005*1.01)+(F103*1.005))*1.15</f>
        <v>1936.8236485499997</v>
      </c>
      <c r="I124" s="229">
        <f>((F113*1.005*1.01)+(F115*1.005))*1.15</f>
        <v>16.887818999999997</v>
      </c>
    </row>
    <row r="125" spans="1:9">
      <c r="A125" s="571" t="s">
        <v>771</v>
      </c>
      <c r="B125" s="571" t="s">
        <v>776</v>
      </c>
      <c r="C125" s="572" t="s">
        <v>4</v>
      </c>
      <c r="D125" s="454"/>
      <c r="E125" s="450"/>
      <c r="F125" s="572" t="s">
        <v>785</v>
      </c>
      <c r="G125" s="450"/>
      <c r="H125" s="215"/>
      <c r="I125" s="215"/>
    </row>
    <row r="126" spans="1:9">
      <c r="A126" s="457"/>
      <c r="B126" s="457"/>
      <c r="C126" s="216" t="s">
        <v>5</v>
      </c>
      <c r="D126" s="216" t="s">
        <v>6</v>
      </c>
      <c r="E126" s="216" t="s">
        <v>336</v>
      </c>
      <c r="F126" s="216" t="s">
        <v>8</v>
      </c>
      <c r="G126" s="216" t="s">
        <v>789</v>
      </c>
      <c r="H126" s="215"/>
      <c r="I126" s="215"/>
    </row>
    <row r="127" spans="1:9">
      <c r="A127" s="573" t="s">
        <v>1593</v>
      </c>
      <c r="B127" s="454"/>
      <c r="C127" s="454"/>
      <c r="D127" s="454"/>
      <c r="E127" s="454"/>
      <c r="F127" s="454"/>
      <c r="G127" s="450"/>
      <c r="H127" s="215"/>
      <c r="I127" s="215"/>
    </row>
    <row r="128" spans="1:9">
      <c r="A128" s="217"/>
      <c r="B128" s="217" t="s">
        <v>795</v>
      </c>
      <c r="C128" s="217" t="s">
        <v>46</v>
      </c>
      <c r="D128" s="217" t="s">
        <v>798</v>
      </c>
      <c r="E128" s="217">
        <v>1</v>
      </c>
      <c r="F128" s="217"/>
      <c r="G128" s="217"/>
      <c r="H128" s="215"/>
      <c r="I128" s="215"/>
    </row>
    <row r="129" spans="1:9">
      <c r="A129" s="217" t="s">
        <v>800</v>
      </c>
      <c r="B129" s="574" t="s">
        <v>1168</v>
      </c>
      <c r="C129" s="454"/>
      <c r="D129" s="454"/>
      <c r="E129" s="454"/>
      <c r="F129" s="454"/>
      <c r="G129" s="450"/>
      <c r="H129" s="215"/>
      <c r="I129" s="215"/>
    </row>
    <row r="130" spans="1:9">
      <c r="A130" s="574" t="s">
        <v>1171</v>
      </c>
      <c r="B130" s="454"/>
      <c r="C130" s="454"/>
      <c r="D130" s="454"/>
      <c r="E130" s="454"/>
      <c r="F130" s="454"/>
      <c r="G130" s="450"/>
      <c r="H130" s="215"/>
      <c r="I130" s="215"/>
    </row>
    <row r="131" spans="1:9">
      <c r="A131" s="577"/>
      <c r="B131" s="577" t="s">
        <v>1596</v>
      </c>
      <c r="C131" s="576" t="s">
        <v>1597</v>
      </c>
      <c r="D131" s="454"/>
      <c r="E131" s="450"/>
      <c r="F131" s="576"/>
      <c r="G131" s="450"/>
      <c r="H131" s="215"/>
      <c r="I131" s="215"/>
    </row>
    <row r="132" spans="1:9">
      <c r="A132" s="457"/>
      <c r="B132" s="457"/>
      <c r="C132" s="219" t="s">
        <v>46</v>
      </c>
      <c r="D132" s="219">
        <v>1</v>
      </c>
      <c r="E132" s="219">
        <v>3453.39</v>
      </c>
      <c r="F132" s="219">
        <f>D132*E132</f>
        <v>3453.39</v>
      </c>
      <c r="G132" s="219" t="s">
        <v>808</v>
      </c>
      <c r="H132" s="215"/>
      <c r="I132" s="215"/>
    </row>
    <row r="133" spans="1:9">
      <c r="A133" s="577"/>
      <c r="B133" s="577" t="s">
        <v>1178</v>
      </c>
      <c r="C133" s="576" t="s">
        <v>1179</v>
      </c>
      <c r="D133" s="454"/>
      <c r="E133" s="450"/>
      <c r="F133" s="576"/>
      <c r="G133" s="450"/>
      <c r="H133" s="215"/>
      <c r="I133" s="215"/>
    </row>
    <row r="134" spans="1:9">
      <c r="A134" s="457"/>
      <c r="B134" s="457"/>
      <c r="C134" s="219" t="s">
        <v>26</v>
      </c>
      <c r="D134" s="219">
        <v>0.01</v>
      </c>
      <c r="E134" s="219">
        <v>675</v>
      </c>
      <c r="F134" s="219">
        <f>D134*E134</f>
        <v>6.75</v>
      </c>
      <c r="G134" s="219" t="s">
        <v>825</v>
      </c>
      <c r="H134" s="215"/>
      <c r="I134" s="215"/>
    </row>
    <row r="135" spans="1:9">
      <c r="A135" s="577" t="s">
        <v>1181</v>
      </c>
      <c r="B135" s="577"/>
      <c r="C135" s="575" t="s">
        <v>1182</v>
      </c>
      <c r="D135" s="454"/>
      <c r="E135" s="450"/>
      <c r="F135" s="576"/>
      <c r="G135" s="450"/>
      <c r="H135" s="215"/>
      <c r="I135" s="215"/>
    </row>
    <row r="136" spans="1:9">
      <c r="A136" s="457"/>
      <c r="B136" s="457"/>
      <c r="C136" s="219" t="s">
        <v>891</v>
      </c>
      <c r="D136" s="221"/>
      <c r="E136" s="221"/>
      <c r="F136" s="219">
        <f>(F132+F134)*0.5%</f>
        <v>17.300699999999999</v>
      </c>
      <c r="G136" s="219" t="s">
        <v>1184</v>
      </c>
      <c r="H136" s="215"/>
      <c r="I136" s="215"/>
    </row>
    <row r="137" spans="1:9">
      <c r="A137" s="574" t="s">
        <v>30</v>
      </c>
      <c r="B137" s="454"/>
      <c r="C137" s="450"/>
      <c r="D137" s="222">
        <v>1</v>
      </c>
      <c r="E137" s="222" t="s">
        <v>46</v>
      </c>
      <c r="F137" s="222">
        <f>F132+F134+F136</f>
        <v>3477.4406999999997</v>
      </c>
      <c r="G137" s="217"/>
      <c r="H137" s="215"/>
      <c r="I137" s="215"/>
    </row>
    <row r="138" spans="1:9">
      <c r="A138" s="574" t="s">
        <v>826</v>
      </c>
      <c r="B138" s="454"/>
      <c r="C138" s="450"/>
      <c r="D138" s="222">
        <v>1</v>
      </c>
      <c r="E138" s="222" t="s">
        <v>46</v>
      </c>
      <c r="F138" s="222">
        <f>F137/D137</f>
        <v>3477.4406999999997</v>
      </c>
      <c r="G138" s="217"/>
      <c r="H138" s="215"/>
      <c r="I138" s="215"/>
    </row>
    <row r="139" spans="1:9">
      <c r="A139" s="574" t="s">
        <v>1187</v>
      </c>
      <c r="B139" s="454"/>
      <c r="C139" s="454"/>
      <c r="D139" s="450"/>
      <c r="E139" s="224">
        <f>F132*100.5%/D137</f>
        <v>3470.6569499999996</v>
      </c>
      <c r="F139" s="222">
        <f>E139*1%</f>
        <v>34.706569499999993</v>
      </c>
      <c r="G139" s="217"/>
      <c r="H139" s="215"/>
      <c r="I139" s="215"/>
    </row>
    <row r="140" spans="1:9">
      <c r="A140" s="574" t="s">
        <v>30</v>
      </c>
      <c r="B140" s="454"/>
      <c r="C140" s="454"/>
      <c r="D140" s="450"/>
      <c r="E140" s="217"/>
      <c r="F140" s="222">
        <f>F138+F139</f>
        <v>3512.1472694999998</v>
      </c>
      <c r="G140" s="217"/>
      <c r="H140" s="215"/>
      <c r="I140" s="215"/>
    </row>
    <row r="141" spans="1:9">
      <c r="A141" s="574" t="s">
        <v>836</v>
      </c>
      <c r="B141" s="454"/>
      <c r="C141" s="454"/>
      <c r="D141" s="450"/>
      <c r="E141" s="222">
        <f>F140</f>
        <v>3512.1472694999998</v>
      </c>
      <c r="F141" s="222">
        <f>E141*15%</f>
        <v>526.82209042499994</v>
      </c>
      <c r="G141" s="217"/>
      <c r="H141" s="215"/>
      <c r="I141" s="215"/>
    </row>
    <row r="142" spans="1:9">
      <c r="A142" s="578" t="s">
        <v>30</v>
      </c>
      <c r="B142" s="454"/>
      <c r="C142" s="454"/>
      <c r="D142" s="450"/>
      <c r="E142" s="225"/>
      <c r="F142" s="226">
        <f>ROUND(F140+F141,2)</f>
        <v>4038.97</v>
      </c>
      <c r="G142" s="217"/>
      <c r="H142" s="215"/>
      <c r="I142" s="215"/>
    </row>
    <row r="143" spans="1:9">
      <c r="A143" s="577">
        <v>2852</v>
      </c>
      <c r="B143" s="577"/>
      <c r="C143" s="576" t="s">
        <v>1203</v>
      </c>
      <c r="D143" s="454"/>
      <c r="E143" s="450"/>
      <c r="F143" s="576"/>
      <c r="G143" s="450"/>
      <c r="H143" s="215"/>
      <c r="I143" s="215"/>
    </row>
    <row r="144" spans="1:9">
      <c r="A144" s="457"/>
      <c r="B144" s="457"/>
      <c r="C144" s="219" t="s">
        <v>46</v>
      </c>
      <c r="D144" s="219">
        <v>4</v>
      </c>
      <c r="E144" s="219">
        <v>1.8</v>
      </c>
      <c r="F144" s="219">
        <f>D144*E144</f>
        <v>7.2</v>
      </c>
      <c r="G144" s="219" t="s">
        <v>1207</v>
      </c>
      <c r="H144" s="215"/>
      <c r="I144" s="215"/>
    </row>
    <row r="145" spans="1:9">
      <c r="A145" s="577">
        <v>1005</v>
      </c>
      <c r="B145" s="577"/>
      <c r="C145" s="576" t="s">
        <v>1208</v>
      </c>
      <c r="D145" s="454"/>
      <c r="E145" s="450"/>
      <c r="F145" s="576"/>
      <c r="G145" s="450"/>
      <c r="H145" s="215"/>
      <c r="I145" s="215"/>
    </row>
    <row r="146" spans="1:9">
      <c r="A146" s="457"/>
      <c r="B146" s="457"/>
      <c r="C146" s="219" t="s">
        <v>26</v>
      </c>
      <c r="D146" s="219">
        <v>0.01</v>
      </c>
      <c r="E146" s="219">
        <v>734</v>
      </c>
      <c r="F146" s="219">
        <f>D146*E146</f>
        <v>7.34</v>
      </c>
      <c r="G146" s="219" t="s">
        <v>822</v>
      </c>
      <c r="H146" s="215"/>
      <c r="I146" s="215"/>
    </row>
    <row r="147" spans="1:9">
      <c r="A147" s="577" t="s">
        <v>1181</v>
      </c>
      <c r="B147" s="577"/>
      <c r="C147" s="575" t="s">
        <v>1216</v>
      </c>
      <c r="D147" s="454"/>
      <c r="E147" s="450"/>
      <c r="F147" s="576"/>
      <c r="G147" s="450"/>
      <c r="H147" s="215"/>
      <c r="I147" s="215"/>
    </row>
    <row r="148" spans="1:9">
      <c r="A148" s="457"/>
      <c r="B148" s="457"/>
      <c r="C148" s="219" t="s">
        <v>891</v>
      </c>
      <c r="D148" s="221"/>
      <c r="E148" s="221"/>
      <c r="F148" s="219">
        <f>(F144+F146)*0.5%</f>
        <v>7.2700000000000001E-2</v>
      </c>
      <c r="G148" s="219" t="s">
        <v>1218</v>
      </c>
      <c r="H148" s="215">
        <f>F148+F136</f>
        <v>17.3734</v>
      </c>
      <c r="I148" s="215"/>
    </row>
    <row r="149" spans="1:9">
      <c r="A149" s="574" t="s">
        <v>30</v>
      </c>
      <c r="B149" s="454"/>
      <c r="C149" s="450"/>
      <c r="D149" s="222">
        <v>1</v>
      </c>
      <c r="E149" s="222" t="s">
        <v>46</v>
      </c>
      <c r="F149" s="222">
        <f>F144+F146+F148</f>
        <v>14.612699999999998</v>
      </c>
      <c r="G149" s="225"/>
      <c r="H149" s="215"/>
      <c r="I149" s="215"/>
    </row>
    <row r="150" spans="1:9">
      <c r="A150" s="574" t="s">
        <v>826</v>
      </c>
      <c r="B150" s="454"/>
      <c r="C150" s="450"/>
      <c r="D150" s="222">
        <v>1</v>
      </c>
      <c r="E150" s="222" t="s">
        <v>46</v>
      </c>
      <c r="F150" s="222">
        <f>F149/D149</f>
        <v>14.612699999999998</v>
      </c>
      <c r="G150" s="225"/>
      <c r="H150" s="215"/>
      <c r="I150" s="215"/>
    </row>
    <row r="151" spans="1:9">
      <c r="A151" s="574" t="s">
        <v>1187</v>
      </c>
      <c r="B151" s="454"/>
      <c r="C151" s="454"/>
      <c r="D151" s="450"/>
      <c r="E151" s="224">
        <f>F144*100.5%/D149</f>
        <v>7.2359999999999998</v>
      </c>
      <c r="F151" s="222">
        <f>E151*1%</f>
        <v>7.2359999999999994E-2</v>
      </c>
      <c r="G151" s="225"/>
      <c r="H151" s="215"/>
      <c r="I151" s="215"/>
    </row>
    <row r="152" spans="1:9">
      <c r="A152" s="574" t="s">
        <v>30</v>
      </c>
      <c r="B152" s="454"/>
      <c r="C152" s="454"/>
      <c r="D152" s="450"/>
      <c r="E152" s="217"/>
      <c r="F152" s="222">
        <f>F150+F151</f>
        <v>14.685059999999998</v>
      </c>
      <c r="G152" s="225"/>
      <c r="H152" s="215"/>
      <c r="I152" s="215"/>
    </row>
    <row r="153" spans="1:9">
      <c r="A153" s="574" t="s">
        <v>836</v>
      </c>
      <c r="B153" s="454"/>
      <c r="C153" s="454"/>
      <c r="D153" s="450"/>
      <c r="E153" s="222">
        <f>F152</f>
        <v>14.685059999999998</v>
      </c>
      <c r="F153" s="222">
        <f>E153*15%</f>
        <v>2.2027589999999995</v>
      </c>
      <c r="G153" s="225"/>
      <c r="H153" s="215"/>
      <c r="I153" s="215"/>
    </row>
    <row r="154" spans="1:9">
      <c r="A154" s="578" t="s">
        <v>30</v>
      </c>
      <c r="B154" s="454"/>
      <c r="C154" s="454"/>
      <c r="D154" s="450"/>
      <c r="E154" s="225"/>
      <c r="F154" s="226">
        <f>ROUND(F152+F153,2)</f>
        <v>16.89</v>
      </c>
      <c r="G154" s="217"/>
      <c r="H154" s="215"/>
      <c r="I154" s="215">
        <f>F154+F142</f>
        <v>4055.8599999999997</v>
      </c>
    </row>
    <row r="155" spans="1:9">
      <c r="A155" s="579" t="str">
        <f>CONCATENATE("Say ₹ ",F142," + ",F154," x Cost Index")</f>
        <v>Say ₹ 4038.97 + 16.89 x Cost Index</v>
      </c>
      <c r="B155" s="454"/>
      <c r="C155" s="454"/>
      <c r="D155" s="454"/>
      <c r="E155" s="454"/>
      <c r="F155" s="450"/>
      <c r="G155" s="228" t="s">
        <v>1007</v>
      </c>
      <c r="H155" s="229">
        <f>((F132*1.005*1.01)+(F134*1.005))*1.15</f>
        <v>4038.9693599249995</v>
      </c>
      <c r="I155" s="229">
        <f>((F144*1.005*1.01)+(F146*1.005))*1.15</f>
        <v>16.887818999999997</v>
      </c>
    </row>
    <row r="156" spans="1:9">
      <c r="A156" s="571" t="s">
        <v>771</v>
      </c>
      <c r="B156" s="571" t="s">
        <v>776</v>
      </c>
      <c r="C156" s="572" t="s">
        <v>4</v>
      </c>
      <c r="D156" s="454"/>
      <c r="E156" s="450"/>
      <c r="F156" s="572" t="s">
        <v>785</v>
      </c>
      <c r="G156" s="450"/>
      <c r="H156" s="215"/>
      <c r="I156" s="215"/>
    </row>
    <row r="157" spans="1:9">
      <c r="A157" s="457"/>
      <c r="B157" s="457"/>
      <c r="C157" s="216" t="s">
        <v>5</v>
      </c>
      <c r="D157" s="216" t="s">
        <v>6</v>
      </c>
      <c r="E157" s="216" t="s">
        <v>336</v>
      </c>
      <c r="F157" s="216" t="s">
        <v>8</v>
      </c>
      <c r="G157" s="216" t="s">
        <v>789</v>
      </c>
      <c r="H157" s="215"/>
      <c r="I157" s="215"/>
    </row>
    <row r="158" spans="1:9">
      <c r="A158" s="573" t="s">
        <v>1622</v>
      </c>
      <c r="B158" s="454"/>
      <c r="C158" s="454"/>
      <c r="D158" s="454"/>
      <c r="E158" s="454"/>
      <c r="F158" s="454"/>
      <c r="G158" s="450"/>
      <c r="H158" s="215"/>
      <c r="I158" s="215"/>
    </row>
    <row r="159" spans="1:9">
      <c r="A159" s="217"/>
      <c r="B159" s="217" t="s">
        <v>795</v>
      </c>
      <c r="C159" s="217" t="s">
        <v>46</v>
      </c>
      <c r="D159" s="217" t="s">
        <v>798</v>
      </c>
      <c r="E159" s="217">
        <v>1</v>
      </c>
      <c r="F159" s="217"/>
      <c r="G159" s="217"/>
      <c r="H159" s="215"/>
      <c r="I159" s="215"/>
    </row>
    <row r="160" spans="1:9">
      <c r="A160" s="217" t="s">
        <v>800</v>
      </c>
      <c r="B160" s="574" t="s">
        <v>1168</v>
      </c>
      <c r="C160" s="454"/>
      <c r="D160" s="454"/>
      <c r="E160" s="454"/>
      <c r="F160" s="454"/>
      <c r="G160" s="450"/>
      <c r="H160" s="215"/>
      <c r="I160" s="215"/>
    </row>
    <row r="161" spans="1:9">
      <c r="A161" s="574" t="s">
        <v>1171</v>
      </c>
      <c r="B161" s="454"/>
      <c r="C161" s="454"/>
      <c r="D161" s="454"/>
      <c r="E161" s="454"/>
      <c r="F161" s="454"/>
      <c r="G161" s="450"/>
      <c r="H161" s="215"/>
      <c r="I161" s="215"/>
    </row>
    <row r="162" spans="1:9">
      <c r="A162" s="577"/>
      <c r="B162" s="577" t="s">
        <v>1625</v>
      </c>
      <c r="C162" s="576" t="s">
        <v>1626</v>
      </c>
      <c r="D162" s="454"/>
      <c r="E162" s="450"/>
      <c r="F162" s="576"/>
      <c r="G162" s="450"/>
      <c r="H162" s="215"/>
      <c r="I162" s="215"/>
    </row>
    <row r="163" spans="1:9">
      <c r="A163" s="457"/>
      <c r="B163" s="457"/>
      <c r="C163" s="219" t="s">
        <v>46</v>
      </c>
      <c r="D163" s="219">
        <v>1</v>
      </c>
      <c r="E163" s="219">
        <v>4105.93</v>
      </c>
      <c r="F163" s="219">
        <f>D163*E163</f>
        <v>4105.93</v>
      </c>
      <c r="G163" s="219" t="s">
        <v>808</v>
      </c>
      <c r="H163" s="215"/>
      <c r="I163" s="215"/>
    </row>
    <row r="164" spans="1:9">
      <c r="A164" s="577"/>
      <c r="B164" s="577" t="s">
        <v>1178</v>
      </c>
      <c r="C164" s="576" t="s">
        <v>1179</v>
      </c>
      <c r="D164" s="454"/>
      <c r="E164" s="450"/>
      <c r="F164" s="576"/>
      <c r="G164" s="450"/>
      <c r="H164" s="215"/>
      <c r="I164" s="215"/>
    </row>
    <row r="165" spans="1:9">
      <c r="A165" s="457"/>
      <c r="B165" s="457"/>
      <c r="C165" s="219" t="s">
        <v>26</v>
      </c>
      <c r="D165" s="219">
        <v>0.15</v>
      </c>
      <c r="E165" s="219">
        <v>675</v>
      </c>
      <c r="F165" s="219">
        <f>D165*E165</f>
        <v>101.25</v>
      </c>
      <c r="G165" s="219" t="s">
        <v>825</v>
      </c>
      <c r="H165" s="215"/>
      <c r="I165" s="215"/>
    </row>
    <row r="166" spans="1:9">
      <c r="A166" s="577" t="s">
        <v>1181</v>
      </c>
      <c r="B166" s="577"/>
      <c r="C166" s="575" t="s">
        <v>1182</v>
      </c>
      <c r="D166" s="454"/>
      <c r="E166" s="450"/>
      <c r="F166" s="576"/>
      <c r="G166" s="450"/>
      <c r="H166" s="215"/>
      <c r="I166" s="215"/>
    </row>
    <row r="167" spans="1:9">
      <c r="A167" s="457"/>
      <c r="B167" s="457"/>
      <c r="C167" s="219" t="s">
        <v>891</v>
      </c>
      <c r="D167" s="221"/>
      <c r="E167" s="221"/>
      <c r="F167" s="219">
        <f>(F163+F165)*0.5%</f>
        <v>21.035900000000002</v>
      </c>
      <c r="G167" s="219" t="s">
        <v>1184</v>
      </c>
      <c r="H167" s="215"/>
      <c r="I167" s="215"/>
    </row>
    <row r="168" spans="1:9">
      <c r="A168" s="574" t="s">
        <v>30</v>
      </c>
      <c r="B168" s="454"/>
      <c r="C168" s="450"/>
      <c r="D168" s="222">
        <v>1</v>
      </c>
      <c r="E168" s="222" t="s">
        <v>46</v>
      </c>
      <c r="F168" s="222">
        <f>F163+F165+F167</f>
        <v>4228.2159000000001</v>
      </c>
      <c r="G168" s="217"/>
      <c r="H168" s="215"/>
      <c r="I168" s="215"/>
    </row>
    <row r="169" spans="1:9">
      <c r="A169" s="574" t="s">
        <v>826</v>
      </c>
      <c r="B169" s="454"/>
      <c r="C169" s="450"/>
      <c r="D169" s="222">
        <v>1</v>
      </c>
      <c r="E169" s="222" t="s">
        <v>46</v>
      </c>
      <c r="F169" s="222">
        <f>F168/D168</f>
        <v>4228.2159000000001</v>
      </c>
      <c r="G169" s="217"/>
      <c r="H169" s="215"/>
      <c r="I169" s="215"/>
    </row>
    <row r="170" spans="1:9">
      <c r="A170" s="574" t="s">
        <v>1187</v>
      </c>
      <c r="B170" s="454"/>
      <c r="C170" s="454"/>
      <c r="D170" s="450"/>
      <c r="E170" s="224">
        <f>F163*100.5%/D168</f>
        <v>4126.4596499999998</v>
      </c>
      <c r="F170" s="222">
        <f>E170*1%</f>
        <v>41.264596499999996</v>
      </c>
      <c r="G170" s="217"/>
      <c r="H170" s="215"/>
      <c r="I170" s="215"/>
    </row>
    <row r="171" spans="1:9">
      <c r="A171" s="574" t="s">
        <v>30</v>
      </c>
      <c r="B171" s="454"/>
      <c r="C171" s="454"/>
      <c r="D171" s="450"/>
      <c r="E171" s="217"/>
      <c r="F171" s="222">
        <f>F169+F170</f>
        <v>4269.4804965000003</v>
      </c>
      <c r="G171" s="217"/>
      <c r="H171" s="215"/>
      <c r="I171" s="215"/>
    </row>
    <row r="172" spans="1:9">
      <c r="A172" s="574" t="s">
        <v>836</v>
      </c>
      <c r="B172" s="454"/>
      <c r="C172" s="454"/>
      <c r="D172" s="450"/>
      <c r="E172" s="222">
        <f>F171</f>
        <v>4269.4804965000003</v>
      </c>
      <c r="F172" s="222">
        <f>E172*15%</f>
        <v>640.42207447500004</v>
      </c>
      <c r="G172" s="217"/>
      <c r="H172" s="215"/>
      <c r="I172" s="215"/>
    </row>
    <row r="173" spans="1:9">
      <c r="A173" s="578" t="s">
        <v>30</v>
      </c>
      <c r="B173" s="454"/>
      <c r="C173" s="454"/>
      <c r="D173" s="450"/>
      <c r="E173" s="225"/>
      <c r="F173" s="226">
        <f>ROUND(F171+F172,2)</f>
        <v>4909.8999999999996</v>
      </c>
      <c r="G173" s="217"/>
      <c r="H173" s="215"/>
      <c r="I173" s="215"/>
    </row>
    <row r="174" spans="1:9">
      <c r="A174" s="577">
        <v>2852</v>
      </c>
      <c r="B174" s="577"/>
      <c r="C174" s="576" t="s">
        <v>1203</v>
      </c>
      <c r="D174" s="454"/>
      <c r="E174" s="450"/>
      <c r="F174" s="576"/>
      <c r="G174" s="450"/>
      <c r="H174" s="215"/>
      <c r="I174" s="215"/>
    </row>
    <row r="175" spans="1:9">
      <c r="A175" s="457"/>
      <c r="B175" s="457"/>
      <c r="C175" s="219" t="s">
        <v>46</v>
      </c>
      <c r="D175" s="219">
        <v>4</v>
      </c>
      <c r="E175" s="219">
        <v>1.8</v>
      </c>
      <c r="F175" s="219">
        <f>D175*E175</f>
        <v>7.2</v>
      </c>
      <c r="G175" s="219" t="s">
        <v>1207</v>
      </c>
      <c r="H175" s="215"/>
      <c r="I175" s="215"/>
    </row>
    <row r="176" spans="1:9">
      <c r="A176" s="577">
        <v>1005</v>
      </c>
      <c r="B176" s="577"/>
      <c r="C176" s="576" t="s">
        <v>1208</v>
      </c>
      <c r="D176" s="454"/>
      <c r="E176" s="450"/>
      <c r="F176" s="576"/>
      <c r="G176" s="450"/>
      <c r="H176" s="215"/>
      <c r="I176" s="215"/>
    </row>
    <row r="177" spans="1:9">
      <c r="A177" s="457"/>
      <c r="B177" s="457"/>
      <c r="C177" s="219" t="s">
        <v>26</v>
      </c>
      <c r="D177" s="219">
        <v>0.15</v>
      </c>
      <c r="E177" s="219">
        <v>734</v>
      </c>
      <c r="F177" s="219">
        <f>D177*E177</f>
        <v>110.1</v>
      </c>
      <c r="G177" s="219" t="s">
        <v>822</v>
      </c>
      <c r="H177" s="215"/>
      <c r="I177" s="215"/>
    </row>
    <row r="178" spans="1:9">
      <c r="A178" s="577" t="s">
        <v>1181</v>
      </c>
      <c r="B178" s="577"/>
      <c r="C178" s="575" t="s">
        <v>1216</v>
      </c>
      <c r="D178" s="454"/>
      <c r="E178" s="450"/>
      <c r="F178" s="576"/>
      <c r="G178" s="450"/>
      <c r="H178" s="215"/>
      <c r="I178" s="215"/>
    </row>
    <row r="179" spans="1:9">
      <c r="A179" s="457"/>
      <c r="B179" s="457"/>
      <c r="C179" s="219" t="s">
        <v>891</v>
      </c>
      <c r="D179" s="221"/>
      <c r="E179" s="221"/>
      <c r="F179" s="219">
        <f>(F175+F177)*0.5%</f>
        <v>0.58650000000000002</v>
      </c>
      <c r="G179" s="219" t="s">
        <v>1218</v>
      </c>
      <c r="H179" s="215">
        <f>F179+F167</f>
        <v>21.622400000000003</v>
      </c>
      <c r="I179" s="215"/>
    </row>
    <row r="180" spans="1:9">
      <c r="A180" s="574" t="s">
        <v>30</v>
      </c>
      <c r="B180" s="454"/>
      <c r="C180" s="450"/>
      <c r="D180" s="222">
        <v>1</v>
      </c>
      <c r="E180" s="222" t="s">
        <v>46</v>
      </c>
      <c r="F180" s="222">
        <f>F175+F177+F179</f>
        <v>117.8865</v>
      </c>
      <c r="G180" s="225"/>
      <c r="H180" s="215"/>
      <c r="I180" s="215"/>
    </row>
    <row r="181" spans="1:9">
      <c r="A181" s="574" t="s">
        <v>826</v>
      </c>
      <c r="B181" s="454"/>
      <c r="C181" s="450"/>
      <c r="D181" s="222">
        <v>1</v>
      </c>
      <c r="E181" s="222" t="s">
        <v>46</v>
      </c>
      <c r="F181" s="222">
        <f>F180/D180</f>
        <v>117.8865</v>
      </c>
      <c r="G181" s="225"/>
      <c r="H181" s="215"/>
      <c r="I181" s="215"/>
    </row>
    <row r="182" spans="1:9">
      <c r="A182" s="574" t="s">
        <v>1187</v>
      </c>
      <c r="B182" s="454"/>
      <c r="C182" s="454"/>
      <c r="D182" s="450"/>
      <c r="E182" s="224">
        <f>F175*100.5%/D180</f>
        <v>7.2359999999999998</v>
      </c>
      <c r="F182" s="222">
        <f>E182*1%</f>
        <v>7.2359999999999994E-2</v>
      </c>
      <c r="G182" s="225"/>
      <c r="H182" s="215">
        <f>E182+E170</f>
        <v>4133.6956499999997</v>
      </c>
      <c r="I182" s="215"/>
    </row>
    <row r="183" spans="1:9">
      <c r="A183" s="574" t="s">
        <v>30</v>
      </c>
      <c r="B183" s="454"/>
      <c r="C183" s="454"/>
      <c r="D183" s="450"/>
      <c r="E183" s="217"/>
      <c r="F183" s="222">
        <f>F181+F182</f>
        <v>117.95886</v>
      </c>
      <c r="G183" s="225"/>
      <c r="H183" s="215"/>
      <c r="I183" s="215"/>
    </row>
    <row r="184" spans="1:9">
      <c r="A184" s="574" t="s">
        <v>836</v>
      </c>
      <c r="B184" s="454"/>
      <c r="C184" s="454"/>
      <c r="D184" s="450"/>
      <c r="E184" s="222">
        <f>F183</f>
        <v>117.95886</v>
      </c>
      <c r="F184" s="222">
        <f>E184*15%</f>
        <v>17.693829000000001</v>
      </c>
      <c r="G184" s="225"/>
      <c r="H184" s="215">
        <f>E184+E172</f>
        <v>4387.4393565</v>
      </c>
      <c r="I184" s="215"/>
    </row>
    <row r="185" spans="1:9">
      <c r="A185" s="578" t="s">
        <v>30</v>
      </c>
      <c r="B185" s="454"/>
      <c r="C185" s="454"/>
      <c r="D185" s="450"/>
      <c r="E185" s="225"/>
      <c r="F185" s="226">
        <f>ROUND(F183+F184,2)</f>
        <v>135.65</v>
      </c>
      <c r="G185" s="217"/>
      <c r="H185" s="215"/>
      <c r="I185" s="215">
        <f>F185+F173</f>
        <v>5045.5499999999993</v>
      </c>
    </row>
    <row r="186" spans="1:9">
      <c r="A186" s="579" t="str">
        <f>CONCATENATE("Say ₹ ",F173," + ",F185," x Cost Index")</f>
        <v>Say ₹ 4909.9 + 135.65 x Cost Index</v>
      </c>
      <c r="B186" s="454"/>
      <c r="C186" s="454"/>
      <c r="D186" s="454"/>
      <c r="E186" s="454"/>
      <c r="F186" s="450"/>
      <c r="G186" s="228" t="s">
        <v>1007</v>
      </c>
      <c r="H186" s="229">
        <f>((F163*1.005*1.01)+(F165*1.005))*1.15</f>
        <v>4909.9025709750003</v>
      </c>
      <c r="I186" s="229">
        <f>((F175*1.005*1.01)+(F177*1.005))*1.15</f>
        <v>135.65268899999995</v>
      </c>
    </row>
    <row r="187" spans="1:9">
      <c r="A187" s="571" t="s">
        <v>771</v>
      </c>
      <c r="B187" s="571" t="s">
        <v>776</v>
      </c>
      <c r="C187" s="572" t="s">
        <v>4</v>
      </c>
      <c r="D187" s="454"/>
      <c r="E187" s="450"/>
      <c r="F187" s="572" t="s">
        <v>785</v>
      </c>
      <c r="G187" s="450"/>
      <c r="H187" s="215"/>
      <c r="I187" s="215"/>
    </row>
    <row r="188" spans="1:9">
      <c r="A188" s="457"/>
      <c r="B188" s="457"/>
      <c r="C188" s="216" t="s">
        <v>5</v>
      </c>
      <c r="D188" s="216" t="s">
        <v>6</v>
      </c>
      <c r="E188" s="216" t="s">
        <v>336</v>
      </c>
      <c r="F188" s="216" t="s">
        <v>8</v>
      </c>
      <c r="G188" s="216" t="s">
        <v>789</v>
      </c>
      <c r="H188" s="215"/>
      <c r="I188" s="215"/>
    </row>
    <row r="189" spans="1:9">
      <c r="A189" s="573" t="s">
        <v>1657</v>
      </c>
      <c r="B189" s="454"/>
      <c r="C189" s="454"/>
      <c r="D189" s="454"/>
      <c r="E189" s="454"/>
      <c r="F189" s="454"/>
      <c r="G189" s="450"/>
      <c r="H189" s="215"/>
      <c r="I189" s="215"/>
    </row>
    <row r="190" spans="1:9">
      <c r="A190" s="217"/>
      <c r="B190" s="217" t="s">
        <v>795</v>
      </c>
      <c r="C190" s="217" t="s">
        <v>46</v>
      </c>
      <c r="D190" s="217" t="s">
        <v>798</v>
      </c>
      <c r="E190" s="217">
        <v>1</v>
      </c>
      <c r="F190" s="217"/>
      <c r="G190" s="217"/>
      <c r="H190" s="215"/>
      <c r="I190" s="215"/>
    </row>
    <row r="191" spans="1:9">
      <c r="A191" s="217" t="s">
        <v>800</v>
      </c>
      <c r="B191" s="574" t="s">
        <v>1168</v>
      </c>
      <c r="C191" s="454"/>
      <c r="D191" s="454"/>
      <c r="E191" s="454"/>
      <c r="F191" s="454"/>
      <c r="G191" s="450"/>
      <c r="H191" s="215"/>
      <c r="I191" s="215"/>
    </row>
    <row r="192" spans="1:9">
      <c r="A192" s="574" t="s">
        <v>1171</v>
      </c>
      <c r="B192" s="454"/>
      <c r="C192" s="454"/>
      <c r="D192" s="454"/>
      <c r="E192" s="454"/>
      <c r="F192" s="454"/>
      <c r="G192" s="450"/>
      <c r="H192" s="215"/>
      <c r="I192" s="215"/>
    </row>
    <row r="193" spans="1:9">
      <c r="A193" s="577"/>
      <c r="B193" s="577" t="s">
        <v>1661</v>
      </c>
      <c r="C193" s="576" t="s">
        <v>1662</v>
      </c>
      <c r="D193" s="454"/>
      <c r="E193" s="450"/>
      <c r="F193" s="576"/>
      <c r="G193" s="450"/>
      <c r="H193" s="215"/>
      <c r="I193" s="215"/>
    </row>
    <row r="194" spans="1:9">
      <c r="A194" s="457"/>
      <c r="B194" s="457"/>
      <c r="C194" s="219" t="s">
        <v>46</v>
      </c>
      <c r="D194" s="219">
        <v>1</v>
      </c>
      <c r="E194" s="219">
        <v>15932.2</v>
      </c>
      <c r="F194" s="219">
        <f>D194*E194</f>
        <v>15932.2</v>
      </c>
      <c r="G194" s="219" t="s">
        <v>808</v>
      </c>
      <c r="H194" s="215"/>
      <c r="I194" s="215"/>
    </row>
    <row r="195" spans="1:9">
      <c r="A195" s="577"/>
      <c r="B195" s="577" t="s">
        <v>1178</v>
      </c>
      <c r="C195" s="576" t="s">
        <v>1179</v>
      </c>
      <c r="D195" s="454"/>
      <c r="E195" s="450"/>
      <c r="F195" s="576"/>
      <c r="G195" s="450"/>
      <c r="H195" s="215"/>
      <c r="I195" s="215"/>
    </row>
    <row r="196" spans="1:9">
      <c r="A196" s="457"/>
      <c r="B196" s="457"/>
      <c r="C196" s="219" t="s">
        <v>26</v>
      </c>
      <c r="D196" s="219">
        <v>0.25</v>
      </c>
      <c r="E196" s="219">
        <v>675</v>
      </c>
      <c r="F196" s="219">
        <f>D196*E196</f>
        <v>168.75</v>
      </c>
      <c r="G196" s="219" t="s">
        <v>825</v>
      </c>
      <c r="H196" s="215"/>
      <c r="I196" s="215"/>
    </row>
    <row r="197" spans="1:9">
      <c r="A197" s="577" t="s">
        <v>1181</v>
      </c>
      <c r="B197" s="577"/>
      <c r="C197" s="575" t="s">
        <v>1182</v>
      </c>
      <c r="D197" s="454"/>
      <c r="E197" s="450"/>
      <c r="F197" s="576"/>
      <c r="G197" s="450"/>
      <c r="H197" s="215"/>
      <c r="I197" s="215"/>
    </row>
    <row r="198" spans="1:9">
      <c r="A198" s="457"/>
      <c r="B198" s="457"/>
      <c r="C198" s="219" t="s">
        <v>891</v>
      </c>
      <c r="D198" s="221"/>
      <c r="E198" s="221"/>
      <c r="F198" s="219">
        <f>(F194+F196)*0.5%</f>
        <v>80.504750000000001</v>
      </c>
      <c r="G198" s="219" t="s">
        <v>1184</v>
      </c>
      <c r="H198" s="215"/>
      <c r="I198" s="215"/>
    </row>
    <row r="199" spans="1:9">
      <c r="A199" s="574" t="s">
        <v>30</v>
      </c>
      <c r="B199" s="454"/>
      <c r="C199" s="450"/>
      <c r="D199" s="222">
        <v>1</v>
      </c>
      <c r="E199" s="222" t="s">
        <v>46</v>
      </c>
      <c r="F199" s="222">
        <f>F194+F196+F198</f>
        <v>16181.454750000001</v>
      </c>
      <c r="G199" s="217"/>
      <c r="H199" s="215"/>
      <c r="I199" s="215"/>
    </row>
    <row r="200" spans="1:9">
      <c r="A200" s="574" t="s">
        <v>826</v>
      </c>
      <c r="B200" s="454"/>
      <c r="C200" s="450"/>
      <c r="D200" s="222">
        <v>1</v>
      </c>
      <c r="E200" s="222" t="s">
        <v>46</v>
      </c>
      <c r="F200" s="222">
        <f>F199/D199</f>
        <v>16181.454750000001</v>
      </c>
      <c r="G200" s="217"/>
      <c r="H200" s="215"/>
      <c r="I200" s="215"/>
    </row>
    <row r="201" spans="1:9">
      <c r="A201" s="574" t="s">
        <v>1187</v>
      </c>
      <c r="B201" s="454"/>
      <c r="C201" s="454"/>
      <c r="D201" s="450"/>
      <c r="E201" s="224">
        <f>F194*100.5%/D199</f>
        <v>16011.860999999999</v>
      </c>
      <c r="F201" s="222">
        <f>E201*1%</f>
        <v>160.11860999999999</v>
      </c>
      <c r="G201" s="217"/>
      <c r="H201" s="215"/>
      <c r="I201" s="215"/>
    </row>
    <row r="202" spans="1:9">
      <c r="A202" s="574" t="s">
        <v>30</v>
      </c>
      <c r="B202" s="454"/>
      <c r="C202" s="454"/>
      <c r="D202" s="450"/>
      <c r="E202" s="217"/>
      <c r="F202" s="222">
        <f>F200+F201</f>
        <v>16341.57336</v>
      </c>
      <c r="G202" s="217"/>
      <c r="H202" s="215"/>
      <c r="I202" s="215"/>
    </row>
    <row r="203" spans="1:9">
      <c r="A203" s="574" t="s">
        <v>836</v>
      </c>
      <c r="B203" s="454"/>
      <c r="C203" s="454"/>
      <c r="D203" s="450"/>
      <c r="E203" s="222">
        <f>F202</f>
        <v>16341.57336</v>
      </c>
      <c r="F203" s="222">
        <f>E203*15%</f>
        <v>2451.2360039999999</v>
      </c>
      <c r="G203" s="217"/>
      <c r="H203" s="215"/>
      <c r="I203" s="215"/>
    </row>
    <row r="204" spans="1:9">
      <c r="A204" s="578" t="s">
        <v>30</v>
      </c>
      <c r="B204" s="454"/>
      <c r="C204" s="454"/>
      <c r="D204" s="450"/>
      <c r="E204" s="225"/>
      <c r="F204" s="226">
        <f>ROUND(F202+F203,2)</f>
        <v>18792.810000000001</v>
      </c>
      <c r="G204" s="217"/>
      <c r="H204" s="215"/>
      <c r="I204" s="215"/>
    </row>
    <row r="205" spans="1:9">
      <c r="A205" s="577">
        <v>2852</v>
      </c>
      <c r="B205" s="577"/>
      <c r="C205" s="576" t="s">
        <v>1203</v>
      </c>
      <c r="D205" s="454"/>
      <c r="E205" s="450"/>
      <c r="F205" s="576"/>
      <c r="G205" s="450"/>
      <c r="H205" s="215"/>
      <c r="I205" s="215"/>
    </row>
    <row r="206" spans="1:9">
      <c r="A206" s="457"/>
      <c r="B206" s="457"/>
      <c r="C206" s="219" t="s">
        <v>46</v>
      </c>
      <c r="D206" s="219">
        <v>4</v>
      </c>
      <c r="E206" s="219">
        <v>1.8</v>
      </c>
      <c r="F206" s="219">
        <f>D206*E206</f>
        <v>7.2</v>
      </c>
      <c r="G206" s="219" t="s">
        <v>1207</v>
      </c>
      <c r="H206" s="215"/>
      <c r="I206" s="215"/>
    </row>
    <row r="207" spans="1:9">
      <c r="A207" s="577">
        <v>1005</v>
      </c>
      <c r="B207" s="577"/>
      <c r="C207" s="576" t="s">
        <v>1208</v>
      </c>
      <c r="D207" s="454"/>
      <c r="E207" s="450"/>
      <c r="F207" s="576"/>
      <c r="G207" s="450"/>
      <c r="H207" s="215"/>
      <c r="I207" s="215"/>
    </row>
    <row r="208" spans="1:9">
      <c r="A208" s="457"/>
      <c r="B208" s="457"/>
      <c r="C208" s="219" t="s">
        <v>26</v>
      </c>
      <c r="D208" s="219">
        <v>0.25</v>
      </c>
      <c r="E208" s="219">
        <v>734</v>
      </c>
      <c r="F208" s="219">
        <f>D208*E208</f>
        <v>183.5</v>
      </c>
      <c r="G208" s="219" t="s">
        <v>822</v>
      </c>
      <c r="H208" s="215"/>
      <c r="I208" s="215"/>
    </row>
    <row r="209" spans="1:9">
      <c r="A209" s="577" t="s">
        <v>1181</v>
      </c>
      <c r="B209" s="577"/>
      <c r="C209" s="575" t="s">
        <v>1216</v>
      </c>
      <c r="D209" s="454"/>
      <c r="E209" s="450"/>
      <c r="F209" s="576"/>
      <c r="G209" s="450"/>
      <c r="H209" s="215"/>
      <c r="I209" s="215"/>
    </row>
    <row r="210" spans="1:9">
      <c r="A210" s="457"/>
      <c r="B210" s="457"/>
      <c r="C210" s="219" t="s">
        <v>891</v>
      </c>
      <c r="D210" s="221"/>
      <c r="E210" s="221"/>
      <c r="F210" s="219">
        <f>(F206+F208)*0.5%</f>
        <v>0.95350000000000001</v>
      </c>
      <c r="G210" s="219" t="s">
        <v>1218</v>
      </c>
      <c r="H210" s="215">
        <f>F210+F198</f>
        <v>81.458250000000007</v>
      </c>
      <c r="I210" s="215"/>
    </row>
    <row r="211" spans="1:9">
      <c r="A211" s="574" t="s">
        <v>30</v>
      </c>
      <c r="B211" s="454"/>
      <c r="C211" s="450"/>
      <c r="D211" s="222">
        <v>1</v>
      </c>
      <c r="E211" s="222" t="s">
        <v>46</v>
      </c>
      <c r="F211" s="222">
        <f>F206+F208+F210</f>
        <v>191.65349999999998</v>
      </c>
      <c r="G211" s="225"/>
      <c r="H211" s="215"/>
      <c r="I211" s="215"/>
    </row>
    <row r="212" spans="1:9">
      <c r="A212" s="574" t="s">
        <v>826</v>
      </c>
      <c r="B212" s="454"/>
      <c r="C212" s="450"/>
      <c r="D212" s="222">
        <v>1</v>
      </c>
      <c r="E212" s="222" t="s">
        <v>46</v>
      </c>
      <c r="F212" s="222">
        <f>F211/D211</f>
        <v>191.65349999999998</v>
      </c>
      <c r="G212" s="225"/>
      <c r="H212" s="215"/>
      <c r="I212" s="215"/>
    </row>
    <row r="213" spans="1:9">
      <c r="A213" s="574" t="s">
        <v>1187</v>
      </c>
      <c r="B213" s="454"/>
      <c r="C213" s="454"/>
      <c r="D213" s="450"/>
      <c r="E213" s="224">
        <f>F206*100.5%/D211</f>
        <v>7.2359999999999998</v>
      </c>
      <c r="F213" s="222">
        <f>E213*1%</f>
        <v>7.2359999999999994E-2</v>
      </c>
      <c r="G213" s="225"/>
      <c r="H213" s="215">
        <f>E213+E201</f>
        <v>16019.097</v>
      </c>
      <c r="I213" s="215"/>
    </row>
    <row r="214" spans="1:9">
      <c r="A214" s="574" t="s">
        <v>30</v>
      </c>
      <c r="B214" s="454"/>
      <c r="C214" s="454"/>
      <c r="D214" s="450"/>
      <c r="E214" s="217"/>
      <c r="F214" s="222">
        <f>F212+F213</f>
        <v>191.72585999999998</v>
      </c>
      <c r="G214" s="225"/>
      <c r="H214" s="215"/>
      <c r="I214" s="215"/>
    </row>
    <row r="215" spans="1:9">
      <c r="A215" s="574" t="s">
        <v>836</v>
      </c>
      <c r="B215" s="454"/>
      <c r="C215" s="454"/>
      <c r="D215" s="450"/>
      <c r="E215" s="222">
        <f>F214</f>
        <v>191.72585999999998</v>
      </c>
      <c r="F215" s="222">
        <f>E215*15%</f>
        <v>28.758878999999997</v>
      </c>
      <c r="G215" s="225"/>
      <c r="H215" s="215">
        <f>E215+E203</f>
        <v>16533.299220000001</v>
      </c>
      <c r="I215" s="215"/>
    </row>
    <row r="216" spans="1:9">
      <c r="A216" s="578" t="s">
        <v>30</v>
      </c>
      <c r="B216" s="454"/>
      <c r="C216" s="454"/>
      <c r="D216" s="450"/>
      <c r="E216" s="225"/>
      <c r="F216" s="226">
        <f>ROUND(F214+F215,2)</f>
        <v>220.48</v>
      </c>
      <c r="G216" s="217"/>
      <c r="H216" s="215"/>
      <c r="I216" s="215">
        <f>F216+F204</f>
        <v>19013.29</v>
      </c>
    </row>
    <row r="217" spans="1:9">
      <c r="A217" s="579" t="str">
        <f>CONCATENATE("Say ₹ ",F204," + ",F216," x Cost Index")</f>
        <v>Say ₹ 18792.81 + 220.48 x Cost Index</v>
      </c>
      <c r="B217" s="454"/>
      <c r="C217" s="454"/>
      <c r="D217" s="454"/>
      <c r="E217" s="454"/>
      <c r="F217" s="450"/>
      <c r="G217" s="228" t="s">
        <v>1007</v>
      </c>
      <c r="H217" s="229">
        <f>((F194*1.005*1.01)+(F196*1.005))*1.15</f>
        <v>18792.809363999997</v>
      </c>
      <c r="I217" s="229">
        <f>((F206*1.005*1.01)+(F208*1.005))*1.15</f>
        <v>220.48473899999996</v>
      </c>
    </row>
    <row r="218" spans="1:9">
      <c r="A218" s="571" t="s">
        <v>771</v>
      </c>
      <c r="B218" s="571" t="s">
        <v>776</v>
      </c>
      <c r="C218" s="572" t="s">
        <v>4</v>
      </c>
      <c r="D218" s="454"/>
      <c r="E218" s="450"/>
      <c r="F218" s="572" t="s">
        <v>785</v>
      </c>
      <c r="G218" s="450"/>
      <c r="H218" s="215"/>
      <c r="I218" s="215"/>
    </row>
    <row r="219" spans="1:9">
      <c r="A219" s="457"/>
      <c r="B219" s="457"/>
      <c r="C219" s="216" t="s">
        <v>5</v>
      </c>
      <c r="D219" s="216" t="s">
        <v>6</v>
      </c>
      <c r="E219" s="216" t="s">
        <v>336</v>
      </c>
      <c r="F219" s="216" t="s">
        <v>8</v>
      </c>
      <c r="G219" s="216" t="s">
        <v>789</v>
      </c>
      <c r="H219" s="215"/>
      <c r="I219" s="215"/>
    </row>
    <row r="220" spans="1:9">
      <c r="A220" s="573" t="s">
        <v>1683</v>
      </c>
      <c r="B220" s="454"/>
      <c r="C220" s="454"/>
      <c r="D220" s="454"/>
      <c r="E220" s="454"/>
      <c r="F220" s="454"/>
      <c r="G220" s="450"/>
      <c r="H220" s="215"/>
      <c r="I220" s="215"/>
    </row>
    <row r="221" spans="1:9">
      <c r="A221" s="217"/>
      <c r="B221" s="217" t="s">
        <v>795</v>
      </c>
      <c r="C221" s="217" t="s">
        <v>46</v>
      </c>
      <c r="D221" s="217" t="s">
        <v>798</v>
      </c>
      <c r="E221" s="217">
        <v>1</v>
      </c>
      <c r="F221" s="217"/>
      <c r="G221" s="217"/>
      <c r="H221" s="215"/>
      <c r="I221" s="215"/>
    </row>
    <row r="222" spans="1:9">
      <c r="A222" s="217" t="s">
        <v>800</v>
      </c>
      <c r="B222" s="574" t="s">
        <v>1168</v>
      </c>
      <c r="C222" s="454"/>
      <c r="D222" s="454"/>
      <c r="E222" s="454"/>
      <c r="F222" s="454"/>
      <c r="G222" s="450"/>
      <c r="H222" s="215"/>
      <c r="I222" s="215"/>
    </row>
    <row r="223" spans="1:9">
      <c r="A223" s="574" t="s">
        <v>1171</v>
      </c>
      <c r="B223" s="454"/>
      <c r="C223" s="454"/>
      <c r="D223" s="454"/>
      <c r="E223" s="454"/>
      <c r="F223" s="454"/>
      <c r="G223" s="450"/>
      <c r="H223" s="215"/>
      <c r="I223" s="215"/>
    </row>
    <row r="224" spans="1:9">
      <c r="A224" s="577"/>
      <c r="B224" s="577" t="s">
        <v>1684</v>
      </c>
      <c r="C224" s="576" t="s">
        <v>1685</v>
      </c>
      <c r="D224" s="454"/>
      <c r="E224" s="450"/>
      <c r="F224" s="576"/>
      <c r="G224" s="450"/>
      <c r="H224" s="215"/>
      <c r="I224" s="215"/>
    </row>
    <row r="225" spans="1:9">
      <c r="A225" s="457"/>
      <c r="B225" s="457"/>
      <c r="C225" s="219" t="s">
        <v>46</v>
      </c>
      <c r="D225" s="219">
        <v>1</v>
      </c>
      <c r="E225" s="219">
        <v>6737.29</v>
      </c>
      <c r="F225" s="219">
        <f>D225*E225</f>
        <v>6737.29</v>
      </c>
      <c r="G225" s="219" t="s">
        <v>808</v>
      </c>
      <c r="H225" s="215"/>
      <c r="I225" s="215"/>
    </row>
    <row r="226" spans="1:9">
      <c r="A226" s="577"/>
      <c r="B226" s="577" t="s">
        <v>1178</v>
      </c>
      <c r="C226" s="576" t="s">
        <v>1179</v>
      </c>
      <c r="D226" s="454"/>
      <c r="E226" s="450"/>
      <c r="F226" s="576"/>
      <c r="G226" s="450"/>
      <c r="H226" s="215"/>
      <c r="I226" s="215"/>
    </row>
    <row r="227" spans="1:9">
      <c r="A227" s="457"/>
      <c r="B227" s="457"/>
      <c r="C227" s="219" t="s">
        <v>26</v>
      </c>
      <c r="D227" s="219">
        <v>0.25</v>
      </c>
      <c r="E227" s="219">
        <v>675</v>
      </c>
      <c r="F227" s="219">
        <f>D227*E227</f>
        <v>168.75</v>
      </c>
      <c r="G227" s="219" t="s">
        <v>825</v>
      </c>
      <c r="H227" s="215"/>
      <c r="I227" s="215"/>
    </row>
    <row r="228" spans="1:9">
      <c r="A228" s="577" t="s">
        <v>1181</v>
      </c>
      <c r="B228" s="577"/>
      <c r="C228" s="575" t="s">
        <v>1182</v>
      </c>
      <c r="D228" s="454"/>
      <c r="E228" s="450"/>
      <c r="F228" s="576"/>
      <c r="G228" s="450"/>
      <c r="H228" s="215"/>
      <c r="I228" s="215"/>
    </row>
    <row r="229" spans="1:9">
      <c r="A229" s="457"/>
      <c r="B229" s="457"/>
      <c r="C229" s="219" t="s">
        <v>891</v>
      </c>
      <c r="D229" s="221"/>
      <c r="E229" s="221"/>
      <c r="F229" s="219">
        <f>(F225+F227)*0.5%</f>
        <v>34.530200000000001</v>
      </c>
      <c r="G229" s="219" t="s">
        <v>1184</v>
      </c>
      <c r="H229" s="215"/>
      <c r="I229" s="215"/>
    </row>
    <row r="230" spans="1:9">
      <c r="A230" s="574" t="s">
        <v>30</v>
      </c>
      <c r="B230" s="454"/>
      <c r="C230" s="450"/>
      <c r="D230" s="222">
        <v>1</v>
      </c>
      <c r="E230" s="222" t="s">
        <v>46</v>
      </c>
      <c r="F230" s="222">
        <f>F225+F227+F229</f>
        <v>6940.5702000000001</v>
      </c>
      <c r="G230" s="217"/>
      <c r="H230" s="215"/>
      <c r="I230" s="215"/>
    </row>
    <row r="231" spans="1:9">
      <c r="A231" s="574" t="s">
        <v>826</v>
      </c>
      <c r="B231" s="454"/>
      <c r="C231" s="450"/>
      <c r="D231" s="222">
        <v>1</v>
      </c>
      <c r="E231" s="222" t="s">
        <v>46</v>
      </c>
      <c r="F231" s="222">
        <f>F230/D230</f>
        <v>6940.5702000000001</v>
      </c>
      <c r="G231" s="217"/>
      <c r="H231" s="215"/>
      <c r="I231" s="215"/>
    </row>
    <row r="232" spans="1:9">
      <c r="A232" s="574" t="s">
        <v>1187</v>
      </c>
      <c r="B232" s="454"/>
      <c r="C232" s="454"/>
      <c r="D232" s="450"/>
      <c r="E232" s="224">
        <f>F225*100.5%/D230</f>
        <v>6770.9764499999992</v>
      </c>
      <c r="F232" s="222">
        <f>E232*1%</f>
        <v>67.709764499999991</v>
      </c>
      <c r="G232" s="217"/>
      <c r="H232" s="215"/>
      <c r="I232" s="215"/>
    </row>
    <row r="233" spans="1:9">
      <c r="A233" s="574" t="s">
        <v>30</v>
      </c>
      <c r="B233" s="454"/>
      <c r="C233" s="454"/>
      <c r="D233" s="450"/>
      <c r="E233" s="217"/>
      <c r="F233" s="222">
        <f>F231+F232</f>
        <v>7008.2799645000005</v>
      </c>
      <c r="G233" s="217"/>
      <c r="H233" s="215"/>
      <c r="I233" s="215"/>
    </row>
    <row r="234" spans="1:9">
      <c r="A234" s="574" t="s">
        <v>836</v>
      </c>
      <c r="B234" s="454"/>
      <c r="C234" s="454"/>
      <c r="D234" s="450"/>
      <c r="E234" s="222">
        <f>F233</f>
        <v>7008.2799645000005</v>
      </c>
      <c r="F234" s="222">
        <f>E234*15%</f>
        <v>1051.2419946750001</v>
      </c>
      <c r="G234" s="217"/>
      <c r="H234" s="215"/>
      <c r="I234" s="215"/>
    </row>
    <row r="235" spans="1:9">
      <c r="A235" s="578" t="s">
        <v>30</v>
      </c>
      <c r="B235" s="454"/>
      <c r="C235" s="454"/>
      <c r="D235" s="450"/>
      <c r="E235" s="225"/>
      <c r="F235" s="226">
        <f>ROUND(F233+F234,2)</f>
        <v>8059.52</v>
      </c>
      <c r="G235" s="217"/>
      <c r="H235" s="215"/>
      <c r="I235" s="215"/>
    </row>
    <row r="236" spans="1:9">
      <c r="A236" s="577">
        <v>2852</v>
      </c>
      <c r="B236" s="577"/>
      <c r="C236" s="576" t="s">
        <v>1203</v>
      </c>
      <c r="D236" s="454"/>
      <c r="E236" s="450"/>
      <c r="F236" s="576"/>
      <c r="G236" s="450"/>
      <c r="H236" s="215"/>
      <c r="I236" s="215"/>
    </row>
    <row r="237" spans="1:9">
      <c r="A237" s="457"/>
      <c r="B237" s="457"/>
      <c r="C237" s="219" t="s">
        <v>46</v>
      </c>
      <c r="D237" s="219">
        <v>4</v>
      </c>
      <c r="E237" s="219">
        <v>1.8</v>
      </c>
      <c r="F237" s="219">
        <f>D237*E237</f>
        <v>7.2</v>
      </c>
      <c r="G237" s="219" t="s">
        <v>1207</v>
      </c>
      <c r="H237" s="215"/>
      <c r="I237" s="215"/>
    </row>
    <row r="238" spans="1:9">
      <c r="A238" s="577">
        <v>1005</v>
      </c>
      <c r="B238" s="577"/>
      <c r="C238" s="576" t="s">
        <v>1208</v>
      </c>
      <c r="D238" s="454"/>
      <c r="E238" s="450"/>
      <c r="F238" s="576"/>
      <c r="G238" s="450"/>
      <c r="H238" s="215"/>
      <c r="I238" s="215"/>
    </row>
    <row r="239" spans="1:9">
      <c r="A239" s="457"/>
      <c r="B239" s="457"/>
      <c r="C239" s="219" t="s">
        <v>26</v>
      </c>
      <c r="D239" s="219">
        <v>0.25</v>
      </c>
      <c r="E239" s="219">
        <v>734</v>
      </c>
      <c r="F239" s="219">
        <f>D239*E239</f>
        <v>183.5</v>
      </c>
      <c r="G239" s="219" t="s">
        <v>822</v>
      </c>
      <c r="H239" s="215"/>
      <c r="I239" s="215"/>
    </row>
    <row r="240" spans="1:9">
      <c r="A240" s="577" t="s">
        <v>1181</v>
      </c>
      <c r="B240" s="577"/>
      <c r="C240" s="575" t="s">
        <v>1216</v>
      </c>
      <c r="D240" s="454"/>
      <c r="E240" s="450"/>
      <c r="F240" s="576"/>
      <c r="G240" s="450"/>
      <c r="H240" s="215"/>
      <c r="I240" s="215"/>
    </row>
    <row r="241" spans="1:9">
      <c r="A241" s="457"/>
      <c r="B241" s="457"/>
      <c r="C241" s="219" t="s">
        <v>891</v>
      </c>
      <c r="D241" s="221"/>
      <c r="E241" s="221"/>
      <c r="F241" s="219">
        <f>(F237+F239)*0.5%</f>
        <v>0.95350000000000001</v>
      </c>
      <c r="G241" s="219" t="s">
        <v>1218</v>
      </c>
      <c r="H241" s="215">
        <f>F241+F229</f>
        <v>35.483699999999999</v>
      </c>
      <c r="I241" s="215"/>
    </row>
    <row r="242" spans="1:9">
      <c r="A242" s="574" t="s">
        <v>30</v>
      </c>
      <c r="B242" s="454"/>
      <c r="C242" s="450"/>
      <c r="D242" s="222">
        <v>1</v>
      </c>
      <c r="E242" s="222" t="s">
        <v>46</v>
      </c>
      <c r="F242" s="222">
        <f>F237+F239+F241</f>
        <v>191.65349999999998</v>
      </c>
      <c r="G242" s="225"/>
      <c r="H242" s="215"/>
      <c r="I242" s="215"/>
    </row>
    <row r="243" spans="1:9">
      <c r="A243" s="574" t="s">
        <v>826</v>
      </c>
      <c r="B243" s="454"/>
      <c r="C243" s="450"/>
      <c r="D243" s="222">
        <v>1</v>
      </c>
      <c r="E243" s="222" t="s">
        <v>46</v>
      </c>
      <c r="F243" s="222">
        <f>F242/D242</f>
        <v>191.65349999999998</v>
      </c>
      <c r="G243" s="225"/>
      <c r="H243" s="215"/>
      <c r="I243" s="215"/>
    </row>
    <row r="244" spans="1:9">
      <c r="A244" s="574" t="s">
        <v>1187</v>
      </c>
      <c r="B244" s="454"/>
      <c r="C244" s="454"/>
      <c r="D244" s="450"/>
      <c r="E244" s="224">
        <f>F237*100.5%/D242</f>
        <v>7.2359999999999998</v>
      </c>
      <c r="F244" s="222">
        <f>E244*1%</f>
        <v>7.2359999999999994E-2</v>
      </c>
      <c r="G244" s="225"/>
      <c r="H244" s="215">
        <f>E244+E232</f>
        <v>6778.2124499999991</v>
      </c>
      <c r="I244" s="215"/>
    </row>
    <row r="245" spans="1:9">
      <c r="A245" s="574" t="s">
        <v>30</v>
      </c>
      <c r="B245" s="454"/>
      <c r="C245" s="454"/>
      <c r="D245" s="450"/>
      <c r="E245" s="217"/>
      <c r="F245" s="222">
        <f>F243+F244</f>
        <v>191.72585999999998</v>
      </c>
      <c r="G245" s="225"/>
      <c r="H245" s="215"/>
      <c r="I245" s="215"/>
    </row>
    <row r="246" spans="1:9">
      <c r="A246" s="574" t="s">
        <v>836</v>
      </c>
      <c r="B246" s="454"/>
      <c r="C246" s="454"/>
      <c r="D246" s="450"/>
      <c r="E246" s="222">
        <f>F245</f>
        <v>191.72585999999998</v>
      </c>
      <c r="F246" s="222">
        <f>E246*15%</f>
        <v>28.758878999999997</v>
      </c>
      <c r="G246" s="225"/>
      <c r="H246" s="215">
        <f>E246+E234</f>
        <v>7200.0058245</v>
      </c>
      <c r="I246" s="215"/>
    </row>
    <row r="247" spans="1:9">
      <c r="A247" s="578" t="s">
        <v>30</v>
      </c>
      <c r="B247" s="454"/>
      <c r="C247" s="454"/>
      <c r="D247" s="450"/>
      <c r="E247" s="225"/>
      <c r="F247" s="226">
        <f>ROUND(F245+F246,2)</f>
        <v>220.48</v>
      </c>
      <c r="G247" s="217"/>
      <c r="H247" s="215"/>
      <c r="I247" s="215">
        <f>F247+F235</f>
        <v>8280</v>
      </c>
    </row>
    <row r="248" spans="1:9">
      <c r="A248" s="579" t="str">
        <f>CONCATENATE("Say ₹ ",F235," + ",F247," x Cost Index")</f>
        <v>Say ₹ 8059.52 + 220.48 x Cost Index</v>
      </c>
      <c r="B248" s="454"/>
      <c r="C248" s="454"/>
      <c r="D248" s="454"/>
      <c r="E248" s="454"/>
      <c r="F248" s="450"/>
      <c r="G248" s="228" t="s">
        <v>1007</v>
      </c>
      <c r="H248" s="229">
        <f>((F225*1.005*1.01)+(F227*1.005))*1.15</f>
        <v>8059.5219591749992</v>
      </c>
      <c r="I248" s="229">
        <f>((F237*1.005*1.01)+(F239*1.005))*1.15</f>
        <v>220.48473899999996</v>
      </c>
    </row>
    <row r="249" spans="1:9">
      <c r="A249" s="571" t="s">
        <v>771</v>
      </c>
      <c r="B249" s="571" t="s">
        <v>776</v>
      </c>
      <c r="C249" s="572" t="s">
        <v>4</v>
      </c>
      <c r="D249" s="454"/>
      <c r="E249" s="450"/>
      <c r="F249" s="572" t="s">
        <v>785</v>
      </c>
      <c r="G249" s="450"/>
      <c r="H249" s="215"/>
      <c r="I249" s="215"/>
    </row>
    <row r="250" spans="1:9">
      <c r="A250" s="457"/>
      <c r="B250" s="457"/>
      <c r="C250" s="216" t="s">
        <v>5</v>
      </c>
      <c r="D250" s="216" t="s">
        <v>6</v>
      </c>
      <c r="E250" s="216" t="s">
        <v>336</v>
      </c>
      <c r="F250" s="216" t="s">
        <v>8</v>
      </c>
      <c r="G250" s="216" t="s">
        <v>789</v>
      </c>
      <c r="H250" s="215"/>
      <c r="I250" s="215"/>
    </row>
    <row r="251" spans="1:9">
      <c r="A251" s="573" t="s">
        <v>1700</v>
      </c>
      <c r="B251" s="454"/>
      <c r="C251" s="454"/>
      <c r="D251" s="454"/>
      <c r="E251" s="454"/>
      <c r="F251" s="454"/>
      <c r="G251" s="450"/>
      <c r="H251" s="215"/>
      <c r="I251" s="215"/>
    </row>
    <row r="252" spans="1:9">
      <c r="A252" s="217"/>
      <c r="B252" s="217" t="s">
        <v>795</v>
      </c>
      <c r="C252" s="217" t="s">
        <v>46</v>
      </c>
      <c r="D252" s="217" t="s">
        <v>798</v>
      </c>
      <c r="E252" s="217">
        <v>1</v>
      </c>
      <c r="F252" s="217"/>
      <c r="G252" s="217"/>
      <c r="H252" s="215"/>
      <c r="I252" s="215"/>
    </row>
    <row r="253" spans="1:9">
      <c r="A253" s="217" t="s">
        <v>800</v>
      </c>
      <c r="B253" s="574" t="s">
        <v>1168</v>
      </c>
      <c r="C253" s="454"/>
      <c r="D253" s="454"/>
      <c r="E253" s="454"/>
      <c r="F253" s="454"/>
      <c r="G253" s="450"/>
      <c r="H253" s="215"/>
      <c r="I253" s="215"/>
    </row>
    <row r="254" spans="1:9">
      <c r="A254" s="574" t="s">
        <v>1171</v>
      </c>
      <c r="B254" s="454"/>
      <c r="C254" s="454"/>
      <c r="D254" s="454"/>
      <c r="E254" s="454"/>
      <c r="F254" s="454"/>
      <c r="G254" s="450"/>
      <c r="H254" s="215"/>
      <c r="I254" s="215"/>
    </row>
    <row r="255" spans="1:9">
      <c r="A255" s="577"/>
      <c r="B255" s="577" t="s">
        <v>1701</v>
      </c>
      <c r="C255" s="576" t="s">
        <v>1702</v>
      </c>
      <c r="D255" s="454"/>
      <c r="E255" s="450"/>
      <c r="F255" s="576"/>
      <c r="G255" s="450"/>
      <c r="H255" s="215"/>
      <c r="I255" s="215"/>
    </row>
    <row r="256" spans="1:9">
      <c r="A256" s="457"/>
      <c r="B256" s="457"/>
      <c r="C256" s="219" t="s">
        <v>46</v>
      </c>
      <c r="D256" s="219">
        <v>1</v>
      </c>
      <c r="E256" s="219">
        <v>7881.36</v>
      </c>
      <c r="F256" s="219">
        <f>D256*E256</f>
        <v>7881.36</v>
      </c>
      <c r="G256" s="219" t="s">
        <v>808</v>
      </c>
      <c r="H256" s="215"/>
      <c r="I256" s="215"/>
    </row>
    <row r="257" spans="1:9">
      <c r="A257" s="577"/>
      <c r="B257" s="577" t="s">
        <v>1178</v>
      </c>
      <c r="C257" s="576" t="s">
        <v>1179</v>
      </c>
      <c r="D257" s="454"/>
      <c r="E257" s="450"/>
      <c r="F257" s="576"/>
      <c r="G257" s="450"/>
      <c r="H257" s="215"/>
      <c r="I257" s="215"/>
    </row>
    <row r="258" spans="1:9">
      <c r="A258" s="457"/>
      <c r="B258" s="457"/>
      <c r="C258" s="219" t="s">
        <v>26</v>
      </c>
      <c r="D258" s="219">
        <v>0.25</v>
      </c>
      <c r="E258" s="219">
        <v>675</v>
      </c>
      <c r="F258" s="219">
        <f>D258*E258</f>
        <v>168.75</v>
      </c>
      <c r="G258" s="219" t="s">
        <v>825</v>
      </c>
      <c r="H258" s="215"/>
      <c r="I258" s="215"/>
    </row>
    <row r="259" spans="1:9">
      <c r="A259" s="577" t="s">
        <v>1181</v>
      </c>
      <c r="B259" s="577"/>
      <c r="C259" s="575" t="s">
        <v>1182</v>
      </c>
      <c r="D259" s="454"/>
      <c r="E259" s="450"/>
      <c r="F259" s="576"/>
      <c r="G259" s="450"/>
      <c r="H259" s="215"/>
      <c r="I259" s="215"/>
    </row>
    <row r="260" spans="1:9">
      <c r="A260" s="457"/>
      <c r="B260" s="457"/>
      <c r="C260" s="219" t="s">
        <v>891</v>
      </c>
      <c r="D260" s="221"/>
      <c r="E260" s="221"/>
      <c r="F260" s="219">
        <f>(F256+F258)*0.5%</f>
        <v>40.250549999999997</v>
      </c>
      <c r="G260" s="219" t="s">
        <v>1184</v>
      </c>
      <c r="H260" s="215"/>
      <c r="I260" s="215"/>
    </row>
    <row r="261" spans="1:9">
      <c r="A261" s="574" t="s">
        <v>30</v>
      </c>
      <c r="B261" s="454"/>
      <c r="C261" s="450"/>
      <c r="D261" s="222">
        <v>1</v>
      </c>
      <c r="E261" s="222" t="s">
        <v>46</v>
      </c>
      <c r="F261" s="222">
        <f>F256+F258+F260</f>
        <v>8090.3605499999994</v>
      </c>
      <c r="G261" s="217"/>
      <c r="H261" s="215"/>
      <c r="I261" s="215"/>
    </row>
    <row r="262" spans="1:9">
      <c r="A262" s="574" t="s">
        <v>826</v>
      </c>
      <c r="B262" s="454"/>
      <c r="C262" s="450"/>
      <c r="D262" s="222">
        <v>1</v>
      </c>
      <c r="E262" s="222" t="s">
        <v>46</v>
      </c>
      <c r="F262" s="222">
        <f>F261/D261</f>
        <v>8090.3605499999994</v>
      </c>
      <c r="G262" s="217"/>
      <c r="H262" s="215"/>
      <c r="I262" s="215"/>
    </row>
    <row r="263" spans="1:9">
      <c r="A263" s="574" t="s">
        <v>1187</v>
      </c>
      <c r="B263" s="454"/>
      <c r="C263" s="454"/>
      <c r="D263" s="450"/>
      <c r="E263" s="224">
        <f>F256*100.5%/D261</f>
        <v>7920.7667999999985</v>
      </c>
      <c r="F263" s="222">
        <f>E263*1%</f>
        <v>79.207667999999984</v>
      </c>
      <c r="G263" s="217"/>
      <c r="H263" s="215"/>
      <c r="I263" s="215"/>
    </row>
    <row r="264" spans="1:9">
      <c r="A264" s="574" t="s">
        <v>30</v>
      </c>
      <c r="B264" s="454"/>
      <c r="C264" s="454"/>
      <c r="D264" s="450"/>
      <c r="E264" s="217"/>
      <c r="F264" s="222">
        <f>F262+F263</f>
        <v>8169.5682179999994</v>
      </c>
      <c r="G264" s="217"/>
      <c r="H264" s="215"/>
      <c r="I264" s="215"/>
    </row>
    <row r="265" spans="1:9">
      <c r="A265" s="574" t="s">
        <v>836</v>
      </c>
      <c r="B265" s="454"/>
      <c r="C265" s="454"/>
      <c r="D265" s="450"/>
      <c r="E265" s="222">
        <f>F264</f>
        <v>8169.5682179999994</v>
      </c>
      <c r="F265" s="222">
        <f>E265*15%</f>
        <v>1225.4352326999999</v>
      </c>
      <c r="G265" s="217"/>
      <c r="H265" s="215"/>
      <c r="I265" s="215"/>
    </row>
    <row r="266" spans="1:9">
      <c r="A266" s="578" t="s">
        <v>30</v>
      </c>
      <c r="B266" s="454"/>
      <c r="C266" s="454"/>
      <c r="D266" s="450"/>
      <c r="E266" s="225"/>
      <c r="F266" s="226">
        <f>ROUND(F264+F265,2)</f>
        <v>9395</v>
      </c>
      <c r="G266" s="217"/>
      <c r="H266" s="215"/>
      <c r="I266" s="215"/>
    </row>
    <row r="267" spans="1:9">
      <c r="A267" s="577">
        <v>2852</v>
      </c>
      <c r="B267" s="577"/>
      <c r="C267" s="576" t="s">
        <v>1203</v>
      </c>
      <c r="D267" s="454"/>
      <c r="E267" s="450"/>
      <c r="F267" s="576"/>
      <c r="G267" s="450"/>
      <c r="H267" s="215"/>
      <c r="I267" s="215"/>
    </row>
    <row r="268" spans="1:9">
      <c r="A268" s="457"/>
      <c r="B268" s="457"/>
      <c r="C268" s="219" t="s">
        <v>46</v>
      </c>
      <c r="D268" s="219">
        <v>4</v>
      </c>
      <c r="E268" s="219">
        <v>1.8</v>
      </c>
      <c r="F268" s="219">
        <f>D268*E268</f>
        <v>7.2</v>
      </c>
      <c r="G268" s="219" t="s">
        <v>1207</v>
      </c>
      <c r="H268" s="215"/>
      <c r="I268" s="215"/>
    </row>
    <row r="269" spans="1:9">
      <c r="A269" s="577">
        <v>1005</v>
      </c>
      <c r="B269" s="577"/>
      <c r="C269" s="576" t="s">
        <v>1208</v>
      </c>
      <c r="D269" s="454"/>
      <c r="E269" s="450"/>
      <c r="F269" s="576"/>
      <c r="G269" s="450"/>
      <c r="H269" s="215"/>
      <c r="I269" s="215"/>
    </row>
    <row r="270" spans="1:9">
      <c r="A270" s="457"/>
      <c r="B270" s="457"/>
      <c r="C270" s="219" t="s">
        <v>26</v>
      </c>
      <c r="D270" s="219">
        <v>0.25</v>
      </c>
      <c r="E270" s="219">
        <v>734</v>
      </c>
      <c r="F270" s="219">
        <f>D270*E270</f>
        <v>183.5</v>
      </c>
      <c r="G270" s="219" t="s">
        <v>822</v>
      </c>
      <c r="H270" s="215"/>
      <c r="I270" s="215"/>
    </row>
    <row r="271" spans="1:9">
      <c r="A271" s="577" t="s">
        <v>1181</v>
      </c>
      <c r="B271" s="577"/>
      <c r="C271" s="575" t="s">
        <v>1216</v>
      </c>
      <c r="D271" s="454"/>
      <c r="E271" s="450"/>
      <c r="F271" s="576"/>
      <c r="G271" s="450"/>
      <c r="H271" s="215"/>
      <c r="I271" s="215"/>
    </row>
    <row r="272" spans="1:9">
      <c r="A272" s="457"/>
      <c r="B272" s="457"/>
      <c r="C272" s="219" t="s">
        <v>891</v>
      </c>
      <c r="D272" s="221"/>
      <c r="E272" s="221"/>
      <c r="F272" s="219">
        <f>(F268+F270)*0.5%</f>
        <v>0.95350000000000001</v>
      </c>
      <c r="G272" s="219" t="s">
        <v>1218</v>
      </c>
      <c r="H272" s="215">
        <f>F272+F260</f>
        <v>41.204049999999995</v>
      </c>
      <c r="I272" s="215"/>
    </row>
    <row r="273" spans="1:9">
      <c r="A273" s="574" t="s">
        <v>30</v>
      </c>
      <c r="B273" s="454"/>
      <c r="C273" s="450"/>
      <c r="D273" s="222">
        <v>1</v>
      </c>
      <c r="E273" s="222" t="s">
        <v>46</v>
      </c>
      <c r="F273" s="222">
        <f>F268+F270+F272</f>
        <v>191.65349999999998</v>
      </c>
      <c r="G273" s="225"/>
      <c r="H273" s="215"/>
      <c r="I273" s="215"/>
    </row>
    <row r="274" spans="1:9">
      <c r="A274" s="574" t="s">
        <v>826</v>
      </c>
      <c r="B274" s="454"/>
      <c r="C274" s="450"/>
      <c r="D274" s="222">
        <v>1</v>
      </c>
      <c r="E274" s="222" t="s">
        <v>46</v>
      </c>
      <c r="F274" s="222">
        <f>F273/D273</f>
        <v>191.65349999999998</v>
      </c>
      <c r="G274" s="225"/>
      <c r="H274" s="215"/>
      <c r="I274" s="215"/>
    </row>
    <row r="275" spans="1:9">
      <c r="A275" s="574" t="s">
        <v>1187</v>
      </c>
      <c r="B275" s="454"/>
      <c r="C275" s="454"/>
      <c r="D275" s="450"/>
      <c r="E275" s="224">
        <f>F268*100.5%/D273</f>
        <v>7.2359999999999998</v>
      </c>
      <c r="F275" s="222">
        <f>E275*1%</f>
        <v>7.2359999999999994E-2</v>
      </c>
      <c r="G275" s="225"/>
      <c r="H275" s="215">
        <f>E275+E263</f>
        <v>7928.0027999999984</v>
      </c>
      <c r="I275" s="215"/>
    </row>
    <row r="276" spans="1:9">
      <c r="A276" s="574" t="s">
        <v>30</v>
      </c>
      <c r="B276" s="454"/>
      <c r="C276" s="454"/>
      <c r="D276" s="450"/>
      <c r="E276" s="217"/>
      <c r="F276" s="222">
        <f>F274+F275</f>
        <v>191.72585999999998</v>
      </c>
      <c r="G276" s="225"/>
      <c r="H276" s="215"/>
      <c r="I276" s="215"/>
    </row>
    <row r="277" spans="1:9">
      <c r="A277" s="574" t="s">
        <v>836</v>
      </c>
      <c r="B277" s="454"/>
      <c r="C277" s="454"/>
      <c r="D277" s="450"/>
      <c r="E277" s="222">
        <f>F276</f>
        <v>191.72585999999998</v>
      </c>
      <c r="F277" s="222">
        <f>E277*15%</f>
        <v>28.758878999999997</v>
      </c>
      <c r="G277" s="225"/>
      <c r="H277" s="215">
        <f>E277+E265</f>
        <v>8361.294077999999</v>
      </c>
      <c r="I277" s="215"/>
    </row>
    <row r="278" spans="1:9">
      <c r="A278" s="578" t="s">
        <v>30</v>
      </c>
      <c r="B278" s="454"/>
      <c r="C278" s="454"/>
      <c r="D278" s="450"/>
      <c r="E278" s="225"/>
      <c r="F278" s="226">
        <f>ROUND(F276+F277,2)</f>
        <v>220.48</v>
      </c>
      <c r="G278" s="217"/>
      <c r="H278" s="215"/>
      <c r="I278" s="215">
        <f>F278+F266</f>
        <v>9615.48</v>
      </c>
    </row>
    <row r="279" spans="1:9">
      <c r="A279" s="579" t="str">
        <f>CONCATENATE("Say ₹ ",F266," + ",F278," x Cost Index")</f>
        <v>Say ₹ 9395 + 220.48 x Cost Index</v>
      </c>
      <c r="B279" s="454"/>
      <c r="C279" s="454"/>
      <c r="D279" s="454"/>
      <c r="E279" s="454"/>
      <c r="F279" s="450"/>
      <c r="G279" s="228" t="s">
        <v>1007</v>
      </c>
      <c r="H279" s="229">
        <f>((F256*1.005*1.01)+(F258*1.005))*1.15</f>
        <v>9395.0034506999982</v>
      </c>
      <c r="I279" s="229">
        <f>((F268*1.005*1.01)+(F270*1.005))*1.15</f>
        <v>220.48473899999996</v>
      </c>
    </row>
  </sheetData>
  <mergeCells count="396">
    <mergeCell ref="A266:D266"/>
    <mergeCell ref="C271:E271"/>
    <mergeCell ref="F271:G271"/>
    <mergeCell ref="A267:A268"/>
    <mergeCell ref="B267:B268"/>
    <mergeCell ref="C267:E267"/>
    <mergeCell ref="F267:G267"/>
    <mergeCell ref="B269:B270"/>
    <mergeCell ref="C269:E269"/>
    <mergeCell ref="F269:G269"/>
    <mergeCell ref="A259:A260"/>
    <mergeCell ref="C259:E259"/>
    <mergeCell ref="F259:G259"/>
    <mergeCell ref="B259:B260"/>
    <mergeCell ref="A261:C261"/>
    <mergeCell ref="A262:C262"/>
    <mergeCell ref="A263:D263"/>
    <mergeCell ref="A264:D264"/>
    <mergeCell ref="A265:D265"/>
    <mergeCell ref="A251:G251"/>
    <mergeCell ref="B253:G253"/>
    <mergeCell ref="A254:G254"/>
    <mergeCell ref="A255:A256"/>
    <mergeCell ref="B255:B256"/>
    <mergeCell ref="C255:E255"/>
    <mergeCell ref="F255:G255"/>
    <mergeCell ref="A257:A258"/>
    <mergeCell ref="B257:B258"/>
    <mergeCell ref="C257:E257"/>
    <mergeCell ref="F257:G257"/>
    <mergeCell ref="A242:C242"/>
    <mergeCell ref="A243:C243"/>
    <mergeCell ref="A244:D244"/>
    <mergeCell ref="A245:D245"/>
    <mergeCell ref="A246:D246"/>
    <mergeCell ref="A247:D247"/>
    <mergeCell ref="A248:F248"/>
    <mergeCell ref="A249:A250"/>
    <mergeCell ref="B249:B250"/>
    <mergeCell ref="C249:E249"/>
    <mergeCell ref="F249:G249"/>
    <mergeCell ref="A277:D277"/>
    <mergeCell ref="A278:D278"/>
    <mergeCell ref="A279:F279"/>
    <mergeCell ref="A269:A270"/>
    <mergeCell ref="A271:A272"/>
    <mergeCell ref="B271:B272"/>
    <mergeCell ref="A273:C273"/>
    <mergeCell ref="A274:C274"/>
    <mergeCell ref="A275:D275"/>
    <mergeCell ref="A276:D276"/>
    <mergeCell ref="A173:D173"/>
    <mergeCell ref="C178:E178"/>
    <mergeCell ref="F178:G178"/>
    <mergeCell ref="A174:A175"/>
    <mergeCell ref="B174:B175"/>
    <mergeCell ref="C174:E174"/>
    <mergeCell ref="F174:G174"/>
    <mergeCell ref="B176:B177"/>
    <mergeCell ref="C176:E176"/>
    <mergeCell ref="F176:G176"/>
    <mergeCell ref="A166:A167"/>
    <mergeCell ref="C166:E166"/>
    <mergeCell ref="F166:G166"/>
    <mergeCell ref="B166:B167"/>
    <mergeCell ref="A168:C168"/>
    <mergeCell ref="A169:C169"/>
    <mergeCell ref="A170:D170"/>
    <mergeCell ref="A171:D171"/>
    <mergeCell ref="A172:D172"/>
    <mergeCell ref="A158:G158"/>
    <mergeCell ref="B160:G160"/>
    <mergeCell ref="A161:G161"/>
    <mergeCell ref="A162:A163"/>
    <mergeCell ref="B162:B163"/>
    <mergeCell ref="C162:E162"/>
    <mergeCell ref="F162:G162"/>
    <mergeCell ref="A164:A165"/>
    <mergeCell ref="B164:B165"/>
    <mergeCell ref="C164:E164"/>
    <mergeCell ref="F164:G164"/>
    <mergeCell ref="A149:C149"/>
    <mergeCell ref="A150:C150"/>
    <mergeCell ref="A151:D151"/>
    <mergeCell ref="A152:D152"/>
    <mergeCell ref="A153:D153"/>
    <mergeCell ref="A154:D154"/>
    <mergeCell ref="A155:F155"/>
    <mergeCell ref="A156:A157"/>
    <mergeCell ref="B156:B157"/>
    <mergeCell ref="C156:E156"/>
    <mergeCell ref="F156:G156"/>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35:A136"/>
    <mergeCell ref="C135:E135"/>
    <mergeCell ref="F135:G135"/>
    <mergeCell ref="B135:B136"/>
    <mergeCell ref="A137:C137"/>
    <mergeCell ref="A138:C138"/>
    <mergeCell ref="A139:D139"/>
    <mergeCell ref="A140:D140"/>
    <mergeCell ref="A141:D141"/>
    <mergeCell ref="A127:G127"/>
    <mergeCell ref="B129:G129"/>
    <mergeCell ref="A130:G130"/>
    <mergeCell ref="A131:A132"/>
    <mergeCell ref="B131:B132"/>
    <mergeCell ref="C131:E131"/>
    <mergeCell ref="F131:G131"/>
    <mergeCell ref="A133:A134"/>
    <mergeCell ref="B133:B134"/>
    <mergeCell ref="C133:E133"/>
    <mergeCell ref="F133:G133"/>
    <mergeCell ref="A118:C118"/>
    <mergeCell ref="A119:C119"/>
    <mergeCell ref="A120:D120"/>
    <mergeCell ref="A121:D121"/>
    <mergeCell ref="A122:D122"/>
    <mergeCell ref="A123:D123"/>
    <mergeCell ref="A124:F124"/>
    <mergeCell ref="A125:A126"/>
    <mergeCell ref="B125:B126"/>
    <mergeCell ref="C125:E125"/>
    <mergeCell ref="F125:G125"/>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04:A105"/>
    <mergeCell ref="C104:E104"/>
    <mergeCell ref="F104:G104"/>
    <mergeCell ref="B104:B105"/>
    <mergeCell ref="A106:C106"/>
    <mergeCell ref="A107:C107"/>
    <mergeCell ref="A108:D108"/>
    <mergeCell ref="A109:D109"/>
    <mergeCell ref="A110:D110"/>
    <mergeCell ref="A96:G96"/>
    <mergeCell ref="B98:G98"/>
    <mergeCell ref="A99:G99"/>
    <mergeCell ref="A100:A101"/>
    <mergeCell ref="B100:B101"/>
    <mergeCell ref="C100:E100"/>
    <mergeCell ref="F100:G100"/>
    <mergeCell ref="A102:A103"/>
    <mergeCell ref="B102:B103"/>
    <mergeCell ref="C102:E102"/>
    <mergeCell ref="F102:G102"/>
    <mergeCell ref="A87:C87"/>
    <mergeCell ref="A88:C88"/>
    <mergeCell ref="A89:D89"/>
    <mergeCell ref="A90:D90"/>
    <mergeCell ref="A91:D91"/>
    <mergeCell ref="A92:D92"/>
    <mergeCell ref="A93:F93"/>
    <mergeCell ref="A94:A95"/>
    <mergeCell ref="B94:B95"/>
    <mergeCell ref="C94:E94"/>
    <mergeCell ref="F94:G94"/>
    <mergeCell ref="A80:D80"/>
    <mergeCell ref="C85:E85"/>
    <mergeCell ref="F85:G85"/>
    <mergeCell ref="A81:A82"/>
    <mergeCell ref="B81:B82"/>
    <mergeCell ref="C81:E81"/>
    <mergeCell ref="F81:G81"/>
    <mergeCell ref="B83:B84"/>
    <mergeCell ref="C83:E83"/>
    <mergeCell ref="F83:G83"/>
    <mergeCell ref="A83:A84"/>
    <mergeCell ref="A85:A86"/>
    <mergeCell ref="B85:B86"/>
    <mergeCell ref="A73:A74"/>
    <mergeCell ref="C73:E73"/>
    <mergeCell ref="F73:G73"/>
    <mergeCell ref="B73:B74"/>
    <mergeCell ref="A75:C75"/>
    <mergeCell ref="A76:C76"/>
    <mergeCell ref="A77:D77"/>
    <mergeCell ref="A78:D78"/>
    <mergeCell ref="A79:D79"/>
    <mergeCell ref="A65:G65"/>
    <mergeCell ref="B67:G67"/>
    <mergeCell ref="A68:G68"/>
    <mergeCell ref="A69:A70"/>
    <mergeCell ref="B69:B70"/>
    <mergeCell ref="C69:E69"/>
    <mergeCell ref="F69:G69"/>
    <mergeCell ref="A71:A72"/>
    <mergeCell ref="B71:B72"/>
    <mergeCell ref="C71:E71"/>
    <mergeCell ref="F71:G71"/>
    <mergeCell ref="A56:C56"/>
    <mergeCell ref="A57:C57"/>
    <mergeCell ref="A58:D58"/>
    <mergeCell ref="A59:D59"/>
    <mergeCell ref="A60:D60"/>
    <mergeCell ref="A61:D61"/>
    <mergeCell ref="A62:F62"/>
    <mergeCell ref="A63:A64"/>
    <mergeCell ref="B63:B64"/>
    <mergeCell ref="C63:E63"/>
    <mergeCell ref="F63:G63"/>
    <mergeCell ref="A49:D49"/>
    <mergeCell ref="C54:E54"/>
    <mergeCell ref="F54:G54"/>
    <mergeCell ref="A50:A51"/>
    <mergeCell ref="B50:B51"/>
    <mergeCell ref="C50:E50"/>
    <mergeCell ref="F50:G50"/>
    <mergeCell ref="B52:B53"/>
    <mergeCell ref="C52:E52"/>
    <mergeCell ref="F52:G52"/>
    <mergeCell ref="A52:A53"/>
    <mergeCell ref="A54:A55"/>
    <mergeCell ref="B54:B55"/>
    <mergeCell ref="A42:A43"/>
    <mergeCell ref="C42:E42"/>
    <mergeCell ref="F42:G42"/>
    <mergeCell ref="B42:B43"/>
    <mergeCell ref="A44:C44"/>
    <mergeCell ref="A45:C45"/>
    <mergeCell ref="A46:D46"/>
    <mergeCell ref="A47:D47"/>
    <mergeCell ref="A48:D48"/>
    <mergeCell ref="A34:G34"/>
    <mergeCell ref="B36:G36"/>
    <mergeCell ref="A37:G37"/>
    <mergeCell ref="A38:A39"/>
    <mergeCell ref="B38:B39"/>
    <mergeCell ref="C38:E38"/>
    <mergeCell ref="F38:G38"/>
    <mergeCell ref="A40:A41"/>
    <mergeCell ref="B40:B41"/>
    <mergeCell ref="C40:E40"/>
    <mergeCell ref="F40:G40"/>
    <mergeCell ref="A25:C25"/>
    <mergeCell ref="A26:C26"/>
    <mergeCell ref="C32:E32"/>
    <mergeCell ref="F32:G32"/>
    <mergeCell ref="A27:D27"/>
    <mergeCell ref="A28:D28"/>
    <mergeCell ref="A29:D29"/>
    <mergeCell ref="A30:D30"/>
    <mergeCell ref="A31:F31"/>
    <mergeCell ref="A32:A33"/>
    <mergeCell ref="B32:B33"/>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235:D235"/>
    <mergeCell ref="C240:E240"/>
    <mergeCell ref="F240:G240"/>
    <mergeCell ref="A236:A237"/>
    <mergeCell ref="B236:B237"/>
    <mergeCell ref="C236:E236"/>
    <mergeCell ref="F236:G236"/>
    <mergeCell ref="B238:B239"/>
    <mergeCell ref="C238:E238"/>
    <mergeCell ref="F238:G238"/>
    <mergeCell ref="A238:A239"/>
    <mergeCell ref="A240:A241"/>
    <mergeCell ref="B240:B241"/>
    <mergeCell ref="A228:A229"/>
    <mergeCell ref="C228:E228"/>
    <mergeCell ref="F228:G228"/>
    <mergeCell ref="B228:B229"/>
    <mergeCell ref="A230:C230"/>
    <mergeCell ref="A231:C231"/>
    <mergeCell ref="A232:D232"/>
    <mergeCell ref="A233:D233"/>
    <mergeCell ref="A234:D234"/>
    <mergeCell ref="A220:G220"/>
    <mergeCell ref="B222:G222"/>
    <mergeCell ref="A223:G223"/>
    <mergeCell ref="A224:A225"/>
    <mergeCell ref="B224:B225"/>
    <mergeCell ref="C224:E224"/>
    <mergeCell ref="F224:G224"/>
    <mergeCell ref="A226:A227"/>
    <mergeCell ref="B226:B227"/>
    <mergeCell ref="C226:E226"/>
    <mergeCell ref="F226:G226"/>
    <mergeCell ref="A211:C211"/>
    <mergeCell ref="A212:C212"/>
    <mergeCell ref="A213:D213"/>
    <mergeCell ref="A214:D214"/>
    <mergeCell ref="A215:D215"/>
    <mergeCell ref="A216:D216"/>
    <mergeCell ref="A217:F217"/>
    <mergeCell ref="A218:A219"/>
    <mergeCell ref="B218:B219"/>
    <mergeCell ref="C218:E218"/>
    <mergeCell ref="F218:G218"/>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195:A196"/>
    <mergeCell ref="B195:B196"/>
    <mergeCell ref="C195:E195"/>
    <mergeCell ref="F195:G195"/>
    <mergeCell ref="A197:A198"/>
    <mergeCell ref="C197:E197"/>
    <mergeCell ref="F197:G197"/>
    <mergeCell ref="B197:B198"/>
    <mergeCell ref="A199:C199"/>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76:A177"/>
    <mergeCell ref="A178:A179"/>
    <mergeCell ref="B178:B179"/>
    <mergeCell ref="A180:C180"/>
    <mergeCell ref="A181:C181"/>
    <mergeCell ref="A182:D182"/>
    <mergeCell ref="A183:D183"/>
    <mergeCell ref="A184:D184"/>
    <mergeCell ref="A185:D185"/>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36"/>
  <sheetViews>
    <sheetView workbookViewId="0"/>
  </sheetViews>
  <sheetFormatPr defaultColWidth="14.453125" defaultRowHeight="15" customHeight="1"/>
  <cols>
    <col min="1" max="1" width="12.54296875" customWidth="1"/>
    <col min="2" max="2" width="58.08984375" customWidth="1"/>
  </cols>
  <sheetData>
    <row r="1" spans="1:4">
      <c r="A1" s="11" t="s">
        <v>332</v>
      </c>
      <c r="B1" s="11" t="s">
        <v>335</v>
      </c>
      <c r="C1" s="11" t="s">
        <v>336</v>
      </c>
      <c r="D1" s="11" t="s">
        <v>5</v>
      </c>
    </row>
    <row r="2" spans="1:4">
      <c r="A2" s="13" t="s">
        <v>1362</v>
      </c>
      <c r="B2" s="13" t="s">
        <v>1363</v>
      </c>
      <c r="C2" s="13">
        <v>462.13</v>
      </c>
      <c r="D2" s="13" t="s">
        <v>46</v>
      </c>
    </row>
    <row r="3" spans="1:4">
      <c r="A3" s="13" t="s">
        <v>1364</v>
      </c>
      <c r="B3" s="13" t="s">
        <v>1366</v>
      </c>
      <c r="C3" s="13">
        <v>512.12</v>
      </c>
      <c r="D3" s="13" t="s">
        <v>46</v>
      </c>
    </row>
    <row r="4" spans="1:4">
      <c r="A4" s="13" t="s">
        <v>1367</v>
      </c>
      <c r="B4" s="13" t="s">
        <v>1368</v>
      </c>
      <c r="C4" s="13">
        <v>614.04</v>
      </c>
      <c r="D4" s="13" t="s">
        <v>46</v>
      </c>
    </row>
    <row r="5" spans="1:4">
      <c r="A5" s="13" t="s">
        <v>1369</v>
      </c>
      <c r="B5" s="13" t="s">
        <v>1370</v>
      </c>
      <c r="C5" s="13">
        <v>762.43</v>
      </c>
      <c r="D5" s="13" t="s">
        <v>46</v>
      </c>
    </row>
    <row r="6" spans="1:4">
      <c r="A6" s="13" t="s">
        <v>1371</v>
      </c>
      <c r="B6" s="13" t="s">
        <v>1372</v>
      </c>
      <c r="C6" s="17">
        <v>1294.1099999999999</v>
      </c>
      <c r="D6" s="13" t="s">
        <v>46</v>
      </c>
    </row>
    <row r="7" spans="1:4">
      <c r="A7" s="13" t="s">
        <v>1373</v>
      </c>
      <c r="B7" s="13" t="s">
        <v>1374</v>
      </c>
      <c r="C7" s="17">
        <v>1933.85</v>
      </c>
      <c r="D7" s="13" t="s">
        <v>46</v>
      </c>
    </row>
    <row r="8" spans="1:4">
      <c r="A8" s="13" t="s">
        <v>1376</v>
      </c>
      <c r="B8" s="13" t="s">
        <v>1377</v>
      </c>
      <c r="C8" s="13">
        <v>400.86</v>
      </c>
      <c r="D8" s="13" t="s">
        <v>46</v>
      </c>
    </row>
    <row r="9" spans="1:4">
      <c r="A9" s="13" t="s">
        <v>1378</v>
      </c>
      <c r="B9" s="13" t="s">
        <v>1379</v>
      </c>
      <c r="C9" s="13">
        <v>439.81</v>
      </c>
      <c r="D9" s="13" t="s">
        <v>46</v>
      </c>
    </row>
    <row r="10" spans="1:4">
      <c r="A10" s="13" t="s">
        <v>1380</v>
      </c>
      <c r="B10" s="13" t="s">
        <v>1381</v>
      </c>
      <c r="C10" s="13">
        <v>497.89</v>
      </c>
      <c r="D10" s="13" t="s">
        <v>46</v>
      </c>
    </row>
    <row r="11" spans="1:4">
      <c r="A11" s="13" t="s">
        <v>1382</v>
      </c>
      <c r="B11" s="13" t="s">
        <v>1383</v>
      </c>
      <c r="C11" s="13">
        <v>588.21</v>
      </c>
      <c r="D11" s="13" t="s">
        <v>46</v>
      </c>
    </row>
    <row r="12" spans="1:4">
      <c r="A12" s="13" t="s">
        <v>1384</v>
      </c>
      <c r="B12" s="13" t="s">
        <v>1386</v>
      </c>
      <c r="C12" s="13">
        <v>675.32</v>
      </c>
      <c r="D12" s="13" t="s">
        <v>46</v>
      </c>
    </row>
    <row r="13" spans="1:4">
      <c r="A13" s="13" t="s">
        <v>1387</v>
      </c>
      <c r="B13" s="13" t="s">
        <v>1388</v>
      </c>
      <c r="C13" s="13">
        <v>707.55</v>
      </c>
      <c r="D13" s="13" t="s">
        <v>46</v>
      </c>
    </row>
    <row r="14" spans="1:4">
      <c r="A14" s="13" t="s">
        <v>1389</v>
      </c>
      <c r="B14" s="13" t="s">
        <v>1390</v>
      </c>
      <c r="C14" s="17">
        <v>910.81</v>
      </c>
      <c r="D14" s="13" t="s">
        <v>46</v>
      </c>
    </row>
    <row r="15" spans="1:4">
      <c r="A15" s="13" t="s">
        <v>1391</v>
      </c>
      <c r="B15" s="13" t="s">
        <v>1392</v>
      </c>
      <c r="C15" s="17">
        <v>1018.88</v>
      </c>
      <c r="D15" s="13" t="s">
        <v>46</v>
      </c>
    </row>
    <row r="16" spans="1:4">
      <c r="A16" s="13" t="s">
        <v>1393</v>
      </c>
      <c r="B16" s="13" t="s">
        <v>1394</v>
      </c>
      <c r="C16" s="17">
        <v>1146.6400000000001</v>
      </c>
      <c r="D16" s="13" t="s">
        <v>46</v>
      </c>
    </row>
    <row r="17" spans="1:4">
      <c r="A17" s="13" t="s">
        <v>1396</v>
      </c>
      <c r="B17" s="13" t="s">
        <v>1397</v>
      </c>
      <c r="C17" s="17">
        <v>1817.7</v>
      </c>
      <c r="D17" s="13" t="s">
        <v>46</v>
      </c>
    </row>
    <row r="18" spans="1:4">
      <c r="A18" s="13" t="s">
        <v>1398</v>
      </c>
      <c r="B18" s="13" t="s">
        <v>1399</v>
      </c>
      <c r="C18" s="17">
        <v>1846.74</v>
      </c>
      <c r="D18" s="13" t="s">
        <v>46</v>
      </c>
    </row>
    <row r="19" spans="1:4">
      <c r="A19" s="13" t="s">
        <v>1400</v>
      </c>
      <c r="B19" s="13" t="s">
        <v>1401</v>
      </c>
      <c r="C19" s="17">
        <v>2721.38</v>
      </c>
      <c r="D19" s="13" t="s">
        <v>46</v>
      </c>
    </row>
    <row r="20" spans="1:4">
      <c r="A20" s="13" t="s">
        <v>1402</v>
      </c>
      <c r="B20" s="13" t="s">
        <v>1403</v>
      </c>
      <c r="C20" s="17">
        <v>3069.83</v>
      </c>
      <c r="D20" s="13" t="s">
        <v>46</v>
      </c>
    </row>
    <row r="21" spans="1:4">
      <c r="A21" s="13" t="s">
        <v>1405</v>
      </c>
      <c r="B21" s="13" t="s">
        <v>1406</v>
      </c>
      <c r="C21" s="13">
        <v>227.71</v>
      </c>
      <c r="D21" s="13" t="s">
        <v>46</v>
      </c>
    </row>
    <row r="22" spans="1:4">
      <c r="A22" s="13" t="s">
        <v>1407</v>
      </c>
      <c r="B22" s="13" t="s">
        <v>1408</v>
      </c>
      <c r="C22" s="13">
        <v>250.94</v>
      </c>
      <c r="D22" s="13" t="s">
        <v>46</v>
      </c>
    </row>
    <row r="23" spans="1:4">
      <c r="A23" s="13" t="s">
        <v>1409</v>
      </c>
      <c r="B23" s="13" t="s">
        <v>1410</v>
      </c>
      <c r="C23" s="17">
        <v>320.63</v>
      </c>
      <c r="D23" s="13" t="s">
        <v>46</v>
      </c>
    </row>
    <row r="24" spans="1:4">
      <c r="A24" s="13" t="s">
        <v>1411</v>
      </c>
      <c r="B24" s="13" t="s">
        <v>1412</v>
      </c>
      <c r="C24" s="17">
        <v>355.48</v>
      </c>
      <c r="D24" s="13" t="s">
        <v>46</v>
      </c>
    </row>
    <row r="25" spans="1:4">
      <c r="A25" s="13" t="s">
        <v>1413</v>
      </c>
      <c r="B25" s="13" t="s">
        <v>1414</v>
      </c>
      <c r="C25" s="17">
        <v>454.2</v>
      </c>
      <c r="D25" s="13" t="s">
        <v>46</v>
      </c>
    </row>
    <row r="26" spans="1:4">
      <c r="A26" s="13" t="s">
        <v>1416</v>
      </c>
      <c r="B26" s="13" t="s">
        <v>1417</v>
      </c>
      <c r="C26" s="17">
        <v>613.52</v>
      </c>
      <c r="D26" s="13" t="s">
        <v>46</v>
      </c>
    </row>
    <row r="27" spans="1:4">
      <c r="A27" s="13" t="s">
        <v>1418</v>
      </c>
      <c r="B27" s="13" t="s">
        <v>1419</v>
      </c>
      <c r="C27" s="17">
        <v>863.24</v>
      </c>
      <c r="D27" s="13" t="s">
        <v>46</v>
      </c>
    </row>
    <row r="28" spans="1:4">
      <c r="A28" s="13" t="s">
        <v>1420</v>
      </c>
      <c r="B28" s="13" t="s">
        <v>1421</v>
      </c>
      <c r="C28" s="17">
        <v>921.31</v>
      </c>
      <c r="D28" s="13" t="s">
        <v>46</v>
      </c>
    </row>
    <row r="29" spans="1:4">
      <c r="A29" s="13" t="s">
        <v>1422</v>
      </c>
      <c r="B29" s="13" t="s">
        <v>1423</v>
      </c>
      <c r="C29" s="13">
        <v>592.86</v>
      </c>
      <c r="D29" s="13" t="s">
        <v>46</v>
      </c>
    </row>
    <row r="30" spans="1:4">
      <c r="A30" s="13" t="s">
        <v>1424</v>
      </c>
      <c r="B30" s="13" t="s">
        <v>1425</v>
      </c>
      <c r="C30" s="13">
        <v>616.09</v>
      </c>
      <c r="D30" s="13" t="s">
        <v>46</v>
      </c>
    </row>
    <row r="31" spans="1:4">
      <c r="A31" s="13" t="s">
        <v>1427</v>
      </c>
      <c r="B31" s="13" t="s">
        <v>1428</v>
      </c>
      <c r="C31" s="13">
        <v>685.78</v>
      </c>
      <c r="D31" s="13" t="s">
        <v>46</v>
      </c>
    </row>
    <row r="32" spans="1:4">
      <c r="A32" s="13" t="s">
        <v>1429</v>
      </c>
      <c r="B32" s="13" t="s">
        <v>1430</v>
      </c>
      <c r="C32" s="13">
        <v>720.63</v>
      </c>
      <c r="D32" s="13" t="s">
        <v>46</v>
      </c>
    </row>
    <row r="33" spans="1:4">
      <c r="A33" s="13" t="s">
        <v>1431</v>
      </c>
      <c r="B33" s="13" t="s">
        <v>1432</v>
      </c>
      <c r="C33" s="13">
        <v>819.36</v>
      </c>
      <c r="D33" s="13" t="s">
        <v>46</v>
      </c>
    </row>
    <row r="34" spans="1:4">
      <c r="A34" s="13" t="s">
        <v>1433</v>
      </c>
      <c r="B34" s="13" t="s">
        <v>1434</v>
      </c>
      <c r="C34" s="17">
        <v>1111.45</v>
      </c>
      <c r="D34" s="13" t="s">
        <v>46</v>
      </c>
    </row>
    <row r="35" spans="1:4">
      <c r="A35" s="13" t="s">
        <v>1435</v>
      </c>
      <c r="B35" s="13" t="s">
        <v>1437</v>
      </c>
      <c r="C35" s="17">
        <v>1361.17</v>
      </c>
      <c r="D35" s="13" t="s">
        <v>46</v>
      </c>
    </row>
    <row r="36" spans="1:4">
      <c r="A36" s="13" t="s">
        <v>1438</v>
      </c>
      <c r="B36" s="13" t="s">
        <v>1439</v>
      </c>
      <c r="C36" s="17">
        <v>1419.25</v>
      </c>
      <c r="D36" s="13" t="s">
        <v>46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7"/>
  <sheetViews>
    <sheetView workbookViewId="0"/>
  </sheetViews>
  <sheetFormatPr defaultColWidth="14.453125" defaultRowHeight="15" customHeight="1"/>
  <cols>
    <col min="1" max="1" width="14.54296875" customWidth="1"/>
    <col min="2" max="2" width="18.7265625" customWidth="1"/>
    <col min="7" max="7" width="16.26953125" customWidth="1"/>
    <col min="8" max="9" width="8" hidden="1" customWidth="1"/>
  </cols>
  <sheetData>
    <row r="1" spans="1:9">
      <c r="A1" s="581" t="s">
        <v>1442</v>
      </c>
      <c r="B1" s="454"/>
      <c r="C1" s="454"/>
      <c r="D1" s="454"/>
      <c r="E1" s="454"/>
      <c r="F1" s="454"/>
      <c r="G1" s="450"/>
      <c r="H1" s="235"/>
      <c r="I1" s="235"/>
    </row>
    <row r="2" spans="1:9">
      <c r="A2" s="236" t="s">
        <v>868</v>
      </c>
      <c r="B2" s="582" t="s">
        <v>1447</v>
      </c>
      <c r="C2" s="454"/>
      <c r="D2" s="454"/>
      <c r="E2" s="454"/>
      <c r="F2" s="454"/>
      <c r="G2" s="450"/>
      <c r="H2" s="235"/>
      <c r="I2" s="235"/>
    </row>
    <row r="3" spans="1:9">
      <c r="A3" s="237" t="s">
        <v>1450</v>
      </c>
      <c r="B3" s="238" t="s">
        <v>1451</v>
      </c>
      <c r="C3" s="239">
        <v>1</v>
      </c>
      <c r="D3" s="239" t="s">
        <v>46</v>
      </c>
      <c r="E3" s="240">
        <v>1620</v>
      </c>
      <c r="F3" s="239" t="s">
        <v>1455</v>
      </c>
      <c r="G3" s="241">
        <f t="shared" ref="G3:G10" si="0">C3*E3</f>
        <v>1620</v>
      </c>
      <c r="H3" s="235"/>
      <c r="I3" s="235"/>
    </row>
    <row r="4" spans="1:9">
      <c r="A4" s="237" t="s">
        <v>1457</v>
      </c>
      <c r="B4" s="238" t="s">
        <v>1459</v>
      </c>
      <c r="C4" s="239">
        <v>1</v>
      </c>
      <c r="D4" s="239" t="s">
        <v>46</v>
      </c>
      <c r="E4" s="240">
        <v>1355</v>
      </c>
      <c r="F4" s="239" t="s">
        <v>1455</v>
      </c>
      <c r="G4" s="241">
        <f t="shared" si="0"/>
        <v>1355</v>
      </c>
      <c r="H4" s="235"/>
      <c r="I4" s="235"/>
    </row>
    <row r="5" spans="1:9">
      <c r="A5" s="237" t="s">
        <v>1461</v>
      </c>
      <c r="B5" s="238" t="s">
        <v>1462</v>
      </c>
      <c r="C5" s="239">
        <v>1</v>
      </c>
      <c r="D5" s="239" t="s">
        <v>46</v>
      </c>
      <c r="E5" s="240">
        <v>2196</v>
      </c>
      <c r="F5" s="239" t="s">
        <v>1455</v>
      </c>
      <c r="G5" s="241">
        <f t="shared" si="0"/>
        <v>2196</v>
      </c>
      <c r="H5" s="235"/>
      <c r="I5" s="235"/>
    </row>
    <row r="6" spans="1:9">
      <c r="A6" s="237" t="s">
        <v>1463</v>
      </c>
      <c r="B6" s="238" t="s">
        <v>1464</v>
      </c>
      <c r="C6" s="239">
        <v>1</v>
      </c>
      <c r="D6" s="239" t="s">
        <v>46</v>
      </c>
      <c r="E6" s="239">
        <v>105</v>
      </c>
      <c r="F6" s="239" t="s">
        <v>1455</v>
      </c>
      <c r="G6" s="241">
        <f t="shared" si="0"/>
        <v>105</v>
      </c>
      <c r="H6" s="235"/>
      <c r="I6" s="235"/>
    </row>
    <row r="7" spans="1:9">
      <c r="A7" s="237" t="s">
        <v>1466</v>
      </c>
      <c r="B7" s="238" t="s">
        <v>1467</v>
      </c>
      <c r="C7" s="239">
        <v>1</v>
      </c>
      <c r="D7" s="239" t="s">
        <v>46</v>
      </c>
      <c r="E7" s="239">
        <v>84</v>
      </c>
      <c r="F7" s="239" t="s">
        <v>1455</v>
      </c>
      <c r="G7" s="241">
        <f t="shared" si="0"/>
        <v>84</v>
      </c>
      <c r="H7" s="235"/>
      <c r="I7" s="235"/>
    </row>
    <row r="8" spans="1:9">
      <c r="A8" s="237" t="s">
        <v>1468</v>
      </c>
      <c r="B8" s="238" t="s">
        <v>1469</v>
      </c>
      <c r="C8" s="239">
        <v>1</v>
      </c>
      <c r="D8" s="239" t="s">
        <v>46</v>
      </c>
      <c r="E8" s="239">
        <v>1016</v>
      </c>
      <c r="F8" s="239" t="s">
        <v>1455</v>
      </c>
      <c r="G8" s="241">
        <f t="shared" si="0"/>
        <v>1016</v>
      </c>
      <c r="H8" s="235"/>
      <c r="I8" s="235"/>
    </row>
    <row r="9" spans="1:9">
      <c r="A9" s="237" t="s">
        <v>865</v>
      </c>
      <c r="B9" s="238" t="s">
        <v>1470</v>
      </c>
      <c r="C9" s="239">
        <v>1</v>
      </c>
      <c r="D9" s="239" t="s">
        <v>891</v>
      </c>
      <c r="E9" s="239">
        <v>100</v>
      </c>
      <c r="F9" s="239" t="s">
        <v>891</v>
      </c>
      <c r="G9" s="241">
        <f t="shared" si="0"/>
        <v>100</v>
      </c>
      <c r="H9" s="235"/>
      <c r="I9" s="235"/>
    </row>
    <row r="10" spans="1:9">
      <c r="A10" s="237" t="s">
        <v>865</v>
      </c>
      <c r="B10" s="238" t="s">
        <v>1472</v>
      </c>
      <c r="C10" s="239">
        <v>1</v>
      </c>
      <c r="D10" s="239" t="s">
        <v>46</v>
      </c>
      <c r="E10" s="239">
        <v>540</v>
      </c>
      <c r="F10" s="239" t="s">
        <v>1455</v>
      </c>
      <c r="G10" s="241">
        <f t="shared" si="0"/>
        <v>540</v>
      </c>
      <c r="H10" s="235"/>
      <c r="I10" s="235"/>
    </row>
    <row r="11" spans="1:9">
      <c r="A11" s="242"/>
      <c r="B11" s="238" t="s">
        <v>1064</v>
      </c>
      <c r="C11" s="243"/>
      <c r="D11" s="243"/>
      <c r="E11" s="243"/>
      <c r="F11" s="243"/>
      <c r="G11" s="241">
        <f>SUM(G3:G10)</f>
        <v>7016</v>
      </c>
      <c r="H11" s="235"/>
      <c r="I11" s="235"/>
    </row>
    <row r="12" spans="1:9">
      <c r="A12" s="242"/>
      <c r="B12" s="238" t="s">
        <v>1474</v>
      </c>
      <c r="C12" s="243"/>
      <c r="D12" s="243"/>
      <c r="E12" s="243"/>
      <c r="F12" s="243"/>
      <c r="G12" s="241">
        <f>G11*1%</f>
        <v>70.16</v>
      </c>
      <c r="H12" s="235"/>
      <c r="I12" s="235"/>
    </row>
    <row r="13" spans="1:9">
      <c r="A13" s="242"/>
      <c r="B13" s="244" t="s">
        <v>40</v>
      </c>
      <c r="C13" s="243"/>
      <c r="D13" s="243"/>
      <c r="E13" s="243"/>
      <c r="F13" s="243"/>
      <c r="G13" s="241">
        <f>SUM(G11:G12)</f>
        <v>7086.16</v>
      </c>
      <c r="H13" s="235"/>
      <c r="I13" s="235"/>
    </row>
    <row r="14" spans="1:9">
      <c r="A14" s="242"/>
      <c r="B14" s="244" t="s">
        <v>898</v>
      </c>
      <c r="C14" s="243"/>
      <c r="D14" s="243"/>
      <c r="E14" s="243"/>
      <c r="F14" s="243"/>
      <c r="G14" s="241">
        <f>G13*15%</f>
        <v>1062.924</v>
      </c>
      <c r="H14" s="235"/>
      <c r="I14" s="235"/>
    </row>
    <row r="15" spans="1:9">
      <c r="A15" s="242"/>
      <c r="B15" s="245" t="s">
        <v>893</v>
      </c>
      <c r="C15" s="243"/>
      <c r="D15" s="243"/>
      <c r="E15" s="243"/>
      <c r="F15" s="243"/>
      <c r="G15" s="246">
        <f>ROUND(SUM(G13:G14),2)</f>
        <v>8149.08</v>
      </c>
      <c r="H15" s="235"/>
      <c r="I15" s="235"/>
    </row>
    <row r="16" spans="1:9">
      <c r="A16" s="237" t="s">
        <v>1478</v>
      </c>
      <c r="B16" s="247" t="s">
        <v>1479</v>
      </c>
      <c r="C16" s="239">
        <v>1</v>
      </c>
      <c r="D16" s="239" t="s">
        <v>481</v>
      </c>
      <c r="E16" s="248">
        <v>383</v>
      </c>
      <c r="F16" s="239" t="s">
        <v>1481</v>
      </c>
      <c r="G16" s="241">
        <f t="shared" ref="G16:G21" si="1">C16*E16</f>
        <v>383</v>
      </c>
      <c r="H16" s="235"/>
      <c r="I16" s="235"/>
    </row>
    <row r="17" spans="1:9">
      <c r="A17" s="237" t="s">
        <v>1482</v>
      </c>
      <c r="B17" s="247" t="s">
        <v>1483</v>
      </c>
      <c r="C17" s="239">
        <v>1</v>
      </c>
      <c r="D17" s="239" t="s">
        <v>46</v>
      </c>
      <c r="E17" s="248">
        <v>61</v>
      </c>
      <c r="F17" s="239" t="s">
        <v>1455</v>
      </c>
      <c r="G17" s="241">
        <f t="shared" si="1"/>
        <v>61</v>
      </c>
      <c r="H17" s="235"/>
      <c r="I17" s="235"/>
    </row>
    <row r="18" spans="1:9">
      <c r="A18" s="237" t="s">
        <v>1484</v>
      </c>
      <c r="B18" s="238" t="s">
        <v>1485</v>
      </c>
      <c r="C18" s="239">
        <v>1.1499999999999999</v>
      </c>
      <c r="D18" s="239" t="s">
        <v>691</v>
      </c>
      <c r="E18" s="248">
        <v>612</v>
      </c>
      <c r="F18" s="239" t="s">
        <v>860</v>
      </c>
      <c r="G18" s="241">
        <f t="shared" si="1"/>
        <v>703.8</v>
      </c>
      <c r="H18" s="235"/>
      <c r="I18" s="235"/>
    </row>
    <row r="19" spans="1:9">
      <c r="A19" s="237" t="s">
        <v>1487</v>
      </c>
      <c r="B19" s="238" t="s">
        <v>1488</v>
      </c>
      <c r="C19" s="239">
        <v>10</v>
      </c>
      <c r="D19" s="239" t="s">
        <v>481</v>
      </c>
      <c r="E19" s="248">
        <v>28</v>
      </c>
      <c r="F19" s="239" t="s">
        <v>1481</v>
      </c>
      <c r="G19" s="241">
        <f t="shared" si="1"/>
        <v>280</v>
      </c>
      <c r="H19" s="235"/>
      <c r="I19" s="235"/>
    </row>
    <row r="20" spans="1:9">
      <c r="A20" s="237" t="s">
        <v>871</v>
      </c>
      <c r="B20" s="244" t="s">
        <v>874</v>
      </c>
      <c r="C20" s="239">
        <v>1</v>
      </c>
      <c r="D20" s="239" t="s">
        <v>875</v>
      </c>
      <c r="E20" s="243">
        <v>784</v>
      </c>
      <c r="F20" s="239" t="s">
        <v>876</v>
      </c>
      <c r="G20" s="241">
        <f t="shared" si="1"/>
        <v>784</v>
      </c>
      <c r="H20" s="235"/>
      <c r="I20" s="235"/>
    </row>
    <row r="21" spans="1:9">
      <c r="A21" s="237" t="s">
        <v>903</v>
      </c>
      <c r="B21" s="244" t="s">
        <v>59</v>
      </c>
      <c r="C21" s="239">
        <v>1</v>
      </c>
      <c r="D21" s="239" t="s">
        <v>875</v>
      </c>
      <c r="E21" s="243">
        <v>645</v>
      </c>
      <c r="F21" s="239" t="s">
        <v>876</v>
      </c>
      <c r="G21" s="241">
        <f t="shared" si="1"/>
        <v>645</v>
      </c>
      <c r="H21" s="235"/>
      <c r="I21" s="235"/>
    </row>
    <row r="22" spans="1:9">
      <c r="A22" s="249"/>
      <c r="B22" s="244" t="s">
        <v>1064</v>
      </c>
      <c r="C22" s="243"/>
      <c r="D22" s="243"/>
      <c r="E22" s="243"/>
      <c r="F22" s="243"/>
      <c r="G22" s="241">
        <f>SUM(G16:G21)</f>
        <v>2856.8</v>
      </c>
      <c r="H22" s="235"/>
      <c r="I22" s="235"/>
    </row>
    <row r="23" spans="1:9">
      <c r="A23" s="249"/>
      <c r="B23" s="238" t="s">
        <v>1474</v>
      </c>
      <c r="C23" s="243"/>
      <c r="D23" s="243"/>
      <c r="E23" s="243"/>
      <c r="F23" s="243"/>
      <c r="G23" s="241">
        <f>G22*0.01</f>
        <v>28.568000000000001</v>
      </c>
      <c r="H23" s="235"/>
      <c r="I23" s="235"/>
    </row>
    <row r="24" spans="1:9">
      <c r="A24" s="249"/>
      <c r="B24" s="244" t="s">
        <v>40</v>
      </c>
      <c r="C24" s="243"/>
      <c r="D24" s="243"/>
      <c r="E24" s="243"/>
      <c r="F24" s="243"/>
      <c r="G24" s="241">
        <f>SUM(G22:G23)</f>
        <v>2885.3680000000004</v>
      </c>
      <c r="H24" s="235"/>
      <c r="I24" s="235"/>
    </row>
    <row r="25" spans="1:9">
      <c r="A25" s="237" t="s">
        <v>1492</v>
      </c>
      <c r="B25" s="238" t="s">
        <v>1493</v>
      </c>
      <c r="C25" s="239">
        <v>1</v>
      </c>
      <c r="D25" s="239" t="s">
        <v>875</v>
      </c>
      <c r="E25" s="239">
        <v>806</v>
      </c>
      <c r="F25" s="239" t="s">
        <v>876</v>
      </c>
      <c r="G25" s="241">
        <f>C25*E25</f>
        <v>806</v>
      </c>
      <c r="H25" s="235"/>
      <c r="I25" s="235"/>
    </row>
    <row r="26" spans="1:9">
      <c r="A26" s="249"/>
      <c r="B26" s="244" t="s">
        <v>40</v>
      </c>
      <c r="C26" s="243"/>
      <c r="D26" s="243"/>
      <c r="E26" s="243"/>
      <c r="F26" s="243"/>
      <c r="G26" s="241">
        <f>SUM(G24:G25)</f>
        <v>3691.3680000000004</v>
      </c>
      <c r="H26" s="235"/>
      <c r="I26" s="235"/>
    </row>
    <row r="27" spans="1:9">
      <c r="A27" s="249"/>
      <c r="B27" s="244" t="s">
        <v>898</v>
      </c>
      <c r="C27" s="243"/>
      <c r="D27" s="243"/>
      <c r="E27" s="243"/>
      <c r="F27" s="243"/>
      <c r="G27" s="241">
        <f>G26*15%</f>
        <v>553.70519999999999</v>
      </c>
      <c r="H27" s="235"/>
      <c r="I27" s="235"/>
    </row>
    <row r="28" spans="1:9">
      <c r="A28" s="249"/>
      <c r="B28" s="245" t="s">
        <v>893</v>
      </c>
      <c r="C28" s="243"/>
      <c r="D28" s="243"/>
      <c r="E28" s="243"/>
      <c r="F28" s="243"/>
      <c r="G28" s="246">
        <f>ROUND(SUM(G26:G27),2)</f>
        <v>4245.07</v>
      </c>
      <c r="H28" s="235"/>
      <c r="I28" s="235"/>
    </row>
    <row r="29" spans="1:9">
      <c r="A29" s="583" t="str">
        <f>CONCATENATE("Say ₹ ",G15," + ",G28," x Cost Index")</f>
        <v>Say ₹ 8149.08 + 4245.07 x Cost Index</v>
      </c>
      <c r="B29" s="454"/>
      <c r="C29" s="454"/>
      <c r="D29" s="454"/>
      <c r="E29" s="454"/>
      <c r="F29" s="454"/>
      <c r="G29" s="450"/>
      <c r="H29" s="235">
        <f>SUM(G3:G10)*1.01*1.15</f>
        <v>8149.0839999999989</v>
      </c>
      <c r="I29" s="235">
        <f>SUM(G16:G21)*1.01*1.15+(G25*1.15)</f>
        <v>4245.0731999999998</v>
      </c>
    </row>
    <row r="30" spans="1:9">
      <c r="A30" s="236" t="s">
        <v>884</v>
      </c>
      <c r="B30" s="582" t="s">
        <v>1499</v>
      </c>
      <c r="C30" s="454"/>
      <c r="D30" s="454"/>
      <c r="E30" s="454"/>
      <c r="F30" s="454"/>
      <c r="G30" s="450"/>
      <c r="H30" s="235"/>
      <c r="I30" s="235"/>
    </row>
    <row r="31" spans="1:9">
      <c r="A31" s="237" t="s">
        <v>865</v>
      </c>
      <c r="B31" s="238" t="s">
        <v>1451</v>
      </c>
      <c r="C31" s="239">
        <v>1</v>
      </c>
      <c r="D31" s="239" t="s">
        <v>46</v>
      </c>
      <c r="E31" s="240">
        <v>1620</v>
      </c>
      <c r="F31" s="239" t="s">
        <v>1455</v>
      </c>
      <c r="G31" s="241">
        <f t="shared" ref="G31:G38" si="2">C31*E31</f>
        <v>1620</v>
      </c>
      <c r="H31" s="235"/>
      <c r="I31" s="235"/>
    </row>
    <row r="32" spans="1:9">
      <c r="A32" s="237" t="s">
        <v>1457</v>
      </c>
      <c r="B32" s="238" t="s">
        <v>1459</v>
      </c>
      <c r="C32" s="239">
        <v>1</v>
      </c>
      <c r="D32" s="239" t="s">
        <v>46</v>
      </c>
      <c r="E32" s="240">
        <v>1355</v>
      </c>
      <c r="F32" s="239" t="s">
        <v>1455</v>
      </c>
      <c r="G32" s="241">
        <f t="shared" si="2"/>
        <v>1355</v>
      </c>
      <c r="H32" s="235"/>
      <c r="I32" s="235"/>
    </row>
    <row r="33" spans="1:9">
      <c r="A33" s="237" t="s">
        <v>1461</v>
      </c>
      <c r="B33" s="238" t="s">
        <v>1462</v>
      </c>
      <c r="C33" s="239">
        <v>1</v>
      </c>
      <c r="D33" s="239" t="s">
        <v>46</v>
      </c>
      <c r="E33" s="240">
        <v>2196</v>
      </c>
      <c r="F33" s="239" t="s">
        <v>1455</v>
      </c>
      <c r="G33" s="241">
        <f t="shared" si="2"/>
        <v>2196</v>
      </c>
      <c r="H33" s="235"/>
      <c r="I33" s="235"/>
    </row>
    <row r="34" spans="1:9">
      <c r="A34" s="237" t="s">
        <v>1463</v>
      </c>
      <c r="B34" s="238" t="s">
        <v>1464</v>
      </c>
      <c r="C34" s="239">
        <v>3</v>
      </c>
      <c r="D34" s="239" t="s">
        <v>46</v>
      </c>
      <c r="E34" s="239">
        <v>105</v>
      </c>
      <c r="F34" s="239" t="s">
        <v>1455</v>
      </c>
      <c r="G34" s="241">
        <f t="shared" si="2"/>
        <v>315</v>
      </c>
      <c r="H34" s="235"/>
      <c r="I34" s="235"/>
    </row>
    <row r="35" spans="1:9">
      <c r="A35" s="237" t="s">
        <v>1466</v>
      </c>
      <c r="B35" s="238" t="s">
        <v>1467</v>
      </c>
      <c r="C35" s="239">
        <v>1</v>
      </c>
      <c r="D35" s="239" t="s">
        <v>46</v>
      </c>
      <c r="E35" s="239">
        <v>84</v>
      </c>
      <c r="F35" s="239" t="s">
        <v>1455</v>
      </c>
      <c r="G35" s="241">
        <f t="shared" si="2"/>
        <v>84</v>
      </c>
      <c r="H35" s="235"/>
      <c r="I35" s="235"/>
    </row>
    <row r="36" spans="1:9">
      <c r="A36" s="237" t="s">
        <v>1468</v>
      </c>
      <c r="B36" s="238" t="s">
        <v>1469</v>
      </c>
      <c r="C36" s="239">
        <v>1</v>
      </c>
      <c r="D36" s="239" t="s">
        <v>46</v>
      </c>
      <c r="E36" s="239">
        <v>1016</v>
      </c>
      <c r="F36" s="239" t="s">
        <v>1455</v>
      </c>
      <c r="G36" s="241">
        <f t="shared" si="2"/>
        <v>1016</v>
      </c>
      <c r="H36" s="235"/>
      <c r="I36" s="235"/>
    </row>
    <row r="37" spans="1:9">
      <c r="A37" s="237" t="s">
        <v>865</v>
      </c>
      <c r="B37" s="238" t="s">
        <v>1470</v>
      </c>
      <c r="C37" s="239">
        <v>1</v>
      </c>
      <c r="D37" s="239" t="s">
        <v>891</v>
      </c>
      <c r="E37" s="239">
        <v>100</v>
      </c>
      <c r="F37" s="239" t="s">
        <v>891</v>
      </c>
      <c r="G37" s="241">
        <f t="shared" si="2"/>
        <v>100</v>
      </c>
      <c r="H37" s="235"/>
      <c r="I37" s="235"/>
    </row>
    <row r="38" spans="1:9">
      <c r="A38" s="237" t="s">
        <v>865</v>
      </c>
      <c r="B38" s="238" t="s">
        <v>1472</v>
      </c>
      <c r="C38" s="239">
        <v>1</v>
      </c>
      <c r="D38" s="239" t="s">
        <v>46</v>
      </c>
      <c r="E38" s="239">
        <v>540</v>
      </c>
      <c r="F38" s="239" t="s">
        <v>1455</v>
      </c>
      <c r="G38" s="241">
        <f t="shared" si="2"/>
        <v>540</v>
      </c>
      <c r="H38" s="235"/>
      <c r="I38" s="235"/>
    </row>
    <row r="39" spans="1:9">
      <c r="A39" s="242"/>
      <c r="B39" s="238" t="s">
        <v>1064</v>
      </c>
      <c r="C39" s="243"/>
      <c r="D39" s="243"/>
      <c r="E39" s="243"/>
      <c r="F39" s="243"/>
      <c r="G39" s="241">
        <f>SUM(G31:G38)</f>
        <v>7226</v>
      </c>
      <c r="H39" s="235"/>
      <c r="I39" s="235"/>
    </row>
    <row r="40" spans="1:9">
      <c r="A40" s="242"/>
      <c r="B40" s="238" t="s">
        <v>1474</v>
      </c>
      <c r="C40" s="243"/>
      <c r="D40" s="243"/>
      <c r="E40" s="243"/>
      <c r="F40" s="243"/>
      <c r="G40" s="241">
        <f>G39*1%</f>
        <v>72.260000000000005</v>
      </c>
      <c r="H40" s="235"/>
      <c r="I40" s="235"/>
    </row>
    <row r="41" spans="1:9">
      <c r="A41" s="242"/>
      <c r="B41" s="244" t="s">
        <v>40</v>
      </c>
      <c r="C41" s="243"/>
      <c r="D41" s="243"/>
      <c r="E41" s="243"/>
      <c r="F41" s="243"/>
      <c r="G41" s="241">
        <f>SUM(G39:G40)</f>
        <v>7298.26</v>
      </c>
      <c r="H41" s="235"/>
      <c r="I41" s="235"/>
    </row>
    <row r="42" spans="1:9">
      <c r="A42" s="242"/>
      <c r="B42" s="244" t="s">
        <v>898</v>
      </c>
      <c r="C42" s="243"/>
      <c r="D42" s="243"/>
      <c r="E42" s="243"/>
      <c r="F42" s="243"/>
      <c r="G42" s="241">
        <f>G41*15%</f>
        <v>1094.739</v>
      </c>
      <c r="H42" s="235"/>
      <c r="I42" s="235"/>
    </row>
    <row r="43" spans="1:9">
      <c r="A43" s="242"/>
      <c r="B43" s="245" t="s">
        <v>893</v>
      </c>
      <c r="C43" s="243"/>
      <c r="D43" s="243"/>
      <c r="E43" s="243"/>
      <c r="F43" s="243"/>
      <c r="G43" s="246">
        <f>ROUND(SUM(G41:G42),2)</f>
        <v>8393</v>
      </c>
      <c r="H43" s="235"/>
      <c r="I43" s="235"/>
    </row>
    <row r="44" spans="1:9">
      <c r="A44" s="237" t="s">
        <v>1478</v>
      </c>
      <c r="B44" s="247" t="s">
        <v>1479</v>
      </c>
      <c r="C44" s="239">
        <v>1</v>
      </c>
      <c r="D44" s="239" t="s">
        <v>481</v>
      </c>
      <c r="E44" s="248">
        <v>383</v>
      </c>
      <c r="F44" s="239" t="s">
        <v>1481</v>
      </c>
      <c r="G44" s="241">
        <f t="shared" ref="G44:G49" si="3">C44*E44</f>
        <v>383</v>
      </c>
      <c r="H44" s="235"/>
      <c r="I44" s="235"/>
    </row>
    <row r="45" spans="1:9">
      <c r="A45" s="237" t="s">
        <v>1482</v>
      </c>
      <c r="B45" s="247" t="s">
        <v>1483</v>
      </c>
      <c r="C45" s="239">
        <v>1</v>
      </c>
      <c r="D45" s="239" t="s">
        <v>46</v>
      </c>
      <c r="E45" s="248">
        <v>61</v>
      </c>
      <c r="F45" s="239" t="s">
        <v>1455</v>
      </c>
      <c r="G45" s="241">
        <f t="shared" si="3"/>
        <v>61</v>
      </c>
      <c r="H45" s="235"/>
      <c r="I45" s="235"/>
    </row>
    <row r="46" spans="1:9">
      <c r="A46" s="237" t="s">
        <v>1484</v>
      </c>
      <c r="B46" s="238" t="s">
        <v>1485</v>
      </c>
      <c r="C46" s="239">
        <v>1.1499999999999999</v>
      </c>
      <c r="D46" s="239" t="s">
        <v>691</v>
      </c>
      <c r="E46" s="248">
        <v>612</v>
      </c>
      <c r="F46" s="239" t="s">
        <v>860</v>
      </c>
      <c r="G46" s="241">
        <f t="shared" si="3"/>
        <v>703.8</v>
      </c>
      <c r="H46" s="235"/>
      <c r="I46" s="235"/>
    </row>
    <row r="47" spans="1:9">
      <c r="A47" s="237" t="s">
        <v>1487</v>
      </c>
      <c r="B47" s="238" t="s">
        <v>1488</v>
      </c>
      <c r="C47" s="239">
        <v>15</v>
      </c>
      <c r="D47" s="239" t="s">
        <v>481</v>
      </c>
      <c r="E47" s="248">
        <v>28</v>
      </c>
      <c r="F47" s="239" t="s">
        <v>1481</v>
      </c>
      <c r="G47" s="241">
        <f t="shared" si="3"/>
        <v>420</v>
      </c>
      <c r="H47" s="235"/>
      <c r="I47" s="235"/>
    </row>
    <row r="48" spans="1:9">
      <c r="A48" s="237" t="s">
        <v>871</v>
      </c>
      <c r="B48" s="244" t="s">
        <v>874</v>
      </c>
      <c r="C48" s="239">
        <v>2</v>
      </c>
      <c r="D48" s="239" t="s">
        <v>875</v>
      </c>
      <c r="E48" s="243">
        <v>784</v>
      </c>
      <c r="F48" s="239" t="s">
        <v>876</v>
      </c>
      <c r="G48" s="241">
        <f t="shared" si="3"/>
        <v>1568</v>
      </c>
      <c r="H48" s="235"/>
      <c r="I48" s="235"/>
    </row>
    <row r="49" spans="1:9">
      <c r="A49" s="237" t="s">
        <v>903</v>
      </c>
      <c r="B49" s="244" t="s">
        <v>59</v>
      </c>
      <c r="C49" s="239">
        <v>2</v>
      </c>
      <c r="D49" s="239" t="s">
        <v>875</v>
      </c>
      <c r="E49" s="243">
        <v>645</v>
      </c>
      <c r="F49" s="239" t="s">
        <v>876</v>
      </c>
      <c r="G49" s="241">
        <f t="shared" si="3"/>
        <v>1290</v>
      </c>
      <c r="H49" s="235"/>
      <c r="I49" s="235"/>
    </row>
    <row r="50" spans="1:9">
      <c r="A50" s="249"/>
      <c r="B50" s="244" t="s">
        <v>1064</v>
      </c>
      <c r="C50" s="243"/>
      <c r="D50" s="243"/>
      <c r="E50" s="243"/>
      <c r="F50" s="243"/>
      <c r="G50" s="241">
        <f>SUM(G44:G49)</f>
        <v>4425.8</v>
      </c>
      <c r="H50" s="235"/>
      <c r="I50" s="235"/>
    </row>
    <row r="51" spans="1:9">
      <c r="A51" s="249"/>
      <c r="B51" s="238" t="s">
        <v>1474</v>
      </c>
      <c r="C51" s="243"/>
      <c r="D51" s="243"/>
      <c r="E51" s="243"/>
      <c r="F51" s="243"/>
      <c r="G51" s="241">
        <f>G50*0.01</f>
        <v>44.258000000000003</v>
      </c>
      <c r="H51" s="235"/>
      <c r="I51" s="235"/>
    </row>
    <row r="52" spans="1:9">
      <c r="A52" s="249"/>
      <c r="B52" s="244" t="s">
        <v>40</v>
      </c>
      <c r="C52" s="243"/>
      <c r="D52" s="243"/>
      <c r="E52" s="243"/>
      <c r="F52" s="243"/>
      <c r="G52" s="241">
        <f>SUM(G50:G51)</f>
        <v>4470.058</v>
      </c>
      <c r="H52" s="235"/>
      <c r="I52" s="235"/>
    </row>
    <row r="53" spans="1:9">
      <c r="A53" s="237" t="s">
        <v>1492</v>
      </c>
      <c r="B53" s="238" t="s">
        <v>1493</v>
      </c>
      <c r="C53" s="239">
        <v>2</v>
      </c>
      <c r="D53" s="239" t="s">
        <v>875</v>
      </c>
      <c r="E53" s="239">
        <v>806</v>
      </c>
      <c r="F53" s="239" t="s">
        <v>876</v>
      </c>
      <c r="G53" s="241">
        <f>C53*E53</f>
        <v>1612</v>
      </c>
      <c r="H53" s="235"/>
      <c r="I53" s="235"/>
    </row>
    <row r="54" spans="1:9">
      <c r="A54" s="249"/>
      <c r="B54" s="244" t="s">
        <v>40</v>
      </c>
      <c r="C54" s="243"/>
      <c r="D54" s="243"/>
      <c r="E54" s="243"/>
      <c r="F54" s="243"/>
      <c r="G54" s="241">
        <f>SUM(G52:G53)</f>
        <v>6082.058</v>
      </c>
      <c r="H54" s="235"/>
      <c r="I54" s="235"/>
    </row>
    <row r="55" spans="1:9">
      <c r="A55" s="249"/>
      <c r="B55" s="244" t="s">
        <v>898</v>
      </c>
      <c r="C55" s="243"/>
      <c r="D55" s="243"/>
      <c r="E55" s="243"/>
      <c r="F55" s="243"/>
      <c r="G55" s="241">
        <f>G54*15%</f>
        <v>912.30869999999993</v>
      </c>
      <c r="H55" s="235"/>
      <c r="I55" s="235"/>
    </row>
    <row r="56" spans="1:9">
      <c r="A56" s="249"/>
      <c r="B56" s="245" t="s">
        <v>893</v>
      </c>
      <c r="C56" s="243"/>
      <c r="D56" s="243"/>
      <c r="E56" s="243"/>
      <c r="F56" s="243"/>
      <c r="G56" s="246">
        <f>ROUND(SUM(G54:G55),2)</f>
        <v>6994.37</v>
      </c>
      <c r="H56" s="235"/>
      <c r="I56" s="235"/>
    </row>
    <row r="57" spans="1:9">
      <c r="A57" s="583" t="str">
        <f>CONCATENATE("Say ₹ ",G43," + ",G56," x Cost Index")</f>
        <v>Say ₹ 8393 + 6994.37 x Cost Index</v>
      </c>
      <c r="B57" s="454"/>
      <c r="C57" s="454"/>
      <c r="D57" s="454"/>
      <c r="E57" s="454"/>
      <c r="F57" s="454"/>
      <c r="G57" s="450"/>
      <c r="H57" s="235">
        <f>SUM(G31:G38)*1.01*1.15</f>
        <v>8392.9989999999998</v>
      </c>
      <c r="I57" s="235">
        <f>SUM(G44:G49)*1.01*1.15+(G53*1.15)</f>
        <v>6994.3666999999996</v>
      </c>
    </row>
  </sheetData>
  <mergeCells count="5">
    <mergeCell ref="A1:G1"/>
    <mergeCell ref="B2:G2"/>
    <mergeCell ref="A29:G29"/>
    <mergeCell ref="B30:G30"/>
    <mergeCell ref="A57:G57"/>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L39"/>
  <sheetViews>
    <sheetView workbookViewId="0"/>
  </sheetViews>
  <sheetFormatPr defaultColWidth="14.453125" defaultRowHeight="15" customHeight="1"/>
  <cols>
    <col min="1" max="1" width="6.7265625" customWidth="1"/>
    <col min="2" max="2" width="35" customWidth="1"/>
    <col min="3" max="3" width="4.08984375" customWidth="1"/>
    <col min="4" max="4" width="4" customWidth="1"/>
    <col min="5" max="5" width="5.453125" customWidth="1"/>
    <col min="6" max="6" width="7.453125" customWidth="1"/>
    <col min="7" max="7" width="5.7265625" customWidth="1"/>
    <col min="8" max="8" width="10" customWidth="1"/>
    <col min="9" max="9" width="9.08984375" customWidth="1"/>
    <col min="10" max="10" width="14" customWidth="1"/>
    <col min="11" max="12" width="14" hidden="1" customWidth="1"/>
  </cols>
  <sheetData>
    <row r="1" spans="1:12" ht="15.75" customHeight="1">
      <c r="A1" s="586" t="s">
        <v>1527</v>
      </c>
      <c r="B1" s="454"/>
      <c r="C1" s="454"/>
      <c r="D1" s="454"/>
      <c r="E1" s="454"/>
      <c r="F1" s="454"/>
      <c r="G1" s="454"/>
      <c r="H1" s="454"/>
      <c r="I1" s="454"/>
      <c r="J1" s="450"/>
      <c r="K1" s="252"/>
      <c r="L1" s="252"/>
    </row>
    <row r="2" spans="1:12" ht="14.5">
      <c r="A2" s="253" t="s">
        <v>1154</v>
      </c>
      <c r="B2" s="254" t="s">
        <v>1021</v>
      </c>
      <c r="C2" s="253" t="s">
        <v>1022</v>
      </c>
      <c r="D2" s="253" t="s">
        <v>820</v>
      </c>
      <c r="E2" s="253" t="s">
        <v>1111</v>
      </c>
      <c r="F2" s="253" t="s">
        <v>1155</v>
      </c>
      <c r="G2" s="256" t="s">
        <v>40</v>
      </c>
      <c r="H2" s="253" t="s">
        <v>1156</v>
      </c>
      <c r="I2" s="253" t="s">
        <v>7</v>
      </c>
      <c r="J2" s="258" t="s">
        <v>8</v>
      </c>
      <c r="K2" s="259"/>
      <c r="L2" s="259"/>
    </row>
    <row r="3" spans="1:12" ht="49.5" customHeight="1">
      <c r="A3" s="585">
        <v>1</v>
      </c>
      <c r="B3" s="584" t="s">
        <v>1533</v>
      </c>
      <c r="C3" s="454"/>
      <c r="D3" s="454"/>
      <c r="E3" s="454"/>
      <c r="F3" s="454"/>
      <c r="G3" s="454"/>
      <c r="H3" s="454"/>
      <c r="I3" s="450"/>
      <c r="J3" s="253"/>
      <c r="K3" s="261"/>
      <c r="L3" s="261"/>
    </row>
    <row r="4" spans="1:12" ht="14.5">
      <c r="A4" s="464"/>
      <c r="B4" s="254" t="s">
        <v>1159</v>
      </c>
      <c r="C4" s="253">
        <v>1</v>
      </c>
      <c r="D4" s="253">
        <v>1</v>
      </c>
      <c r="E4" s="253">
        <v>1</v>
      </c>
      <c r="F4" s="253">
        <v>1</v>
      </c>
      <c r="G4" s="256">
        <f>PRODUCT(C4:F4)</f>
        <v>1</v>
      </c>
      <c r="H4" s="253"/>
      <c r="I4" s="253"/>
      <c r="J4" s="253"/>
      <c r="K4" s="261"/>
      <c r="L4" s="261"/>
    </row>
    <row r="5" spans="1:12" ht="17.25" customHeight="1">
      <c r="A5" s="457"/>
      <c r="B5" s="254" t="s">
        <v>40</v>
      </c>
      <c r="C5" s="253"/>
      <c r="D5" s="253"/>
      <c r="E5" s="253"/>
      <c r="F5" s="253"/>
      <c r="G5" s="256">
        <f>SUM(G4)</f>
        <v>1</v>
      </c>
      <c r="H5" s="253" t="s">
        <v>1536</v>
      </c>
      <c r="I5" s="262">
        <v>24.43</v>
      </c>
      <c r="J5" s="253">
        <f>G5*I5</f>
        <v>24.43</v>
      </c>
      <c r="K5" s="261"/>
      <c r="L5" s="261"/>
    </row>
    <row r="6" spans="1:12" ht="79.5" customHeight="1">
      <c r="A6" s="585">
        <v>2</v>
      </c>
      <c r="B6" s="584" t="s">
        <v>1538</v>
      </c>
      <c r="C6" s="454"/>
      <c r="D6" s="454"/>
      <c r="E6" s="454"/>
      <c r="F6" s="454"/>
      <c r="G6" s="454"/>
      <c r="H6" s="454"/>
      <c r="I6" s="450"/>
      <c r="J6" s="253"/>
      <c r="K6" s="261"/>
      <c r="L6" s="261"/>
    </row>
    <row r="7" spans="1:12" ht="14.5">
      <c r="A7" s="464"/>
      <c r="B7" s="254" t="s">
        <v>1166</v>
      </c>
      <c r="C7" s="253">
        <v>1</v>
      </c>
      <c r="D7" s="253">
        <v>1</v>
      </c>
      <c r="E7" s="253">
        <v>1</v>
      </c>
      <c r="F7" s="253">
        <v>0.2</v>
      </c>
      <c r="G7" s="256">
        <f>PRODUCT(C7:F7)</f>
        <v>0.2</v>
      </c>
      <c r="H7" s="253"/>
      <c r="I7" s="253"/>
      <c r="J7" s="253"/>
      <c r="K7" s="261"/>
      <c r="L7" s="261"/>
    </row>
    <row r="8" spans="1:12" ht="17.25" customHeight="1">
      <c r="A8" s="457"/>
      <c r="B8" s="254" t="s">
        <v>40</v>
      </c>
      <c r="C8" s="253"/>
      <c r="D8" s="253"/>
      <c r="E8" s="253"/>
      <c r="F8" s="253"/>
      <c r="G8" s="256">
        <f>SUM(G7)</f>
        <v>0.2</v>
      </c>
      <c r="H8" s="253" t="s">
        <v>1540</v>
      </c>
      <c r="I8" s="262">
        <v>249.04</v>
      </c>
      <c r="J8" s="253">
        <f>G8*I8</f>
        <v>49.808</v>
      </c>
      <c r="K8" s="261"/>
      <c r="L8" s="261"/>
    </row>
    <row r="9" spans="1:12" ht="14.5">
      <c r="A9" s="585">
        <v>3</v>
      </c>
      <c r="B9" s="584" t="s">
        <v>1541</v>
      </c>
      <c r="C9" s="454"/>
      <c r="D9" s="454"/>
      <c r="E9" s="454"/>
      <c r="F9" s="454"/>
      <c r="G9" s="454"/>
      <c r="H9" s="454"/>
      <c r="I9" s="450"/>
      <c r="J9" s="253"/>
      <c r="K9" s="261"/>
      <c r="L9" s="261"/>
    </row>
    <row r="10" spans="1:12" ht="14.5">
      <c r="A10" s="464"/>
      <c r="B10" s="254" t="s">
        <v>1166</v>
      </c>
      <c r="C10" s="253">
        <v>1</v>
      </c>
      <c r="D10" s="262">
        <v>1</v>
      </c>
      <c r="E10" s="253">
        <v>1</v>
      </c>
      <c r="F10" s="253">
        <v>0.3</v>
      </c>
      <c r="G10" s="256">
        <f>PRODUCT(C10:F10)</f>
        <v>0.3</v>
      </c>
      <c r="H10" s="253"/>
      <c r="I10" s="253"/>
      <c r="J10" s="253"/>
      <c r="K10" s="261"/>
      <c r="L10" s="261"/>
    </row>
    <row r="11" spans="1:12" ht="17.25" customHeight="1">
      <c r="A11" s="457"/>
      <c r="B11" s="254" t="s">
        <v>40</v>
      </c>
      <c r="C11" s="253"/>
      <c r="D11" s="253"/>
      <c r="E11" s="253"/>
      <c r="F11" s="253"/>
      <c r="G11" s="256">
        <f>SUM(G10)</f>
        <v>0.3</v>
      </c>
      <c r="H11" s="253" t="s">
        <v>1543</v>
      </c>
      <c r="I11" s="262">
        <v>5491.79</v>
      </c>
      <c r="J11" s="253">
        <f>G11*I11</f>
        <v>1647.537</v>
      </c>
      <c r="K11" s="261"/>
      <c r="L11" s="261"/>
    </row>
    <row r="12" spans="1:12" ht="14.5">
      <c r="A12" s="585">
        <v>4</v>
      </c>
      <c r="B12" s="584" t="s">
        <v>1546</v>
      </c>
      <c r="C12" s="454"/>
      <c r="D12" s="454"/>
      <c r="E12" s="454"/>
      <c r="F12" s="454"/>
      <c r="G12" s="454"/>
      <c r="H12" s="454"/>
      <c r="I12" s="450"/>
      <c r="J12" s="253"/>
      <c r="K12" s="261"/>
      <c r="L12" s="261"/>
    </row>
    <row r="13" spans="1:12" ht="14.5">
      <c r="A13" s="464"/>
      <c r="B13" s="263" t="s">
        <v>1548</v>
      </c>
      <c r="C13" s="262">
        <v>4</v>
      </c>
      <c r="D13" s="262">
        <v>1</v>
      </c>
      <c r="E13" s="253"/>
      <c r="F13" s="262">
        <v>0.1</v>
      </c>
      <c r="G13" s="256">
        <f t="shared" ref="G13:G14" si="0">PRODUCT(C13:F13)</f>
        <v>0.4</v>
      </c>
      <c r="H13" s="253"/>
      <c r="I13" s="253"/>
      <c r="J13" s="253"/>
      <c r="K13" s="261"/>
      <c r="L13" s="261"/>
    </row>
    <row r="14" spans="1:12" ht="14.5">
      <c r="A14" s="464"/>
      <c r="B14" s="263" t="s">
        <v>1551</v>
      </c>
      <c r="C14" s="253">
        <v>1</v>
      </c>
      <c r="D14" s="262">
        <v>1</v>
      </c>
      <c r="E14" s="262">
        <v>1</v>
      </c>
      <c r="F14" s="253"/>
      <c r="G14" s="256">
        <f t="shared" si="0"/>
        <v>1</v>
      </c>
      <c r="H14" s="253"/>
      <c r="I14" s="253"/>
      <c r="J14" s="253"/>
      <c r="K14" s="261"/>
      <c r="L14" s="261"/>
    </row>
    <row r="15" spans="1:12" ht="14.5">
      <c r="A15" s="457"/>
      <c r="B15" s="254" t="s">
        <v>40</v>
      </c>
      <c r="C15" s="253"/>
      <c r="D15" s="253"/>
      <c r="E15" s="253"/>
      <c r="F15" s="253"/>
      <c r="G15" s="256">
        <f>SUM(G13:G14)</f>
        <v>1.4</v>
      </c>
      <c r="H15" s="253" t="s">
        <v>17</v>
      </c>
      <c r="I15" s="262">
        <v>255.98</v>
      </c>
      <c r="J15" s="258">
        <f>G15*I15</f>
        <v>358.37199999999996</v>
      </c>
      <c r="K15" s="259"/>
      <c r="L15" s="259"/>
    </row>
    <row r="16" spans="1:12" ht="14.5">
      <c r="A16" s="585">
        <v>5</v>
      </c>
      <c r="B16" s="584" t="s">
        <v>1553</v>
      </c>
      <c r="C16" s="454"/>
      <c r="D16" s="454"/>
      <c r="E16" s="454"/>
      <c r="F16" s="454"/>
      <c r="G16" s="454"/>
      <c r="H16" s="454"/>
      <c r="I16" s="450"/>
      <c r="J16" s="253"/>
      <c r="K16" s="261"/>
      <c r="L16" s="261"/>
    </row>
    <row r="17" spans="1:12" ht="30" customHeight="1">
      <c r="A17" s="464"/>
      <c r="B17" s="254" t="s">
        <v>1556</v>
      </c>
      <c r="C17" s="253" t="s">
        <v>1022</v>
      </c>
      <c r="D17" s="253" t="s">
        <v>820</v>
      </c>
      <c r="E17" s="253" t="s">
        <v>40</v>
      </c>
      <c r="F17" s="253" t="s">
        <v>1087</v>
      </c>
      <c r="G17" s="253" t="s">
        <v>5</v>
      </c>
      <c r="H17" s="253" t="s">
        <v>1255</v>
      </c>
      <c r="I17" s="253" t="s">
        <v>7</v>
      </c>
      <c r="J17" s="253"/>
      <c r="K17" s="261"/>
      <c r="L17" s="261"/>
    </row>
    <row r="18" spans="1:12" ht="14.5">
      <c r="A18" s="464"/>
      <c r="B18" s="263" t="s">
        <v>1557</v>
      </c>
      <c r="C18" s="262">
        <v>4</v>
      </c>
      <c r="D18" s="253">
        <v>1</v>
      </c>
      <c r="E18" s="253">
        <f t="shared" ref="E18:E22" si="1">C18*D18</f>
        <v>4</v>
      </c>
      <c r="F18" s="253"/>
      <c r="G18" s="256"/>
      <c r="H18" s="253"/>
      <c r="I18" s="253"/>
      <c r="J18" s="253"/>
      <c r="K18" s="261"/>
      <c r="L18" s="261"/>
    </row>
    <row r="19" spans="1:12" ht="14.5">
      <c r="A19" s="464"/>
      <c r="B19" s="263" t="s">
        <v>1558</v>
      </c>
      <c r="C19" s="253">
        <v>4</v>
      </c>
      <c r="D19" s="262">
        <v>1</v>
      </c>
      <c r="E19" s="253">
        <f t="shared" si="1"/>
        <v>4</v>
      </c>
      <c r="F19" s="253"/>
      <c r="G19" s="256"/>
      <c r="H19" s="253"/>
      <c r="I19" s="253"/>
      <c r="J19" s="253"/>
      <c r="K19" s="261"/>
      <c r="L19" s="261"/>
    </row>
    <row r="20" spans="1:12" ht="15.75" customHeight="1">
      <c r="A20" s="464"/>
      <c r="B20" s="263" t="s">
        <v>1560</v>
      </c>
      <c r="C20" s="253">
        <v>4</v>
      </c>
      <c r="D20" s="262">
        <v>0.7</v>
      </c>
      <c r="E20" s="253">
        <f t="shared" si="1"/>
        <v>2.8</v>
      </c>
      <c r="F20" s="253"/>
      <c r="G20" s="256"/>
      <c r="H20" s="253"/>
      <c r="I20" s="253"/>
      <c r="J20" s="253"/>
      <c r="K20" s="261"/>
      <c r="L20" s="261"/>
    </row>
    <row r="21" spans="1:12" ht="15.75" customHeight="1">
      <c r="A21" s="464"/>
      <c r="B21" s="254" t="s">
        <v>1265</v>
      </c>
      <c r="C21" s="253">
        <v>2</v>
      </c>
      <c r="D21" s="262">
        <v>1</v>
      </c>
      <c r="E21" s="253">
        <f t="shared" si="1"/>
        <v>2</v>
      </c>
      <c r="F21" s="253"/>
      <c r="G21" s="256"/>
      <c r="H21" s="253"/>
      <c r="I21" s="253"/>
      <c r="J21" s="253"/>
      <c r="K21" s="261"/>
      <c r="L21" s="261"/>
    </row>
    <row r="22" spans="1:12" ht="15.75" customHeight="1">
      <c r="A22" s="464"/>
      <c r="B22" s="254" t="s">
        <v>1264</v>
      </c>
      <c r="C22" s="253">
        <v>2</v>
      </c>
      <c r="D22" s="262">
        <v>0.7</v>
      </c>
      <c r="E22" s="253">
        <f t="shared" si="1"/>
        <v>1.4</v>
      </c>
      <c r="F22" s="253"/>
      <c r="G22" s="256"/>
      <c r="H22" s="253"/>
      <c r="I22" s="253"/>
      <c r="J22" s="253"/>
      <c r="K22" s="261"/>
      <c r="L22" s="261"/>
    </row>
    <row r="23" spans="1:12" ht="14.5">
      <c r="A23" s="457"/>
      <c r="B23" s="254" t="s">
        <v>1267</v>
      </c>
      <c r="C23" s="253"/>
      <c r="D23" s="253"/>
      <c r="E23" s="253">
        <f>SUM(E18:E22)</f>
        <v>14.200000000000001</v>
      </c>
      <c r="F23" s="253">
        <v>1.43</v>
      </c>
      <c r="G23" s="262" t="s">
        <v>1564</v>
      </c>
      <c r="H23" s="253">
        <f>E23*F23</f>
        <v>20.306000000000001</v>
      </c>
      <c r="I23" s="266">
        <v>80.77</v>
      </c>
      <c r="J23" s="258">
        <f>H23*I23</f>
        <v>1640.11562</v>
      </c>
      <c r="K23" s="259"/>
      <c r="L23" s="259"/>
    </row>
    <row r="24" spans="1:12" ht="14.5">
      <c r="A24" s="585">
        <v>6</v>
      </c>
      <c r="B24" s="584" t="s">
        <v>1566</v>
      </c>
      <c r="C24" s="454"/>
      <c r="D24" s="454"/>
      <c r="E24" s="454"/>
      <c r="F24" s="454"/>
      <c r="G24" s="454"/>
      <c r="H24" s="454"/>
      <c r="I24" s="450"/>
      <c r="J24" s="253"/>
      <c r="K24" s="261"/>
      <c r="L24" s="261"/>
    </row>
    <row r="25" spans="1:12" ht="15.75" customHeight="1">
      <c r="A25" s="464"/>
      <c r="B25" s="254" t="s">
        <v>1567</v>
      </c>
      <c r="C25" s="262" t="s">
        <v>1005</v>
      </c>
      <c r="D25" s="262" t="s">
        <v>820</v>
      </c>
      <c r="E25" s="262" t="s">
        <v>1111</v>
      </c>
      <c r="F25" s="262" t="s">
        <v>1112</v>
      </c>
      <c r="G25" s="262" t="s">
        <v>40</v>
      </c>
      <c r="H25" s="253"/>
      <c r="I25" s="256"/>
      <c r="J25" s="253"/>
      <c r="K25" s="261"/>
      <c r="L25" s="261"/>
    </row>
    <row r="26" spans="1:12" ht="15.75" customHeight="1">
      <c r="A26" s="464"/>
      <c r="B26" s="254"/>
      <c r="C26" s="262">
        <v>4</v>
      </c>
      <c r="D26" s="262">
        <v>1</v>
      </c>
      <c r="E26" s="253"/>
      <c r="F26" s="262">
        <v>0.7</v>
      </c>
      <c r="G26" s="256">
        <f>PRODUCT(C26:F26)</f>
        <v>2.8</v>
      </c>
      <c r="H26" s="253"/>
      <c r="I26" s="256"/>
      <c r="J26" s="253"/>
      <c r="K26" s="261"/>
      <c r="L26" s="261"/>
    </row>
    <row r="27" spans="1:12" ht="15.75" customHeight="1">
      <c r="A27" s="457"/>
      <c r="B27" s="254" t="s">
        <v>1293</v>
      </c>
      <c r="C27" s="253"/>
      <c r="D27" s="253"/>
      <c r="E27" s="267"/>
      <c r="F27" s="253"/>
      <c r="G27" s="256">
        <f>SUM(G26)</f>
        <v>2.8</v>
      </c>
      <c r="H27" s="268" t="s">
        <v>1150</v>
      </c>
      <c r="I27" s="262">
        <v>48.78</v>
      </c>
      <c r="J27" s="253">
        <f>G27*I27</f>
        <v>136.584</v>
      </c>
      <c r="K27" s="261"/>
      <c r="L27" s="261"/>
    </row>
    <row r="28" spans="1:12" ht="15.75" customHeight="1">
      <c r="A28" s="585">
        <v>7</v>
      </c>
      <c r="B28" s="584" t="s">
        <v>1570</v>
      </c>
      <c r="C28" s="454"/>
      <c r="D28" s="454"/>
      <c r="E28" s="454"/>
      <c r="F28" s="454"/>
      <c r="G28" s="454"/>
      <c r="H28" s="454"/>
      <c r="I28" s="454"/>
      <c r="J28" s="450"/>
      <c r="K28" s="269"/>
      <c r="L28" s="269"/>
    </row>
    <row r="29" spans="1:12" ht="15.75" customHeight="1">
      <c r="A29" s="457"/>
      <c r="B29" s="263"/>
      <c r="C29" s="262">
        <v>1</v>
      </c>
      <c r="D29" s="262">
        <v>1.5</v>
      </c>
      <c r="E29" s="270">
        <v>1.5</v>
      </c>
      <c r="F29" s="253"/>
      <c r="G29" s="256">
        <f>PRODUCT(C29:F29)</f>
        <v>2.25</v>
      </c>
      <c r="H29" s="268" t="s">
        <v>1150</v>
      </c>
      <c r="I29" s="262">
        <v>849.04</v>
      </c>
      <c r="J29" s="253">
        <f>G29*I29</f>
        <v>1910.34</v>
      </c>
      <c r="K29" s="261"/>
      <c r="L29" s="261"/>
    </row>
    <row r="30" spans="1:12" ht="15.75" customHeight="1">
      <c r="A30" s="585">
        <v>8</v>
      </c>
      <c r="B30" s="584" t="s">
        <v>1574</v>
      </c>
      <c r="C30" s="454"/>
      <c r="D30" s="454"/>
      <c r="E30" s="454"/>
      <c r="F30" s="454"/>
      <c r="G30" s="454"/>
      <c r="H30" s="454"/>
      <c r="I30" s="454"/>
      <c r="J30" s="450"/>
      <c r="K30" s="269"/>
      <c r="L30" s="269"/>
    </row>
    <row r="31" spans="1:12" ht="15.75" customHeight="1">
      <c r="A31" s="457"/>
      <c r="B31" s="263"/>
      <c r="C31" s="262">
        <v>3</v>
      </c>
      <c r="D31" s="253"/>
      <c r="E31" s="253"/>
      <c r="F31" s="253"/>
      <c r="G31" s="256">
        <f>PRODUCT(C31:F31)</f>
        <v>3</v>
      </c>
      <c r="H31" s="262" t="s">
        <v>1022</v>
      </c>
      <c r="I31" s="262">
        <v>30.15</v>
      </c>
      <c r="J31" s="258">
        <f>G31*I31</f>
        <v>90.449999999999989</v>
      </c>
      <c r="K31" s="259"/>
      <c r="L31" s="259"/>
    </row>
    <row r="32" spans="1:12" ht="15.75" customHeight="1">
      <c r="A32" s="585">
        <v>9</v>
      </c>
      <c r="B32" s="584" t="s">
        <v>1576</v>
      </c>
      <c r="C32" s="454"/>
      <c r="D32" s="454"/>
      <c r="E32" s="454"/>
      <c r="F32" s="454"/>
      <c r="G32" s="454"/>
      <c r="H32" s="454"/>
      <c r="I32" s="454"/>
      <c r="J32" s="450"/>
      <c r="K32" s="269"/>
      <c r="L32" s="269"/>
    </row>
    <row r="33" spans="1:12" ht="15.75" customHeight="1">
      <c r="A33" s="457"/>
      <c r="B33" s="263"/>
      <c r="C33" s="253"/>
      <c r="D33" s="253"/>
      <c r="E33" s="253"/>
      <c r="F33" s="253"/>
      <c r="G33" s="262">
        <v>0.25</v>
      </c>
      <c r="H33" s="262" t="s">
        <v>26</v>
      </c>
      <c r="I33" s="262">
        <v>910.62</v>
      </c>
      <c r="J33" s="258">
        <f>G33*I33</f>
        <v>227.655</v>
      </c>
      <c r="K33" s="259"/>
      <c r="L33" s="259"/>
    </row>
    <row r="34" spans="1:12" ht="15.75" customHeight="1">
      <c r="A34" s="585">
        <v>10</v>
      </c>
      <c r="B34" s="584" t="s">
        <v>1578</v>
      </c>
      <c r="C34" s="454"/>
      <c r="D34" s="454"/>
      <c r="E34" s="454"/>
      <c r="F34" s="454"/>
      <c r="G34" s="454"/>
      <c r="H34" s="454"/>
      <c r="I34" s="454"/>
      <c r="J34" s="450"/>
      <c r="K34" s="269"/>
      <c r="L34" s="269"/>
    </row>
    <row r="35" spans="1:12" ht="15.75" customHeight="1">
      <c r="A35" s="464"/>
      <c r="B35" s="263" t="s">
        <v>1580</v>
      </c>
      <c r="C35" s="585">
        <v>1</v>
      </c>
      <c r="D35" s="585"/>
      <c r="E35" s="585"/>
      <c r="F35" s="585"/>
      <c r="G35" s="585">
        <f>PRODUCT(C35:F35)</f>
        <v>1</v>
      </c>
      <c r="H35" s="585" t="s">
        <v>1022</v>
      </c>
      <c r="I35" s="262">
        <f>Lock!F16</f>
        <v>641.15</v>
      </c>
      <c r="J35" s="258">
        <f>G35*I35</f>
        <v>641.15</v>
      </c>
      <c r="K35" s="259"/>
      <c r="L35" s="259"/>
    </row>
    <row r="36" spans="1:12" ht="15.75" customHeight="1">
      <c r="A36" s="457"/>
      <c r="B36" s="263" t="s">
        <v>18</v>
      </c>
      <c r="C36" s="457"/>
      <c r="D36" s="457"/>
      <c r="E36" s="457"/>
      <c r="F36" s="457"/>
      <c r="G36" s="457"/>
      <c r="H36" s="457"/>
      <c r="I36" s="262">
        <f>Lock!F24</f>
        <v>27.042749999999998</v>
      </c>
      <c r="J36" s="258">
        <f>I36*G35</f>
        <v>27.042749999999998</v>
      </c>
      <c r="K36" s="259"/>
      <c r="L36" s="259"/>
    </row>
    <row r="37" spans="1:12" ht="15.75" customHeight="1">
      <c r="A37" s="587" t="s">
        <v>1583</v>
      </c>
      <c r="B37" s="454"/>
      <c r="C37" s="454"/>
      <c r="D37" s="454"/>
      <c r="E37" s="454"/>
      <c r="F37" s="454"/>
      <c r="G37" s="454"/>
      <c r="H37" s="454"/>
      <c r="I37" s="450"/>
      <c r="J37" s="271">
        <f>SUM(J3:J34,J36)</f>
        <v>6112.3343699999987</v>
      </c>
      <c r="K37" s="272"/>
      <c r="L37" s="272"/>
    </row>
    <row r="38" spans="1:12" ht="15.75" customHeight="1">
      <c r="A38" s="587" t="s">
        <v>1586</v>
      </c>
      <c r="B38" s="454"/>
      <c r="C38" s="454"/>
      <c r="D38" s="454"/>
      <c r="E38" s="454"/>
      <c r="F38" s="454"/>
      <c r="G38" s="454"/>
      <c r="H38" s="454"/>
      <c r="I38" s="450"/>
      <c r="J38" s="271">
        <f>SUM(J35)</f>
        <v>641.15</v>
      </c>
      <c r="K38" s="272"/>
      <c r="L38" s="272"/>
    </row>
    <row r="39" spans="1:12" ht="15.75" customHeight="1">
      <c r="A39" s="587" t="str">
        <f>CONCATENATE("Say ₹ ",J38," + ",J37," x Cost Index")</f>
        <v>Say ₹ 641.15 + 6112.33437 x Cost Index</v>
      </c>
      <c r="B39" s="454"/>
      <c r="C39" s="454"/>
      <c r="D39" s="454"/>
      <c r="E39" s="454"/>
      <c r="F39" s="454"/>
      <c r="G39" s="454"/>
      <c r="H39" s="454"/>
      <c r="I39" s="454"/>
      <c r="J39" s="450"/>
      <c r="K39" s="273">
        <f>J38</f>
        <v>641.15</v>
      </c>
      <c r="L39" s="273">
        <f>J37</f>
        <v>6112.3343699999987</v>
      </c>
    </row>
  </sheetData>
  <mergeCells count="30">
    <mergeCell ref="A39:J39"/>
    <mergeCell ref="A32:A33"/>
    <mergeCell ref="A34:A36"/>
    <mergeCell ref="C35:C36"/>
    <mergeCell ref="D35:D36"/>
    <mergeCell ref="E35:E36"/>
    <mergeCell ref="F35:F36"/>
    <mergeCell ref="G35:G36"/>
    <mergeCell ref="B32:J32"/>
    <mergeCell ref="B34:J34"/>
    <mergeCell ref="H35:H36"/>
    <mergeCell ref="A37:I37"/>
    <mergeCell ref="A38:I38"/>
    <mergeCell ref="A24:A27"/>
    <mergeCell ref="B24:I24"/>
    <mergeCell ref="A28:A29"/>
    <mergeCell ref="B28:J28"/>
    <mergeCell ref="A30:A31"/>
    <mergeCell ref="B30:J30"/>
    <mergeCell ref="B9:I9"/>
    <mergeCell ref="B12:I12"/>
    <mergeCell ref="A12:A15"/>
    <mergeCell ref="B16:I16"/>
    <mergeCell ref="A1:J1"/>
    <mergeCell ref="A3:A5"/>
    <mergeCell ref="B3:I3"/>
    <mergeCell ref="A6:A8"/>
    <mergeCell ref="B6:I6"/>
    <mergeCell ref="A9:A11"/>
    <mergeCell ref="A16:A23"/>
  </mergeCell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63"/>
  <sheetViews>
    <sheetView workbookViewId="0"/>
  </sheetViews>
  <sheetFormatPr defaultColWidth="14.453125" defaultRowHeight="15" customHeight="1"/>
  <cols>
    <col min="1" max="1" width="8" customWidth="1"/>
    <col min="2" max="2" width="33.54296875" customWidth="1"/>
    <col min="3" max="5" width="8" customWidth="1"/>
    <col min="6" max="6" width="13.08984375" customWidth="1"/>
  </cols>
  <sheetData>
    <row r="1" spans="1:6">
      <c r="A1" s="453" t="s">
        <v>1526</v>
      </c>
      <c r="B1" s="454"/>
      <c r="C1" s="454"/>
      <c r="D1" s="454"/>
      <c r="E1" s="454"/>
      <c r="F1" s="450"/>
    </row>
    <row r="2" spans="1:6">
      <c r="A2" s="126" t="s">
        <v>865</v>
      </c>
      <c r="B2" s="588" t="s">
        <v>1528</v>
      </c>
      <c r="C2" s="499"/>
      <c r="D2" s="499"/>
      <c r="E2" s="499"/>
      <c r="F2" s="500"/>
    </row>
    <row r="3" spans="1:6">
      <c r="A3" s="126" t="s">
        <v>3</v>
      </c>
      <c r="B3" s="128" t="s">
        <v>4</v>
      </c>
      <c r="C3" s="128" t="s">
        <v>5</v>
      </c>
      <c r="D3" s="128" t="s">
        <v>6</v>
      </c>
      <c r="E3" s="128" t="s">
        <v>7</v>
      </c>
      <c r="F3" s="128" t="s">
        <v>8</v>
      </c>
    </row>
    <row r="4" spans="1:6">
      <c r="A4" s="255"/>
      <c r="B4" s="134" t="s">
        <v>842</v>
      </c>
      <c r="C4" s="134"/>
      <c r="D4" s="134"/>
      <c r="E4" s="134"/>
      <c r="F4" s="134"/>
    </row>
    <row r="5" spans="1:6">
      <c r="A5" s="133" t="s">
        <v>865</v>
      </c>
      <c r="B5" s="257" t="s">
        <v>1531</v>
      </c>
      <c r="C5" s="136" t="s">
        <v>1532</v>
      </c>
      <c r="D5" s="137">
        <v>1</v>
      </c>
      <c r="E5" s="136">
        <v>935</v>
      </c>
      <c r="F5" s="260">
        <f>D5*E5</f>
        <v>935</v>
      </c>
    </row>
    <row r="6" spans="1:6">
      <c r="A6" s="147"/>
      <c r="B6" s="512" t="s">
        <v>28</v>
      </c>
      <c r="C6" s="499"/>
      <c r="D6" s="499"/>
      <c r="E6" s="500"/>
      <c r="F6" s="260">
        <f>F5*0.01</f>
        <v>9.35</v>
      </c>
    </row>
    <row r="7" spans="1:6">
      <c r="A7" s="147"/>
      <c r="B7" s="512" t="s">
        <v>30</v>
      </c>
      <c r="C7" s="499"/>
      <c r="D7" s="499"/>
      <c r="E7" s="500"/>
      <c r="F7" s="260">
        <f>SUM(F5:F6)</f>
        <v>944.35</v>
      </c>
    </row>
    <row r="8" spans="1:6">
      <c r="A8" s="147"/>
      <c r="B8" s="512" t="s">
        <v>36</v>
      </c>
      <c r="C8" s="499"/>
      <c r="D8" s="499"/>
      <c r="E8" s="500"/>
      <c r="F8" s="260">
        <f>F7*0.15</f>
        <v>141.6525</v>
      </c>
    </row>
    <row r="9" spans="1:6">
      <c r="A9" s="147"/>
      <c r="B9" s="512" t="s">
        <v>30</v>
      </c>
      <c r="C9" s="499"/>
      <c r="D9" s="499"/>
      <c r="E9" s="500"/>
      <c r="F9" s="260">
        <f>SUM(F7:F8)</f>
        <v>1086.0025000000001</v>
      </c>
    </row>
    <row r="10" spans="1:6">
      <c r="A10" s="133" t="s">
        <v>901</v>
      </c>
      <c r="B10" s="134" t="s">
        <v>873</v>
      </c>
      <c r="C10" s="136" t="s">
        <v>875</v>
      </c>
      <c r="D10" s="136">
        <v>0.5</v>
      </c>
      <c r="E10" s="137">
        <v>3000</v>
      </c>
      <c r="F10" s="260">
        <f t="shared" ref="F10:F12" si="0">D10*E10</f>
        <v>1500</v>
      </c>
    </row>
    <row r="11" spans="1:6">
      <c r="A11" s="133" t="s">
        <v>871</v>
      </c>
      <c r="B11" s="134" t="s">
        <v>878</v>
      </c>
      <c r="C11" s="136" t="s">
        <v>26</v>
      </c>
      <c r="D11" s="136">
        <v>3</v>
      </c>
      <c r="E11" s="137">
        <v>784</v>
      </c>
      <c r="F11" s="260">
        <f t="shared" si="0"/>
        <v>2352</v>
      </c>
    </row>
    <row r="12" spans="1:6">
      <c r="A12" s="133" t="s">
        <v>903</v>
      </c>
      <c r="B12" s="134" t="s">
        <v>59</v>
      </c>
      <c r="C12" s="136" t="s">
        <v>26</v>
      </c>
      <c r="D12" s="136">
        <v>2</v>
      </c>
      <c r="E12" s="137">
        <v>645</v>
      </c>
      <c r="F12" s="260">
        <f t="shared" si="0"/>
        <v>1290</v>
      </c>
    </row>
    <row r="13" spans="1:6">
      <c r="A13" s="140"/>
      <c r="B13" s="512" t="s">
        <v>27</v>
      </c>
      <c r="C13" s="499"/>
      <c r="D13" s="499"/>
      <c r="E13" s="500"/>
      <c r="F13" s="260">
        <f>SUM(F10:F12)</f>
        <v>5142</v>
      </c>
    </row>
    <row r="14" spans="1:6">
      <c r="A14" s="140"/>
      <c r="B14" s="512" t="s">
        <v>28</v>
      </c>
      <c r="C14" s="499"/>
      <c r="D14" s="499"/>
      <c r="E14" s="500"/>
      <c r="F14" s="260">
        <f>F13*0.01</f>
        <v>51.42</v>
      </c>
    </row>
    <row r="15" spans="1:6">
      <c r="A15" s="140"/>
      <c r="B15" s="512" t="s">
        <v>30</v>
      </c>
      <c r="C15" s="499"/>
      <c r="D15" s="499"/>
      <c r="E15" s="500"/>
      <c r="F15" s="260">
        <f>SUM(F13:F14)</f>
        <v>5193.42</v>
      </c>
    </row>
    <row r="16" spans="1:6">
      <c r="A16" s="140"/>
      <c r="B16" s="512" t="s">
        <v>36</v>
      </c>
      <c r="C16" s="499"/>
      <c r="D16" s="499"/>
      <c r="E16" s="500"/>
      <c r="F16" s="260">
        <f>F15*0.15</f>
        <v>779.01300000000003</v>
      </c>
    </row>
    <row r="17" spans="1:6">
      <c r="A17" s="140"/>
      <c r="B17" s="512" t="s">
        <v>30</v>
      </c>
      <c r="C17" s="499"/>
      <c r="D17" s="499"/>
      <c r="E17" s="500"/>
      <c r="F17" s="260">
        <f>SUM(F15:F16)</f>
        <v>5972.433</v>
      </c>
    </row>
    <row r="18" spans="1:6">
      <c r="A18" s="513" t="str">
        <f>CONCATENATE("Say Rs ",F9," + (",F17," x Cost Index)")</f>
        <v>Say Rs 1086.0025 + (5972.433 x Cost Index)</v>
      </c>
      <c r="B18" s="499"/>
      <c r="C18" s="499"/>
      <c r="D18" s="499"/>
      <c r="E18" s="499"/>
      <c r="F18" s="500"/>
    </row>
    <row r="19" spans="1:6">
      <c r="A19" s="92" t="s">
        <v>865</v>
      </c>
      <c r="B19" s="498" t="s">
        <v>1547</v>
      </c>
      <c r="C19" s="499"/>
      <c r="D19" s="499"/>
      <c r="E19" s="499"/>
      <c r="F19" s="500"/>
    </row>
    <row r="20" spans="1:6">
      <c r="A20" s="92" t="s">
        <v>3</v>
      </c>
      <c r="B20" s="73" t="s">
        <v>4</v>
      </c>
      <c r="C20" s="73" t="s">
        <v>5</v>
      </c>
      <c r="D20" s="73" t="s">
        <v>6</v>
      </c>
      <c r="E20" s="73" t="s">
        <v>7</v>
      </c>
      <c r="F20" s="73" t="s">
        <v>8</v>
      </c>
    </row>
    <row r="21" spans="1:6">
      <c r="A21" s="264"/>
      <c r="B21" s="75" t="s">
        <v>842</v>
      </c>
      <c r="C21" s="75"/>
      <c r="D21" s="75"/>
      <c r="E21" s="75"/>
      <c r="F21" s="75"/>
    </row>
    <row r="22" spans="1:6">
      <c r="A22" s="265" t="s">
        <v>865</v>
      </c>
      <c r="B22" s="75" t="s">
        <v>1550</v>
      </c>
      <c r="C22" s="80" t="s">
        <v>1532</v>
      </c>
      <c r="D22" s="85">
        <v>1</v>
      </c>
      <c r="E22" s="80">
        <v>935</v>
      </c>
      <c r="F22" s="87">
        <f>D22*E22</f>
        <v>935</v>
      </c>
    </row>
    <row r="23" spans="1:6">
      <c r="A23" s="97"/>
      <c r="B23" s="502" t="s">
        <v>28</v>
      </c>
      <c r="C23" s="499"/>
      <c r="D23" s="499"/>
      <c r="E23" s="500"/>
      <c r="F23" s="87">
        <f>F22*0.01</f>
        <v>9.35</v>
      </c>
    </row>
    <row r="24" spans="1:6">
      <c r="A24" s="97"/>
      <c r="B24" s="502" t="s">
        <v>30</v>
      </c>
      <c r="C24" s="499"/>
      <c r="D24" s="499"/>
      <c r="E24" s="500"/>
      <c r="F24" s="87">
        <f>SUM(F22:F23)</f>
        <v>944.35</v>
      </c>
    </row>
    <row r="25" spans="1:6">
      <c r="A25" s="97"/>
      <c r="B25" s="502" t="s">
        <v>36</v>
      </c>
      <c r="C25" s="499"/>
      <c r="D25" s="499"/>
      <c r="E25" s="500"/>
      <c r="F25" s="87">
        <f>F24*0.15</f>
        <v>141.6525</v>
      </c>
    </row>
    <row r="26" spans="1:6">
      <c r="A26" s="97"/>
      <c r="B26" s="502" t="s">
        <v>30</v>
      </c>
      <c r="C26" s="499"/>
      <c r="D26" s="499"/>
      <c r="E26" s="500"/>
      <c r="F26" s="87">
        <f>SUM(F24:F25)</f>
        <v>1086.0025000000001</v>
      </c>
    </row>
    <row r="27" spans="1:6">
      <c r="A27" s="265" t="s">
        <v>901</v>
      </c>
      <c r="B27" s="75" t="s">
        <v>873</v>
      </c>
      <c r="C27" s="80" t="s">
        <v>875</v>
      </c>
      <c r="D27" s="80">
        <v>0.75</v>
      </c>
      <c r="E27" s="85">
        <v>3000</v>
      </c>
      <c r="F27" s="87">
        <f t="shared" ref="F27:F29" si="1">D27*E27</f>
        <v>2250</v>
      </c>
    </row>
    <row r="28" spans="1:6">
      <c r="A28" s="265" t="s">
        <v>871</v>
      </c>
      <c r="B28" s="75" t="s">
        <v>878</v>
      </c>
      <c r="C28" s="80" t="s">
        <v>26</v>
      </c>
      <c r="D28" s="80">
        <v>3</v>
      </c>
      <c r="E28" s="85">
        <v>784</v>
      </c>
      <c r="F28" s="87">
        <f t="shared" si="1"/>
        <v>2352</v>
      </c>
    </row>
    <row r="29" spans="1:6">
      <c r="A29" s="265" t="s">
        <v>903</v>
      </c>
      <c r="B29" s="75" t="s">
        <v>59</v>
      </c>
      <c r="C29" s="80" t="s">
        <v>26</v>
      </c>
      <c r="D29" s="80">
        <v>3</v>
      </c>
      <c r="E29" s="85">
        <v>645</v>
      </c>
      <c r="F29" s="87">
        <f t="shared" si="1"/>
        <v>1935</v>
      </c>
    </row>
    <row r="30" spans="1:6">
      <c r="A30" s="110"/>
      <c r="B30" s="502" t="s">
        <v>27</v>
      </c>
      <c r="C30" s="499"/>
      <c r="D30" s="499"/>
      <c r="E30" s="500"/>
      <c r="F30" s="87">
        <f>SUM(F27:F29)</f>
        <v>6537</v>
      </c>
    </row>
    <row r="31" spans="1:6">
      <c r="A31" s="110"/>
      <c r="B31" s="502" t="s">
        <v>28</v>
      </c>
      <c r="C31" s="499"/>
      <c r="D31" s="499"/>
      <c r="E31" s="500"/>
      <c r="F31" s="87">
        <f>F30*0.01</f>
        <v>65.37</v>
      </c>
    </row>
    <row r="32" spans="1:6">
      <c r="A32" s="110"/>
      <c r="B32" s="502" t="s">
        <v>30</v>
      </c>
      <c r="C32" s="499"/>
      <c r="D32" s="499"/>
      <c r="E32" s="500"/>
      <c r="F32" s="87">
        <f>SUM(F30:F31)</f>
        <v>6602.37</v>
      </c>
    </row>
    <row r="33" spans="1:6">
      <c r="A33" s="110"/>
      <c r="B33" s="502" t="s">
        <v>36</v>
      </c>
      <c r="C33" s="499"/>
      <c r="D33" s="499"/>
      <c r="E33" s="500"/>
      <c r="F33" s="87">
        <f>F32*0.15</f>
        <v>990.35549999999989</v>
      </c>
    </row>
    <row r="34" spans="1:6">
      <c r="A34" s="110"/>
      <c r="B34" s="502" t="s">
        <v>30</v>
      </c>
      <c r="C34" s="499"/>
      <c r="D34" s="499"/>
      <c r="E34" s="500"/>
      <c r="F34" s="87">
        <f>SUM(F32:F33)</f>
        <v>7592.7254999999996</v>
      </c>
    </row>
    <row r="35" spans="1:6">
      <c r="A35" s="513" t="str">
        <f>CONCATENATE("Say Rs ",F26," + (",F34," x Cost Index)")</f>
        <v>Say Rs 1086.0025 + (7592.7255 x Cost Index)</v>
      </c>
      <c r="B35" s="499"/>
      <c r="C35" s="499"/>
      <c r="D35" s="499"/>
      <c r="E35" s="499"/>
      <c r="F35" s="500"/>
    </row>
    <row r="36" spans="1:6">
      <c r="A36" s="126" t="s">
        <v>865</v>
      </c>
      <c r="B36" s="511" t="s">
        <v>1572</v>
      </c>
      <c r="C36" s="499"/>
      <c r="D36" s="499"/>
      <c r="E36" s="499"/>
      <c r="F36" s="500"/>
    </row>
    <row r="37" spans="1:6">
      <c r="A37" s="126" t="s">
        <v>3</v>
      </c>
      <c r="B37" s="128" t="s">
        <v>4</v>
      </c>
      <c r="C37" s="128" t="s">
        <v>5</v>
      </c>
      <c r="D37" s="128" t="s">
        <v>6</v>
      </c>
      <c r="E37" s="128" t="s">
        <v>7</v>
      </c>
      <c r="F37" s="128" t="s">
        <v>8</v>
      </c>
    </row>
    <row r="38" spans="1:6">
      <c r="A38" s="255"/>
      <c r="B38" s="134" t="s">
        <v>842</v>
      </c>
      <c r="C38" s="134"/>
      <c r="D38" s="134"/>
      <c r="E38" s="134"/>
      <c r="F38" s="134"/>
    </row>
    <row r="39" spans="1:6">
      <c r="A39" s="133" t="s">
        <v>865</v>
      </c>
      <c r="B39" s="134" t="s">
        <v>1550</v>
      </c>
      <c r="C39" s="136" t="s">
        <v>1532</v>
      </c>
      <c r="D39" s="137">
        <v>1</v>
      </c>
      <c r="E39" s="136">
        <v>935</v>
      </c>
      <c r="F39" s="260">
        <f>D39*E39</f>
        <v>935</v>
      </c>
    </row>
    <row r="40" spans="1:6">
      <c r="A40" s="147"/>
      <c r="B40" s="512" t="s">
        <v>28</v>
      </c>
      <c r="C40" s="499"/>
      <c r="D40" s="499"/>
      <c r="E40" s="500"/>
      <c r="F40" s="260">
        <f>F39*0.01</f>
        <v>9.35</v>
      </c>
    </row>
    <row r="41" spans="1:6">
      <c r="A41" s="147"/>
      <c r="B41" s="512" t="s">
        <v>30</v>
      </c>
      <c r="C41" s="499"/>
      <c r="D41" s="499"/>
      <c r="E41" s="500"/>
      <c r="F41" s="260">
        <f>SUM(F39:F40)</f>
        <v>944.35</v>
      </c>
    </row>
    <row r="42" spans="1:6">
      <c r="A42" s="147"/>
      <c r="B42" s="512" t="s">
        <v>36</v>
      </c>
      <c r="C42" s="499"/>
      <c r="D42" s="499"/>
      <c r="E42" s="500"/>
      <c r="F42" s="260">
        <f>F41*0.15</f>
        <v>141.6525</v>
      </c>
    </row>
    <row r="43" spans="1:6">
      <c r="A43" s="147"/>
      <c r="B43" s="512" t="s">
        <v>30</v>
      </c>
      <c r="C43" s="499"/>
      <c r="D43" s="499"/>
      <c r="E43" s="500"/>
      <c r="F43" s="260">
        <f>SUM(F41:F42)</f>
        <v>1086.0025000000001</v>
      </c>
    </row>
    <row r="44" spans="1:6">
      <c r="A44" s="133" t="s">
        <v>901</v>
      </c>
      <c r="B44" s="134" t="s">
        <v>873</v>
      </c>
      <c r="C44" s="136" t="s">
        <v>875</v>
      </c>
      <c r="D44" s="136">
        <v>1</v>
      </c>
      <c r="E44" s="137">
        <v>3000</v>
      </c>
      <c r="F44" s="260">
        <f t="shared" ref="F44:F46" si="2">D44*E44</f>
        <v>3000</v>
      </c>
    </row>
    <row r="45" spans="1:6">
      <c r="A45" s="133" t="s">
        <v>871</v>
      </c>
      <c r="B45" s="134" t="s">
        <v>878</v>
      </c>
      <c r="C45" s="136" t="s">
        <v>26</v>
      </c>
      <c r="D45" s="136">
        <v>3</v>
      </c>
      <c r="E45" s="137">
        <v>784</v>
      </c>
      <c r="F45" s="260">
        <f t="shared" si="2"/>
        <v>2352</v>
      </c>
    </row>
    <row r="46" spans="1:6">
      <c r="A46" s="133" t="s">
        <v>903</v>
      </c>
      <c r="B46" s="134" t="s">
        <v>59</v>
      </c>
      <c r="C46" s="136" t="s">
        <v>26</v>
      </c>
      <c r="D46" s="136">
        <v>4</v>
      </c>
      <c r="E46" s="137">
        <v>645</v>
      </c>
      <c r="F46" s="260">
        <f t="shared" si="2"/>
        <v>2580</v>
      </c>
    </row>
    <row r="47" spans="1:6">
      <c r="A47" s="140"/>
      <c r="B47" s="512" t="s">
        <v>27</v>
      </c>
      <c r="C47" s="499"/>
      <c r="D47" s="499"/>
      <c r="E47" s="500"/>
      <c r="F47" s="260">
        <f>SUM(F44:F46)</f>
        <v>7932</v>
      </c>
    </row>
    <row r="48" spans="1:6">
      <c r="A48" s="140"/>
      <c r="B48" s="512" t="s">
        <v>28</v>
      </c>
      <c r="C48" s="499"/>
      <c r="D48" s="499"/>
      <c r="E48" s="500"/>
      <c r="F48" s="260">
        <f>F47*0.01</f>
        <v>79.320000000000007</v>
      </c>
    </row>
    <row r="49" spans="1:6">
      <c r="A49" s="140"/>
      <c r="B49" s="512" t="s">
        <v>30</v>
      </c>
      <c r="C49" s="499"/>
      <c r="D49" s="499"/>
      <c r="E49" s="500"/>
      <c r="F49" s="260">
        <f>SUM(F47:F48)</f>
        <v>8011.32</v>
      </c>
    </row>
    <row r="50" spans="1:6">
      <c r="A50" s="140"/>
      <c r="B50" s="512" t="s">
        <v>36</v>
      </c>
      <c r="C50" s="499"/>
      <c r="D50" s="499"/>
      <c r="E50" s="500"/>
      <c r="F50" s="260">
        <f>F49*0.15</f>
        <v>1201.6979999999999</v>
      </c>
    </row>
    <row r="51" spans="1:6">
      <c r="A51" s="140"/>
      <c r="B51" s="512" t="s">
        <v>30</v>
      </c>
      <c r="C51" s="499"/>
      <c r="D51" s="499"/>
      <c r="E51" s="500"/>
      <c r="F51" s="260">
        <f>SUM(F49:F50)</f>
        <v>9213.018</v>
      </c>
    </row>
    <row r="52" spans="1:6">
      <c r="A52" s="513" t="str">
        <f>CONCATENATE("Say Rs ",F43," + (",F51," x Cost Index)")</f>
        <v>Say Rs 1086.0025 + (9213.018 x Cost Index)</v>
      </c>
      <c r="B52" s="499"/>
      <c r="C52" s="499"/>
      <c r="D52" s="499"/>
      <c r="E52" s="499"/>
      <c r="F52" s="500"/>
    </row>
    <row r="53" spans="1:6">
      <c r="A53" s="92" t="s">
        <v>865</v>
      </c>
      <c r="B53" s="498" t="s">
        <v>1585</v>
      </c>
      <c r="C53" s="499"/>
      <c r="D53" s="499"/>
      <c r="E53" s="499"/>
      <c r="F53" s="500"/>
    </row>
    <row r="54" spans="1:6">
      <c r="A54" s="92" t="s">
        <v>3</v>
      </c>
      <c r="B54" s="73" t="s">
        <v>4</v>
      </c>
      <c r="C54" s="73" t="s">
        <v>5</v>
      </c>
      <c r="D54" s="73" t="s">
        <v>6</v>
      </c>
      <c r="E54" s="73" t="s">
        <v>7</v>
      </c>
      <c r="F54" s="73" t="s">
        <v>8</v>
      </c>
    </row>
    <row r="55" spans="1:6">
      <c r="A55" s="265" t="s">
        <v>901</v>
      </c>
      <c r="B55" s="75" t="s">
        <v>873</v>
      </c>
      <c r="C55" s="80" t="s">
        <v>875</v>
      </c>
      <c r="D55" s="80">
        <v>0.3</v>
      </c>
      <c r="E55" s="85">
        <v>3000</v>
      </c>
      <c r="F55" s="87">
        <f t="shared" ref="F55:F57" si="3">D55*E55</f>
        <v>900</v>
      </c>
    </row>
    <row r="56" spans="1:6">
      <c r="A56" s="265" t="s">
        <v>871</v>
      </c>
      <c r="B56" s="75" t="s">
        <v>878</v>
      </c>
      <c r="C56" s="80" t="s">
        <v>26</v>
      </c>
      <c r="D56" s="80">
        <v>2</v>
      </c>
      <c r="E56" s="85">
        <v>784</v>
      </c>
      <c r="F56" s="87">
        <f t="shared" si="3"/>
        <v>1568</v>
      </c>
    </row>
    <row r="57" spans="1:6">
      <c r="A57" s="265" t="s">
        <v>903</v>
      </c>
      <c r="B57" s="75" t="s">
        <v>59</v>
      </c>
      <c r="C57" s="80" t="s">
        <v>26</v>
      </c>
      <c r="D57" s="80">
        <v>1</v>
      </c>
      <c r="E57" s="85">
        <v>645</v>
      </c>
      <c r="F57" s="87">
        <f t="shared" si="3"/>
        <v>645</v>
      </c>
    </row>
    <row r="58" spans="1:6">
      <c r="A58" s="110"/>
      <c r="B58" s="502" t="s">
        <v>27</v>
      </c>
      <c r="C58" s="499"/>
      <c r="D58" s="499"/>
      <c r="E58" s="500"/>
      <c r="F58" s="87">
        <f>SUM(F55:F57)</f>
        <v>3113</v>
      </c>
    </row>
    <row r="59" spans="1:6">
      <c r="A59" s="110"/>
      <c r="B59" s="502" t="s">
        <v>28</v>
      </c>
      <c r="C59" s="499"/>
      <c r="D59" s="499"/>
      <c r="E59" s="500"/>
      <c r="F59" s="87">
        <f>F58*0.01</f>
        <v>31.13</v>
      </c>
    </row>
    <row r="60" spans="1:6">
      <c r="A60" s="110"/>
      <c r="B60" s="502" t="s">
        <v>30</v>
      </c>
      <c r="C60" s="499"/>
      <c r="D60" s="499"/>
      <c r="E60" s="500"/>
      <c r="F60" s="87">
        <f>SUM(F58:F59)</f>
        <v>3144.13</v>
      </c>
    </row>
    <row r="61" spans="1:6">
      <c r="A61" s="110"/>
      <c r="B61" s="502" t="s">
        <v>36</v>
      </c>
      <c r="C61" s="499"/>
      <c r="D61" s="499"/>
      <c r="E61" s="500"/>
      <c r="F61" s="87">
        <f>F60*0.15</f>
        <v>471.61950000000002</v>
      </c>
    </row>
    <row r="62" spans="1:6">
      <c r="A62" s="110"/>
      <c r="B62" s="502" t="s">
        <v>30</v>
      </c>
      <c r="C62" s="499"/>
      <c r="D62" s="499"/>
      <c r="E62" s="500"/>
      <c r="F62" s="83">
        <f>SUM(F60:F61)</f>
        <v>3615.7494999999999</v>
      </c>
    </row>
    <row r="63" spans="1:6">
      <c r="A63" s="514" t="str">
        <f>CONCATENATE("Say Rs (",F62," x Cost Index)")</f>
        <v>Say Rs (3615.7495 x Cost Index)</v>
      </c>
      <c r="B63" s="499"/>
      <c r="C63" s="499"/>
      <c r="D63" s="499"/>
      <c r="E63" s="499"/>
      <c r="F63" s="500"/>
    </row>
  </sheetData>
  <mergeCells count="41">
    <mergeCell ref="B60:E60"/>
    <mergeCell ref="B61:E61"/>
    <mergeCell ref="B62:E62"/>
    <mergeCell ref="A63:F63"/>
    <mergeCell ref="B47:E47"/>
    <mergeCell ref="B48:E48"/>
    <mergeCell ref="B49:E49"/>
    <mergeCell ref="B50:E50"/>
    <mergeCell ref="B51:E51"/>
    <mergeCell ref="A52:F52"/>
    <mergeCell ref="B53:F53"/>
    <mergeCell ref="B41:E41"/>
    <mergeCell ref="B42:E42"/>
    <mergeCell ref="B43:E43"/>
    <mergeCell ref="B58:E58"/>
    <mergeCell ref="B59:E59"/>
    <mergeCell ref="B33:E33"/>
    <mergeCell ref="B34:E34"/>
    <mergeCell ref="A35:F35"/>
    <mergeCell ref="B36:F36"/>
    <mergeCell ref="B40:E40"/>
    <mergeCell ref="B25:E25"/>
    <mergeCell ref="B26:E26"/>
    <mergeCell ref="B30:E30"/>
    <mergeCell ref="B31:E31"/>
    <mergeCell ref="B32:E32"/>
    <mergeCell ref="B17:E17"/>
    <mergeCell ref="A18:F18"/>
    <mergeCell ref="B19:F19"/>
    <mergeCell ref="B23:E23"/>
    <mergeCell ref="B24:E24"/>
    <mergeCell ref="B9:E9"/>
    <mergeCell ref="B13:E13"/>
    <mergeCell ref="B14:E14"/>
    <mergeCell ref="B15:E15"/>
    <mergeCell ref="B16:E16"/>
    <mergeCell ref="A1:F1"/>
    <mergeCell ref="B2:F2"/>
    <mergeCell ref="B6:E6"/>
    <mergeCell ref="B7:E7"/>
    <mergeCell ref="B8:E8"/>
  </mergeCell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63"/>
  <sheetViews>
    <sheetView workbookViewId="0"/>
  </sheetViews>
  <sheetFormatPr defaultColWidth="14.453125" defaultRowHeight="15" customHeight="1"/>
  <cols>
    <col min="1" max="1" width="8" customWidth="1"/>
    <col min="2" max="2" width="33.54296875" customWidth="1"/>
    <col min="3" max="3" width="8" customWidth="1"/>
    <col min="4" max="4" width="11.08984375" customWidth="1"/>
    <col min="5" max="5" width="8" customWidth="1"/>
    <col min="6" max="6" width="13.08984375" customWidth="1"/>
  </cols>
  <sheetData>
    <row r="1" spans="1:6">
      <c r="A1" s="453" t="s">
        <v>791</v>
      </c>
      <c r="B1" s="454"/>
      <c r="C1" s="454"/>
      <c r="D1" s="454"/>
      <c r="E1" s="454"/>
      <c r="F1" s="450"/>
    </row>
    <row r="2" spans="1:6">
      <c r="A2" s="126" t="s">
        <v>865</v>
      </c>
      <c r="B2" s="588" t="s">
        <v>1594</v>
      </c>
      <c r="C2" s="499"/>
      <c r="D2" s="499"/>
      <c r="E2" s="499"/>
      <c r="F2" s="500"/>
    </row>
    <row r="3" spans="1:6">
      <c r="A3" s="126" t="s">
        <v>3</v>
      </c>
      <c r="B3" s="128" t="s">
        <v>4</v>
      </c>
      <c r="C3" s="128" t="s">
        <v>5</v>
      </c>
      <c r="D3" s="128" t="s">
        <v>6</v>
      </c>
      <c r="E3" s="128" t="s">
        <v>7</v>
      </c>
      <c r="F3" s="130" t="s">
        <v>8</v>
      </c>
    </row>
    <row r="4" spans="1:6">
      <c r="A4" s="255"/>
      <c r="B4" s="134" t="s">
        <v>842</v>
      </c>
      <c r="C4" s="134"/>
      <c r="D4" s="134"/>
      <c r="E4" s="134"/>
      <c r="F4" s="274"/>
    </row>
    <row r="5" spans="1:6">
      <c r="A5" s="133" t="s">
        <v>865</v>
      </c>
      <c r="B5" s="257" t="s">
        <v>1531</v>
      </c>
      <c r="C5" s="136" t="s">
        <v>1532</v>
      </c>
      <c r="D5" s="137">
        <v>0</v>
      </c>
      <c r="E5" s="136">
        <v>935</v>
      </c>
      <c r="F5" s="139">
        <f>D5*E5</f>
        <v>0</v>
      </c>
    </row>
    <row r="6" spans="1:6">
      <c r="A6" s="147"/>
      <c r="B6" s="512" t="s">
        <v>28</v>
      </c>
      <c r="C6" s="499"/>
      <c r="D6" s="499"/>
      <c r="E6" s="500"/>
      <c r="F6" s="139">
        <f>F5*0.01</f>
        <v>0</v>
      </c>
    </row>
    <row r="7" spans="1:6">
      <c r="A7" s="147"/>
      <c r="B7" s="512" t="s">
        <v>30</v>
      </c>
      <c r="C7" s="499"/>
      <c r="D7" s="499"/>
      <c r="E7" s="500"/>
      <c r="F7" s="139">
        <f>SUM(F5:F6)</f>
        <v>0</v>
      </c>
    </row>
    <row r="8" spans="1:6">
      <c r="A8" s="147"/>
      <c r="B8" s="512" t="s">
        <v>36</v>
      </c>
      <c r="C8" s="499"/>
      <c r="D8" s="499"/>
      <c r="E8" s="500"/>
      <c r="F8" s="139">
        <f>F7*0.15</f>
        <v>0</v>
      </c>
    </row>
    <row r="9" spans="1:6">
      <c r="A9" s="147"/>
      <c r="B9" s="512" t="s">
        <v>30</v>
      </c>
      <c r="C9" s="499"/>
      <c r="D9" s="499"/>
      <c r="E9" s="500"/>
      <c r="F9" s="139">
        <f>SUM(F7:F8)</f>
        <v>0</v>
      </c>
    </row>
    <row r="10" spans="1:6">
      <c r="A10" s="133" t="s">
        <v>901</v>
      </c>
      <c r="B10" s="134" t="s">
        <v>873</v>
      </c>
      <c r="C10" s="136" t="s">
        <v>875</v>
      </c>
      <c r="D10" s="136">
        <v>0.5</v>
      </c>
      <c r="E10" s="137">
        <v>3000</v>
      </c>
      <c r="F10" s="139">
        <f t="shared" ref="F10:F12" si="0">D10*E10</f>
        <v>1500</v>
      </c>
    </row>
    <row r="11" spans="1:6">
      <c r="A11" s="133" t="s">
        <v>871</v>
      </c>
      <c r="B11" s="134" t="s">
        <v>878</v>
      </c>
      <c r="C11" s="136" t="s">
        <v>26</v>
      </c>
      <c r="D11" s="137">
        <v>1</v>
      </c>
      <c r="E11" s="137">
        <v>784</v>
      </c>
      <c r="F11" s="139">
        <f t="shared" si="0"/>
        <v>784</v>
      </c>
    </row>
    <row r="12" spans="1:6">
      <c r="A12" s="133" t="s">
        <v>903</v>
      </c>
      <c r="B12" s="134" t="s">
        <v>59</v>
      </c>
      <c r="C12" s="136" t="s">
        <v>26</v>
      </c>
      <c r="D12" s="137">
        <v>1</v>
      </c>
      <c r="E12" s="137">
        <v>645</v>
      </c>
      <c r="F12" s="139">
        <f t="shared" si="0"/>
        <v>645</v>
      </c>
    </row>
    <row r="13" spans="1:6">
      <c r="A13" s="140"/>
      <c r="B13" s="512" t="s">
        <v>27</v>
      </c>
      <c r="C13" s="499"/>
      <c r="D13" s="499"/>
      <c r="E13" s="500"/>
      <c r="F13" s="139">
        <f>SUM(F10:F12)</f>
        <v>2929</v>
      </c>
    </row>
    <row r="14" spans="1:6">
      <c r="A14" s="140"/>
      <c r="B14" s="512" t="s">
        <v>28</v>
      </c>
      <c r="C14" s="499"/>
      <c r="D14" s="499"/>
      <c r="E14" s="500"/>
      <c r="F14" s="139">
        <f>F13*0.01</f>
        <v>29.29</v>
      </c>
    </row>
    <row r="15" spans="1:6">
      <c r="A15" s="140"/>
      <c r="B15" s="512" t="s">
        <v>30</v>
      </c>
      <c r="C15" s="499"/>
      <c r="D15" s="499"/>
      <c r="E15" s="500"/>
      <c r="F15" s="139">
        <f>SUM(F13:F14)</f>
        <v>2958.29</v>
      </c>
    </row>
    <row r="16" spans="1:6">
      <c r="A16" s="140"/>
      <c r="B16" s="512" t="s">
        <v>36</v>
      </c>
      <c r="C16" s="499"/>
      <c r="D16" s="499"/>
      <c r="E16" s="500"/>
      <c r="F16" s="139">
        <f>F15*0.15</f>
        <v>443.74349999999998</v>
      </c>
    </row>
    <row r="17" spans="1:6">
      <c r="A17" s="140"/>
      <c r="B17" s="512" t="s">
        <v>30</v>
      </c>
      <c r="C17" s="499"/>
      <c r="D17" s="499"/>
      <c r="E17" s="500"/>
      <c r="F17" s="139">
        <f>MROUND(SUM(F15:F16),1)</f>
        <v>3402</v>
      </c>
    </row>
    <row r="18" spans="1:6">
      <c r="A18" s="513" t="str">
        <f>CONCATENATE("Say Rs (",F17," x Cost Index)")</f>
        <v>Say Rs (3402 x Cost Index)</v>
      </c>
      <c r="B18" s="499"/>
      <c r="C18" s="499"/>
      <c r="D18" s="499"/>
      <c r="E18" s="499"/>
      <c r="F18" s="500"/>
    </row>
    <row r="19" spans="1:6">
      <c r="A19" s="92" t="s">
        <v>865</v>
      </c>
      <c r="B19" s="498" t="s">
        <v>1608</v>
      </c>
      <c r="C19" s="499"/>
      <c r="D19" s="499"/>
      <c r="E19" s="499"/>
      <c r="F19" s="500"/>
    </row>
    <row r="20" spans="1:6">
      <c r="A20" s="92" t="s">
        <v>3</v>
      </c>
      <c r="B20" s="73" t="s">
        <v>4</v>
      </c>
      <c r="C20" s="73" t="s">
        <v>5</v>
      </c>
      <c r="D20" s="73" t="s">
        <v>6</v>
      </c>
      <c r="E20" s="73" t="s">
        <v>7</v>
      </c>
      <c r="F20" s="95" t="s">
        <v>8</v>
      </c>
    </row>
    <row r="21" spans="1:6">
      <c r="A21" s="264"/>
      <c r="B21" s="75" t="s">
        <v>842</v>
      </c>
      <c r="C21" s="75"/>
      <c r="D21" s="75"/>
      <c r="E21" s="75"/>
      <c r="F21" s="279"/>
    </row>
    <row r="22" spans="1:6">
      <c r="A22" s="265" t="s">
        <v>865</v>
      </c>
      <c r="B22" s="75" t="s">
        <v>1550</v>
      </c>
      <c r="C22" s="80" t="s">
        <v>1532</v>
      </c>
      <c r="D22" s="85">
        <v>0</v>
      </c>
      <c r="E22" s="80">
        <v>935</v>
      </c>
      <c r="F22" s="84">
        <f>D22*E22</f>
        <v>0</v>
      </c>
    </row>
    <row r="23" spans="1:6">
      <c r="A23" s="97"/>
      <c r="B23" s="502" t="s">
        <v>28</v>
      </c>
      <c r="C23" s="499"/>
      <c r="D23" s="499"/>
      <c r="E23" s="500"/>
      <c r="F23" s="84">
        <f>F22*0.01</f>
        <v>0</v>
      </c>
    </row>
    <row r="24" spans="1:6">
      <c r="A24" s="97"/>
      <c r="B24" s="502" t="s">
        <v>30</v>
      </c>
      <c r="C24" s="499"/>
      <c r="D24" s="499"/>
      <c r="E24" s="500"/>
      <c r="F24" s="84">
        <f>SUM(F22:F23)</f>
        <v>0</v>
      </c>
    </row>
    <row r="25" spans="1:6">
      <c r="A25" s="97"/>
      <c r="B25" s="502" t="s">
        <v>36</v>
      </c>
      <c r="C25" s="499"/>
      <c r="D25" s="499"/>
      <c r="E25" s="500"/>
      <c r="F25" s="84">
        <f>F24*0.15</f>
        <v>0</v>
      </c>
    </row>
    <row r="26" spans="1:6">
      <c r="A26" s="97"/>
      <c r="B26" s="502" t="s">
        <v>30</v>
      </c>
      <c r="C26" s="499"/>
      <c r="D26" s="499"/>
      <c r="E26" s="500"/>
      <c r="F26" s="84">
        <f>SUM(F24:F25)</f>
        <v>0</v>
      </c>
    </row>
    <row r="27" spans="1:6">
      <c r="A27" s="265" t="s">
        <v>901</v>
      </c>
      <c r="B27" s="75" t="s">
        <v>873</v>
      </c>
      <c r="C27" s="80" t="s">
        <v>875</v>
      </c>
      <c r="D27" s="80">
        <v>0.75</v>
      </c>
      <c r="E27" s="85">
        <v>3000</v>
      </c>
      <c r="F27" s="84">
        <f t="shared" ref="F27:F29" si="1">D27*E27</f>
        <v>2250</v>
      </c>
    </row>
    <row r="28" spans="1:6">
      <c r="A28" s="265" t="s">
        <v>871</v>
      </c>
      <c r="B28" s="75" t="s">
        <v>878</v>
      </c>
      <c r="C28" s="80" t="s">
        <v>26</v>
      </c>
      <c r="D28" s="85">
        <v>1</v>
      </c>
      <c r="E28" s="85">
        <v>784</v>
      </c>
      <c r="F28" s="84">
        <f t="shared" si="1"/>
        <v>784</v>
      </c>
    </row>
    <row r="29" spans="1:6">
      <c r="A29" s="265" t="s">
        <v>903</v>
      </c>
      <c r="B29" s="75" t="s">
        <v>59</v>
      </c>
      <c r="C29" s="80" t="s">
        <v>26</v>
      </c>
      <c r="D29" s="85">
        <v>1</v>
      </c>
      <c r="E29" s="85">
        <v>645</v>
      </c>
      <c r="F29" s="84">
        <f t="shared" si="1"/>
        <v>645</v>
      </c>
    </row>
    <row r="30" spans="1:6">
      <c r="A30" s="110"/>
      <c r="B30" s="502" t="s">
        <v>27</v>
      </c>
      <c r="C30" s="499"/>
      <c r="D30" s="499"/>
      <c r="E30" s="500"/>
      <c r="F30" s="84">
        <f>SUM(F27:F29)</f>
        <v>3679</v>
      </c>
    </row>
    <row r="31" spans="1:6">
      <c r="A31" s="110"/>
      <c r="B31" s="502" t="s">
        <v>28</v>
      </c>
      <c r="C31" s="499"/>
      <c r="D31" s="499"/>
      <c r="E31" s="500"/>
      <c r="F31" s="84">
        <f>F30*0.01</f>
        <v>36.79</v>
      </c>
    </row>
    <row r="32" spans="1:6">
      <c r="A32" s="110"/>
      <c r="B32" s="502" t="s">
        <v>30</v>
      </c>
      <c r="C32" s="499"/>
      <c r="D32" s="499"/>
      <c r="E32" s="500"/>
      <c r="F32" s="84">
        <f>SUM(F30:F31)</f>
        <v>3715.79</v>
      </c>
    </row>
    <row r="33" spans="1:6">
      <c r="A33" s="110"/>
      <c r="B33" s="502" t="s">
        <v>36</v>
      </c>
      <c r="C33" s="499"/>
      <c r="D33" s="499"/>
      <c r="E33" s="500"/>
      <c r="F33" s="84">
        <f>F32*0.15</f>
        <v>557.36849999999993</v>
      </c>
    </row>
    <row r="34" spans="1:6">
      <c r="A34" s="110"/>
      <c r="B34" s="502" t="s">
        <v>30</v>
      </c>
      <c r="C34" s="499"/>
      <c r="D34" s="499"/>
      <c r="E34" s="500"/>
      <c r="F34" s="84">
        <f>MROUND(SUM(F32:F33),1)</f>
        <v>4273</v>
      </c>
    </row>
    <row r="35" spans="1:6">
      <c r="A35" s="513" t="str">
        <f>CONCATENATE("Say Rs (",F34," x Cost Index)")</f>
        <v>Say Rs (4273 x Cost Index)</v>
      </c>
      <c r="B35" s="499"/>
      <c r="C35" s="499"/>
      <c r="D35" s="499"/>
      <c r="E35" s="499"/>
      <c r="F35" s="500"/>
    </row>
    <row r="36" spans="1:6">
      <c r="A36" s="126" t="s">
        <v>865</v>
      </c>
      <c r="B36" s="511" t="s">
        <v>1621</v>
      </c>
      <c r="C36" s="499"/>
      <c r="D36" s="499"/>
      <c r="E36" s="499"/>
      <c r="F36" s="500"/>
    </row>
    <row r="37" spans="1:6">
      <c r="A37" s="126" t="s">
        <v>3</v>
      </c>
      <c r="B37" s="128" t="s">
        <v>4</v>
      </c>
      <c r="C37" s="128" t="s">
        <v>5</v>
      </c>
      <c r="D37" s="128" t="s">
        <v>6</v>
      </c>
      <c r="E37" s="128" t="s">
        <v>7</v>
      </c>
      <c r="F37" s="130" t="s">
        <v>8</v>
      </c>
    </row>
    <row r="38" spans="1:6">
      <c r="A38" s="255"/>
      <c r="B38" s="134" t="s">
        <v>842</v>
      </c>
      <c r="C38" s="134"/>
      <c r="D38" s="134"/>
      <c r="E38" s="134"/>
      <c r="F38" s="274"/>
    </row>
    <row r="39" spans="1:6">
      <c r="A39" s="133" t="s">
        <v>865</v>
      </c>
      <c r="B39" s="134" t="s">
        <v>1550</v>
      </c>
      <c r="C39" s="136" t="s">
        <v>1532</v>
      </c>
      <c r="D39" s="137">
        <v>0</v>
      </c>
      <c r="E39" s="136">
        <v>935</v>
      </c>
      <c r="F39" s="139">
        <f>D39*E39</f>
        <v>0</v>
      </c>
    </row>
    <row r="40" spans="1:6">
      <c r="A40" s="147"/>
      <c r="B40" s="512" t="s">
        <v>28</v>
      </c>
      <c r="C40" s="499"/>
      <c r="D40" s="499"/>
      <c r="E40" s="500"/>
      <c r="F40" s="139">
        <f>F39*0.01</f>
        <v>0</v>
      </c>
    </row>
    <row r="41" spans="1:6">
      <c r="A41" s="147"/>
      <c r="B41" s="512" t="s">
        <v>30</v>
      </c>
      <c r="C41" s="499"/>
      <c r="D41" s="499"/>
      <c r="E41" s="500"/>
      <c r="F41" s="139">
        <f>SUM(F39:F40)</f>
        <v>0</v>
      </c>
    </row>
    <row r="42" spans="1:6">
      <c r="A42" s="147"/>
      <c r="B42" s="512" t="s">
        <v>36</v>
      </c>
      <c r="C42" s="499"/>
      <c r="D42" s="499"/>
      <c r="E42" s="500"/>
      <c r="F42" s="139">
        <f>F41*0.15</f>
        <v>0</v>
      </c>
    </row>
    <row r="43" spans="1:6">
      <c r="A43" s="147"/>
      <c r="B43" s="512" t="s">
        <v>30</v>
      </c>
      <c r="C43" s="499"/>
      <c r="D43" s="499"/>
      <c r="E43" s="500"/>
      <c r="F43" s="139">
        <f>SUM(F41:F42)</f>
        <v>0</v>
      </c>
    </row>
    <row r="44" spans="1:6">
      <c r="A44" s="133" t="s">
        <v>901</v>
      </c>
      <c r="B44" s="134" t="s">
        <v>873</v>
      </c>
      <c r="C44" s="136" t="s">
        <v>875</v>
      </c>
      <c r="D44" s="136">
        <v>1</v>
      </c>
      <c r="E44" s="137">
        <v>3000</v>
      </c>
      <c r="F44" s="139">
        <f t="shared" ref="F44:F46" si="2">D44*E44</f>
        <v>3000</v>
      </c>
    </row>
    <row r="45" spans="1:6">
      <c r="A45" s="133" t="s">
        <v>871</v>
      </c>
      <c r="B45" s="134" t="s">
        <v>878</v>
      </c>
      <c r="C45" s="136" t="s">
        <v>26</v>
      </c>
      <c r="D45" s="137">
        <v>1</v>
      </c>
      <c r="E45" s="137">
        <v>784</v>
      </c>
      <c r="F45" s="139">
        <f t="shared" si="2"/>
        <v>784</v>
      </c>
    </row>
    <row r="46" spans="1:6">
      <c r="A46" s="133" t="s">
        <v>903</v>
      </c>
      <c r="B46" s="134" t="s">
        <v>59</v>
      </c>
      <c r="C46" s="136" t="s">
        <v>26</v>
      </c>
      <c r="D46" s="137">
        <v>1</v>
      </c>
      <c r="E46" s="137">
        <v>645</v>
      </c>
      <c r="F46" s="139">
        <f t="shared" si="2"/>
        <v>645</v>
      </c>
    </row>
    <row r="47" spans="1:6">
      <c r="A47" s="140"/>
      <c r="B47" s="512" t="s">
        <v>27</v>
      </c>
      <c r="C47" s="499"/>
      <c r="D47" s="499"/>
      <c r="E47" s="500"/>
      <c r="F47" s="139">
        <f>SUM(F44:F46)</f>
        <v>4429</v>
      </c>
    </row>
    <row r="48" spans="1:6">
      <c r="A48" s="140"/>
      <c r="B48" s="512" t="s">
        <v>28</v>
      </c>
      <c r="C48" s="499"/>
      <c r="D48" s="499"/>
      <c r="E48" s="500"/>
      <c r="F48" s="139">
        <f>F47*0.01</f>
        <v>44.29</v>
      </c>
    </row>
    <row r="49" spans="1:6">
      <c r="A49" s="140"/>
      <c r="B49" s="512" t="s">
        <v>30</v>
      </c>
      <c r="C49" s="499"/>
      <c r="D49" s="499"/>
      <c r="E49" s="500"/>
      <c r="F49" s="139">
        <f>SUM(F47:F48)</f>
        <v>4473.29</v>
      </c>
    </row>
    <row r="50" spans="1:6">
      <c r="A50" s="140"/>
      <c r="B50" s="512" t="s">
        <v>36</v>
      </c>
      <c r="C50" s="499"/>
      <c r="D50" s="499"/>
      <c r="E50" s="500"/>
      <c r="F50" s="139">
        <f>F49*0.15</f>
        <v>670.99349999999993</v>
      </c>
    </row>
    <row r="51" spans="1:6">
      <c r="A51" s="140"/>
      <c r="B51" s="512" t="s">
        <v>30</v>
      </c>
      <c r="C51" s="499"/>
      <c r="D51" s="499"/>
      <c r="E51" s="500"/>
      <c r="F51" s="139">
        <f>MROUND(SUM(F49:F50),1)</f>
        <v>5144</v>
      </c>
    </row>
    <row r="52" spans="1:6">
      <c r="A52" s="513" t="str">
        <f>CONCATENATE("Say Rs (",F51," x Cost Index)")</f>
        <v>Say Rs (5144 x Cost Index)</v>
      </c>
      <c r="B52" s="499"/>
      <c r="C52" s="499"/>
      <c r="D52" s="499"/>
      <c r="E52" s="499"/>
      <c r="F52" s="500"/>
    </row>
    <row r="53" spans="1:6">
      <c r="A53" s="92" t="s">
        <v>865</v>
      </c>
      <c r="B53" s="498" t="s">
        <v>1636</v>
      </c>
      <c r="C53" s="499"/>
      <c r="D53" s="499"/>
      <c r="E53" s="499"/>
      <c r="F53" s="500"/>
    </row>
    <row r="54" spans="1:6">
      <c r="A54" s="92" t="s">
        <v>3</v>
      </c>
      <c r="B54" s="73" t="s">
        <v>4</v>
      </c>
      <c r="C54" s="73" t="s">
        <v>5</v>
      </c>
      <c r="D54" s="73" t="s">
        <v>6</v>
      </c>
      <c r="E54" s="73" t="s">
        <v>7</v>
      </c>
      <c r="F54" s="95" t="s">
        <v>8</v>
      </c>
    </row>
    <row r="55" spans="1:6">
      <c r="A55" s="265" t="s">
        <v>901</v>
      </c>
      <c r="B55" s="75" t="s">
        <v>873</v>
      </c>
      <c r="C55" s="80" t="s">
        <v>875</v>
      </c>
      <c r="D55" s="80">
        <v>0.3</v>
      </c>
      <c r="E55" s="85">
        <v>3000</v>
      </c>
      <c r="F55" s="84">
        <f t="shared" ref="F55:F57" si="3">D55*E55</f>
        <v>900</v>
      </c>
    </row>
    <row r="56" spans="1:6">
      <c r="A56" s="265" t="s">
        <v>871</v>
      </c>
      <c r="B56" s="75" t="s">
        <v>878</v>
      </c>
      <c r="C56" s="80" t="s">
        <v>26</v>
      </c>
      <c r="D56" s="85">
        <v>0.5</v>
      </c>
      <c r="E56" s="85">
        <v>784</v>
      </c>
      <c r="F56" s="84">
        <f t="shared" si="3"/>
        <v>392</v>
      </c>
    </row>
    <row r="57" spans="1:6">
      <c r="A57" s="265" t="s">
        <v>903</v>
      </c>
      <c r="B57" s="75" t="s">
        <v>59</v>
      </c>
      <c r="C57" s="80" t="s">
        <v>26</v>
      </c>
      <c r="D57" s="85">
        <v>0.5</v>
      </c>
      <c r="E57" s="85">
        <v>645</v>
      </c>
      <c r="F57" s="84">
        <f t="shared" si="3"/>
        <v>322.5</v>
      </c>
    </row>
    <row r="58" spans="1:6">
      <c r="A58" s="110"/>
      <c r="B58" s="502" t="s">
        <v>27</v>
      </c>
      <c r="C58" s="499"/>
      <c r="D58" s="499"/>
      <c r="E58" s="500"/>
      <c r="F58" s="84">
        <f>SUM(F55:F57)</f>
        <v>1614.5</v>
      </c>
    </row>
    <row r="59" spans="1:6">
      <c r="A59" s="110"/>
      <c r="B59" s="502" t="s">
        <v>28</v>
      </c>
      <c r="C59" s="499"/>
      <c r="D59" s="499"/>
      <c r="E59" s="500"/>
      <c r="F59" s="84">
        <f>F58*0.01</f>
        <v>16.145</v>
      </c>
    </row>
    <row r="60" spans="1:6">
      <c r="A60" s="110"/>
      <c r="B60" s="502" t="s">
        <v>30</v>
      </c>
      <c r="C60" s="499"/>
      <c r="D60" s="499"/>
      <c r="E60" s="500"/>
      <c r="F60" s="84">
        <f>SUM(F58:F59)</f>
        <v>1630.645</v>
      </c>
    </row>
    <row r="61" spans="1:6">
      <c r="A61" s="110"/>
      <c r="B61" s="502" t="s">
        <v>36</v>
      </c>
      <c r="C61" s="499"/>
      <c r="D61" s="499"/>
      <c r="E61" s="500"/>
      <c r="F61" s="84">
        <f>F60*0.15</f>
        <v>244.59674999999999</v>
      </c>
    </row>
    <row r="62" spans="1:6">
      <c r="A62" s="110"/>
      <c r="B62" s="502" t="s">
        <v>30</v>
      </c>
      <c r="C62" s="499"/>
      <c r="D62" s="499"/>
      <c r="E62" s="500"/>
      <c r="F62" s="84">
        <f>MROUND(SUM(F60:F61),1)</f>
        <v>1875</v>
      </c>
    </row>
    <row r="63" spans="1:6">
      <c r="A63" s="513" t="str">
        <f>CONCATENATE("Say Rs (",F62," x Cost Index)")</f>
        <v>Say Rs (1875 x Cost Index)</v>
      </c>
      <c r="B63" s="499"/>
      <c r="C63" s="499"/>
      <c r="D63" s="499"/>
      <c r="E63" s="499"/>
      <c r="F63" s="500"/>
    </row>
  </sheetData>
  <mergeCells count="41">
    <mergeCell ref="B60:E60"/>
    <mergeCell ref="B61:E61"/>
    <mergeCell ref="B62:E62"/>
    <mergeCell ref="A63:F63"/>
    <mergeCell ref="B47:E47"/>
    <mergeCell ref="B48:E48"/>
    <mergeCell ref="B49:E49"/>
    <mergeCell ref="B50:E50"/>
    <mergeCell ref="B51:E51"/>
    <mergeCell ref="A52:F52"/>
    <mergeCell ref="B53:F53"/>
    <mergeCell ref="B41:E41"/>
    <mergeCell ref="B42:E42"/>
    <mergeCell ref="B43:E43"/>
    <mergeCell ref="B58:E58"/>
    <mergeCell ref="B59:E59"/>
    <mergeCell ref="B33:E33"/>
    <mergeCell ref="B34:E34"/>
    <mergeCell ref="A35:F35"/>
    <mergeCell ref="B36:F36"/>
    <mergeCell ref="B40:E40"/>
    <mergeCell ref="B25:E25"/>
    <mergeCell ref="B26:E26"/>
    <mergeCell ref="B30:E30"/>
    <mergeCell ref="B31:E31"/>
    <mergeCell ref="B32:E32"/>
    <mergeCell ref="B17:E17"/>
    <mergeCell ref="A18:F18"/>
    <mergeCell ref="B19:F19"/>
    <mergeCell ref="B23:E23"/>
    <mergeCell ref="B24:E24"/>
    <mergeCell ref="B9:E9"/>
    <mergeCell ref="B13:E13"/>
    <mergeCell ref="B14:E14"/>
    <mergeCell ref="B15:E15"/>
    <mergeCell ref="B16:E16"/>
    <mergeCell ref="A1:F1"/>
    <mergeCell ref="B2:F2"/>
    <mergeCell ref="B6:E6"/>
    <mergeCell ref="B7:E7"/>
    <mergeCell ref="B8:E8"/>
  </mergeCell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34"/>
  <sheetViews>
    <sheetView workbookViewId="0"/>
  </sheetViews>
  <sheetFormatPr defaultColWidth="14.453125" defaultRowHeight="15" customHeight="1"/>
  <cols>
    <col min="7" max="7" width="7.26953125" customWidth="1"/>
    <col min="8" max="8" width="11.08984375" hidden="1" customWidth="1"/>
    <col min="9" max="9" width="12.81640625" hidden="1" customWidth="1"/>
  </cols>
  <sheetData>
    <row r="1" spans="1:9">
      <c r="A1" s="486" t="s">
        <v>771</v>
      </c>
      <c r="B1" s="486" t="s">
        <v>776</v>
      </c>
      <c r="C1" s="487" t="s">
        <v>4</v>
      </c>
      <c r="D1" s="454"/>
      <c r="E1" s="450"/>
      <c r="F1" s="488" t="s">
        <v>785</v>
      </c>
      <c r="G1" s="450"/>
      <c r="H1" s="275"/>
      <c r="I1" s="275"/>
    </row>
    <row r="2" spans="1:9">
      <c r="A2" s="457"/>
      <c r="B2" s="457"/>
      <c r="C2" s="62" t="s">
        <v>5</v>
      </c>
      <c r="D2" s="62" t="s">
        <v>6</v>
      </c>
      <c r="E2" s="62" t="s">
        <v>336</v>
      </c>
      <c r="F2" s="63" t="s">
        <v>8</v>
      </c>
      <c r="G2" s="62" t="s">
        <v>789</v>
      </c>
      <c r="H2" s="275"/>
      <c r="I2" s="275"/>
    </row>
    <row r="3" spans="1:9">
      <c r="A3" s="606" t="s">
        <v>1606</v>
      </c>
      <c r="B3" s="454"/>
      <c r="C3" s="454"/>
      <c r="D3" s="454"/>
      <c r="E3" s="454"/>
      <c r="F3" s="454"/>
      <c r="G3" s="450"/>
      <c r="H3" s="276"/>
      <c r="I3" s="276"/>
    </row>
    <row r="4" spans="1:9">
      <c r="A4" s="65"/>
      <c r="B4" s="66" t="s">
        <v>795</v>
      </c>
      <c r="C4" s="66" t="s">
        <v>1107</v>
      </c>
      <c r="D4" s="66" t="s">
        <v>798</v>
      </c>
      <c r="E4" s="67">
        <v>1</v>
      </c>
      <c r="F4" s="485"/>
      <c r="G4" s="450"/>
      <c r="H4" s="277"/>
      <c r="I4" s="277"/>
    </row>
    <row r="5" spans="1:9">
      <c r="A5" s="66" t="s">
        <v>800</v>
      </c>
      <c r="B5" s="484" t="s">
        <v>1609</v>
      </c>
      <c r="C5" s="454"/>
      <c r="D5" s="454"/>
      <c r="E5" s="454"/>
      <c r="F5" s="454"/>
      <c r="G5" s="450"/>
      <c r="H5" s="278"/>
      <c r="I5" s="278"/>
    </row>
    <row r="6" spans="1:9">
      <c r="A6" s="490" t="s">
        <v>802</v>
      </c>
      <c r="B6" s="454"/>
      <c r="C6" s="454"/>
      <c r="D6" s="454"/>
      <c r="E6" s="454"/>
      <c r="F6" s="450"/>
      <c r="G6" s="68" t="s">
        <v>803</v>
      </c>
      <c r="H6" s="280"/>
      <c r="I6" s="280"/>
    </row>
    <row r="7" spans="1:9">
      <c r="A7" s="491"/>
      <c r="B7" s="593" t="s">
        <v>1612</v>
      </c>
      <c r="C7" s="591" t="s">
        <v>1613</v>
      </c>
      <c r="D7" s="454"/>
      <c r="E7" s="450"/>
      <c r="F7" s="590"/>
      <c r="G7" s="450"/>
      <c r="H7" s="281"/>
      <c r="I7" s="281"/>
    </row>
    <row r="8" spans="1:9">
      <c r="A8" s="457"/>
      <c r="B8" s="457"/>
      <c r="C8" s="282" t="s">
        <v>46</v>
      </c>
      <c r="D8" s="283">
        <v>1</v>
      </c>
      <c r="E8" s="283">
        <v>550</v>
      </c>
      <c r="F8" s="284">
        <f>D8*E8</f>
        <v>550</v>
      </c>
      <c r="G8" s="282" t="s">
        <v>808</v>
      </c>
      <c r="H8" s="285"/>
      <c r="I8" s="285"/>
    </row>
    <row r="9" spans="1:9">
      <c r="A9" s="492" t="s">
        <v>1105</v>
      </c>
      <c r="B9" s="454"/>
      <c r="C9" s="450"/>
      <c r="D9" s="67">
        <v>1</v>
      </c>
      <c r="E9" s="70" t="s">
        <v>1107</v>
      </c>
      <c r="F9" s="286">
        <f>F8</f>
        <v>550</v>
      </c>
      <c r="G9" s="71"/>
      <c r="H9" s="277"/>
      <c r="I9" s="277"/>
    </row>
    <row r="10" spans="1:9">
      <c r="A10" s="492" t="s">
        <v>826</v>
      </c>
      <c r="B10" s="454"/>
      <c r="C10" s="450"/>
      <c r="D10" s="67">
        <v>1</v>
      </c>
      <c r="E10" s="70" t="s">
        <v>1107</v>
      </c>
      <c r="F10" s="286">
        <f>F9/D9</f>
        <v>550</v>
      </c>
      <c r="G10" s="71"/>
      <c r="H10" s="277"/>
      <c r="I10" s="277"/>
    </row>
    <row r="11" spans="1:9">
      <c r="A11" s="493" t="s">
        <v>829</v>
      </c>
      <c r="B11" s="454"/>
      <c r="C11" s="454"/>
      <c r="D11" s="450"/>
      <c r="E11" s="67"/>
      <c r="F11" s="286">
        <f>F10*1%</f>
        <v>5.5</v>
      </c>
      <c r="G11" s="71"/>
      <c r="H11" s="277"/>
      <c r="I11" s="277"/>
    </row>
    <row r="12" spans="1:9">
      <c r="A12" s="493" t="s">
        <v>30</v>
      </c>
      <c r="B12" s="454"/>
      <c r="C12" s="454"/>
      <c r="D12" s="450"/>
      <c r="E12" s="71"/>
      <c r="F12" s="286">
        <f>F10+F11</f>
        <v>555.5</v>
      </c>
      <c r="G12" s="71"/>
      <c r="H12" s="277"/>
      <c r="I12" s="277"/>
    </row>
    <row r="13" spans="1:9">
      <c r="A13" s="493" t="s">
        <v>836</v>
      </c>
      <c r="B13" s="454"/>
      <c r="C13" s="454"/>
      <c r="D13" s="450"/>
      <c r="E13" s="67"/>
      <c r="F13" s="286">
        <f>F12*15%</f>
        <v>83.325000000000003</v>
      </c>
      <c r="G13" s="71"/>
      <c r="H13" s="277"/>
      <c r="I13" s="277"/>
    </row>
    <row r="14" spans="1:9">
      <c r="A14" s="493" t="s">
        <v>30</v>
      </c>
      <c r="B14" s="454"/>
      <c r="C14" s="454"/>
      <c r="D14" s="450"/>
      <c r="E14" s="71"/>
      <c r="F14" s="72">
        <f>ROUND(F12+F13,2)</f>
        <v>638.83000000000004</v>
      </c>
      <c r="G14" s="71"/>
      <c r="H14" s="277"/>
      <c r="I14" s="277"/>
    </row>
    <row r="15" spans="1:9">
      <c r="A15" s="490" t="s">
        <v>847</v>
      </c>
      <c r="B15" s="454"/>
      <c r="C15" s="454"/>
      <c r="D15" s="454"/>
      <c r="E15" s="454"/>
      <c r="F15" s="450"/>
      <c r="G15" s="68" t="s">
        <v>820</v>
      </c>
      <c r="H15" s="280"/>
      <c r="I15" s="280"/>
    </row>
    <row r="16" spans="1:9">
      <c r="A16" s="491">
        <v>9999</v>
      </c>
      <c r="B16" s="491"/>
      <c r="C16" s="484" t="s">
        <v>1624</v>
      </c>
      <c r="D16" s="454"/>
      <c r="E16" s="450"/>
      <c r="F16" s="485"/>
      <c r="G16" s="450"/>
      <c r="H16" s="277"/>
      <c r="I16" s="277"/>
    </row>
    <row r="17" spans="1:9">
      <c r="A17" s="457"/>
      <c r="B17" s="457"/>
      <c r="C17" s="66" t="s">
        <v>62</v>
      </c>
      <c r="D17" s="67">
        <v>2.73</v>
      </c>
      <c r="E17" s="67">
        <v>2.12</v>
      </c>
      <c r="F17" s="286">
        <f>D17*E17</f>
        <v>5.7876000000000003</v>
      </c>
      <c r="G17" s="287" t="s">
        <v>851</v>
      </c>
      <c r="H17" s="288"/>
      <c r="I17" s="288"/>
    </row>
    <row r="18" spans="1:9">
      <c r="A18" s="491">
        <v>9999</v>
      </c>
      <c r="B18" s="491"/>
      <c r="C18" s="484" t="s">
        <v>1628</v>
      </c>
      <c r="D18" s="454"/>
      <c r="E18" s="450"/>
      <c r="F18" s="607"/>
      <c r="G18" s="450"/>
      <c r="H18" s="277"/>
      <c r="I18" s="277"/>
    </row>
    <row r="19" spans="1:9">
      <c r="A19" s="457"/>
      <c r="B19" s="457"/>
      <c r="C19" s="66" t="s">
        <v>62</v>
      </c>
      <c r="D19" s="67">
        <v>9.36</v>
      </c>
      <c r="E19" s="67">
        <v>2.12</v>
      </c>
      <c r="F19" s="286">
        <f>D19*E19</f>
        <v>19.8432</v>
      </c>
      <c r="G19" s="287" t="s">
        <v>854</v>
      </c>
      <c r="H19" s="288"/>
      <c r="I19" s="288"/>
    </row>
    <row r="20" spans="1:9">
      <c r="A20" s="492" t="s">
        <v>1630</v>
      </c>
      <c r="B20" s="454"/>
      <c r="C20" s="450"/>
      <c r="D20" s="67">
        <v>1</v>
      </c>
      <c r="E20" s="70" t="s">
        <v>1107</v>
      </c>
      <c r="F20" s="286">
        <f>F17+F19</f>
        <v>25.630800000000001</v>
      </c>
      <c r="G20" s="289"/>
      <c r="H20" s="277"/>
      <c r="I20" s="277"/>
    </row>
    <row r="21" spans="1:9">
      <c r="A21" s="492" t="s">
        <v>826</v>
      </c>
      <c r="B21" s="454"/>
      <c r="C21" s="450"/>
      <c r="D21" s="67">
        <v>1</v>
      </c>
      <c r="E21" s="70" t="s">
        <v>1107</v>
      </c>
      <c r="F21" s="286">
        <f>F20/D20</f>
        <v>25.630800000000001</v>
      </c>
      <c r="G21" s="289"/>
      <c r="H21" s="277"/>
      <c r="I21" s="277"/>
    </row>
    <row r="22" spans="1:9">
      <c r="A22" s="493" t="s">
        <v>829</v>
      </c>
      <c r="B22" s="454"/>
      <c r="C22" s="454"/>
      <c r="D22" s="450"/>
      <c r="E22" s="67"/>
      <c r="F22" s="286">
        <f>F21*1%</f>
        <v>0.25630800000000004</v>
      </c>
      <c r="G22" s="289"/>
      <c r="H22" s="277"/>
      <c r="I22" s="277"/>
    </row>
    <row r="23" spans="1:9">
      <c r="A23" s="493" t="s">
        <v>30</v>
      </c>
      <c r="B23" s="454"/>
      <c r="C23" s="454"/>
      <c r="D23" s="450"/>
      <c r="E23" s="71"/>
      <c r="F23" s="286">
        <f>F21+F22</f>
        <v>25.887108000000001</v>
      </c>
      <c r="G23" s="289"/>
      <c r="H23" s="277"/>
      <c r="I23" s="277"/>
    </row>
    <row r="24" spans="1:9">
      <c r="A24" s="493" t="s">
        <v>836</v>
      </c>
      <c r="B24" s="454"/>
      <c r="C24" s="454"/>
      <c r="D24" s="450"/>
      <c r="E24" s="67"/>
      <c r="F24" s="286">
        <f>F23*15%</f>
        <v>3.8830662</v>
      </c>
      <c r="G24" s="289"/>
      <c r="H24" s="277"/>
      <c r="I24" s="277"/>
    </row>
    <row r="25" spans="1:9">
      <c r="A25" s="493" t="s">
        <v>30</v>
      </c>
      <c r="B25" s="454"/>
      <c r="C25" s="454"/>
      <c r="D25" s="450"/>
      <c r="E25" s="71"/>
      <c r="F25" s="72">
        <f>ROUND(F23+F24,2)</f>
        <v>29.77</v>
      </c>
      <c r="G25" s="71"/>
      <c r="H25" s="277"/>
      <c r="I25" s="277"/>
    </row>
    <row r="26" spans="1:9">
      <c r="A26" s="594" t="str">
        <f>CONCATENATE("Say ₹ ",F14," + ",F25," x Cost Index")</f>
        <v>Say ₹ 638.83 + 29.77 x Cost Index</v>
      </c>
      <c r="B26" s="454"/>
      <c r="C26" s="454"/>
      <c r="D26" s="454"/>
      <c r="E26" s="454"/>
      <c r="F26" s="454"/>
      <c r="G26" s="450"/>
      <c r="H26" s="229">
        <f>((F8*1.01*1.15))</f>
        <v>638.82499999999993</v>
      </c>
      <c r="I26" s="229">
        <f>((SUM(F17,F19)*1.01*1.15))</f>
        <v>29.7701742</v>
      </c>
    </row>
    <row r="27" spans="1:9">
      <c r="A27" s="486" t="s">
        <v>771</v>
      </c>
      <c r="B27" s="486" t="s">
        <v>776</v>
      </c>
      <c r="C27" s="487" t="s">
        <v>4</v>
      </c>
      <c r="D27" s="454"/>
      <c r="E27" s="450"/>
      <c r="F27" s="488" t="s">
        <v>785</v>
      </c>
      <c r="G27" s="450"/>
      <c r="H27" s="275"/>
      <c r="I27" s="275"/>
    </row>
    <row r="28" spans="1:9">
      <c r="A28" s="457"/>
      <c r="B28" s="457"/>
      <c r="C28" s="62" t="s">
        <v>5</v>
      </c>
      <c r="D28" s="62" t="s">
        <v>6</v>
      </c>
      <c r="E28" s="62" t="s">
        <v>336</v>
      </c>
      <c r="F28" s="63" t="s">
        <v>8</v>
      </c>
      <c r="G28" s="62" t="s">
        <v>789</v>
      </c>
      <c r="H28" s="275"/>
      <c r="I28" s="275"/>
    </row>
    <row r="29" spans="1:9">
      <c r="A29" s="589" t="s">
        <v>1641</v>
      </c>
      <c r="B29" s="454"/>
      <c r="C29" s="454"/>
      <c r="D29" s="454"/>
      <c r="E29" s="454"/>
      <c r="F29" s="454"/>
      <c r="G29" s="450"/>
      <c r="H29" s="276"/>
      <c r="I29" s="276"/>
    </row>
    <row r="30" spans="1:9">
      <c r="A30" s="290"/>
      <c r="B30" s="282" t="s">
        <v>795</v>
      </c>
      <c r="C30" s="282" t="s">
        <v>1107</v>
      </c>
      <c r="D30" s="282" t="s">
        <v>798</v>
      </c>
      <c r="E30" s="283">
        <v>1</v>
      </c>
      <c r="F30" s="590"/>
      <c r="G30" s="450"/>
      <c r="H30" s="281"/>
      <c r="I30" s="281"/>
    </row>
    <row r="31" spans="1:9">
      <c r="A31" s="282" t="s">
        <v>800</v>
      </c>
      <c r="B31" s="591" t="s">
        <v>1643</v>
      </c>
      <c r="C31" s="454"/>
      <c r="D31" s="454"/>
      <c r="E31" s="454"/>
      <c r="F31" s="454"/>
      <c r="G31" s="450"/>
      <c r="H31" s="291"/>
      <c r="I31" s="291"/>
    </row>
    <row r="32" spans="1:9">
      <c r="A32" s="592" t="s">
        <v>802</v>
      </c>
      <c r="B32" s="454"/>
      <c r="C32" s="454"/>
      <c r="D32" s="454"/>
      <c r="E32" s="454"/>
      <c r="F32" s="450"/>
      <c r="G32" s="292" t="s">
        <v>803</v>
      </c>
      <c r="H32" s="293"/>
      <c r="I32" s="293"/>
    </row>
    <row r="33" spans="1:9">
      <c r="A33" s="593"/>
      <c r="B33" s="593" t="s">
        <v>1645</v>
      </c>
      <c r="C33" s="591" t="s">
        <v>1646</v>
      </c>
      <c r="D33" s="454"/>
      <c r="E33" s="450"/>
      <c r="F33" s="590"/>
      <c r="G33" s="450"/>
      <c r="H33" s="281"/>
      <c r="I33" s="281"/>
    </row>
    <row r="34" spans="1:9">
      <c r="A34" s="457"/>
      <c r="B34" s="457"/>
      <c r="C34" s="282" t="s">
        <v>46</v>
      </c>
      <c r="D34" s="283">
        <v>1</v>
      </c>
      <c r="E34" s="283">
        <f t="array" ref="E34">IFERROR(INDEX(LMRRates,MATCH(B33,LMRCodes,0), ), )</f>
        <v>52</v>
      </c>
      <c r="F34" s="294">
        <f>D34*E34</f>
        <v>52</v>
      </c>
      <c r="G34" s="282" t="s">
        <v>808</v>
      </c>
      <c r="H34" s="285"/>
      <c r="I34" s="285"/>
    </row>
    <row r="35" spans="1:9">
      <c r="A35" s="492" t="s">
        <v>1105</v>
      </c>
      <c r="B35" s="454"/>
      <c r="C35" s="450"/>
      <c r="D35" s="67">
        <v>1</v>
      </c>
      <c r="E35" s="70" t="s">
        <v>1107</v>
      </c>
      <c r="F35" s="286">
        <f>F34</f>
        <v>52</v>
      </c>
      <c r="G35" s="71"/>
      <c r="H35" s="277"/>
      <c r="I35" s="277"/>
    </row>
    <row r="36" spans="1:9">
      <c r="A36" s="492" t="s">
        <v>826</v>
      </c>
      <c r="B36" s="454"/>
      <c r="C36" s="450"/>
      <c r="D36" s="67">
        <v>1</v>
      </c>
      <c r="E36" s="70" t="s">
        <v>1107</v>
      </c>
      <c r="F36" s="286">
        <f>F35/D35</f>
        <v>52</v>
      </c>
      <c r="G36" s="71"/>
      <c r="H36" s="277"/>
      <c r="I36" s="277"/>
    </row>
    <row r="37" spans="1:9">
      <c r="A37" s="493" t="s">
        <v>829</v>
      </c>
      <c r="B37" s="454"/>
      <c r="C37" s="454"/>
      <c r="D37" s="450"/>
      <c r="E37" s="67"/>
      <c r="F37" s="286">
        <f>F36*1%</f>
        <v>0.52</v>
      </c>
      <c r="G37" s="71"/>
      <c r="H37" s="277"/>
      <c r="I37" s="277"/>
    </row>
    <row r="38" spans="1:9">
      <c r="A38" s="493" t="s">
        <v>30</v>
      </c>
      <c r="B38" s="454"/>
      <c r="C38" s="454"/>
      <c r="D38" s="450"/>
      <c r="E38" s="71"/>
      <c r="F38" s="286">
        <f>F36+F37</f>
        <v>52.52</v>
      </c>
      <c r="G38" s="71"/>
      <c r="H38" s="277"/>
      <c r="I38" s="277"/>
    </row>
    <row r="39" spans="1:9">
      <c r="A39" s="493" t="s">
        <v>836</v>
      </c>
      <c r="B39" s="454"/>
      <c r="C39" s="454"/>
      <c r="D39" s="450"/>
      <c r="E39" s="67"/>
      <c r="F39" s="286">
        <f>F38*15%</f>
        <v>7.8780000000000001</v>
      </c>
      <c r="G39" s="71"/>
      <c r="H39" s="277"/>
      <c r="I39" s="277"/>
    </row>
    <row r="40" spans="1:9">
      <c r="A40" s="493" t="s">
        <v>30</v>
      </c>
      <c r="B40" s="454"/>
      <c r="C40" s="454"/>
      <c r="D40" s="450"/>
      <c r="E40" s="71"/>
      <c r="F40" s="72">
        <f>ROUND(F38+F39,2)</f>
        <v>60.4</v>
      </c>
      <c r="G40" s="71"/>
      <c r="H40" s="277"/>
      <c r="I40" s="277"/>
    </row>
    <row r="41" spans="1:9">
      <c r="A41" s="490" t="s">
        <v>847</v>
      </c>
      <c r="B41" s="454"/>
      <c r="C41" s="454"/>
      <c r="D41" s="454"/>
      <c r="E41" s="454"/>
      <c r="F41" s="450"/>
      <c r="G41" s="68" t="s">
        <v>820</v>
      </c>
      <c r="H41" s="280"/>
      <c r="I41" s="280"/>
    </row>
    <row r="42" spans="1:9">
      <c r="A42" s="491">
        <v>9999</v>
      </c>
      <c r="B42" s="491"/>
      <c r="C42" s="484" t="s">
        <v>1655</v>
      </c>
      <c r="D42" s="454"/>
      <c r="E42" s="450"/>
      <c r="F42" s="485"/>
      <c r="G42" s="450"/>
      <c r="H42" s="277"/>
      <c r="I42" s="277"/>
    </row>
    <row r="43" spans="1:9">
      <c r="A43" s="457"/>
      <c r="B43" s="457"/>
      <c r="C43" s="66" t="s">
        <v>62</v>
      </c>
      <c r="D43" s="67">
        <v>2.73</v>
      </c>
      <c r="E43" s="67">
        <v>2.12</v>
      </c>
      <c r="F43" s="69">
        <f>D43*E43</f>
        <v>5.7876000000000003</v>
      </c>
      <c r="G43" s="66" t="s">
        <v>851</v>
      </c>
      <c r="H43" s="288"/>
      <c r="I43" s="288"/>
    </row>
    <row r="44" spans="1:9">
      <c r="A44" s="491">
        <v>9999</v>
      </c>
      <c r="B44" s="491"/>
      <c r="C44" s="484" t="s">
        <v>1628</v>
      </c>
      <c r="D44" s="454"/>
      <c r="E44" s="450"/>
      <c r="F44" s="485"/>
      <c r="G44" s="450"/>
      <c r="H44" s="277"/>
      <c r="I44" s="277"/>
    </row>
    <row r="45" spans="1:9">
      <c r="A45" s="457"/>
      <c r="B45" s="457"/>
      <c r="C45" s="66" t="s">
        <v>62</v>
      </c>
      <c r="D45" s="67">
        <v>10.79</v>
      </c>
      <c r="E45" s="67">
        <v>2.12</v>
      </c>
      <c r="F45" s="69">
        <f>D45*E45</f>
        <v>22.8748</v>
      </c>
      <c r="G45" s="66" t="s">
        <v>854</v>
      </c>
      <c r="H45" s="288"/>
      <c r="I45" s="288"/>
    </row>
    <row r="46" spans="1:9">
      <c r="A46" s="492" t="s">
        <v>1630</v>
      </c>
      <c r="B46" s="454"/>
      <c r="C46" s="450"/>
      <c r="D46" s="67">
        <v>1</v>
      </c>
      <c r="E46" s="70" t="s">
        <v>1107</v>
      </c>
      <c r="F46" s="286">
        <f>F43+F45</f>
        <v>28.662400000000002</v>
      </c>
      <c r="G46" s="289"/>
      <c r="H46" s="277"/>
      <c r="I46" s="277"/>
    </row>
    <row r="47" spans="1:9">
      <c r="A47" s="492" t="s">
        <v>826</v>
      </c>
      <c r="B47" s="454"/>
      <c r="C47" s="450"/>
      <c r="D47" s="67">
        <v>1</v>
      </c>
      <c r="E47" s="70" t="s">
        <v>1107</v>
      </c>
      <c r="F47" s="286">
        <f>F46/D46</f>
        <v>28.662400000000002</v>
      </c>
      <c r="G47" s="289"/>
      <c r="H47" s="277"/>
      <c r="I47" s="277"/>
    </row>
    <row r="48" spans="1:9">
      <c r="A48" s="493" t="s">
        <v>829</v>
      </c>
      <c r="B48" s="454"/>
      <c r="C48" s="454"/>
      <c r="D48" s="450"/>
      <c r="E48" s="67"/>
      <c r="F48" s="286">
        <f>F47*1%</f>
        <v>0.28662400000000005</v>
      </c>
      <c r="G48" s="289"/>
      <c r="H48" s="277"/>
      <c r="I48" s="277"/>
    </row>
    <row r="49" spans="1:9">
      <c r="A49" s="493" t="s">
        <v>30</v>
      </c>
      <c r="B49" s="454"/>
      <c r="C49" s="454"/>
      <c r="D49" s="450"/>
      <c r="E49" s="71"/>
      <c r="F49" s="286">
        <f>F47+F48</f>
        <v>28.949024000000001</v>
      </c>
      <c r="G49" s="289"/>
      <c r="H49" s="277"/>
      <c r="I49" s="277"/>
    </row>
    <row r="50" spans="1:9">
      <c r="A50" s="493" t="s">
        <v>836</v>
      </c>
      <c r="B50" s="454"/>
      <c r="C50" s="454"/>
      <c r="D50" s="450"/>
      <c r="E50" s="67"/>
      <c r="F50" s="286">
        <f>F49*15%</f>
        <v>4.3423536</v>
      </c>
      <c r="G50" s="289"/>
      <c r="H50" s="277"/>
      <c r="I50" s="277"/>
    </row>
    <row r="51" spans="1:9">
      <c r="A51" s="493" t="s">
        <v>30</v>
      </c>
      <c r="B51" s="454"/>
      <c r="C51" s="454"/>
      <c r="D51" s="450"/>
      <c r="E51" s="71"/>
      <c r="F51" s="72">
        <f>ROUND(F49+F50,2)</f>
        <v>33.29</v>
      </c>
      <c r="G51" s="71"/>
      <c r="H51" s="277"/>
      <c r="I51" s="277"/>
    </row>
    <row r="52" spans="1:9">
      <c r="A52" s="594" t="str">
        <f>CONCATENATE("Say ₹ ",F40," + ",F51," x Cost Index")</f>
        <v>Say ₹ 60.4 + 33.29 x Cost Index</v>
      </c>
      <c r="B52" s="454"/>
      <c r="C52" s="454"/>
      <c r="D52" s="454"/>
      <c r="E52" s="454"/>
      <c r="F52" s="454"/>
      <c r="G52" s="450"/>
      <c r="H52" s="229">
        <f>((F34*1.01*1.15))</f>
        <v>60.397999999999996</v>
      </c>
      <c r="I52" s="229">
        <f>((SUM(F43,F45)*1.01*1.15))</f>
        <v>33.291377599999997</v>
      </c>
    </row>
    <row r="53" spans="1:9">
      <c r="A53" s="486" t="s">
        <v>771</v>
      </c>
      <c r="B53" s="486" t="s">
        <v>776</v>
      </c>
      <c r="C53" s="487" t="s">
        <v>4</v>
      </c>
      <c r="D53" s="454"/>
      <c r="E53" s="450"/>
      <c r="F53" s="488" t="s">
        <v>785</v>
      </c>
      <c r="G53" s="450"/>
      <c r="H53" s="275"/>
      <c r="I53" s="275"/>
    </row>
    <row r="54" spans="1:9">
      <c r="A54" s="457"/>
      <c r="B54" s="457"/>
      <c r="C54" s="62" t="s">
        <v>5</v>
      </c>
      <c r="D54" s="62" t="s">
        <v>6</v>
      </c>
      <c r="E54" s="62" t="s">
        <v>336</v>
      </c>
      <c r="F54" s="63" t="s">
        <v>8</v>
      </c>
      <c r="G54" s="62" t="s">
        <v>789</v>
      </c>
      <c r="H54" s="275"/>
      <c r="I54" s="275"/>
    </row>
    <row r="55" spans="1:9">
      <c r="A55" s="589" t="s">
        <v>1671</v>
      </c>
      <c r="B55" s="454"/>
      <c r="C55" s="454"/>
      <c r="D55" s="454"/>
      <c r="E55" s="454"/>
      <c r="F55" s="454"/>
      <c r="G55" s="450"/>
      <c r="H55" s="276"/>
      <c r="I55" s="276"/>
    </row>
    <row r="56" spans="1:9">
      <c r="A56" s="290"/>
      <c r="B56" s="282" t="s">
        <v>795</v>
      </c>
      <c r="C56" s="282" t="s">
        <v>1107</v>
      </c>
      <c r="D56" s="282" t="s">
        <v>798</v>
      </c>
      <c r="E56" s="283">
        <v>1</v>
      </c>
      <c r="F56" s="590"/>
      <c r="G56" s="450"/>
      <c r="H56" s="281"/>
      <c r="I56" s="281"/>
    </row>
    <row r="57" spans="1:9">
      <c r="A57" s="282" t="s">
        <v>800</v>
      </c>
      <c r="B57" s="591" t="s">
        <v>1643</v>
      </c>
      <c r="C57" s="454"/>
      <c r="D57" s="454"/>
      <c r="E57" s="454"/>
      <c r="F57" s="454"/>
      <c r="G57" s="450"/>
      <c r="H57" s="291"/>
      <c r="I57" s="291"/>
    </row>
    <row r="58" spans="1:9">
      <c r="A58" s="592" t="s">
        <v>802</v>
      </c>
      <c r="B58" s="454"/>
      <c r="C58" s="454"/>
      <c r="D58" s="454"/>
      <c r="E58" s="454"/>
      <c r="F58" s="450"/>
      <c r="G58" s="292" t="s">
        <v>803</v>
      </c>
      <c r="H58" s="293"/>
      <c r="I58" s="293"/>
    </row>
    <row r="59" spans="1:9">
      <c r="A59" s="593"/>
      <c r="B59" s="593" t="s">
        <v>1675</v>
      </c>
      <c r="C59" s="591" t="s">
        <v>1677</v>
      </c>
      <c r="D59" s="454"/>
      <c r="E59" s="450"/>
      <c r="F59" s="590"/>
      <c r="G59" s="450"/>
      <c r="H59" s="281"/>
      <c r="I59" s="281"/>
    </row>
    <row r="60" spans="1:9">
      <c r="A60" s="457"/>
      <c r="B60" s="457"/>
      <c r="C60" s="282" t="s">
        <v>46</v>
      </c>
      <c r="D60" s="283">
        <v>1</v>
      </c>
      <c r="E60" s="283">
        <f t="array" ref="E60">IFERROR(INDEX(LMRRates,MATCH(B59,LMRCodes,0), ), )</f>
        <v>160</v>
      </c>
      <c r="F60" s="294">
        <f>D60*E60</f>
        <v>160</v>
      </c>
      <c r="G60" s="282" t="s">
        <v>808</v>
      </c>
      <c r="H60" s="285"/>
      <c r="I60" s="285"/>
    </row>
    <row r="61" spans="1:9">
      <c r="A61" s="492" t="s">
        <v>1105</v>
      </c>
      <c r="B61" s="454"/>
      <c r="C61" s="450"/>
      <c r="D61" s="67">
        <v>1</v>
      </c>
      <c r="E61" s="70" t="s">
        <v>1107</v>
      </c>
      <c r="F61" s="286">
        <f>F60</f>
        <v>160</v>
      </c>
      <c r="G61" s="71"/>
      <c r="H61" s="277"/>
      <c r="I61" s="277"/>
    </row>
    <row r="62" spans="1:9">
      <c r="A62" s="492" t="s">
        <v>826</v>
      </c>
      <c r="B62" s="454"/>
      <c r="C62" s="450"/>
      <c r="D62" s="67">
        <v>1</v>
      </c>
      <c r="E62" s="70" t="s">
        <v>1107</v>
      </c>
      <c r="F62" s="286">
        <f>F61/D61</f>
        <v>160</v>
      </c>
      <c r="G62" s="71"/>
      <c r="H62" s="277"/>
      <c r="I62" s="277"/>
    </row>
    <row r="63" spans="1:9">
      <c r="A63" s="493" t="s">
        <v>829</v>
      </c>
      <c r="B63" s="454"/>
      <c r="C63" s="454"/>
      <c r="D63" s="450"/>
      <c r="E63" s="67"/>
      <c r="F63" s="286">
        <f>F62*1%</f>
        <v>1.6</v>
      </c>
      <c r="G63" s="71"/>
      <c r="H63" s="277"/>
      <c r="I63" s="277"/>
    </row>
    <row r="64" spans="1:9">
      <c r="A64" s="493" t="s">
        <v>30</v>
      </c>
      <c r="B64" s="454"/>
      <c r="C64" s="454"/>
      <c r="D64" s="450"/>
      <c r="E64" s="71"/>
      <c r="F64" s="286">
        <f>F62+F63</f>
        <v>161.6</v>
      </c>
      <c r="G64" s="71"/>
      <c r="H64" s="277"/>
      <c r="I64" s="277"/>
    </row>
    <row r="65" spans="1:9">
      <c r="A65" s="493" t="s">
        <v>836</v>
      </c>
      <c r="B65" s="454"/>
      <c r="C65" s="454"/>
      <c r="D65" s="450"/>
      <c r="E65" s="67"/>
      <c r="F65" s="286">
        <f>F64*15%</f>
        <v>24.24</v>
      </c>
      <c r="G65" s="71"/>
      <c r="H65" s="277"/>
      <c r="I65" s="277"/>
    </row>
    <row r="66" spans="1:9">
      <c r="A66" s="493" t="s">
        <v>30</v>
      </c>
      <c r="B66" s="454"/>
      <c r="C66" s="454"/>
      <c r="D66" s="450"/>
      <c r="E66" s="71"/>
      <c r="F66" s="72">
        <f>ROUND(F64+F65,2)</f>
        <v>185.84</v>
      </c>
      <c r="G66" s="71"/>
      <c r="H66" s="277"/>
      <c r="I66" s="277"/>
    </row>
    <row r="67" spans="1:9">
      <c r="A67" s="490" t="s">
        <v>847</v>
      </c>
      <c r="B67" s="454"/>
      <c r="C67" s="454"/>
      <c r="D67" s="454"/>
      <c r="E67" s="454"/>
      <c r="F67" s="450"/>
      <c r="G67" s="68" t="s">
        <v>820</v>
      </c>
      <c r="H67" s="280"/>
      <c r="I67" s="280"/>
    </row>
    <row r="68" spans="1:9">
      <c r="A68" s="491">
        <v>9999</v>
      </c>
      <c r="B68" s="491"/>
      <c r="C68" s="484" t="s">
        <v>1655</v>
      </c>
      <c r="D68" s="454"/>
      <c r="E68" s="450"/>
      <c r="F68" s="485"/>
      <c r="G68" s="450"/>
      <c r="H68" s="277"/>
      <c r="I68" s="277"/>
    </row>
    <row r="69" spans="1:9">
      <c r="A69" s="457"/>
      <c r="B69" s="457"/>
      <c r="C69" s="66" t="s">
        <v>62</v>
      </c>
      <c r="D69" s="67">
        <v>2.73</v>
      </c>
      <c r="E69" s="67">
        <v>2.12</v>
      </c>
      <c r="F69" s="69">
        <f>D69*E69</f>
        <v>5.7876000000000003</v>
      </c>
      <c r="G69" s="66" t="s">
        <v>851</v>
      </c>
      <c r="H69" s="288"/>
      <c r="I69" s="288"/>
    </row>
    <row r="70" spans="1:9">
      <c r="A70" s="491">
        <v>9999</v>
      </c>
      <c r="B70" s="491"/>
      <c r="C70" s="484" t="s">
        <v>1628</v>
      </c>
      <c r="D70" s="454"/>
      <c r="E70" s="450"/>
      <c r="F70" s="485"/>
      <c r="G70" s="450"/>
      <c r="H70" s="277"/>
      <c r="I70" s="277"/>
    </row>
    <row r="71" spans="1:9">
      <c r="A71" s="457"/>
      <c r="B71" s="457"/>
      <c r="C71" s="66" t="s">
        <v>62</v>
      </c>
      <c r="D71" s="67">
        <v>10.79</v>
      </c>
      <c r="E71" s="67">
        <v>2.12</v>
      </c>
      <c r="F71" s="69">
        <f>D71*E71</f>
        <v>22.8748</v>
      </c>
      <c r="G71" s="66" t="s">
        <v>854</v>
      </c>
      <c r="H71" s="288"/>
      <c r="I71" s="288"/>
    </row>
    <row r="72" spans="1:9">
      <c r="A72" s="492" t="s">
        <v>1630</v>
      </c>
      <c r="B72" s="454"/>
      <c r="C72" s="450"/>
      <c r="D72" s="67">
        <v>1</v>
      </c>
      <c r="E72" s="70" t="s">
        <v>1107</v>
      </c>
      <c r="F72" s="286">
        <f>F69+F71</f>
        <v>28.662400000000002</v>
      </c>
      <c r="G72" s="289"/>
      <c r="H72" s="277"/>
      <c r="I72" s="277"/>
    </row>
    <row r="73" spans="1:9">
      <c r="A73" s="492" t="s">
        <v>826</v>
      </c>
      <c r="B73" s="454"/>
      <c r="C73" s="450"/>
      <c r="D73" s="67">
        <v>1</v>
      </c>
      <c r="E73" s="70" t="s">
        <v>1107</v>
      </c>
      <c r="F73" s="286">
        <f>F72/D72</f>
        <v>28.662400000000002</v>
      </c>
      <c r="G73" s="289"/>
      <c r="H73" s="277"/>
      <c r="I73" s="277"/>
    </row>
    <row r="74" spans="1:9">
      <c r="A74" s="493" t="s">
        <v>829</v>
      </c>
      <c r="B74" s="454"/>
      <c r="C74" s="454"/>
      <c r="D74" s="450"/>
      <c r="E74" s="67"/>
      <c r="F74" s="286">
        <f>F73*1%</f>
        <v>0.28662400000000005</v>
      </c>
      <c r="G74" s="289"/>
      <c r="H74" s="277"/>
      <c r="I74" s="277"/>
    </row>
    <row r="75" spans="1:9">
      <c r="A75" s="493" t="s">
        <v>30</v>
      </c>
      <c r="B75" s="454"/>
      <c r="C75" s="454"/>
      <c r="D75" s="450"/>
      <c r="E75" s="71"/>
      <c r="F75" s="286">
        <f>F73+F74</f>
        <v>28.949024000000001</v>
      </c>
      <c r="G75" s="289"/>
      <c r="H75" s="277"/>
      <c r="I75" s="277"/>
    </row>
    <row r="76" spans="1:9">
      <c r="A76" s="493" t="s">
        <v>836</v>
      </c>
      <c r="B76" s="454"/>
      <c r="C76" s="454"/>
      <c r="D76" s="450"/>
      <c r="E76" s="67"/>
      <c r="F76" s="286">
        <f>F75*15%</f>
        <v>4.3423536</v>
      </c>
      <c r="G76" s="289"/>
      <c r="H76" s="277"/>
      <c r="I76" s="277"/>
    </row>
    <row r="77" spans="1:9">
      <c r="A77" s="493" t="s">
        <v>30</v>
      </c>
      <c r="B77" s="454"/>
      <c r="C77" s="454"/>
      <c r="D77" s="450"/>
      <c r="E77" s="71"/>
      <c r="F77" s="72">
        <f>ROUND(F75+F76,2)</f>
        <v>33.29</v>
      </c>
      <c r="G77" s="71"/>
      <c r="H77" s="277"/>
      <c r="I77" s="277"/>
    </row>
    <row r="78" spans="1:9">
      <c r="A78" s="594" t="str">
        <f>CONCATENATE("Say ₹ ",F66," + ",F77," x Cost Index")</f>
        <v>Say ₹ 185.84 + 33.29 x Cost Index</v>
      </c>
      <c r="B78" s="454"/>
      <c r="C78" s="454"/>
      <c r="D78" s="454"/>
      <c r="E78" s="454"/>
      <c r="F78" s="454"/>
      <c r="G78" s="450"/>
      <c r="H78" s="229">
        <f>((F60*1.01*1.15))</f>
        <v>185.83999999999997</v>
      </c>
      <c r="I78" s="229">
        <f>((SUM(F69,F71)*1.01*1.15))</f>
        <v>33.291377599999997</v>
      </c>
    </row>
    <row r="79" spans="1:9">
      <c r="A79" s="486" t="s">
        <v>771</v>
      </c>
      <c r="B79" s="486" t="s">
        <v>776</v>
      </c>
      <c r="C79" s="487" t="s">
        <v>4</v>
      </c>
      <c r="D79" s="454"/>
      <c r="E79" s="450"/>
      <c r="F79" s="488" t="s">
        <v>785</v>
      </c>
      <c r="G79" s="450"/>
      <c r="H79" s="275"/>
      <c r="I79" s="275"/>
    </row>
    <row r="80" spans="1:9">
      <c r="A80" s="457"/>
      <c r="B80" s="457"/>
      <c r="C80" s="62" t="s">
        <v>5</v>
      </c>
      <c r="D80" s="62" t="s">
        <v>6</v>
      </c>
      <c r="E80" s="62" t="s">
        <v>336</v>
      </c>
      <c r="F80" s="63" t="s">
        <v>8</v>
      </c>
      <c r="G80" s="62" t="s">
        <v>789</v>
      </c>
      <c r="H80" s="275"/>
      <c r="I80" s="275"/>
    </row>
    <row r="81" spans="1:9">
      <c r="A81" s="589" t="s">
        <v>1689</v>
      </c>
      <c r="B81" s="454"/>
      <c r="C81" s="454"/>
      <c r="D81" s="454"/>
      <c r="E81" s="454"/>
      <c r="F81" s="454"/>
      <c r="G81" s="450"/>
      <c r="H81" s="276"/>
      <c r="I81" s="276"/>
    </row>
    <row r="82" spans="1:9">
      <c r="A82" s="290"/>
      <c r="B82" s="282" t="s">
        <v>795</v>
      </c>
      <c r="C82" s="282" t="s">
        <v>1107</v>
      </c>
      <c r="D82" s="282" t="s">
        <v>798</v>
      </c>
      <c r="E82" s="283">
        <v>1</v>
      </c>
      <c r="F82" s="590"/>
      <c r="G82" s="450"/>
      <c r="H82" s="281"/>
      <c r="I82" s="281"/>
    </row>
    <row r="83" spans="1:9">
      <c r="A83" s="282" t="s">
        <v>800</v>
      </c>
      <c r="B83" s="591" t="s">
        <v>1643</v>
      </c>
      <c r="C83" s="454"/>
      <c r="D83" s="454"/>
      <c r="E83" s="454"/>
      <c r="F83" s="454"/>
      <c r="G83" s="450"/>
      <c r="H83" s="291"/>
      <c r="I83" s="291"/>
    </row>
    <row r="84" spans="1:9">
      <c r="A84" s="592" t="s">
        <v>802</v>
      </c>
      <c r="B84" s="454"/>
      <c r="C84" s="454"/>
      <c r="D84" s="454"/>
      <c r="E84" s="454"/>
      <c r="F84" s="450"/>
      <c r="G84" s="292" t="s">
        <v>803</v>
      </c>
      <c r="H84" s="293"/>
      <c r="I84" s="293"/>
    </row>
    <row r="85" spans="1:9">
      <c r="A85" s="593"/>
      <c r="B85" s="593" t="s">
        <v>1691</v>
      </c>
      <c r="C85" s="591" t="s">
        <v>1692</v>
      </c>
      <c r="D85" s="454"/>
      <c r="E85" s="450"/>
      <c r="F85" s="590"/>
      <c r="G85" s="450"/>
      <c r="H85" s="281"/>
      <c r="I85" s="281"/>
    </row>
    <row r="86" spans="1:9">
      <c r="A86" s="457"/>
      <c r="B86" s="457"/>
      <c r="C86" s="282" t="s">
        <v>46</v>
      </c>
      <c r="D86" s="283">
        <v>1</v>
      </c>
      <c r="E86" s="283">
        <f t="array" ref="E86">IFERROR(INDEX(LMRRates,MATCH(B85,LMRCodes,0), ), )</f>
        <v>185</v>
      </c>
      <c r="F86" s="294">
        <f>D86*E86</f>
        <v>185</v>
      </c>
      <c r="G86" s="282" t="s">
        <v>808</v>
      </c>
      <c r="H86" s="285"/>
      <c r="I86" s="285"/>
    </row>
    <row r="87" spans="1:9">
      <c r="A87" s="492" t="s">
        <v>1105</v>
      </c>
      <c r="B87" s="454"/>
      <c r="C87" s="450"/>
      <c r="D87" s="67">
        <v>1</v>
      </c>
      <c r="E87" s="70" t="s">
        <v>1107</v>
      </c>
      <c r="F87" s="286">
        <f>F86</f>
        <v>185</v>
      </c>
      <c r="G87" s="71"/>
      <c r="H87" s="277"/>
      <c r="I87" s="277"/>
    </row>
    <row r="88" spans="1:9">
      <c r="A88" s="492" t="s">
        <v>826</v>
      </c>
      <c r="B88" s="454"/>
      <c r="C88" s="450"/>
      <c r="D88" s="67">
        <v>1</v>
      </c>
      <c r="E88" s="70" t="s">
        <v>1107</v>
      </c>
      <c r="F88" s="286">
        <f>F87/D87</f>
        <v>185</v>
      </c>
      <c r="G88" s="71"/>
      <c r="H88" s="277"/>
      <c r="I88" s="277"/>
    </row>
    <row r="89" spans="1:9">
      <c r="A89" s="493" t="s">
        <v>829</v>
      </c>
      <c r="B89" s="454"/>
      <c r="C89" s="454"/>
      <c r="D89" s="450"/>
      <c r="E89" s="67"/>
      <c r="F89" s="286">
        <f>F88*1%</f>
        <v>1.85</v>
      </c>
      <c r="G89" s="71"/>
      <c r="H89" s="277"/>
      <c r="I89" s="277"/>
    </row>
    <row r="90" spans="1:9">
      <c r="A90" s="493" t="s">
        <v>30</v>
      </c>
      <c r="B90" s="454"/>
      <c r="C90" s="454"/>
      <c r="D90" s="450"/>
      <c r="E90" s="71"/>
      <c r="F90" s="286">
        <f>F88+F89</f>
        <v>186.85</v>
      </c>
      <c r="G90" s="71"/>
      <c r="H90" s="277"/>
      <c r="I90" s="277"/>
    </row>
    <row r="91" spans="1:9">
      <c r="A91" s="493" t="s">
        <v>836</v>
      </c>
      <c r="B91" s="454"/>
      <c r="C91" s="454"/>
      <c r="D91" s="450"/>
      <c r="E91" s="67"/>
      <c r="F91" s="286">
        <f>F90*15%</f>
        <v>28.0275</v>
      </c>
      <c r="G91" s="71"/>
      <c r="H91" s="277"/>
      <c r="I91" s="277"/>
    </row>
    <row r="92" spans="1:9">
      <c r="A92" s="493" t="s">
        <v>30</v>
      </c>
      <c r="B92" s="454"/>
      <c r="C92" s="454"/>
      <c r="D92" s="450"/>
      <c r="E92" s="71"/>
      <c r="F92" s="72">
        <f>ROUND(F90+F91,2)</f>
        <v>214.88</v>
      </c>
      <c r="G92" s="71"/>
      <c r="H92" s="277"/>
      <c r="I92" s="277"/>
    </row>
    <row r="93" spans="1:9">
      <c r="A93" s="490" t="s">
        <v>847</v>
      </c>
      <c r="B93" s="454"/>
      <c r="C93" s="454"/>
      <c r="D93" s="454"/>
      <c r="E93" s="454"/>
      <c r="F93" s="450"/>
      <c r="G93" s="68" t="s">
        <v>820</v>
      </c>
      <c r="H93" s="280"/>
      <c r="I93" s="280"/>
    </row>
    <row r="94" spans="1:9">
      <c r="A94" s="491">
        <v>9999</v>
      </c>
      <c r="B94" s="491"/>
      <c r="C94" s="484" t="s">
        <v>1655</v>
      </c>
      <c r="D94" s="454"/>
      <c r="E94" s="450"/>
      <c r="F94" s="485"/>
      <c r="G94" s="450"/>
      <c r="H94" s="277"/>
      <c r="I94" s="277"/>
    </row>
    <row r="95" spans="1:9">
      <c r="A95" s="457"/>
      <c r="B95" s="457"/>
      <c r="C95" s="66" t="s">
        <v>62</v>
      </c>
      <c r="D95" s="67">
        <v>2.73</v>
      </c>
      <c r="E95" s="67">
        <v>2.12</v>
      </c>
      <c r="F95" s="69">
        <f>D95*E95</f>
        <v>5.7876000000000003</v>
      </c>
      <c r="G95" s="66" t="s">
        <v>851</v>
      </c>
      <c r="H95" s="288"/>
      <c r="I95" s="288"/>
    </row>
    <row r="96" spans="1:9">
      <c r="A96" s="491">
        <v>9999</v>
      </c>
      <c r="B96" s="491"/>
      <c r="C96" s="484" t="s">
        <v>1628</v>
      </c>
      <c r="D96" s="454"/>
      <c r="E96" s="450"/>
      <c r="F96" s="485"/>
      <c r="G96" s="450"/>
      <c r="H96" s="277"/>
      <c r="I96" s="277"/>
    </row>
    <row r="97" spans="1:9">
      <c r="A97" s="457"/>
      <c r="B97" s="457"/>
      <c r="C97" s="66" t="s">
        <v>62</v>
      </c>
      <c r="D97" s="67">
        <v>10.79</v>
      </c>
      <c r="E97" s="67">
        <v>2.12</v>
      </c>
      <c r="F97" s="286">
        <f>D97*E97</f>
        <v>22.8748</v>
      </c>
      <c r="G97" s="66" t="s">
        <v>854</v>
      </c>
      <c r="H97" s="288"/>
      <c r="I97" s="288"/>
    </row>
    <row r="98" spans="1:9">
      <c r="A98" s="492" t="s">
        <v>1630</v>
      </c>
      <c r="B98" s="454"/>
      <c r="C98" s="450"/>
      <c r="D98" s="67">
        <v>1</v>
      </c>
      <c r="E98" s="70" t="s">
        <v>1107</v>
      </c>
      <c r="F98" s="286">
        <f>F95+F97</f>
        <v>28.662400000000002</v>
      </c>
      <c r="G98" s="289"/>
      <c r="H98" s="277"/>
      <c r="I98" s="277"/>
    </row>
    <row r="99" spans="1:9">
      <c r="A99" s="492" t="s">
        <v>826</v>
      </c>
      <c r="B99" s="454"/>
      <c r="C99" s="450"/>
      <c r="D99" s="67">
        <v>1</v>
      </c>
      <c r="E99" s="70" t="s">
        <v>1107</v>
      </c>
      <c r="F99" s="286">
        <f>F98/D98</f>
        <v>28.662400000000002</v>
      </c>
      <c r="G99" s="289"/>
      <c r="H99" s="277"/>
      <c r="I99" s="277"/>
    </row>
    <row r="100" spans="1:9">
      <c r="A100" s="493" t="s">
        <v>829</v>
      </c>
      <c r="B100" s="454"/>
      <c r="C100" s="454"/>
      <c r="D100" s="450"/>
      <c r="E100" s="67"/>
      <c r="F100" s="286">
        <f>F99*1%</f>
        <v>0.28662400000000005</v>
      </c>
      <c r="G100" s="289"/>
      <c r="H100" s="277"/>
      <c r="I100" s="277"/>
    </row>
    <row r="101" spans="1:9">
      <c r="A101" s="493" t="s">
        <v>30</v>
      </c>
      <c r="B101" s="454"/>
      <c r="C101" s="454"/>
      <c r="D101" s="450"/>
      <c r="E101" s="71"/>
      <c r="F101" s="286">
        <f>F99+F100</f>
        <v>28.949024000000001</v>
      </c>
      <c r="G101" s="289"/>
      <c r="H101" s="277"/>
      <c r="I101" s="277"/>
    </row>
    <row r="102" spans="1:9">
      <c r="A102" s="493" t="s">
        <v>836</v>
      </c>
      <c r="B102" s="454"/>
      <c r="C102" s="454"/>
      <c r="D102" s="450"/>
      <c r="E102" s="67"/>
      <c r="F102" s="286">
        <f>F101*15%</f>
        <v>4.3423536</v>
      </c>
      <c r="G102" s="289"/>
      <c r="H102" s="277"/>
      <c r="I102" s="277"/>
    </row>
    <row r="103" spans="1:9">
      <c r="A103" s="493" t="s">
        <v>30</v>
      </c>
      <c r="B103" s="454"/>
      <c r="C103" s="454"/>
      <c r="D103" s="450"/>
      <c r="E103" s="71"/>
      <c r="F103" s="72">
        <f>ROUND(F101+F102,2)</f>
        <v>33.29</v>
      </c>
      <c r="G103" s="71"/>
      <c r="H103" s="277"/>
      <c r="I103" s="277"/>
    </row>
    <row r="104" spans="1:9">
      <c r="A104" s="594" t="str">
        <f>CONCATENATE("Say ₹ ",F92," + ",F103," x Cost Index")</f>
        <v>Say ₹ 214.88 + 33.29 x Cost Index</v>
      </c>
      <c r="B104" s="454"/>
      <c r="C104" s="454"/>
      <c r="D104" s="454"/>
      <c r="E104" s="454"/>
      <c r="F104" s="454"/>
      <c r="G104" s="450"/>
      <c r="H104" s="229">
        <f>((F86*1.01*1.15))</f>
        <v>214.87749999999997</v>
      </c>
      <c r="I104" s="229">
        <f>((SUM(F95,F97)*1.01*1.15))</f>
        <v>33.291377599999997</v>
      </c>
    </row>
    <row r="105" spans="1:9">
      <c r="A105" s="486" t="s">
        <v>771</v>
      </c>
      <c r="B105" s="486" t="s">
        <v>776</v>
      </c>
      <c r="C105" s="487" t="s">
        <v>4</v>
      </c>
      <c r="D105" s="454"/>
      <c r="E105" s="450"/>
      <c r="F105" s="488" t="s">
        <v>785</v>
      </c>
      <c r="G105" s="450"/>
      <c r="H105" s="275"/>
      <c r="I105" s="275"/>
    </row>
    <row r="106" spans="1:9">
      <c r="A106" s="457"/>
      <c r="B106" s="457"/>
      <c r="C106" s="62" t="s">
        <v>5</v>
      </c>
      <c r="D106" s="62" t="s">
        <v>6</v>
      </c>
      <c r="E106" s="62" t="s">
        <v>336</v>
      </c>
      <c r="F106" s="63" t="s">
        <v>8</v>
      </c>
      <c r="G106" s="62" t="s">
        <v>789</v>
      </c>
      <c r="H106" s="275"/>
      <c r="I106" s="275"/>
    </row>
    <row r="107" spans="1:9">
      <c r="A107" s="589" t="s">
        <v>1707</v>
      </c>
      <c r="B107" s="454"/>
      <c r="C107" s="454"/>
      <c r="D107" s="454"/>
      <c r="E107" s="454"/>
      <c r="F107" s="454"/>
      <c r="G107" s="450"/>
      <c r="H107" s="276"/>
      <c r="I107" s="276"/>
    </row>
    <row r="108" spans="1:9">
      <c r="A108" s="290"/>
      <c r="B108" s="282" t="s">
        <v>795</v>
      </c>
      <c r="C108" s="282" t="s">
        <v>1107</v>
      </c>
      <c r="D108" s="282" t="s">
        <v>798</v>
      </c>
      <c r="E108" s="283">
        <v>1</v>
      </c>
      <c r="F108" s="590"/>
      <c r="G108" s="450"/>
      <c r="H108" s="281"/>
      <c r="I108" s="281"/>
    </row>
    <row r="109" spans="1:9">
      <c r="A109" s="282" t="s">
        <v>800</v>
      </c>
      <c r="B109" s="591" t="s">
        <v>1643</v>
      </c>
      <c r="C109" s="454"/>
      <c r="D109" s="454"/>
      <c r="E109" s="454"/>
      <c r="F109" s="454"/>
      <c r="G109" s="450"/>
      <c r="H109" s="291"/>
      <c r="I109" s="291"/>
    </row>
    <row r="110" spans="1:9">
      <c r="A110" s="592" t="s">
        <v>802</v>
      </c>
      <c r="B110" s="454"/>
      <c r="C110" s="454"/>
      <c r="D110" s="454"/>
      <c r="E110" s="454"/>
      <c r="F110" s="450"/>
      <c r="G110" s="292" t="s">
        <v>803</v>
      </c>
      <c r="H110" s="293"/>
      <c r="I110" s="293"/>
    </row>
    <row r="111" spans="1:9">
      <c r="A111" s="593"/>
      <c r="B111" s="593" t="s">
        <v>1710</v>
      </c>
      <c r="C111" s="591" t="s">
        <v>1711</v>
      </c>
      <c r="D111" s="454"/>
      <c r="E111" s="450"/>
      <c r="F111" s="590"/>
      <c r="G111" s="450"/>
      <c r="H111" s="281"/>
      <c r="I111" s="281"/>
    </row>
    <row r="112" spans="1:9">
      <c r="A112" s="457"/>
      <c r="B112" s="457"/>
      <c r="C112" s="282" t="s">
        <v>46</v>
      </c>
      <c r="D112" s="283">
        <v>1</v>
      </c>
      <c r="E112" s="283">
        <f t="array" ref="E112">IFERROR(INDEX(LMRRates,MATCH(B111,LMRCodes,0), ), )</f>
        <v>211</v>
      </c>
      <c r="F112" s="294">
        <f>D112*E112</f>
        <v>211</v>
      </c>
      <c r="G112" s="282" t="s">
        <v>808</v>
      </c>
      <c r="H112" s="285"/>
      <c r="I112" s="285"/>
    </row>
    <row r="113" spans="1:9">
      <c r="A113" s="492" t="s">
        <v>1105</v>
      </c>
      <c r="B113" s="454"/>
      <c r="C113" s="450"/>
      <c r="D113" s="67">
        <v>1</v>
      </c>
      <c r="E113" s="70" t="s">
        <v>1107</v>
      </c>
      <c r="F113" s="286">
        <f>F112</f>
        <v>211</v>
      </c>
      <c r="G113" s="71"/>
      <c r="H113" s="277"/>
      <c r="I113" s="277"/>
    </row>
    <row r="114" spans="1:9">
      <c r="A114" s="492" t="s">
        <v>826</v>
      </c>
      <c r="B114" s="454"/>
      <c r="C114" s="450"/>
      <c r="D114" s="67">
        <v>1</v>
      </c>
      <c r="E114" s="70" t="s">
        <v>1107</v>
      </c>
      <c r="F114" s="286">
        <f>F113/D113</f>
        <v>211</v>
      </c>
      <c r="G114" s="71"/>
      <c r="H114" s="277"/>
      <c r="I114" s="277"/>
    </row>
    <row r="115" spans="1:9">
      <c r="A115" s="493" t="s">
        <v>829</v>
      </c>
      <c r="B115" s="454"/>
      <c r="C115" s="454"/>
      <c r="D115" s="450"/>
      <c r="E115" s="67"/>
      <c r="F115" s="286">
        <f>F114*1%</f>
        <v>2.11</v>
      </c>
      <c r="G115" s="71"/>
      <c r="H115" s="277"/>
      <c r="I115" s="277"/>
    </row>
    <row r="116" spans="1:9">
      <c r="A116" s="493" t="s">
        <v>30</v>
      </c>
      <c r="B116" s="454"/>
      <c r="C116" s="454"/>
      <c r="D116" s="450"/>
      <c r="E116" s="71"/>
      <c r="F116" s="286">
        <f>F114+F115</f>
        <v>213.11</v>
      </c>
      <c r="G116" s="71"/>
      <c r="H116" s="277"/>
      <c r="I116" s="277"/>
    </row>
    <row r="117" spans="1:9">
      <c r="A117" s="493" t="s">
        <v>836</v>
      </c>
      <c r="B117" s="454"/>
      <c r="C117" s="454"/>
      <c r="D117" s="450"/>
      <c r="E117" s="67"/>
      <c r="F117" s="286">
        <f>F116*15%</f>
        <v>31.9665</v>
      </c>
      <c r="G117" s="71"/>
      <c r="H117" s="277"/>
      <c r="I117" s="277"/>
    </row>
    <row r="118" spans="1:9">
      <c r="A118" s="493" t="s">
        <v>30</v>
      </c>
      <c r="B118" s="454"/>
      <c r="C118" s="454"/>
      <c r="D118" s="450"/>
      <c r="E118" s="71"/>
      <c r="F118" s="72">
        <f>ROUND(F116+F117,2)</f>
        <v>245.08</v>
      </c>
      <c r="G118" s="71"/>
      <c r="H118" s="277"/>
      <c r="I118" s="277"/>
    </row>
    <row r="119" spans="1:9">
      <c r="A119" s="490" t="s">
        <v>847</v>
      </c>
      <c r="B119" s="454"/>
      <c r="C119" s="454"/>
      <c r="D119" s="454"/>
      <c r="E119" s="454"/>
      <c r="F119" s="450"/>
      <c r="G119" s="68" t="s">
        <v>820</v>
      </c>
      <c r="H119" s="280"/>
      <c r="I119" s="280"/>
    </row>
    <row r="120" spans="1:9">
      <c r="A120" s="491">
        <v>9999</v>
      </c>
      <c r="B120" s="491"/>
      <c r="C120" s="484" t="s">
        <v>1655</v>
      </c>
      <c r="D120" s="454"/>
      <c r="E120" s="450"/>
      <c r="F120" s="485"/>
      <c r="G120" s="450"/>
      <c r="H120" s="277"/>
      <c r="I120" s="277"/>
    </row>
    <row r="121" spans="1:9">
      <c r="A121" s="457"/>
      <c r="B121" s="457"/>
      <c r="C121" s="66" t="s">
        <v>62</v>
      </c>
      <c r="D121" s="67">
        <v>2.73</v>
      </c>
      <c r="E121" s="67">
        <v>2.12</v>
      </c>
      <c r="F121" s="69">
        <f>D121*E121</f>
        <v>5.7876000000000003</v>
      </c>
      <c r="G121" s="66" t="s">
        <v>851</v>
      </c>
      <c r="H121" s="288"/>
      <c r="I121" s="288"/>
    </row>
    <row r="122" spans="1:9">
      <c r="A122" s="491">
        <v>9999</v>
      </c>
      <c r="B122" s="491"/>
      <c r="C122" s="484" t="s">
        <v>1628</v>
      </c>
      <c r="D122" s="454"/>
      <c r="E122" s="450"/>
      <c r="F122" s="485"/>
      <c r="G122" s="450"/>
      <c r="H122" s="277"/>
      <c r="I122" s="277"/>
    </row>
    <row r="123" spans="1:9">
      <c r="A123" s="457"/>
      <c r="B123" s="457"/>
      <c r="C123" s="66" t="s">
        <v>62</v>
      </c>
      <c r="D123" s="67">
        <v>10.79</v>
      </c>
      <c r="E123" s="67">
        <v>2.12</v>
      </c>
      <c r="F123" s="69">
        <f>D123*E123</f>
        <v>22.8748</v>
      </c>
      <c r="G123" s="66" t="s">
        <v>854</v>
      </c>
      <c r="H123" s="288"/>
      <c r="I123" s="288"/>
    </row>
    <row r="124" spans="1:9">
      <c r="A124" s="492" t="s">
        <v>1630</v>
      </c>
      <c r="B124" s="454"/>
      <c r="C124" s="450"/>
      <c r="D124" s="67">
        <v>1</v>
      </c>
      <c r="E124" s="70" t="s">
        <v>1107</v>
      </c>
      <c r="F124" s="286">
        <f>F121+F123</f>
        <v>28.662400000000002</v>
      </c>
      <c r="G124" s="289"/>
      <c r="H124" s="277"/>
      <c r="I124" s="277"/>
    </row>
    <row r="125" spans="1:9">
      <c r="A125" s="492" t="s">
        <v>826</v>
      </c>
      <c r="B125" s="454"/>
      <c r="C125" s="450"/>
      <c r="D125" s="67">
        <v>1</v>
      </c>
      <c r="E125" s="70" t="s">
        <v>1107</v>
      </c>
      <c r="F125" s="286">
        <f>F124/D124</f>
        <v>28.662400000000002</v>
      </c>
      <c r="G125" s="289"/>
      <c r="H125" s="277"/>
      <c r="I125" s="277"/>
    </row>
    <row r="126" spans="1:9">
      <c r="A126" s="493" t="s">
        <v>829</v>
      </c>
      <c r="B126" s="454"/>
      <c r="C126" s="454"/>
      <c r="D126" s="450"/>
      <c r="E126" s="67"/>
      <c r="F126" s="286">
        <f>F125*1%</f>
        <v>0.28662400000000005</v>
      </c>
      <c r="G126" s="289"/>
      <c r="H126" s="277"/>
      <c r="I126" s="277"/>
    </row>
    <row r="127" spans="1:9">
      <c r="A127" s="493" t="s">
        <v>30</v>
      </c>
      <c r="B127" s="454"/>
      <c r="C127" s="454"/>
      <c r="D127" s="450"/>
      <c r="E127" s="71"/>
      <c r="F127" s="286">
        <f>F125+F126</f>
        <v>28.949024000000001</v>
      </c>
      <c r="G127" s="289"/>
      <c r="H127" s="277"/>
      <c r="I127" s="277"/>
    </row>
    <row r="128" spans="1:9">
      <c r="A128" s="493" t="s">
        <v>836</v>
      </c>
      <c r="B128" s="454"/>
      <c r="C128" s="454"/>
      <c r="D128" s="450"/>
      <c r="E128" s="67"/>
      <c r="F128" s="286">
        <f>F127*15%</f>
        <v>4.3423536</v>
      </c>
      <c r="G128" s="289"/>
      <c r="H128" s="277"/>
      <c r="I128" s="277"/>
    </row>
    <row r="129" spans="1:9">
      <c r="A129" s="493" t="s">
        <v>30</v>
      </c>
      <c r="B129" s="454"/>
      <c r="C129" s="454"/>
      <c r="D129" s="450"/>
      <c r="E129" s="71"/>
      <c r="F129" s="72">
        <f>ROUND(F127+F128,2)</f>
        <v>33.29</v>
      </c>
      <c r="G129" s="71"/>
      <c r="H129" s="277"/>
      <c r="I129" s="277"/>
    </row>
    <row r="130" spans="1:9">
      <c r="A130" s="594" t="str">
        <f>CONCATENATE("Say ₹ ",F118," + ",F129," x Cost Index")</f>
        <v>Say ₹ 245.08 + 33.29 x Cost Index</v>
      </c>
      <c r="B130" s="454"/>
      <c r="C130" s="454"/>
      <c r="D130" s="454"/>
      <c r="E130" s="454"/>
      <c r="F130" s="454"/>
      <c r="G130" s="450"/>
      <c r="H130" s="229">
        <f>((F112*1.01*1.15))</f>
        <v>245.07650000000001</v>
      </c>
      <c r="I130" s="229">
        <f>((SUM(F121,F123)*1.01*1.15))</f>
        <v>33.291377599999997</v>
      </c>
    </row>
    <row r="131" spans="1:9">
      <c r="A131" s="486" t="s">
        <v>771</v>
      </c>
      <c r="B131" s="486" t="s">
        <v>776</v>
      </c>
      <c r="C131" s="487" t="s">
        <v>4</v>
      </c>
      <c r="D131" s="454"/>
      <c r="E131" s="450"/>
      <c r="F131" s="488" t="s">
        <v>785</v>
      </c>
      <c r="G131" s="450"/>
      <c r="H131" s="275"/>
      <c r="I131" s="275"/>
    </row>
    <row r="132" spans="1:9">
      <c r="A132" s="457"/>
      <c r="B132" s="457"/>
      <c r="C132" s="62" t="s">
        <v>5</v>
      </c>
      <c r="D132" s="62" t="s">
        <v>6</v>
      </c>
      <c r="E132" s="62" t="s">
        <v>336</v>
      </c>
      <c r="F132" s="63" t="s">
        <v>8</v>
      </c>
      <c r="G132" s="62" t="s">
        <v>789</v>
      </c>
      <c r="H132" s="275"/>
      <c r="I132" s="275"/>
    </row>
    <row r="133" spans="1:9">
      <c r="A133" s="589" t="s">
        <v>1718</v>
      </c>
      <c r="B133" s="454"/>
      <c r="C133" s="454"/>
      <c r="D133" s="454"/>
      <c r="E133" s="454"/>
      <c r="F133" s="454"/>
      <c r="G133" s="450"/>
      <c r="H133" s="276"/>
      <c r="I133" s="276"/>
    </row>
    <row r="134" spans="1:9">
      <c r="A134" s="290"/>
      <c r="B134" s="282" t="s">
        <v>795</v>
      </c>
      <c r="C134" s="282" t="s">
        <v>1107</v>
      </c>
      <c r="D134" s="282" t="s">
        <v>798</v>
      </c>
      <c r="E134" s="283">
        <v>1</v>
      </c>
      <c r="F134" s="590"/>
      <c r="G134" s="450"/>
      <c r="H134" s="281"/>
      <c r="I134" s="281"/>
    </row>
    <row r="135" spans="1:9">
      <c r="A135" s="282" t="s">
        <v>800</v>
      </c>
      <c r="B135" s="591" t="s">
        <v>1643</v>
      </c>
      <c r="C135" s="454"/>
      <c r="D135" s="454"/>
      <c r="E135" s="454"/>
      <c r="F135" s="454"/>
      <c r="G135" s="450"/>
      <c r="H135" s="291"/>
      <c r="I135" s="291"/>
    </row>
    <row r="136" spans="1:9">
      <c r="A136" s="592" t="s">
        <v>802</v>
      </c>
      <c r="B136" s="454"/>
      <c r="C136" s="454"/>
      <c r="D136" s="454"/>
      <c r="E136" s="454"/>
      <c r="F136" s="450"/>
      <c r="G136" s="292" t="s">
        <v>803</v>
      </c>
      <c r="H136" s="293"/>
      <c r="I136" s="293"/>
    </row>
    <row r="137" spans="1:9">
      <c r="A137" s="593"/>
      <c r="B137" s="593" t="s">
        <v>1719</v>
      </c>
      <c r="C137" s="591" t="s">
        <v>1720</v>
      </c>
      <c r="D137" s="454"/>
      <c r="E137" s="450"/>
      <c r="F137" s="590"/>
      <c r="G137" s="450"/>
      <c r="H137" s="281"/>
      <c r="I137" s="281"/>
    </row>
    <row r="138" spans="1:9">
      <c r="A138" s="457"/>
      <c r="B138" s="457"/>
      <c r="C138" s="282" t="s">
        <v>46</v>
      </c>
      <c r="D138" s="283">
        <v>1</v>
      </c>
      <c r="E138" s="283">
        <f t="array" ref="E138">IFERROR(INDEX(LMRRates,MATCH(B137,LMRCodes,0), ), )</f>
        <v>340</v>
      </c>
      <c r="F138" s="294">
        <f>D138*E138</f>
        <v>340</v>
      </c>
      <c r="G138" s="282" t="s">
        <v>808</v>
      </c>
      <c r="H138" s="285"/>
      <c r="I138" s="285"/>
    </row>
    <row r="139" spans="1:9">
      <c r="A139" s="492" t="s">
        <v>1105</v>
      </c>
      <c r="B139" s="454"/>
      <c r="C139" s="450"/>
      <c r="D139" s="67">
        <v>1</v>
      </c>
      <c r="E139" s="70" t="s">
        <v>1107</v>
      </c>
      <c r="F139" s="286">
        <f>F138</f>
        <v>340</v>
      </c>
      <c r="G139" s="71"/>
      <c r="H139" s="277"/>
      <c r="I139" s="277"/>
    </row>
    <row r="140" spans="1:9">
      <c r="A140" s="492" t="s">
        <v>826</v>
      </c>
      <c r="B140" s="454"/>
      <c r="C140" s="450"/>
      <c r="D140" s="67">
        <v>1</v>
      </c>
      <c r="E140" s="70" t="s">
        <v>1107</v>
      </c>
      <c r="F140" s="286">
        <f>F139/D139</f>
        <v>340</v>
      </c>
      <c r="G140" s="71"/>
      <c r="H140" s="277"/>
      <c r="I140" s="277"/>
    </row>
    <row r="141" spans="1:9">
      <c r="A141" s="493" t="s">
        <v>829</v>
      </c>
      <c r="B141" s="454"/>
      <c r="C141" s="454"/>
      <c r="D141" s="450"/>
      <c r="E141" s="67"/>
      <c r="F141" s="286">
        <f>F140*1%</f>
        <v>3.4</v>
      </c>
      <c r="G141" s="71"/>
      <c r="H141" s="277"/>
      <c r="I141" s="277"/>
    </row>
    <row r="142" spans="1:9">
      <c r="A142" s="493" t="s">
        <v>30</v>
      </c>
      <c r="B142" s="454"/>
      <c r="C142" s="454"/>
      <c r="D142" s="450"/>
      <c r="E142" s="71"/>
      <c r="F142" s="286">
        <f>F140+F141</f>
        <v>343.4</v>
      </c>
      <c r="G142" s="71"/>
      <c r="H142" s="277"/>
      <c r="I142" s="277"/>
    </row>
    <row r="143" spans="1:9">
      <c r="A143" s="493" t="s">
        <v>836</v>
      </c>
      <c r="B143" s="454"/>
      <c r="C143" s="454"/>
      <c r="D143" s="450"/>
      <c r="E143" s="67"/>
      <c r="F143" s="286">
        <f>F142*15%</f>
        <v>51.51</v>
      </c>
      <c r="G143" s="71"/>
      <c r="H143" s="277"/>
      <c r="I143" s="277"/>
    </row>
    <row r="144" spans="1:9">
      <c r="A144" s="493" t="s">
        <v>30</v>
      </c>
      <c r="B144" s="454"/>
      <c r="C144" s="454"/>
      <c r="D144" s="450"/>
      <c r="E144" s="71"/>
      <c r="F144" s="72">
        <f>ROUND(F142+F143,2)</f>
        <v>394.91</v>
      </c>
      <c r="G144" s="71"/>
      <c r="H144" s="277"/>
      <c r="I144" s="277"/>
    </row>
    <row r="145" spans="1:9">
      <c r="A145" s="490" t="s">
        <v>847</v>
      </c>
      <c r="B145" s="454"/>
      <c r="C145" s="454"/>
      <c r="D145" s="454"/>
      <c r="E145" s="454"/>
      <c r="F145" s="450"/>
      <c r="G145" s="68" t="s">
        <v>820</v>
      </c>
      <c r="H145" s="280"/>
      <c r="I145" s="280"/>
    </row>
    <row r="146" spans="1:9">
      <c r="A146" s="491">
        <v>9999</v>
      </c>
      <c r="B146" s="491"/>
      <c r="C146" s="484" t="s">
        <v>1655</v>
      </c>
      <c r="D146" s="454"/>
      <c r="E146" s="450"/>
      <c r="F146" s="485"/>
      <c r="G146" s="450"/>
      <c r="H146" s="277"/>
      <c r="I146" s="277"/>
    </row>
    <row r="147" spans="1:9">
      <c r="A147" s="457"/>
      <c r="B147" s="457"/>
      <c r="C147" s="66" t="s">
        <v>62</v>
      </c>
      <c r="D147" s="67">
        <v>2.73</v>
      </c>
      <c r="E147" s="67">
        <v>2.12</v>
      </c>
      <c r="F147" s="69">
        <f>D147*E147</f>
        <v>5.7876000000000003</v>
      </c>
      <c r="G147" s="66" t="s">
        <v>851</v>
      </c>
      <c r="H147" s="288"/>
      <c r="I147" s="288"/>
    </row>
    <row r="148" spans="1:9">
      <c r="A148" s="491">
        <v>9999</v>
      </c>
      <c r="B148" s="491"/>
      <c r="C148" s="484" t="s">
        <v>1628</v>
      </c>
      <c r="D148" s="454"/>
      <c r="E148" s="450"/>
      <c r="F148" s="485"/>
      <c r="G148" s="450"/>
      <c r="H148" s="277"/>
      <c r="I148" s="277"/>
    </row>
    <row r="149" spans="1:9">
      <c r="A149" s="457"/>
      <c r="B149" s="457"/>
      <c r="C149" s="66" t="s">
        <v>62</v>
      </c>
      <c r="D149" s="67">
        <v>10.79</v>
      </c>
      <c r="E149" s="67">
        <v>2.12</v>
      </c>
      <c r="F149" s="69">
        <f>D149*E149</f>
        <v>22.8748</v>
      </c>
      <c r="G149" s="66" t="s">
        <v>854</v>
      </c>
      <c r="H149" s="288"/>
      <c r="I149" s="288"/>
    </row>
    <row r="150" spans="1:9">
      <c r="A150" s="492" t="s">
        <v>1630</v>
      </c>
      <c r="B150" s="454"/>
      <c r="C150" s="450"/>
      <c r="D150" s="67">
        <v>1</v>
      </c>
      <c r="E150" s="70" t="s">
        <v>1107</v>
      </c>
      <c r="F150" s="286">
        <f>F147+F149</f>
        <v>28.662400000000002</v>
      </c>
      <c r="G150" s="289"/>
      <c r="H150" s="277"/>
      <c r="I150" s="277"/>
    </row>
    <row r="151" spans="1:9">
      <c r="A151" s="492" t="s">
        <v>826</v>
      </c>
      <c r="B151" s="454"/>
      <c r="C151" s="450"/>
      <c r="D151" s="67">
        <v>1</v>
      </c>
      <c r="E151" s="70" t="s">
        <v>1107</v>
      </c>
      <c r="F151" s="286">
        <f>F150/D150</f>
        <v>28.662400000000002</v>
      </c>
      <c r="G151" s="289"/>
      <c r="H151" s="277"/>
      <c r="I151" s="277"/>
    </row>
    <row r="152" spans="1:9">
      <c r="A152" s="493" t="s">
        <v>829</v>
      </c>
      <c r="B152" s="454"/>
      <c r="C152" s="454"/>
      <c r="D152" s="450"/>
      <c r="E152" s="67"/>
      <c r="F152" s="286">
        <f>F151*1%</f>
        <v>0.28662400000000005</v>
      </c>
      <c r="G152" s="289"/>
      <c r="H152" s="277"/>
      <c r="I152" s="277"/>
    </row>
    <row r="153" spans="1:9">
      <c r="A153" s="493" t="s">
        <v>30</v>
      </c>
      <c r="B153" s="454"/>
      <c r="C153" s="454"/>
      <c r="D153" s="450"/>
      <c r="E153" s="71"/>
      <c r="F153" s="286">
        <f>F151+F152</f>
        <v>28.949024000000001</v>
      </c>
      <c r="G153" s="289"/>
      <c r="H153" s="277"/>
      <c r="I153" s="277"/>
    </row>
    <row r="154" spans="1:9">
      <c r="A154" s="493" t="s">
        <v>836</v>
      </c>
      <c r="B154" s="454"/>
      <c r="C154" s="454"/>
      <c r="D154" s="450"/>
      <c r="E154" s="67"/>
      <c r="F154" s="286">
        <f>F153*15%</f>
        <v>4.3423536</v>
      </c>
      <c r="G154" s="289"/>
      <c r="H154" s="277"/>
      <c r="I154" s="277"/>
    </row>
    <row r="155" spans="1:9">
      <c r="A155" s="493" t="s">
        <v>30</v>
      </c>
      <c r="B155" s="454"/>
      <c r="C155" s="454"/>
      <c r="D155" s="450"/>
      <c r="E155" s="71"/>
      <c r="F155" s="72">
        <f>ROUND(F153+F154,2)</f>
        <v>33.29</v>
      </c>
      <c r="G155" s="71"/>
      <c r="H155" s="277"/>
      <c r="I155" s="277"/>
    </row>
    <row r="156" spans="1:9">
      <c r="A156" s="594" t="str">
        <f>CONCATENATE("Say ₹ ",F144," + ",F155," x Cost Index")</f>
        <v>Say ₹ 394.91 + 33.29 x Cost Index</v>
      </c>
      <c r="B156" s="454"/>
      <c r="C156" s="454"/>
      <c r="D156" s="454"/>
      <c r="E156" s="454"/>
      <c r="F156" s="454"/>
      <c r="G156" s="450"/>
      <c r="H156" s="229">
        <f>((F138*1.01*1.15))</f>
        <v>394.90999999999997</v>
      </c>
      <c r="I156" s="229">
        <f>((SUM(F147,F149)*1.01*1.15))</f>
        <v>33.291377599999997</v>
      </c>
    </row>
    <row r="157" spans="1:9">
      <c r="A157" s="486" t="s">
        <v>771</v>
      </c>
      <c r="B157" s="486" t="s">
        <v>776</v>
      </c>
      <c r="C157" s="487" t="s">
        <v>4</v>
      </c>
      <c r="D157" s="454"/>
      <c r="E157" s="450"/>
      <c r="F157" s="488" t="s">
        <v>785</v>
      </c>
      <c r="G157" s="450"/>
      <c r="H157" s="275"/>
      <c r="I157" s="275"/>
    </row>
    <row r="158" spans="1:9">
      <c r="A158" s="457"/>
      <c r="B158" s="457"/>
      <c r="C158" s="62" t="s">
        <v>5</v>
      </c>
      <c r="D158" s="62" t="s">
        <v>6</v>
      </c>
      <c r="E158" s="62" t="s">
        <v>336</v>
      </c>
      <c r="F158" s="63" t="s">
        <v>8</v>
      </c>
      <c r="G158" s="62" t="s">
        <v>789</v>
      </c>
      <c r="H158" s="275"/>
      <c r="I158" s="275"/>
    </row>
    <row r="159" spans="1:9">
      <c r="A159" s="589" t="s">
        <v>1724</v>
      </c>
      <c r="B159" s="454"/>
      <c r="C159" s="454"/>
      <c r="D159" s="454"/>
      <c r="E159" s="454"/>
      <c r="F159" s="454"/>
      <c r="G159" s="450"/>
      <c r="H159" s="276"/>
      <c r="I159" s="276"/>
    </row>
    <row r="160" spans="1:9">
      <c r="A160" s="290"/>
      <c r="B160" s="282" t="s">
        <v>795</v>
      </c>
      <c r="C160" s="282" t="s">
        <v>1107</v>
      </c>
      <c r="D160" s="282" t="s">
        <v>798</v>
      </c>
      <c r="E160" s="283">
        <v>1</v>
      </c>
      <c r="F160" s="590"/>
      <c r="G160" s="450"/>
      <c r="H160" s="281"/>
      <c r="I160" s="281"/>
    </row>
    <row r="161" spans="1:9">
      <c r="A161" s="282" t="s">
        <v>800</v>
      </c>
      <c r="B161" s="591" t="s">
        <v>1643</v>
      </c>
      <c r="C161" s="454"/>
      <c r="D161" s="454"/>
      <c r="E161" s="454"/>
      <c r="F161" s="454"/>
      <c r="G161" s="450"/>
      <c r="H161" s="291"/>
      <c r="I161" s="291"/>
    </row>
    <row r="162" spans="1:9">
      <c r="A162" s="592" t="s">
        <v>802</v>
      </c>
      <c r="B162" s="454"/>
      <c r="C162" s="454"/>
      <c r="D162" s="454"/>
      <c r="E162" s="454"/>
      <c r="F162" s="450"/>
      <c r="G162" s="292" t="s">
        <v>803</v>
      </c>
      <c r="H162" s="293"/>
      <c r="I162" s="293"/>
    </row>
    <row r="163" spans="1:9">
      <c r="A163" s="593"/>
      <c r="B163" s="593" t="s">
        <v>1725</v>
      </c>
      <c r="C163" s="591" t="s">
        <v>1726</v>
      </c>
      <c r="D163" s="454"/>
      <c r="E163" s="450"/>
      <c r="F163" s="590"/>
      <c r="G163" s="450"/>
      <c r="H163" s="281"/>
      <c r="I163" s="281"/>
    </row>
    <row r="164" spans="1:9">
      <c r="A164" s="457"/>
      <c r="B164" s="457"/>
      <c r="C164" s="282" t="s">
        <v>46</v>
      </c>
      <c r="D164" s="283">
        <v>1</v>
      </c>
      <c r="E164" s="283">
        <f t="array" ref="E164">IFERROR(INDEX(LMRRates,MATCH(B163,LMRCodes,0), ), )</f>
        <v>893</v>
      </c>
      <c r="F164" s="294">
        <f>D164*E164</f>
        <v>893</v>
      </c>
      <c r="G164" s="282" t="s">
        <v>808</v>
      </c>
      <c r="H164" s="285"/>
      <c r="I164" s="285"/>
    </row>
    <row r="165" spans="1:9">
      <c r="A165" s="492" t="s">
        <v>1105</v>
      </c>
      <c r="B165" s="454"/>
      <c r="C165" s="450"/>
      <c r="D165" s="67">
        <v>1</v>
      </c>
      <c r="E165" s="70" t="s">
        <v>1107</v>
      </c>
      <c r="F165" s="286">
        <f>F164</f>
        <v>893</v>
      </c>
      <c r="G165" s="71"/>
      <c r="H165" s="277"/>
      <c r="I165" s="277"/>
    </row>
    <row r="166" spans="1:9">
      <c r="A166" s="492" t="s">
        <v>826</v>
      </c>
      <c r="B166" s="454"/>
      <c r="C166" s="450"/>
      <c r="D166" s="67">
        <v>1</v>
      </c>
      <c r="E166" s="70" t="s">
        <v>1107</v>
      </c>
      <c r="F166" s="286">
        <f>F165/D165</f>
        <v>893</v>
      </c>
      <c r="G166" s="71"/>
      <c r="H166" s="277"/>
      <c r="I166" s="277"/>
    </row>
    <row r="167" spans="1:9">
      <c r="A167" s="493" t="s">
        <v>829</v>
      </c>
      <c r="B167" s="454"/>
      <c r="C167" s="454"/>
      <c r="D167" s="450"/>
      <c r="E167" s="67"/>
      <c r="F167" s="286">
        <f>F166*1%</f>
        <v>8.93</v>
      </c>
      <c r="G167" s="71"/>
      <c r="H167" s="277"/>
      <c r="I167" s="277"/>
    </row>
    <row r="168" spans="1:9">
      <c r="A168" s="493" t="s">
        <v>30</v>
      </c>
      <c r="B168" s="454"/>
      <c r="C168" s="454"/>
      <c r="D168" s="450"/>
      <c r="E168" s="71"/>
      <c r="F168" s="286">
        <f>F166+F167</f>
        <v>901.93</v>
      </c>
      <c r="G168" s="71"/>
      <c r="H168" s="277"/>
      <c r="I168" s="277"/>
    </row>
    <row r="169" spans="1:9">
      <c r="A169" s="493" t="s">
        <v>836</v>
      </c>
      <c r="B169" s="454"/>
      <c r="C169" s="454"/>
      <c r="D169" s="450"/>
      <c r="E169" s="67"/>
      <c r="F169" s="286">
        <f>F168*15%</f>
        <v>135.28949999999998</v>
      </c>
      <c r="G169" s="71"/>
      <c r="H169" s="277"/>
      <c r="I169" s="277"/>
    </row>
    <row r="170" spans="1:9">
      <c r="A170" s="493" t="s">
        <v>30</v>
      </c>
      <c r="B170" s="454"/>
      <c r="C170" s="454"/>
      <c r="D170" s="450"/>
      <c r="E170" s="71"/>
      <c r="F170" s="72">
        <f>ROUND(F168+F169,2)</f>
        <v>1037.22</v>
      </c>
      <c r="G170" s="71"/>
      <c r="H170" s="277"/>
      <c r="I170" s="277"/>
    </row>
    <row r="171" spans="1:9">
      <c r="A171" s="490" t="s">
        <v>847</v>
      </c>
      <c r="B171" s="454"/>
      <c r="C171" s="454"/>
      <c r="D171" s="454"/>
      <c r="E171" s="454"/>
      <c r="F171" s="450"/>
      <c r="G171" s="68" t="s">
        <v>820</v>
      </c>
      <c r="H171" s="280"/>
      <c r="I171" s="280"/>
    </row>
    <row r="172" spans="1:9">
      <c r="A172" s="491">
        <v>9999</v>
      </c>
      <c r="B172" s="491"/>
      <c r="C172" s="484" t="s">
        <v>1655</v>
      </c>
      <c r="D172" s="454"/>
      <c r="E172" s="450"/>
      <c r="F172" s="485"/>
      <c r="G172" s="450"/>
      <c r="H172" s="277"/>
      <c r="I172" s="277"/>
    </row>
    <row r="173" spans="1:9">
      <c r="A173" s="457"/>
      <c r="B173" s="457"/>
      <c r="C173" s="66" t="s">
        <v>62</v>
      </c>
      <c r="D173" s="67">
        <v>2.73</v>
      </c>
      <c r="E173" s="67">
        <v>2.12</v>
      </c>
      <c r="F173" s="69">
        <f>D173*E173</f>
        <v>5.7876000000000003</v>
      </c>
      <c r="G173" s="66" t="s">
        <v>851</v>
      </c>
      <c r="H173" s="288"/>
      <c r="I173" s="288"/>
    </row>
    <row r="174" spans="1:9">
      <c r="A174" s="491">
        <v>9999</v>
      </c>
      <c r="B174" s="491"/>
      <c r="C174" s="484" t="s">
        <v>1628</v>
      </c>
      <c r="D174" s="454"/>
      <c r="E174" s="450"/>
      <c r="F174" s="485"/>
      <c r="G174" s="450"/>
      <c r="H174" s="277"/>
      <c r="I174" s="277"/>
    </row>
    <row r="175" spans="1:9">
      <c r="A175" s="457"/>
      <c r="B175" s="457"/>
      <c r="C175" s="66" t="s">
        <v>62</v>
      </c>
      <c r="D175" s="67">
        <v>10.79</v>
      </c>
      <c r="E175" s="67">
        <v>2.12</v>
      </c>
      <c r="F175" s="69">
        <f>D175*E175</f>
        <v>22.8748</v>
      </c>
      <c r="G175" s="66" t="s">
        <v>854</v>
      </c>
      <c r="H175" s="288"/>
      <c r="I175" s="288"/>
    </row>
    <row r="176" spans="1:9">
      <c r="A176" s="492" t="s">
        <v>1630</v>
      </c>
      <c r="B176" s="454"/>
      <c r="C176" s="450"/>
      <c r="D176" s="67">
        <v>1</v>
      </c>
      <c r="E176" s="70" t="s">
        <v>1107</v>
      </c>
      <c r="F176" s="286">
        <f>F173+F175</f>
        <v>28.662400000000002</v>
      </c>
      <c r="G176" s="289"/>
      <c r="H176" s="277"/>
      <c r="I176" s="277"/>
    </row>
    <row r="177" spans="1:9">
      <c r="A177" s="492" t="s">
        <v>826</v>
      </c>
      <c r="B177" s="454"/>
      <c r="C177" s="450"/>
      <c r="D177" s="67">
        <v>1</v>
      </c>
      <c r="E177" s="70" t="s">
        <v>1107</v>
      </c>
      <c r="F177" s="286">
        <f>F176/D176</f>
        <v>28.662400000000002</v>
      </c>
      <c r="G177" s="289"/>
      <c r="H177" s="277"/>
      <c r="I177" s="277"/>
    </row>
    <row r="178" spans="1:9">
      <c r="A178" s="493" t="s">
        <v>829</v>
      </c>
      <c r="B178" s="454"/>
      <c r="C178" s="454"/>
      <c r="D178" s="450"/>
      <c r="E178" s="67"/>
      <c r="F178" s="286">
        <f>F177*1%</f>
        <v>0.28662400000000005</v>
      </c>
      <c r="G178" s="289"/>
      <c r="H178" s="277"/>
      <c r="I178" s="277"/>
    </row>
    <row r="179" spans="1:9">
      <c r="A179" s="493" t="s">
        <v>30</v>
      </c>
      <c r="B179" s="454"/>
      <c r="C179" s="454"/>
      <c r="D179" s="450"/>
      <c r="E179" s="71"/>
      <c r="F179" s="286">
        <f>F177+F178</f>
        <v>28.949024000000001</v>
      </c>
      <c r="G179" s="289"/>
      <c r="H179" s="277"/>
      <c r="I179" s="277"/>
    </row>
    <row r="180" spans="1:9">
      <c r="A180" s="493" t="s">
        <v>836</v>
      </c>
      <c r="B180" s="454"/>
      <c r="C180" s="454"/>
      <c r="D180" s="450"/>
      <c r="E180" s="67"/>
      <c r="F180" s="286">
        <f>F179*15%</f>
        <v>4.3423536</v>
      </c>
      <c r="G180" s="289"/>
      <c r="H180" s="277"/>
      <c r="I180" s="277"/>
    </row>
    <row r="181" spans="1:9">
      <c r="A181" s="493" t="s">
        <v>30</v>
      </c>
      <c r="B181" s="454"/>
      <c r="C181" s="454"/>
      <c r="D181" s="450"/>
      <c r="E181" s="71"/>
      <c r="F181" s="72">
        <f>ROUND(F179+F180,2)</f>
        <v>33.29</v>
      </c>
      <c r="G181" s="71"/>
      <c r="H181" s="277"/>
      <c r="I181" s="277"/>
    </row>
    <row r="182" spans="1:9">
      <c r="A182" s="594" t="str">
        <f>CONCATENATE("Say ₹ ",F170," + ",F181," x Cost Index")</f>
        <v>Say ₹ 1037.22 + 33.29 x Cost Index</v>
      </c>
      <c r="B182" s="454"/>
      <c r="C182" s="454"/>
      <c r="D182" s="454"/>
      <c r="E182" s="454"/>
      <c r="F182" s="454"/>
      <c r="G182" s="450"/>
      <c r="H182" s="229">
        <f>((F164*1.01*1.15))</f>
        <v>1037.2194999999999</v>
      </c>
      <c r="I182" s="229">
        <f>((SUM(F173,F175)*1.01*1.15))</f>
        <v>33.291377599999997</v>
      </c>
    </row>
    <row r="183" spans="1:9">
      <c r="A183" s="486" t="s">
        <v>771</v>
      </c>
      <c r="B183" s="486" t="s">
        <v>776</v>
      </c>
      <c r="C183" s="487" t="s">
        <v>4</v>
      </c>
      <c r="D183" s="454"/>
      <c r="E183" s="450"/>
      <c r="F183" s="488" t="s">
        <v>785</v>
      </c>
      <c r="G183" s="450"/>
      <c r="H183" s="275"/>
      <c r="I183" s="275"/>
    </row>
    <row r="184" spans="1:9">
      <c r="A184" s="457"/>
      <c r="B184" s="457"/>
      <c r="C184" s="62" t="s">
        <v>5</v>
      </c>
      <c r="D184" s="62" t="s">
        <v>6</v>
      </c>
      <c r="E184" s="62" t="s">
        <v>336</v>
      </c>
      <c r="F184" s="63" t="s">
        <v>8</v>
      </c>
      <c r="G184" s="62" t="s">
        <v>789</v>
      </c>
      <c r="H184" s="275"/>
      <c r="I184" s="275"/>
    </row>
    <row r="185" spans="1:9">
      <c r="A185" s="589" t="s">
        <v>1735</v>
      </c>
      <c r="B185" s="454"/>
      <c r="C185" s="454"/>
      <c r="D185" s="454"/>
      <c r="E185" s="454"/>
      <c r="F185" s="454"/>
      <c r="G185" s="450"/>
      <c r="H185" s="276"/>
      <c r="I185" s="276"/>
    </row>
    <row r="186" spans="1:9">
      <c r="A186" s="290"/>
      <c r="B186" s="282" t="s">
        <v>795</v>
      </c>
      <c r="C186" s="282" t="s">
        <v>1107</v>
      </c>
      <c r="D186" s="282" t="s">
        <v>798</v>
      </c>
      <c r="E186" s="283">
        <v>1</v>
      </c>
      <c r="F186" s="590"/>
      <c r="G186" s="450"/>
      <c r="H186" s="281"/>
      <c r="I186" s="281"/>
    </row>
    <row r="187" spans="1:9">
      <c r="A187" s="282" t="s">
        <v>800</v>
      </c>
      <c r="B187" s="591" t="s">
        <v>1643</v>
      </c>
      <c r="C187" s="454"/>
      <c r="D187" s="454"/>
      <c r="E187" s="454"/>
      <c r="F187" s="454"/>
      <c r="G187" s="450"/>
      <c r="H187" s="291"/>
      <c r="I187" s="291"/>
    </row>
    <row r="188" spans="1:9">
      <c r="A188" s="592" t="s">
        <v>802</v>
      </c>
      <c r="B188" s="454"/>
      <c r="C188" s="454"/>
      <c r="D188" s="454"/>
      <c r="E188" s="454"/>
      <c r="F188" s="450"/>
      <c r="G188" s="292" t="s">
        <v>803</v>
      </c>
      <c r="H188" s="293"/>
      <c r="I188" s="293"/>
    </row>
    <row r="189" spans="1:9">
      <c r="A189" s="593"/>
      <c r="B189" s="593" t="s">
        <v>1737</v>
      </c>
      <c r="C189" s="591" t="s">
        <v>1738</v>
      </c>
      <c r="D189" s="454"/>
      <c r="E189" s="450"/>
      <c r="F189" s="590"/>
      <c r="G189" s="450"/>
      <c r="H189" s="281"/>
      <c r="I189" s="281"/>
    </row>
    <row r="190" spans="1:9">
      <c r="A190" s="457"/>
      <c r="B190" s="457"/>
      <c r="C190" s="282" t="s">
        <v>46</v>
      </c>
      <c r="D190" s="283">
        <v>1</v>
      </c>
      <c r="E190" s="283">
        <f t="array" ref="E190">IFERROR(INDEX(LMRRates,MATCH(B189,LMRCodes,0), ), )</f>
        <v>1000</v>
      </c>
      <c r="F190" s="294">
        <f>D190*E190</f>
        <v>1000</v>
      </c>
      <c r="G190" s="282" t="s">
        <v>808</v>
      </c>
      <c r="H190" s="285"/>
      <c r="I190" s="285"/>
    </row>
    <row r="191" spans="1:9">
      <c r="A191" s="492" t="s">
        <v>1105</v>
      </c>
      <c r="B191" s="454"/>
      <c r="C191" s="450"/>
      <c r="D191" s="67">
        <v>1</v>
      </c>
      <c r="E191" s="70" t="s">
        <v>1107</v>
      </c>
      <c r="F191" s="286">
        <f>F190</f>
        <v>1000</v>
      </c>
      <c r="G191" s="71"/>
      <c r="H191" s="277"/>
      <c r="I191" s="277"/>
    </row>
    <row r="192" spans="1:9">
      <c r="A192" s="492" t="s">
        <v>826</v>
      </c>
      <c r="B192" s="454"/>
      <c r="C192" s="450"/>
      <c r="D192" s="67">
        <v>1</v>
      </c>
      <c r="E192" s="70" t="s">
        <v>1107</v>
      </c>
      <c r="F192" s="286">
        <f>F191/D191</f>
        <v>1000</v>
      </c>
      <c r="G192" s="71"/>
      <c r="H192" s="277"/>
      <c r="I192" s="277"/>
    </row>
    <row r="193" spans="1:9">
      <c r="A193" s="493" t="s">
        <v>829</v>
      </c>
      <c r="B193" s="454"/>
      <c r="C193" s="454"/>
      <c r="D193" s="450"/>
      <c r="E193" s="67"/>
      <c r="F193" s="286">
        <f>F192*1%</f>
        <v>10</v>
      </c>
      <c r="G193" s="71"/>
      <c r="H193" s="277"/>
      <c r="I193" s="277"/>
    </row>
    <row r="194" spans="1:9">
      <c r="A194" s="493" t="s">
        <v>30</v>
      </c>
      <c r="B194" s="454"/>
      <c r="C194" s="454"/>
      <c r="D194" s="450"/>
      <c r="E194" s="71"/>
      <c r="F194" s="286">
        <f>F192+F193</f>
        <v>1010</v>
      </c>
      <c r="G194" s="71"/>
      <c r="H194" s="277"/>
      <c r="I194" s="277"/>
    </row>
    <row r="195" spans="1:9">
      <c r="A195" s="493" t="s">
        <v>836</v>
      </c>
      <c r="B195" s="454"/>
      <c r="C195" s="454"/>
      <c r="D195" s="450"/>
      <c r="E195" s="67"/>
      <c r="F195" s="286">
        <f>F194*15%</f>
        <v>151.5</v>
      </c>
      <c r="G195" s="71"/>
      <c r="H195" s="277"/>
      <c r="I195" s="277"/>
    </row>
    <row r="196" spans="1:9">
      <c r="A196" s="493" t="s">
        <v>30</v>
      </c>
      <c r="B196" s="454"/>
      <c r="C196" s="454"/>
      <c r="D196" s="450"/>
      <c r="E196" s="71"/>
      <c r="F196" s="72">
        <f>ROUND(F194+F195,2)</f>
        <v>1161.5</v>
      </c>
      <c r="G196" s="71"/>
      <c r="H196" s="277"/>
      <c r="I196" s="277"/>
    </row>
    <row r="197" spans="1:9">
      <c r="A197" s="490" t="s">
        <v>847</v>
      </c>
      <c r="B197" s="454"/>
      <c r="C197" s="454"/>
      <c r="D197" s="454"/>
      <c r="E197" s="454"/>
      <c r="F197" s="450"/>
      <c r="G197" s="68" t="s">
        <v>820</v>
      </c>
      <c r="H197" s="280"/>
      <c r="I197" s="280"/>
    </row>
    <row r="198" spans="1:9">
      <c r="A198" s="491">
        <v>9999</v>
      </c>
      <c r="B198" s="491"/>
      <c r="C198" s="484" t="s">
        <v>1655</v>
      </c>
      <c r="D198" s="454"/>
      <c r="E198" s="450"/>
      <c r="F198" s="485"/>
      <c r="G198" s="450"/>
      <c r="H198" s="277"/>
      <c r="I198" s="277"/>
    </row>
    <row r="199" spans="1:9">
      <c r="A199" s="457"/>
      <c r="B199" s="457"/>
      <c r="C199" s="66" t="s">
        <v>62</v>
      </c>
      <c r="D199" s="67">
        <v>2.73</v>
      </c>
      <c r="E199" s="67">
        <v>2.12</v>
      </c>
      <c r="F199" s="69">
        <f>D199*E199</f>
        <v>5.7876000000000003</v>
      </c>
      <c r="G199" s="66" t="s">
        <v>851</v>
      </c>
      <c r="H199" s="288"/>
      <c r="I199" s="288"/>
    </row>
    <row r="200" spans="1:9">
      <c r="A200" s="491">
        <v>9999</v>
      </c>
      <c r="B200" s="491"/>
      <c r="C200" s="484" t="s">
        <v>1628</v>
      </c>
      <c r="D200" s="454"/>
      <c r="E200" s="450"/>
      <c r="F200" s="485"/>
      <c r="G200" s="450"/>
      <c r="H200" s="277"/>
      <c r="I200" s="277"/>
    </row>
    <row r="201" spans="1:9">
      <c r="A201" s="457"/>
      <c r="B201" s="457"/>
      <c r="C201" s="66" t="s">
        <v>62</v>
      </c>
      <c r="D201" s="67">
        <v>10.79</v>
      </c>
      <c r="E201" s="67">
        <v>2.12</v>
      </c>
      <c r="F201" s="69">
        <f>D201*E201</f>
        <v>22.8748</v>
      </c>
      <c r="G201" s="66" t="s">
        <v>854</v>
      </c>
      <c r="H201" s="288"/>
      <c r="I201" s="288"/>
    </row>
    <row r="202" spans="1:9">
      <c r="A202" s="492" t="s">
        <v>1630</v>
      </c>
      <c r="B202" s="454"/>
      <c r="C202" s="450"/>
      <c r="D202" s="67">
        <v>1</v>
      </c>
      <c r="E202" s="70" t="s">
        <v>1107</v>
      </c>
      <c r="F202" s="286">
        <f>F199+F201</f>
        <v>28.662400000000002</v>
      </c>
      <c r="G202" s="289"/>
      <c r="H202" s="277"/>
      <c r="I202" s="277"/>
    </row>
    <row r="203" spans="1:9">
      <c r="A203" s="492" t="s">
        <v>826</v>
      </c>
      <c r="B203" s="454"/>
      <c r="C203" s="450"/>
      <c r="D203" s="67">
        <v>1</v>
      </c>
      <c r="E203" s="70" t="s">
        <v>1107</v>
      </c>
      <c r="F203" s="286">
        <f>F202/D202</f>
        <v>28.662400000000002</v>
      </c>
      <c r="G203" s="289"/>
      <c r="H203" s="277"/>
      <c r="I203" s="277"/>
    </row>
    <row r="204" spans="1:9">
      <c r="A204" s="493" t="s">
        <v>829</v>
      </c>
      <c r="B204" s="454"/>
      <c r="C204" s="454"/>
      <c r="D204" s="450"/>
      <c r="E204" s="67"/>
      <c r="F204" s="286">
        <f>F203*1%</f>
        <v>0.28662400000000005</v>
      </c>
      <c r="G204" s="289"/>
      <c r="H204" s="277"/>
      <c r="I204" s="277"/>
    </row>
    <row r="205" spans="1:9">
      <c r="A205" s="493" t="s">
        <v>30</v>
      </c>
      <c r="B205" s="454"/>
      <c r="C205" s="454"/>
      <c r="D205" s="450"/>
      <c r="E205" s="71"/>
      <c r="F205" s="286">
        <f>F203+F204</f>
        <v>28.949024000000001</v>
      </c>
      <c r="G205" s="289"/>
      <c r="H205" s="277"/>
      <c r="I205" s="277"/>
    </row>
    <row r="206" spans="1:9">
      <c r="A206" s="493" t="s">
        <v>836</v>
      </c>
      <c r="B206" s="454"/>
      <c r="C206" s="454"/>
      <c r="D206" s="450"/>
      <c r="E206" s="67"/>
      <c r="F206" s="286">
        <f>F205*15%</f>
        <v>4.3423536</v>
      </c>
      <c r="G206" s="289"/>
      <c r="H206" s="277"/>
      <c r="I206" s="277"/>
    </row>
    <row r="207" spans="1:9">
      <c r="A207" s="493" t="s">
        <v>30</v>
      </c>
      <c r="B207" s="454"/>
      <c r="C207" s="454"/>
      <c r="D207" s="450"/>
      <c r="E207" s="71"/>
      <c r="F207" s="72">
        <f>ROUND(F205+F206,2)</f>
        <v>33.29</v>
      </c>
      <c r="G207" s="71"/>
      <c r="H207" s="277"/>
      <c r="I207" s="277"/>
    </row>
    <row r="208" spans="1:9">
      <c r="A208" s="594" t="str">
        <f>CONCATENATE("Say ₹ ",F196," + ",F207," x Cost Index")</f>
        <v>Say ₹ 1161.5 + 33.29 x Cost Index</v>
      </c>
      <c r="B208" s="454"/>
      <c r="C208" s="454"/>
      <c r="D208" s="454"/>
      <c r="E208" s="454"/>
      <c r="F208" s="454"/>
      <c r="G208" s="450"/>
      <c r="H208" s="229">
        <f>((F190*1.01*1.15))</f>
        <v>1161.5</v>
      </c>
      <c r="I208" s="229">
        <f>((SUM(F199,F201)*1.01*1.15))</f>
        <v>33.291377599999997</v>
      </c>
    </row>
    <row r="209" spans="1:9">
      <c r="A209" s="595" t="s">
        <v>771</v>
      </c>
      <c r="B209" s="595" t="s">
        <v>776</v>
      </c>
      <c r="C209" s="596" t="s">
        <v>4</v>
      </c>
      <c r="D209" s="454"/>
      <c r="E209" s="450"/>
      <c r="F209" s="596" t="s">
        <v>785</v>
      </c>
      <c r="G209" s="450"/>
      <c r="H209" s="308"/>
      <c r="I209" s="308"/>
    </row>
    <row r="210" spans="1:9">
      <c r="A210" s="457"/>
      <c r="B210" s="457"/>
      <c r="C210" s="309" t="s">
        <v>5</v>
      </c>
      <c r="D210" s="309" t="s">
        <v>6</v>
      </c>
      <c r="E210" s="309" t="s">
        <v>336</v>
      </c>
      <c r="F210" s="309" t="s">
        <v>8</v>
      </c>
      <c r="G210" s="309" t="s">
        <v>789</v>
      </c>
      <c r="H210" s="308"/>
      <c r="I210" s="308"/>
    </row>
    <row r="211" spans="1:9">
      <c r="A211" s="597" t="s">
        <v>1743</v>
      </c>
      <c r="B211" s="454"/>
      <c r="C211" s="454"/>
      <c r="D211" s="454"/>
      <c r="E211" s="454"/>
      <c r="F211" s="454"/>
      <c r="G211" s="450"/>
      <c r="H211" s="308"/>
      <c r="I211" s="308"/>
    </row>
    <row r="212" spans="1:9">
      <c r="A212" s="310"/>
      <c r="B212" s="311" t="s">
        <v>795</v>
      </c>
      <c r="C212" s="311" t="s">
        <v>1107</v>
      </c>
      <c r="D212" s="311" t="s">
        <v>798</v>
      </c>
      <c r="E212" s="312">
        <v>1</v>
      </c>
      <c r="F212" s="598"/>
      <c r="G212" s="450"/>
      <c r="H212" s="308"/>
      <c r="I212" s="308"/>
    </row>
    <row r="213" spans="1:9">
      <c r="A213" s="311" t="s">
        <v>800</v>
      </c>
      <c r="B213" s="599" t="s">
        <v>1609</v>
      </c>
      <c r="C213" s="454"/>
      <c r="D213" s="454"/>
      <c r="E213" s="454"/>
      <c r="F213" s="454"/>
      <c r="G213" s="450"/>
      <c r="H213" s="308"/>
      <c r="I213" s="308"/>
    </row>
    <row r="214" spans="1:9">
      <c r="A214" s="600" t="s">
        <v>802</v>
      </c>
      <c r="B214" s="454"/>
      <c r="C214" s="454"/>
      <c r="D214" s="454"/>
      <c r="E214" s="454"/>
      <c r="F214" s="450"/>
      <c r="G214" s="313" t="s">
        <v>803</v>
      </c>
      <c r="H214" s="308"/>
      <c r="I214" s="308"/>
    </row>
    <row r="215" spans="1:9">
      <c r="A215" s="601"/>
      <c r="B215" s="491" t="s">
        <v>1155</v>
      </c>
      <c r="C215" s="599" t="s">
        <v>1744</v>
      </c>
      <c r="D215" s="454"/>
      <c r="E215" s="450"/>
      <c r="F215" s="598"/>
      <c r="G215" s="450"/>
      <c r="H215" s="308"/>
      <c r="I215" s="308"/>
    </row>
    <row r="216" spans="1:9">
      <c r="A216" s="457"/>
      <c r="B216" s="457"/>
      <c r="C216" s="311" t="s">
        <v>46</v>
      </c>
      <c r="D216" s="312">
        <v>1</v>
      </c>
      <c r="E216" s="314">
        <v>62</v>
      </c>
      <c r="F216" s="312">
        <f>D216*E216</f>
        <v>62</v>
      </c>
      <c r="G216" s="311" t="s">
        <v>808</v>
      </c>
      <c r="H216" s="308"/>
      <c r="I216" s="308"/>
    </row>
    <row r="217" spans="1:9">
      <c r="A217" s="602" t="s">
        <v>1105</v>
      </c>
      <c r="B217" s="454"/>
      <c r="C217" s="450"/>
      <c r="D217" s="312">
        <v>1</v>
      </c>
      <c r="E217" s="315" t="s">
        <v>1107</v>
      </c>
      <c r="F217" s="312">
        <f>F216</f>
        <v>62</v>
      </c>
      <c r="G217" s="310"/>
      <c r="H217" s="308"/>
      <c r="I217" s="308"/>
    </row>
    <row r="218" spans="1:9">
      <c r="A218" s="602" t="s">
        <v>826</v>
      </c>
      <c r="B218" s="454"/>
      <c r="C218" s="450"/>
      <c r="D218" s="312">
        <v>1</v>
      </c>
      <c r="E218" s="315" t="s">
        <v>1107</v>
      </c>
      <c r="F218" s="312">
        <f>F217/D217</f>
        <v>62</v>
      </c>
      <c r="G218" s="310"/>
      <c r="H218" s="308"/>
      <c r="I218" s="308"/>
    </row>
    <row r="219" spans="1:9">
      <c r="A219" s="603" t="s">
        <v>829</v>
      </c>
      <c r="B219" s="454"/>
      <c r="C219" s="454"/>
      <c r="D219" s="450"/>
      <c r="E219" s="310"/>
      <c r="F219" s="312">
        <f>F218*1%</f>
        <v>0.62</v>
      </c>
      <c r="G219" s="310"/>
      <c r="H219" s="308"/>
      <c r="I219" s="308"/>
    </row>
    <row r="220" spans="1:9">
      <c r="A220" s="603" t="s">
        <v>30</v>
      </c>
      <c r="B220" s="454"/>
      <c r="C220" s="454"/>
      <c r="D220" s="450"/>
      <c r="E220" s="310"/>
      <c r="F220" s="312">
        <f>F219+F218</f>
        <v>62.62</v>
      </c>
      <c r="G220" s="310"/>
      <c r="H220" s="308"/>
      <c r="I220" s="308"/>
    </row>
    <row r="221" spans="1:9">
      <c r="A221" s="603" t="s">
        <v>836</v>
      </c>
      <c r="B221" s="454"/>
      <c r="C221" s="454"/>
      <c r="D221" s="450"/>
      <c r="E221" s="310"/>
      <c r="F221" s="312">
        <f>F220*15%</f>
        <v>9.3929999999999989</v>
      </c>
      <c r="G221" s="310"/>
      <c r="H221" s="308"/>
      <c r="I221" s="308"/>
    </row>
    <row r="222" spans="1:9">
      <c r="A222" s="603" t="s">
        <v>30</v>
      </c>
      <c r="B222" s="454"/>
      <c r="C222" s="454"/>
      <c r="D222" s="450"/>
      <c r="E222" s="310"/>
      <c r="F222" s="316">
        <f>ROUND(F221+F220,2)</f>
        <v>72.010000000000005</v>
      </c>
      <c r="G222" s="310"/>
      <c r="H222" s="308"/>
      <c r="I222" s="308"/>
    </row>
    <row r="223" spans="1:9">
      <c r="A223" s="600" t="s">
        <v>847</v>
      </c>
      <c r="B223" s="454"/>
      <c r="C223" s="454"/>
      <c r="D223" s="454"/>
      <c r="E223" s="454"/>
      <c r="F223" s="450"/>
      <c r="G223" s="313" t="s">
        <v>820</v>
      </c>
      <c r="H223" s="308"/>
      <c r="I223" s="308"/>
    </row>
    <row r="224" spans="1:9">
      <c r="A224" s="605">
        <v>9999</v>
      </c>
      <c r="B224" s="601"/>
      <c r="C224" s="599" t="s">
        <v>1624</v>
      </c>
      <c r="D224" s="454"/>
      <c r="E224" s="450"/>
      <c r="F224" s="598"/>
      <c r="G224" s="450"/>
      <c r="H224" s="308"/>
      <c r="I224" s="308"/>
    </row>
    <row r="225" spans="1:9">
      <c r="A225" s="457"/>
      <c r="B225" s="457"/>
      <c r="C225" s="311" t="s">
        <v>62</v>
      </c>
      <c r="D225" s="312">
        <v>2.73</v>
      </c>
      <c r="E225" s="312">
        <v>2.12</v>
      </c>
      <c r="F225" s="312">
        <f>E225*D225</f>
        <v>5.7876000000000003</v>
      </c>
      <c r="G225" s="311" t="s">
        <v>851</v>
      </c>
      <c r="H225" s="308"/>
      <c r="I225" s="308"/>
    </row>
    <row r="226" spans="1:9">
      <c r="A226" s="605">
        <v>9999</v>
      </c>
      <c r="B226" s="601"/>
      <c r="C226" s="599" t="s">
        <v>1628</v>
      </c>
      <c r="D226" s="454"/>
      <c r="E226" s="450"/>
      <c r="F226" s="598"/>
      <c r="G226" s="450"/>
      <c r="H226" s="308"/>
      <c r="I226" s="308"/>
    </row>
    <row r="227" spans="1:9">
      <c r="A227" s="457"/>
      <c r="B227" s="457"/>
      <c r="C227" s="311" t="s">
        <v>62</v>
      </c>
      <c r="D227" s="312">
        <v>10.79</v>
      </c>
      <c r="E227" s="312">
        <v>2.12</v>
      </c>
      <c r="F227" s="312">
        <f>D227*E227</f>
        <v>22.8748</v>
      </c>
      <c r="G227" s="311" t="s">
        <v>854</v>
      </c>
      <c r="H227" s="308"/>
      <c r="I227" s="308"/>
    </row>
    <row r="228" spans="1:9">
      <c r="A228" s="602" t="s">
        <v>1630</v>
      </c>
      <c r="B228" s="454"/>
      <c r="C228" s="450"/>
      <c r="D228" s="312">
        <v>1</v>
      </c>
      <c r="E228" s="315" t="s">
        <v>1107</v>
      </c>
      <c r="F228" s="312">
        <f>F227+F225</f>
        <v>28.662400000000002</v>
      </c>
      <c r="G228" s="310"/>
      <c r="H228" s="308"/>
      <c r="I228" s="308"/>
    </row>
    <row r="229" spans="1:9">
      <c r="A229" s="602" t="s">
        <v>826</v>
      </c>
      <c r="B229" s="454"/>
      <c r="C229" s="450"/>
      <c r="D229" s="312">
        <v>1</v>
      </c>
      <c r="E229" s="315" t="s">
        <v>1107</v>
      </c>
      <c r="F229" s="312">
        <f>F228/D228</f>
        <v>28.662400000000002</v>
      </c>
      <c r="G229" s="310"/>
      <c r="H229" s="308"/>
      <c r="I229" s="308"/>
    </row>
    <row r="230" spans="1:9">
      <c r="A230" s="603" t="s">
        <v>829</v>
      </c>
      <c r="B230" s="454"/>
      <c r="C230" s="454"/>
      <c r="D230" s="450"/>
      <c r="E230" s="310"/>
      <c r="F230" s="312">
        <f>F229*1%</f>
        <v>0.28662400000000005</v>
      </c>
      <c r="G230" s="310"/>
      <c r="H230" s="308"/>
      <c r="I230" s="308"/>
    </row>
    <row r="231" spans="1:9">
      <c r="A231" s="603" t="s">
        <v>30</v>
      </c>
      <c r="B231" s="454"/>
      <c r="C231" s="454"/>
      <c r="D231" s="450"/>
      <c r="E231" s="310"/>
      <c r="F231" s="312">
        <f>F230+F229</f>
        <v>28.949024000000001</v>
      </c>
      <c r="G231" s="310"/>
      <c r="H231" s="308"/>
      <c r="I231" s="308"/>
    </row>
    <row r="232" spans="1:9">
      <c r="A232" s="603" t="s">
        <v>836</v>
      </c>
      <c r="B232" s="454"/>
      <c r="C232" s="454"/>
      <c r="D232" s="450"/>
      <c r="E232" s="310"/>
      <c r="F232" s="312">
        <f>F231*15%</f>
        <v>4.3423536</v>
      </c>
      <c r="G232" s="310"/>
      <c r="H232" s="308"/>
      <c r="I232" s="308"/>
    </row>
    <row r="233" spans="1:9">
      <c r="A233" s="603" t="s">
        <v>30</v>
      </c>
      <c r="B233" s="454"/>
      <c r="C233" s="454"/>
      <c r="D233" s="450"/>
      <c r="E233" s="310"/>
      <c r="F233" s="316">
        <f>ROUND(F232+F231,2)</f>
        <v>33.29</v>
      </c>
      <c r="G233" s="310"/>
      <c r="H233" s="308"/>
      <c r="I233" s="308"/>
    </row>
    <row r="234" spans="1:9">
      <c r="A234" s="604" t="str">
        <f>CONCATENATE("Say ₹ ",F222," + ",F233," x Cost Index")</f>
        <v>Say ₹ 72.01 + 33.29 x Cost Index</v>
      </c>
      <c r="B234" s="454"/>
      <c r="C234" s="454"/>
      <c r="D234" s="454"/>
      <c r="E234" s="454"/>
      <c r="F234" s="454"/>
      <c r="G234" s="450"/>
      <c r="H234" s="317">
        <f>((F216*1.01*1.15))</f>
        <v>72.012999999999991</v>
      </c>
      <c r="I234" s="317">
        <f>((SUM(F225,F227)*1.01*1.15))</f>
        <v>33.291377599999997</v>
      </c>
    </row>
  </sheetData>
  <mergeCells count="306">
    <mergeCell ref="A124:C124"/>
    <mergeCell ref="A125:C125"/>
    <mergeCell ref="A126:D126"/>
    <mergeCell ref="C137:E137"/>
    <mergeCell ref="F137:G137"/>
    <mergeCell ref="C146:E146"/>
    <mergeCell ref="F146:G146"/>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31:A132"/>
    <mergeCell ref="B131:B132"/>
    <mergeCell ref="F131:G131"/>
    <mergeCell ref="C131:E131"/>
    <mergeCell ref="A133:G133"/>
    <mergeCell ref="F134:G134"/>
    <mergeCell ref="B135:G135"/>
    <mergeCell ref="A136:F136"/>
    <mergeCell ref="A137:A138"/>
    <mergeCell ref="B137:B138"/>
    <mergeCell ref="A98:C98"/>
    <mergeCell ref="A99:C99"/>
    <mergeCell ref="A100:D100"/>
    <mergeCell ref="C111:E111"/>
    <mergeCell ref="F111:G111"/>
    <mergeCell ref="A127:D127"/>
    <mergeCell ref="A128:D128"/>
    <mergeCell ref="A129:D129"/>
    <mergeCell ref="A130:G130"/>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C85:E85"/>
    <mergeCell ref="F85:G85"/>
    <mergeCell ref="C79:E79"/>
    <mergeCell ref="A81:G81"/>
    <mergeCell ref="F82:G82"/>
    <mergeCell ref="B83:G83"/>
    <mergeCell ref="A84:F84"/>
    <mergeCell ref="A85:A86"/>
    <mergeCell ref="B85:B86"/>
    <mergeCell ref="A72:C72"/>
    <mergeCell ref="A73:C73"/>
    <mergeCell ref="A74:D74"/>
    <mergeCell ref="A75:D75"/>
    <mergeCell ref="A76:D76"/>
    <mergeCell ref="A77:D77"/>
    <mergeCell ref="A78:G78"/>
    <mergeCell ref="A79:A80"/>
    <mergeCell ref="B79:B80"/>
    <mergeCell ref="F79:G79"/>
    <mergeCell ref="A53:A54"/>
    <mergeCell ref="C59:E59"/>
    <mergeCell ref="F59:G59"/>
    <mergeCell ref="C68:E68"/>
    <mergeCell ref="F68:G68"/>
    <mergeCell ref="C70:E70"/>
    <mergeCell ref="F70:G70"/>
    <mergeCell ref="A68:A69"/>
    <mergeCell ref="B68:B69"/>
    <mergeCell ref="A70:A71"/>
    <mergeCell ref="B70:B71"/>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B57:G57"/>
    <mergeCell ref="A58:F58"/>
    <mergeCell ref="A59:A60"/>
    <mergeCell ref="B59:B60"/>
    <mergeCell ref="A61:C61"/>
    <mergeCell ref="A62:C62"/>
    <mergeCell ref="A63:D63"/>
    <mergeCell ref="A64:D64"/>
    <mergeCell ref="A65:D65"/>
    <mergeCell ref="A18:A19"/>
    <mergeCell ref="B18:B19"/>
    <mergeCell ref="C18:E18"/>
    <mergeCell ref="F18:G18"/>
    <mergeCell ref="A20:C20"/>
    <mergeCell ref="A21:C21"/>
    <mergeCell ref="A22:D22"/>
    <mergeCell ref="C33:E33"/>
    <mergeCell ref="F33:G33"/>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42:E42"/>
    <mergeCell ref="F42:G42"/>
    <mergeCell ref="F53:G53"/>
    <mergeCell ref="A55:G55"/>
    <mergeCell ref="F56:G56"/>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31:D231"/>
    <mergeCell ref="A232:D232"/>
    <mergeCell ref="A233:D233"/>
    <mergeCell ref="A234:G234"/>
    <mergeCell ref="A224:A225"/>
    <mergeCell ref="B224:B225"/>
    <mergeCell ref="A226:A227"/>
    <mergeCell ref="B226:B227"/>
    <mergeCell ref="A228:C228"/>
    <mergeCell ref="A229:C229"/>
    <mergeCell ref="A230:D230"/>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176:C176"/>
    <mergeCell ref="A177:C177"/>
    <mergeCell ref="A178:D178"/>
    <mergeCell ref="A205:D205"/>
    <mergeCell ref="A206:D206"/>
    <mergeCell ref="A207:D207"/>
    <mergeCell ref="A208:G208"/>
    <mergeCell ref="A209:A210"/>
    <mergeCell ref="B209:B210"/>
    <mergeCell ref="F209:G209"/>
    <mergeCell ref="C209:E209"/>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F157:G157"/>
    <mergeCell ref="A159:G159"/>
    <mergeCell ref="F160:G160"/>
    <mergeCell ref="B161:G161"/>
    <mergeCell ref="A162:F162"/>
    <mergeCell ref="A163:A164"/>
    <mergeCell ref="B163:B164"/>
    <mergeCell ref="A165:C165"/>
    <mergeCell ref="A166:C166"/>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728"/>
  <sheetViews>
    <sheetView workbookViewId="0"/>
  </sheetViews>
  <sheetFormatPr defaultColWidth="14.453125" defaultRowHeight="15" customHeight="1"/>
  <cols>
    <col min="8" max="9" width="14.453125" hidden="1"/>
  </cols>
  <sheetData>
    <row r="1" spans="1:9">
      <c r="A1" s="486" t="s">
        <v>771</v>
      </c>
      <c r="B1" s="486" t="s">
        <v>776</v>
      </c>
      <c r="C1" s="487" t="s">
        <v>4</v>
      </c>
      <c r="D1" s="454"/>
      <c r="E1" s="450"/>
      <c r="F1" s="487" t="s">
        <v>785</v>
      </c>
      <c r="G1" s="450"/>
      <c r="H1" s="296"/>
      <c r="I1" s="296"/>
    </row>
    <row r="2" spans="1:9">
      <c r="A2" s="457"/>
      <c r="B2" s="457"/>
      <c r="C2" s="62" t="s">
        <v>5</v>
      </c>
      <c r="D2" s="62" t="s">
        <v>6</v>
      </c>
      <c r="E2" s="62" t="s">
        <v>336</v>
      </c>
      <c r="F2" s="62" t="s">
        <v>8</v>
      </c>
      <c r="G2" s="62" t="s">
        <v>789</v>
      </c>
      <c r="H2" s="296"/>
      <c r="I2" s="296"/>
    </row>
    <row r="3" spans="1:9">
      <c r="A3" s="608" t="s">
        <v>1667</v>
      </c>
      <c r="B3" s="454"/>
      <c r="C3" s="454"/>
      <c r="D3" s="454"/>
      <c r="E3" s="454"/>
      <c r="F3" s="454"/>
      <c r="G3" s="450"/>
      <c r="H3" s="296"/>
      <c r="I3" s="296"/>
    </row>
    <row r="4" spans="1:9">
      <c r="A4" s="65"/>
      <c r="B4" s="66" t="s">
        <v>795</v>
      </c>
      <c r="C4" s="66" t="s">
        <v>1107</v>
      </c>
      <c r="D4" s="66" t="s">
        <v>798</v>
      </c>
      <c r="E4" s="67">
        <v>1</v>
      </c>
      <c r="F4" s="484"/>
      <c r="G4" s="450"/>
      <c r="H4" s="296"/>
      <c r="I4" s="296"/>
    </row>
    <row r="5" spans="1:9">
      <c r="A5" s="66" t="s">
        <v>800</v>
      </c>
      <c r="B5" s="484" t="s">
        <v>1609</v>
      </c>
      <c r="C5" s="454"/>
      <c r="D5" s="454"/>
      <c r="E5" s="454"/>
      <c r="F5" s="454"/>
      <c r="G5" s="450"/>
      <c r="H5" s="296"/>
      <c r="I5" s="296"/>
    </row>
    <row r="6" spans="1:9">
      <c r="A6" s="490" t="s">
        <v>802</v>
      </c>
      <c r="B6" s="454"/>
      <c r="C6" s="454"/>
      <c r="D6" s="454"/>
      <c r="E6" s="454"/>
      <c r="F6" s="450"/>
      <c r="G6" s="68" t="s">
        <v>803</v>
      </c>
      <c r="H6" s="296"/>
      <c r="I6" s="296"/>
    </row>
    <row r="7" spans="1:9">
      <c r="A7" s="491"/>
      <c r="B7" s="491" t="s">
        <v>1672</v>
      </c>
      <c r="C7" s="484" t="s">
        <v>1673</v>
      </c>
      <c r="D7" s="454"/>
      <c r="E7" s="450"/>
      <c r="F7" s="484"/>
      <c r="G7" s="450"/>
      <c r="H7" s="296"/>
      <c r="I7" s="296"/>
    </row>
    <row r="8" spans="1:9">
      <c r="A8" s="457"/>
      <c r="B8" s="457"/>
      <c r="C8" s="66" t="s">
        <v>46</v>
      </c>
      <c r="D8" s="67">
        <v>1</v>
      </c>
      <c r="E8" s="67">
        <v>24.5</v>
      </c>
      <c r="F8" s="67">
        <f>D8*E8</f>
        <v>24.5</v>
      </c>
      <c r="G8" s="66" t="s">
        <v>808</v>
      </c>
      <c r="H8" s="296"/>
      <c r="I8" s="296"/>
    </row>
    <row r="9" spans="1:9">
      <c r="A9" s="492" t="s">
        <v>1105</v>
      </c>
      <c r="B9" s="454"/>
      <c r="C9" s="450"/>
      <c r="D9" s="67">
        <v>1</v>
      </c>
      <c r="E9" s="70" t="s">
        <v>1107</v>
      </c>
      <c r="F9" s="67">
        <f>F8</f>
        <v>24.5</v>
      </c>
      <c r="G9" s="66"/>
      <c r="H9" s="296"/>
      <c r="I9" s="296"/>
    </row>
    <row r="10" spans="1:9">
      <c r="A10" s="492" t="s">
        <v>826</v>
      </c>
      <c r="B10" s="454"/>
      <c r="C10" s="450"/>
      <c r="D10" s="67">
        <v>1</v>
      </c>
      <c r="E10" s="70" t="s">
        <v>1107</v>
      </c>
      <c r="F10" s="67">
        <f>F9/D9</f>
        <v>24.5</v>
      </c>
      <c r="G10" s="66"/>
      <c r="H10" s="296"/>
      <c r="I10" s="296"/>
    </row>
    <row r="11" spans="1:9">
      <c r="A11" s="493" t="s">
        <v>829</v>
      </c>
      <c r="B11" s="454"/>
      <c r="C11" s="454"/>
      <c r="D11" s="450"/>
      <c r="E11" s="67"/>
      <c r="F11" s="67">
        <f>F10*1%</f>
        <v>0.245</v>
      </c>
      <c r="G11" s="66"/>
      <c r="H11" s="296"/>
      <c r="I11" s="296"/>
    </row>
    <row r="12" spans="1:9">
      <c r="A12" s="493" t="s">
        <v>30</v>
      </c>
      <c r="B12" s="454"/>
      <c r="C12" s="454"/>
      <c r="D12" s="450"/>
      <c r="E12" s="71"/>
      <c r="F12" s="67">
        <f>F11+F10</f>
        <v>24.745000000000001</v>
      </c>
      <c r="G12" s="66"/>
      <c r="H12" s="296"/>
      <c r="I12" s="296"/>
    </row>
    <row r="13" spans="1:9">
      <c r="A13" s="493" t="s">
        <v>836</v>
      </c>
      <c r="B13" s="454"/>
      <c r="C13" s="454"/>
      <c r="D13" s="450"/>
      <c r="E13" s="67"/>
      <c r="F13" s="67">
        <f>F12*15%</f>
        <v>3.7117499999999999</v>
      </c>
      <c r="G13" s="66"/>
      <c r="H13" s="296"/>
      <c r="I13" s="296"/>
    </row>
    <row r="14" spans="1:9">
      <c r="A14" s="493" t="s">
        <v>30</v>
      </c>
      <c r="B14" s="454"/>
      <c r="C14" s="454"/>
      <c r="D14" s="450"/>
      <c r="E14" s="71"/>
      <c r="F14" s="191">
        <f>ROUND(F13+F12,2)</f>
        <v>28.46</v>
      </c>
      <c r="G14" s="66"/>
      <c r="H14" s="296"/>
      <c r="I14" s="296"/>
    </row>
    <row r="15" spans="1:9">
      <c r="A15" s="490" t="s">
        <v>847</v>
      </c>
      <c r="B15" s="454"/>
      <c r="C15" s="454"/>
      <c r="D15" s="454"/>
      <c r="E15" s="454"/>
      <c r="F15" s="450"/>
      <c r="G15" s="68" t="s">
        <v>820</v>
      </c>
      <c r="H15" s="296"/>
      <c r="I15" s="296"/>
    </row>
    <row r="16" spans="1:9">
      <c r="A16" s="491">
        <v>9999</v>
      </c>
      <c r="B16" s="491"/>
      <c r="C16" s="484" t="s">
        <v>1624</v>
      </c>
      <c r="D16" s="454"/>
      <c r="E16" s="450"/>
      <c r="F16" s="484"/>
      <c r="G16" s="450"/>
      <c r="H16" s="296"/>
      <c r="I16" s="296"/>
    </row>
    <row r="17" spans="1:9">
      <c r="A17" s="457"/>
      <c r="B17" s="457"/>
      <c r="C17" s="66" t="s">
        <v>62</v>
      </c>
      <c r="D17" s="67">
        <v>2.73</v>
      </c>
      <c r="E17" s="67">
        <v>2.12</v>
      </c>
      <c r="F17" s="67">
        <f>D17*E17</f>
        <v>5.7876000000000003</v>
      </c>
      <c r="G17" s="66" t="s">
        <v>851</v>
      </c>
      <c r="H17" s="296"/>
      <c r="I17" s="296"/>
    </row>
    <row r="18" spans="1:9">
      <c r="A18" s="491">
        <v>9999</v>
      </c>
      <c r="B18" s="491"/>
      <c r="C18" s="484" t="s">
        <v>1628</v>
      </c>
      <c r="D18" s="454"/>
      <c r="E18" s="450"/>
      <c r="F18" s="484"/>
      <c r="G18" s="450"/>
      <c r="H18" s="296"/>
      <c r="I18" s="296"/>
    </row>
    <row r="19" spans="1:9">
      <c r="A19" s="457"/>
      <c r="B19" s="457"/>
      <c r="C19" s="66" t="s">
        <v>62</v>
      </c>
      <c r="D19" s="67">
        <v>9.36</v>
      </c>
      <c r="E19" s="67">
        <v>2.12</v>
      </c>
      <c r="F19" s="67">
        <f>D19*E19</f>
        <v>19.8432</v>
      </c>
      <c r="G19" s="66" t="s">
        <v>854</v>
      </c>
      <c r="H19" s="296"/>
      <c r="I19" s="296"/>
    </row>
    <row r="20" spans="1:9">
      <c r="A20" s="492" t="s">
        <v>1630</v>
      </c>
      <c r="B20" s="454"/>
      <c r="C20" s="450"/>
      <c r="D20" s="67">
        <v>1</v>
      </c>
      <c r="E20" s="70" t="s">
        <v>1107</v>
      </c>
      <c r="F20" s="67">
        <f>F19+F17</f>
        <v>25.630800000000001</v>
      </c>
      <c r="G20" s="71"/>
      <c r="H20" s="296"/>
      <c r="I20" s="296"/>
    </row>
    <row r="21" spans="1:9">
      <c r="A21" s="492" t="s">
        <v>826</v>
      </c>
      <c r="B21" s="454"/>
      <c r="C21" s="450"/>
      <c r="D21" s="67">
        <v>1</v>
      </c>
      <c r="E21" s="70" t="s">
        <v>1107</v>
      </c>
      <c r="F21" s="67">
        <f>F20/D20</f>
        <v>25.630800000000001</v>
      </c>
      <c r="G21" s="71"/>
      <c r="H21" s="296"/>
      <c r="I21" s="296"/>
    </row>
    <row r="22" spans="1:9">
      <c r="A22" s="493" t="s">
        <v>829</v>
      </c>
      <c r="B22" s="454"/>
      <c r="C22" s="454"/>
      <c r="D22" s="450"/>
      <c r="E22" s="67"/>
      <c r="F22" s="67">
        <f>F21*1%</f>
        <v>0.25630800000000004</v>
      </c>
      <c r="G22" s="71"/>
      <c r="H22" s="296"/>
      <c r="I22" s="296"/>
    </row>
    <row r="23" spans="1:9">
      <c r="A23" s="493" t="s">
        <v>30</v>
      </c>
      <c r="B23" s="454"/>
      <c r="C23" s="454"/>
      <c r="D23" s="450"/>
      <c r="E23" s="71"/>
      <c r="F23" s="67">
        <f>F22+F21</f>
        <v>25.887108000000001</v>
      </c>
      <c r="G23" s="71"/>
      <c r="H23" s="296"/>
      <c r="I23" s="296"/>
    </row>
    <row r="24" spans="1:9">
      <c r="A24" s="493" t="s">
        <v>836</v>
      </c>
      <c r="B24" s="454"/>
      <c r="C24" s="454"/>
      <c r="D24" s="450"/>
      <c r="E24" s="67"/>
      <c r="F24" s="67">
        <f>F23*15%</f>
        <v>3.8830662</v>
      </c>
      <c r="G24" s="71"/>
      <c r="H24" s="296"/>
      <c r="I24" s="296"/>
    </row>
    <row r="25" spans="1:9">
      <c r="A25" s="493" t="s">
        <v>30</v>
      </c>
      <c r="B25" s="454"/>
      <c r="C25" s="454"/>
      <c r="D25" s="450"/>
      <c r="E25" s="71"/>
      <c r="F25" s="191">
        <f>ROUND(F24+F23,2)</f>
        <v>29.77</v>
      </c>
      <c r="G25" s="71"/>
      <c r="H25" s="296"/>
      <c r="I25" s="296"/>
    </row>
    <row r="26" spans="1:9">
      <c r="A26" s="594" t="str">
        <f>CONCATENATE("Say ₹ ",F14," + ",F25," x Cost Index")</f>
        <v>Say ₹ 28.46 + 29.77 x Cost Index</v>
      </c>
      <c r="B26" s="454"/>
      <c r="C26" s="454"/>
      <c r="D26" s="454"/>
      <c r="E26" s="454"/>
      <c r="F26" s="454"/>
      <c r="G26" s="450"/>
      <c r="H26" s="297">
        <f>((F8*1.01*1.15))</f>
        <v>28.45675</v>
      </c>
      <c r="I26" s="297">
        <f>((SUM(F17,F19)*1.01*1.15))</f>
        <v>29.7701742</v>
      </c>
    </row>
    <row r="27" spans="1:9">
      <c r="A27" s="486" t="s">
        <v>771</v>
      </c>
      <c r="B27" s="486" t="s">
        <v>776</v>
      </c>
      <c r="C27" s="487" t="s">
        <v>4</v>
      </c>
      <c r="D27" s="454"/>
      <c r="E27" s="450"/>
      <c r="F27" s="487" t="s">
        <v>785</v>
      </c>
      <c r="G27" s="450"/>
      <c r="H27" s="296"/>
      <c r="I27" s="296"/>
    </row>
    <row r="28" spans="1:9">
      <c r="A28" s="457"/>
      <c r="B28" s="457"/>
      <c r="C28" s="62" t="s">
        <v>5</v>
      </c>
      <c r="D28" s="62" t="s">
        <v>6</v>
      </c>
      <c r="E28" s="62" t="s">
        <v>336</v>
      </c>
      <c r="F28" s="62" t="s">
        <v>8</v>
      </c>
      <c r="G28" s="62" t="s">
        <v>789</v>
      </c>
      <c r="H28" s="296"/>
      <c r="I28" s="296"/>
    </row>
    <row r="29" spans="1:9">
      <c r="A29" s="608" t="s">
        <v>1686</v>
      </c>
      <c r="B29" s="454"/>
      <c r="C29" s="454"/>
      <c r="D29" s="454"/>
      <c r="E29" s="454"/>
      <c r="F29" s="454"/>
      <c r="G29" s="450"/>
      <c r="H29" s="296"/>
      <c r="I29" s="296"/>
    </row>
    <row r="30" spans="1:9">
      <c r="A30" s="65"/>
      <c r="B30" s="66" t="s">
        <v>795</v>
      </c>
      <c r="C30" s="66" t="s">
        <v>1107</v>
      </c>
      <c r="D30" s="66" t="s">
        <v>798</v>
      </c>
      <c r="E30" s="67">
        <v>1</v>
      </c>
      <c r="F30" s="484"/>
      <c r="G30" s="450"/>
      <c r="H30" s="296"/>
      <c r="I30" s="296"/>
    </row>
    <row r="31" spans="1:9">
      <c r="A31" s="66" t="s">
        <v>800</v>
      </c>
      <c r="B31" s="484" t="s">
        <v>1609</v>
      </c>
      <c r="C31" s="454"/>
      <c r="D31" s="454"/>
      <c r="E31" s="454"/>
      <c r="F31" s="454"/>
      <c r="G31" s="450"/>
      <c r="H31" s="296"/>
      <c r="I31" s="296"/>
    </row>
    <row r="32" spans="1:9">
      <c r="A32" s="490" t="s">
        <v>802</v>
      </c>
      <c r="B32" s="454"/>
      <c r="C32" s="454"/>
      <c r="D32" s="454"/>
      <c r="E32" s="454"/>
      <c r="F32" s="450"/>
      <c r="G32" s="68" t="s">
        <v>803</v>
      </c>
      <c r="H32" s="296"/>
      <c r="I32" s="296"/>
    </row>
    <row r="33" spans="1:9">
      <c r="A33" s="491"/>
      <c r="B33" s="491" t="s">
        <v>1687</v>
      </c>
      <c r="C33" s="484" t="s">
        <v>1688</v>
      </c>
      <c r="D33" s="454"/>
      <c r="E33" s="450"/>
      <c r="F33" s="484"/>
      <c r="G33" s="450"/>
      <c r="H33" s="296"/>
      <c r="I33" s="296"/>
    </row>
    <row r="34" spans="1:9">
      <c r="A34" s="457"/>
      <c r="B34" s="457"/>
      <c r="C34" s="66" t="s">
        <v>46</v>
      </c>
      <c r="D34" s="67">
        <v>1</v>
      </c>
      <c r="E34" s="67">
        <v>30</v>
      </c>
      <c r="F34" s="67">
        <f>D34*E34</f>
        <v>30</v>
      </c>
      <c r="G34" s="66" t="s">
        <v>808</v>
      </c>
      <c r="H34" s="296"/>
      <c r="I34" s="296"/>
    </row>
    <row r="35" spans="1:9">
      <c r="A35" s="492" t="s">
        <v>1105</v>
      </c>
      <c r="B35" s="454"/>
      <c r="C35" s="450"/>
      <c r="D35" s="67">
        <v>1</v>
      </c>
      <c r="E35" s="70" t="s">
        <v>1107</v>
      </c>
      <c r="F35" s="67">
        <f>F34</f>
        <v>30</v>
      </c>
      <c r="G35" s="66"/>
      <c r="H35" s="296"/>
      <c r="I35" s="296"/>
    </row>
    <row r="36" spans="1:9">
      <c r="A36" s="492" t="s">
        <v>826</v>
      </c>
      <c r="B36" s="454"/>
      <c r="C36" s="450"/>
      <c r="D36" s="67">
        <v>1</v>
      </c>
      <c r="E36" s="70" t="s">
        <v>1107</v>
      </c>
      <c r="F36" s="67">
        <f>F35/D35</f>
        <v>30</v>
      </c>
      <c r="G36" s="66"/>
      <c r="H36" s="296"/>
      <c r="I36" s="296"/>
    </row>
    <row r="37" spans="1:9">
      <c r="A37" s="493" t="s">
        <v>829</v>
      </c>
      <c r="B37" s="454"/>
      <c r="C37" s="454"/>
      <c r="D37" s="450"/>
      <c r="E37" s="67"/>
      <c r="F37" s="67">
        <f>F36*1%</f>
        <v>0.3</v>
      </c>
      <c r="G37" s="66"/>
      <c r="H37" s="296"/>
      <c r="I37" s="296"/>
    </row>
    <row r="38" spans="1:9">
      <c r="A38" s="493" t="s">
        <v>30</v>
      </c>
      <c r="B38" s="454"/>
      <c r="C38" s="454"/>
      <c r="D38" s="450"/>
      <c r="E38" s="71"/>
      <c r="F38" s="67">
        <f>F37+F36</f>
        <v>30.3</v>
      </c>
      <c r="G38" s="66"/>
      <c r="H38" s="296"/>
      <c r="I38" s="296"/>
    </row>
    <row r="39" spans="1:9">
      <c r="A39" s="493" t="s">
        <v>836</v>
      </c>
      <c r="B39" s="454"/>
      <c r="C39" s="454"/>
      <c r="D39" s="450"/>
      <c r="E39" s="67"/>
      <c r="F39" s="67">
        <f>F38*15%</f>
        <v>4.5449999999999999</v>
      </c>
      <c r="G39" s="66"/>
      <c r="H39" s="296"/>
      <c r="I39" s="296"/>
    </row>
    <row r="40" spans="1:9">
      <c r="A40" s="493" t="s">
        <v>30</v>
      </c>
      <c r="B40" s="454"/>
      <c r="C40" s="454"/>
      <c r="D40" s="450"/>
      <c r="E40" s="71"/>
      <c r="F40" s="191">
        <f>ROUND(F39+F38,2)</f>
        <v>34.85</v>
      </c>
      <c r="G40" s="66"/>
      <c r="H40" s="296"/>
      <c r="I40" s="296"/>
    </row>
    <row r="41" spans="1:9">
      <c r="A41" s="490" t="s">
        <v>847</v>
      </c>
      <c r="B41" s="454"/>
      <c r="C41" s="454"/>
      <c r="D41" s="454"/>
      <c r="E41" s="454"/>
      <c r="F41" s="450"/>
      <c r="G41" s="68" t="s">
        <v>820</v>
      </c>
      <c r="H41" s="296"/>
      <c r="I41" s="296"/>
    </row>
    <row r="42" spans="1:9">
      <c r="A42" s="491">
        <v>9999</v>
      </c>
      <c r="B42" s="491"/>
      <c r="C42" s="484" t="s">
        <v>1624</v>
      </c>
      <c r="D42" s="454"/>
      <c r="E42" s="450"/>
      <c r="F42" s="484"/>
      <c r="G42" s="450"/>
      <c r="H42" s="296"/>
      <c r="I42" s="296"/>
    </row>
    <row r="43" spans="1:9">
      <c r="A43" s="457"/>
      <c r="B43" s="457"/>
      <c r="C43" s="66" t="s">
        <v>62</v>
      </c>
      <c r="D43" s="67">
        <v>2.73</v>
      </c>
      <c r="E43" s="67">
        <v>2.12</v>
      </c>
      <c r="F43" s="67">
        <f>E43*D43</f>
        <v>5.7876000000000003</v>
      </c>
      <c r="G43" s="66" t="s">
        <v>851</v>
      </c>
      <c r="H43" s="296"/>
      <c r="I43" s="296"/>
    </row>
    <row r="44" spans="1:9">
      <c r="A44" s="491">
        <v>9999</v>
      </c>
      <c r="B44" s="491"/>
      <c r="C44" s="484" t="s">
        <v>1628</v>
      </c>
      <c r="D44" s="454"/>
      <c r="E44" s="450"/>
      <c r="F44" s="484"/>
      <c r="G44" s="450"/>
      <c r="H44" s="296"/>
      <c r="I44" s="296"/>
    </row>
    <row r="45" spans="1:9">
      <c r="A45" s="457"/>
      <c r="B45" s="457"/>
      <c r="C45" s="66" t="s">
        <v>62</v>
      </c>
      <c r="D45" s="67">
        <v>9.36</v>
      </c>
      <c r="E45" s="67">
        <v>2.12</v>
      </c>
      <c r="F45" s="67">
        <f>D45*E45</f>
        <v>19.8432</v>
      </c>
      <c r="G45" s="66" t="s">
        <v>854</v>
      </c>
      <c r="H45" s="296"/>
      <c r="I45" s="296"/>
    </row>
    <row r="46" spans="1:9">
      <c r="A46" s="492" t="s">
        <v>1630</v>
      </c>
      <c r="B46" s="454"/>
      <c r="C46" s="450"/>
      <c r="D46" s="67">
        <v>1</v>
      </c>
      <c r="E46" s="70" t="s">
        <v>1107</v>
      </c>
      <c r="F46" s="67">
        <f>F45+F43</f>
        <v>25.630800000000001</v>
      </c>
      <c r="G46" s="71"/>
      <c r="H46" s="296"/>
      <c r="I46" s="296"/>
    </row>
    <row r="47" spans="1:9">
      <c r="A47" s="492" t="s">
        <v>826</v>
      </c>
      <c r="B47" s="454"/>
      <c r="C47" s="450"/>
      <c r="D47" s="67">
        <v>1</v>
      </c>
      <c r="E47" s="70" t="s">
        <v>1107</v>
      </c>
      <c r="F47" s="67">
        <f>F46/D46</f>
        <v>25.630800000000001</v>
      </c>
      <c r="G47" s="71"/>
      <c r="H47" s="296"/>
      <c r="I47" s="296"/>
    </row>
    <row r="48" spans="1:9">
      <c r="A48" s="493" t="s">
        <v>829</v>
      </c>
      <c r="B48" s="454"/>
      <c r="C48" s="454"/>
      <c r="D48" s="450"/>
      <c r="E48" s="67"/>
      <c r="F48" s="67">
        <f>F47*1%</f>
        <v>0.25630800000000004</v>
      </c>
      <c r="G48" s="71"/>
      <c r="H48" s="296"/>
      <c r="I48" s="296"/>
    </row>
    <row r="49" spans="1:9">
      <c r="A49" s="493" t="s">
        <v>30</v>
      </c>
      <c r="B49" s="454"/>
      <c r="C49" s="454"/>
      <c r="D49" s="450"/>
      <c r="E49" s="71"/>
      <c r="F49" s="67">
        <f>F48+F47</f>
        <v>25.887108000000001</v>
      </c>
      <c r="G49" s="71"/>
      <c r="H49" s="296"/>
      <c r="I49" s="296"/>
    </row>
    <row r="50" spans="1:9">
      <c r="A50" s="493" t="s">
        <v>836</v>
      </c>
      <c r="B50" s="454"/>
      <c r="C50" s="454"/>
      <c r="D50" s="450"/>
      <c r="E50" s="67"/>
      <c r="F50" s="67">
        <f>F49*15%</f>
        <v>3.8830662</v>
      </c>
      <c r="G50" s="71"/>
      <c r="H50" s="296"/>
      <c r="I50" s="296"/>
    </row>
    <row r="51" spans="1:9">
      <c r="A51" s="493" t="s">
        <v>30</v>
      </c>
      <c r="B51" s="454"/>
      <c r="C51" s="454"/>
      <c r="D51" s="450"/>
      <c r="E51" s="71"/>
      <c r="F51" s="191">
        <f>ROUND(F50+F49,2)</f>
        <v>29.77</v>
      </c>
      <c r="G51" s="71"/>
      <c r="H51" s="296"/>
      <c r="I51" s="296"/>
    </row>
    <row r="52" spans="1:9">
      <c r="A52" s="594" t="str">
        <f>CONCATENATE("Say ₹ ",F40," + ",F51," x Cost Index")</f>
        <v>Say ₹ 34.85 + 29.77 x Cost Index</v>
      </c>
      <c r="B52" s="454"/>
      <c r="C52" s="454"/>
      <c r="D52" s="454"/>
      <c r="E52" s="454"/>
      <c r="F52" s="454"/>
      <c r="G52" s="450"/>
      <c r="H52" s="297">
        <f>((F34*1.01*1.15))</f>
        <v>34.844999999999999</v>
      </c>
      <c r="I52" s="297">
        <f>((SUM(F43,F45)*1.01*1.15))</f>
        <v>29.7701742</v>
      </c>
    </row>
    <row r="53" spans="1:9">
      <c r="A53" s="486" t="s">
        <v>771</v>
      </c>
      <c r="B53" s="486" t="s">
        <v>776</v>
      </c>
      <c r="C53" s="487" t="s">
        <v>4</v>
      </c>
      <c r="D53" s="454"/>
      <c r="E53" s="450"/>
      <c r="F53" s="487" t="s">
        <v>785</v>
      </c>
      <c r="G53" s="450"/>
      <c r="H53" s="296"/>
      <c r="I53" s="296"/>
    </row>
    <row r="54" spans="1:9">
      <c r="A54" s="457"/>
      <c r="B54" s="457"/>
      <c r="C54" s="62" t="s">
        <v>5</v>
      </c>
      <c r="D54" s="62" t="s">
        <v>6</v>
      </c>
      <c r="E54" s="62" t="s">
        <v>336</v>
      </c>
      <c r="F54" s="62" t="s">
        <v>8</v>
      </c>
      <c r="G54" s="62" t="s">
        <v>789</v>
      </c>
      <c r="H54" s="296"/>
      <c r="I54" s="296"/>
    </row>
    <row r="55" spans="1:9">
      <c r="A55" s="608" t="s">
        <v>1696</v>
      </c>
      <c r="B55" s="454"/>
      <c r="C55" s="454"/>
      <c r="D55" s="454"/>
      <c r="E55" s="454"/>
      <c r="F55" s="454"/>
      <c r="G55" s="450"/>
      <c r="H55" s="296"/>
      <c r="I55" s="296"/>
    </row>
    <row r="56" spans="1:9">
      <c r="A56" s="65"/>
      <c r="B56" s="66" t="s">
        <v>795</v>
      </c>
      <c r="C56" s="66" t="s">
        <v>1107</v>
      </c>
      <c r="D56" s="66" t="s">
        <v>798</v>
      </c>
      <c r="E56" s="67">
        <v>1</v>
      </c>
      <c r="F56" s="484"/>
      <c r="G56" s="450"/>
      <c r="H56" s="296"/>
      <c r="I56" s="296"/>
    </row>
    <row r="57" spans="1:9">
      <c r="A57" s="66" t="s">
        <v>800</v>
      </c>
      <c r="B57" s="484" t="s">
        <v>1643</v>
      </c>
      <c r="C57" s="454"/>
      <c r="D57" s="454"/>
      <c r="E57" s="454"/>
      <c r="F57" s="454"/>
      <c r="G57" s="450"/>
      <c r="H57" s="296"/>
      <c r="I57" s="296"/>
    </row>
    <row r="58" spans="1:9">
      <c r="A58" s="490" t="s">
        <v>802</v>
      </c>
      <c r="B58" s="454"/>
      <c r="C58" s="454"/>
      <c r="D58" s="454"/>
      <c r="E58" s="454"/>
      <c r="F58" s="450"/>
      <c r="G58" s="68" t="s">
        <v>803</v>
      </c>
      <c r="H58" s="296"/>
      <c r="I58" s="296"/>
    </row>
    <row r="59" spans="1:9">
      <c r="A59" s="491"/>
      <c r="B59" s="491" t="s">
        <v>1697</v>
      </c>
      <c r="C59" s="484" t="s">
        <v>1698</v>
      </c>
      <c r="D59" s="454"/>
      <c r="E59" s="450"/>
      <c r="F59" s="484"/>
      <c r="G59" s="450"/>
      <c r="H59" s="296"/>
      <c r="I59" s="296"/>
    </row>
    <row r="60" spans="1:9">
      <c r="A60" s="457"/>
      <c r="B60" s="457"/>
      <c r="C60" s="66" t="s">
        <v>46</v>
      </c>
      <c r="D60" s="67">
        <v>1</v>
      </c>
      <c r="E60" s="67">
        <v>59</v>
      </c>
      <c r="F60" s="67">
        <f>D60*E60</f>
        <v>59</v>
      </c>
      <c r="G60" s="66" t="s">
        <v>808</v>
      </c>
      <c r="H60" s="296"/>
      <c r="I60" s="296"/>
    </row>
    <row r="61" spans="1:9">
      <c r="A61" s="492" t="s">
        <v>1105</v>
      </c>
      <c r="B61" s="454"/>
      <c r="C61" s="450"/>
      <c r="D61" s="67">
        <v>1</v>
      </c>
      <c r="E61" s="70" t="s">
        <v>1107</v>
      </c>
      <c r="F61" s="67">
        <f>F60</f>
        <v>59</v>
      </c>
      <c r="G61" s="66"/>
      <c r="H61" s="296"/>
      <c r="I61" s="296"/>
    </row>
    <row r="62" spans="1:9">
      <c r="A62" s="492" t="s">
        <v>826</v>
      </c>
      <c r="B62" s="454"/>
      <c r="C62" s="450"/>
      <c r="D62" s="67">
        <v>1</v>
      </c>
      <c r="E62" s="70" t="s">
        <v>1107</v>
      </c>
      <c r="F62" s="67">
        <f>F61/D61</f>
        <v>59</v>
      </c>
      <c r="G62" s="66"/>
      <c r="H62" s="296"/>
      <c r="I62" s="296"/>
    </row>
    <row r="63" spans="1:9">
      <c r="A63" s="493" t="s">
        <v>829</v>
      </c>
      <c r="B63" s="454"/>
      <c r="C63" s="454"/>
      <c r="D63" s="450"/>
      <c r="E63" s="67"/>
      <c r="F63" s="67">
        <f>F62*1%</f>
        <v>0.59</v>
      </c>
      <c r="G63" s="66"/>
      <c r="H63" s="296"/>
      <c r="I63" s="296"/>
    </row>
    <row r="64" spans="1:9">
      <c r="A64" s="493" t="s">
        <v>30</v>
      </c>
      <c r="B64" s="454"/>
      <c r="C64" s="454"/>
      <c r="D64" s="450"/>
      <c r="E64" s="71"/>
      <c r="F64" s="67">
        <f>F63+F62</f>
        <v>59.59</v>
      </c>
      <c r="G64" s="66"/>
      <c r="H64" s="296"/>
      <c r="I64" s="296"/>
    </row>
    <row r="65" spans="1:9">
      <c r="A65" s="493" t="s">
        <v>836</v>
      </c>
      <c r="B65" s="454"/>
      <c r="C65" s="454"/>
      <c r="D65" s="450"/>
      <c r="E65" s="67"/>
      <c r="F65" s="67">
        <f>F64*15%</f>
        <v>8.9384999999999994</v>
      </c>
      <c r="G65" s="66"/>
      <c r="H65" s="296"/>
      <c r="I65" s="296"/>
    </row>
    <row r="66" spans="1:9">
      <c r="A66" s="493" t="s">
        <v>30</v>
      </c>
      <c r="B66" s="454"/>
      <c r="C66" s="454"/>
      <c r="D66" s="450"/>
      <c r="E66" s="71"/>
      <c r="F66" s="191">
        <f>ROUND(F65+F64,2)</f>
        <v>68.53</v>
      </c>
      <c r="G66" s="66"/>
      <c r="H66" s="296"/>
      <c r="I66" s="296"/>
    </row>
    <row r="67" spans="1:9">
      <c r="A67" s="490" t="s">
        <v>847</v>
      </c>
      <c r="B67" s="454"/>
      <c r="C67" s="454"/>
      <c r="D67" s="454"/>
      <c r="E67" s="454"/>
      <c r="F67" s="450"/>
      <c r="G67" s="68" t="s">
        <v>820</v>
      </c>
      <c r="H67" s="296"/>
      <c r="I67" s="296"/>
    </row>
    <row r="68" spans="1:9">
      <c r="A68" s="491">
        <v>9999</v>
      </c>
      <c r="B68" s="491"/>
      <c r="C68" s="484" t="s">
        <v>1655</v>
      </c>
      <c r="D68" s="454"/>
      <c r="E68" s="450"/>
      <c r="F68" s="484"/>
      <c r="G68" s="450"/>
      <c r="H68" s="296"/>
      <c r="I68" s="296"/>
    </row>
    <row r="69" spans="1:9">
      <c r="A69" s="457"/>
      <c r="B69" s="457"/>
      <c r="C69" s="66" t="s">
        <v>62</v>
      </c>
      <c r="D69" s="67">
        <v>2.73</v>
      </c>
      <c r="E69" s="67">
        <v>2.12</v>
      </c>
      <c r="F69" s="67">
        <f>E69*D69</f>
        <v>5.7876000000000003</v>
      </c>
      <c r="G69" s="66" t="s">
        <v>851</v>
      </c>
      <c r="H69" s="296"/>
      <c r="I69" s="296"/>
    </row>
    <row r="70" spans="1:9">
      <c r="A70" s="491">
        <v>9999</v>
      </c>
      <c r="B70" s="491"/>
      <c r="C70" s="484" t="s">
        <v>1628</v>
      </c>
      <c r="D70" s="454"/>
      <c r="E70" s="450"/>
      <c r="F70" s="484"/>
      <c r="G70" s="450"/>
      <c r="H70" s="296"/>
      <c r="I70" s="296"/>
    </row>
    <row r="71" spans="1:9">
      <c r="A71" s="457"/>
      <c r="B71" s="457"/>
      <c r="C71" s="66" t="s">
        <v>62</v>
      </c>
      <c r="D71" s="67">
        <v>10.79</v>
      </c>
      <c r="E71" s="67">
        <v>2.12</v>
      </c>
      <c r="F71" s="67">
        <f>D71*E71</f>
        <v>22.8748</v>
      </c>
      <c r="G71" s="66" t="s">
        <v>854</v>
      </c>
      <c r="H71" s="296"/>
      <c r="I71" s="296"/>
    </row>
    <row r="72" spans="1:9">
      <c r="A72" s="492" t="s">
        <v>1630</v>
      </c>
      <c r="B72" s="454"/>
      <c r="C72" s="450"/>
      <c r="D72" s="67">
        <v>1</v>
      </c>
      <c r="E72" s="70" t="s">
        <v>1107</v>
      </c>
      <c r="F72" s="67">
        <f>F71+F69</f>
        <v>28.662400000000002</v>
      </c>
      <c r="G72" s="71"/>
      <c r="H72" s="296"/>
      <c r="I72" s="296"/>
    </row>
    <row r="73" spans="1:9">
      <c r="A73" s="492" t="s">
        <v>826</v>
      </c>
      <c r="B73" s="454"/>
      <c r="C73" s="450"/>
      <c r="D73" s="67">
        <v>1</v>
      </c>
      <c r="E73" s="70" t="s">
        <v>1107</v>
      </c>
      <c r="F73" s="67">
        <f>F72/D72</f>
        <v>28.662400000000002</v>
      </c>
      <c r="G73" s="71"/>
      <c r="H73" s="296"/>
      <c r="I73" s="296"/>
    </row>
    <row r="74" spans="1:9">
      <c r="A74" s="493" t="s">
        <v>829</v>
      </c>
      <c r="B74" s="454"/>
      <c r="C74" s="454"/>
      <c r="D74" s="450"/>
      <c r="E74" s="67"/>
      <c r="F74" s="67">
        <f>F73*1%</f>
        <v>0.28662400000000005</v>
      </c>
      <c r="G74" s="71"/>
      <c r="H74" s="296"/>
      <c r="I74" s="296"/>
    </row>
    <row r="75" spans="1:9">
      <c r="A75" s="493" t="s">
        <v>30</v>
      </c>
      <c r="B75" s="454"/>
      <c r="C75" s="454"/>
      <c r="D75" s="450"/>
      <c r="E75" s="71"/>
      <c r="F75" s="67">
        <f>F74+F73</f>
        <v>28.949024000000001</v>
      </c>
      <c r="G75" s="71"/>
      <c r="H75" s="296"/>
      <c r="I75" s="296"/>
    </row>
    <row r="76" spans="1:9">
      <c r="A76" s="493" t="s">
        <v>836</v>
      </c>
      <c r="B76" s="454"/>
      <c r="C76" s="454"/>
      <c r="D76" s="450"/>
      <c r="E76" s="67"/>
      <c r="F76" s="67">
        <f>F75*15%</f>
        <v>4.3423536</v>
      </c>
      <c r="G76" s="71"/>
      <c r="H76" s="296"/>
      <c r="I76" s="296"/>
    </row>
    <row r="77" spans="1:9">
      <c r="A77" s="493" t="s">
        <v>30</v>
      </c>
      <c r="B77" s="454"/>
      <c r="C77" s="454"/>
      <c r="D77" s="450"/>
      <c r="E77" s="71"/>
      <c r="F77" s="191">
        <f>ROUND(F76+F75,2)</f>
        <v>33.29</v>
      </c>
      <c r="G77" s="71"/>
      <c r="H77" s="296"/>
      <c r="I77" s="296"/>
    </row>
    <row r="78" spans="1:9">
      <c r="A78" s="594" t="str">
        <f>CONCATENATE("Say ₹ ",F66," + ",F77," x Cost Index")</f>
        <v>Say ₹ 68.53 + 33.29 x Cost Index</v>
      </c>
      <c r="B78" s="454"/>
      <c r="C78" s="454"/>
      <c r="D78" s="454"/>
      <c r="E78" s="454"/>
      <c r="F78" s="454"/>
      <c r="G78" s="450"/>
      <c r="H78" s="297">
        <f>((F60*1.01*1.15))</f>
        <v>68.528499999999994</v>
      </c>
      <c r="I78" s="297">
        <f>((SUM(F69,F71)*1.01*1.15))</f>
        <v>33.291377599999997</v>
      </c>
    </row>
    <row r="79" spans="1:9">
      <c r="A79" s="486" t="s">
        <v>771</v>
      </c>
      <c r="B79" s="486" t="s">
        <v>776</v>
      </c>
      <c r="C79" s="487" t="s">
        <v>4</v>
      </c>
      <c r="D79" s="454"/>
      <c r="E79" s="450"/>
      <c r="F79" s="487" t="s">
        <v>785</v>
      </c>
      <c r="G79" s="450"/>
      <c r="H79" s="296"/>
      <c r="I79" s="296"/>
    </row>
    <row r="80" spans="1:9">
      <c r="A80" s="457"/>
      <c r="B80" s="457"/>
      <c r="C80" s="62" t="s">
        <v>5</v>
      </c>
      <c r="D80" s="62" t="s">
        <v>6</v>
      </c>
      <c r="E80" s="62" t="s">
        <v>336</v>
      </c>
      <c r="F80" s="62" t="s">
        <v>8</v>
      </c>
      <c r="G80" s="62" t="s">
        <v>789</v>
      </c>
      <c r="H80" s="296"/>
      <c r="I80" s="296"/>
    </row>
    <row r="81" spans="1:9">
      <c r="A81" s="609" t="s">
        <v>1706</v>
      </c>
      <c r="B81" s="454"/>
      <c r="C81" s="454"/>
      <c r="D81" s="454"/>
      <c r="E81" s="454"/>
      <c r="F81" s="454"/>
      <c r="G81" s="450"/>
      <c r="H81" s="296"/>
      <c r="I81" s="296"/>
    </row>
    <row r="82" spans="1:9">
      <c r="A82" s="65"/>
      <c r="B82" s="66" t="s">
        <v>795</v>
      </c>
      <c r="C82" s="66" t="s">
        <v>1107</v>
      </c>
      <c r="D82" s="66" t="s">
        <v>798</v>
      </c>
      <c r="E82" s="67">
        <v>1</v>
      </c>
      <c r="F82" s="484"/>
      <c r="G82" s="450"/>
      <c r="H82" s="296"/>
      <c r="I82" s="296"/>
    </row>
    <row r="83" spans="1:9">
      <c r="A83" s="66" t="s">
        <v>800</v>
      </c>
      <c r="B83" s="484" t="s">
        <v>1609</v>
      </c>
      <c r="C83" s="454"/>
      <c r="D83" s="454"/>
      <c r="E83" s="454"/>
      <c r="F83" s="454"/>
      <c r="G83" s="450"/>
      <c r="H83" s="296"/>
      <c r="I83" s="296"/>
    </row>
    <row r="84" spans="1:9">
      <c r="A84" s="490" t="s">
        <v>802</v>
      </c>
      <c r="B84" s="454"/>
      <c r="C84" s="454"/>
      <c r="D84" s="454"/>
      <c r="E84" s="454"/>
      <c r="F84" s="450"/>
      <c r="G84" s="68" t="s">
        <v>803</v>
      </c>
      <c r="H84" s="296"/>
      <c r="I84" s="296"/>
    </row>
    <row r="85" spans="1:9">
      <c r="A85" s="491"/>
      <c r="B85" s="491" t="s">
        <v>1708</v>
      </c>
      <c r="C85" s="484" t="s">
        <v>1709</v>
      </c>
      <c r="D85" s="454"/>
      <c r="E85" s="450"/>
      <c r="F85" s="484"/>
      <c r="G85" s="450"/>
      <c r="H85" s="296"/>
      <c r="I85" s="296"/>
    </row>
    <row r="86" spans="1:9">
      <c r="A86" s="457"/>
      <c r="B86" s="457"/>
      <c r="C86" s="66" t="s">
        <v>46</v>
      </c>
      <c r="D86" s="67">
        <v>1</v>
      </c>
      <c r="E86" s="67">
        <v>35.5</v>
      </c>
      <c r="F86" s="67">
        <f>D86*E86</f>
        <v>35.5</v>
      </c>
      <c r="G86" s="66" t="s">
        <v>808</v>
      </c>
      <c r="H86" s="296"/>
      <c r="I86" s="296"/>
    </row>
    <row r="87" spans="1:9">
      <c r="A87" s="492" t="s">
        <v>1105</v>
      </c>
      <c r="B87" s="454"/>
      <c r="C87" s="450"/>
      <c r="D87" s="67">
        <v>1</v>
      </c>
      <c r="E87" s="70" t="s">
        <v>1107</v>
      </c>
      <c r="F87" s="67">
        <f>F86</f>
        <v>35.5</v>
      </c>
      <c r="G87" s="66"/>
      <c r="H87" s="296"/>
      <c r="I87" s="296"/>
    </row>
    <row r="88" spans="1:9">
      <c r="A88" s="492" t="s">
        <v>826</v>
      </c>
      <c r="B88" s="454"/>
      <c r="C88" s="450"/>
      <c r="D88" s="67">
        <v>1</v>
      </c>
      <c r="E88" s="70" t="s">
        <v>1107</v>
      </c>
      <c r="F88" s="67">
        <f>F87/D87</f>
        <v>35.5</v>
      </c>
      <c r="G88" s="66"/>
      <c r="H88" s="296"/>
      <c r="I88" s="296"/>
    </row>
    <row r="89" spans="1:9">
      <c r="A89" s="493" t="s">
        <v>829</v>
      </c>
      <c r="B89" s="454"/>
      <c r="C89" s="454"/>
      <c r="D89" s="450"/>
      <c r="E89" s="67"/>
      <c r="F89" s="67">
        <f>F88*1%</f>
        <v>0.35499999999999998</v>
      </c>
      <c r="G89" s="66"/>
      <c r="H89" s="296"/>
      <c r="I89" s="296"/>
    </row>
    <row r="90" spans="1:9">
      <c r="A90" s="493" t="s">
        <v>30</v>
      </c>
      <c r="B90" s="454"/>
      <c r="C90" s="454"/>
      <c r="D90" s="450"/>
      <c r="E90" s="71"/>
      <c r="F90" s="67">
        <f>F89+F88</f>
        <v>35.854999999999997</v>
      </c>
      <c r="G90" s="66"/>
      <c r="H90" s="296"/>
      <c r="I90" s="296"/>
    </row>
    <row r="91" spans="1:9">
      <c r="A91" s="493" t="s">
        <v>836</v>
      </c>
      <c r="B91" s="454"/>
      <c r="C91" s="454"/>
      <c r="D91" s="450"/>
      <c r="E91" s="67"/>
      <c r="F91" s="67">
        <f>F90*15%</f>
        <v>5.3782499999999995</v>
      </c>
      <c r="G91" s="66"/>
      <c r="H91" s="296"/>
      <c r="I91" s="296"/>
    </row>
    <row r="92" spans="1:9">
      <c r="A92" s="493" t="s">
        <v>30</v>
      </c>
      <c r="B92" s="454"/>
      <c r="C92" s="454"/>
      <c r="D92" s="450"/>
      <c r="E92" s="71"/>
      <c r="F92" s="191">
        <f>ROUND(F91+F90,2)</f>
        <v>41.23</v>
      </c>
      <c r="G92" s="66"/>
      <c r="H92" s="296"/>
      <c r="I92" s="296"/>
    </row>
    <row r="93" spans="1:9">
      <c r="A93" s="490" t="s">
        <v>847</v>
      </c>
      <c r="B93" s="454"/>
      <c r="C93" s="454"/>
      <c r="D93" s="454"/>
      <c r="E93" s="454"/>
      <c r="F93" s="450"/>
      <c r="G93" s="68" t="s">
        <v>820</v>
      </c>
      <c r="H93" s="296"/>
      <c r="I93" s="296"/>
    </row>
    <row r="94" spans="1:9">
      <c r="A94" s="491">
        <v>9999</v>
      </c>
      <c r="B94" s="491"/>
      <c r="C94" s="484" t="s">
        <v>1624</v>
      </c>
      <c r="D94" s="454"/>
      <c r="E94" s="450"/>
      <c r="F94" s="484"/>
      <c r="G94" s="450"/>
      <c r="H94" s="296"/>
      <c r="I94" s="296"/>
    </row>
    <row r="95" spans="1:9">
      <c r="A95" s="457"/>
      <c r="B95" s="457"/>
      <c r="C95" s="66" t="s">
        <v>62</v>
      </c>
      <c r="D95" s="67">
        <v>2.73</v>
      </c>
      <c r="E95" s="67">
        <v>2.12</v>
      </c>
      <c r="F95" s="67">
        <f>E95*D95</f>
        <v>5.7876000000000003</v>
      </c>
      <c r="G95" s="66" t="s">
        <v>851</v>
      </c>
      <c r="H95" s="296"/>
      <c r="I95" s="296"/>
    </row>
    <row r="96" spans="1:9">
      <c r="A96" s="491">
        <v>9999</v>
      </c>
      <c r="B96" s="491"/>
      <c r="C96" s="484" t="s">
        <v>1628</v>
      </c>
      <c r="D96" s="454"/>
      <c r="E96" s="450"/>
      <c r="F96" s="484"/>
      <c r="G96" s="450"/>
      <c r="H96" s="296"/>
      <c r="I96" s="296"/>
    </row>
    <row r="97" spans="1:9">
      <c r="A97" s="457"/>
      <c r="B97" s="457"/>
      <c r="C97" s="66" t="s">
        <v>62</v>
      </c>
      <c r="D97" s="67">
        <v>9.36</v>
      </c>
      <c r="E97" s="67">
        <v>2.12</v>
      </c>
      <c r="F97" s="67">
        <f>D97*E97</f>
        <v>19.8432</v>
      </c>
      <c r="G97" s="66" t="s">
        <v>854</v>
      </c>
      <c r="H97" s="296"/>
      <c r="I97" s="296"/>
    </row>
    <row r="98" spans="1:9">
      <c r="A98" s="492" t="s">
        <v>1630</v>
      </c>
      <c r="B98" s="454"/>
      <c r="C98" s="450"/>
      <c r="D98" s="67">
        <v>1</v>
      </c>
      <c r="E98" s="70" t="s">
        <v>1107</v>
      </c>
      <c r="F98" s="67">
        <f>F97+F95</f>
        <v>25.630800000000001</v>
      </c>
      <c r="G98" s="71"/>
      <c r="H98" s="296"/>
      <c r="I98" s="296"/>
    </row>
    <row r="99" spans="1:9">
      <c r="A99" s="492" t="s">
        <v>826</v>
      </c>
      <c r="B99" s="454"/>
      <c r="C99" s="450"/>
      <c r="D99" s="67">
        <v>1</v>
      </c>
      <c r="E99" s="70" t="s">
        <v>1107</v>
      </c>
      <c r="F99" s="67">
        <f>F98/D98</f>
        <v>25.630800000000001</v>
      </c>
      <c r="G99" s="71"/>
      <c r="H99" s="296"/>
      <c r="I99" s="296"/>
    </row>
    <row r="100" spans="1:9">
      <c r="A100" s="493" t="s">
        <v>829</v>
      </c>
      <c r="B100" s="454"/>
      <c r="C100" s="454"/>
      <c r="D100" s="450"/>
      <c r="E100" s="67"/>
      <c r="F100" s="67">
        <f>F99*1%</f>
        <v>0.25630800000000004</v>
      </c>
      <c r="G100" s="71"/>
      <c r="H100" s="296"/>
      <c r="I100" s="296"/>
    </row>
    <row r="101" spans="1:9">
      <c r="A101" s="493" t="s">
        <v>30</v>
      </c>
      <c r="B101" s="454"/>
      <c r="C101" s="454"/>
      <c r="D101" s="450"/>
      <c r="E101" s="71"/>
      <c r="F101" s="67">
        <f>F100+F99</f>
        <v>25.887108000000001</v>
      </c>
      <c r="G101" s="71"/>
      <c r="H101" s="296"/>
      <c r="I101" s="296"/>
    </row>
    <row r="102" spans="1:9">
      <c r="A102" s="493" t="s">
        <v>836</v>
      </c>
      <c r="B102" s="454"/>
      <c r="C102" s="454"/>
      <c r="D102" s="450"/>
      <c r="E102" s="67"/>
      <c r="F102" s="67">
        <f>F101*15%</f>
        <v>3.8830662</v>
      </c>
      <c r="G102" s="71"/>
      <c r="H102" s="296"/>
      <c r="I102" s="296"/>
    </row>
    <row r="103" spans="1:9">
      <c r="A103" s="493" t="s">
        <v>30</v>
      </c>
      <c r="B103" s="454"/>
      <c r="C103" s="454"/>
      <c r="D103" s="450"/>
      <c r="E103" s="71"/>
      <c r="F103" s="191">
        <f>ROUND(F102+F101,2)</f>
        <v>29.77</v>
      </c>
      <c r="G103" s="71"/>
      <c r="H103" s="296"/>
      <c r="I103" s="296"/>
    </row>
    <row r="104" spans="1:9">
      <c r="A104" s="594" t="str">
        <f>CONCATENATE("Say ₹ ",F92," + ",F103," x Cost Index")</f>
        <v>Say ₹ 41.23 + 29.77 x Cost Index</v>
      </c>
      <c r="B104" s="454"/>
      <c r="C104" s="454"/>
      <c r="D104" s="454"/>
      <c r="E104" s="454"/>
      <c r="F104" s="454"/>
      <c r="G104" s="450"/>
      <c r="H104" s="297">
        <f>((F86*1.01*1.15))</f>
        <v>41.233249999999991</v>
      </c>
      <c r="I104" s="297">
        <f>((SUM(F95,F97)*1.01*1.15))</f>
        <v>29.7701742</v>
      </c>
    </row>
    <row r="105" spans="1:9">
      <c r="A105" s="486" t="s">
        <v>771</v>
      </c>
      <c r="B105" s="486" t="s">
        <v>776</v>
      </c>
      <c r="C105" s="487" t="s">
        <v>4</v>
      </c>
      <c r="D105" s="454"/>
      <c r="E105" s="450"/>
      <c r="F105" s="487" t="s">
        <v>785</v>
      </c>
      <c r="G105" s="450"/>
      <c r="H105" s="296"/>
      <c r="I105" s="296"/>
    </row>
    <row r="106" spans="1:9">
      <c r="A106" s="457"/>
      <c r="B106" s="457"/>
      <c r="C106" s="62" t="s">
        <v>5</v>
      </c>
      <c r="D106" s="62" t="s">
        <v>6</v>
      </c>
      <c r="E106" s="62" t="s">
        <v>336</v>
      </c>
      <c r="F106" s="62" t="s">
        <v>8</v>
      </c>
      <c r="G106" s="62" t="s">
        <v>789</v>
      </c>
      <c r="H106" s="296"/>
      <c r="I106" s="296"/>
    </row>
    <row r="107" spans="1:9">
      <c r="A107" s="609" t="s">
        <v>1713</v>
      </c>
      <c r="B107" s="454"/>
      <c r="C107" s="454"/>
      <c r="D107" s="454"/>
      <c r="E107" s="454"/>
      <c r="F107" s="454"/>
      <c r="G107" s="450"/>
      <c r="H107" s="296"/>
      <c r="I107" s="296"/>
    </row>
    <row r="108" spans="1:9">
      <c r="A108" s="302"/>
      <c r="B108" s="303" t="s">
        <v>795</v>
      </c>
      <c r="C108" s="303" t="s">
        <v>1107</v>
      </c>
      <c r="D108" s="303" t="s">
        <v>798</v>
      </c>
      <c r="E108" s="299">
        <v>1</v>
      </c>
      <c r="F108" s="610"/>
      <c r="G108" s="450"/>
      <c r="H108" s="296"/>
      <c r="I108" s="296"/>
    </row>
    <row r="109" spans="1:9">
      <c r="A109" s="303" t="s">
        <v>800</v>
      </c>
      <c r="B109" s="610" t="s">
        <v>1609</v>
      </c>
      <c r="C109" s="454"/>
      <c r="D109" s="454"/>
      <c r="E109" s="454"/>
      <c r="F109" s="454"/>
      <c r="G109" s="450"/>
      <c r="H109" s="296"/>
      <c r="I109" s="296"/>
    </row>
    <row r="110" spans="1:9">
      <c r="A110" s="490" t="s">
        <v>802</v>
      </c>
      <c r="B110" s="454"/>
      <c r="C110" s="454"/>
      <c r="D110" s="454"/>
      <c r="E110" s="454"/>
      <c r="F110" s="450"/>
      <c r="G110" s="68" t="s">
        <v>803</v>
      </c>
      <c r="H110" s="296"/>
      <c r="I110" s="296"/>
    </row>
    <row r="111" spans="1:9">
      <c r="A111" s="611"/>
      <c r="B111" s="611" t="s">
        <v>1716</v>
      </c>
      <c r="C111" s="610" t="s">
        <v>1717</v>
      </c>
      <c r="D111" s="454"/>
      <c r="E111" s="450"/>
      <c r="F111" s="610"/>
      <c r="G111" s="450"/>
      <c r="H111" s="296"/>
      <c r="I111" s="296"/>
    </row>
    <row r="112" spans="1:9">
      <c r="A112" s="457"/>
      <c r="B112" s="457"/>
      <c r="C112" s="303" t="s">
        <v>46</v>
      </c>
      <c r="D112" s="299">
        <v>1</v>
      </c>
      <c r="E112" s="299">
        <v>43.5</v>
      </c>
      <c r="F112" s="299">
        <f>D112*E112</f>
        <v>43.5</v>
      </c>
      <c r="G112" s="303" t="s">
        <v>808</v>
      </c>
      <c r="H112" s="296"/>
      <c r="I112" s="296"/>
    </row>
    <row r="113" spans="1:9">
      <c r="A113" s="492" t="s">
        <v>1105</v>
      </c>
      <c r="B113" s="454"/>
      <c r="C113" s="450"/>
      <c r="D113" s="67">
        <v>1</v>
      </c>
      <c r="E113" s="70" t="s">
        <v>1107</v>
      </c>
      <c r="F113" s="67">
        <f>F112</f>
        <v>43.5</v>
      </c>
      <c r="G113" s="66"/>
      <c r="H113" s="296"/>
      <c r="I113" s="296"/>
    </row>
    <row r="114" spans="1:9">
      <c r="A114" s="492" t="s">
        <v>826</v>
      </c>
      <c r="B114" s="454"/>
      <c r="C114" s="450"/>
      <c r="D114" s="67">
        <v>1</v>
      </c>
      <c r="E114" s="70" t="s">
        <v>1107</v>
      </c>
      <c r="F114" s="67">
        <f>F113/D113</f>
        <v>43.5</v>
      </c>
      <c r="G114" s="66"/>
      <c r="H114" s="296"/>
      <c r="I114" s="296"/>
    </row>
    <row r="115" spans="1:9">
      <c r="A115" s="493" t="s">
        <v>829</v>
      </c>
      <c r="B115" s="454"/>
      <c r="C115" s="454"/>
      <c r="D115" s="450"/>
      <c r="E115" s="67"/>
      <c r="F115" s="67">
        <f>F114*1%</f>
        <v>0.435</v>
      </c>
      <c r="G115" s="66"/>
      <c r="H115" s="296"/>
      <c r="I115" s="296"/>
    </row>
    <row r="116" spans="1:9">
      <c r="A116" s="493" t="s">
        <v>30</v>
      </c>
      <c r="B116" s="454"/>
      <c r="C116" s="454"/>
      <c r="D116" s="450"/>
      <c r="E116" s="71"/>
      <c r="F116" s="67">
        <f>F115+F114</f>
        <v>43.935000000000002</v>
      </c>
      <c r="G116" s="66"/>
      <c r="H116" s="296"/>
      <c r="I116" s="296"/>
    </row>
    <row r="117" spans="1:9">
      <c r="A117" s="493" t="s">
        <v>836</v>
      </c>
      <c r="B117" s="454"/>
      <c r="C117" s="454"/>
      <c r="D117" s="450"/>
      <c r="E117" s="67"/>
      <c r="F117" s="67">
        <f>F116*15%</f>
        <v>6.5902500000000002</v>
      </c>
      <c r="G117" s="66"/>
      <c r="H117" s="296"/>
      <c r="I117" s="296"/>
    </row>
    <row r="118" spans="1:9">
      <c r="A118" s="493" t="s">
        <v>30</v>
      </c>
      <c r="B118" s="454"/>
      <c r="C118" s="454"/>
      <c r="D118" s="450"/>
      <c r="E118" s="71"/>
      <c r="F118" s="191">
        <f>ROUND(F117+F116,2)</f>
        <v>50.53</v>
      </c>
      <c r="G118" s="66"/>
      <c r="H118" s="296"/>
      <c r="I118" s="296"/>
    </row>
    <row r="119" spans="1:9">
      <c r="A119" s="490" t="s">
        <v>847</v>
      </c>
      <c r="B119" s="454"/>
      <c r="C119" s="454"/>
      <c r="D119" s="454"/>
      <c r="E119" s="454"/>
      <c r="F119" s="450"/>
      <c r="G119" s="68" t="s">
        <v>820</v>
      </c>
      <c r="H119" s="296"/>
      <c r="I119" s="296"/>
    </row>
    <row r="120" spans="1:9">
      <c r="A120" s="611">
        <v>9999</v>
      </c>
      <c r="B120" s="611"/>
      <c r="C120" s="610" t="s">
        <v>1624</v>
      </c>
      <c r="D120" s="454"/>
      <c r="E120" s="450"/>
      <c r="F120" s="610"/>
      <c r="G120" s="450"/>
      <c r="H120" s="296"/>
      <c r="I120" s="296"/>
    </row>
    <row r="121" spans="1:9">
      <c r="A121" s="457"/>
      <c r="B121" s="457"/>
      <c r="C121" s="303" t="s">
        <v>62</v>
      </c>
      <c r="D121" s="299">
        <v>2.73</v>
      </c>
      <c r="E121" s="299">
        <v>2.12</v>
      </c>
      <c r="F121" s="299">
        <f>E121*D121</f>
        <v>5.7876000000000003</v>
      </c>
      <c r="G121" s="303" t="s">
        <v>851</v>
      </c>
      <c r="H121" s="296"/>
      <c r="I121" s="296"/>
    </row>
    <row r="122" spans="1:9">
      <c r="A122" s="611">
        <v>9999</v>
      </c>
      <c r="B122" s="611"/>
      <c r="C122" s="610" t="s">
        <v>1628</v>
      </c>
      <c r="D122" s="454"/>
      <c r="E122" s="450"/>
      <c r="F122" s="610"/>
      <c r="G122" s="450"/>
      <c r="H122" s="296"/>
      <c r="I122" s="296"/>
    </row>
    <row r="123" spans="1:9">
      <c r="A123" s="457"/>
      <c r="B123" s="457"/>
      <c r="C123" s="303" t="s">
        <v>62</v>
      </c>
      <c r="D123" s="299">
        <v>9.36</v>
      </c>
      <c r="E123" s="299">
        <v>2.12</v>
      </c>
      <c r="F123" s="299">
        <f>D123*E123</f>
        <v>19.8432</v>
      </c>
      <c r="G123" s="303" t="s">
        <v>854</v>
      </c>
      <c r="H123" s="296"/>
      <c r="I123" s="296"/>
    </row>
    <row r="124" spans="1:9">
      <c r="A124" s="492" t="s">
        <v>1630</v>
      </c>
      <c r="B124" s="454"/>
      <c r="C124" s="450"/>
      <c r="D124" s="67">
        <v>1</v>
      </c>
      <c r="E124" s="70" t="s">
        <v>1107</v>
      </c>
      <c r="F124" s="67">
        <f>F123+F121</f>
        <v>25.630800000000001</v>
      </c>
      <c r="G124" s="71"/>
      <c r="H124" s="296"/>
      <c r="I124" s="296"/>
    </row>
    <row r="125" spans="1:9">
      <c r="A125" s="492" t="s">
        <v>826</v>
      </c>
      <c r="B125" s="454"/>
      <c r="C125" s="450"/>
      <c r="D125" s="67">
        <v>1</v>
      </c>
      <c r="E125" s="70" t="s">
        <v>1107</v>
      </c>
      <c r="F125" s="67">
        <f>F124/D124</f>
        <v>25.630800000000001</v>
      </c>
      <c r="G125" s="71"/>
      <c r="H125" s="296"/>
      <c r="I125" s="296"/>
    </row>
    <row r="126" spans="1:9">
      <c r="A126" s="493" t="s">
        <v>829</v>
      </c>
      <c r="B126" s="454"/>
      <c r="C126" s="454"/>
      <c r="D126" s="450"/>
      <c r="E126" s="67"/>
      <c r="F126" s="67">
        <f>F125*1%</f>
        <v>0.25630800000000004</v>
      </c>
      <c r="G126" s="71"/>
      <c r="H126" s="296"/>
      <c r="I126" s="296"/>
    </row>
    <row r="127" spans="1:9">
      <c r="A127" s="493" t="s">
        <v>30</v>
      </c>
      <c r="B127" s="454"/>
      <c r="C127" s="454"/>
      <c r="D127" s="450"/>
      <c r="E127" s="71"/>
      <c r="F127" s="67">
        <f>F126+F125</f>
        <v>25.887108000000001</v>
      </c>
      <c r="G127" s="71"/>
      <c r="H127" s="296"/>
      <c r="I127" s="296"/>
    </row>
    <row r="128" spans="1:9">
      <c r="A128" s="493" t="s">
        <v>836</v>
      </c>
      <c r="B128" s="454"/>
      <c r="C128" s="454"/>
      <c r="D128" s="450"/>
      <c r="E128" s="67"/>
      <c r="F128" s="67">
        <f>F127*15%</f>
        <v>3.8830662</v>
      </c>
      <c r="G128" s="71"/>
      <c r="H128" s="296"/>
      <c r="I128" s="296"/>
    </row>
    <row r="129" spans="1:9">
      <c r="A129" s="493" t="s">
        <v>30</v>
      </c>
      <c r="B129" s="454"/>
      <c r="C129" s="454"/>
      <c r="D129" s="450"/>
      <c r="E129" s="71"/>
      <c r="F129" s="191">
        <f>ROUND(F128+F127,2)</f>
        <v>29.77</v>
      </c>
      <c r="G129" s="71"/>
      <c r="H129" s="296"/>
      <c r="I129" s="296"/>
    </row>
    <row r="130" spans="1:9">
      <c r="A130" s="594" t="str">
        <f>CONCATENATE("Say ₹ ",F118," + ",F129," x Cost Index")</f>
        <v>Say ₹ 50.53 + 29.77 x Cost Index</v>
      </c>
      <c r="B130" s="454"/>
      <c r="C130" s="454"/>
      <c r="D130" s="454"/>
      <c r="E130" s="454"/>
      <c r="F130" s="454"/>
      <c r="G130" s="450"/>
      <c r="H130" s="297">
        <f>((F112*1.01*1.15))</f>
        <v>50.52525</v>
      </c>
      <c r="I130" s="297">
        <f>((SUM(F121,F123)*1.01*1.15))</f>
        <v>29.7701742</v>
      </c>
    </row>
    <row r="131" spans="1:9">
      <c r="A131" s="486" t="s">
        <v>771</v>
      </c>
      <c r="B131" s="486" t="s">
        <v>776</v>
      </c>
      <c r="C131" s="487" t="s">
        <v>4</v>
      </c>
      <c r="D131" s="454"/>
      <c r="E131" s="450"/>
      <c r="F131" s="487" t="s">
        <v>785</v>
      </c>
      <c r="G131" s="450"/>
      <c r="H131" s="296"/>
      <c r="I131" s="296"/>
    </row>
    <row r="132" spans="1:9">
      <c r="A132" s="457"/>
      <c r="B132" s="457"/>
      <c r="C132" s="62" t="s">
        <v>5</v>
      </c>
      <c r="D132" s="62" t="s">
        <v>6</v>
      </c>
      <c r="E132" s="62" t="s">
        <v>336</v>
      </c>
      <c r="F132" s="62" t="s">
        <v>8</v>
      </c>
      <c r="G132" s="62" t="s">
        <v>789</v>
      </c>
      <c r="H132" s="296"/>
      <c r="I132" s="296"/>
    </row>
    <row r="133" spans="1:9">
      <c r="A133" s="609" t="s">
        <v>1721</v>
      </c>
      <c r="B133" s="454"/>
      <c r="C133" s="454"/>
      <c r="D133" s="454"/>
      <c r="E133" s="454"/>
      <c r="F133" s="454"/>
      <c r="G133" s="450"/>
      <c r="H133" s="296"/>
      <c r="I133" s="296"/>
    </row>
    <row r="134" spans="1:9">
      <c r="A134" s="302"/>
      <c r="B134" s="303" t="s">
        <v>795</v>
      </c>
      <c r="C134" s="303" t="s">
        <v>1107</v>
      </c>
      <c r="D134" s="303" t="s">
        <v>798</v>
      </c>
      <c r="E134" s="299">
        <v>1</v>
      </c>
      <c r="F134" s="610"/>
      <c r="G134" s="450"/>
      <c r="H134" s="296"/>
      <c r="I134" s="296"/>
    </row>
    <row r="135" spans="1:9">
      <c r="A135" s="303" t="s">
        <v>800</v>
      </c>
      <c r="B135" s="610" t="s">
        <v>1609</v>
      </c>
      <c r="C135" s="454"/>
      <c r="D135" s="454"/>
      <c r="E135" s="454"/>
      <c r="F135" s="454"/>
      <c r="G135" s="450"/>
      <c r="H135" s="296"/>
      <c r="I135" s="296"/>
    </row>
    <row r="136" spans="1:9">
      <c r="A136" s="490" t="s">
        <v>802</v>
      </c>
      <c r="B136" s="454"/>
      <c r="C136" s="454"/>
      <c r="D136" s="454"/>
      <c r="E136" s="454"/>
      <c r="F136" s="450"/>
      <c r="G136" s="68" t="s">
        <v>803</v>
      </c>
      <c r="H136" s="296"/>
      <c r="I136" s="296"/>
    </row>
    <row r="137" spans="1:9">
      <c r="A137" s="611"/>
      <c r="B137" s="611" t="s">
        <v>1722</v>
      </c>
      <c r="C137" s="610" t="s">
        <v>1723</v>
      </c>
      <c r="D137" s="454"/>
      <c r="E137" s="450"/>
      <c r="F137" s="610"/>
      <c r="G137" s="450"/>
      <c r="H137" s="296"/>
      <c r="I137" s="296"/>
    </row>
    <row r="138" spans="1:9">
      <c r="A138" s="457"/>
      <c r="B138" s="457"/>
      <c r="C138" s="303" t="s">
        <v>46</v>
      </c>
      <c r="D138" s="299">
        <v>1</v>
      </c>
      <c r="E138" s="299">
        <v>102</v>
      </c>
      <c r="F138" s="299">
        <f>D138*E138</f>
        <v>102</v>
      </c>
      <c r="G138" s="303" t="s">
        <v>808</v>
      </c>
      <c r="H138" s="296"/>
      <c r="I138" s="296"/>
    </row>
    <row r="139" spans="1:9">
      <c r="A139" s="492" t="s">
        <v>1105</v>
      </c>
      <c r="B139" s="454"/>
      <c r="C139" s="450"/>
      <c r="D139" s="67">
        <v>1</v>
      </c>
      <c r="E139" s="70" t="s">
        <v>1107</v>
      </c>
      <c r="F139" s="67">
        <f>F138</f>
        <v>102</v>
      </c>
      <c r="G139" s="66"/>
      <c r="H139" s="296"/>
      <c r="I139" s="296"/>
    </row>
    <row r="140" spans="1:9">
      <c r="A140" s="492" t="s">
        <v>826</v>
      </c>
      <c r="B140" s="454"/>
      <c r="C140" s="450"/>
      <c r="D140" s="67">
        <v>1</v>
      </c>
      <c r="E140" s="70" t="s">
        <v>1107</v>
      </c>
      <c r="F140" s="67">
        <f>F139/D139</f>
        <v>102</v>
      </c>
      <c r="G140" s="66"/>
      <c r="H140" s="296"/>
      <c r="I140" s="296"/>
    </row>
    <row r="141" spans="1:9">
      <c r="A141" s="493" t="s">
        <v>829</v>
      </c>
      <c r="B141" s="454"/>
      <c r="C141" s="454"/>
      <c r="D141" s="450"/>
      <c r="E141" s="67"/>
      <c r="F141" s="67">
        <f>F140*1%</f>
        <v>1.02</v>
      </c>
      <c r="G141" s="66"/>
      <c r="H141" s="296"/>
      <c r="I141" s="296"/>
    </row>
    <row r="142" spans="1:9">
      <c r="A142" s="493" t="s">
        <v>30</v>
      </c>
      <c r="B142" s="454"/>
      <c r="C142" s="454"/>
      <c r="D142" s="450"/>
      <c r="E142" s="71"/>
      <c r="F142" s="67">
        <f>F141+F140</f>
        <v>103.02</v>
      </c>
      <c r="G142" s="66"/>
      <c r="H142" s="296"/>
      <c r="I142" s="296"/>
    </row>
    <row r="143" spans="1:9">
      <c r="A143" s="493" t="s">
        <v>836</v>
      </c>
      <c r="B143" s="454"/>
      <c r="C143" s="454"/>
      <c r="D143" s="450"/>
      <c r="E143" s="67"/>
      <c r="F143" s="67">
        <f>F142*15%</f>
        <v>15.452999999999999</v>
      </c>
      <c r="G143" s="66"/>
      <c r="H143" s="296"/>
      <c r="I143" s="296"/>
    </row>
    <row r="144" spans="1:9">
      <c r="A144" s="493" t="s">
        <v>30</v>
      </c>
      <c r="B144" s="454"/>
      <c r="C144" s="454"/>
      <c r="D144" s="450"/>
      <c r="E144" s="71"/>
      <c r="F144" s="191">
        <f>ROUND(F143+F142,2)</f>
        <v>118.47</v>
      </c>
      <c r="G144" s="66"/>
      <c r="H144" s="296"/>
      <c r="I144" s="296"/>
    </row>
    <row r="145" spans="1:9">
      <c r="A145" s="490" t="s">
        <v>847</v>
      </c>
      <c r="B145" s="454"/>
      <c r="C145" s="454"/>
      <c r="D145" s="454"/>
      <c r="E145" s="454"/>
      <c r="F145" s="450"/>
      <c r="G145" s="68" t="s">
        <v>820</v>
      </c>
      <c r="H145" s="296"/>
      <c r="I145" s="296"/>
    </row>
    <row r="146" spans="1:9">
      <c r="A146" s="611">
        <v>9999</v>
      </c>
      <c r="B146" s="611"/>
      <c r="C146" s="610" t="s">
        <v>1624</v>
      </c>
      <c r="D146" s="454"/>
      <c r="E146" s="450"/>
      <c r="F146" s="610"/>
      <c r="G146" s="450"/>
      <c r="H146" s="296"/>
      <c r="I146" s="296"/>
    </row>
    <row r="147" spans="1:9">
      <c r="A147" s="457"/>
      <c r="B147" s="457"/>
      <c r="C147" s="303" t="s">
        <v>62</v>
      </c>
      <c r="D147" s="299">
        <v>2.73</v>
      </c>
      <c r="E147" s="299">
        <v>2.12</v>
      </c>
      <c r="F147" s="299">
        <f>E147*D147</f>
        <v>5.7876000000000003</v>
      </c>
      <c r="G147" s="303" t="s">
        <v>851</v>
      </c>
      <c r="H147" s="296"/>
      <c r="I147" s="296"/>
    </row>
    <row r="148" spans="1:9">
      <c r="A148" s="611">
        <v>9999</v>
      </c>
      <c r="B148" s="611"/>
      <c r="C148" s="610" t="s">
        <v>1628</v>
      </c>
      <c r="D148" s="454"/>
      <c r="E148" s="450"/>
      <c r="F148" s="610"/>
      <c r="G148" s="450"/>
      <c r="H148" s="296"/>
      <c r="I148" s="296"/>
    </row>
    <row r="149" spans="1:9">
      <c r="A149" s="457"/>
      <c r="B149" s="457"/>
      <c r="C149" s="303" t="s">
        <v>62</v>
      </c>
      <c r="D149" s="299">
        <v>10.79</v>
      </c>
      <c r="E149" s="299">
        <v>2.12</v>
      </c>
      <c r="F149" s="299">
        <f>D149*E149</f>
        <v>22.8748</v>
      </c>
      <c r="G149" s="303" t="s">
        <v>854</v>
      </c>
      <c r="H149" s="296"/>
      <c r="I149" s="296"/>
    </row>
    <row r="150" spans="1:9">
      <c r="A150" s="492" t="s">
        <v>1630</v>
      </c>
      <c r="B150" s="454"/>
      <c r="C150" s="450"/>
      <c r="D150" s="67">
        <v>1</v>
      </c>
      <c r="E150" s="70" t="s">
        <v>1107</v>
      </c>
      <c r="F150" s="67">
        <f>F149+F147</f>
        <v>28.662400000000002</v>
      </c>
      <c r="G150" s="71"/>
      <c r="H150" s="296"/>
      <c r="I150" s="296"/>
    </row>
    <row r="151" spans="1:9">
      <c r="A151" s="492" t="s">
        <v>826</v>
      </c>
      <c r="B151" s="454"/>
      <c r="C151" s="450"/>
      <c r="D151" s="67">
        <v>1</v>
      </c>
      <c r="E151" s="70" t="s">
        <v>1107</v>
      </c>
      <c r="F151" s="67">
        <f>F150/D150</f>
        <v>28.662400000000002</v>
      </c>
      <c r="G151" s="71"/>
      <c r="H151" s="296"/>
      <c r="I151" s="296"/>
    </row>
    <row r="152" spans="1:9">
      <c r="A152" s="493" t="s">
        <v>829</v>
      </c>
      <c r="B152" s="454"/>
      <c r="C152" s="454"/>
      <c r="D152" s="450"/>
      <c r="E152" s="67"/>
      <c r="F152" s="67">
        <f>F151*1%</f>
        <v>0.28662400000000005</v>
      </c>
      <c r="G152" s="71"/>
      <c r="H152" s="296"/>
      <c r="I152" s="296"/>
    </row>
    <row r="153" spans="1:9">
      <c r="A153" s="493" t="s">
        <v>30</v>
      </c>
      <c r="B153" s="454"/>
      <c r="C153" s="454"/>
      <c r="D153" s="450"/>
      <c r="E153" s="71"/>
      <c r="F153" s="67">
        <f>F152+F151</f>
        <v>28.949024000000001</v>
      </c>
      <c r="G153" s="71"/>
      <c r="H153" s="296"/>
      <c r="I153" s="296"/>
    </row>
    <row r="154" spans="1:9">
      <c r="A154" s="493" t="s">
        <v>836</v>
      </c>
      <c r="B154" s="454"/>
      <c r="C154" s="454"/>
      <c r="D154" s="450"/>
      <c r="E154" s="67"/>
      <c r="F154" s="67">
        <f>F153*15%</f>
        <v>4.3423536</v>
      </c>
      <c r="G154" s="71"/>
      <c r="H154" s="296"/>
      <c r="I154" s="296"/>
    </row>
    <row r="155" spans="1:9">
      <c r="A155" s="493" t="s">
        <v>30</v>
      </c>
      <c r="B155" s="454"/>
      <c r="C155" s="454"/>
      <c r="D155" s="450"/>
      <c r="E155" s="71"/>
      <c r="F155" s="191">
        <f>ROUND(F154+F153,2)</f>
        <v>33.29</v>
      </c>
      <c r="G155" s="71"/>
      <c r="H155" s="296"/>
      <c r="I155" s="296"/>
    </row>
    <row r="156" spans="1:9">
      <c r="A156" s="594" t="str">
        <f>CONCATENATE("Say ₹ ",F144," + ",F155," x Cost Index")</f>
        <v>Say ₹ 118.47 + 33.29 x Cost Index</v>
      </c>
      <c r="B156" s="454"/>
      <c r="C156" s="454"/>
      <c r="D156" s="454"/>
      <c r="E156" s="454"/>
      <c r="F156" s="454"/>
      <c r="G156" s="450"/>
      <c r="H156" s="297">
        <f>((F138*1.01*1.15))</f>
        <v>118.47299999999998</v>
      </c>
      <c r="I156" s="297">
        <f>((SUM(F147,F149)*1.01*1.15))</f>
        <v>33.291377599999997</v>
      </c>
    </row>
    <row r="157" spans="1:9">
      <c r="A157" s="486" t="s">
        <v>771</v>
      </c>
      <c r="B157" s="486" t="s">
        <v>776</v>
      </c>
      <c r="C157" s="487" t="s">
        <v>4</v>
      </c>
      <c r="D157" s="454"/>
      <c r="E157" s="450"/>
      <c r="F157" s="487" t="s">
        <v>785</v>
      </c>
      <c r="G157" s="450"/>
      <c r="H157" s="296"/>
      <c r="I157" s="296"/>
    </row>
    <row r="158" spans="1:9">
      <c r="A158" s="457"/>
      <c r="B158" s="457"/>
      <c r="C158" s="62" t="s">
        <v>5</v>
      </c>
      <c r="D158" s="62" t="s">
        <v>6</v>
      </c>
      <c r="E158" s="62" t="s">
        <v>336</v>
      </c>
      <c r="F158" s="62" t="s">
        <v>8</v>
      </c>
      <c r="G158" s="62" t="s">
        <v>789</v>
      </c>
      <c r="H158" s="296"/>
      <c r="I158" s="296"/>
    </row>
    <row r="159" spans="1:9">
      <c r="A159" s="612" t="s">
        <v>1727</v>
      </c>
      <c r="B159" s="454"/>
      <c r="C159" s="454"/>
      <c r="D159" s="454"/>
      <c r="E159" s="454"/>
      <c r="F159" s="454"/>
      <c r="G159" s="450"/>
      <c r="H159" s="296"/>
      <c r="I159" s="296"/>
    </row>
    <row r="160" spans="1:9">
      <c r="A160" s="65"/>
      <c r="B160" s="66" t="s">
        <v>795</v>
      </c>
      <c r="C160" s="66" t="s">
        <v>1107</v>
      </c>
      <c r="D160" s="66" t="s">
        <v>798</v>
      </c>
      <c r="E160" s="67">
        <v>1</v>
      </c>
      <c r="F160" s="484"/>
      <c r="G160" s="450"/>
      <c r="H160" s="296"/>
      <c r="I160" s="296"/>
    </row>
    <row r="161" spans="1:9">
      <c r="A161" s="66" t="s">
        <v>800</v>
      </c>
      <c r="B161" s="484" t="s">
        <v>1609</v>
      </c>
      <c r="C161" s="454"/>
      <c r="D161" s="454"/>
      <c r="E161" s="454"/>
      <c r="F161" s="454"/>
      <c r="G161" s="450"/>
      <c r="H161" s="296"/>
      <c r="I161" s="296"/>
    </row>
    <row r="162" spans="1:9">
      <c r="A162" s="490" t="s">
        <v>802</v>
      </c>
      <c r="B162" s="454"/>
      <c r="C162" s="454"/>
      <c r="D162" s="454"/>
      <c r="E162" s="454"/>
      <c r="F162" s="450"/>
      <c r="G162" s="68" t="s">
        <v>803</v>
      </c>
      <c r="H162" s="296"/>
      <c r="I162" s="296"/>
    </row>
    <row r="163" spans="1:9">
      <c r="A163" s="491"/>
      <c r="B163" s="491" t="s">
        <v>1729</v>
      </c>
      <c r="C163" s="484" t="s">
        <v>1730</v>
      </c>
      <c r="D163" s="454"/>
      <c r="E163" s="450"/>
      <c r="F163" s="484"/>
      <c r="G163" s="450"/>
      <c r="H163" s="296"/>
      <c r="I163" s="296"/>
    </row>
    <row r="164" spans="1:9">
      <c r="A164" s="457"/>
      <c r="B164" s="457"/>
      <c r="C164" s="66" t="s">
        <v>46</v>
      </c>
      <c r="D164" s="67">
        <v>1</v>
      </c>
      <c r="E164" s="67">
        <v>39.5</v>
      </c>
      <c r="F164" s="67">
        <f>D164*E164</f>
        <v>39.5</v>
      </c>
      <c r="G164" s="66" t="s">
        <v>808</v>
      </c>
      <c r="H164" s="296"/>
      <c r="I164" s="296"/>
    </row>
    <row r="165" spans="1:9">
      <c r="A165" s="492" t="s">
        <v>1105</v>
      </c>
      <c r="B165" s="454"/>
      <c r="C165" s="450"/>
      <c r="D165" s="67">
        <v>1</v>
      </c>
      <c r="E165" s="70" t="s">
        <v>1107</v>
      </c>
      <c r="F165" s="67">
        <f>F164</f>
        <v>39.5</v>
      </c>
      <c r="G165" s="66"/>
      <c r="H165" s="296"/>
      <c r="I165" s="296"/>
    </row>
    <row r="166" spans="1:9">
      <c r="A166" s="492" t="s">
        <v>826</v>
      </c>
      <c r="B166" s="454"/>
      <c r="C166" s="450"/>
      <c r="D166" s="67">
        <v>1</v>
      </c>
      <c r="E166" s="70" t="s">
        <v>1107</v>
      </c>
      <c r="F166" s="67">
        <f>F165/D165</f>
        <v>39.5</v>
      </c>
      <c r="G166" s="66"/>
      <c r="H166" s="296"/>
      <c r="I166" s="296"/>
    </row>
    <row r="167" spans="1:9">
      <c r="A167" s="493" t="s">
        <v>829</v>
      </c>
      <c r="B167" s="454"/>
      <c r="C167" s="454"/>
      <c r="D167" s="450"/>
      <c r="E167" s="67"/>
      <c r="F167" s="67">
        <f>F166*1%</f>
        <v>0.39500000000000002</v>
      </c>
      <c r="G167" s="66"/>
      <c r="H167" s="296"/>
      <c r="I167" s="296"/>
    </row>
    <row r="168" spans="1:9">
      <c r="A168" s="493" t="s">
        <v>30</v>
      </c>
      <c r="B168" s="454"/>
      <c r="C168" s="454"/>
      <c r="D168" s="450"/>
      <c r="E168" s="71"/>
      <c r="F168" s="67">
        <f>F167+F166</f>
        <v>39.895000000000003</v>
      </c>
      <c r="G168" s="66"/>
      <c r="H168" s="296"/>
      <c r="I168" s="296"/>
    </row>
    <row r="169" spans="1:9">
      <c r="A169" s="493" t="s">
        <v>836</v>
      </c>
      <c r="B169" s="454"/>
      <c r="C169" s="454"/>
      <c r="D169" s="450"/>
      <c r="E169" s="67"/>
      <c r="F169" s="67">
        <f>F168*15%</f>
        <v>5.9842500000000003</v>
      </c>
      <c r="G169" s="66"/>
      <c r="H169" s="296"/>
      <c r="I169" s="296"/>
    </row>
    <row r="170" spans="1:9">
      <c r="A170" s="493" t="s">
        <v>30</v>
      </c>
      <c r="B170" s="454"/>
      <c r="C170" s="454"/>
      <c r="D170" s="450"/>
      <c r="E170" s="71"/>
      <c r="F170" s="191">
        <f>ROUND(F169+F168,2)</f>
        <v>45.88</v>
      </c>
      <c r="G170" s="66"/>
      <c r="H170" s="296"/>
      <c r="I170" s="296"/>
    </row>
    <row r="171" spans="1:9">
      <c r="A171" s="490" t="s">
        <v>847</v>
      </c>
      <c r="B171" s="454"/>
      <c r="C171" s="454"/>
      <c r="D171" s="454"/>
      <c r="E171" s="454"/>
      <c r="F171" s="450"/>
      <c r="G171" s="68" t="s">
        <v>820</v>
      </c>
      <c r="H171" s="296"/>
      <c r="I171" s="296"/>
    </row>
    <row r="172" spans="1:9">
      <c r="A172" s="491">
        <v>9999</v>
      </c>
      <c r="B172" s="491"/>
      <c r="C172" s="484" t="s">
        <v>1736</v>
      </c>
      <c r="D172" s="454"/>
      <c r="E172" s="450"/>
      <c r="F172" s="484"/>
      <c r="G172" s="450"/>
      <c r="H172" s="296"/>
      <c r="I172" s="296"/>
    </row>
    <row r="173" spans="1:9">
      <c r="A173" s="457"/>
      <c r="B173" s="457"/>
      <c r="C173" s="66" t="s">
        <v>62</v>
      </c>
      <c r="D173" s="67">
        <v>3.41</v>
      </c>
      <c r="E173" s="67">
        <v>2.12</v>
      </c>
      <c r="F173" s="67">
        <f>E173*D173</f>
        <v>7.2292000000000005</v>
      </c>
      <c r="G173" s="66" t="s">
        <v>851</v>
      </c>
      <c r="H173" s="296"/>
      <c r="I173" s="296"/>
    </row>
    <row r="174" spans="1:9">
      <c r="A174" s="491">
        <v>9999</v>
      </c>
      <c r="B174" s="491"/>
      <c r="C174" s="484" t="s">
        <v>1628</v>
      </c>
      <c r="D174" s="454"/>
      <c r="E174" s="450"/>
      <c r="F174" s="484"/>
      <c r="G174" s="450"/>
      <c r="H174" s="296"/>
      <c r="I174" s="296"/>
    </row>
    <row r="175" spans="1:9">
      <c r="A175" s="457"/>
      <c r="B175" s="457"/>
      <c r="C175" s="66" t="s">
        <v>62</v>
      </c>
      <c r="D175" s="67">
        <v>9.36</v>
      </c>
      <c r="E175" s="67">
        <v>2.12</v>
      </c>
      <c r="F175" s="67">
        <f>D175*E175</f>
        <v>19.8432</v>
      </c>
      <c r="G175" s="66" t="s">
        <v>854</v>
      </c>
      <c r="H175" s="296"/>
      <c r="I175" s="296"/>
    </row>
    <row r="176" spans="1:9">
      <c r="A176" s="492" t="s">
        <v>1630</v>
      </c>
      <c r="B176" s="454"/>
      <c r="C176" s="450"/>
      <c r="D176" s="67">
        <v>1</v>
      </c>
      <c r="E176" s="70" t="s">
        <v>1107</v>
      </c>
      <c r="F176" s="67">
        <f>F175+F173</f>
        <v>27.072400000000002</v>
      </c>
      <c r="G176" s="71"/>
      <c r="H176" s="296"/>
      <c r="I176" s="296"/>
    </row>
    <row r="177" spans="1:9">
      <c r="A177" s="492" t="s">
        <v>826</v>
      </c>
      <c r="B177" s="454"/>
      <c r="C177" s="450"/>
      <c r="D177" s="67">
        <v>1</v>
      </c>
      <c r="E177" s="70" t="s">
        <v>1107</v>
      </c>
      <c r="F177" s="67">
        <f>F176/D176</f>
        <v>27.072400000000002</v>
      </c>
      <c r="G177" s="71"/>
      <c r="H177" s="296"/>
      <c r="I177" s="296"/>
    </row>
    <row r="178" spans="1:9">
      <c r="A178" s="493" t="s">
        <v>829</v>
      </c>
      <c r="B178" s="454"/>
      <c r="C178" s="454"/>
      <c r="D178" s="450"/>
      <c r="E178" s="67"/>
      <c r="F178" s="67">
        <f>F177*1%</f>
        <v>0.27072400000000002</v>
      </c>
      <c r="G178" s="71"/>
      <c r="H178" s="296"/>
      <c r="I178" s="296"/>
    </row>
    <row r="179" spans="1:9">
      <c r="A179" s="493" t="s">
        <v>30</v>
      </c>
      <c r="B179" s="454"/>
      <c r="C179" s="454"/>
      <c r="D179" s="450"/>
      <c r="E179" s="71"/>
      <c r="F179" s="67">
        <f>F178+F177</f>
        <v>27.343124000000003</v>
      </c>
      <c r="G179" s="71"/>
      <c r="H179" s="296"/>
      <c r="I179" s="296"/>
    </row>
    <row r="180" spans="1:9">
      <c r="A180" s="493" t="s">
        <v>836</v>
      </c>
      <c r="B180" s="454"/>
      <c r="C180" s="454"/>
      <c r="D180" s="450"/>
      <c r="E180" s="67"/>
      <c r="F180" s="67">
        <f>F179*15%</f>
        <v>4.1014686000000005</v>
      </c>
      <c r="G180" s="71"/>
      <c r="H180" s="296"/>
      <c r="I180" s="296"/>
    </row>
    <row r="181" spans="1:9">
      <c r="A181" s="493" t="s">
        <v>30</v>
      </c>
      <c r="B181" s="454"/>
      <c r="C181" s="454"/>
      <c r="D181" s="450"/>
      <c r="E181" s="71"/>
      <c r="F181" s="191">
        <f>ROUND(F180+F179,2)</f>
        <v>31.44</v>
      </c>
      <c r="G181" s="71"/>
      <c r="H181" s="296"/>
      <c r="I181" s="296"/>
    </row>
    <row r="182" spans="1:9">
      <c r="A182" s="594" t="str">
        <f>CONCATENATE("Say ₹ ",F170," + ",F181," x Cost Index")</f>
        <v>Say ₹ 45.88 + 31.44 x Cost Index</v>
      </c>
      <c r="B182" s="454"/>
      <c r="C182" s="454"/>
      <c r="D182" s="454"/>
      <c r="E182" s="454"/>
      <c r="F182" s="454"/>
      <c r="G182" s="450"/>
      <c r="H182" s="297">
        <f>((F164*1.01*1.15))</f>
        <v>45.879249999999999</v>
      </c>
      <c r="I182" s="297">
        <f>((SUM(F173,F175)*1.01*1.15))</f>
        <v>31.4445926</v>
      </c>
    </row>
    <row r="183" spans="1:9">
      <c r="A183" s="486" t="s">
        <v>771</v>
      </c>
      <c r="B183" s="486" t="s">
        <v>776</v>
      </c>
      <c r="C183" s="487" t="s">
        <v>4</v>
      </c>
      <c r="D183" s="454"/>
      <c r="E183" s="450"/>
      <c r="F183" s="487" t="s">
        <v>785</v>
      </c>
      <c r="G183" s="450"/>
      <c r="H183" s="296"/>
      <c r="I183" s="296"/>
    </row>
    <row r="184" spans="1:9">
      <c r="A184" s="457"/>
      <c r="B184" s="457"/>
      <c r="C184" s="62" t="s">
        <v>5</v>
      </c>
      <c r="D184" s="62" t="s">
        <v>6</v>
      </c>
      <c r="E184" s="62" t="s">
        <v>336</v>
      </c>
      <c r="F184" s="62" t="s">
        <v>8</v>
      </c>
      <c r="G184" s="62" t="s">
        <v>789</v>
      </c>
      <c r="H184" s="296"/>
      <c r="I184" s="296"/>
    </row>
    <row r="185" spans="1:9">
      <c r="A185" s="612" t="s">
        <v>1739</v>
      </c>
      <c r="B185" s="454"/>
      <c r="C185" s="454"/>
      <c r="D185" s="454"/>
      <c r="E185" s="454"/>
      <c r="F185" s="454"/>
      <c r="G185" s="450"/>
      <c r="H185" s="296"/>
      <c r="I185" s="296"/>
    </row>
    <row r="186" spans="1:9">
      <c r="A186" s="65"/>
      <c r="B186" s="66" t="s">
        <v>795</v>
      </c>
      <c r="C186" s="66" t="s">
        <v>1107</v>
      </c>
      <c r="D186" s="66" t="s">
        <v>798</v>
      </c>
      <c r="E186" s="67">
        <v>1</v>
      </c>
      <c r="F186" s="484"/>
      <c r="G186" s="450"/>
      <c r="H186" s="296"/>
      <c r="I186" s="296"/>
    </row>
    <row r="187" spans="1:9">
      <c r="A187" s="66" t="s">
        <v>800</v>
      </c>
      <c r="B187" s="484" t="s">
        <v>1609</v>
      </c>
      <c r="C187" s="454"/>
      <c r="D187" s="454"/>
      <c r="E187" s="454"/>
      <c r="F187" s="454"/>
      <c r="G187" s="450"/>
      <c r="H187" s="296"/>
      <c r="I187" s="296"/>
    </row>
    <row r="188" spans="1:9">
      <c r="A188" s="490" t="s">
        <v>802</v>
      </c>
      <c r="B188" s="454"/>
      <c r="C188" s="454"/>
      <c r="D188" s="454"/>
      <c r="E188" s="454"/>
      <c r="F188" s="450"/>
      <c r="G188" s="68" t="s">
        <v>803</v>
      </c>
      <c r="H188" s="296"/>
      <c r="I188" s="296"/>
    </row>
    <row r="189" spans="1:9">
      <c r="A189" s="491"/>
      <c r="B189" s="491" t="s">
        <v>1740</v>
      </c>
      <c r="C189" s="484" t="s">
        <v>1741</v>
      </c>
      <c r="D189" s="454"/>
      <c r="E189" s="450"/>
      <c r="F189" s="484"/>
      <c r="G189" s="450"/>
      <c r="H189" s="296"/>
      <c r="I189" s="296"/>
    </row>
    <row r="190" spans="1:9">
      <c r="A190" s="457"/>
      <c r="B190" s="457"/>
      <c r="C190" s="66" t="s">
        <v>46</v>
      </c>
      <c r="D190" s="67">
        <v>1</v>
      </c>
      <c r="E190" s="67">
        <v>47.5</v>
      </c>
      <c r="F190" s="67">
        <f>D190*E190</f>
        <v>47.5</v>
      </c>
      <c r="G190" s="66" t="s">
        <v>808</v>
      </c>
      <c r="H190" s="296"/>
      <c r="I190" s="296"/>
    </row>
    <row r="191" spans="1:9">
      <c r="A191" s="492" t="s">
        <v>1105</v>
      </c>
      <c r="B191" s="454"/>
      <c r="C191" s="450"/>
      <c r="D191" s="67">
        <v>1</v>
      </c>
      <c r="E191" s="70" t="s">
        <v>1107</v>
      </c>
      <c r="F191" s="67">
        <f>F190</f>
        <v>47.5</v>
      </c>
      <c r="G191" s="66"/>
      <c r="H191" s="296"/>
      <c r="I191" s="296"/>
    </row>
    <row r="192" spans="1:9">
      <c r="A192" s="492" t="s">
        <v>826</v>
      </c>
      <c r="B192" s="454"/>
      <c r="C192" s="450"/>
      <c r="D192" s="67">
        <v>1</v>
      </c>
      <c r="E192" s="70" t="s">
        <v>1107</v>
      </c>
      <c r="F192" s="67">
        <f>F191/D191</f>
        <v>47.5</v>
      </c>
      <c r="G192" s="66"/>
      <c r="H192" s="296"/>
      <c r="I192" s="296"/>
    </row>
    <row r="193" spans="1:9">
      <c r="A193" s="493" t="s">
        <v>829</v>
      </c>
      <c r="B193" s="454"/>
      <c r="C193" s="454"/>
      <c r="D193" s="450"/>
      <c r="E193" s="67"/>
      <c r="F193" s="67">
        <f>F192*1%</f>
        <v>0.47500000000000003</v>
      </c>
      <c r="G193" s="66"/>
      <c r="H193" s="296"/>
      <c r="I193" s="296"/>
    </row>
    <row r="194" spans="1:9">
      <c r="A194" s="493" t="s">
        <v>30</v>
      </c>
      <c r="B194" s="454"/>
      <c r="C194" s="454"/>
      <c r="D194" s="450"/>
      <c r="E194" s="71"/>
      <c r="F194" s="67">
        <f>F193+F192</f>
        <v>47.975000000000001</v>
      </c>
      <c r="G194" s="66"/>
      <c r="H194" s="296"/>
      <c r="I194" s="296"/>
    </row>
    <row r="195" spans="1:9">
      <c r="A195" s="493" t="s">
        <v>836</v>
      </c>
      <c r="B195" s="454"/>
      <c r="C195" s="454"/>
      <c r="D195" s="450"/>
      <c r="E195" s="67"/>
      <c r="F195" s="67">
        <f>F194*15%</f>
        <v>7.19625</v>
      </c>
      <c r="G195" s="66"/>
      <c r="H195" s="296"/>
      <c r="I195" s="296"/>
    </row>
    <row r="196" spans="1:9">
      <c r="A196" s="493" t="s">
        <v>30</v>
      </c>
      <c r="B196" s="454"/>
      <c r="C196" s="454"/>
      <c r="D196" s="450"/>
      <c r="E196" s="71"/>
      <c r="F196" s="191">
        <f>ROUND(F195+F194,2)</f>
        <v>55.17</v>
      </c>
      <c r="G196" s="66"/>
      <c r="H196" s="296"/>
      <c r="I196" s="296"/>
    </row>
    <row r="197" spans="1:9">
      <c r="A197" s="490" t="s">
        <v>847</v>
      </c>
      <c r="B197" s="454"/>
      <c r="C197" s="454"/>
      <c r="D197" s="454"/>
      <c r="E197" s="454"/>
      <c r="F197" s="450"/>
      <c r="G197" s="68" t="s">
        <v>820</v>
      </c>
      <c r="H197" s="296"/>
      <c r="I197" s="296"/>
    </row>
    <row r="198" spans="1:9">
      <c r="A198" s="491">
        <v>9999</v>
      </c>
      <c r="B198" s="491"/>
      <c r="C198" s="484" t="s">
        <v>1736</v>
      </c>
      <c r="D198" s="454"/>
      <c r="E198" s="450"/>
      <c r="F198" s="484"/>
      <c r="G198" s="450"/>
      <c r="H198" s="296"/>
      <c r="I198" s="296"/>
    </row>
    <row r="199" spans="1:9">
      <c r="A199" s="457"/>
      <c r="B199" s="457"/>
      <c r="C199" s="66" t="s">
        <v>62</v>
      </c>
      <c r="D199" s="67">
        <v>3.41</v>
      </c>
      <c r="E199" s="67">
        <v>2.12</v>
      </c>
      <c r="F199" s="67">
        <f>E199*D199</f>
        <v>7.2292000000000005</v>
      </c>
      <c r="G199" s="66" t="s">
        <v>851</v>
      </c>
      <c r="H199" s="296"/>
      <c r="I199" s="296"/>
    </row>
    <row r="200" spans="1:9">
      <c r="A200" s="491">
        <v>9999</v>
      </c>
      <c r="B200" s="491"/>
      <c r="C200" s="484" t="s">
        <v>1628</v>
      </c>
      <c r="D200" s="454"/>
      <c r="E200" s="450"/>
      <c r="F200" s="484"/>
      <c r="G200" s="450"/>
      <c r="H200" s="296"/>
      <c r="I200" s="296"/>
    </row>
    <row r="201" spans="1:9">
      <c r="A201" s="457"/>
      <c r="B201" s="457"/>
      <c r="C201" s="66" t="s">
        <v>62</v>
      </c>
      <c r="D201" s="67">
        <v>9.36</v>
      </c>
      <c r="E201" s="67">
        <v>2.12</v>
      </c>
      <c r="F201" s="67">
        <f>D201*E201</f>
        <v>19.8432</v>
      </c>
      <c r="G201" s="66" t="s">
        <v>854</v>
      </c>
      <c r="H201" s="296"/>
      <c r="I201" s="296"/>
    </row>
    <row r="202" spans="1:9">
      <c r="A202" s="492" t="s">
        <v>1630</v>
      </c>
      <c r="B202" s="454"/>
      <c r="C202" s="450"/>
      <c r="D202" s="67">
        <v>1</v>
      </c>
      <c r="E202" s="70" t="s">
        <v>1107</v>
      </c>
      <c r="F202" s="67">
        <f>F201+F199</f>
        <v>27.072400000000002</v>
      </c>
      <c r="G202" s="71"/>
      <c r="H202" s="296"/>
      <c r="I202" s="296"/>
    </row>
    <row r="203" spans="1:9">
      <c r="A203" s="492" t="s">
        <v>826</v>
      </c>
      <c r="B203" s="454"/>
      <c r="C203" s="450"/>
      <c r="D203" s="67">
        <v>1</v>
      </c>
      <c r="E203" s="70" t="s">
        <v>1107</v>
      </c>
      <c r="F203" s="67">
        <f>F202/D202</f>
        <v>27.072400000000002</v>
      </c>
      <c r="G203" s="71"/>
      <c r="H203" s="296"/>
      <c r="I203" s="296"/>
    </row>
    <row r="204" spans="1:9">
      <c r="A204" s="493" t="s">
        <v>829</v>
      </c>
      <c r="B204" s="454"/>
      <c r="C204" s="454"/>
      <c r="D204" s="450"/>
      <c r="E204" s="67"/>
      <c r="F204" s="67">
        <f>F203*1%</f>
        <v>0.27072400000000002</v>
      </c>
      <c r="G204" s="71"/>
      <c r="H204" s="296"/>
      <c r="I204" s="296"/>
    </row>
    <row r="205" spans="1:9">
      <c r="A205" s="493" t="s">
        <v>30</v>
      </c>
      <c r="B205" s="454"/>
      <c r="C205" s="454"/>
      <c r="D205" s="450"/>
      <c r="E205" s="71"/>
      <c r="F205" s="67">
        <f>F204+F203</f>
        <v>27.343124000000003</v>
      </c>
      <c r="G205" s="71"/>
      <c r="H205" s="296"/>
      <c r="I205" s="296"/>
    </row>
    <row r="206" spans="1:9">
      <c r="A206" s="493" t="s">
        <v>836</v>
      </c>
      <c r="B206" s="454"/>
      <c r="C206" s="454"/>
      <c r="D206" s="450"/>
      <c r="E206" s="67"/>
      <c r="F206" s="67">
        <f>F205*15%</f>
        <v>4.1014686000000005</v>
      </c>
      <c r="G206" s="71"/>
      <c r="H206" s="296"/>
      <c r="I206" s="296"/>
    </row>
    <row r="207" spans="1:9">
      <c r="A207" s="493" t="s">
        <v>30</v>
      </c>
      <c r="B207" s="454"/>
      <c r="C207" s="454"/>
      <c r="D207" s="450"/>
      <c r="E207" s="71"/>
      <c r="F207" s="191">
        <f>ROUND(F206+F205,2)</f>
        <v>31.44</v>
      </c>
      <c r="G207" s="71"/>
      <c r="H207" s="296"/>
      <c r="I207" s="296"/>
    </row>
    <row r="208" spans="1:9">
      <c r="A208" s="594" t="str">
        <f>CONCATENATE("Say ₹ ",F196," + ",F207," x Cost Index")</f>
        <v>Say ₹ 55.17 + 31.44 x Cost Index</v>
      </c>
      <c r="B208" s="454"/>
      <c r="C208" s="454"/>
      <c r="D208" s="454"/>
      <c r="E208" s="454"/>
      <c r="F208" s="454"/>
      <c r="G208" s="450"/>
      <c r="H208" s="297">
        <f>((F190*1.01*1.15))</f>
        <v>55.171250000000001</v>
      </c>
      <c r="I208" s="297">
        <f>((SUM(F199,F201)*1.01*1.15))</f>
        <v>31.4445926</v>
      </c>
    </row>
    <row r="209" spans="1:9">
      <c r="A209" s="486" t="s">
        <v>771</v>
      </c>
      <c r="B209" s="486" t="s">
        <v>776</v>
      </c>
      <c r="C209" s="487" t="s">
        <v>4</v>
      </c>
      <c r="D209" s="454"/>
      <c r="E209" s="450"/>
      <c r="F209" s="487" t="s">
        <v>785</v>
      </c>
      <c r="G209" s="450"/>
      <c r="H209" s="296"/>
      <c r="I209" s="296"/>
    </row>
    <row r="210" spans="1:9">
      <c r="A210" s="457"/>
      <c r="B210" s="457"/>
      <c r="C210" s="62" t="s">
        <v>5</v>
      </c>
      <c r="D210" s="62" t="s">
        <v>6</v>
      </c>
      <c r="E210" s="62" t="s">
        <v>336</v>
      </c>
      <c r="F210" s="62" t="s">
        <v>8</v>
      </c>
      <c r="G210" s="62" t="s">
        <v>789</v>
      </c>
      <c r="H210" s="296"/>
      <c r="I210" s="296"/>
    </row>
    <row r="211" spans="1:9">
      <c r="A211" s="612" t="s">
        <v>1746</v>
      </c>
      <c r="B211" s="454"/>
      <c r="C211" s="454"/>
      <c r="D211" s="454"/>
      <c r="E211" s="454"/>
      <c r="F211" s="454"/>
      <c r="G211" s="450"/>
      <c r="H211" s="296"/>
      <c r="I211" s="296"/>
    </row>
    <row r="212" spans="1:9">
      <c r="A212" s="65"/>
      <c r="B212" s="66" t="s">
        <v>795</v>
      </c>
      <c r="C212" s="66" t="s">
        <v>1107</v>
      </c>
      <c r="D212" s="66" t="s">
        <v>798</v>
      </c>
      <c r="E212" s="67">
        <v>1</v>
      </c>
      <c r="F212" s="484"/>
      <c r="G212" s="450"/>
      <c r="H212" s="296"/>
      <c r="I212" s="296"/>
    </row>
    <row r="213" spans="1:9">
      <c r="A213" s="66" t="s">
        <v>800</v>
      </c>
      <c r="B213" s="484" t="s">
        <v>1747</v>
      </c>
      <c r="C213" s="454"/>
      <c r="D213" s="454"/>
      <c r="E213" s="454"/>
      <c r="F213" s="454"/>
      <c r="G213" s="450"/>
      <c r="H213" s="296"/>
      <c r="I213" s="296"/>
    </row>
    <row r="214" spans="1:9">
      <c r="A214" s="490" t="s">
        <v>802</v>
      </c>
      <c r="B214" s="454"/>
      <c r="C214" s="454"/>
      <c r="D214" s="454"/>
      <c r="E214" s="454"/>
      <c r="F214" s="450"/>
      <c r="G214" s="68" t="s">
        <v>803</v>
      </c>
      <c r="H214" s="296"/>
      <c r="I214" s="296"/>
    </row>
    <row r="215" spans="1:9">
      <c r="A215" s="491"/>
      <c r="B215" s="491" t="s">
        <v>1748</v>
      </c>
      <c r="C215" s="484" t="s">
        <v>1749</v>
      </c>
      <c r="D215" s="454"/>
      <c r="E215" s="450"/>
      <c r="F215" s="484"/>
      <c r="G215" s="450"/>
      <c r="H215" s="296"/>
      <c r="I215" s="296"/>
    </row>
    <row r="216" spans="1:9">
      <c r="A216" s="457"/>
      <c r="B216" s="457"/>
      <c r="C216" s="66" t="s">
        <v>46</v>
      </c>
      <c r="D216" s="67">
        <v>1</v>
      </c>
      <c r="E216" s="67">
        <v>112</v>
      </c>
      <c r="F216" s="67">
        <f>D216*E216</f>
        <v>112</v>
      </c>
      <c r="G216" s="66" t="s">
        <v>808</v>
      </c>
      <c r="H216" s="296"/>
      <c r="I216" s="296"/>
    </row>
    <row r="217" spans="1:9">
      <c r="A217" s="492" t="s">
        <v>1105</v>
      </c>
      <c r="B217" s="454"/>
      <c r="C217" s="450"/>
      <c r="D217" s="67">
        <v>1</v>
      </c>
      <c r="E217" s="70" t="s">
        <v>1107</v>
      </c>
      <c r="F217" s="67">
        <f>F216</f>
        <v>112</v>
      </c>
      <c r="G217" s="66"/>
      <c r="H217" s="296"/>
      <c r="I217" s="296"/>
    </row>
    <row r="218" spans="1:9">
      <c r="A218" s="492" t="s">
        <v>826</v>
      </c>
      <c r="B218" s="454"/>
      <c r="C218" s="450"/>
      <c r="D218" s="67">
        <v>1</v>
      </c>
      <c r="E218" s="70" t="s">
        <v>1107</v>
      </c>
      <c r="F218" s="67">
        <f>F217/D217</f>
        <v>112</v>
      </c>
      <c r="G218" s="66"/>
      <c r="H218" s="296"/>
      <c r="I218" s="296"/>
    </row>
    <row r="219" spans="1:9">
      <c r="A219" s="493" t="s">
        <v>829</v>
      </c>
      <c r="B219" s="454"/>
      <c r="C219" s="454"/>
      <c r="D219" s="450"/>
      <c r="E219" s="67"/>
      <c r="F219" s="67">
        <f>F218*1%</f>
        <v>1.1200000000000001</v>
      </c>
      <c r="G219" s="66"/>
      <c r="H219" s="296"/>
      <c r="I219" s="296"/>
    </row>
    <row r="220" spans="1:9">
      <c r="A220" s="493" t="s">
        <v>30</v>
      </c>
      <c r="B220" s="454"/>
      <c r="C220" s="454"/>
      <c r="D220" s="450"/>
      <c r="E220" s="71"/>
      <c r="F220" s="67">
        <f>F219+F218</f>
        <v>113.12</v>
      </c>
      <c r="G220" s="66"/>
      <c r="H220" s="296"/>
      <c r="I220" s="296"/>
    </row>
    <row r="221" spans="1:9">
      <c r="A221" s="493" t="s">
        <v>836</v>
      </c>
      <c r="B221" s="454"/>
      <c r="C221" s="454"/>
      <c r="D221" s="450"/>
      <c r="E221" s="67"/>
      <c r="F221" s="67">
        <f>F220*15%</f>
        <v>16.968</v>
      </c>
      <c r="G221" s="66"/>
      <c r="H221" s="296"/>
      <c r="I221" s="296"/>
    </row>
    <row r="222" spans="1:9">
      <c r="A222" s="493" t="s">
        <v>30</v>
      </c>
      <c r="B222" s="454"/>
      <c r="C222" s="454"/>
      <c r="D222" s="450"/>
      <c r="E222" s="71"/>
      <c r="F222" s="191">
        <f>ROUND(F221+F220,2)</f>
        <v>130.09</v>
      </c>
      <c r="G222" s="66"/>
      <c r="H222" s="296"/>
      <c r="I222" s="296"/>
    </row>
    <row r="223" spans="1:9">
      <c r="A223" s="490" t="s">
        <v>847</v>
      </c>
      <c r="B223" s="454"/>
      <c r="C223" s="454"/>
      <c r="D223" s="454"/>
      <c r="E223" s="454"/>
      <c r="F223" s="450"/>
      <c r="G223" s="68" t="s">
        <v>820</v>
      </c>
      <c r="H223" s="296"/>
      <c r="I223" s="296"/>
    </row>
    <row r="224" spans="1:9">
      <c r="A224" s="491">
        <v>9999</v>
      </c>
      <c r="B224" s="491"/>
      <c r="C224" s="484" t="s">
        <v>1624</v>
      </c>
      <c r="D224" s="454"/>
      <c r="E224" s="450"/>
      <c r="F224" s="484"/>
      <c r="G224" s="450"/>
      <c r="H224" s="296"/>
      <c r="I224" s="296"/>
    </row>
    <row r="225" spans="1:9">
      <c r="A225" s="457"/>
      <c r="B225" s="457"/>
      <c r="C225" s="66" t="s">
        <v>62</v>
      </c>
      <c r="D225" s="67">
        <v>3.41</v>
      </c>
      <c r="E225" s="67">
        <v>2.12</v>
      </c>
      <c r="F225" s="67">
        <f>E225*D225</f>
        <v>7.2292000000000005</v>
      </c>
      <c r="G225" s="66" t="s">
        <v>851</v>
      </c>
      <c r="H225" s="296"/>
      <c r="I225" s="296"/>
    </row>
    <row r="226" spans="1:9">
      <c r="A226" s="491">
        <v>9999</v>
      </c>
      <c r="B226" s="491"/>
      <c r="C226" s="484" t="s">
        <v>1628</v>
      </c>
      <c r="D226" s="454"/>
      <c r="E226" s="450"/>
      <c r="F226" s="484"/>
      <c r="G226" s="450"/>
      <c r="H226" s="296"/>
      <c r="I226" s="296"/>
    </row>
    <row r="227" spans="1:9">
      <c r="A227" s="457"/>
      <c r="B227" s="457"/>
      <c r="C227" s="66" t="s">
        <v>62</v>
      </c>
      <c r="D227" s="67">
        <v>10.79</v>
      </c>
      <c r="E227" s="67">
        <v>2.12</v>
      </c>
      <c r="F227" s="67">
        <f>D227*E227</f>
        <v>22.8748</v>
      </c>
      <c r="G227" s="66" t="s">
        <v>854</v>
      </c>
      <c r="H227" s="296"/>
      <c r="I227" s="296"/>
    </row>
    <row r="228" spans="1:9">
      <c r="A228" s="492" t="s">
        <v>1630</v>
      </c>
      <c r="B228" s="454"/>
      <c r="C228" s="450"/>
      <c r="D228" s="67">
        <v>1</v>
      </c>
      <c r="E228" s="70" t="s">
        <v>1107</v>
      </c>
      <c r="F228" s="67">
        <f>F227+F225</f>
        <v>30.103999999999999</v>
      </c>
      <c r="G228" s="71"/>
      <c r="H228" s="296"/>
      <c r="I228" s="296"/>
    </row>
    <row r="229" spans="1:9">
      <c r="A229" s="492" t="s">
        <v>826</v>
      </c>
      <c r="B229" s="454"/>
      <c r="C229" s="450"/>
      <c r="D229" s="67">
        <v>1</v>
      </c>
      <c r="E229" s="70" t="s">
        <v>1107</v>
      </c>
      <c r="F229" s="67">
        <f>F228/D228</f>
        <v>30.103999999999999</v>
      </c>
      <c r="G229" s="71"/>
      <c r="H229" s="296"/>
      <c r="I229" s="296"/>
    </row>
    <row r="230" spans="1:9">
      <c r="A230" s="493" t="s">
        <v>829</v>
      </c>
      <c r="B230" s="454"/>
      <c r="C230" s="454"/>
      <c r="D230" s="450"/>
      <c r="E230" s="67"/>
      <c r="F230" s="67">
        <f>F229*1%</f>
        <v>0.30103999999999997</v>
      </c>
      <c r="G230" s="71"/>
      <c r="H230" s="296"/>
      <c r="I230" s="296"/>
    </row>
    <row r="231" spans="1:9">
      <c r="A231" s="493" t="s">
        <v>30</v>
      </c>
      <c r="B231" s="454"/>
      <c r="C231" s="454"/>
      <c r="D231" s="450"/>
      <c r="E231" s="71"/>
      <c r="F231" s="67">
        <f>F230+F229</f>
        <v>30.40504</v>
      </c>
      <c r="G231" s="71"/>
      <c r="H231" s="296"/>
      <c r="I231" s="296"/>
    </row>
    <row r="232" spans="1:9">
      <c r="A232" s="493" t="s">
        <v>836</v>
      </c>
      <c r="B232" s="454"/>
      <c r="C232" s="454"/>
      <c r="D232" s="450"/>
      <c r="E232" s="67"/>
      <c r="F232" s="67">
        <f>F231*15%</f>
        <v>4.5607559999999996</v>
      </c>
      <c r="G232" s="71"/>
      <c r="H232" s="296"/>
      <c r="I232" s="296"/>
    </row>
    <row r="233" spans="1:9">
      <c r="A233" s="493" t="s">
        <v>30</v>
      </c>
      <c r="B233" s="454"/>
      <c r="C233" s="454"/>
      <c r="D233" s="450"/>
      <c r="E233" s="71"/>
      <c r="F233" s="191">
        <f>ROUND(F232+F231,2)</f>
        <v>34.97</v>
      </c>
      <c r="G233" s="71"/>
      <c r="H233" s="296"/>
      <c r="I233" s="296"/>
    </row>
    <row r="234" spans="1:9">
      <c r="A234" s="594" t="str">
        <f>CONCATENATE("Say ₹ ",F222," + ",F233," x Cost Index")</f>
        <v>Say ₹ 130.09 + 34.97 x Cost Index</v>
      </c>
      <c r="B234" s="454"/>
      <c r="C234" s="454"/>
      <c r="D234" s="454"/>
      <c r="E234" s="454"/>
      <c r="F234" s="454"/>
      <c r="G234" s="450"/>
      <c r="H234" s="297">
        <f>((F216*1.01*1.15))</f>
        <v>130.08799999999999</v>
      </c>
      <c r="I234" s="297">
        <f>((SUM(F225,F227)*1.01*1.15))</f>
        <v>34.965795999999997</v>
      </c>
    </row>
    <row r="235" spans="1:9">
      <c r="A235" s="486" t="s">
        <v>771</v>
      </c>
      <c r="B235" s="486" t="s">
        <v>776</v>
      </c>
      <c r="C235" s="487" t="s">
        <v>4</v>
      </c>
      <c r="D235" s="454"/>
      <c r="E235" s="450"/>
      <c r="F235" s="487" t="s">
        <v>785</v>
      </c>
      <c r="G235" s="450"/>
      <c r="H235" s="296"/>
      <c r="I235" s="296"/>
    </row>
    <row r="236" spans="1:9">
      <c r="A236" s="457"/>
      <c r="B236" s="457"/>
      <c r="C236" s="62" t="s">
        <v>5</v>
      </c>
      <c r="D236" s="62" t="s">
        <v>6</v>
      </c>
      <c r="E236" s="62" t="s">
        <v>336</v>
      </c>
      <c r="F236" s="62" t="s">
        <v>8</v>
      </c>
      <c r="G236" s="62" t="s">
        <v>789</v>
      </c>
      <c r="H236" s="296"/>
      <c r="I236" s="296"/>
    </row>
    <row r="237" spans="1:9">
      <c r="A237" s="612" t="s">
        <v>1755</v>
      </c>
      <c r="B237" s="454"/>
      <c r="C237" s="454"/>
      <c r="D237" s="454"/>
      <c r="E237" s="454"/>
      <c r="F237" s="454"/>
      <c r="G237" s="450"/>
      <c r="H237" s="296"/>
      <c r="I237" s="296"/>
    </row>
    <row r="238" spans="1:9">
      <c r="A238" s="65"/>
      <c r="B238" s="66" t="s">
        <v>795</v>
      </c>
      <c r="C238" s="66" t="s">
        <v>1107</v>
      </c>
      <c r="D238" s="66" t="s">
        <v>798</v>
      </c>
      <c r="E238" s="67">
        <v>1</v>
      </c>
      <c r="F238" s="484"/>
      <c r="G238" s="450"/>
      <c r="H238" s="296"/>
      <c r="I238" s="296"/>
    </row>
    <row r="239" spans="1:9">
      <c r="A239" s="66" t="s">
        <v>800</v>
      </c>
      <c r="B239" s="484" t="s">
        <v>1609</v>
      </c>
      <c r="C239" s="454"/>
      <c r="D239" s="454"/>
      <c r="E239" s="454"/>
      <c r="F239" s="454"/>
      <c r="G239" s="450"/>
      <c r="H239" s="296"/>
      <c r="I239" s="296"/>
    </row>
    <row r="240" spans="1:9">
      <c r="A240" s="490" t="s">
        <v>802</v>
      </c>
      <c r="B240" s="454"/>
      <c r="C240" s="454"/>
      <c r="D240" s="454"/>
      <c r="E240" s="454"/>
      <c r="F240" s="450"/>
      <c r="G240" s="68" t="s">
        <v>803</v>
      </c>
      <c r="H240" s="296"/>
      <c r="I240" s="296"/>
    </row>
    <row r="241" spans="1:9">
      <c r="A241" s="491"/>
      <c r="B241" s="491" t="s">
        <v>1759</v>
      </c>
      <c r="C241" s="484" t="s">
        <v>1760</v>
      </c>
      <c r="D241" s="454"/>
      <c r="E241" s="450"/>
      <c r="F241" s="484"/>
      <c r="G241" s="450"/>
      <c r="H241" s="296"/>
      <c r="I241" s="296"/>
    </row>
    <row r="242" spans="1:9">
      <c r="A242" s="457"/>
      <c r="B242" s="457"/>
      <c r="C242" s="66" t="s">
        <v>46</v>
      </c>
      <c r="D242" s="67">
        <v>1</v>
      </c>
      <c r="E242" s="67">
        <v>46.5</v>
      </c>
      <c r="F242" s="67">
        <f>D242*E242</f>
        <v>46.5</v>
      </c>
      <c r="G242" s="66" t="s">
        <v>808</v>
      </c>
      <c r="H242" s="296"/>
      <c r="I242" s="296"/>
    </row>
    <row r="243" spans="1:9">
      <c r="A243" s="492" t="s">
        <v>1105</v>
      </c>
      <c r="B243" s="454"/>
      <c r="C243" s="450"/>
      <c r="D243" s="67">
        <v>1</v>
      </c>
      <c r="E243" s="70" t="s">
        <v>1107</v>
      </c>
      <c r="F243" s="67">
        <f>F242</f>
        <v>46.5</v>
      </c>
      <c r="G243" s="66"/>
      <c r="H243" s="296"/>
      <c r="I243" s="296"/>
    </row>
    <row r="244" spans="1:9">
      <c r="A244" s="492" t="s">
        <v>826</v>
      </c>
      <c r="B244" s="454"/>
      <c r="C244" s="450"/>
      <c r="D244" s="67">
        <v>1</v>
      </c>
      <c r="E244" s="70" t="s">
        <v>1107</v>
      </c>
      <c r="F244" s="67">
        <f>F243/D243</f>
        <v>46.5</v>
      </c>
      <c r="G244" s="66"/>
      <c r="H244" s="296"/>
      <c r="I244" s="296"/>
    </row>
    <row r="245" spans="1:9">
      <c r="A245" s="493" t="s">
        <v>829</v>
      </c>
      <c r="B245" s="454"/>
      <c r="C245" s="454"/>
      <c r="D245" s="450"/>
      <c r="E245" s="67"/>
      <c r="F245" s="67">
        <f>F244*1%</f>
        <v>0.46500000000000002</v>
      </c>
      <c r="G245" s="66"/>
      <c r="H245" s="296"/>
      <c r="I245" s="296"/>
    </row>
    <row r="246" spans="1:9">
      <c r="A246" s="493" t="s">
        <v>30</v>
      </c>
      <c r="B246" s="454"/>
      <c r="C246" s="454"/>
      <c r="D246" s="450"/>
      <c r="E246" s="71"/>
      <c r="F246" s="67">
        <f>F245+F244</f>
        <v>46.965000000000003</v>
      </c>
      <c r="G246" s="66"/>
      <c r="H246" s="296"/>
      <c r="I246" s="296"/>
    </row>
    <row r="247" spans="1:9">
      <c r="A247" s="493" t="s">
        <v>836</v>
      </c>
      <c r="B247" s="454"/>
      <c r="C247" s="454"/>
      <c r="D247" s="450"/>
      <c r="E247" s="67"/>
      <c r="F247" s="67">
        <f>F246*15%</f>
        <v>7.0447500000000005</v>
      </c>
      <c r="G247" s="66"/>
      <c r="H247" s="296"/>
      <c r="I247" s="296"/>
    </row>
    <row r="248" spans="1:9">
      <c r="A248" s="493" t="s">
        <v>30</v>
      </c>
      <c r="B248" s="454"/>
      <c r="C248" s="454"/>
      <c r="D248" s="450"/>
      <c r="E248" s="71"/>
      <c r="F248" s="191">
        <f>ROUND(F247+F246,2)</f>
        <v>54.01</v>
      </c>
      <c r="G248" s="66"/>
      <c r="H248" s="296"/>
      <c r="I248" s="296"/>
    </row>
    <row r="249" spans="1:9">
      <c r="A249" s="490" t="s">
        <v>847</v>
      </c>
      <c r="B249" s="454"/>
      <c r="C249" s="454"/>
      <c r="D249" s="454"/>
      <c r="E249" s="454"/>
      <c r="F249" s="450"/>
      <c r="G249" s="68" t="s">
        <v>820</v>
      </c>
      <c r="H249" s="296"/>
      <c r="I249" s="296"/>
    </row>
    <row r="250" spans="1:9">
      <c r="A250" s="491">
        <v>9999</v>
      </c>
      <c r="B250" s="491"/>
      <c r="C250" s="484" t="s">
        <v>1736</v>
      </c>
      <c r="D250" s="454"/>
      <c r="E250" s="450"/>
      <c r="F250" s="484"/>
      <c r="G250" s="450"/>
      <c r="H250" s="296"/>
      <c r="I250" s="296"/>
    </row>
    <row r="251" spans="1:9">
      <c r="A251" s="457"/>
      <c r="B251" s="457"/>
      <c r="C251" s="66" t="s">
        <v>62</v>
      </c>
      <c r="D251" s="67">
        <v>3.41</v>
      </c>
      <c r="E251" s="67">
        <v>2.12</v>
      </c>
      <c r="F251" s="67">
        <f>E251*D251</f>
        <v>7.2292000000000005</v>
      </c>
      <c r="G251" s="66" t="s">
        <v>851</v>
      </c>
      <c r="H251" s="296"/>
      <c r="I251" s="296"/>
    </row>
    <row r="252" spans="1:9">
      <c r="A252" s="491">
        <v>9999</v>
      </c>
      <c r="B252" s="491"/>
      <c r="C252" s="484" t="s">
        <v>1628</v>
      </c>
      <c r="D252" s="454"/>
      <c r="E252" s="450"/>
      <c r="F252" s="484"/>
      <c r="G252" s="450"/>
      <c r="H252" s="296"/>
      <c r="I252" s="296"/>
    </row>
    <row r="253" spans="1:9">
      <c r="A253" s="457"/>
      <c r="B253" s="457"/>
      <c r="C253" s="66" t="s">
        <v>62</v>
      </c>
      <c r="D253" s="67">
        <v>9.36</v>
      </c>
      <c r="E253" s="67">
        <v>2.12</v>
      </c>
      <c r="F253" s="67">
        <f>D253*E253</f>
        <v>19.8432</v>
      </c>
      <c r="G253" s="66" t="s">
        <v>854</v>
      </c>
      <c r="H253" s="296"/>
      <c r="I253" s="296"/>
    </row>
    <row r="254" spans="1:9">
      <c r="A254" s="492" t="s">
        <v>1630</v>
      </c>
      <c r="B254" s="454"/>
      <c r="C254" s="450"/>
      <c r="D254" s="67">
        <v>1</v>
      </c>
      <c r="E254" s="70" t="s">
        <v>1107</v>
      </c>
      <c r="F254" s="67">
        <f>F253+F251</f>
        <v>27.072400000000002</v>
      </c>
      <c r="G254" s="71"/>
      <c r="H254" s="296"/>
      <c r="I254" s="296"/>
    </row>
    <row r="255" spans="1:9">
      <c r="A255" s="492" t="s">
        <v>826</v>
      </c>
      <c r="B255" s="454"/>
      <c r="C255" s="450"/>
      <c r="D255" s="67">
        <v>1</v>
      </c>
      <c r="E255" s="70" t="s">
        <v>1107</v>
      </c>
      <c r="F255" s="67">
        <f>F254/D254</f>
        <v>27.072400000000002</v>
      </c>
      <c r="G255" s="71"/>
      <c r="H255" s="296"/>
      <c r="I255" s="296"/>
    </row>
    <row r="256" spans="1:9">
      <c r="A256" s="493" t="s">
        <v>829</v>
      </c>
      <c r="B256" s="454"/>
      <c r="C256" s="454"/>
      <c r="D256" s="450"/>
      <c r="E256" s="67"/>
      <c r="F256" s="67">
        <f>F255*1%</f>
        <v>0.27072400000000002</v>
      </c>
      <c r="G256" s="71"/>
      <c r="H256" s="296"/>
      <c r="I256" s="296"/>
    </row>
    <row r="257" spans="1:9">
      <c r="A257" s="493" t="s">
        <v>30</v>
      </c>
      <c r="B257" s="454"/>
      <c r="C257" s="454"/>
      <c r="D257" s="450"/>
      <c r="E257" s="71"/>
      <c r="F257" s="67">
        <f>F256+F255</f>
        <v>27.343124000000003</v>
      </c>
      <c r="G257" s="71"/>
      <c r="H257" s="296"/>
      <c r="I257" s="296"/>
    </row>
    <row r="258" spans="1:9">
      <c r="A258" s="493" t="s">
        <v>836</v>
      </c>
      <c r="B258" s="454"/>
      <c r="C258" s="454"/>
      <c r="D258" s="450"/>
      <c r="E258" s="67"/>
      <c r="F258" s="67">
        <f>F257*15%</f>
        <v>4.1014686000000005</v>
      </c>
      <c r="G258" s="71"/>
      <c r="H258" s="296"/>
      <c r="I258" s="296"/>
    </row>
    <row r="259" spans="1:9">
      <c r="A259" s="493" t="s">
        <v>30</v>
      </c>
      <c r="B259" s="454"/>
      <c r="C259" s="454"/>
      <c r="D259" s="450"/>
      <c r="E259" s="71"/>
      <c r="F259" s="191">
        <f>ROUND(F258+F257,2)</f>
        <v>31.44</v>
      </c>
      <c r="G259" s="71"/>
      <c r="H259" s="296"/>
      <c r="I259" s="296"/>
    </row>
    <row r="260" spans="1:9">
      <c r="A260" s="594" t="str">
        <f>CONCATENATE("Say ₹ ",F248," + ",F259," x Cost Index")</f>
        <v>Say ₹ 54.01 + 31.44 x Cost Index</v>
      </c>
      <c r="B260" s="454"/>
      <c r="C260" s="454"/>
      <c r="D260" s="454"/>
      <c r="E260" s="454"/>
      <c r="F260" s="454"/>
      <c r="G260" s="450"/>
      <c r="H260" s="297">
        <f>((F242*1.01*1.15))</f>
        <v>54.009749999999997</v>
      </c>
      <c r="I260" s="297">
        <f>((SUM(F251,F253)*1.01*1.15))</f>
        <v>31.4445926</v>
      </c>
    </row>
    <row r="261" spans="1:9">
      <c r="A261" s="486" t="s">
        <v>771</v>
      </c>
      <c r="B261" s="486" t="s">
        <v>776</v>
      </c>
      <c r="C261" s="487" t="s">
        <v>4</v>
      </c>
      <c r="D261" s="454"/>
      <c r="E261" s="450"/>
      <c r="F261" s="487" t="s">
        <v>785</v>
      </c>
      <c r="G261" s="450"/>
      <c r="H261" s="296"/>
      <c r="I261" s="296"/>
    </row>
    <row r="262" spans="1:9">
      <c r="A262" s="457"/>
      <c r="B262" s="457"/>
      <c r="C262" s="62" t="s">
        <v>5</v>
      </c>
      <c r="D262" s="62" t="s">
        <v>6</v>
      </c>
      <c r="E262" s="62" t="s">
        <v>336</v>
      </c>
      <c r="F262" s="62" t="s">
        <v>8</v>
      </c>
      <c r="G262" s="62" t="s">
        <v>789</v>
      </c>
      <c r="H262" s="296"/>
      <c r="I262" s="296"/>
    </row>
    <row r="263" spans="1:9">
      <c r="A263" s="612" t="s">
        <v>1766</v>
      </c>
      <c r="B263" s="454"/>
      <c r="C263" s="454"/>
      <c r="D263" s="454"/>
      <c r="E263" s="454"/>
      <c r="F263" s="454"/>
      <c r="G263" s="450"/>
      <c r="H263" s="296"/>
      <c r="I263" s="296"/>
    </row>
    <row r="264" spans="1:9">
      <c r="A264" s="65"/>
      <c r="B264" s="66" t="s">
        <v>795</v>
      </c>
      <c r="C264" s="66" t="s">
        <v>1107</v>
      </c>
      <c r="D264" s="66" t="s">
        <v>798</v>
      </c>
      <c r="E264" s="67">
        <v>1</v>
      </c>
      <c r="F264" s="484"/>
      <c r="G264" s="450"/>
      <c r="H264" s="296"/>
      <c r="I264" s="296"/>
    </row>
    <row r="265" spans="1:9">
      <c r="A265" s="66" t="s">
        <v>800</v>
      </c>
      <c r="B265" s="484" t="s">
        <v>1609</v>
      </c>
      <c r="C265" s="454"/>
      <c r="D265" s="454"/>
      <c r="E265" s="454"/>
      <c r="F265" s="454"/>
      <c r="G265" s="450"/>
      <c r="H265" s="296"/>
      <c r="I265" s="296"/>
    </row>
    <row r="266" spans="1:9">
      <c r="A266" s="490" t="s">
        <v>802</v>
      </c>
      <c r="B266" s="454"/>
      <c r="C266" s="454"/>
      <c r="D266" s="454"/>
      <c r="E266" s="454"/>
      <c r="F266" s="450"/>
      <c r="G266" s="68" t="s">
        <v>803</v>
      </c>
      <c r="H266" s="296"/>
      <c r="I266" s="296"/>
    </row>
    <row r="267" spans="1:9">
      <c r="A267" s="491"/>
      <c r="B267" s="491" t="s">
        <v>1769</v>
      </c>
      <c r="C267" s="484" t="s">
        <v>1770</v>
      </c>
      <c r="D267" s="454"/>
      <c r="E267" s="450"/>
      <c r="F267" s="484"/>
      <c r="G267" s="450"/>
      <c r="H267" s="296"/>
      <c r="I267" s="296"/>
    </row>
    <row r="268" spans="1:9">
      <c r="A268" s="457"/>
      <c r="B268" s="457"/>
      <c r="C268" s="66" t="s">
        <v>46</v>
      </c>
      <c r="D268" s="67">
        <v>1</v>
      </c>
      <c r="E268" s="67">
        <v>57.5</v>
      </c>
      <c r="F268" s="67">
        <f>D268*E268</f>
        <v>57.5</v>
      </c>
      <c r="G268" s="66" t="s">
        <v>808</v>
      </c>
      <c r="H268" s="296"/>
      <c r="I268" s="296"/>
    </row>
    <row r="269" spans="1:9">
      <c r="A269" s="492" t="s">
        <v>1105</v>
      </c>
      <c r="B269" s="454"/>
      <c r="C269" s="450"/>
      <c r="D269" s="67">
        <v>1</v>
      </c>
      <c r="E269" s="70" t="s">
        <v>1107</v>
      </c>
      <c r="F269" s="67">
        <f>F268</f>
        <v>57.5</v>
      </c>
      <c r="G269" s="66"/>
      <c r="H269" s="296"/>
      <c r="I269" s="296"/>
    </row>
    <row r="270" spans="1:9">
      <c r="A270" s="492" t="s">
        <v>826</v>
      </c>
      <c r="B270" s="454"/>
      <c r="C270" s="450"/>
      <c r="D270" s="67">
        <v>1</v>
      </c>
      <c r="E270" s="70" t="s">
        <v>1107</v>
      </c>
      <c r="F270" s="67">
        <f>F269/D269</f>
        <v>57.5</v>
      </c>
      <c r="G270" s="66"/>
      <c r="H270" s="296"/>
      <c r="I270" s="296"/>
    </row>
    <row r="271" spans="1:9">
      <c r="A271" s="493" t="s">
        <v>829</v>
      </c>
      <c r="B271" s="454"/>
      <c r="C271" s="454"/>
      <c r="D271" s="450"/>
      <c r="E271" s="67"/>
      <c r="F271" s="67">
        <f>F270*1%</f>
        <v>0.57500000000000007</v>
      </c>
      <c r="G271" s="66"/>
      <c r="H271" s="296"/>
      <c r="I271" s="296"/>
    </row>
    <row r="272" spans="1:9">
      <c r="A272" s="493" t="s">
        <v>30</v>
      </c>
      <c r="B272" s="454"/>
      <c r="C272" s="454"/>
      <c r="D272" s="450"/>
      <c r="E272" s="71"/>
      <c r="F272" s="67">
        <f>F271+F270</f>
        <v>58.075000000000003</v>
      </c>
      <c r="G272" s="66"/>
      <c r="H272" s="296"/>
      <c r="I272" s="296"/>
    </row>
    <row r="273" spans="1:9">
      <c r="A273" s="493" t="s">
        <v>836</v>
      </c>
      <c r="B273" s="454"/>
      <c r="C273" s="454"/>
      <c r="D273" s="450"/>
      <c r="E273" s="67"/>
      <c r="F273" s="67">
        <f>F272*15%</f>
        <v>8.7112499999999997</v>
      </c>
      <c r="G273" s="66"/>
      <c r="H273" s="296"/>
      <c r="I273" s="296"/>
    </row>
    <row r="274" spans="1:9">
      <c r="A274" s="493" t="s">
        <v>30</v>
      </c>
      <c r="B274" s="454"/>
      <c r="C274" s="454"/>
      <c r="D274" s="450"/>
      <c r="E274" s="71"/>
      <c r="F274" s="191">
        <f>ROUND(F273+F272,2)</f>
        <v>66.790000000000006</v>
      </c>
      <c r="G274" s="66"/>
      <c r="H274" s="296"/>
      <c r="I274" s="296"/>
    </row>
    <row r="275" spans="1:9">
      <c r="A275" s="490" t="s">
        <v>847</v>
      </c>
      <c r="B275" s="454"/>
      <c r="C275" s="454"/>
      <c r="D275" s="454"/>
      <c r="E275" s="454"/>
      <c r="F275" s="450"/>
      <c r="G275" s="68" t="s">
        <v>820</v>
      </c>
      <c r="H275" s="296"/>
      <c r="I275" s="296"/>
    </row>
    <row r="276" spans="1:9">
      <c r="A276" s="491">
        <v>9999</v>
      </c>
      <c r="B276" s="491"/>
      <c r="C276" s="484" t="s">
        <v>1736</v>
      </c>
      <c r="D276" s="454"/>
      <c r="E276" s="450"/>
      <c r="F276" s="484"/>
      <c r="G276" s="450"/>
      <c r="H276" s="296"/>
      <c r="I276" s="296"/>
    </row>
    <row r="277" spans="1:9">
      <c r="A277" s="457"/>
      <c r="B277" s="457"/>
      <c r="C277" s="66" t="s">
        <v>62</v>
      </c>
      <c r="D277" s="67">
        <v>3.41</v>
      </c>
      <c r="E277" s="67">
        <v>2.12</v>
      </c>
      <c r="F277" s="67">
        <f>E277*D277</f>
        <v>7.2292000000000005</v>
      </c>
      <c r="G277" s="66" t="s">
        <v>851</v>
      </c>
      <c r="H277" s="296"/>
      <c r="I277" s="296"/>
    </row>
    <row r="278" spans="1:9">
      <c r="A278" s="491">
        <v>9999</v>
      </c>
      <c r="B278" s="491"/>
      <c r="C278" s="484" t="s">
        <v>1628</v>
      </c>
      <c r="D278" s="454"/>
      <c r="E278" s="450"/>
      <c r="F278" s="484"/>
      <c r="G278" s="450"/>
      <c r="H278" s="296"/>
      <c r="I278" s="296"/>
    </row>
    <row r="279" spans="1:9">
      <c r="A279" s="457"/>
      <c r="B279" s="457"/>
      <c r="C279" s="66" t="s">
        <v>62</v>
      </c>
      <c r="D279" s="67">
        <v>9.36</v>
      </c>
      <c r="E279" s="67">
        <v>2.12</v>
      </c>
      <c r="F279" s="67">
        <f>D279*E279</f>
        <v>19.8432</v>
      </c>
      <c r="G279" s="66" t="s">
        <v>854</v>
      </c>
      <c r="H279" s="296"/>
      <c r="I279" s="296"/>
    </row>
    <row r="280" spans="1:9">
      <c r="A280" s="492" t="s">
        <v>1630</v>
      </c>
      <c r="B280" s="454"/>
      <c r="C280" s="450"/>
      <c r="D280" s="67">
        <v>1</v>
      </c>
      <c r="E280" s="70" t="s">
        <v>1107</v>
      </c>
      <c r="F280" s="67">
        <f>F279+F277</f>
        <v>27.072400000000002</v>
      </c>
      <c r="G280" s="71"/>
      <c r="H280" s="296"/>
      <c r="I280" s="296"/>
    </row>
    <row r="281" spans="1:9">
      <c r="A281" s="492" t="s">
        <v>826</v>
      </c>
      <c r="B281" s="454"/>
      <c r="C281" s="450"/>
      <c r="D281" s="67">
        <v>1</v>
      </c>
      <c r="E281" s="70" t="s">
        <v>1107</v>
      </c>
      <c r="F281" s="67">
        <f>F280/D280</f>
        <v>27.072400000000002</v>
      </c>
      <c r="G281" s="71"/>
      <c r="H281" s="296"/>
      <c r="I281" s="296"/>
    </row>
    <row r="282" spans="1:9">
      <c r="A282" s="493" t="s">
        <v>829</v>
      </c>
      <c r="B282" s="454"/>
      <c r="C282" s="454"/>
      <c r="D282" s="450"/>
      <c r="E282" s="67"/>
      <c r="F282" s="67">
        <f>F281*1%</f>
        <v>0.27072400000000002</v>
      </c>
      <c r="G282" s="71"/>
      <c r="H282" s="296"/>
      <c r="I282" s="296"/>
    </row>
    <row r="283" spans="1:9">
      <c r="A283" s="493" t="s">
        <v>30</v>
      </c>
      <c r="B283" s="454"/>
      <c r="C283" s="454"/>
      <c r="D283" s="450"/>
      <c r="E283" s="71"/>
      <c r="F283" s="67">
        <f>F282+F281</f>
        <v>27.343124000000003</v>
      </c>
      <c r="G283" s="71"/>
      <c r="H283" s="296"/>
      <c r="I283" s="296"/>
    </row>
    <row r="284" spans="1:9">
      <c r="A284" s="493" t="s">
        <v>836</v>
      </c>
      <c r="B284" s="454"/>
      <c r="C284" s="454"/>
      <c r="D284" s="450"/>
      <c r="E284" s="67"/>
      <c r="F284" s="67">
        <f>F283*15%</f>
        <v>4.1014686000000005</v>
      </c>
      <c r="G284" s="71"/>
      <c r="H284" s="296"/>
      <c r="I284" s="296"/>
    </row>
    <row r="285" spans="1:9">
      <c r="A285" s="493" t="s">
        <v>30</v>
      </c>
      <c r="B285" s="454"/>
      <c r="C285" s="454"/>
      <c r="D285" s="450"/>
      <c r="E285" s="71"/>
      <c r="F285" s="191">
        <f>ROUND(F284+F283,2)</f>
        <v>31.44</v>
      </c>
      <c r="G285" s="71"/>
      <c r="H285" s="296"/>
      <c r="I285" s="296"/>
    </row>
    <row r="286" spans="1:9">
      <c r="A286" s="594" t="str">
        <f>CONCATENATE("Say ₹ ",F274," + ",F285," x Cost Index")</f>
        <v>Say ₹ 66.79 + 31.44 x Cost Index</v>
      </c>
      <c r="B286" s="454"/>
      <c r="C286" s="454"/>
      <c r="D286" s="454"/>
      <c r="E286" s="454"/>
      <c r="F286" s="454"/>
      <c r="G286" s="450"/>
      <c r="H286" s="297">
        <f>((F268*1.01*1.15))</f>
        <v>66.786249999999995</v>
      </c>
      <c r="I286" s="297">
        <f>((SUM(F277,F279)*1.01*1.15))</f>
        <v>31.4445926</v>
      </c>
    </row>
    <row r="287" spans="1:9">
      <c r="A287" s="486" t="s">
        <v>771</v>
      </c>
      <c r="B287" s="486" t="s">
        <v>776</v>
      </c>
      <c r="C287" s="487" t="s">
        <v>4</v>
      </c>
      <c r="D287" s="454"/>
      <c r="E287" s="450"/>
      <c r="F287" s="487" t="s">
        <v>785</v>
      </c>
      <c r="G287" s="450"/>
      <c r="H287" s="296"/>
      <c r="I287" s="296"/>
    </row>
    <row r="288" spans="1:9">
      <c r="A288" s="457"/>
      <c r="B288" s="457"/>
      <c r="C288" s="62" t="s">
        <v>5</v>
      </c>
      <c r="D288" s="62" t="s">
        <v>6</v>
      </c>
      <c r="E288" s="62" t="s">
        <v>336</v>
      </c>
      <c r="F288" s="62" t="s">
        <v>8</v>
      </c>
      <c r="G288" s="62" t="s">
        <v>789</v>
      </c>
      <c r="H288" s="296"/>
      <c r="I288" s="296"/>
    </row>
    <row r="289" spans="1:9">
      <c r="A289" s="612" t="s">
        <v>1775</v>
      </c>
      <c r="B289" s="454"/>
      <c r="C289" s="454"/>
      <c r="D289" s="454"/>
      <c r="E289" s="454"/>
      <c r="F289" s="454"/>
      <c r="G289" s="450"/>
      <c r="H289" s="296"/>
      <c r="I289" s="296"/>
    </row>
    <row r="290" spans="1:9">
      <c r="A290" s="65"/>
      <c r="B290" s="66" t="s">
        <v>795</v>
      </c>
      <c r="C290" s="66" t="s">
        <v>1107</v>
      </c>
      <c r="D290" s="66" t="s">
        <v>798</v>
      </c>
      <c r="E290" s="67">
        <v>1</v>
      </c>
      <c r="F290" s="484"/>
      <c r="G290" s="450"/>
      <c r="H290" s="296"/>
      <c r="I290" s="296"/>
    </row>
    <row r="291" spans="1:9">
      <c r="A291" s="66" t="s">
        <v>800</v>
      </c>
      <c r="B291" s="484" t="s">
        <v>1747</v>
      </c>
      <c r="C291" s="454"/>
      <c r="D291" s="454"/>
      <c r="E291" s="454"/>
      <c r="F291" s="454"/>
      <c r="G291" s="450"/>
      <c r="H291" s="296"/>
      <c r="I291" s="296"/>
    </row>
    <row r="292" spans="1:9">
      <c r="A292" s="490" t="s">
        <v>802</v>
      </c>
      <c r="B292" s="454"/>
      <c r="C292" s="454"/>
      <c r="D292" s="454"/>
      <c r="E292" s="454"/>
      <c r="F292" s="450"/>
      <c r="G292" s="68" t="s">
        <v>803</v>
      </c>
      <c r="H292" s="296"/>
      <c r="I292" s="296"/>
    </row>
    <row r="293" spans="1:9">
      <c r="A293" s="491"/>
      <c r="B293" s="491" t="s">
        <v>1776</v>
      </c>
      <c r="C293" s="484" t="s">
        <v>1777</v>
      </c>
      <c r="D293" s="454"/>
      <c r="E293" s="450"/>
      <c r="F293" s="484"/>
      <c r="G293" s="450"/>
      <c r="H293" s="296"/>
      <c r="I293" s="296"/>
    </row>
    <row r="294" spans="1:9">
      <c r="A294" s="457"/>
      <c r="B294" s="457"/>
      <c r="C294" s="66" t="s">
        <v>46</v>
      </c>
      <c r="D294" s="67">
        <v>1</v>
      </c>
      <c r="E294" s="67">
        <v>123</v>
      </c>
      <c r="F294" s="67">
        <f>D294*E294</f>
        <v>123</v>
      </c>
      <c r="G294" s="66" t="s">
        <v>808</v>
      </c>
      <c r="H294" s="296"/>
      <c r="I294" s="296"/>
    </row>
    <row r="295" spans="1:9">
      <c r="A295" s="492" t="s">
        <v>1105</v>
      </c>
      <c r="B295" s="454"/>
      <c r="C295" s="450"/>
      <c r="D295" s="67">
        <v>1</v>
      </c>
      <c r="E295" s="70" t="s">
        <v>1107</v>
      </c>
      <c r="F295" s="67">
        <f>F294</f>
        <v>123</v>
      </c>
      <c r="G295" s="66"/>
      <c r="H295" s="296"/>
      <c r="I295" s="296"/>
    </row>
    <row r="296" spans="1:9">
      <c r="A296" s="492" t="s">
        <v>826</v>
      </c>
      <c r="B296" s="454"/>
      <c r="C296" s="450"/>
      <c r="D296" s="67">
        <v>1</v>
      </c>
      <c r="E296" s="70" t="s">
        <v>1107</v>
      </c>
      <c r="F296" s="67">
        <f>F295/D295</f>
        <v>123</v>
      </c>
      <c r="G296" s="66"/>
      <c r="H296" s="296"/>
      <c r="I296" s="296"/>
    </row>
    <row r="297" spans="1:9">
      <c r="A297" s="493" t="s">
        <v>829</v>
      </c>
      <c r="B297" s="454"/>
      <c r="C297" s="454"/>
      <c r="D297" s="450"/>
      <c r="E297" s="67"/>
      <c r="F297" s="67">
        <f>F296*1%</f>
        <v>1.23</v>
      </c>
      <c r="G297" s="66"/>
      <c r="H297" s="296"/>
      <c r="I297" s="296"/>
    </row>
    <row r="298" spans="1:9">
      <c r="A298" s="493" t="s">
        <v>30</v>
      </c>
      <c r="B298" s="454"/>
      <c r="C298" s="454"/>
      <c r="D298" s="450"/>
      <c r="E298" s="71"/>
      <c r="F298" s="67">
        <f>F297+F296</f>
        <v>124.23</v>
      </c>
      <c r="G298" s="66"/>
      <c r="H298" s="296"/>
      <c r="I298" s="296"/>
    </row>
    <row r="299" spans="1:9">
      <c r="A299" s="493" t="s">
        <v>836</v>
      </c>
      <c r="B299" s="454"/>
      <c r="C299" s="454"/>
      <c r="D299" s="450"/>
      <c r="E299" s="67"/>
      <c r="F299" s="67">
        <f>F298*15%</f>
        <v>18.634499999999999</v>
      </c>
      <c r="G299" s="66"/>
      <c r="H299" s="296"/>
      <c r="I299" s="296"/>
    </row>
    <row r="300" spans="1:9">
      <c r="A300" s="493" t="s">
        <v>30</v>
      </c>
      <c r="B300" s="454"/>
      <c r="C300" s="454"/>
      <c r="D300" s="450"/>
      <c r="E300" s="71"/>
      <c r="F300" s="191">
        <f>ROUND(F299+F298,2)</f>
        <v>142.86000000000001</v>
      </c>
      <c r="G300" s="66"/>
      <c r="H300" s="296"/>
      <c r="I300" s="296"/>
    </row>
    <row r="301" spans="1:9">
      <c r="A301" s="490" t="s">
        <v>847</v>
      </c>
      <c r="B301" s="454"/>
      <c r="C301" s="454"/>
      <c r="D301" s="454"/>
      <c r="E301" s="454"/>
      <c r="F301" s="450"/>
      <c r="G301" s="68" t="s">
        <v>820</v>
      </c>
      <c r="H301" s="296"/>
      <c r="I301" s="296"/>
    </row>
    <row r="302" spans="1:9">
      <c r="A302" s="491">
        <v>9999</v>
      </c>
      <c r="B302" s="491"/>
      <c r="C302" s="484" t="s">
        <v>1624</v>
      </c>
      <c r="D302" s="454"/>
      <c r="E302" s="450"/>
      <c r="F302" s="484"/>
      <c r="G302" s="450"/>
      <c r="H302" s="296"/>
      <c r="I302" s="296"/>
    </row>
    <row r="303" spans="1:9">
      <c r="A303" s="457"/>
      <c r="B303" s="457"/>
      <c r="C303" s="66" t="s">
        <v>62</v>
      </c>
      <c r="D303" s="67">
        <v>3.41</v>
      </c>
      <c r="E303" s="67">
        <v>2.12</v>
      </c>
      <c r="F303" s="67">
        <f>E303*D303</f>
        <v>7.2292000000000005</v>
      </c>
      <c r="G303" s="66" t="s">
        <v>851</v>
      </c>
      <c r="H303" s="296"/>
      <c r="I303" s="296"/>
    </row>
    <row r="304" spans="1:9">
      <c r="A304" s="491">
        <v>9999</v>
      </c>
      <c r="B304" s="491"/>
      <c r="C304" s="484" t="s">
        <v>1628</v>
      </c>
      <c r="D304" s="454"/>
      <c r="E304" s="450"/>
      <c r="F304" s="484"/>
      <c r="G304" s="450"/>
      <c r="H304" s="296"/>
      <c r="I304" s="296"/>
    </row>
    <row r="305" spans="1:9">
      <c r="A305" s="457"/>
      <c r="B305" s="457"/>
      <c r="C305" s="66" t="s">
        <v>62</v>
      </c>
      <c r="D305" s="67">
        <v>10.79</v>
      </c>
      <c r="E305" s="67">
        <v>2.12</v>
      </c>
      <c r="F305" s="67">
        <f>D305*E305</f>
        <v>22.8748</v>
      </c>
      <c r="G305" s="66" t="s">
        <v>854</v>
      </c>
      <c r="H305" s="296"/>
      <c r="I305" s="296"/>
    </row>
    <row r="306" spans="1:9">
      <c r="A306" s="492" t="s">
        <v>1630</v>
      </c>
      <c r="B306" s="454"/>
      <c r="C306" s="450"/>
      <c r="D306" s="67">
        <v>1</v>
      </c>
      <c r="E306" s="70" t="s">
        <v>1107</v>
      </c>
      <c r="F306" s="67">
        <f>F305+F303</f>
        <v>30.103999999999999</v>
      </c>
      <c r="G306" s="71"/>
      <c r="H306" s="296"/>
      <c r="I306" s="296"/>
    </row>
    <row r="307" spans="1:9">
      <c r="A307" s="492" t="s">
        <v>826</v>
      </c>
      <c r="B307" s="454"/>
      <c r="C307" s="450"/>
      <c r="D307" s="67">
        <v>1</v>
      </c>
      <c r="E307" s="70" t="s">
        <v>1107</v>
      </c>
      <c r="F307" s="67">
        <f>F306/D306</f>
        <v>30.103999999999999</v>
      </c>
      <c r="G307" s="71"/>
      <c r="H307" s="296"/>
      <c r="I307" s="296"/>
    </row>
    <row r="308" spans="1:9">
      <c r="A308" s="493" t="s">
        <v>829</v>
      </c>
      <c r="B308" s="454"/>
      <c r="C308" s="454"/>
      <c r="D308" s="450"/>
      <c r="E308" s="67"/>
      <c r="F308" s="67">
        <f>F307*1%</f>
        <v>0.30103999999999997</v>
      </c>
      <c r="G308" s="71"/>
      <c r="H308" s="296"/>
      <c r="I308" s="296"/>
    </row>
    <row r="309" spans="1:9">
      <c r="A309" s="493" t="s">
        <v>30</v>
      </c>
      <c r="B309" s="454"/>
      <c r="C309" s="454"/>
      <c r="D309" s="450"/>
      <c r="E309" s="71"/>
      <c r="F309" s="67">
        <f>F308+F307</f>
        <v>30.40504</v>
      </c>
      <c r="G309" s="71"/>
      <c r="H309" s="296"/>
      <c r="I309" s="296"/>
    </row>
    <row r="310" spans="1:9">
      <c r="A310" s="493" t="s">
        <v>836</v>
      </c>
      <c r="B310" s="454"/>
      <c r="C310" s="454"/>
      <c r="D310" s="450"/>
      <c r="E310" s="67"/>
      <c r="F310" s="67">
        <f>F309*15%</f>
        <v>4.5607559999999996</v>
      </c>
      <c r="G310" s="71"/>
      <c r="H310" s="296"/>
      <c r="I310" s="296"/>
    </row>
    <row r="311" spans="1:9">
      <c r="A311" s="493" t="s">
        <v>30</v>
      </c>
      <c r="B311" s="454"/>
      <c r="C311" s="454"/>
      <c r="D311" s="450"/>
      <c r="E311" s="71"/>
      <c r="F311" s="191">
        <f>ROUND(F310+F309,2)</f>
        <v>34.97</v>
      </c>
      <c r="G311" s="71"/>
      <c r="H311" s="296"/>
      <c r="I311" s="296"/>
    </row>
    <row r="312" spans="1:9">
      <c r="A312" s="594" t="str">
        <f>CONCATENATE("Say ₹ ",F300," + ",F311," x Cost Index")</f>
        <v>Say ₹ 142.86 + 34.97 x Cost Index</v>
      </c>
      <c r="B312" s="454"/>
      <c r="C312" s="454"/>
      <c r="D312" s="454"/>
      <c r="E312" s="454"/>
      <c r="F312" s="454"/>
      <c r="G312" s="450"/>
      <c r="H312" s="297">
        <f>((F294*1.01*1.15))</f>
        <v>142.86449999999999</v>
      </c>
      <c r="I312" s="297">
        <f>((SUM(F303,F305)*1.01*1.15))</f>
        <v>34.965795999999997</v>
      </c>
    </row>
    <row r="313" spans="1:9">
      <c r="A313" s="486" t="s">
        <v>771</v>
      </c>
      <c r="B313" s="486" t="s">
        <v>776</v>
      </c>
      <c r="C313" s="487" t="s">
        <v>4</v>
      </c>
      <c r="D313" s="454"/>
      <c r="E313" s="450"/>
      <c r="F313" s="487" t="s">
        <v>785</v>
      </c>
      <c r="G313" s="450"/>
      <c r="H313" s="296"/>
      <c r="I313" s="296"/>
    </row>
    <row r="314" spans="1:9">
      <c r="A314" s="457"/>
      <c r="B314" s="457"/>
      <c r="C314" s="62" t="s">
        <v>5</v>
      </c>
      <c r="D314" s="62" t="s">
        <v>6</v>
      </c>
      <c r="E314" s="62" t="s">
        <v>336</v>
      </c>
      <c r="F314" s="62" t="s">
        <v>8</v>
      </c>
      <c r="G314" s="62" t="s">
        <v>789</v>
      </c>
      <c r="H314" s="296"/>
      <c r="I314" s="296"/>
    </row>
    <row r="315" spans="1:9">
      <c r="A315" s="612" t="s">
        <v>1782</v>
      </c>
      <c r="B315" s="454"/>
      <c r="C315" s="454"/>
      <c r="D315" s="454"/>
      <c r="E315" s="454"/>
      <c r="F315" s="454"/>
      <c r="G315" s="450"/>
      <c r="H315" s="296"/>
      <c r="I315" s="296"/>
    </row>
    <row r="316" spans="1:9">
      <c r="A316" s="65"/>
      <c r="B316" s="66" t="s">
        <v>795</v>
      </c>
      <c r="C316" s="66" t="s">
        <v>1107</v>
      </c>
      <c r="D316" s="66" t="s">
        <v>798</v>
      </c>
      <c r="E316" s="67">
        <v>1</v>
      </c>
      <c r="F316" s="484"/>
      <c r="G316" s="450"/>
      <c r="H316" s="296"/>
      <c r="I316" s="296"/>
    </row>
    <row r="317" spans="1:9">
      <c r="A317" s="66" t="s">
        <v>800</v>
      </c>
      <c r="B317" s="484" t="s">
        <v>1747</v>
      </c>
      <c r="C317" s="454"/>
      <c r="D317" s="454"/>
      <c r="E317" s="454"/>
      <c r="F317" s="454"/>
      <c r="G317" s="450"/>
      <c r="H317" s="296"/>
      <c r="I317" s="296"/>
    </row>
    <row r="318" spans="1:9">
      <c r="A318" s="490" t="s">
        <v>802</v>
      </c>
      <c r="B318" s="454"/>
      <c r="C318" s="454"/>
      <c r="D318" s="454"/>
      <c r="E318" s="454"/>
      <c r="F318" s="450"/>
      <c r="G318" s="68" t="s">
        <v>803</v>
      </c>
      <c r="H318" s="296"/>
      <c r="I318" s="296"/>
    </row>
    <row r="319" spans="1:9">
      <c r="A319" s="491"/>
      <c r="B319" s="491" t="s">
        <v>1783</v>
      </c>
      <c r="C319" s="484" t="s">
        <v>1784</v>
      </c>
      <c r="D319" s="454"/>
      <c r="E319" s="450"/>
      <c r="F319" s="484"/>
      <c r="G319" s="450"/>
      <c r="H319" s="296"/>
      <c r="I319" s="296"/>
    </row>
    <row r="320" spans="1:9">
      <c r="A320" s="457"/>
      <c r="B320" s="457"/>
      <c r="C320" s="66" t="s">
        <v>46</v>
      </c>
      <c r="D320" s="67">
        <v>1</v>
      </c>
      <c r="E320" s="67">
        <v>117</v>
      </c>
      <c r="F320" s="67">
        <f>D320*E320</f>
        <v>117</v>
      </c>
      <c r="G320" s="66" t="s">
        <v>808</v>
      </c>
      <c r="H320" s="296"/>
      <c r="I320" s="296"/>
    </row>
    <row r="321" spans="1:9">
      <c r="A321" s="492" t="s">
        <v>1105</v>
      </c>
      <c r="B321" s="454"/>
      <c r="C321" s="450"/>
      <c r="D321" s="67">
        <v>1</v>
      </c>
      <c r="E321" s="70" t="s">
        <v>1107</v>
      </c>
      <c r="F321" s="67">
        <f>F320</f>
        <v>117</v>
      </c>
      <c r="G321" s="66"/>
      <c r="H321" s="296"/>
      <c r="I321" s="296"/>
    </row>
    <row r="322" spans="1:9">
      <c r="A322" s="492" t="s">
        <v>826</v>
      </c>
      <c r="B322" s="454"/>
      <c r="C322" s="450"/>
      <c r="D322" s="67">
        <v>1</v>
      </c>
      <c r="E322" s="70" t="s">
        <v>1107</v>
      </c>
      <c r="F322" s="67">
        <f>F321/D321</f>
        <v>117</v>
      </c>
      <c r="G322" s="66"/>
      <c r="H322" s="296"/>
      <c r="I322" s="296"/>
    </row>
    <row r="323" spans="1:9">
      <c r="A323" s="493" t="s">
        <v>829</v>
      </c>
      <c r="B323" s="454"/>
      <c r="C323" s="454"/>
      <c r="D323" s="450"/>
      <c r="E323" s="67"/>
      <c r="F323" s="67">
        <f>F322*1%</f>
        <v>1.17</v>
      </c>
      <c r="G323" s="66"/>
      <c r="H323" s="296"/>
      <c r="I323" s="296"/>
    </row>
    <row r="324" spans="1:9">
      <c r="A324" s="493" t="s">
        <v>30</v>
      </c>
      <c r="B324" s="454"/>
      <c r="C324" s="454"/>
      <c r="D324" s="450"/>
      <c r="E324" s="71"/>
      <c r="F324" s="67">
        <f>F323+F322</f>
        <v>118.17</v>
      </c>
      <c r="G324" s="66"/>
      <c r="H324" s="296"/>
      <c r="I324" s="296"/>
    </row>
    <row r="325" spans="1:9">
      <c r="A325" s="493" t="s">
        <v>836</v>
      </c>
      <c r="B325" s="454"/>
      <c r="C325" s="454"/>
      <c r="D325" s="450"/>
      <c r="E325" s="67"/>
      <c r="F325" s="67">
        <f>F324*15%</f>
        <v>17.7255</v>
      </c>
      <c r="G325" s="66"/>
      <c r="H325" s="296"/>
      <c r="I325" s="296"/>
    </row>
    <row r="326" spans="1:9">
      <c r="A326" s="493" t="s">
        <v>30</v>
      </c>
      <c r="B326" s="454"/>
      <c r="C326" s="454"/>
      <c r="D326" s="450"/>
      <c r="E326" s="71"/>
      <c r="F326" s="191">
        <f>ROUND(F325+F324,2)</f>
        <v>135.9</v>
      </c>
      <c r="G326" s="66"/>
      <c r="H326" s="296"/>
      <c r="I326" s="296"/>
    </row>
    <row r="327" spans="1:9">
      <c r="A327" s="490" t="s">
        <v>847</v>
      </c>
      <c r="B327" s="454"/>
      <c r="C327" s="454"/>
      <c r="D327" s="454"/>
      <c r="E327" s="454"/>
      <c r="F327" s="450"/>
      <c r="G327" s="68" t="s">
        <v>820</v>
      </c>
      <c r="H327" s="296"/>
      <c r="I327" s="296"/>
    </row>
    <row r="328" spans="1:9">
      <c r="A328" s="491">
        <v>9999</v>
      </c>
      <c r="B328" s="491"/>
      <c r="C328" s="484" t="s">
        <v>1624</v>
      </c>
      <c r="D328" s="454"/>
      <c r="E328" s="450"/>
      <c r="F328" s="484"/>
      <c r="G328" s="450"/>
      <c r="H328" s="296"/>
      <c r="I328" s="296"/>
    </row>
    <row r="329" spans="1:9">
      <c r="A329" s="457"/>
      <c r="B329" s="457"/>
      <c r="C329" s="66" t="s">
        <v>62</v>
      </c>
      <c r="D329" s="67">
        <v>3.41</v>
      </c>
      <c r="E329" s="67">
        <v>2.12</v>
      </c>
      <c r="F329" s="67">
        <f>E329*D329</f>
        <v>7.2292000000000005</v>
      </c>
      <c r="G329" s="66" t="s">
        <v>851</v>
      </c>
      <c r="H329" s="296"/>
      <c r="I329" s="296"/>
    </row>
    <row r="330" spans="1:9">
      <c r="A330" s="491">
        <v>9999</v>
      </c>
      <c r="B330" s="491"/>
      <c r="C330" s="484" t="s">
        <v>1628</v>
      </c>
      <c r="D330" s="454"/>
      <c r="E330" s="450"/>
      <c r="F330" s="484"/>
      <c r="G330" s="450"/>
      <c r="H330" s="296"/>
      <c r="I330" s="296"/>
    </row>
    <row r="331" spans="1:9">
      <c r="A331" s="457"/>
      <c r="B331" s="457"/>
      <c r="C331" s="66" t="s">
        <v>62</v>
      </c>
      <c r="D331" s="67">
        <v>10.79</v>
      </c>
      <c r="E331" s="67">
        <v>2.12</v>
      </c>
      <c r="F331" s="67">
        <f>D331*E331</f>
        <v>22.8748</v>
      </c>
      <c r="G331" s="66" t="s">
        <v>854</v>
      </c>
      <c r="H331" s="296"/>
      <c r="I331" s="296"/>
    </row>
    <row r="332" spans="1:9">
      <c r="A332" s="492" t="s">
        <v>1630</v>
      </c>
      <c r="B332" s="454"/>
      <c r="C332" s="450"/>
      <c r="D332" s="67">
        <v>1</v>
      </c>
      <c r="E332" s="70" t="s">
        <v>1107</v>
      </c>
      <c r="F332" s="67">
        <f>F331+F329</f>
        <v>30.103999999999999</v>
      </c>
      <c r="G332" s="71"/>
      <c r="H332" s="296"/>
      <c r="I332" s="296"/>
    </row>
    <row r="333" spans="1:9">
      <c r="A333" s="492" t="s">
        <v>826</v>
      </c>
      <c r="B333" s="454"/>
      <c r="C333" s="450"/>
      <c r="D333" s="67">
        <v>1</v>
      </c>
      <c r="E333" s="70" t="s">
        <v>1107</v>
      </c>
      <c r="F333" s="67">
        <f>F332/D332</f>
        <v>30.103999999999999</v>
      </c>
      <c r="G333" s="71"/>
      <c r="H333" s="296"/>
      <c r="I333" s="296"/>
    </row>
    <row r="334" spans="1:9">
      <c r="A334" s="493" t="s">
        <v>829</v>
      </c>
      <c r="B334" s="454"/>
      <c r="C334" s="454"/>
      <c r="D334" s="450"/>
      <c r="E334" s="67"/>
      <c r="F334" s="67">
        <f>F333*1%</f>
        <v>0.30103999999999997</v>
      </c>
      <c r="G334" s="71"/>
      <c r="H334" s="296"/>
      <c r="I334" s="296"/>
    </row>
    <row r="335" spans="1:9">
      <c r="A335" s="493" t="s">
        <v>30</v>
      </c>
      <c r="B335" s="454"/>
      <c r="C335" s="454"/>
      <c r="D335" s="450"/>
      <c r="E335" s="71"/>
      <c r="F335" s="67">
        <f>F334+F333</f>
        <v>30.40504</v>
      </c>
      <c r="G335" s="71"/>
      <c r="H335" s="296"/>
      <c r="I335" s="296"/>
    </row>
    <row r="336" spans="1:9">
      <c r="A336" s="493" t="s">
        <v>836</v>
      </c>
      <c r="B336" s="454"/>
      <c r="C336" s="454"/>
      <c r="D336" s="450"/>
      <c r="E336" s="67"/>
      <c r="F336" s="67">
        <f>F335*15%</f>
        <v>4.5607559999999996</v>
      </c>
      <c r="G336" s="71"/>
      <c r="H336" s="296"/>
      <c r="I336" s="296"/>
    </row>
    <row r="337" spans="1:9">
      <c r="A337" s="493" t="s">
        <v>30</v>
      </c>
      <c r="B337" s="454"/>
      <c r="C337" s="454"/>
      <c r="D337" s="450"/>
      <c r="E337" s="71"/>
      <c r="F337" s="191">
        <f>ROUND(F336+F335,2)</f>
        <v>34.97</v>
      </c>
      <c r="G337" s="71"/>
      <c r="H337" s="296"/>
      <c r="I337" s="296"/>
    </row>
    <row r="338" spans="1:9">
      <c r="A338" s="594" t="str">
        <f>CONCATENATE("Say ₹ ",F326," + ",F337," x Cost Index")</f>
        <v>Say ₹ 135.9 + 34.97 x Cost Index</v>
      </c>
      <c r="B338" s="454"/>
      <c r="C338" s="454"/>
      <c r="D338" s="454"/>
      <c r="E338" s="454"/>
      <c r="F338" s="454"/>
      <c r="G338" s="450"/>
      <c r="H338" s="297">
        <f>((F320*1.01*1.15))</f>
        <v>135.8955</v>
      </c>
      <c r="I338" s="297">
        <f>((SUM(F329,F331)*1.01*1.15))</f>
        <v>34.965795999999997</v>
      </c>
    </row>
    <row r="339" spans="1:9">
      <c r="A339" s="486" t="s">
        <v>771</v>
      </c>
      <c r="B339" s="486" t="s">
        <v>776</v>
      </c>
      <c r="C339" s="487" t="s">
        <v>4</v>
      </c>
      <c r="D339" s="454"/>
      <c r="E339" s="450"/>
      <c r="F339" s="487" t="s">
        <v>785</v>
      </c>
      <c r="G339" s="450"/>
      <c r="H339" s="296"/>
      <c r="I339" s="296"/>
    </row>
    <row r="340" spans="1:9">
      <c r="A340" s="457"/>
      <c r="B340" s="457"/>
      <c r="C340" s="62" t="s">
        <v>5</v>
      </c>
      <c r="D340" s="62" t="s">
        <v>6</v>
      </c>
      <c r="E340" s="62" t="s">
        <v>336</v>
      </c>
      <c r="F340" s="62" t="s">
        <v>8</v>
      </c>
      <c r="G340" s="62" t="s">
        <v>789</v>
      </c>
      <c r="H340" s="296"/>
      <c r="I340" s="296"/>
    </row>
    <row r="341" spans="1:9">
      <c r="A341" s="608" t="s">
        <v>1788</v>
      </c>
      <c r="B341" s="454"/>
      <c r="C341" s="454"/>
      <c r="D341" s="454"/>
      <c r="E341" s="454"/>
      <c r="F341" s="454"/>
      <c r="G341" s="450"/>
      <c r="H341" s="296"/>
      <c r="I341" s="296"/>
    </row>
    <row r="342" spans="1:9">
      <c r="A342" s="65"/>
      <c r="B342" s="66" t="s">
        <v>795</v>
      </c>
      <c r="C342" s="66" t="s">
        <v>1107</v>
      </c>
      <c r="D342" s="66" t="s">
        <v>798</v>
      </c>
      <c r="E342" s="67">
        <v>1</v>
      </c>
      <c r="F342" s="484"/>
      <c r="G342" s="450"/>
      <c r="H342" s="296"/>
      <c r="I342" s="296"/>
    </row>
    <row r="343" spans="1:9">
      <c r="A343" s="66" t="s">
        <v>800</v>
      </c>
      <c r="B343" s="484" t="s">
        <v>1789</v>
      </c>
      <c r="C343" s="454"/>
      <c r="D343" s="454"/>
      <c r="E343" s="454"/>
      <c r="F343" s="454"/>
      <c r="G343" s="450"/>
      <c r="H343" s="296"/>
      <c r="I343" s="296"/>
    </row>
    <row r="344" spans="1:9">
      <c r="A344" s="490" t="s">
        <v>802</v>
      </c>
      <c r="B344" s="454"/>
      <c r="C344" s="454"/>
      <c r="D344" s="454"/>
      <c r="E344" s="454"/>
      <c r="F344" s="450"/>
      <c r="G344" s="68" t="s">
        <v>803</v>
      </c>
      <c r="H344" s="296"/>
      <c r="I344" s="296"/>
    </row>
    <row r="345" spans="1:9">
      <c r="A345" s="491"/>
      <c r="B345" s="491" t="s">
        <v>1790</v>
      </c>
      <c r="C345" s="484" t="s">
        <v>1791</v>
      </c>
      <c r="D345" s="454"/>
      <c r="E345" s="450"/>
      <c r="F345" s="484"/>
      <c r="G345" s="450"/>
      <c r="H345" s="296"/>
      <c r="I345" s="296"/>
    </row>
    <row r="346" spans="1:9">
      <c r="A346" s="457"/>
      <c r="B346" s="457"/>
      <c r="C346" s="66" t="s">
        <v>46</v>
      </c>
      <c r="D346" s="67">
        <v>1</v>
      </c>
      <c r="E346" s="67">
        <v>30</v>
      </c>
      <c r="F346" s="67">
        <f>D346*E346</f>
        <v>30</v>
      </c>
      <c r="G346" s="66" t="s">
        <v>808</v>
      </c>
      <c r="H346" s="296"/>
      <c r="I346" s="296"/>
    </row>
    <row r="347" spans="1:9">
      <c r="A347" s="492" t="s">
        <v>1105</v>
      </c>
      <c r="B347" s="454"/>
      <c r="C347" s="450"/>
      <c r="D347" s="67">
        <v>1</v>
      </c>
      <c r="E347" s="70" t="s">
        <v>1107</v>
      </c>
      <c r="F347" s="67">
        <f>F346</f>
        <v>30</v>
      </c>
      <c r="G347" s="66"/>
      <c r="H347" s="296"/>
      <c r="I347" s="296"/>
    </row>
    <row r="348" spans="1:9">
      <c r="A348" s="492" t="s">
        <v>826</v>
      </c>
      <c r="B348" s="454"/>
      <c r="C348" s="450"/>
      <c r="D348" s="67">
        <v>1</v>
      </c>
      <c r="E348" s="70" t="s">
        <v>1107</v>
      </c>
      <c r="F348" s="67">
        <f>F347/D347</f>
        <v>30</v>
      </c>
      <c r="G348" s="66"/>
      <c r="H348" s="296"/>
      <c r="I348" s="296"/>
    </row>
    <row r="349" spans="1:9">
      <c r="A349" s="493" t="s">
        <v>829</v>
      </c>
      <c r="B349" s="454"/>
      <c r="C349" s="454"/>
      <c r="D349" s="450"/>
      <c r="E349" s="67"/>
      <c r="F349" s="67">
        <f>F348*1%</f>
        <v>0.3</v>
      </c>
      <c r="G349" s="66"/>
      <c r="H349" s="296"/>
      <c r="I349" s="296"/>
    </row>
    <row r="350" spans="1:9">
      <c r="A350" s="493" t="s">
        <v>30</v>
      </c>
      <c r="B350" s="454"/>
      <c r="C350" s="454"/>
      <c r="D350" s="450"/>
      <c r="E350" s="71"/>
      <c r="F350" s="67">
        <f>F349+F348</f>
        <v>30.3</v>
      </c>
      <c r="G350" s="66"/>
      <c r="H350" s="296"/>
      <c r="I350" s="296"/>
    </row>
    <row r="351" spans="1:9">
      <c r="A351" s="493" t="s">
        <v>836</v>
      </c>
      <c r="B351" s="454"/>
      <c r="C351" s="454"/>
      <c r="D351" s="450"/>
      <c r="E351" s="67"/>
      <c r="F351" s="67">
        <f>F350*15%</f>
        <v>4.5449999999999999</v>
      </c>
      <c r="G351" s="66"/>
      <c r="H351" s="296"/>
      <c r="I351" s="296"/>
    </row>
    <row r="352" spans="1:9">
      <c r="A352" s="493" t="s">
        <v>30</v>
      </c>
      <c r="B352" s="454"/>
      <c r="C352" s="454"/>
      <c r="D352" s="450"/>
      <c r="E352" s="71"/>
      <c r="F352" s="191">
        <f>ROUND(F351+F350,2)</f>
        <v>34.85</v>
      </c>
      <c r="G352" s="66"/>
      <c r="H352" s="296"/>
      <c r="I352" s="296"/>
    </row>
    <row r="353" spans="1:9">
      <c r="A353" s="490" t="s">
        <v>847</v>
      </c>
      <c r="B353" s="454"/>
      <c r="C353" s="454"/>
      <c r="D353" s="454"/>
      <c r="E353" s="454"/>
      <c r="F353" s="450"/>
      <c r="G353" s="68" t="s">
        <v>820</v>
      </c>
      <c r="H353" s="296"/>
      <c r="I353" s="296"/>
    </row>
    <row r="354" spans="1:9">
      <c r="A354" s="491">
        <v>9999</v>
      </c>
      <c r="B354" s="491"/>
      <c r="C354" s="484" t="s">
        <v>1736</v>
      </c>
      <c r="D354" s="454"/>
      <c r="E354" s="450"/>
      <c r="F354" s="484"/>
      <c r="G354" s="450"/>
      <c r="H354" s="296"/>
      <c r="I354" s="296"/>
    </row>
    <row r="355" spans="1:9">
      <c r="A355" s="457"/>
      <c r="B355" s="457"/>
      <c r="C355" s="66" t="s">
        <v>62</v>
      </c>
      <c r="D355" s="67">
        <v>2.73</v>
      </c>
      <c r="E355" s="67">
        <v>2.12</v>
      </c>
      <c r="F355" s="67">
        <f>D355*E355</f>
        <v>5.7876000000000003</v>
      </c>
      <c r="G355" s="66" t="s">
        <v>851</v>
      </c>
      <c r="H355" s="296"/>
      <c r="I355" s="296"/>
    </row>
    <row r="356" spans="1:9">
      <c r="A356" s="491">
        <v>9999</v>
      </c>
      <c r="B356" s="491"/>
      <c r="C356" s="484" t="s">
        <v>1628</v>
      </c>
      <c r="D356" s="454"/>
      <c r="E356" s="450"/>
      <c r="F356" s="484"/>
      <c r="G356" s="450"/>
      <c r="H356" s="296"/>
      <c r="I356" s="296"/>
    </row>
    <row r="357" spans="1:9">
      <c r="A357" s="457"/>
      <c r="B357" s="457"/>
      <c r="C357" s="66" t="s">
        <v>62</v>
      </c>
      <c r="D357" s="67">
        <v>9.36</v>
      </c>
      <c r="E357" s="67">
        <v>2.12</v>
      </c>
      <c r="F357" s="67">
        <f>D357*E357</f>
        <v>19.8432</v>
      </c>
      <c r="G357" s="66" t="s">
        <v>854</v>
      </c>
      <c r="H357" s="296"/>
      <c r="I357" s="296"/>
    </row>
    <row r="358" spans="1:9">
      <c r="A358" s="492" t="s">
        <v>1630</v>
      </c>
      <c r="B358" s="454"/>
      <c r="C358" s="450"/>
      <c r="D358" s="67">
        <v>1</v>
      </c>
      <c r="E358" s="70" t="s">
        <v>1107</v>
      </c>
      <c r="F358" s="67">
        <f>F357+F355</f>
        <v>25.630800000000001</v>
      </c>
      <c r="G358" s="71"/>
      <c r="H358" s="296"/>
      <c r="I358" s="296"/>
    </row>
    <row r="359" spans="1:9">
      <c r="A359" s="492" t="s">
        <v>826</v>
      </c>
      <c r="B359" s="454"/>
      <c r="C359" s="450"/>
      <c r="D359" s="67">
        <v>1</v>
      </c>
      <c r="E359" s="70" t="s">
        <v>1107</v>
      </c>
      <c r="F359" s="67">
        <f>F358/D358</f>
        <v>25.630800000000001</v>
      </c>
      <c r="G359" s="71"/>
      <c r="H359" s="296"/>
      <c r="I359" s="296"/>
    </row>
    <row r="360" spans="1:9">
      <c r="A360" s="493" t="s">
        <v>829</v>
      </c>
      <c r="B360" s="454"/>
      <c r="C360" s="454"/>
      <c r="D360" s="450"/>
      <c r="E360" s="67"/>
      <c r="F360" s="67">
        <f>F359*1%</f>
        <v>0.25630800000000004</v>
      </c>
      <c r="G360" s="71"/>
      <c r="H360" s="296"/>
      <c r="I360" s="296"/>
    </row>
    <row r="361" spans="1:9">
      <c r="A361" s="493" t="s">
        <v>30</v>
      </c>
      <c r="B361" s="454"/>
      <c r="C361" s="454"/>
      <c r="D361" s="450"/>
      <c r="E361" s="71"/>
      <c r="F361" s="67">
        <f>F360+F359</f>
        <v>25.887108000000001</v>
      </c>
      <c r="G361" s="71"/>
      <c r="H361" s="296"/>
      <c r="I361" s="296"/>
    </row>
    <row r="362" spans="1:9">
      <c r="A362" s="493" t="s">
        <v>836</v>
      </c>
      <c r="B362" s="454"/>
      <c r="C362" s="454"/>
      <c r="D362" s="450"/>
      <c r="E362" s="67"/>
      <c r="F362" s="67">
        <f>F361*15%</f>
        <v>3.8830662</v>
      </c>
      <c r="G362" s="71"/>
      <c r="H362" s="296"/>
      <c r="I362" s="296"/>
    </row>
    <row r="363" spans="1:9">
      <c r="A363" s="493" t="s">
        <v>30</v>
      </c>
      <c r="B363" s="454"/>
      <c r="C363" s="454"/>
      <c r="D363" s="450"/>
      <c r="E363" s="71"/>
      <c r="F363" s="191">
        <f>ROUND(F362+F361,2)</f>
        <v>29.77</v>
      </c>
      <c r="G363" s="71"/>
      <c r="H363" s="296"/>
      <c r="I363" s="296"/>
    </row>
    <row r="364" spans="1:9">
      <c r="A364" s="594" t="str">
        <f>CONCATENATE("Say ₹ ",F352," + ",F363," x Cost Index")</f>
        <v>Say ₹ 34.85 + 29.77 x Cost Index</v>
      </c>
      <c r="B364" s="454"/>
      <c r="C364" s="454"/>
      <c r="D364" s="454"/>
      <c r="E364" s="454"/>
      <c r="F364" s="454"/>
      <c r="G364" s="450"/>
      <c r="H364" s="297">
        <f>((F346*1.01*1.15))</f>
        <v>34.844999999999999</v>
      </c>
      <c r="I364" s="297">
        <f>((SUM(F355,F357)*1.01*1.15))</f>
        <v>29.7701742</v>
      </c>
    </row>
    <row r="365" spans="1:9">
      <c r="A365" s="595" t="s">
        <v>771</v>
      </c>
      <c r="B365" s="595" t="s">
        <v>776</v>
      </c>
      <c r="C365" s="596" t="s">
        <v>4</v>
      </c>
      <c r="D365" s="454"/>
      <c r="E365" s="450"/>
      <c r="F365" s="596" t="s">
        <v>785</v>
      </c>
      <c r="G365" s="450"/>
      <c r="H365" s="324"/>
      <c r="I365" s="324"/>
    </row>
    <row r="366" spans="1:9">
      <c r="A366" s="457"/>
      <c r="B366" s="457"/>
      <c r="C366" s="325" t="s">
        <v>5</v>
      </c>
      <c r="D366" s="325" t="s">
        <v>6</v>
      </c>
      <c r="E366" s="325" t="s">
        <v>336</v>
      </c>
      <c r="F366" s="325" t="s">
        <v>8</v>
      </c>
      <c r="G366" s="325" t="s">
        <v>789</v>
      </c>
      <c r="H366" s="324"/>
      <c r="I366" s="324"/>
    </row>
    <row r="367" spans="1:9">
      <c r="A367" s="597" t="s">
        <v>1799</v>
      </c>
      <c r="B367" s="454"/>
      <c r="C367" s="454"/>
      <c r="D367" s="454"/>
      <c r="E367" s="454"/>
      <c r="F367" s="454"/>
      <c r="G367" s="450"/>
      <c r="H367" s="324"/>
      <c r="I367" s="324"/>
    </row>
    <row r="368" spans="1:9">
      <c r="A368" s="326"/>
      <c r="B368" s="305" t="s">
        <v>795</v>
      </c>
      <c r="C368" s="305" t="s">
        <v>1107</v>
      </c>
      <c r="D368" s="305" t="s">
        <v>798</v>
      </c>
      <c r="E368" s="306">
        <v>1</v>
      </c>
      <c r="F368" s="613"/>
      <c r="G368" s="450"/>
      <c r="H368" s="324"/>
      <c r="I368" s="324"/>
    </row>
    <row r="369" spans="1:9">
      <c r="A369" s="305" t="s">
        <v>800</v>
      </c>
      <c r="B369" s="599" t="s">
        <v>1789</v>
      </c>
      <c r="C369" s="454"/>
      <c r="D369" s="454"/>
      <c r="E369" s="454"/>
      <c r="F369" s="454"/>
      <c r="G369" s="450"/>
      <c r="H369" s="324"/>
      <c r="I369" s="324"/>
    </row>
    <row r="370" spans="1:9">
      <c r="A370" s="600" t="s">
        <v>802</v>
      </c>
      <c r="B370" s="454"/>
      <c r="C370" s="454"/>
      <c r="D370" s="454"/>
      <c r="E370" s="454"/>
      <c r="F370" s="450"/>
      <c r="G370" s="327" t="s">
        <v>803</v>
      </c>
      <c r="H370" s="324"/>
      <c r="I370" s="324"/>
    </row>
    <row r="371" spans="1:9">
      <c r="A371" s="614"/>
      <c r="B371" s="605" t="s">
        <v>1800</v>
      </c>
      <c r="C371" s="599" t="s">
        <v>1801</v>
      </c>
      <c r="D371" s="454"/>
      <c r="E371" s="450"/>
      <c r="F371" s="613"/>
      <c r="G371" s="450"/>
      <c r="H371" s="324"/>
      <c r="I371" s="324"/>
    </row>
    <row r="372" spans="1:9">
      <c r="A372" s="457"/>
      <c r="B372" s="457"/>
      <c r="C372" s="305" t="s">
        <v>46</v>
      </c>
      <c r="D372" s="306">
        <v>1</v>
      </c>
      <c r="E372" s="306">
        <v>22.5</v>
      </c>
      <c r="F372" s="306">
        <f>D372*E372</f>
        <v>22.5</v>
      </c>
      <c r="G372" s="305" t="s">
        <v>808</v>
      </c>
      <c r="H372" s="324"/>
      <c r="I372" s="324"/>
    </row>
    <row r="373" spans="1:9">
      <c r="A373" s="602" t="s">
        <v>1105</v>
      </c>
      <c r="B373" s="454"/>
      <c r="C373" s="450"/>
      <c r="D373" s="306">
        <v>1</v>
      </c>
      <c r="E373" s="328" t="s">
        <v>1107</v>
      </c>
      <c r="F373" s="306">
        <f>F372</f>
        <v>22.5</v>
      </c>
      <c r="G373" s="326"/>
      <c r="H373" s="324"/>
      <c r="I373" s="324"/>
    </row>
    <row r="374" spans="1:9">
      <c r="A374" s="602" t="s">
        <v>826</v>
      </c>
      <c r="B374" s="454"/>
      <c r="C374" s="450"/>
      <c r="D374" s="306">
        <v>1</v>
      </c>
      <c r="E374" s="328" t="s">
        <v>1107</v>
      </c>
      <c r="F374" s="306">
        <f>F373/D373</f>
        <v>22.5</v>
      </c>
      <c r="G374" s="326"/>
      <c r="H374" s="324"/>
      <c r="I374" s="324"/>
    </row>
    <row r="375" spans="1:9">
      <c r="A375" s="603" t="s">
        <v>829</v>
      </c>
      <c r="B375" s="454"/>
      <c r="C375" s="454"/>
      <c r="D375" s="450"/>
      <c r="E375" s="326"/>
      <c r="F375" s="306">
        <f>F374*1%</f>
        <v>0.22500000000000001</v>
      </c>
      <c r="G375" s="326"/>
      <c r="H375" s="324"/>
      <c r="I375" s="324"/>
    </row>
    <row r="376" spans="1:9">
      <c r="A376" s="603" t="s">
        <v>30</v>
      </c>
      <c r="B376" s="454"/>
      <c r="C376" s="454"/>
      <c r="D376" s="450"/>
      <c r="E376" s="326"/>
      <c r="F376" s="306">
        <f>F375+F374</f>
        <v>22.725000000000001</v>
      </c>
      <c r="G376" s="326"/>
      <c r="H376" s="324"/>
      <c r="I376" s="324"/>
    </row>
    <row r="377" spans="1:9">
      <c r="A377" s="603" t="s">
        <v>836</v>
      </c>
      <c r="B377" s="454"/>
      <c r="C377" s="454"/>
      <c r="D377" s="450"/>
      <c r="E377" s="326"/>
      <c r="F377" s="306">
        <f>F376*15%</f>
        <v>3.4087499999999999</v>
      </c>
      <c r="G377" s="326"/>
      <c r="H377" s="324"/>
      <c r="I377" s="324"/>
    </row>
    <row r="378" spans="1:9">
      <c r="A378" s="603" t="s">
        <v>30</v>
      </c>
      <c r="B378" s="454"/>
      <c r="C378" s="454"/>
      <c r="D378" s="450"/>
      <c r="E378" s="326"/>
      <c r="F378" s="332">
        <f>ROUND(F377+F376,2)</f>
        <v>26.13</v>
      </c>
      <c r="G378" s="326"/>
      <c r="H378" s="324"/>
      <c r="I378" s="324"/>
    </row>
    <row r="379" spans="1:9">
      <c r="A379" s="600" t="s">
        <v>847</v>
      </c>
      <c r="B379" s="454"/>
      <c r="C379" s="454"/>
      <c r="D379" s="454"/>
      <c r="E379" s="454"/>
      <c r="F379" s="450"/>
      <c r="G379" s="327" t="s">
        <v>820</v>
      </c>
      <c r="H379" s="324"/>
      <c r="I379" s="324"/>
    </row>
    <row r="380" spans="1:9">
      <c r="A380" s="605">
        <v>9999</v>
      </c>
      <c r="B380" s="614"/>
      <c r="C380" s="599" t="s">
        <v>1736</v>
      </c>
      <c r="D380" s="454"/>
      <c r="E380" s="450"/>
      <c r="F380" s="613"/>
      <c r="G380" s="450"/>
      <c r="H380" s="324"/>
      <c r="I380" s="324"/>
    </row>
    <row r="381" spans="1:9">
      <c r="A381" s="457"/>
      <c r="B381" s="457"/>
      <c r="C381" s="305" t="s">
        <v>62</v>
      </c>
      <c r="D381" s="306">
        <v>2.73</v>
      </c>
      <c r="E381" s="306">
        <v>2.12</v>
      </c>
      <c r="F381" s="306">
        <f>D381*E381</f>
        <v>5.7876000000000003</v>
      </c>
      <c r="G381" s="305" t="s">
        <v>851</v>
      </c>
      <c r="H381" s="324"/>
      <c r="I381" s="324"/>
    </row>
    <row r="382" spans="1:9">
      <c r="A382" s="605">
        <v>9999</v>
      </c>
      <c r="B382" s="614"/>
      <c r="C382" s="599" t="s">
        <v>1628</v>
      </c>
      <c r="D382" s="454"/>
      <c r="E382" s="450"/>
      <c r="F382" s="613"/>
      <c r="G382" s="450"/>
      <c r="H382" s="324"/>
      <c r="I382" s="324"/>
    </row>
    <row r="383" spans="1:9">
      <c r="A383" s="457"/>
      <c r="B383" s="457"/>
      <c r="C383" s="305" t="s">
        <v>62</v>
      </c>
      <c r="D383" s="306">
        <v>9.36</v>
      </c>
      <c r="E383" s="306">
        <v>2.12</v>
      </c>
      <c r="F383" s="306">
        <f>D383*E383</f>
        <v>19.8432</v>
      </c>
      <c r="G383" s="305" t="s">
        <v>854</v>
      </c>
      <c r="H383" s="324"/>
      <c r="I383" s="324"/>
    </row>
    <row r="384" spans="1:9">
      <c r="A384" s="602" t="s">
        <v>1630</v>
      </c>
      <c r="B384" s="454"/>
      <c r="C384" s="450"/>
      <c r="D384" s="306">
        <v>1</v>
      </c>
      <c r="E384" s="328" t="s">
        <v>1107</v>
      </c>
      <c r="F384" s="306">
        <f>F383+F381</f>
        <v>25.630800000000001</v>
      </c>
      <c r="G384" s="326"/>
      <c r="H384" s="324"/>
      <c r="I384" s="324"/>
    </row>
    <row r="385" spans="1:9">
      <c r="A385" s="602" t="s">
        <v>826</v>
      </c>
      <c r="B385" s="454"/>
      <c r="C385" s="450"/>
      <c r="D385" s="306">
        <v>1</v>
      </c>
      <c r="E385" s="328" t="s">
        <v>1107</v>
      </c>
      <c r="F385" s="306">
        <f>F384/D384</f>
        <v>25.630800000000001</v>
      </c>
      <c r="G385" s="326"/>
      <c r="H385" s="324"/>
      <c r="I385" s="324"/>
    </row>
    <row r="386" spans="1:9">
      <c r="A386" s="603" t="s">
        <v>829</v>
      </c>
      <c r="B386" s="454"/>
      <c r="C386" s="454"/>
      <c r="D386" s="450"/>
      <c r="E386" s="326"/>
      <c r="F386" s="306">
        <f>F385*1%</f>
        <v>0.25630800000000004</v>
      </c>
      <c r="G386" s="326"/>
      <c r="H386" s="324"/>
      <c r="I386" s="324"/>
    </row>
    <row r="387" spans="1:9">
      <c r="A387" s="603" t="s">
        <v>30</v>
      </c>
      <c r="B387" s="454"/>
      <c r="C387" s="454"/>
      <c r="D387" s="450"/>
      <c r="E387" s="326"/>
      <c r="F387" s="306">
        <f>F386+F385</f>
        <v>25.887108000000001</v>
      </c>
      <c r="G387" s="326"/>
      <c r="H387" s="324"/>
      <c r="I387" s="324"/>
    </row>
    <row r="388" spans="1:9">
      <c r="A388" s="603" t="s">
        <v>836</v>
      </c>
      <c r="B388" s="454"/>
      <c r="C388" s="454"/>
      <c r="D388" s="450"/>
      <c r="E388" s="326"/>
      <c r="F388" s="306">
        <f>F387*15%</f>
        <v>3.8830662</v>
      </c>
      <c r="G388" s="326"/>
      <c r="H388" s="324"/>
      <c r="I388" s="324"/>
    </row>
    <row r="389" spans="1:9">
      <c r="A389" s="603" t="s">
        <v>30</v>
      </c>
      <c r="B389" s="454"/>
      <c r="C389" s="454"/>
      <c r="D389" s="450"/>
      <c r="E389" s="326"/>
      <c r="F389" s="332">
        <f>ROUND(F388+F387,2)</f>
        <v>29.77</v>
      </c>
      <c r="G389" s="326"/>
      <c r="H389" s="324"/>
      <c r="I389" s="324"/>
    </row>
    <row r="390" spans="1:9">
      <c r="A390" s="604" t="str">
        <f>CONCATENATE("Say ₹ ",F378," + ",F389," x Cost Index")</f>
        <v>Say ₹ 26.13 + 29.77 x Cost Index</v>
      </c>
      <c r="B390" s="454"/>
      <c r="C390" s="454"/>
      <c r="D390" s="454"/>
      <c r="E390" s="454"/>
      <c r="F390" s="454"/>
      <c r="G390" s="450"/>
      <c r="H390" s="337">
        <f>((F372*1.01*1.15))</f>
        <v>26.133749999999999</v>
      </c>
      <c r="I390" s="337">
        <f>((SUM(F381,F383)*1.01*1.15))</f>
        <v>29.7701742</v>
      </c>
    </row>
    <row r="391" spans="1:9">
      <c r="A391" s="595" t="s">
        <v>771</v>
      </c>
      <c r="B391" s="595" t="s">
        <v>776</v>
      </c>
      <c r="C391" s="596" t="s">
        <v>4</v>
      </c>
      <c r="D391" s="454"/>
      <c r="E391" s="450"/>
      <c r="F391" s="596" t="s">
        <v>785</v>
      </c>
      <c r="G391" s="450"/>
      <c r="H391" s="324"/>
      <c r="I391" s="324"/>
    </row>
    <row r="392" spans="1:9">
      <c r="A392" s="457"/>
      <c r="B392" s="457"/>
      <c r="C392" s="325" t="s">
        <v>5</v>
      </c>
      <c r="D392" s="325" t="s">
        <v>6</v>
      </c>
      <c r="E392" s="325" t="s">
        <v>336</v>
      </c>
      <c r="F392" s="325" t="s">
        <v>8</v>
      </c>
      <c r="G392" s="325" t="s">
        <v>789</v>
      </c>
      <c r="H392" s="324"/>
      <c r="I392" s="324"/>
    </row>
    <row r="393" spans="1:9">
      <c r="A393" s="597" t="s">
        <v>1805</v>
      </c>
      <c r="B393" s="454"/>
      <c r="C393" s="454"/>
      <c r="D393" s="454"/>
      <c r="E393" s="454"/>
      <c r="F393" s="454"/>
      <c r="G393" s="450"/>
      <c r="H393" s="324"/>
      <c r="I393" s="324"/>
    </row>
    <row r="394" spans="1:9">
      <c r="A394" s="326"/>
      <c r="B394" s="305" t="s">
        <v>795</v>
      </c>
      <c r="C394" s="305" t="s">
        <v>1107</v>
      </c>
      <c r="D394" s="305" t="s">
        <v>798</v>
      </c>
      <c r="E394" s="306">
        <v>1</v>
      </c>
      <c r="F394" s="613"/>
      <c r="G394" s="450"/>
      <c r="H394" s="324"/>
      <c r="I394" s="324"/>
    </row>
    <row r="395" spans="1:9">
      <c r="A395" s="305" t="s">
        <v>800</v>
      </c>
      <c r="B395" s="599" t="s">
        <v>1789</v>
      </c>
      <c r="C395" s="454"/>
      <c r="D395" s="454"/>
      <c r="E395" s="454"/>
      <c r="F395" s="454"/>
      <c r="G395" s="450"/>
      <c r="H395" s="324"/>
      <c r="I395" s="324"/>
    </row>
    <row r="396" spans="1:9">
      <c r="A396" s="600" t="s">
        <v>802</v>
      </c>
      <c r="B396" s="454"/>
      <c r="C396" s="454"/>
      <c r="D396" s="454"/>
      <c r="E396" s="454"/>
      <c r="F396" s="450"/>
      <c r="G396" s="327" t="s">
        <v>803</v>
      </c>
      <c r="H396" s="324"/>
      <c r="I396" s="324"/>
    </row>
    <row r="397" spans="1:9">
      <c r="A397" s="614"/>
      <c r="B397" s="605" t="s">
        <v>1807</v>
      </c>
      <c r="C397" s="599" t="s">
        <v>1808</v>
      </c>
      <c r="D397" s="454"/>
      <c r="E397" s="450"/>
      <c r="F397" s="613"/>
      <c r="G397" s="450"/>
      <c r="H397" s="324"/>
      <c r="I397" s="324"/>
    </row>
    <row r="398" spans="1:9">
      <c r="A398" s="457"/>
      <c r="B398" s="457"/>
      <c r="C398" s="305" t="s">
        <v>46</v>
      </c>
      <c r="D398" s="306">
        <v>1</v>
      </c>
      <c r="E398" s="338">
        <v>36.5</v>
      </c>
      <c r="F398" s="306">
        <f>D398*E398</f>
        <v>36.5</v>
      </c>
      <c r="G398" s="305" t="s">
        <v>808</v>
      </c>
      <c r="H398" s="324"/>
      <c r="I398" s="324"/>
    </row>
    <row r="399" spans="1:9">
      <c r="A399" s="602" t="s">
        <v>1105</v>
      </c>
      <c r="B399" s="454"/>
      <c r="C399" s="450"/>
      <c r="D399" s="306">
        <v>1</v>
      </c>
      <c r="E399" s="328" t="s">
        <v>1107</v>
      </c>
      <c r="F399" s="306">
        <f>F398</f>
        <v>36.5</v>
      </c>
      <c r="G399" s="326"/>
      <c r="H399" s="324"/>
      <c r="I399" s="324"/>
    </row>
    <row r="400" spans="1:9">
      <c r="A400" s="602" t="s">
        <v>826</v>
      </c>
      <c r="B400" s="454"/>
      <c r="C400" s="450"/>
      <c r="D400" s="306">
        <v>1</v>
      </c>
      <c r="E400" s="328" t="s">
        <v>1107</v>
      </c>
      <c r="F400" s="306">
        <f>F399/D399</f>
        <v>36.5</v>
      </c>
      <c r="G400" s="326"/>
      <c r="H400" s="324"/>
      <c r="I400" s="324"/>
    </row>
    <row r="401" spans="1:9">
      <c r="A401" s="603" t="s">
        <v>829</v>
      </c>
      <c r="B401" s="454"/>
      <c r="C401" s="454"/>
      <c r="D401" s="450"/>
      <c r="E401" s="326"/>
      <c r="F401" s="306">
        <f>F400*1%</f>
        <v>0.36499999999999999</v>
      </c>
      <c r="G401" s="326"/>
      <c r="H401" s="324"/>
      <c r="I401" s="324"/>
    </row>
    <row r="402" spans="1:9">
      <c r="A402" s="603" t="s">
        <v>30</v>
      </c>
      <c r="B402" s="454"/>
      <c r="C402" s="454"/>
      <c r="D402" s="450"/>
      <c r="E402" s="326"/>
      <c r="F402" s="306">
        <f>F401+F400</f>
        <v>36.865000000000002</v>
      </c>
      <c r="G402" s="326"/>
      <c r="H402" s="324"/>
      <c r="I402" s="324"/>
    </row>
    <row r="403" spans="1:9">
      <c r="A403" s="603" t="s">
        <v>836</v>
      </c>
      <c r="B403" s="454"/>
      <c r="C403" s="454"/>
      <c r="D403" s="450"/>
      <c r="E403" s="326"/>
      <c r="F403" s="306">
        <f>F402*15%</f>
        <v>5.5297499999999999</v>
      </c>
      <c r="G403" s="326"/>
      <c r="H403" s="324"/>
      <c r="I403" s="324"/>
    </row>
    <row r="404" spans="1:9">
      <c r="A404" s="603" t="s">
        <v>30</v>
      </c>
      <c r="B404" s="454"/>
      <c r="C404" s="454"/>
      <c r="D404" s="450"/>
      <c r="E404" s="326"/>
      <c r="F404" s="332">
        <f>ROUND(F403+F402,2)</f>
        <v>42.39</v>
      </c>
      <c r="G404" s="326"/>
      <c r="H404" s="324"/>
      <c r="I404" s="324"/>
    </row>
    <row r="405" spans="1:9">
      <c r="A405" s="600" t="s">
        <v>847</v>
      </c>
      <c r="B405" s="454"/>
      <c r="C405" s="454"/>
      <c r="D405" s="454"/>
      <c r="E405" s="454"/>
      <c r="F405" s="450"/>
      <c r="G405" s="327" t="s">
        <v>820</v>
      </c>
      <c r="H405" s="324"/>
      <c r="I405" s="324"/>
    </row>
    <row r="406" spans="1:9">
      <c r="A406" s="605">
        <v>9999</v>
      </c>
      <c r="B406" s="614"/>
      <c r="C406" s="599" t="s">
        <v>1736</v>
      </c>
      <c r="D406" s="454"/>
      <c r="E406" s="450"/>
      <c r="F406" s="613"/>
      <c r="G406" s="450"/>
      <c r="H406" s="324"/>
      <c r="I406" s="324"/>
    </row>
    <row r="407" spans="1:9">
      <c r="A407" s="457"/>
      <c r="B407" s="457"/>
      <c r="C407" s="305" t="s">
        <v>62</v>
      </c>
      <c r="D407" s="306">
        <v>2.73</v>
      </c>
      <c r="E407" s="306">
        <v>2.12</v>
      </c>
      <c r="F407" s="306">
        <f>D407*E407</f>
        <v>5.7876000000000003</v>
      </c>
      <c r="G407" s="305" t="s">
        <v>851</v>
      </c>
      <c r="H407" s="324"/>
      <c r="I407" s="324"/>
    </row>
    <row r="408" spans="1:9">
      <c r="A408" s="605">
        <v>9999</v>
      </c>
      <c r="B408" s="614"/>
      <c r="C408" s="599" t="s">
        <v>1628</v>
      </c>
      <c r="D408" s="454"/>
      <c r="E408" s="450"/>
      <c r="F408" s="613"/>
      <c r="G408" s="450"/>
      <c r="H408" s="324"/>
      <c r="I408" s="324"/>
    </row>
    <row r="409" spans="1:9">
      <c r="A409" s="457"/>
      <c r="B409" s="457"/>
      <c r="C409" s="305" t="s">
        <v>62</v>
      </c>
      <c r="D409" s="306">
        <v>9.36</v>
      </c>
      <c r="E409" s="306">
        <v>2.12</v>
      </c>
      <c r="F409" s="306">
        <f>D409*E409</f>
        <v>19.8432</v>
      </c>
      <c r="G409" s="305" t="s">
        <v>854</v>
      </c>
      <c r="H409" s="324"/>
      <c r="I409" s="324"/>
    </row>
    <row r="410" spans="1:9">
      <c r="A410" s="602" t="s">
        <v>1630</v>
      </c>
      <c r="B410" s="454"/>
      <c r="C410" s="450"/>
      <c r="D410" s="306">
        <v>1</v>
      </c>
      <c r="E410" s="328" t="s">
        <v>1107</v>
      </c>
      <c r="F410" s="306">
        <f>F409+F407</f>
        <v>25.630800000000001</v>
      </c>
      <c r="G410" s="326"/>
      <c r="H410" s="324"/>
      <c r="I410" s="324"/>
    </row>
    <row r="411" spans="1:9">
      <c r="A411" s="602" t="s">
        <v>826</v>
      </c>
      <c r="B411" s="454"/>
      <c r="C411" s="450"/>
      <c r="D411" s="306">
        <v>1</v>
      </c>
      <c r="E411" s="328" t="s">
        <v>1107</v>
      </c>
      <c r="F411" s="306">
        <f>F410/D410</f>
        <v>25.630800000000001</v>
      </c>
      <c r="G411" s="326"/>
      <c r="H411" s="324"/>
      <c r="I411" s="324"/>
    </row>
    <row r="412" spans="1:9">
      <c r="A412" s="603" t="s">
        <v>829</v>
      </c>
      <c r="B412" s="454"/>
      <c r="C412" s="454"/>
      <c r="D412" s="450"/>
      <c r="E412" s="326"/>
      <c r="F412" s="306">
        <f>F411*1%</f>
        <v>0.25630800000000004</v>
      </c>
      <c r="G412" s="326"/>
      <c r="H412" s="324"/>
      <c r="I412" s="324"/>
    </row>
    <row r="413" spans="1:9">
      <c r="A413" s="603" t="s">
        <v>30</v>
      </c>
      <c r="B413" s="454"/>
      <c r="C413" s="454"/>
      <c r="D413" s="450"/>
      <c r="E413" s="326"/>
      <c r="F413" s="306">
        <f>F412+F411</f>
        <v>25.887108000000001</v>
      </c>
      <c r="G413" s="326"/>
      <c r="H413" s="324"/>
      <c r="I413" s="324"/>
    </row>
    <row r="414" spans="1:9">
      <c r="A414" s="603" t="s">
        <v>836</v>
      </c>
      <c r="B414" s="454"/>
      <c r="C414" s="454"/>
      <c r="D414" s="450"/>
      <c r="E414" s="326"/>
      <c r="F414" s="306">
        <f>F413*15%</f>
        <v>3.8830662</v>
      </c>
      <c r="G414" s="326"/>
      <c r="H414" s="324"/>
      <c r="I414" s="324"/>
    </row>
    <row r="415" spans="1:9">
      <c r="A415" s="603" t="s">
        <v>30</v>
      </c>
      <c r="B415" s="454"/>
      <c r="C415" s="454"/>
      <c r="D415" s="450"/>
      <c r="E415" s="326"/>
      <c r="F415" s="332">
        <f>ROUND(F414+F413,2)</f>
        <v>29.77</v>
      </c>
      <c r="G415" s="326"/>
      <c r="H415" s="324"/>
      <c r="I415" s="324"/>
    </row>
    <row r="416" spans="1:9">
      <c r="A416" s="604" t="str">
        <f>CONCATENATE("Say ₹ ",F404," + ",F415," x Cost Index")</f>
        <v>Say ₹ 42.39 + 29.77 x Cost Index</v>
      </c>
      <c r="B416" s="454"/>
      <c r="C416" s="454"/>
      <c r="D416" s="454"/>
      <c r="E416" s="454"/>
      <c r="F416" s="454"/>
      <c r="G416" s="450"/>
      <c r="H416" s="337">
        <f>((F398*1.01*1.15))</f>
        <v>42.394750000000002</v>
      </c>
      <c r="I416" s="337">
        <f>((SUM(F407,F409)*1.01*1.15))</f>
        <v>29.7701742</v>
      </c>
    </row>
    <row r="417" spans="1:9">
      <c r="A417" s="595" t="s">
        <v>771</v>
      </c>
      <c r="B417" s="595" t="s">
        <v>776</v>
      </c>
      <c r="C417" s="596" t="s">
        <v>4</v>
      </c>
      <c r="D417" s="454"/>
      <c r="E417" s="450"/>
      <c r="F417" s="596" t="s">
        <v>785</v>
      </c>
      <c r="G417" s="450"/>
      <c r="H417" s="339"/>
      <c r="I417" s="339"/>
    </row>
    <row r="418" spans="1:9">
      <c r="A418" s="457"/>
      <c r="B418" s="457"/>
      <c r="C418" s="325" t="s">
        <v>5</v>
      </c>
      <c r="D418" s="325" t="s">
        <v>6</v>
      </c>
      <c r="E418" s="325" t="s">
        <v>336</v>
      </c>
      <c r="F418" s="325" t="s">
        <v>8</v>
      </c>
      <c r="G418" s="325" t="s">
        <v>789</v>
      </c>
      <c r="H418" s="339"/>
      <c r="I418" s="339"/>
    </row>
    <row r="419" spans="1:9">
      <c r="A419" s="597" t="s">
        <v>1815</v>
      </c>
      <c r="B419" s="454"/>
      <c r="C419" s="454"/>
      <c r="D419" s="454"/>
      <c r="E419" s="454"/>
      <c r="F419" s="454"/>
      <c r="G419" s="450"/>
      <c r="H419" s="339"/>
      <c r="I419" s="339"/>
    </row>
    <row r="420" spans="1:9">
      <c r="A420" s="326"/>
      <c r="B420" s="305" t="s">
        <v>795</v>
      </c>
      <c r="C420" s="305" t="s">
        <v>1107</v>
      </c>
      <c r="D420" s="305" t="s">
        <v>798</v>
      </c>
      <c r="E420" s="306">
        <v>1</v>
      </c>
      <c r="F420" s="613"/>
      <c r="G420" s="450"/>
      <c r="H420" s="339"/>
      <c r="I420" s="339"/>
    </row>
    <row r="421" spans="1:9">
      <c r="A421" s="305" t="s">
        <v>800</v>
      </c>
      <c r="B421" s="599" t="s">
        <v>1789</v>
      </c>
      <c r="C421" s="454"/>
      <c r="D421" s="454"/>
      <c r="E421" s="454"/>
      <c r="F421" s="454"/>
      <c r="G421" s="450"/>
      <c r="H421" s="339"/>
      <c r="I421" s="339"/>
    </row>
    <row r="422" spans="1:9">
      <c r="A422" s="600" t="s">
        <v>802</v>
      </c>
      <c r="B422" s="454"/>
      <c r="C422" s="454"/>
      <c r="D422" s="454"/>
      <c r="E422" s="454"/>
      <c r="F422" s="450"/>
      <c r="G422" s="327" t="s">
        <v>803</v>
      </c>
      <c r="H422" s="339"/>
      <c r="I422" s="339"/>
    </row>
    <row r="423" spans="1:9">
      <c r="A423" s="614"/>
      <c r="B423" s="605" t="s">
        <v>1818</v>
      </c>
      <c r="C423" s="599" t="s">
        <v>1819</v>
      </c>
      <c r="D423" s="454"/>
      <c r="E423" s="450"/>
      <c r="F423" s="613"/>
      <c r="G423" s="450"/>
      <c r="H423" s="339"/>
      <c r="I423" s="339"/>
    </row>
    <row r="424" spans="1:9">
      <c r="A424" s="457"/>
      <c r="B424" s="457"/>
      <c r="C424" s="305" t="s">
        <v>46</v>
      </c>
      <c r="D424" s="306">
        <v>1</v>
      </c>
      <c r="E424" s="338">
        <v>49</v>
      </c>
      <c r="F424" s="306">
        <f>D424*E424</f>
        <v>49</v>
      </c>
      <c r="G424" s="305" t="s">
        <v>808</v>
      </c>
      <c r="H424" s="339"/>
      <c r="I424" s="339"/>
    </row>
    <row r="425" spans="1:9">
      <c r="A425" s="602" t="s">
        <v>1105</v>
      </c>
      <c r="B425" s="454"/>
      <c r="C425" s="450"/>
      <c r="D425" s="306">
        <v>1</v>
      </c>
      <c r="E425" s="328" t="s">
        <v>1107</v>
      </c>
      <c r="F425" s="306">
        <f>F424</f>
        <v>49</v>
      </c>
      <c r="G425" s="326"/>
      <c r="H425" s="339"/>
      <c r="I425" s="339"/>
    </row>
    <row r="426" spans="1:9">
      <c r="A426" s="602" t="s">
        <v>826</v>
      </c>
      <c r="B426" s="454"/>
      <c r="C426" s="450"/>
      <c r="D426" s="306">
        <v>1</v>
      </c>
      <c r="E426" s="328" t="s">
        <v>1107</v>
      </c>
      <c r="F426" s="306">
        <f>F425/D425</f>
        <v>49</v>
      </c>
      <c r="G426" s="326"/>
      <c r="H426" s="339"/>
      <c r="I426" s="339"/>
    </row>
    <row r="427" spans="1:9">
      <c r="A427" s="603" t="s">
        <v>829</v>
      </c>
      <c r="B427" s="454"/>
      <c r="C427" s="454"/>
      <c r="D427" s="450"/>
      <c r="E427" s="326"/>
      <c r="F427" s="306">
        <f>F426*1%</f>
        <v>0.49</v>
      </c>
      <c r="G427" s="326"/>
      <c r="H427" s="339"/>
      <c r="I427" s="339"/>
    </row>
    <row r="428" spans="1:9">
      <c r="A428" s="603" t="s">
        <v>30</v>
      </c>
      <c r="B428" s="454"/>
      <c r="C428" s="454"/>
      <c r="D428" s="450"/>
      <c r="E428" s="326"/>
      <c r="F428" s="306">
        <f>F427+F426</f>
        <v>49.49</v>
      </c>
      <c r="G428" s="326"/>
      <c r="H428" s="339"/>
      <c r="I428" s="339"/>
    </row>
    <row r="429" spans="1:9">
      <c r="A429" s="603" t="s">
        <v>836</v>
      </c>
      <c r="B429" s="454"/>
      <c r="C429" s="454"/>
      <c r="D429" s="450"/>
      <c r="E429" s="326"/>
      <c r="F429" s="306">
        <f>F428*15%</f>
        <v>7.4234999999999998</v>
      </c>
      <c r="G429" s="326"/>
      <c r="H429" s="339"/>
      <c r="I429" s="339"/>
    </row>
    <row r="430" spans="1:9">
      <c r="A430" s="603" t="s">
        <v>30</v>
      </c>
      <c r="B430" s="454"/>
      <c r="C430" s="454"/>
      <c r="D430" s="450"/>
      <c r="E430" s="326"/>
      <c r="F430" s="332">
        <f>ROUND(F429+F428,2)</f>
        <v>56.91</v>
      </c>
      <c r="G430" s="326"/>
      <c r="H430" s="339"/>
      <c r="I430" s="339"/>
    </row>
    <row r="431" spans="1:9">
      <c r="A431" s="600" t="s">
        <v>847</v>
      </c>
      <c r="B431" s="454"/>
      <c r="C431" s="454"/>
      <c r="D431" s="454"/>
      <c r="E431" s="454"/>
      <c r="F431" s="450"/>
      <c r="G431" s="327" t="s">
        <v>820</v>
      </c>
      <c r="H431" s="339"/>
      <c r="I431" s="339"/>
    </row>
    <row r="432" spans="1:9">
      <c r="A432" s="605">
        <v>9999</v>
      </c>
      <c r="B432" s="614"/>
      <c r="C432" s="599" t="s">
        <v>1736</v>
      </c>
      <c r="D432" s="454"/>
      <c r="E432" s="450"/>
      <c r="F432" s="613"/>
      <c r="G432" s="450"/>
      <c r="H432" s="339"/>
      <c r="I432" s="339"/>
    </row>
    <row r="433" spans="1:9">
      <c r="A433" s="457"/>
      <c r="B433" s="457"/>
      <c r="C433" s="305" t="s">
        <v>62</v>
      </c>
      <c r="D433" s="306">
        <v>2.73</v>
      </c>
      <c r="E433" s="306">
        <v>2.12</v>
      </c>
      <c r="F433" s="306">
        <f>D433*E433</f>
        <v>5.7876000000000003</v>
      </c>
      <c r="G433" s="305" t="s">
        <v>851</v>
      </c>
      <c r="H433" s="339"/>
      <c r="I433" s="339"/>
    </row>
    <row r="434" spans="1:9">
      <c r="A434" s="605">
        <v>9999</v>
      </c>
      <c r="B434" s="614"/>
      <c r="C434" s="599" t="s">
        <v>1628</v>
      </c>
      <c r="D434" s="454"/>
      <c r="E434" s="450"/>
      <c r="F434" s="613"/>
      <c r="G434" s="450"/>
      <c r="H434" s="339"/>
      <c r="I434" s="339"/>
    </row>
    <row r="435" spans="1:9">
      <c r="A435" s="457"/>
      <c r="B435" s="457"/>
      <c r="C435" s="305" t="s">
        <v>62</v>
      </c>
      <c r="D435" s="306">
        <v>9.36</v>
      </c>
      <c r="E435" s="306">
        <v>2.12</v>
      </c>
      <c r="F435" s="306">
        <f>D435*E435</f>
        <v>19.8432</v>
      </c>
      <c r="G435" s="305" t="s">
        <v>854</v>
      </c>
      <c r="H435" s="339"/>
      <c r="I435" s="339"/>
    </row>
    <row r="436" spans="1:9">
      <c r="A436" s="602" t="s">
        <v>1630</v>
      </c>
      <c r="B436" s="454"/>
      <c r="C436" s="450"/>
      <c r="D436" s="306">
        <v>1</v>
      </c>
      <c r="E436" s="328" t="s">
        <v>1107</v>
      </c>
      <c r="F436" s="306">
        <f>F435+F433</f>
        <v>25.630800000000001</v>
      </c>
      <c r="G436" s="326"/>
      <c r="H436" s="339"/>
      <c r="I436" s="339"/>
    </row>
    <row r="437" spans="1:9">
      <c r="A437" s="602" t="s">
        <v>826</v>
      </c>
      <c r="B437" s="454"/>
      <c r="C437" s="450"/>
      <c r="D437" s="306">
        <v>1</v>
      </c>
      <c r="E437" s="328" t="s">
        <v>1107</v>
      </c>
      <c r="F437" s="306">
        <f>F436/D436</f>
        <v>25.630800000000001</v>
      </c>
      <c r="G437" s="326"/>
      <c r="H437" s="339"/>
      <c r="I437" s="339"/>
    </row>
    <row r="438" spans="1:9">
      <c r="A438" s="603" t="s">
        <v>829</v>
      </c>
      <c r="B438" s="454"/>
      <c r="C438" s="454"/>
      <c r="D438" s="450"/>
      <c r="E438" s="326"/>
      <c r="F438" s="306">
        <f>F437*1%</f>
        <v>0.25630800000000004</v>
      </c>
      <c r="G438" s="326"/>
      <c r="H438" s="339"/>
      <c r="I438" s="339"/>
    </row>
    <row r="439" spans="1:9">
      <c r="A439" s="603" t="s">
        <v>30</v>
      </c>
      <c r="B439" s="454"/>
      <c r="C439" s="454"/>
      <c r="D439" s="450"/>
      <c r="E439" s="326"/>
      <c r="F439" s="306">
        <f>F438+F437</f>
        <v>25.887108000000001</v>
      </c>
      <c r="G439" s="326"/>
      <c r="H439" s="339"/>
      <c r="I439" s="339"/>
    </row>
    <row r="440" spans="1:9">
      <c r="A440" s="603" t="s">
        <v>836</v>
      </c>
      <c r="B440" s="454"/>
      <c r="C440" s="454"/>
      <c r="D440" s="450"/>
      <c r="E440" s="326"/>
      <c r="F440" s="306">
        <f>F439*15%</f>
        <v>3.8830662</v>
      </c>
      <c r="G440" s="326"/>
      <c r="H440" s="339"/>
      <c r="I440" s="339"/>
    </row>
    <row r="441" spans="1:9">
      <c r="A441" s="603" t="s">
        <v>30</v>
      </c>
      <c r="B441" s="454"/>
      <c r="C441" s="454"/>
      <c r="D441" s="450"/>
      <c r="E441" s="326"/>
      <c r="F441" s="332">
        <f>ROUND(F440+F439,2)</f>
        <v>29.77</v>
      </c>
      <c r="G441" s="326"/>
      <c r="H441" s="339"/>
      <c r="I441" s="339"/>
    </row>
    <row r="442" spans="1:9">
      <c r="A442" s="604" t="str">
        <f>CONCATENATE("Say ₹ ",F430," + ",F441," x Cost Index")</f>
        <v>Say ₹ 56.91 + 29.77 x Cost Index</v>
      </c>
      <c r="B442" s="454"/>
      <c r="C442" s="454"/>
      <c r="D442" s="454"/>
      <c r="E442" s="454"/>
      <c r="F442" s="454"/>
      <c r="G442" s="450"/>
      <c r="H442" s="337">
        <f>((F424*1.01*1.15))</f>
        <v>56.913499999999999</v>
      </c>
      <c r="I442" s="337">
        <f>((SUM(F433,F435)*1.01*1.15))</f>
        <v>29.7701742</v>
      </c>
    </row>
    <row r="443" spans="1:9">
      <c r="A443" s="486" t="s">
        <v>771</v>
      </c>
      <c r="B443" s="486" t="s">
        <v>776</v>
      </c>
      <c r="C443" s="487" t="s">
        <v>4</v>
      </c>
      <c r="D443" s="454"/>
      <c r="E443" s="450"/>
      <c r="F443" s="487" t="s">
        <v>785</v>
      </c>
      <c r="G443" s="450"/>
      <c r="H443" s="296"/>
      <c r="I443" s="296"/>
    </row>
    <row r="444" spans="1:9">
      <c r="A444" s="457"/>
      <c r="B444" s="457"/>
      <c r="C444" s="62" t="s">
        <v>5</v>
      </c>
      <c r="D444" s="62" t="s">
        <v>6</v>
      </c>
      <c r="E444" s="62" t="s">
        <v>336</v>
      </c>
      <c r="F444" s="62" t="s">
        <v>8</v>
      </c>
      <c r="G444" s="62" t="s">
        <v>789</v>
      </c>
      <c r="H444" s="296"/>
      <c r="I444" s="296"/>
    </row>
    <row r="445" spans="1:9">
      <c r="A445" s="608" t="s">
        <v>1825</v>
      </c>
      <c r="B445" s="454"/>
      <c r="C445" s="454"/>
      <c r="D445" s="454"/>
      <c r="E445" s="454"/>
      <c r="F445" s="454"/>
      <c r="G445" s="450"/>
      <c r="H445" s="296"/>
      <c r="I445" s="296"/>
    </row>
    <row r="446" spans="1:9">
      <c r="A446" s="65"/>
      <c r="B446" s="66" t="s">
        <v>795</v>
      </c>
      <c r="C446" s="66" t="s">
        <v>1107</v>
      </c>
      <c r="D446" s="66" t="s">
        <v>798</v>
      </c>
      <c r="E446" s="67">
        <v>1</v>
      </c>
      <c r="F446" s="484"/>
      <c r="G446" s="450"/>
      <c r="H446" s="296"/>
      <c r="I446" s="296"/>
    </row>
    <row r="447" spans="1:9">
      <c r="A447" s="66" t="s">
        <v>800</v>
      </c>
      <c r="B447" s="484" t="s">
        <v>1789</v>
      </c>
      <c r="C447" s="454"/>
      <c r="D447" s="454"/>
      <c r="E447" s="454"/>
      <c r="F447" s="454"/>
      <c r="G447" s="450"/>
      <c r="H447" s="296"/>
      <c r="I447" s="296"/>
    </row>
    <row r="448" spans="1:9">
      <c r="A448" s="490" t="s">
        <v>802</v>
      </c>
      <c r="B448" s="454"/>
      <c r="C448" s="454"/>
      <c r="D448" s="454"/>
      <c r="E448" s="454"/>
      <c r="F448" s="450"/>
      <c r="G448" s="68" t="s">
        <v>803</v>
      </c>
      <c r="H448" s="296"/>
      <c r="I448" s="296"/>
    </row>
    <row r="449" spans="1:9">
      <c r="A449" s="491"/>
      <c r="B449" s="491" t="s">
        <v>1826</v>
      </c>
      <c r="C449" s="484" t="s">
        <v>1827</v>
      </c>
      <c r="D449" s="454"/>
      <c r="E449" s="450"/>
      <c r="F449" s="484"/>
      <c r="G449" s="450"/>
      <c r="H449" s="296"/>
      <c r="I449" s="296"/>
    </row>
    <row r="450" spans="1:9">
      <c r="A450" s="457"/>
      <c r="B450" s="457"/>
      <c r="C450" s="66" t="s">
        <v>46</v>
      </c>
      <c r="D450" s="67">
        <v>1</v>
      </c>
      <c r="E450" s="67">
        <v>28</v>
      </c>
      <c r="F450" s="67">
        <f>D450*E450</f>
        <v>28</v>
      </c>
      <c r="G450" s="66" t="s">
        <v>808</v>
      </c>
      <c r="H450" s="296"/>
      <c r="I450" s="296"/>
    </row>
    <row r="451" spans="1:9">
      <c r="A451" s="492" t="s">
        <v>1105</v>
      </c>
      <c r="B451" s="454"/>
      <c r="C451" s="450"/>
      <c r="D451" s="67">
        <v>1</v>
      </c>
      <c r="E451" s="70" t="s">
        <v>1107</v>
      </c>
      <c r="F451" s="67">
        <f>F450</f>
        <v>28</v>
      </c>
      <c r="G451" s="66"/>
      <c r="H451" s="296"/>
      <c r="I451" s="296"/>
    </row>
    <row r="452" spans="1:9">
      <c r="A452" s="492" t="s">
        <v>826</v>
      </c>
      <c r="B452" s="454"/>
      <c r="C452" s="450"/>
      <c r="D452" s="67">
        <v>1</v>
      </c>
      <c r="E452" s="70" t="s">
        <v>1107</v>
      </c>
      <c r="F452" s="67">
        <f>F451/D451</f>
        <v>28</v>
      </c>
      <c r="G452" s="66"/>
      <c r="H452" s="296"/>
      <c r="I452" s="296"/>
    </row>
    <row r="453" spans="1:9">
      <c r="A453" s="493" t="s">
        <v>829</v>
      </c>
      <c r="B453" s="454"/>
      <c r="C453" s="454"/>
      <c r="D453" s="450"/>
      <c r="E453" s="67"/>
      <c r="F453" s="67">
        <f>F452*1%</f>
        <v>0.28000000000000003</v>
      </c>
      <c r="G453" s="66"/>
      <c r="H453" s="296"/>
      <c r="I453" s="296"/>
    </row>
    <row r="454" spans="1:9">
      <c r="A454" s="493" t="s">
        <v>30</v>
      </c>
      <c r="B454" s="454"/>
      <c r="C454" s="454"/>
      <c r="D454" s="450"/>
      <c r="E454" s="71"/>
      <c r="F454" s="67">
        <f>F453+F452</f>
        <v>28.28</v>
      </c>
      <c r="G454" s="66"/>
      <c r="H454" s="296"/>
      <c r="I454" s="296"/>
    </row>
    <row r="455" spans="1:9">
      <c r="A455" s="493" t="s">
        <v>836</v>
      </c>
      <c r="B455" s="454"/>
      <c r="C455" s="454"/>
      <c r="D455" s="450"/>
      <c r="E455" s="67"/>
      <c r="F455" s="67">
        <f>F454*15%</f>
        <v>4.242</v>
      </c>
      <c r="G455" s="66"/>
      <c r="H455" s="296"/>
      <c r="I455" s="296"/>
    </row>
    <row r="456" spans="1:9">
      <c r="A456" s="493" t="s">
        <v>30</v>
      </c>
      <c r="B456" s="454"/>
      <c r="C456" s="454"/>
      <c r="D456" s="450"/>
      <c r="E456" s="71"/>
      <c r="F456" s="191">
        <f>ROUND(F455+F454,2)</f>
        <v>32.520000000000003</v>
      </c>
      <c r="G456" s="66"/>
      <c r="H456" s="296"/>
      <c r="I456" s="296"/>
    </row>
    <row r="457" spans="1:9">
      <c r="A457" s="490" t="s">
        <v>847</v>
      </c>
      <c r="B457" s="454"/>
      <c r="C457" s="454"/>
      <c r="D457" s="454"/>
      <c r="E457" s="454"/>
      <c r="F457" s="450"/>
      <c r="G457" s="68" t="s">
        <v>820</v>
      </c>
      <c r="H457" s="296"/>
      <c r="I457" s="296"/>
    </row>
    <row r="458" spans="1:9">
      <c r="A458" s="491">
        <v>9999</v>
      </c>
      <c r="B458" s="491"/>
      <c r="C458" s="484" t="s">
        <v>1736</v>
      </c>
      <c r="D458" s="454"/>
      <c r="E458" s="450"/>
      <c r="F458" s="484"/>
      <c r="G458" s="450"/>
      <c r="H458" s="296"/>
      <c r="I458" s="296"/>
    </row>
    <row r="459" spans="1:9">
      <c r="A459" s="457"/>
      <c r="B459" s="457"/>
      <c r="C459" s="66" t="s">
        <v>62</v>
      </c>
      <c r="D459" s="67">
        <v>2.73</v>
      </c>
      <c r="E459" s="67">
        <v>2.12</v>
      </c>
      <c r="F459" s="67">
        <f>D459*E459</f>
        <v>5.7876000000000003</v>
      </c>
      <c r="G459" s="66" t="s">
        <v>851</v>
      </c>
      <c r="H459" s="296"/>
      <c r="I459" s="296"/>
    </row>
    <row r="460" spans="1:9">
      <c r="A460" s="491">
        <v>9999</v>
      </c>
      <c r="B460" s="491"/>
      <c r="C460" s="484" t="s">
        <v>1628</v>
      </c>
      <c r="D460" s="454"/>
      <c r="E460" s="450"/>
      <c r="F460" s="484"/>
      <c r="G460" s="450"/>
      <c r="H460" s="296"/>
      <c r="I460" s="296"/>
    </row>
    <row r="461" spans="1:9">
      <c r="A461" s="457"/>
      <c r="B461" s="457"/>
      <c r="C461" s="66" t="s">
        <v>62</v>
      </c>
      <c r="D461" s="67">
        <v>9.36</v>
      </c>
      <c r="E461" s="67">
        <v>2.12</v>
      </c>
      <c r="F461" s="67">
        <f>D461*E461</f>
        <v>19.8432</v>
      </c>
      <c r="G461" s="66" t="s">
        <v>854</v>
      </c>
      <c r="H461" s="296"/>
      <c r="I461" s="296"/>
    </row>
    <row r="462" spans="1:9">
      <c r="A462" s="492" t="s">
        <v>1630</v>
      </c>
      <c r="B462" s="454"/>
      <c r="C462" s="450"/>
      <c r="D462" s="67">
        <v>1</v>
      </c>
      <c r="E462" s="70" t="s">
        <v>1107</v>
      </c>
      <c r="F462" s="67">
        <f>F461+F459</f>
        <v>25.630800000000001</v>
      </c>
      <c r="G462" s="71"/>
      <c r="H462" s="296"/>
      <c r="I462" s="296"/>
    </row>
    <row r="463" spans="1:9">
      <c r="A463" s="492" t="s">
        <v>826</v>
      </c>
      <c r="B463" s="454"/>
      <c r="C463" s="450"/>
      <c r="D463" s="67">
        <v>1</v>
      </c>
      <c r="E463" s="70" t="s">
        <v>1107</v>
      </c>
      <c r="F463" s="67">
        <f>F462/D462</f>
        <v>25.630800000000001</v>
      </c>
      <c r="G463" s="71"/>
      <c r="H463" s="296"/>
      <c r="I463" s="296"/>
    </row>
    <row r="464" spans="1:9">
      <c r="A464" s="493" t="s">
        <v>829</v>
      </c>
      <c r="B464" s="454"/>
      <c r="C464" s="454"/>
      <c r="D464" s="450"/>
      <c r="E464" s="67"/>
      <c r="F464" s="67">
        <f>F463*1%</f>
        <v>0.25630800000000004</v>
      </c>
      <c r="G464" s="71"/>
      <c r="H464" s="296"/>
      <c r="I464" s="296"/>
    </row>
    <row r="465" spans="1:9">
      <c r="A465" s="493" t="s">
        <v>30</v>
      </c>
      <c r="B465" s="454"/>
      <c r="C465" s="454"/>
      <c r="D465" s="450"/>
      <c r="E465" s="71"/>
      <c r="F465" s="67">
        <f>F464+F463</f>
        <v>25.887108000000001</v>
      </c>
      <c r="G465" s="71"/>
      <c r="H465" s="296"/>
      <c r="I465" s="296"/>
    </row>
    <row r="466" spans="1:9">
      <c r="A466" s="493" t="s">
        <v>836</v>
      </c>
      <c r="B466" s="454"/>
      <c r="C466" s="454"/>
      <c r="D466" s="450"/>
      <c r="E466" s="67"/>
      <c r="F466" s="67">
        <f>F465*15%</f>
        <v>3.8830662</v>
      </c>
      <c r="G466" s="71"/>
      <c r="H466" s="296"/>
      <c r="I466" s="296"/>
    </row>
    <row r="467" spans="1:9">
      <c r="A467" s="493" t="s">
        <v>30</v>
      </c>
      <c r="B467" s="454"/>
      <c r="C467" s="454"/>
      <c r="D467" s="450"/>
      <c r="E467" s="71"/>
      <c r="F467" s="191">
        <f>ROUND(F466+F465,2)</f>
        <v>29.77</v>
      </c>
      <c r="G467" s="71"/>
      <c r="H467" s="296"/>
      <c r="I467" s="296"/>
    </row>
    <row r="468" spans="1:9">
      <c r="A468" s="594" t="str">
        <f>CONCATENATE("Say ₹ ",F456," + ",F467," x Cost Index")</f>
        <v>Say ₹ 32.52 + 29.77 x Cost Index</v>
      </c>
      <c r="B468" s="454"/>
      <c r="C468" s="454"/>
      <c r="D468" s="454"/>
      <c r="E468" s="454"/>
      <c r="F468" s="454"/>
      <c r="G468" s="450"/>
      <c r="H468" s="297">
        <f>((F450*1.01*1.15))</f>
        <v>32.521999999999998</v>
      </c>
      <c r="I468" s="297">
        <f>((SUM(F459,F461)*1.01*1.15))</f>
        <v>29.7701742</v>
      </c>
    </row>
    <row r="469" spans="1:9">
      <c r="A469" s="595" t="s">
        <v>771</v>
      </c>
      <c r="B469" s="595" t="s">
        <v>776</v>
      </c>
      <c r="C469" s="596" t="s">
        <v>4</v>
      </c>
      <c r="D469" s="454"/>
      <c r="E469" s="450"/>
      <c r="F469" s="596" t="s">
        <v>785</v>
      </c>
      <c r="G469" s="450"/>
      <c r="H469" s="324"/>
      <c r="I469" s="324"/>
    </row>
    <row r="470" spans="1:9">
      <c r="A470" s="457"/>
      <c r="B470" s="457"/>
      <c r="C470" s="325" t="s">
        <v>5</v>
      </c>
      <c r="D470" s="325" t="s">
        <v>6</v>
      </c>
      <c r="E470" s="325" t="s">
        <v>336</v>
      </c>
      <c r="F470" s="325" t="s">
        <v>8</v>
      </c>
      <c r="G470" s="325" t="s">
        <v>789</v>
      </c>
      <c r="H470" s="324"/>
      <c r="I470" s="324"/>
    </row>
    <row r="471" spans="1:9">
      <c r="A471" s="597" t="s">
        <v>1834</v>
      </c>
      <c r="B471" s="454"/>
      <c r="C471" s="454"/>
      <c r="D471" s="454"/>
      <c r="E471" s="454"/>
      <c r="F471" s="454"/>
      <c r="G471" s="450"/>
      <c r="H471" s="324"/>
      <c r="I471" s="324"/>
    </row>
    <row r="472" spans="1:9">
      <c r="A472" s="326"/>
      <c r="B472" s="305" t="s">
        <v>795</v>
      </c>
      <c r="C472" s="305" t="s">
        <v>1107</v>
      </c>
      <c r="D472" s="305" t="s">
        <v>798</v>
      </c>
      <c r="E472" s="306">
        <v>1</v>
      </c>
      <c r="F472" s="613"/>
      <c r="G472" s="450"/>
      <c r="H472" s="324"/>
      <c r="I472" s="324"/>
    </row>
    <row r="473" spans="1:9">
      <c r="A473" s="305" t="s">
        <v>800</v>
      </c>
      <c r="B473" s="599" t="s">
        <v>1789</v>
      </c>
      <c r="C473" s="454"/>
      <c r="D473" s="454"/>
      <c r="E473" s="454"/>
      <c r="F473" s="454"/>
      <c r="G473" s="450"/>
      <c r="H473" s="324"/>
      <c r="I473" s="324"/>
    </row>
    <row r="474" spans="1:9">
      <c r="A474" s="600" t="s">
        <v>802</v>
      </c>
      <c r="B474" s="454"/>
      <c r="C474" s="454"/>
      <c r="D474" s="454"/>
      <c r="E474" s="454"/>
      <c r="F474" s="450"/>
      <c r="G474" s="327" t="s">
        <v>803</v>
      </c>
      <c r="H474" s="324"/>
      <c r="I474" s="324"/>
    </row>
    <row r="475" spans="1:9">
      <c r="A475" s="614"/>
      <c r="B475" s="605" t="s">
        <v>1835</v>
      </c>
      <c r="C475" s="599" t="s">
        <v>1836</v>
      </c>
      <c r="D475" s="454"/>
      <c r="E475" s="450"/>
      <c r="F475" s="613"/>
      <c r="G475" s="450"/>
      <c r="H475" s="324"/>
      <c r="I475" s="324"/>
    </row>
    <row r="476" spans="1:9">
      <c r="A476" s="457"/>
      <c r="B476" s="457"/>
      <c r="C476" s="305" t="s">
        <v>46</v>
      </c>
      <c r="D476" s="306">
        <v>1</v>
      </c>
      <c r="E476" s="338">
        <v>49</v>
      </c>
      <c r="F476" s="306">
        <f>D476*E476</f>
        <v>49</v>
      </c>
      <c r="G476" s="305" t="s">
        <v>808</v>
      </c>
      <c r="H476" s="324"/>
      <c r="I476" s="324"/>
    </row>
    <row r="477" spans="1:9">
      <c r="A477" s="602" t="s">
        <v>1105</v>
      </c>
      <c r="B477" s="454"/>
      <c r="C477" s="450"/>
      <c r="D477" s="306">
        <v>1</v>
      </c>
      <c r="E477" s="328" t="s">
        <v>1107</v>
      </c>
      <c r="F477" s="306">
        <f>F476</f>
        <v>49</v>
      </c>
      <c r="G477" s="326"/>
      <c r="H477" s="324"/>
      <c r="I477" s="324"/>
    </row>
    <row r="478" spans="1:9">
      <c r="A478" s="602" t="s">
        <v>826</v>
      </c>
      <c r="B478" s="454"/>
      <c r="C478" s="450"/>
      <c r="D478" s="306">
        <v>1</v>
      </c>
      <c r="E478" s="328" t="s">
        <v>1107</v>
      </c>
      <c r="F478" s="306">
        <f>F477/D477</f>
        <v>49</v>
      </c>
      <c r="G478" s="326"/>
      <c r="H478" s="324"/>
      <c r="I478" s="324"/>
    </row>
    <row r="479" spans="1:9">
      <c r="A479" s="603" t="s">
        <v>829</v>
      </c>
      <c r="B479" s="454"/>
      <c r="C479" s="454"/>
      <c r="D479" s="450"/>
      <c r="E479" s="326"/>
      <c r="F479" s="306">
        <f>F478*1%</f>
        <v>0.49</v>
      </c>
      <c r="G479" s="326"/>
      <c r="H479" s="324"/>
      <c r="I479" s="324"/>
    </row>
    <row r="480" spans="1:9">
      <c r="A480" s="603" t="s">
        <v>30</v>
      </c>
      <c r="B480" s="454"/>
      <c r="C480" s="454"/>
      <c r="D480" s="450"/>
      <c r="E480" s="326"/>
      <c r="F480" s="306">
        <f>F479+F478</f>
        <v>49.49</v>
      </c>
      <c r="G480" s="326"/>
      <c r="H480" s="324"/>
      <c r="I480" s="324"/>
    </row>
    <row r="481" spans="1:9">
      <c r="A481" s="603" t="s">
        <v>836</v>
      </c>
      <c r="B481" s="454"/>
      <c r="C481" s="454"/>
      <c r="D481" s="450"/>
      <c r="E481" s="326"/>
      <c r="F481" s="306">
        <f>F480*15%</f>
        <v>7.4234999999999998</v>
      </c>
      <c r="G481" s="326"/>
      <c r="H481" s="324"/>
      <c r="I481" s="324"/>
    </row>
    <row r="482" spans="1:9">
      <c r="A482" s="603" t="s">
        <v>30</v>
      </c>
      <c r="B482" s="454"/>
      <c r="C482" s="454"/>
      <c r="D482" s="450"/>
      <c r="E482" s="326"/>
      <c r="F482" s="332">
        <f>ROUND(F481+F480,2)</f>
        <v>56.91</v>
      </c>
      <c r="G482" s="326"/>
      <c r="H482" s="324"/>
      <c r="I482" s="324"/>
    </row>
    <row r="483" spans="1:9">
      <c r="A483" s="600" t="s">
        <v>847</v>
      </c>
      <c r="B483" s="454"/>
      <c r="C483" s="454"/>
      <c r="D483" s="454"/>
      <c r="E483" s="454"/>
      <c r="F483" s="450"/>
      <c r="G483" s="327" t="s">
        <v>820</v>
      </c>
      <c r="H483" s="324"/>
      <c r="I483" s="324"/>
    </row>
    <row r="484" spans="1:9">
      <c r="A484" s="605">
        <v>9999</v>
      </c>
      <c r="B484" s="614"/>
      <c r="C484" s="599" t="s">
        <v>1736</v>
      </c>
      <c r="D484" s="454"/>
      <c r="E484" s="450"/>
      <c r="F484" s="613"/>
      <c r="G484" s="450"/>
      <c r="H484" s="324"/>
      <c r="I484" s="324"/>
    </row>
    <row r="485" spans="1:9">
      <c r="A485" s="457"/>
      <c r="B485" s="457"/>
      <c r="C485" s="305" t="s">
        <v>62</v>
      </c>
      <c r="D485" s="306">
        <v>2.73</v>
      </c>
      <c r="E485" s="306">
        <v>2.12</v>
      </c>
      <c r="F485" s="306">
        <f>D485*E485</f>
        <v>5.7876000000000003</v>
      </c>
      <c r="G485" s="305" t="s">
        <v>851</v>
      </c>
      <c r="H485" s="324"/>
      <c r="I485" s="324"/>
    </row>
    <row r="486" spans="1:9">
      <c r="A486" s="605">
        <v>9999</v>
      </c>
      <c r="B486" s="614"/>
      <c r="C486" s="599" t="s">
        <v>1628</v>
      </c>
      <c r="D486" s="454"/>
      <c r="E486" s="450"/>
      <c r="F486" s="613"/>
      <c r="G486" s="450"/>
      <c r="H486" s="324"/>
      <c r="I486" s="324"/>
    </row>
    <row r="487" spans="1:9">
      <c r="A487" s="457"/>
      <c r="B487" s="457"/>
      <c r="C487" s="305" t="s">
        <v>62</v>
      </c>
      <c r="D487" s="306">
        <v>9.36</v>
      </c>
      <c r="E487" s="306">
        <v>2.12</v>
      </c>
      <c r="F487" s="306">
        <f>D487*E487</f>
        <v>19.8432</v>
      </c>
      <c r="G487" s="305" t="s">
        <v>854</v>
      </c>
      <c r="H487" s="324"/>
      <c r="I487" s="324"/>
    </row>
    <row r="488" spans="1:9">
      <c r="A488" s="602" t="s">
        <v>1630</v>
      </c>
      <c r="B488" s="454"/>
      <c r="C488" s="450"/>
      <c r="D488" s="306">
        <v>1</v>
      </c>
      <c r="E488" s="328" t="s">
        <v>1107</v>
      </c>
      <c r="F488" s="306">
        <f>F487+F485</f>
        <v>25.630800000000001</v>
      </c>
      <c r="G488" s="326"/>
      <c r="H488" s="324"/>
      <c r="I488" s="324"/>
    </row>
    <row r="489" spans="1:9">
      <c r="A489" s="602" t="s">
        <v>826</v>
      </c>
      <c r="B489" s="454"/>
      <c r="C489" s="450"/>
      <c r="D489" s="306">
        <v>1</v>
      </c>
      <c r="E489" s="328" t="s">
        <v>1107</v>
      </c>
      <c r="F489" s="306">
        <f>F488/D488</f>
        <v>25.630800000000001</v>
      </c>
      <c r="G489" s="326"/>
      <c r="H489" s="324"/>
      <c r="I489" s="324"/>
    </row>
    <row r="490" spans="1:9">
      <c r="A490" s="603" t="s">
        <v>829</v>
      </c>
      <c r="B490" s="454"/>
      <c r="C490" s="454"/>
      <c r="D490" s="450"/>
      <c r="E490" s="326"/>
      <c r="F490" s="306">
        <f>F489*1%</f>
        <v>0.25630800000000004</v>
      </c>
      <c r="G490" s="326"/>
      <c r="H490" s="324"/>
      <c r="I490" s="324"/>
    </row>
    <row r="491" spans="1:9">
      <c r="A491" s="603" t="s">
        <v>30</v>
      </c>
      <c r="B491" s="454"/>
      <c r="C491" s="454"/>
      <c r="D491" s="450"/>
      <c r="E491" s="326"/>
      <c r="F491" s="306">
        <f>F490+F489</f>
        <v>25.887108000000001</v>
      </c>
      <c r="G491" s="326"/>
      <c r="H491" s="324"/>
      <c r="I491" s="324"/>
    </row>
    <row r="492" spans="1:9">
      <c r="A492" s="603" t="s">
        <v>836</v>
      </c>
      <c r="B492" s="454"/>
      <c r="C492" s="454"/>
      <c r="D492" s="450"/>
      <c r="E492" s="326"/>
      <c r="F492" s="306">
        <f>F491*15%</f>
        <v>3.8830662</v>
      </c>
      <c r="G492" s="326"/>
      <c r="H492" s="324"/>
      <c r="I492" s="324"/>
    </row>
    <row r="493" spans="1:9">
      <c r="A493" s="603" t="s">
        <v>30</v>
      </c>
      <c r="B493" s="454"/>
      <c r="C493" s="454"/>
      <c r="D493" s="450"/>
      <c r="E493" s="326"/>
      <c r="F493" s="332">
        <f>ROUND(F492+F491,2)</f>
        <v>29.77</v>
      </c>
      <c r="G493" s="326"/>
      <c r="H493" s="324"/>
      <c r="I493" s="324"/>
    </row>
    <row r="494" spans="1:9">
      <c r="A494" s="604" t="str">
        <f>CONCATENATE("Say ₹ ",F482," + ",F493," x Cost Index")</f>
        <v>Say ₹ 56.91 + 29.77 x Cost Index</v>
      </c>
      <c r="B494" s="454"/>
      <c r="C494" s="454"/>
      <c r="D494" s="454"/>
      <c r="E494" s="454"/>
      <c r="F494" s="454"/>
      <c r="G494" s="450"/>
      <c r="H494" s="337">
        <f>((F476*1.01*1.15))</f>
        <v>56.913499999999999</v>
      </c>
      <c r="I494" s="337">
        <f>((SUM(F485,F487)*1.01*1.15))</f>
        <v>29.7701742</v>
      </c>
    </row>
    <row r="495" spans="1:9">
      <c r="A495" s="595" t="s">
        <v>771</v>
      </c>
      <c r="B495" s="595" t="s">
        <v>776</v>
      </c>
      <c r="C495" s="596" t="s">
        <v>4</v>
      </c>
      <c r="D495" s="454"/>
      <c r="E495" s="450"/>
      <c r="F495" s="596" t="s">
        <v>785</v>
      </c>
      <c r="G495" s="450"/>
      <c r="H495" s="339"/>
      <c r="I495" s="339"/>
    </row>
    <row r="496" spans="1:9">
      <c r="A496" s="457"/>
      <c r="B496" s="457"/>
      <c r="C496" s="325" t="s">
        <v>5</v>
      </c>
      <c r="D496" s="325" t="s">
        <v>6</v>
      </c>
      <c r="E496" s="325" t="s">
        <v>336</v>
      </c>
      <c r="F496" s="325" t="s">
        <v>8</v>
      </c>
      <c r="G496" s="325" t="s">
        <v>789</v>
      </c>
      <c r="H496" s="339"/>
      <c r="I496" s="339"/>
    </row>
    <row r="497" spans="1:9">
      <c r="A497" s="597" t="s">
        <v>1841</v>
      </c>
      <c r="B497" s="454"/>
      <c r="C497" s="454"/>
      <c r="D497" s="454"/>
      <c r="E497" s="454"/>
      <c r="F497" s="454"/>
      <c r="G497" s="450"/>
      <c r="H497" s="339"/>
      <c r="I497" s="339"/>
    </row>
    <row r="498" spans="1:9">
      <c r="A498" s="326"/>
      <c r="B498" s="305" t="s">
        <v>795</v>
      </c>
      <c r="C498" s="305" t="s">
        <v>1107</v>
      </c>
      <c r="D498" s="305" t="s">
        <v>798</v>
      </c>
      <c r="E498" s="306">
        <v>1</v>
      </c>
      <c r="F498" s="613"/>
      <c r="G498" s="450"/>
      <c r="H498" s="339"/>
      <c r="I498" s="339"/>
    </row>
    <row r="499" spans="1:9">
      <c r="A499" s="305" t="s">
        <v>800</v>
      </c>
      <c r="B499" s="599" t="s">
        <v>1609</v>
      </c>
      <c r="C499" s="454"/>
      <c r="D499" s="454"/>
      <c r="E499" s="454"/>
      <c r="F499" s="454"/>
      <c r="G499" s="450"/>
      <c r="H499" s="339"/>
      <c r="I499" s="339"/>
    </row>
    <row r="500" spans="1:9">
      <c r="A500" s="600" t="s">
        <v>802</v>
      </c>
      <c r="B500" s="454"/>
      <c r="C500" s="454"/>
      <c r="D500" s="454"/>
      <c r="E500" s="454"/>
      <c r="F500" s="450"/>
      <c r="G500" s="327" t="s">
        <v>803</v>
      </c>
      <c r="H500" s="339"/>
      <c r="I500" s="339"/>
    </row>
    <row r="501" spans="1:9">
      <c r="A501" s="614"/>
      <c r="B501" s="605" t="s">
        <v>1843</v>
      </c>
      <c r="C501" s="599" t="s">
        <v>1844</v>
      </c>
      <c r="D501" s="454"/>
      <c r="E501" s="450"/>
      <c r="F501" s="613"/>
      <c r="G501" s="450"/>
      <c r="H501" s="339"/>
      <c r="I501" s="339"/>
    </row>
    <row r="502" spans="1:9">
      <c r="A502" s="457"/>
      <c r="B502" s="457"/>
      <c r="C502" s="305" t="s">
        <v>46</v>
      </c>
      <c r="D502" s="306">
        <v>1</v>
      </c>
      <c r="E502" s="338">
        <v>56</v>
      </c>
      <c r="F502" s="306">
        <f>D502*E502</f>
        <v>56</v>
      </c>
      <c r="G502" s="305" t="s">
        <v>808</v>
      </c>
      <c r="H502" s="339"/>
      <c r="I502" s="339"/>
    </row>
    <row r="503" spans="1:9">
      <c r="A503" s="602" t="s">
        <v>1105</v>
      </c>
      <c r="B503" s="454"/>
      <c r="C503" s="450"/>
      <c r="D503" s="306">
        <v>1</v>
      </c>
      <c r="E503" s="328" t="s">
        <v>1107</v>
      </c>
      <c r="F503" s="306">
        <f>F502</f>
        <v>56</v>
      </c>
      <c r="G503" s="326"/>
      <c r="H503" s="339"/>
      <c r="I503" s="339"/>
    </row>
    <row r="504" spans="1:9">
      <c r="A504" s="602" t="s">
        <v>826</v>
      </c>
      <c r="B504" s="454"/>
      <c r="C504" s="450"/>
      <c r="D504" s="306">
        <v>1</v>
      </c>
      <c r="E504" s="328" t="s">
        <v>1107</v>
      </c>
      <c r="F504" s="306">
        <f>F503/D503</f>
        <v>56</v>
      </c>
      <c r="G504" s="326"/>
      <c r="H504" s="339"/>
      <c r="I504" s="339"/>
    </row>
    <row r="505" spans="1:9">
      <c r="A505" s="603" t="s">
        <v>829</v>
      </c>
      <c r="B505" s="454"/>
      <c r="C505" s="454"/>
      <c r="D505" s="450"/>
      <c r="E505" s="326"/>
      <c r="F505" s="306">
        <f>F504*1%</f>
        <v>0.56000000000000005</v>
      </c>
      <c r="G505" s="326"/>
      <c r="H505" s="339"/>
      <c r="I505" s="339"/>
    </row>
    <row r="506" spans="1:9">
      <c r="A506" s="603" t="s">
        <v>30</v>
      </c>
      <c r="B506" s="454"/>
      <c r="C506" s="454"/>
      <c r="D506" s="450"/>
      <c r="E506" s="326"/>
      <c r="F506" s="306">
        <f>F505+F504</f>
        <v>56.56</v>
      </c>
      <c r="G506" s="326"/>
      <c r="H506" s="339"/>
      <c r="I506" s="339"/>
    </row>
    <row r="507" spans="1:9">
      <c r="A507" s="603" t="s">
        <v>836</v>
      </c>
      <c r="B507" s="454"/>
      <c r="C507" s="454"/>
      <c r="D507" s="450"/>
      <c r="E507" s="326"/>
      <c r="F507" s="306">
        <f>F506*15%</f>
        <v>8.484</v>
      </c>
      <c r="G507" s="326"/>
      <c r="H507" s="339"/>
      <c r="I507" s="339"/>
    </row>
    <row r="508" spans="1:9">
      <c r="A508" s="603" t="s">
        <v>30</v>
      </c>
      <c r="B508" s="454"/>
      <c r="C508" s="454"/>
      <c r="D508" s="450"/>
      <c r="E508" s="326"/>
      <c r="F508" s="332">
        <f>ROUND(F507+F506,2)</f>
        <v>65.040000000000006</v>
      </c>
      <c r="G508" s="326"/>
      <c r="H508" s="339"/>
      <c r="I508" s="339"/>
    </row>
    <row r="509" spans="1:9">
      <c r="A509" s="600" t="s">
        <v>847</v>
      </c>
      <c r="B509" s="454"/>
      <c r="C509" s="454"/>
      <c r="D509" s="454"/>
      <c r="E509" s="454"/>
      <c r="F509" s="450"/>
      <c r="G509" s="327" t="s">
        <v>820</v>
      </c>
      <c r="H509" s="339"/>
      <c r="I509" s="339"/>
    </row>
    <row r="510" spans="1:9">
      <c r="A510" s="605">
        <v>9999</v>
      </c>
      <c r="B510" s="614"/>
      <c r="C510" s="599" t="s">
        <v>1624</v>
      </c>
      <c r="D510" s="454"/>
      <c r="E510" s="450"/>
      <c r="F510" s="613"/>
      <c r="G510" s="450"/>
      <c r="H510" s="339"/>
      <c r="I510" s="339"/>
    </row>
    <row r="511" spans="1:9">
      <c r="A511" s="457"/>
      <c r="B511" s="457"/>
      <c r="C511" s="305" t="s">
        <v>62</v>
      </c>
      <c r="D511" s="306">
        <v>2.73</v>
      </c>
      <c r="E511" s="306">
        <v>2.12</v>
      </c>
      <c r="F511" s="306">
        <f>E511*D511</f>
        <v>5.7876000000000003</v>
      </c>
      <c r="G511" s="305" t="s">
        <v>851</v>
      </c>
      <c r="H511" s="339"/>
      <c r="I511" s="339"/>
    </row>
    <row r="512" spans="1:9">
      <c r="A512" s="605">
        <v>9999</v>
      </c>
      <c r="B512" s="614"/>
      <c r="C512" s="599" t="s">
        <v>1628</v>
      </c>
      <c r="D512" s="454"/>
      <c r="E512" s="450"/>
      <c r="F512" s="613"/>
      <c r="G512" s="450"/>
      <c r="H512" s="339"/>
      <c r="I512" s="339"/>
    </row>
    <row r="513" spans="1:9">
      <c r="A513" s="457"/>
      <c r="B513" s="457"/>
      <c r="C513" s="305" t="s">
        <v>62</v>
      </c>
      <c r="D513" s="306">
        <v>10.79</v>
      </c>
      <c r="E513" s="306">
        <v>2.12</v>
      </c>
      <c r="F513" s="306">
        <f>D513*E513</f>
        <v>22.8748</v>
      </c>
      <c r="G513" s="305" t="s">
        <v>854</v>
      </c>
      <c r="H513" s="339"/>
      <c r="I513" s="339"/>
    </row>
    <row r="514" spans="1:9">
      <c r="A514" s="602" t="s">
        <v>1630</v>
      </c>
      <c r="B514" s="454"/>
      <c r="C514" s="450"/>
      <c r="D514" s="306">
        <v>1</v>
      </c>
      <c r="E514" s="328" t="s">
        <v>1107</v>
      </c>
      <c r="F514" s="306">
        <f>F513+F511</f>
        <v>28.662400000000002</v>
      </c>
      <c r="G514" s="326"/>
      <c r="H514" s="339"/>
      <c r="I514" s="339"/>
    </row>
    <row r="515" spans="1:9">
      <c r="A515" s="602" t="s">
        <v>826</v>
      </c>
      <c r="B515" s="454"/>
      <c r="C515" s="450"/>
      <c r="D515" s="306">
        <v>1</v>
      </c>
      <c r="E515" s="328" t="s">
        <v>1107</v>
      </c>
      <c r="F515" s="306">
        <f>F514/D514</f>
        <v>28.662400000000002</v>
      </c>
      <c r="G515" s="326"/>
      <c r="H515" s="339"/>
      <c r="I515" s="339"/>
    </row>
    <row r="516" spans="1:9">
      <c r="A516" s="603" t="s">
        <v>829</v>
      </c>
      <c r="B516" s="454"/>
      <c r="C516" s="454"/>
      <c r="D516" s="450"/>
      <c r="E516" s="326"/>
      <c r="F516" s="306">
        <f>F515*1%</f>
        <v>0.28662400000000005</v>
      </c>
      <c r="G516" s="326"/>
      <c r="H516" s="339"/>
      <c r="I516" s="339"/>
    </row>
    <row r="517" spans="1:9">
      <c r="A517" s="603" t="s">
        <v>30</v>
      </c>
      <c r="B517" s="454"/>
      <c r="C517" s="454"/>
      <c r="D517" s="450"/>
      <c r="E517" s="326"/>
      <c r="F517" s="306">
        <f>F516+F515</f>
        <v>28.949024000000001</v>
      </c>
      <c r="G517" s="326"/>
      <c r="H517" s="339"/>
      <c r="I517" s="339"/>
    </row>
    <row r="518" spans="1:9">
      <c r="A518" s="603" t="s">
        <v>836</v>
      </c>
      <c r="B518" s="454"/>
      <c r="C518" s="454"/>
      <c r="D518" s="450"/>
      <c r="E518" s="326"/>
      <c r="F518" s="306">
        <f>F517*15%</f>
        <v>4.3423536</v>
      </c>
      <c r="G518" s="326"/>
      <c r="H518" s="339"/>
      <c r="I518" s="339"/>
    </row>
    <row r="519" spans="1:9">
      <c r="A519" s="603" t="s">
        <v>30</v>
      </c>
      <c r="B519" s="454"/>
      <c r="C519" s="454"/>
      <c r="D519" s="450"/>
      <c r="E519" s="326"/>
      <c r="F519" s="332">
        <f>ROUND(F518+F517,2)</f>
        <v>33.29</v>
      </c>
      <c r="G519" s="326"/>
      <c r="H519" s="339"/>
      <c r="I519" s="339"/>
    </row>
    <row r="520" spans="1:9">
      <c r="A520" s="604" t="str">
        <f>CONCATENATE("Say ₹ ",F508," + ",F519," x Cost Index")</f>
        <v>Say ₹ 65.04 + 33.29 x Cost Index</v>
      </c>
      <c r="B520" s="454"/>
      <c r="C520" s="454"/>
      <c r="D520" s="454"/>
      <c r="E520" s="454"/>
      <c r="F520" s="454"/>
      <c r="G520" s="450"/>
      <c r="H520" s="337">
        <f>((F502*1.01*1.15))</f>
        <v>65.043999999999997</v>
      </c>
      <c r="I520" s="337">
        <f>((SUM(F511,F513)*1.01*1.15))</f>
        <v>33.291377599999997</v>
      </c>
    </row>
    <row r="521" spans="1:9">
      <c r="A521" s="486" t="s">
        <v>771</v>
      </c>
      <c r="B521" s="486" t="s">
        <v>776</v>
      </c>
      <c r="C521" s="487" t="s">
        <v>4</v>
      </c>
      <c r="D521" s="454"/>
      <c r="E521" s="450"/>
      <c r="F521" s="487" t="s">
        <v>785</v>
      </c>
      <c r="G521" s="450"/>
      <c r="H521" s="296"/>
      <c r="I521" s="296"/>
    </row>
    <row r="522" spans="1:9">
      <c r="A522" s="457"/>
      <c r="B522" s="457"/>
      <c r="C522" s="62" t="s">
        <v>5</v>
      </c>
      <c r="D522" s="62" t="s">
        <v>6</v>
      </c>
      <c r="E522" s="62" t="s">
        <v>336</v>
      </c>
      <c r="F522" s="62" t="s">
        <v>8</v>
      </c>
      <c r="G522" s="62" t="s">
        <v>789</v>
      </c>
      <c r="H522" s="296"/>
      <c r="I522" s="296"/>
    </row>
    <row r="523" spans="1:9">
      <c r="A523" s="608" t="s">
        <v>1850</v>
      </c>
      <c r="B523" s="454"/>
      <c r="C523" s="454"/>
      <c r="D523" s="454"/>
      <c r="E523" s="454"/>
      <c r="F523" s="454"/>
      <c r="G523" s="450"/>
      <c r="H523" s="296"/>
      <c r="I523" s="296"/>
    </row>
    <row r="524" spans="1:9">
      <c r="A524" s="65"/>
      <c r="B524" s="66" t="s">
        <v>795</v>
      </c>
      <c r="C524" s="66" t="s">
        <v>1107</v>
      </c>
      <c r="D524" s="66" t="s">
        <v>798</v>
      </c>
      <c r="E524" s="67">
        <v>1</v>
      </c>
      <c r="F524" s="484"/>
      <c r="G524" s="450"/>
      <c r="H524" s="296"/>
      <c r="I524" s="296"/>
    </row>
    <row r="525" spans="1:9">
      <c r="A525" s="66" t="s">
        <v>800</v>
      </c>
      <c r="B525" s="484" t="s">
        <v>1609</v>
      </c>
      <c r="C525" s="454"/>
      <c r="D525" s="454"/>
      <c r="E525" s="454"/>
      <c r="F525" s="454"/>
      <c r="G525" s="450"/>
      <c r="H525" s="296"/>
      <c r="I525" s="296"/>
    </row>
    <row r="526" spans="1:9">
      <c r="A526" s="490" t="s">
        <v>802</v>
      </c>
      <c r="B526" s="454"/>
      <c r="C526" s="454"/>
      <c r="D526" s="454"/>
      <c r="E526" s="454"/>
      <c r="F526" s="450"/>
      <c r="G526" s="68" t="s">
        <v>803</v>
      </c>
      <c r="H526" s="296"/>
      <c r="I526" s="296"/>
    </row>
    <row r="527" spans="1:9">
      <c r="A527" s="491"/>
      <c r="B527" s="491" t="s">
        <v>1851</v>
      </c>
      <c r="C527" s="484" t="s">
        <v>1852</v>
      </c>
      <c r="D527" s="454"/>
      <c r="E527" s="450"/>
      <c r="F527" s="484"/>
      <c r="G527" s="450"/>
      <c r="H527" s="296"/>
      <c r="I527" s="296"/>
    </row>
    <row r="528" spans="1:9">
      <c r="A528" s="457"/>
      <c r="B528" s="457"/>
      <c r="C528" s="66" t="s">
        <v>46</v>
      </c>
      <c r="D528" s="67">
        <v>1</v>
      </c>
      <c r="E528" s="67">
        <v>54</v>
      </c>
      <c r="F528" s="67">
        <f>D528*E528</f>
        <v>54</v>
      </c>
      <c r="G528" s="66" t="s">
        <v>808</v>
      </c>
      <c r="H528" s="296"/>
      <c r="I528" s="296"/>
    </row>
    <row r="529" spans="1:9">
      <c r="A529" s="492" t="s">
        <v>1105</v>
      </c>
      <c r="B529" s="454"/>
      <c r="C529" s="450"/>
      <c r="D529" s="67">
        <v>1</v>
      </c>
      <c r="E529" s="70" t="s">
        <v>1107</v>
      </c>
      <c r="F529" s="67">
        <f>F528</f>
        <v>54</v>
      </c>
      <c r="G529" s="66"/>
      <c r="H529" s="296"/>
      <c r="I529" s="296"/>
    </row>
    <row r="530" spans="1:9">
      <c r="A530" s="492" t="s">
        <v>826</v>
      </c>
      <c r="B530" s="454"/>
      <c r="C530" s="450"/>
      <c r="D530" s="67">
        <v>1</v>
      </c>
      <c r="E530" s="70" t="s">
        <v>1107</v>
      </c>
      <c r="F530" s="67">
        <f>F529/D529</f>
        <v>54</v>
      </c>
      <c r="G530" s="66"/>
      <c r="H530" s="296"/>
      <c r="I530" s="296"/>
    </row>
    <row r="531" spans="1:9">
      <c r="A531" s="493" t="s">
        <v>829</v>
      </c>
      <c r="B531" s="454"/>
      <c r="C531" s="454"/>
      <c r="D531" s="450"/>
      <c r="E531" s="67"/>
      <c r="F531" s="67">
        <f>F530*1%</f>
        <v>0.54</v>
      </c>
      <c r="G531" s="66"/>
      <c r="H531" s="296"/>
      <c r="I531" s="296"/>
    </row>
    <row r="532" spans="1:9">
      <c r="A532" s="493" t="s">
        <v>30</v>
      </c>
      <c r="B532" s="454"/>
      <c r="C532" s="454"/>
      <c r="D532" s="450"/>
      <c r="E532" s="71"/>
      <c r="F532" s="67">
        <f>F531+F530</f>
        <v>54.54</v>
      </c>
      <c r="G532" s="66"/>
      <c r="H532" s="296"/>
      <c r="I532" s="296"/>
    </row>
    <row r="533" spans="1:9">
      <c r="A533" s="493" t="s">
        <v>836</v>
      </c>
      <c r="B533" s="454"/>
      <c r="C533" s="454"/>
      <c r="D533" s="450"/>
      <c r="E533" s="67"/>
      <c r="F533" s="67">
        <f>F532*15%</f>
        <v>8.1809999999999992</v>
      </c>
      <c r="G533" s="66"/>
      <c r="H533" s="296"/>
      <c r="I533" s="296"/>
    </row>
    <row r="534" spans="1:9">
      <c r="A534" s="493" t="s">
        <v>30</v>
      </c>
      <c r="B534" s="454"/>
      <c r="C534" s="454"/>
      <c r="D534" s="450"/>
      <c r="E534" s="71"/>
      <c r="F534" s="191">
        <f>ROUND(F533+F532,2)</f>
        <v>62.72</v>
      </c>
      <c r="G534" s="66"/>
      <c r="H534" s="296"/>
      <c r="I534" s="296"/>
    </row>
    <row r="535" spans="1:9">
      <c r="A535" s="490" t="s">
        <v>847</v>
      </c>
      <c r="B535" s="454"/>
      <c r="C535" s="454"/>
      <c r="D535" s="454"/>
      <c r="E535" s="454"/>
      <c r="F535" s="450"/>
      <c r="G535" s="68" t="s">
        <v>820</v>
      </c>
      <c r="H535" s="296"/>
      <c r="I535" s="296"/>
    </row>
    <row r="536" spans="1:9">
      <c r="A536" s="491">
        <v>9999</v>
      </c>
      <c r="B536" s="491"/>
      <c r="C536" s="484" t="s">
        <v>1624</v>
      </c>
      <c r="D536" s="454"/>
      <c r="E536" s="450"/>
      <c r="F536" s="484"/>
      <c r="G536" s="450"/>
      <c r="H536" s="296"/>
      <c r="I536" s="296"/>
    </row>
    <row r="537" spans="1:9">
      <c r="A537" s="457"/>
      <c r="B537" s="457"/>
      <c r="C537" s="66" t="s">
        <v>62</v>
      </c>
      <c r="D537" s="67">
        <v>2.73</v>
      </c>
      <c r="E537" s="67">
        <v>2.12</v>
      </c>
      <c r="F537" s="67">
        <f>E537*D537</f>
        <v>5.7876000000000003</v>
      </c>
      <c r="G537" s="66" t="s">
        <v>851</v>
      </c>
      <c r="H537" s="296"/>
      <c r="I537" s="296"/>
    </row>
    <row r="538" spans="1:9">
      <c r="A538" s="491">
        <v>9999</v>
      </c>
      <c r="B538" s="491"/>
      <c r="C538" s="484" t="s">
        <v>1628</v>
      </c>
      <c r="D538" s="454"/>
      <c r="E538" s="450"/>
      <c r="F538" s="484"/>
      <c r="G538" s="450"/>
      <c r="H538" s="296"/>
      <c r="I538" s="296"/>
    </row>
    <row r="539" spans="1:9">
      <c r="A539" s="457"/>
      <c r="B539" s="457"/>
      <c r="C539" s="66" t="s">
        <v>62</v>
      </c>
      <c r="D539" s="67">
        <v>10.79</v>
      </c>
      <c r="E539" s="67">
        <v>2.12</v>
      </c>
      <c r="F539" s="67">
        <f>D539*E539</f>
        <v>22.8748</v>
      </c>
      <c r="G539" s="66" t="s">
        <v>854</v>
      </c>
      <c r="H539" s="296"/>
      <c r="I539" s="296"/>
    </row>
    <row r="540" spans="1:9">
      <c r="A540" s="492" t="s">
        <v>1630</v>
      </c>
      <c r="B540" s="454"/>
      <c r="C540" s="450"/>
      <c r="D540" s="67">
        <v>1</v>
      </c>
      <c r="E540" s="70" t="s">
        <v>1107</v>
      </c>
      <c r="F540" s="67">
        <f>F539+F537</f>
        <v>28.662400000000002</v>
      </c>
      <c r="G540" s="71"/>
      <c r="H540" s="296"/>
      <c r="I540" s="296"/>
    </row>
    <row r="541" spans="1:9">
      <c r="A541" s="492" t="s">
        <v>826</v>
      </c>
      <c r="B541" s="454"/>
      <c r="C541" s="450"/>
      <c r="D541" s="67">
        <v>1</v>
      </c>
      <c r="E541" s="70" t="s">
        <v>1107</v>
      </c>
      <c r="F541" s="67">
        <f>F540/D540</f>
        <v>28.662400000000002</v>
      </c>
      <c r="G541" s="71"/>
      <c r="H541" s="296"/>
      <c r="I541" s="296"/>
    </row>
    <row r="542" spans="1:9">
      <c r="A542" s="493" t="s">
        <v>829</v>
      </c>
      <c r="B542" s="454"/>
      <c r="C542" s="454"/>
      <c r="D542" s="450"/>
      <c r="E542" s="67"/>
      <c r="F542" s="67">
        <f>F541*1%</f>
        <v>0.28662400000000005</v>
      </c>
      <c r="G542" s="71"/>
      <c r="H542" s="296"/>
      <c r="I542" s="296"/>
    </row>
    <row r="543" spans="1:9">
      <c r="A543" s="493" t="s">
        <v>30</v>
      </c>
      <c r="B543" s="454"/>
      <c r="C543" s="454"/>
      <c r="D543" s="450"/>
      <c r="E543" s="71"/>
      <c r="F543" s="67">
        <f>F542+F541</f>
        <v>28.949024000000001</v>
      </c>
      <c r="G543" s="71"/>
      <c r="H543" s="296"/>
      <c r="I543" s="296"/>
    </row>
    <row r="544" spans="1:9">
      <c r="A544" s="493" t="s">
        <v>836</v>
      </c>
      <c r="B544" s="454"/>
      <c r="C544" s="454"/>
      <c r="D544" s="450"/>
      <c r="E544" s="67"/>
      <c r="F544" s="67">
        <f>F543*15%</f>
        <v>4.3423536</v>
      </c>
      <c r="G544" s="71"/>
      <c r="H544" s="296"/>
      <c r="I544" s="296"/>
    </row>
    <row r="545" spans="1:9">
      <c r="A545" s="493" t="s">
        <v>30</v>
      </c>
      <c r="B545" s="454"/>
      <c r="C545" s="454"/>
      <c r="D545" s="450"/>
      <c r="E545" s="71"/>
      <c r="F545" s="191">
        <f>ROUND(F544+F543,2)</f>
        <v>33.29</v>
      </c>
      <c r="G545" s="71"/>
      <c r="H545" s="296"/>
      <c r="I545" s="296"/>
    </row>
    <row r="546" spans="1:9">
      <c r="A546" s="594" t="str">
        <f>CONCATENATE("Say ₹ ",F534," + ",F545," x Cost Index")</f>
        <v>Say ₹ 62.72 + 33.29 x Cost Index</v>
      </c>
      <c r="B546" s="454"/>
      <c r="C546" s="454"/>
      <c r="D546" s="454"/>
      <c r="E546" s="454"/>
      <c r="F546" s="454"/>
      <c r="G546" s="450"/>
      <c r="H546" s="297">
        <f>((F528*1.01*1.15))</f>
        <v>62.720999999999997</v>
      </c>
      <c r="I546" s="297">
        <f>((SUM(F537,F539)*1.01*1.15))</f>
        <v>33.291377599999997</v>
      </c>
    </row>
    <row r="547" spans="1:9">
      <c r="A547" s="595" t="s">
        <v>771</v>
      </c>
      <c r="B547" s="595" t="s">
        <v>776</v>
      </c>
      <c r="C547" s="596" t="s">
        <v>4</v>
      </c>
      <c r="D547" s="454"/>
      <c r="E547" s="450"/>
      <c r="F547" s="596" t="s">
        <v>785</v>
      </c>
      <c r="G547" s="450"/>
      <c r="H547" s="324"/>
      <c r="I547" s="324"/>
    </row>
    <row r="548" spans="1:9">
      <c r="A548" s="457"/>
      <c r="B548" s="457"/>
      <c r="C548" s="325" t="s">
        <v>5</v>
      </c>
      <c r="D548" s="325" t="s">
        <v>6</v>
      </c>
      <c r="E548" s="325" t="s">
        <v>336</v>
      </c>
      <c r="F548" s="325" t="s">
        <v>8</v>
      </c>
      <c r="G548" s="325" t="s">
        <v>789</v>
      </c>
      <c r="H548" s="324"/>
      <c r="I548" s="324"/>
    </row>
    <row r="549" spans="1:9">
      <c r="A549" s="597" t="s">
        <v>1860</v>
      </c>
      <c r="B549" s="454"/>
      <c r="C549" s="454"/>
      <c r="D549" s="454"/>
      <c r="E549" s="454"/>
      <c r="F549" s="454"/>
      <c r="G549" s="450"/>
      <c r="H549" s="324"/>
      <c r="I549" s="324"/>
    </row>
    <row r="550" spans="1:9">
      <c r="A550" s="326"/>
      <c r="B550" s="305" t="s">
        <v>795</v>
      </c>
      <c r="C550" s="305" t="s">
        <v>1107</v>
      </c>
      <c r="D550" s="305" t="s">
        <v>798</v>
      </c>
      <c r="E550" s="306">
        <v>1</v>
      </c>
      <c r="F550" s="613"/>
      <c r="G550" s="450"/>
      <c r="H550" s="324"/>
      <c r="I550" s="324"/>
    </row>
    <row r="551" spans="1:9">
      <c r="A551" s="305" t="s">
        <v>800</v>
      </c>
      <c r="B551" s="599" t="s">
        <v>1609</v>
      </c>
      <c r="C551" s="454"/>
      <c r="D551" s="454"/>
      <c r="E551" s="454"/>
      <c r="F551" s="454"/>
      <c r="G551" s="450"/>
      <c r="H551" s="324"/>
      <c r="I551" s="324"/>
    </row>
    <row r="552" spans="1:9">
      <c r="A552" s="600" t="s">
        <v>802</v>
      </c>
      <c r="B552" s="454"/>
      <c r="C552" s="454"/>
      <c r="D552" s="454"/>
      <c r="E552" s="454"/>
      <c r="F552" s="450"/>
      <c r="G552" s="327" t="s">
        <v>803</v>
      </c>
      <c r="H552" s="324"/>
      <c r="I552" s="324"/>
    </row>
    <row r="553" spans="1:9">
      <c r="A553" s="614"/>
      <c r="B553" s="605" t="s">
        <v>1861</v>
      </c>
      <c r="C553" s="599" t="s">
        <v>1862</v>
      </c>
      <c r="D553" s="454"/>
      <c r="E553" s="450"/>
      <c r="F553" s="613"/>
      <c r="G553" s="450"/>
      <c r="H553" s="324"/>
      <c r="I553" s="324"/>
    </row>
    <row r="554" spans="1:9">
      <c r="A554" s="457"/>
      <c r="B554" s="457"/>
      <c r="C554" s="305" t="s">
        <v>46</v>
      </c>
      <c r="D554" s="306">
        <v>1</v>
      </c>
      <c r="E554" s="338">
        <v>77</v>
      </c>
      <c r="F554" s="306">
        <f>D554*E554</f>
        <v>77</v>
      </c>
      <c r="G554" s="305" t="s">
        <v>808</v>
      </c>
      <c r="H554" s="324"/>
      <c r="I554" s="324"/>
    </row>
    <row r="555" spans="1:9">
      <c r="A555" s="602" t="s">
        <v>1105</v>
      </c>
      <c r="B555" s="454"/>
      <c r="C555" s="450"/>
      <c r="D555" s="306">
        <v>1</v>
      </c>
      <c r="E555" s="328" t="s">
        <v>1107</v>
      </c>
      <c r="F555" s="306">
        <f>F554</f>
        <v>77</v>
      </c>
      <c r="G555" s="326"/>
      <c r="H555" s="324"/>
      <c r="I555" s="324"/>
    </row>
    <row r="556" spans="1:9">
      <c r="A556" s="602" t="s">
        <v>826</v>
      </c>
      <c r="B556" s="454"/>
      <c r="C556" s="450"/>
      <c r="D556" s="306">
        <v>1</v>
      </c>
      <c r="E556" s="328" t="s">
        <v>1107</v>
      </c>
      <c r="F556" s="306">
        <f>F555/D555</f>
        <v>77</v>
      </c>
      <c r="G556" s="326"/>
      <c r="H556" s="324"/>
      <c r="I556" s="324"/>
    </row>
    <row r="557" spans="1:9">
      <c r="A557" s="603" t="s">
        <v>829</v>
      </c>
      <c r="B557" s="454"/>
      <c r="C557" s="454"/>
      <c r="D557" s="450"/>
      <c r="E557" s="326"/>
      <c r="F557" s="306">
        <f>F556*1%</f>
        <v>0.77</v>
      </c>
      <c r="G557" s="326"/>
      <c r="H557" s="324"/>
      <c r="I557" s="324"/>
    </row>
    <row r="558" spans="1:9">
      <c r="A558" s="603" t="s">
        <v>30</v>
      </c>
      <c r="B558" s="454"/>
      <c r="C558" s="454"/>
      <c r="D558" s="450"/>
      <c r="E558" s="326"/>
      <c r="F558" s="306">
        <f>F557+F556</f>
        <v>77.77</v>
      </c>
      <c r="G558" s="326"/>
      <c r="H558" s="324"/>
      <c r="I558" s="324"/>
    </row>
    <row r="559" spans="1:9">
      <c r="A559" s="603" t="s">
        <v>836</v>
      </c>
      <c r="B559" s="454"/>
      <c r="C559" s="454"/>
      <c r="D559" s="450"/>
      <c r="E559" s="326"/>
      <c r="F559" s="306">
        <f>F558*15%</f>
        <v>11.6655</v>
      </c>
      <c r="G559" s="326"/>
      <c r="H559" s="324"/>
      <c r="I559" s="324"/>
    </row>
    <row r="560" spans="1:9">
      <c r="A560" s="603" t="s">
        <v>30</v>
      </c>
      <c r="B560" s="454"/>
      <c r="C560" s="454"/>
      <c r="D560" s="450"/>
      <c r="E560" s="326"/>
      <c r="F560" s="332">
        <f>ROUND(F559+F558,2)</f>
        <v>89.44</v>
      </c>
      <c r="G560" s="326"/>
      <c r="H560" s="324"/>
      <c r="I560" s="324"/>
    </row>
    <row r="561" spans="1:9">
      <c r="A561" s="600" t="s">
        <v>847</v>
      </c>
      <c r="B561" s="454"/>
      <c r="C561" s="454"/>
      <c r="D561" s="454"/>
      <c r="E561" s="454"/>
      <c r="F561" s="450"/>
      <c r="G561" s="327" t="s">
        <v>820</v>
      </c>
      <c r="H561" s="324"/>
      <c r="I561" s="324"/>
    </row>
    <row r="562" spans="1:9">
      <c r="A562" s="605">
        <v>9999</v>
      </c>
      <c r="B562" s="614"/>
      <c r="C562" s="599" t="s">
        <v>1624</v>
      </c>
      <c r="D562" s="454"/>
      <c r="E562" s="450"/>
      <c r="F562" s="613"/>
      <c r="G562" s="450"/>
      <c r="H562" s="324"/>
      <c r="I562" s="324"/>
    </row>
    <row r="563" spans="1:9">
      <c r="A563" s="457"/>
      <c r="B563" s="457"/>
      <c r="C563" s="305" t="s">
        <v>62</v>
      </c>
      <c r="D563" s="306">
        <v>2.73</v>
      </c>
      <c r="E563" s="306">
        <v>2.12</v>
      </c>
      <c r="F563" s="306">
        <f>E563*D563</f>
        <v>5.7876000000000003</v>
      </c>
      <c r="G563" s="305" t="s">
        <v>851</v>
      </c>
      <c r="H563" s="324"/>
      <c r="I563" s="324"/>
    </row>
    <row r="564" spans="1:9">
      <c r="A564" s="605">
        <v>9999</v>
      </c>
      <c r="B564" s="614"/>
      <c r="C564" s="599" t="s">
        <v>1628</v>
      </c>
      <c r="D564" s="454"/>
      <c r="E564" s="450"/>
      <c r="F564" s="613"/>
      <c r="G564" s="450"/>
      <c r="H564" s="324"/>
      <c r="I564" s="324"/>
    </row>
    <row r="565" spans="1:9">
      <c r="A565" s="457"/>
      <c r="B565" s="457"/>
      <c r="C565" s="305" t="s">
        <v>62</v>
      </c>
      <c r="D565" s="306">
        <v>10.79</v>
      </c>
      <c r="E565" s="306">
        <v>2.12</v>
      </c>
      <c r="F565" s="306">
        <f>D565*E565</f>
        <v>22.8748</v>
      </c>
      <c r="G565" s="305" t="s">
        <v>854</v>
      </c>
      <c r="H565" s="324"/>
      <c r="I565" s="324"/>
    </row>
    <row r="566" spans="1:9">
      <c r="A566" s="602" t="s">
        <v>1630</v>
      </c>
      <c r="B566" s="454"/>
      <c r="C566" s="450"/>
      <c r="D566" s="306">
        <v>1</v>
      </c>
      <c r="E566" s="328" t="s">
        <v>1107</v>
      </c>
      <c r="F566" s="306">
        <f>F565+F563</f>
        <v>28.662400000000002</v>
      </c>
      <c r="G566" s="326"/>
      <c r="H566" s="324"/>
      <c r="I566" s="324"/>
    </row>
    <row r="567" spans="1:9">
      <c r="A567" s="602" t="s">
        <v>826</v>
      </c>
      <c r="B567" s="454"/>
      <c r="C567" s="450"/>
      <c r="D567" s="306">
        <v>1</v>
      </c>
      <c r="E567" s="328" t="s">
        <v>1107</v>
      </c>
      <c r="F567" s="306">
        <f>F566/D566</f>
        <v>28.662400000000002</v>
      </c>
      <c r="G567" s="326"/>
      <c r="H567" s="324"/>
      <c r="I567" s="324"/>
    </row>
    <row r="568" spans="1:9">
      <c r="A568" s="603" t="s">
        <v>829</v>
      </c>
      <c r="B568" s="454"/>
      <c r="C568" s="454"/>
      <c r="D568" s="450"/>
      <c r="E568" s="326"/>
      <c r="F568" s="306">
        <f>F567*1%</f>
        <v>0.28662400000000005</v>
      </c>
      <c r="G568" s="326"/>
      <c r="H568" s="324"/>
      <c r="I568" s="324"/>
    </row>
    <row r="569" spans="1:9">
      <c r="A569" s="603" t="s">
        <v>30</v>
      </c>
      <c r="B569" s="454"/>
      <c r="C569" s="454"/>
      <c r="D569" s="450"/>
      <c r="E569" s="326"/>
      <c r="F569" s="306">
        <f>F568+F567</f>
        <v>28.949024000000001</v>
      </c>
      <c r="G569" s="326"/>
      <c r="H569" s="324"/>
      <c r="I569" s="324"/>
    </row>
    <row r="570" spans="1:9">
      <c r="A570" s="603" t="s">
        <v>836</v>
      </c>
      <c r="B570" s="454"/>
      <c r="C570" s="454"/>
      <c r="D570" s="450"/>
      <c r="E570" s="326"/>
      <c r="F570" s="306">
        <f>F569*15%</f>
        <v>4.3423536</v>
      </c>
      <c r="G570" s="326"/>
      <c r="H570" s="324"/>
      <c r="I570" s="324"/>
    </row>
    <row r="571" spans="1:9">
      <c r="A571" s="603" t="s">
        <v>30</v>
      </c>
      <c r="B571" s="454"/>
      <c r="C571" s="454"/>
      <c r="D571" s="450"/>
      <c r="E571" s="326"/>
      <c r="F571" s="332">
        <f>ROUND(F570+F569,2)</f>
        <v>33.29</v>
      </c>
      <c r="G571" s="326"/>
      <c r="H571" s="324"/>
      <c r="I571" s="324"/>
    </row>
    <row r="572" spans="1:9">
      <c r="A572" s="604" t="str">
        <f>CONCATENATE("Say ₹ ",F560," + ",F571," x Cost Index")</f>
        <v>Say ₹ 89.44 + 33.29 x Cost Index</v>
      </c>
      <c r="B572" s="454"/>
      <c r="C572" s="454"/>
      <c r="D572" s="454"/>
      <c r="E572" s="454"/>
      <c r="F572" s="454"/>
      <c r="G572" s="450"/>
      <c r="H572" s="337">
        <f>((F554*1.01*1.15))</f>
        <v>89.43549999999999</v>
      </c>
      <c r="I572" s="337">
        <f>((SUM(F563,F565)*1.01*1.15))</f>
        <v>33.291377599999997</v>
      </c>
    </row>
    <row r="573" spans="1:9">
      <c r="A573" s="486" t="s">
        <v>771</v>
      </c>
      <c r="B573" s="486" t="s">
        <v>776</v>
      </c>
      <c r="C573" s="487" t="s">
        <v>4</v>
      </c>
      <c r="D573" s="454"/>
      <c r="E573" s="450"/>
      <c r="F573" s="487" t="s">
        <v>785</v>
      </c>
      <c r="G573" s="450"/>
      <c r="H573" s="297"/>
      <c r="I573" s="297"/>
    </row>
    <row r="574" spans="1:9">
      <c r="A574" s="457"/>
      <c r="B574" s="457"/>
      <c r="C574" s="62" t="s">
        <v>5</v>
      </c>
      <c r="D574" s="62" t="s">
        <v>6</v>
      </c>
      <c r="E574" s="62" t="s">
        <v>336</v>
      </c>
      <c r="F574" s="62" t="s">
        <v>8</v>
      </c>
      <c r="G574" s="62" t="s">
        <v>789</v>
      </c>
      <c r="H574" s="297"/>
      <c r="I574" s="297"/>
    </row>
    <row r="575" spans="1:9">
      <c r="A575" s="615" t="s">
        <v>1866</v>
      </c>
      <c r="B575" s="454"/>
      <c r="C575" s="454"/>
      <c r="D575" s="454"/>
      <c r="E575" s="454"/>
      <c r="F575" s="454"/>
      <c r="G575" s="450"/>
      <c r="H575" s="297"/>
      <c r="I575" s="297"/>
    </row>
    <row r="576" spans="1:9">
      <c r="A576" s="340"/>
      <c r="B576" s="66" t="s">
        <v>795</v>
      </c>
      <c r="C576" s="66" t="s">
        <v>1107</v>
      </c>
      <c r="D576" s="66" t="s">
        <v>798</v>
      </c>
      <c r="E576" s="67">
        <v>1</v>
      </c>
      <c r="F576" s="484"/>
      <c r="G576" s="450"/>
      <c r="H576" s="297"/>
      <c r="I576" s="297"/>
    </row>
    <row r="577" spans="1:9">
      <c r="A577" s="66" t="s">
        <v>800</v>
      </c>
      <c r="B577" s="484" t="s">
        <v>1609</v>
      </c>
      <c r="C577" s="454"/>
      <c r="D577" s="454"/>
      <c r="E577" s="454"/>
      <c r="F577" s="454"/>
      <c r="G577" s="450"/>
      <c r="H577" s="297"/>
      <c r="I577" s="297"/>
    </row>
    <row r="578" spans="1:9">
      <c r="A578" s="490" t="s">
        <v>802</v>
      </c>
      <c r="B578" s="454"/>
      <c r="C578" s="454"/>
      <c r="D578" s="454"/>
      <c r="E578" s="454"/>
      <c r="F578" s="450"/>
      <c r="G578" s="68" t="s">
        <v>803</v>
      </c>
      <c r="H578" s="297"/>
      <c r="I578" s="297"/>
    </row>
    <row r="579" spans="1:9">
      <c r="A579" s="491"/>
      <c r="B579" s="491" t="s">
        <v>1868</v>
      </c>
      <c r="C579" s="484" t="s">
        <v>1869</v>
      </c>
      <c r="D579" s="454"/>
      <c r="E579" s="450"/>
      <c r="F579" s="484"/>
      <c r="G579" s="450"/>
      <c r="H579" s="297"/>
      <c r="I579" s="297"/>
    </row>
    <row r="580" spans="1:9">
      <c r="A580" s="457"/>
      <c r="B580" s="457"/>
      <c r="C580" s="66" t="s">
        <v>46</v>
      </c>
      <c r="D580" s="67">
        <v>1</v>
      </c>
      <c r="E580" s="67">
        <v>19</v>
      </c>
      <c r="F580" s="67">
        <f>D580*E580</f>
        <v>19</v>
      </c>
      <c r="G580" s="66" t="s">
        <v>808</v>
      </c>
      <c r="H580" s="297"/>
      <c r="I580" s="297"/>
    </row>
    <row r="581" spans="1:9">
      <c r="A581" s="492" t="s">
        <v>1105</v>
      </c>
      <c r="B581" s="454"/>
      <c r="C581" s="450"/>
      <c r="D581" s="67">
        <v>1</v>
      </c>
      <c r="E581" s="70" t="s">
        <v>1107</v>
      </c>
      <c r="F581" s="67">
        <f>F580</f>
        <v>19</v>
      </c>
      <c r="G581" s="66"/>
      <c r="H581" s="296"/>
      <c r="I581" s="296"/>
    </row>
    <row r="582" spans="1:9">
      <c r="A582" s="492" t="s">
        <v>826</v>
      </c>
      <c r="B582" s="454"/>
      <c r="C582" s="450"/>
      <c r="D582" s="67">
        <v>1</v>
      </c>
      <c r="E582" s="70" t="s">
        <v>1107</v>
      </c>
      <c r="F582" s="67">
        <f>F581/D581</f>
        <v>19</v>
      </c>
      <c r="G582" s="66"/>
      <c r="H582" s="296"/>
      <c r="I582" s="296"/>
    </row>
    <row r="583" spans="1:9">
      <c r="A583" s="493" t="s">
        <v>829</v>
      </c>
      <c r="B583" s="454"/>
      <c r="C583" s="454"/>
      <c r="D583" s="450"/>
      <c r="E583" s="67"/>
      <c r="F583" s="67">
        <f>F582*1%</f>
        <v>0.19</v>
      </c>
      <c r="G583" s="66"/>
      <c r="H583" s="296"/>
      <c r="I583" s="296"/>
    </row>
    <row r="584" spans="1:9">
      <c r="A584" s="493" t="s">
        <v>30</v>
      </c>
      <c r="B584" s="454"/>
      <c r="C584" s="454"/>
      <c r="D584" s="450"/>
      <c r="E584" s="71"/>
      <c r="F584" s="67">
        <f>F583+F582</f>
        <v>19.190000000000001</v>
      </c>
      <c r="G584" s="66"/>
      <c r="H584" s="296"/>
      <c r="I584" s="296"/>
    </row>
    <row r="585" spans="1:9">
      <c r="A585" s="493" t="s">
        <v>836</v>
      </c>
      <c r="B585" s="454"/>
      <c r="C585" s="454"/>
      <c r="D585" s="450"/>
      <c r="E585" s="67"/>
      <c r="F585" s="67">
        <f>F584*15%</f>
        <v>2.8785000000000003</v>
      </c>
      <c r="G585" s="66"/>
      <c r="H585" s="296"/>
      <c r="I585" s="296"/>
    </row>
    <row r="586" spans="1:9">
      <c r="A586" s="493" t="s">
        <v>30</v>
      </c>
      <c r="B586" s="454"/>
      <c r="C586" s="454"/>
      <c r="D586" s="450"/>
      <c r="E586" s="71"/>
      <c r="F586" s="191">
        <f>ROUND(F585+F584,2)</f>
        <v>22.07</v>
      </c>
      <c r="G586" s="66"/>
      <c r="H586" s="296"/>
      <c r="I586" s="296"/>
    </row>
    <row r="587" spans="1:9">
      <c r="A587" s="490" t="s">
        <v>847</v>
      </c>
      <c r="B587" s="454"/>
      <c r="C587" s="454"/>
      <c r="D587" s="454"/>
      <c r="E587" s="454"/>
      <c r="F587" s="450"/>
      <c r="G587" s="68" t="s">
        <v>820</v>
      </c>
      <c r="H587" s="297"/>
      <c r="I587" s="297"/>
    </row>
    <row r="588" spans="1:9">
      <c r="A588" s="491">
        <v>9999</v>
      </c>
      <c r="B588" s="491"/>
      <c r="C588" s="484" t="s">
        <v>1624</v>
      </c>
      <c r="D588" s="454"/>
      <c r="E588" s="450"/>
      <c r="F588" s="484"/>
      <c r="G588" s="450"/>
      <c r="H588" s="297"/>
      <c r="I588" s="297"/>
    </row>
    <row r="589" spans="1:9">
      <c r="A589" s="457"/>
      <c r="B589" s="457"/>
      <c r="C589" s="66" t="s">
        <v>62</v>
      </c>
      <c r="D589" s="67">
        <v>2.73</v>
      </c>
      <c r="E589" s="67">
        <v>2.12</v>
      </c>
      <c r="F589" s="67">
        <f>D589*E589</f>
        <v>5.7876000000000003</v>
      </c>
      <c r="G589" s="66" t="s">
        <v>851</v>
      </c>
      <c r="H589" s="297"/>
      <c r="I589" s="297"/>
    </row>
    <row r="590" spans="1:9">
      <c r="A590" s="491">
        <v>9999</v>
      </c>
      <c r="B590" s="491"/>
      <c r="C590" s="484" t="s">
        <v>1628</v>
      </c>
      <c r="D590" s="454"/>
      <c r="E590" s="450"/>
      <c r="F590" s="484"/>
      <c r="G590" s="450"/>
      <c r="H590" s="297"/>
      <c r="I590" s="297"/>
    </row>
    <row r="591" spans="1:9">
      <c r="A591" s="457"/>
      <c r="B591" s="457"/>
      <c r="C591" s="66" t="s">
        <v>62</v>
      </c>
      <c r="D591" s="67">
        <v>9.36</v>
      </c>
      <c r="E591" s="67">
        <v>2.12</v>
      </c>
      <c r="F591" s="67">
        <f>D591*E591</f>
        <v>19.8432</v>
      </c>
      <c r="G591" s="66" t="s">
        <v>854</v>
      </c>
      <c r="H591" s="297"/>
      <c r="I591" s="297"/>
    </row>
    <row r="592" spans="1:9">
      <c r="A592" s="492" t="s">
        <v>30</v>
      </c>
      <c r="B592" s="454"/>
      <c r="C592" s="450"/>
      <c r="D592" s="67">
        <v>1</v>
      </c>
      <c r="E592" s="70" t="s">
        <v>1107</v>
      </c>
      <c r="F592" s="67">
        <f>F591+F589</f>
        <v>25.630800000000001</v>
      </c>
      <c r="G592" s="341"/>
      <c r="H592" s="297"/>
      <c r="I592" s="297"/>
    </row>
    <row r="593" spans="1:9">
      <c r="A593" s="492" t="s">
        <v>826</v>
      </c>
      <c r="B593" s="454"/>
      <c r="C593" s="450"/>
      <c r="D593" s="67">
        <v>1</v>
      </c>
      <c r="E593" s="70" t="s">
        <v>1107</v>
      </c>
      <c r="F593" s="67">
        <f>F592/D592</f>
        <v>25.630800000000001</v>
      </c>
      <c r="G593" s="341"/>
      <c r="H593" s="297"/>
      <c r="I593" s="297"/>
    </row>
    <row r="594" spans="1:9">
      <c r="A594" s="493" t="s">
        <v>829</v>
      </c>
      <c r="B594" s="454"/>
      <c r="C594" s="454"/>
      <c r="D594" s="450"/>
      <c r="E594" s="67">
        <v>44.63</v>
      </c>
      <c r="F594" s="67">
        <f>F593*1%</f>
        <v>0.25630800000000004</v>
      </c>
      <c r="G594" s="341"/>
      <c r="H594" s="297"/>
      <c r="I594" s="297"/>
    </row>
    <row r="595" spans="1:9">
      <c r="A595" s="493" t="s">
        <v>30</v>
      </c>
      <c r="B595" s="454"/>
      <c r="C595" s="454"/>
      <c r="D595" s="450"/>
      <c r="E595" s="341"/>
      <c r="F595" s="67">
        <f>F594+F593</f>
        <v>25.887108000000001</v>
      </c>
      <c r="G595" s="341"/>
      <c r="H595" s="297"/>
      <c r="I595" s="297"/>
    </row>
    <row r="596" spans="1:9">
      <c r="A596" s="493" t="s">
        <v>836</v>
      </c>
      <c r="B596" s="454"/>
      <c r="C596" s="454"/>
      <c r="D596" s="450"/>
      <c r="E596" s="67">
        <v>45.08</v>
      </c>
      <c r="F596" s="67">
        <f>F595*15%</f>
        <v>3.8830662</v>
      </c>
      <c r="G596" s="341"/>
      <c r="H596" s="297"/>
      <c r="I596" s="297"/>
    </row>
    <row r="597" spans="1:9">
      <c r="A597" s="493" t="s">
        <v>30</v>
      </c>
      <c r="B597" s="454"/>
      <c r="C597" s="454"/>
      <c r="D597" s="450"/>
      <c r="E597" s="341"/>
      <c r="F597" s="191">
        <f>ROUND(F596+F595,2)</f>
        <v>29.77</v>
      </c>
      <c r="G597" s="341"/>
      <c r="H597" s="297"/>
      <c r="I597" s="297"/>
    </row>
    <row r="598" spans="1:9">
      <c r="A598" s="594" t="str">
        <f>CONCATENATE("Say ₹ ",F586," + ",F597," x Cost Index")</f>
        <v>Say ₹ 22.07 + 29.77 x Cost Index</v>
      </c>
      <c r="B598" s="454"/>
      <c r="C598" s="454"/>
      <c r="D598" s="454"/>
      <c r="E598" s="454"/>
      <c r="F598" s="454"/>
      <c r="G598" s="450"/>
      <c r="H598" s="297">
        <f>((F580*1.01*1.15))</f>
        <v>22.0685</v>
      </c>
      <c r="I598" s="297">
        <f>((SUM(F589,F591)*1.01*1.15))</f>
        <v>29.7701742</v>
      </c>
    </row>
    <row r="599" spans="1:9">
      <c r="A599" s="486" t="s">
        <v>771</v>
      </c>
      <c r="B599" s="486" t="s">
        <v>776</v>
      </c>
      <c r="C599" s="487" t="s">
        <v>4</v>
      </c>
      <c r="D599" s="454"/>
      <c r="E599" s="450"/>
      <c r="F599" s="487" t="s">
        <v>785</v>
      </c>
      <c r="G599" s="450"/>
      <c r="H599" s="297"/>
      <c r="I599" s="297"/>
    </row>
    <row r="600" spans="1:9">
      <c r="A600" s="457"/>
      <c r="B600" s="457"/>
      <c r="C600" s="62" t="s">
        <v>5</v>
      </c>
      <c r="D600" s="62" t="s">
        <v>6</v>
      </c>
      <c r="E600" s="62" t="s">
        <v>336</v>
      </c>
      <c r="F600" s="62" t="s">
        <v>8</v>
      </c>
      <c r="G600" s="62" t="s">
        <v>789</v>
      </c>
      <c r="H600" s="297"/>
      <c r="I600" s="297"/>
    </row>
    <row r="601" spans="1:9">
      <c r="A601" s="615" t="s">
        <v>1876</v>
      </c>
      <c r="B601" s="454"/>
      <c r="C601" s="454"/>
      <c r="D601" s="454"/>
      <c r="E601" s="454"/>
      <c r="F601" s="454"/>
      <c r="G601" s="450"/>
      <c r="H601" s="297"/>
      <c r="I601" s="297"/>
    </row>
    <row r="602" spans="1:9">
      <c r="A602" s="340"/>
      <c r="B602" s="66" t="s">
        <v>795</v>
      </c>
      <c r="C602" s="66" t="s">
        <v>1107</v>
      </c>
      <c r="D602" s="66" t="s">
        <v>798</v>
      </c>
      <c r="E602" s="67">
        <v>1</v>
      </c>
      <c r="F602" s="484"/>
      <c r="G602" s="450"/>
      <c r="H602" s="297"/>
      <c r="I602" s="297"/>
    </row>
    <row r="603" spans="1:9">
      <c r="A603" s="66" t="s">
        <v>800</v>
      </c>
      <c r="B603" s="484" t="s">
        <v>1609</v>
      </c>
      <c r="C603" s="454"/>
      <c r="D603" s="454"/>
      <c r="E603" s="454"/>
      <c r="F603" s="454"/>
      <c r="G603" s="450"/>
      <c r="H603" s="297"/>
      <c r="I603" s="297"/>
    </row>
    <row r="604" spans="1:9">
      <c r="A604" s="490" t="s">
        <v>802</v>
      </c>
      <c r="B604" s="454"/>
      <c r="C604" s="454"/>
      <c r="D604" s="454"/>
      <c r="E604" s="454"/>
      <c r="F604" s="450"/>
      <c r="G604" s="68" t="s">
        <v>803</v>
      </c>
      <c r="H604" s="297"/>
      <c r="I604" s="297"/>
    </row>
    <row r="605" spans="1:9">
      <c r="A605" s="491"/>
      <c r="B605" s="491" t="s">
        <v>1878</v>
      </c>
      <c r="C605" s="484" t="s">
        <v>1879</v>
      </c>
      <c r="D605" s="454"/>
      <c r="E605" s="450"/>
      <c r="F605" s="484"/>
      <c r="G605" s="450"/>
      <c r="H605" s="297"/>
      <c r="I605" s="297"/>
    </row>
    <row r="606" spans="1:9">
      <c r="A606" s="457"/>
      <c r="B606" s="457"/>
      <c r="C606" s="66" t="s">
        <v>46</v>
      </c>
      <c r="D606" s="67">
        <v>1</v>
      </c>
      <c r="E606" s="67">
        <v>23</v>
      </c>
      <c r="F606" s="67">
        <f>D606*E606</f>
        <v>23</v>
      </c>
      <c r="G606" s="66" t="s">
        <v>808</v>
      </c>
      <c r="H606" s="297"/>
      <c r="I606" s="297"/>
    </row>
    <row r="607" spans="1:9">
      <c r="A607" s="492" t="s">
        <v>1105</v>
      </c>
      <c r="B607" s="454"/>
      <c r="C607" s="450"/>
      <c r="D607" s="67">
        <v>1</v>
      </c>
      <c r="E607" s="70" t="s">
        <v>1107</v>
      </c>
      <c r="F607" s="67">
        <f>F606</f>
        <v>23</v>
      </c>
      <c r="G607" s="66"/>
      <c r="H607" s="297"/>
      <c r="I607" s="297"/>
    </row>
    <row r="608" spans="1:9">
      <c r="A608" s="492" t="s">
        <v>826</v>
      </c>
      <c r="B608" s="454"/>
      <c r="C608" s="450"/>
      <c r="D608" s="67">
        <v>1</v>
      </c>
      <c r="E608" s="70" t="s">
        <v>1107</v>
      </c>
      <c r="F608" s="67">
        <f>F607/D607</f>
        <v>23</v>
      </c>
      <c r="G608" s="66"/>
      <c r="H608" s="297"/>
      <c r="I608" s="297"/>
    </row>
    <row r="609" spans="1:9">
      <c r="A609" s="493" t="s">
        <v>829</v>
      </c>
      <c r="B609" s="454"/>
      <c r="C609" s="454"/>
      <c r="D609" s="450"/>
      <c r="E609" s="67"/>
      <c r="F609" s="67">
        <f>F608*1%</f>
        <v>0.23</v>
      </c>
      <c r="G609" s="66"/>
      <c r="H609" s="297"/>
      <c r="I609" s="297"/>
    </row>
    <row r="610" spans="1:9">
      <c r="A610" s="493" t="s">
        <v>30</v>
      </c>
      <c r="B610" s="454"/>
      <c r="C610" s="454"/>
      <c r="D610" s="450"/>
      <c r="E610" s="71"/>
      <c r="F610" s="67">
        <f>F609+F608</f>
        <v>23.23</v>
      </c>
      <c r="G610" s="66"/>
      <c r="H610" s="297"/>
      <c r="I610" s="297"/>
    </row>
    <row r="611" spans="1:9">
      <c r="A611" s="493" t="s">
        <v>836</v>
      </c>
      <c r="B611" s="454"/>
      <c r="C611" s="454"/>
      <c r="D611" s="450"/>
      <c r="E611" s="67"/>
      <c r="F611" s="67">
        <f>F610*15%</f>
        <v>3.4845000000000002</v>
      </c>
      <c r="G611" s="66"/>
      <c r="H611" s="297"/>
      <c r="I611" s="297"/>
    </row>
    <row r="612" spans="1:9">
      <c r="A612" s="493" t="s">
        <v>30</v>
      </c>
      <c r="B612" s="454"/>
      <c r="C612" s="454"/>
      <c r="D612" s="450"/>
      <c r="E612" s="71"/>
      <c r="F612" s="191">
        <f>ROUND(F611+F610,2)</f>
        <v>26.71</v>
      </c>
      <c r="G612" s="66"/>
      <c r="H612" s="297"/>
      <c r="I612" s="297"/>
    </row>
    <row r="613" spans="1:9">
      <c r="A613" s="490" t="s">
        <v>847</v>
      </c>
      <c r="B613" s="454"/>
      <c r="C613" s="454"/>
      <c r="D613" s="454"/>
      <c r="E613" s="454"/>
      <c r="F613" s="450"/>
      <c r="G613" s="68" t="s">
        <v>820</v>
      </c>
      <c r="H613" s="297"/>
      <c r="I613" s="297"/>
    </row>
    <row r="614" spans="1:9">
      <c r="A614" s="491">
        <v>9999</v>
      </c>
      <c r="B614" s="491"/>
      <c r="C614" s="484" t="s">
        <v>1624</v>
      </c>
      <c r="D614" s="454"/>
      <c r="E614" s="450"/>
      <c r="F614" s="484"/>
      <c r="G614" s="450"/>
      <c r="H614" s="297"/>
      <c r="I614" s="297"/>
    </row>
    <row r="615" spans="1:9">
      <c r="A615" s="457"/>
      <c r="B615" s="457"/>
      <c r="C615" s="66" t="s">
        <v>62</v>
      </c>
      <c r="D615" s="67">
        <v>2.73</v>
      </c>
      <c r="E615" s="67">
        <v>2.12</v>
      </c>
      <c r="F615" s="67">
        <v>5.79</v>
      </c>
      <c r="G615" s="66" t="s">
        <v>851</v>
      </c>
      <c r="H615" s="297"/>
      <c r="I615" s="297"/>
    </row>
    <row r="616" spans="1:9">
      <c r="A616" s="491">
        <v>9999</v>
      </c>
      <c r="B616" s="491"/>
      <c r="C616" s="484" t="s">
        <v>1628</v>
      </c>
      <c r="D616" s="454"/>
      <c r="E616" s="450"/>
      <c r="F616" s="484"/>
      <c r="G616" s="450"/>
      <c r="H616" s="297"/>
      <c r="I616" s="297"/>
    </row>
    <row r="617" spans="1:9">
      <c r="A617" s="457"/>
      <c r="B617" s="457"/>
      <c r="C617" s="66" t="s">
        <v>62</v>
      </c>
      <c r="D617" s="67">
        <v>9.36</v>
      </c>
      <c r="E617" s="67">
        <v>2.12</v>
      </c>
      <c r="F617" s="67">
        <f>D617*E617</f>
        <v>19.8432</v>
      </c>
      <c r="G617" s="66" t="s">
        <v>854</v>
      </c>
      <c r="H617" s="297"/>
      <c r="I617" s="297"/>
    </row>
    <row r="618" spans="1:9">
      <c r="A618" s="492" t="s">
        <v>30</v>
      </c>
      <c r="B618" s="454"/>
      <c r="C618" s="450"/>
      <c r="D618" s="67">
        <v>1</v>
      </c>
      <c r="E618" s="70" t="s">
        <v>1107</v>
      </c>
      <c r="F618" s="67">
        <f>F617+F615</f>
        <v>25.633199999999999</v>
      </c>
      <c r="G618" s="341"/>
      <c r="H618" s="297"/>
      <c r="I618" s="297"/>
    </row>
    <row r="619" spans="1:9">
      <c r="A619" s="492" t="s">
        <v>826</v>
      </c>
      <c r="B619" s="454"/>
      <c r="C619" s="450"/>
      <c r="D619" s="67">
        <v>1</v>
      </c>
      <c r="E619" s="70" t="s">
        <v>1107</v>
      </c>
      <c r="F619" s="67">
        <f>F618/D618</f>
        <v>25.633199999999999</v>
      </c>
      <c r="G619" s="341"/>
      <c r="H619" s="297"/>
      <c r="I619" s="297"/>
    </row>
    <row r="620" spans="1:9">
      <c r="A620" s="493" t="s">
        <v>829</v>
      </c>
      <c r="B620" s="454"/>
      <c r="C620" s="454"/>
      <c r="D620" s="450"/>
      <c r="E620" s="67">
        <v>48.63</v>
      </c>
      <c r="F620" s="67">
        <f>F619*1%</f>
        <v>0.256332</v>
      </c>
      <c r="G620" s="341"/>
      <c r="H620" s="297"/>
      <c r="I620" s="297"/>
    </row>
    <row r="621" spans="1:9">
      <c r="A621" s="493" t="s">
        <v>30</v>
      </c>
      <c r="B621" s="454"/>
      <c r="C621" s="454"/>
      <c r="D621" s="450"/>
      <c r="E621" s="341"/>
      <c r="F621" s="67">
        <f>F620+F619</f>
        <v>25.889531999999999</v>
      </c>
      <c r="G621" s="341"/>
      <c r="H621" s="297"/>
      <c r="I621" s="297"/>
    </row>
    <row r="622" spans="1:9">
      <c r="A622" s="493" t="s">
        <v>836</v>
      </c>
      <c r="B622" s="454"/>
      <c r="C622" s="454"/>
      <c r="D622" s="450"/>
      <c r="E622" s="67">
        <v>49.12</v>
      </c>
      <c r="F622" s="67">
        <f>F621*15%</f>
        <v>3.8834297999999996</v>
      </c>
      <c r="G622" s="341"/>
      <c r="H622" s="297"/>
      <c r="I622" s="297"/>
    </row>
    <row r="623" spans="1:9">
      <c r="A623" s="493" t="s">
        <v>30</v>
      </c>
      <c r="B623" s="454"/>
      <c r="C623" s="454"/>
      <c r="D623" s="450"/>
      <c r="E623" s="341"/>
      <c r="F623" s="191">
        <f>ROUND(F622+F621,2)</f>
        <v>29.77</v>
      </c>
      <c r="G623" s="341"/>
      <c r="H623" s="297"/>
      <c r="I623" s="297"/>
    </row>
    <row r="624" spans="1:9">
      <c r="A624" s="594" t="str">
        <f>CONCATENATE("Say ₹ ",F612," + ",F623," x Cost Index")</f>
        <v>Say ₹ 26.71 + 29.77 x Cost Index</v>
      </c>
      <c r="B624" s="454"/>
      <c r="C624" s="454"/>
      <c r="D624" s="454"/>
      <c r="E624" s="454"/>
      <c r="F624" s="454"/>
      <c r="G624" s="450"/>
      <c r="H624" s="297">
        <f>((F606*1.01*1.15))</f>
        <v>26.714499999999997</v>
      </c>
      <c r="I624" s="297">
        <f>((SUM(F615,F617)*1.01*1.15))</f>
        <v>29.772961799999997</v>
      </c>
    </row>
    <row r="625" spans="1:9">
      <c r="A625" s="486" t="s">
        <v>771</v>
      </c>
      <c r="B625" s="486" t="s">
        <v>776</v>
      </c>
      <c r="C625" s="487" t="s">
        <v>4</v>
      </c>
      <c r="D625" s="454"/>
      <c r="E625" s="450"/>
      <c r="F625" s="487" t="s">
        <v>785</v>
      </c>
      <c r="G625" s="450"/>
      <c r="H625" s="297"/>
      <c r="I625" s="297"/>
    </row>
    <row r="626" spans="1:9">
      <c r="A626" s="457"/>
      <c r="B626" s="457"/>
      <c r="C626" s="62" t="s">
        <v>5</v>
      </c>
      <c r="D626" s="62" t="s">
        <v>6</v>
      </c>
      <c r="E626" s="62" t="s">
        <v>336</v>
      </c>
      <c r="F626" s="62" t="s">
        <v>8</v>
      </c>
      <c r="G626" s="62" t="s">
        <v>789</v>
      </c>
      <c r="H626" s="297"/>
      <c r="I626" s="297"/>
    </row>
    <row r="627" spans="1:9">
      <c r="A627" s="615" t="s">
        <v>1888</v>
      </c>
      <c r="B627" s="454"/>
      <c r="C627" s="454"/>
      <c r="D627" s="454"/>
      <c r="E627" s="454"/>
      <c r="F627" s="454"/>
      <c r="G627" s="450"/>
      <c r="H627" s="297"/>
      <c r="I627" s="297"/>
    </row>
    <row r="628" spans="1:9">
      <c r="A628" s="340"/>
      <c r="B628" s="66" t="s">
        <v>795</v>
      </c>
      <c r="C628" s="66" t="s">
        <v>1107</v>
      </c>
      <c r="D628" s="66" t="s">
        <v>798</v>
      </c>
      <c r="E628" s="67">
        <v>1</v>
      </c>
      <c r="F628" s="484"/>
      <c r="G628" s="450"/>
      <c r="H628" s="297"/>
      <c r="I628" s="297"/>
    </row>
    <row r="629" spans="1:9">
      <c r="A629" s="66" t="s">
        <v>800</v>
      </c>
      <c r="B629" s="484" t="s">
        <v>1609</v>
      </c>
      <c r="C629" s="454"/>
      <c r="D629" s="454"/>
      <c r="E629" s="454"/>
      <c r="F629" s="454"/>
      <c r="G629" s="450"/>
      <c r="H629" s="297"/>
      <c r="I629" s="297"/>
    </row>
    <row r="630" spans="1:9">
      <c r="A630" s="490" t="s">
        <v>802</v>
      </c>
      <c r="B630" s="454"/>
      <c r="C630" s="454"/>
      <c r="D630" s="454"/>
      <c r="E630" s="454"/>
      <c r="F630" s="450"/>
      <c r="G630" s="68" t="s">
        <v>803</v>
      </c>
      <c r="H630" s="297"/>
      <c r="I630" s="297"/>
    </row>
    <row r="631" spans="1:9">
      <c r="A631" s="491"/>
      <c r="B631" s="491" t="s">
        <v>1890</v>
      </c>
      <c r="C631" s="484" t="s">
        <v>1891</v>
      </c>
      <c r="D631" s="454"/>
      <c r="E631" s="450"/>
      <c r="F631" s="484"/>
      <c r="G631" s="450"/>
      <c r="H631" s="297"/>
      <c r="I631" s="297"/>
    </row>
    <row r="632" spans="1:9">
      <c r="A632" s="457"/>
      <c r="B632" s="457"/>
      <c r="C632" s="66" t="s">
        <v>46</v>
      </c>
      <c r="D632" s="67">
        <v>1</v>
      </c>
      <c r="E632" s="67">
        <v>28</v>
      </c>
      <c r="F632" s="67">
        <f>D632*E632</f>
        <v>28</v>
      </c>
      <c r="G632" s="66" t="s">
        <v>808</v>
      </c>
      <c r="H632" s="297"/>
      <c r="I632" s="297"/>
    </row>
    <row r="633" spans="1:9">
      <c r="A633" s="492" t="s">
        <v>1105</v>
      </c>
      <c r="B633" s="454"/>
      <c r="C633" s="450"/>
      <c r="D633" s="67">
        <v>1</v>
      </c>
      <c r="E633" s="70" t="s">
        <v>1107</v>
      </c>
      <c r="F633" s="67">
        <f>F632</f>
        <v>28</v>
      </c>
      <c r="G633" s="66"/>
      <c r="H633" s="296"/>
      <c r="I633" s="296"/>
    </row>
    <row r="634" spans="1:9">
      <c r="A634" s="492" t="s">
        <v>826</v>
      </c>
      <c r="B634" s="454"/>
      <c r="C634" s="450"/>
      <c r="D634" s="67">
        <v>1</v>
      </c>
      <c r="E634" s="70" t="s">
        <v>1107</v>
      </c>
      <c r="F634" s="67">
        <f>F633/D633</f>
        <v>28</v>
      </c>
      <c r="G634" s="66"/>
      <c r="H634" s="296"/>
      <c r="I634" s="296"/>
    </row>
    <row r="635" spans="1:9">
      <c r="A635" s="493" t="s">
        <v>829</v>
      </c>
      <c r="B635" s="454"/>
      <c r="C635" s="454"/>
      <c r="D635" s="450"/>
      <c r="E635" s="67"/>
      <c r="F635" s="67">
        <f>F634*1%</f>
        <v>0.28000000000000003</v>
      </c>
      <c r="G635" s="66"/>
      <c r="H635" s="296"/>
      <c r="I635" s="296"/>
    </row>
    <row r="636" spans="1:9">
      <c r="A636" s="493" t="s">
        <v>30</v>
      </c>
      <c r="B636" s="454"/>
      <c r="C636" s="454"/>
      <c r="D636" s="450"/>
      <c r="E636" s="71"/>
      <c r="F636" s="67">
        <f>F635+F634</f>
        <v>28.28</v>
      </c>
      <c r="G636" s="66"/>
      <c r="H636" s="296"/>
      <c r="I636" s="296"/>
    </row>
    <row r="637" spans="1:9">
      <c r="A637" s="493" t="s">
        <v>836</v>
      </c>
      <c r="B637" s="454"/>
      <c r="C637" s="454"/>
      <c r="D637" s="450"/>
      <c r="E637" s="67"/>
      <c r="F637" s="67">
        <f>F636*15%</f>
        <v>4.242</v>
      </c>
      <c r="G637" s="66"/>
      <c r="H637" s="296"/>
      <c r="I637" s="296"/>
    </row>
    <row r="638" spans="1:9">
      <c r="A638" s="493" t="s">
        <v>30</v>
      </c>
      <c r="B638" s="454"/>
      <c r="C638" s="454"/>
      <c r="D638" s="450"/>
      <c r="E638" s="71"/>
      <c r="F638" s="191">
        <f>ROUND(F637+F636,2)</f>
        <v>32.520000000000003</v>
      </c>
      <c r="G638" s="66"/>
      <c r="H638" s="296"/>
      <c r="I638" s="296"/>
    </row>
    <row r="639" spans="1:9">
      <c r="A639" s="490" t="s">
        <v>847</v>
      </c>
      <c r="B639" s="454"/>
      <c r="C639" s="454"/>
      <c r="D639" s="454"/>
      <c r="E639" s="454"/>
      <c r="F639" s="450"/>
      <c r="G639" s="68" t="s">
        <v>820</v>
      </c>
      <c r="H639" s="297"/>
      <c r="I639" s="297"/>
    </row>
    <row r="640" spans="1:9">
      <c r="A640" s="491">
        <v>9999</v>
      </c>
      <c r="B640" s="491"/>
      <c r="C640" s="484" t="s">
        <v>1624</v>
      </c>
      <c r="D640" s="454"/>
      <c r="E640" s="450"/>
      <c r="F640" s="484"/>
      <c r="G640" s="450"/>
      <c r="H640" s="297"/>
      <c r="I640" s="297"/>
    </row>
    <row r="641" spans="1:9">
      <c r="A641" s="457"/>
      <c r="B641" s="457"/>
      <c r="C641" s="66" t="s">
        <v>62</v>
      </c>
      <c r="D641" s="67">
        <v>2.73</v>
      </c>
      <c r="E641" s="67">
        <v>2.12</v>
      </c>
      <c r="F641" s="67">
        <f>D641*E641</f>
        <v>5.7876000000000003</v>
      </c>
      <c r="G641" s="66" t="s">
        <v>851</v>
      </c>
      <c r="H641" s="297"/>
      <c r="I641" s="297"/>
    </row>
    <row r="642" spans="1:9">
      <c r="A642" s="491">
        <v>9999</v>
      </c>
      <c r="B642" s="491"/>
      <c r="C642" s="484" t="s">
        <v>1628</v>
      </c>
      <c r="D642" s="454"/>
      <c r="E642" s="450"/>
      <c r="F642" s="484"/>
      <c r="G642" s="450"/>
      <c r="H642" s="297"/>
      <c r="I642" s="297"/>
    </row>
    <row r="643" spans="1:9">
      <c r="A643" s="457"/>
      <c r="B643" s="457"/>
      <c r="C643" s="66" t="s">
        <v>62</v>
      </c>
      <c r="D643" s="67">
        <v>10.79</v>
      </c>
      <c r="E643" s="67">
        <v>2.12</v>
      </c>
      <c r="F643" s="67">
        <f>D643*E643</f>
        <v>22.8748</v>
      </c>
      <c r="G643" s="66" t="s">
        <v>854</v>
      </c>
      <c r="H643" s="297"/>
      <c r="I643" s="297"/>
    </row>
    <row r="644" spans="1:9">
      <c r="A644" s="492" t="s">
        <v>30</v>
      </c>
      <c r="B644" s="454"/>
      <c r="C644" s="450"/>
      <c r="D644" s="67">
        <v>1</v>
      </c>
      <c r="E644" s="70" t="s">
        <v>1107</v>
      </c>
      <c r="F644" s="67">
        <f>F643+F641</f>
        <v>28.662400000000002</v>
      </c>
      <c r="G644" s="341"/>
      <c r="H644" s="297"/>
      <c r="I644" s="297"/>
    </row>
    <row r="645" spans="1:9">
      <c r="A645" s="492" t="s">
        <v>826</v>
      </c>
      <c r="B645" s="454"/>
      <c r="C645" s="450"/>
      <c r="D645" s="67">
        <v>1</v>
      </c>
      <c r="E645" s="70" t="s">
        <v>1107</v>
      </c>
      <c r="F645" s="67">
        <f>F644/D644</f>
        <v>28.662400000000002</v>
      </c>
      <c r="G645" s="341"/>
      <c r="H645" s="297"/>
      <c r="I645" s="297"/>
    </row>
    <row r="646" spans="1:9">
      <c r="A646" s="493" t="s">
        <v>829</v>
      </c>
      <c r="B646" s="454"/>
      <c r="C646" s="454"/>
      <c r="D646" s="450"/>
      <c r="E646" s="67">
        <v>56.66</v>
      </c>
      <c r="F646" s="67">
        <f>F645*1%</f>
        <v>0.28662400000000005</v>
      </c>
      <c r="G646" s="341"/>
      <c r="H646" s="297"/>
      <c r="I646" s="297"/>
    </row>
    <row r="647" spans="1:9">
      <c r="A647" s="493" t="s">
        <v>30</v>
      </c>
      <c r="B647" s="454"/>
      <c r="C647" s="454"/>
      <c r="D647" s="450"/>
      <c r="E647" s="341"/>
      <c r="F647" s="67">
        <f>F646+F645</f>
        <v>28.949024000000001</v>
      </c>
      <c r="G647" s="341"/>
      <c r="H647" s="297"/>
      <c r="I647" s="297"/>
    </row>
    <row r="648" spans="1:9">
      <c r="A648" s="493" t="s">
        <v>836</v>
      </c>
      <c r="B648" s="454"/>
      <c r="C648" s="454"/>
      <c r="D648" s="450"/>
      <c r="E648" s="67">
        <v>57.23</v>
      </c>
      <c r="F648" s="67">
        <f>F647*15%</f>
        <v>4.3423536</v>
      </c>
      <c r="G648" s="341"/>
      <c r="H648" s="297"/>
      <c r="I648" s="297"/>
    </row>
    <row r="649" spans="1:9">
      <c r="A649" s="493" t="s">
        <v>30</v>
      </c>
      <c r="B649" s="454"/>
      <c r="C649" s="454"/>
      <c r="D649" s="450"/>
      <c r="E649" s="341"/>
      <c r="F649" s="191">
        <f>ROUND(F648+F647,2)</f>
        <v>33.29</v>
      </c>
      <c r="G649" s="341"/>
      <c r="H649" s="297"/>
      <c r="I649" s="297"/>
    </row>
    <row r="650" spans="1:9">
      <c r="A650" s="494" t="s">
        <v>857</v>
      </c>
      <c r="B650" s="454"/>
      <c r="C650" s="454"/>
      <c r="D650" s="450"/>
      <c r="E650" s="343"/>
      <c r="F650" s="344" t="s">
        <v>1896</v>
      </c>
      <c r="G650" s="343"/>
      <c r="H650" s="297">
        <f>((F632*1.01*1.15))</f>
        <v>32.521999999999998</v>
      </c>
      <c r="I650" s="297">
        <f>((SUM(F641,F643)*1.01*1.15))</f>
        <v>33.291377599999997</v>
      </c>
    </row>
    <row r="651" spans="1:9">
      <c r="A651" s="486" t="s">
        <v>771</v>
      </c>
      <c r="B651" s="486" t="s">
        <v>776</v>
      </c>
      <c r="C651" s="487" t="s">
        <v>4</v>
      </c>
      <c r="D651" s="454"/>
      <c r="E651" s="450"/>
      <c r="F651" s="487" t="s">
        <v>785</v>
      </c>
      <c r="G651" s="450"/>
      <c r="H651" s="297"/>
      <c r="I651" s="297"/>
    </row>
    <row r="652" spans="1:9">
      <c r="A652" s="457"/>
      <c r="B652" s="457"/>
      <c r="C652" s="62" t="s">
        <v>5</v>
      </c>
      <c r="D652" s="62" t="s">
        <v>6</v>
      </c>
      <c r="E652" s="62" t="s">
        <v>336</v>
      </c>
      <c r="F652" s="62" t="s">
        <v>8</v>
      </c>
      <c r="G652" s="62" t="s">
        <v>789</v>
      </c>
      <c r="H652" s="297"/>
      <c r="I652" s="297"/>
    </row>
    <row r="653" spans="1:9">
      <c r="A653" s="612" t="s">
        <v>1899</v>
      </c>
      <c r="B653" s="454"/>
      <c r="C653" s="454"/>
      <c r="D653" s="454"/>
      <c r="E653" s="454"/>
      <c r="F653" s="454"/>
      <c r="G653" s="450"/>
      <c r="H653" s="297"/>
      <c r="I653" s="297"/>
    </row>
    <row r="654" spans="1:9">
      <c r="A654" s="340"/>
      <c r="B654" s="66" t="s">
        <v>795</v>
      </c>
      <c r="C654" s="66" t="s">
        <v>1107</v>
      </c>
      <c r="D654" s="66" t="s">
        <v>798</v>
      </c>
      <c r="E654" s="67">
        <v>1</v>
      </c>
      <c r="F654" s="484"/>
      <c r="G654" s="450"/>
      <c r="H654" s="297"/>
      <c r="I654" s="297"/>
    </row>
    <row r="655" spans="1:9">
      <c r="A655" s="66" t="s">
        <v>800</v>
      </c>
      <c r="B655" s="484" t="s">
        <v>1609</v>
      </c>
      <c r="C655" s="454"/>
      <c r="D655" s="454"/>
      <c r="E655" s="454"/>
      <c r="F655" s="454"/>
      <c r="G655" s="450"/>
      <c r="H655" s="297"/>
      <c r="I655" s="297"/>
    </row>
    <row r="656" spans="1:9">
      <c r="A656" s="490" t="s">
        <v>802</v>
      </c>
      <c r="B656" s="454"/>
      <c r="C656" s="454"/>
      <c r="D656" s="454"/>
      <c r="E656" s="454"/>
      <c r="F656" s="450"/>
      <c r="G656" s="68" t="s">
        <v>803</v>
      </c>
      <c r="H656" s="297"/>
      <c r="I656" s="297"/>
    </row>
    <row r="657" spans="1:9">
      <c r="A657" s="491"/>
      <c r="B657" s="491" t="s">
        <v>1900</v>
      </c>
      <c r="C657" s="484" t="s">
        <v>1901</v>
      </c>
      <c r="D657" s="454"/>
      <c r="E657" s="450"/>
      <c r="F657" s="484"/>
      <c r="G657" s="450"/>
      <c r="H657" s="297"/>
      <c r="I657" s="297"/>
    </row>
    <row r="658" spans="1:9">
      <c r="A658" s="457"/>
      <c r="B658" s="457"/>
      <c r="C658" s="66" t="s">
        <v>46</v>
      </c>
      <c r="D658" s="67">
        <v>1</v>
      </c>
      <c r="E658" s="67">
        <v>22</v>
      </c>
      <c r="F658" s="67">
        <f>D658*E658</f>
        <v>22</v>
      </c>
      <c r="G658" s="66" t="s">
        <v>808</v>
      </c>
      <c r="H658" s="297"/>
      <c r="I658" s="297"/>
    </row>
    <row r="659" spans="1:9">
      <c r="A659" s="492" t="s">
        <v>1105</v>
      </c>
      <c r="B659" s="454"/>
      <c r="C659" s="450"/>
      <c r="D659" s="67">
        <v>1</v>
      </c>
      <c r="E659" s="70" t="s">
        <v>1107</v>
      </c>
      <c r="F659" s="67">
        <f>F658</f>
        <v>22</v>
      </c>
      <c r="G659" s="66"/>
      <c r="H659" s="296"/>
      <c r="I659" s="296"/>
    </row>
    <row r="660" spans="1:9">
      <c r="A660" s="492" t="s">
        <v>826</v>
      </c>
      <c r="B660" s="454"/>
      <c r="C660" s="450"/>
      <c r="D660" s="67">
        <v>1</v>
      </c>
      <c r="E660" s="70" t="s">
        <v>1107</v>
      </c>
      <c r="F660" s="67">
        <f>F659/D659</f>
        <v>22</v>
      </c>
      <c r="G660" s="66"/>
      <c r="H660" s="296"/>
      <c r="I660" s="296"/>
    </row>
    <row r="661" spans="1:9">
      <c r="A661" s="493" t="s">
        <v>829</v>
      </c>
      <c r="B661" s="454"/>
      <c r="C661" s="454"/>
      <c r="D661" s="450"/>
      <c r="E661" s="67"/>
      <c r="F661" s="67">
        <f>F660*1%</f>
        <v>0.22</v>
      </c>
      <c r="G661" s="66"/>
      <c r="H661" s="296"/>
      <c r="I661" s="296"/>
    </row>
    <row r="662" spans="1:9">
      <c r="A662" s="493" t="s">
        <v>30</v>
      </c>
      <c r="B662" s="454"/>
      <c r="C662" s="454"/>
      <c r="D662" s="450"/>
      <c r="E662" s="71"/>
      <c r="F662" s="67">
        <f>F661+F660</f>
        <v>22.22</v>
      </c>
      <c r="G662" s="66"/>
      <c r="H662" s="296"/>
      <c r="I662" s="296"/>
    </row>
    <row r="663" spans="1:9">
      <c r="A663" s="493" t="s">
        <v>836</v>
      </c>
      <c r="B663" s="454"/>
      <c r="C663" s="454"/>
      <c r="D663" s="450"/>
      <c r="E663" s="67"/>
      <c r="F663" s="67">
        <f>F662*15%</f>
        <v>3.3329999999999997</v>
      </c>
      <c r="G663" s="66"/>
      <c r="H663" s="296"/>
      <c r="I663" s="296"/>
    </row>
    <row r="664" spans="1:9">
      <c r="A664" s="493" t="s">
        <v>30</v>
      </c>
      <c r="B664" s="454"/>
      <c r="C664" s="454"/>
      <c r="D664" s="450"/>
      <c r="E664" s="71"/>
      <c r="F664" s="191">
        <f>ROUND(F663+F662,2)</f>
        <v>25.55</v>
      </c>
      <c r="G664" s="66"/>
      <c r="H664" s="296"/>
      <c r="I664" s="296"/>
    </row>
    <row r="665" spans="1:9">
      <c r="A665" s="490" t="s">
        <v>847</v>
      </c>
      <c r="B665" s="454"/>
      <c r="C665" s="454"/>
      <c r="D665" s="454"/>
      <c r="E665" s="454"/>
      <c r="F665" s="450"/>
      <c r="G665" s="68" t="s">
        <v>820</v>
      </c>
      <c r="H665" s="297"/>
      <c r="I665" s="297"/>
    </row>
    <row r="666" spans="1:9">
      <c r="A666" s="491">
        <v>9999</v>
      </c>
      <c r="B666" s="491"/>
      <c r="C666" s="484" t="s">
        <v>1624</v>
      </c>
      <c r="D666" s="454"/>
      <c r="E666" s="450"/>
      <c r="F666" s="484"/>
      <c r="G666" s="450"/>
      <c r="H666" s="297"/>
      <c r="I666" s="297"/>
    </row>
    <row r="667" spans="1:9">
      <c r="A667" s="457"/>
      <c r="B667" s="457"/>
      <c r="C667" s="66" t="s">
        <v>62</v>
      </c>
      <c r="D667" s="67">
        <v>2.73</v>
      </c>
      <c r="E667" s="67">
        <v>2.12</v>
      </c>
      <c r="F667" s="67">
        <f>D667*E667</f>
        <v>5.7876000000000003</v>
      </c>
      <c r="G667" s="66" t="s">
        <v>851</v>
      </c>
      <c r="H667" s="297"/>
      <c r="I667" s="297"/>
    </row>
    <row r="668" spans="1:9">
      <c r="A668" s="491">
        <v>9999</v>
      </c>
      <c r="B668" s="491"/>
      <c r="C668" s="484" t="s">
        <v>1628</v>
      </c>
      <c r="D668" s="454"/>
      <c r="E668" s="450"/>
      <c r="F668" s="484"/>
      <c r="G668" s="450"/>
      <c r="H668" s="297"/>
      <c r="I668" s="297"/>
    </row>
    <row r="669" spans="1:9">
      <c r="A669" s="457"/>
      <c r="B669" s="457"/>
      <c r="C669" s="66" t="s">
        <v>62</v>
      </c>
      <c r="D669" s="67">
        <v>9.36</v>
      </c>
      <c r="E669" s="67">
        <v>2.12</v>
      </c>
      <c r="F669" s="67">
        <f>D669*E669</f>
        <v>19.8432</v>
      </c>
      <c r="G669" s="66" t="s">
        <v>854</v>
      </c>
      <c r="H669" s="297"/>
      <c r="I669" s="297"/>
    </row>
    <row r="670" spans="1:9">
      <c r="A670" s="492" t="s">
        <v>30</v>
      </c>
      <c r="B670" s="454"/>
      <c r="C670" s="450"/>
      <c r="D670" s="67">
        <v>1</v>
      </c>
      <c r="E670" s="70" t="s">
        <v>1107</v>
      </c>
      <c r="F670" s="67">
        <f>F669+F667</f>
        <v>25.630800000000001</v>
      </c>
      <c r="G670" s="341"/>
      <c r="H670" s="297"/>
      <c r="I670" s="297"/>
    </row>
    <row r="671" spans="1:9">
      <c r="A671" s="492" t="s">
        <v>826</v>
      </c>
      <c r="B671" s="454"/>
      <c r="C671" s="450"/>
      <c r="D671" s="67">
        <v>1</v>
      </c>
      <c r="E671" s="70" t="s">
        <v>1107</v>
      </c>
      <c r="F671" s="67">
        <f>F670/D670</f>
        <v>25.630800000000001</v>
      </c>
      <c r="G671" s="341"/>
      <c r="H671" s="297"/>
      <c r="I671" s="297"/>
    </row>
    <row r="672" spans="1:9">
      <c r="A672" s="493" t="s">
        <v>829</v>
      </c>
      <c r="B672" s="454"/>
      <c r="C672" s="454"/>
      <c r="D672" s="450"/>
      <c r="E672" s="67">
        <v>44.63</v>
      </c>
      <c r="F672" s="67">
        <f>F671*1%</f>
        <v>0.25630800000000004</v>
      </c>
      <c r="G672" s="341"/>
      <c r="H672" s="297"/>
      <c r="I672" s="297"/>
    </row>
    <row r="673" spans="1:9">
      <c r="A673" s="493" t="s">
        <v>30</v>
      </c>
      <c r="B673" s="454"/>
      <c r="C673" s="454"/>
      <c r="D673" s="450"/>
      <c r="E673" s="341"/>
      <c r="F673" s="67">
        <f>F672+F671</f>
        <v>25.887108000000001</v>
      </c>
      <c r="G673" s="341"/>
      <c r="H673" s="297"/>
      <c r="I673" s="297"/>
    </row>
    <row r="674" spans="1:9">
      <c r="A674" s="493" t="s">
        <v>836</v>
      </c>
      <c r="B674" s="454"/>
      <c r="C674" s="454"/>
      <c r="D674" s="450"/>
      <c r="E674" s="67">
        <v>45.08</v>
      </c>
      <c r="F674" s="67">
        <f>F673*15%</f>
        <v>3.8830662</v>
      </c>
      <c r="G674" s="341"/>
      <c r="H674" s="297"/>
      <c r="I674" s="297"/>
    </row>
    <row r="675" spans="1:9">
      <c r="A675" s="493" t="s">
        <v>30</v>
      </c>
      <c r="B675" s="454"/>
      <c r="C675" s="454"/>
      <c r="D675" s="450"/>
      <c r="E675" s="341"/>
      <c r="F675" s="191">
        <f>ROUND(F674+F673,2)</f>
        <v>29.77</v>
      </c>
      <c r="G675" s="341"/>
      <c r="H675" s="297"/>
      <c r="I675" s="297"/>
    </row>
    <row r="676" spans="1:9">
      <c r="A676" s="594" t="str">
        <f>CONCATENATE("Say ₹ ",F664," + ",F675," x Cost Index")</f>
        <v>Say ₹ 25.55 + 29.77 x Cost Index</v>
      </c>
      <c r="B676" s="454"/>
      <c r="C676" s="454"/>
      <c r="D676" s="454"/>
      <c r="E676" s="454"/>
      <c r="F676" s="454"/>
      <c r="G676" s="450"/>
      <c r="H676" s="297">
        <f>((F658*1.01*1.15))</f>
        <v>25.552999999999997</v>
      </c>
      <c r="I676" s="297">
        <f>((SUM(F667,F669)*1.01*1.15))</f>
        <v>29.7701742</v>
      </c>
    </row>
    <row r="677" spans="1:9">
      <c r="A677" s="486" t="s">
        <v>771</v>
      </c>
      <c r="B677" s="486" t="s">
        <v>776</v>
      </c>
      <c r="C677" s="487" t="s">
        <v>4</v>
      </c>
      <c r="D677" s="454"/>
      <c r="E677" s="450"/>
      <c r="F677" s="487" t="s">
        <v>785</v>
      </c>
      <c r="G677" s="450"/>
      <c r="H677" s="297"/>
      <c r="I677" s="297"/>
    </row>
    <row r="678" spans="1:9">
      <c r="A678" s="457"/>
      <c r="B678" s="457"/>
      <c r="C678" s="62" t="s">
        <v>5</v>
      </c>
      <c r="D678" s="62" t="s">
        <v>6</v>
      </c>
      <c r="E678" s="62" t="s">
        <v>336</v>
      </c>
      <c r="F678" s="62" t="s">
        <v>8</v>
      </c>
      <c r="G678" s="62" t="s">
        <v>789</v>
      </c>
      <c r="H678" s="297"/>
      <c r="I678" s="297"/>
    </row>
    <row r="679" spans="1:9">
      <c r="A679" s="612" t="s">
        <v>1909</v>
      </c>
      <c r="B679" s="454"/>
      <c r="C679" s="454"/>
      <c r="D679" s="454"/>
      <c r="E679" s="454"/>
      <c r="F679" s="454"/>
      <c r="G679" s="450"/>
      <c r="H679" s="297"/>
      <c r="I679" s="297"/>
    </row>
    <row r="680" spans="1:9">
      <c r="A680" s="340"/>
      <c r="B680" s="66" t="s">
        <v>795</v>
      </c>
      <c r="C680" s="66" t="s">
        <v>1107</v>
      </c>
      <c r="D680" s="66" t="s">
        <v>798</v>
      </c>
      <c r="E680" s="67">
        <v>1</v>
      </c>
      <c r="F680" s="484"/>
      <c r="G680" s="450"/>
      <c r="H680" s="297"/>
      <c r="I680" s="297"/>
    </row>
    <row r="681" spans="1:9">
      <c r="A681" s="66" t="s">
        <v>800</v>
      </c>
      <c r="B681" s="484" t="s">
        <v>1609</v>
      </c>
      <c r="C681" s="454"/>
      <c r="D681" s="454"/>
      <c r="E681" s="454"/>
      <c r="F681" s="454"/>
      <c r="G681" s="450"/>
      <c r="H681" s="297"/>
      <c r="I681" s="297"/>
    </row>
    <row r="682" spans="1:9">
      <c r="A682" s="490" t="s">
        <v>802</v>
      </c>
      <c r="B682" s="454"/>
      <c r="C682" s="454"/>
      <c r="D682" s="454"/>
      <c r="E682" s="454"/>
      <c r="F682" s="450"/>
      <c r="G682" s="68" t="s">
        <v>803</v>
      </c>
      <c r="H682" s="297"/>
      <c r="I682" s="297"/>
    </row>
    <row r="683" spans="1:9">
      <c r="A683" s="491"/>
      <c r="B683" s="491" t="s">
        <v>1910</v>
      </c>
      <c r="C683" s="484" t="s">
        <v>1912</v>
      </c>
      <c r="D683" s="454"/>
      <c r="E683" s="450"/>
      <c r="F683" s="484"/>
      <c r="G683" s="450"/>
      <c r="H683" s="297"/>
      <c r="I683" s="297"/>
    </row>
    <row r="684" spans="1:9">
      <c r="A684" s="457"/>
      <c r="B684" s="457"/>
      <c r="C684" s="66" t="s">
        <v>46</v>
      </c>
      <c r="D684" s="67">
        <v>1</v>
      </c>
      <c r="E684" s="67">
        <v>28</v>
      </c>
      <c r="F684" s="67">
        <f>D684*E684</f>
        <v>28</v>
      </c>
      <c r="G684" s="66" t="s">
        <v>808</v>
      </c>
      <c r="H684" s="297"/>
      <c r="I684" s="297"/>
    </row>
    <row r="685" spans="1:9">
      <c r="A685" s="492" t="s">
        <v>1105</v>
      </c>
      <c r="B685" s="454"/>
      <c r="C685" s="450"/>
      <c r="D685" s="67">
        <v>1</v>
      </c>
      <c r="E685" s="70" t="s">
        <v>1107</v>
      </c>
      <c r="F685" s="67">
        <f>F684</f>
        <v>28</v>
      </c>
      <c r="G685" s="66"/>
      <c r="H685" s="296"/>
      <c r="I685" s="296"/>
    </row>
    <row r="686" spans="1:9">
      <c r="A686" s="492" t="s">
        <v>826</v>
      </c>
      <c r="B686" s="454"/>
      <c r="C686" s="450"/>
      <c r="D686" s="67">
        <v>1</v>
      </c>
      <c r="E686" s="70" t="s">
        <v>1107</v>
      </c>
      <c r="F686" s="67">
        <f>F685/D685</f>
        <v>28</v>
      </c>
      <c r="G686" s="66"/>
      <c r="H686" s="296"/>
      <c r="I686" s="296"/>
    </row>
    <row r="687" spans="1:9">
      <c r="A687" s="493" t="s">
        <v>829</v>
      </c>
      <c r="B687" s="454"/>
      <c r="C687" s="454"/>
      <c r="D687" s="450"/>
      <c r="E687" s="67"/>
      <c r="F687" s="67">
        <f>F686*1%</f>
        <v>0.28000000000000003</v>
      </c>
      <c r="G687" s="66"/>
      <c r="H687" s="296"/>
      <c r="I687" s="296"/>
    </row>
    <row r="688" spans="1:9">
      <c r="A688" s="493" t="s">
        <v>30</v>
      </c>
      <c r="B688" s="454"/>
      <c r="C688" s="454"/>
      <c r="D688" s="450"/>
      <c r="E688" s="71"/>
      <c r="F688" s="67">
        <f>F687+F686</f>
        <v>28.28</v>
      </c>
      <c r="G688" s="66"/>
      <c r="H688" s="296"/>
      <c r="I688" s="296"/>
    </row>
    <row r="689" spans="1:9">
      <c r="A689" s="493" t="s">
        <v>836</v>
      </c>
      <c r="B689" s="454"/>
      <c r="C689" s="454"/>
      <c r="D689" s="450"/>
      <c r="E689" s="67"/>
      <c r="F689" s="67">
        <f>F688*15%</f>
        <v>4.242</v>
      </c>
      <c r="G689" s="66"/>
      <c r="H689" s="296"/>
      <c r="I689" s="296"/>
    </row>
    <row r="690" spans="1:9">
      <c r="A690" s="493" t="s">
        <v>30</v>
      </c>
      <c r="B690" s="454"/>
      <c r="C690" s="454"/>
      <c r="D690" s="450"/>
      <c r="E690" s="71"/>
      <c r="F690" s="191">
        <f>ROUND(F689+F688,2)</f>
        <v>32.520000000000003</v>
      </c>
      <c r="G690" s="66"/>
      <c r="H690" s="296"/>
      <c r="I690" s="296"/>
    </row>
    <row r="691" spans="1:9">
      <c r="A691" s="490" t="s">
        <v>847</v>
      </c>
      <c r="B691" s="454"/>
      <c r="C691" s="454"/>
      <c r="D691" s="454"/>
      <c r="E691" s="454"/>
      <c r="F691" s="450"/>
      <c r="G691" s="68" t="s">
        <v>820</v>
      </c>
      <c r="H691" s="297"/>
      <c r="I691" s="297"/>
    </row>
    <row r="692" spans="1:9">
      <c r="A692" s="491">
        <v>9999</v>
      </c>
      <c r="B692" s="491"/>
      <c r="C692" s="484" t="s">
        <v>1624</v>
      </c>
      <c r="D692" s="454"/>
      <c r="E692" s="450"/>
      <c r="F692" s="484"/>
      <c r="G692" s="450"/>
      <c r="H692" s="297"/>
      <c r="I692" s="297"/>
    </row>
    <row r="693" spans="1:9">
      <c r="A693" s="457"/>
      <c r="B693" s="457"/>
      <c r="C693" s="66" t="s">
        <v>62</v>
      </c>
      <c r="D693" s="67">
        <v>2.73</v>
      </c>
      <c r="E693" s="67">
        <v>2.12</v>
      </c>
      <c r="F693" s="67">
        <f>D693*E693</f>
        <v>5.7876000000000003</v>
      </c>
      <c r="G693" s="66" t="s">
        <v>851</v>
      </c>
      <c r="H693" s="297"/>
      <c r="I693" s="297"/>
    </row>
    <row r="694" spans="1:9">
      <c r="A694" s="491">
        <v>9999</v>
      </c>
      <c r="B694" s="491"/>
      <c r="C694" s="484" t="s">
        <v>1628</v>
      </c>
      <c r="D694" s="454"/>
      <c r="E694" s="450"/>
      <c r="F694" s="484"/>
      <c r="G694" s="450"/>
      <c r="H694" s="297"/>
      <c r="I694" s="297"/>
    </row>
    <row r="695" spans="1:9">
      <c r="A695" s="457"/>
      <c r="B695" s="457"/>
      <c r="C695" s="66" t="s">
        <v>62</v>
      </c>
      <c r="D695" s="67">
        <v>9.36</v>
      </c>
      <c r="E695" s="67">
        <v>2.12</v>
      </c>
      <c r="F695" s="67">
        <f>D695*E695</f>
        <v>19.8432</v>
      </c>
      <c r="G695" s="66" t="s">
        <v>854</v>
      </c>
      <c r="H695" s="297"/>
      <c r="I695" s="297"/>
    </row>
    <row r="696" spans="1:9">
      <c r="A696" s="492" t="s">
        <v>30</v>
      </c>
      <c r="B696" s="454"/>
      <c r="C696" s="450"/>
      <c r="D696" s="67">
        <v>1</v>
      </c>
      <c r="E696" s="70" t="s">
        <v>1107</v>
      </c>
      <c r="F696" s="67">
        <f>F695+F693</f>
        <v>25.630800000000001</v>
      </c>
      <c r="G696" s="341"/>
      <c r="H696" s="297"/>
      <c r="I696" s="297"/>
    </row>
    <row r="697" spans="1:9">
      <c r="A697" s="492" t="s">
        <v>826</v>
      </c>
      <c r="B697" s="454"/>
      <c r="C697" s="450"/>
      <c r="D697" s="67">
        <v>1</v>
      </c>
      <c r="E697" s="70" t="s">
        <v>1107</v>
      </c>
      <c r="F697" s="67">
        <f>F696/D696</f>
        <v>25.630800000000001</v>
      </c>
      <c r="G697" s="341"/>
      <c r="H697" s="297"/>
      <c r="I697" s="297"/>
    </row>
    <row r="698" spans="1:9">
      <c r="A698" s="493" t="s">
        <v>829</v>
      </c>
      <c r="B698" s="454"/>
      <c r="C698" s="454"/>
      <c r="D698" s="450"/>
      <c r="E698" s="67">
        <v>44.63</v>
      </c>
      <c r="F698" s="67">
        <f>F697*1%</f>
        <v>0.25630800000000004</v>
      </c>
      <c r="G698" s="341"/>
      <c r="H698" s="297"/>
      <c r="I698" s="297"/>
    </row>
    <row r="699" spans="1:9">
      <c r="A699" s="493" t="s">
        <v>30</v>
      </c>
      <c r="B699" s="454"/>
      <c r="C699" s="454"/>
      <c r="D699" s="450"/>
      <c r="E699" s="341"/>
      <c r="F699" s="67">
        <f>F698+F697</f>
        <v>25.887108000000001</v>
      </c>
      <c r="G699" s="341"/>
      <c r="H699" s="297"/>
      <c r="I699" s="297"/>
    </row>
    <row r="700" spans="1:9">
      <c r="A700" s="493" t="s">
        <v>836</v>
      </c>
      <c r="B700" s="454"/>
      <c r="C700" s="454"/>
      <c r="D700" s="450"/>
      <c r="E700" s="67">
        <v>45.08</v>
      </c>
      <c r="F700" s="67">
        <f>F699*15%</f>
        <v>3.8830662</v>
      </c>
      <c r="G700" s="341"/>
      <c r="H700" s="297"/>
      <c r="I700" s="297"/>
    </row>
    <row r="701" spans="1:9">
      <c r="A701" s="493" t="s">
        <v>30</v>
      </c>
      <c r="B701" s="454"/>
      <c r="C701" s="454"/>
      <c r="D701" s="450"/>
      <c r="E701" s="341"/>
      <c r="F701" s="191">
        <f>ROUND(F700+F699,2)</f>
        <v>29.77</v>
      </c>
      <c r="G701" s="341"/>
      <c r="H701" s="297"/>
      <c r="I701" s="297"/>
    </row>
    <row r="702" spans="1:9">
      <c r="A702" s="594" t="str">
        <f>CONCATENATE("Say ₹ ",F690," + ",F701," x Cost Index")</f>
        <v>Say ₹ 32.52 + 29.77 x Cost Index</v>
      </c>
      <c r="B702" s="454"/>
      <c r="C702" s="454"/>
      <c r="D702" s="454"/>
      <c r="E702" s="454"/>
      <c r="F702" s="454"/>
      <c r="G702" s="450"/>
      <c r="H702" s="297">
        <f>((F684*1.01*1.15))</f>
        <v>32.521999999999998</v>
      </c>
      <c r="I702" s="297">
        <f>((SUM(F693,F695)*1.01*1.15))</f>
        <v>29.7701742</v>
      </c>
    </row>
    <row r="703" spans="1:9">
      <c r="A703" s="486" t="s">
        <v>771</v>
      </c>
      <c r="B703" s="486" t="s">
        <v>776</v>
      </c>
      <c r="C703" s="487" t="s">
        <v>4</v>
      </c>
      <c r="D703" s="454"/>
      <c r="E703" s="450"/>
      <c r="F703" s="487" t="s">
        <v>785</v>
      </c>
      <c r="G703" s="450"/>
      <c r="H703" s="297"/>
      <c r="I703" s="297"/>
    </row>
    <row r="704" spans="1:9">
      <c r="A704" s="457"/>
      <c r="B704" s="457"/>
      <c r="C704" s="62" t="s">
        <v>5</v>
      </c>
      <c r="D704" s="62" t="s">
        <v>6</v>
      </c>
      <c r="E704" s="62" t="s">
        <v>336</v>
      </c>
      <c r="F704" s="62" t="s">
        <v>8</v>
      </c>
      <c r="G704" s="62" t="s">
        <v>789</v>
      </c>
      <c r="H704" s="297"/>
      <c r="I704" s="297"/>
    </row>
    <row r="705" spans="1:9">
      <c r="A705" s="612" t="s">
        <v>1919</v>
      </c>
      <c r="B705" s="454"/>
      <c r="C705" s="454"/>
      <c r="D705" s="454"/>
      <c r="E705" s="454"/>
      <c r="F705" s="454"/>
      <c r="G705" s="450"/>
      <c r="H705" s="297"/>
      <c r="I705" s="297"/>
    </row>
    <row r="706" spans="1:9">
      <c r="A706" s="340"/>
      <c r="B706" s="66" t="s">
        <v>795</v>
      </c>
      <c r="C706" s="66" t="s">
        <v>1107</v>
      </c>
      <c r="D706" s="66" t="s">
        <v>798</v>
      </c>
      <c r="E706" s="67">
        <v>1</v>
      </c>
      <c r="F706" s="484"/>
      <c r="G706" s="450"/>
      <c r="H706" s="297"/>
      <c r="I706" s="297"/>
    </row>
    <row r="707" spans="1:9">
      <c r="A707" s="66" t="s">
        <v>800</v>
      </c>
      <c r="B707" s="484" t="s">
        <v>1609</v>
      </c>
      <c r="C707" s="454"/>
      <c r="D707" s="454"/>
      <c r="E707" s="454"/>
      <c r="F707" s="454"/>
      <c r="G707" s="450"/>
      <c r="H707" s="297"/>
      <c r="I707" s="297"/>
    </row>
    <row r="708" spans="1:9">
      <c r="A708" s="490" t="s">
        <v>802</v>
      </c>
      <c r="B708" s="454"/>
      <c r="C708" s="454"/>
      <c r="D708" s="454"/>
      <c r="E708" s="454"/>
      <c r="F708" s="450"/>
      <c r="G708" s="68" t="s">
        <v>803</v>
      </c>
      <c r="H708" s="297"/>
      <c r="I708" s="297"/>
    </row>
    <row r="709" spans="1:9">
      <c r="A709" s="491"/>
      <c r="B709" s="491" t="s">
        <v>1921</v>
      </c>
      <c r="C709" s="484" t="s">
        <v>1922</v>
      </c>
      <c r="D709" s="454"/>
      <c r="E709" s="450"/>
      <c r="F709" s="484"/>
      <c r="G709" s="450"/>
      <c r="H709" s="297"/>
      <c r="I709" s="297"/>
    </row>
    <row r="710" spans="1:9">
      <c r="A710" s="457"/>
      <c r="B710" s="457"/>
      <c r="C710" s="66" t="s">
        <v>46</v>
      </c>
      <c r="D710" s="67">
        <v>1</v>
      </c>
      <c r="E710" s="67">
        <v>56</v>
      </c>
      <c r="F710" s="67">
        <f>D710*E710</f>
        <v>56</v>
      </c>
      <c r="G710" s="66" t="s">
        <v>808</v>
      </c>
      <c r="H710" s="297"/>
      <c r="I710" s="297"/>
    </row>
    <row r="711" spans="1:9">
      <c r="A711" s="492" t="s">
        <v>1105</v>
      </c>
      <c r="B711" s="454"/>
      <c r="C711" s="450"/>
      <c r="D711" s="67">
        <v>1</v>
      </c>
      <c r="E711" s="70" t="s">
        <v>1107</v>
      </c>
      <c r="F711" s="67">
        <f>F710</f>
        <v>56</v>
      </c>
      <c r="G711" s="66"/>
      <c r="H711" s="296"/>
      <c r="I711" s="296"/>
    </row>
    <row r="712" spans="1:9">
      <c r="A712" s="492" t="s">
        <v>826</v>
      </c>
      <c r="B712" s="454"/>
      <c r="C712" s="450"/>
      <c r="D712" s="67">
        <v>1</v>
      </c>
      <c r="E712" s="70" t="s">
        <v>1107</v>
      </c>
      <c r="F712" s="67">
        <f>F711/D711</f>
        <v>56</v>
      </c>
      <c r="G712" s="66"/>
      <c r="H712" s="296"/>
      <c r="I712" s="296"/>
    </row>
    <row r="713" spans="1:9">
      <c r="A713" s="493" t="s">
        <v>829</v>
      </c>
      <c r="B713" s="454"/>
      <c r="C713" s="454"/>
      <c r="D713" s="450"/>
      <c r="E713" s="67"/>
      <c r="F713" s="67">
        <f>F712*1%</f>
        <v>0.56000000000000005</v>
      </c>
      <c r="G713" s="66"/>
      <c r="H713" s="296"/>
      <c r="I713" s="296"/>
    </row>
    <row r="714" spans="1:9">
      <c r="A714" s="493" t="s">
        <v>30</v>
      </c>
      <c r="B714" s="454"/>
      <c r="C714" s="454"/>
      <c r="D714" s="450"/>
      <c r="E714" s="71"/>
      <c r="F714" s="67">
        <f>F713+F712</f>
        <v>56.56</v>
      </c>
      <c r="G714" s="66"/>
      <c r="H714" s="296"/>
      <c r="I714" s="296"/>
    </row>
    <row r="715" spans="1:9">
      <c r="A715" s="493" t="s">
        <v>836</v>
      </c>
      <c r="B715" s="454"/>
      <c r="C715" s="454"/>
      <c r="D715" s="450"/>
      <c r="E715" s="67"/>
      <c r="F715" s="67">
        <f>F714*15%</f>
        <v>8.484</v>
      </c>
      <c r="G715" s="66"/>
      <c r="H715" s="296"/>
      <c r="I715" s="296"/>
    </row>
    <row r="716" spans="1:9">
      <c r="A716" s="493" t="s">
        <v>30</v>
      </c>
      <c r="B716" s="454"/>
      <c r="C716" s="454"/>
      <c r="D716" s="450"/>
      <c r="E716" s="71"/>
      <c r="F716" s="191">
        <f>ROUND(F715+F714,2)</f>
        <v>65.040000000000006</v>
      </c>
      <c r="G716" s="66"/>
      <c r="H716" s="296"/>
      <c r="I716" s="296"/>
    </row>
    <row r="717" spans="1:9">
      <c r="A717" s="490" t="s">
        <v>847</v>
      </c>
      <c r="B717" s="454"/>
      <c r="C717" s="454"/>
      <c r="D717" s="454"/>
      <c r="E717" s="454"/>
      <c r="F717" s="450"/>
      <c r="G717" s="68" t="s">
        <v>820</v>
      </c>
      <c r="H717" s="297"/>
      <c r="I717" s="297"/>
    </row>
    <row r="718" spans="1:9">
      <c r="A718" s="491">
        <v>9999</v>
      </c>
      <c r="B718" s="491"/>
      <c r="C718" s="484" t="s">
        <v>1624</v>
      </c>
      <c r="D718" s="454"/>
      <c r="E718" s="450"/>
      <c r="F718" s="484"/>
      <c r="G718" s="450"/>
      <c r="H718" s="297"/>
      <c r="I718" s="297"/>
    </row>
    <row r="719" spans="1:9">
      <c r="A719" s="457"/>
      <c r="B719" s="457"/>
      <c r="C719" s="66" t="s">
        <v>62</v>
      </c>
      <c r="D719" s="67">
        <v>2.73</v>
      </c>
      <c r="E719" s="67">
        <v>2.12</v>
      </c>
      <c r="F719" s="67">
        <f>D719*E719</f>
        <v>5.7876000000000003</v>
      </c>
      <c r="G719" s="66" t="s">
        <v>851</v>
      </c>
      <c r="H719" s="297"/>
      <c r="I719" s="297"/>
    </row>
    <row r="720" spans="1:9">
      <c r="A720" s="491">
        <v>9999</v>
      </c>
      <c r="B720" s="491"/>
      <c r="C720" s="484" t="s">
        <v>1628</v>
      </c>
      <c r="D720" s="454"/>
      <c r="E720" s="450"/>
      <c r="F720" s="484"/>
      <c r="G720" s="450"/>
      <c r="H720" s="297"/>
      <c r="I720" s="297"/>
    </row>
    <row r="721" spans="1:9">
      <c r="A721" s="457"/>
      <c r="B721" s="457"/>
      <c r="C721" s="66" t="s">
        <v>62</v>
      </c>
      <c r="D721" s="67">
        <v>10.79</v>
      </c>
      <c r="E721" s="67">
        <v>2.12</v>
      </c>
      <c r="F721" s="67">
        <f>D721*E721</f>
        <v>22.8748</v>
      </c>
      <c r="G721" s="66" t="s">
        <v>854</v>
      </c>
      <c r="H721" s="297"/>
      <c r="I721" s="297"/>
    </row>
    <row r="722" spans="1:9">
      <c r="A722" s="492" t="s">
        <v>30</v>
      </c>
      <c r="B722" s="454"/>
      <c r="C722" s="450"/>
      <c r="D722" s="67">
        <v>1</v>
      </c>
      <c r="E722" s="70" t="s">
        <v>1107</v>
      </c>
      <c r="F722" s="67">
        <f>F721+F719</f>
        <v>28.662400000000002</v>
      </c>
      <c r="G722" s="341"/>
      <c r="H722" s="297"/>
      <c r="I722" s="297"/>
    </row>
    <row r="723" spans="1:9">
      <c r="A723" s="492" t="s">
        <v>826</v>
      </c>
      <c r="B723" s="454"/>
      <c r="C723" s="450"/>
      <c r="D723" s="67">
        <v>1</v>
      </c>
      <c r="E723" s="70" t="s">
        <v>1107</v>
      </c>
      <c r="F723" s="67">
        <f>F722/D722</f>
        <v>28.662400000000002</v>
      </c>
      <c r="G723" s="341"/>
      <c r="H723" s="297"/>
      <c r="I723" s="297"/>
    </row>
    <row r="724" spans="1:9">
      <c r="A724" s="493" t="s">
        <v>829</v>
      </c>
      <c r="B724" s="454"/>
      <c r="C724" s="454"/>
      <c r="D724" s="450"/>
      <c r="E724" s="67">
        <v>44.63</v>
      </c>
      <c r="F724" s="67">
        <f>F723*1%</f>
        <v>0.28662400000000005</v>
      </c>
      <c r="G724" s="341"/>
      <c r="H724" s="297"/>
      <c r="I724" s="297"/>
    </row>
    <row r="725" spans="1:9">
      <c r="A725" s="493" t="s">
        <v>30</v>
      </c>
      <c r="B725" s="454"/>
      <c r="C725" s="454"/>
      <c r="D725" s="450"/>
      <c r="E725" s="341"/>
      <c r="F725" s="67">
        <f>F724+F723</f>
        <v>28.949024000000001</v>
      </c>
      <c r="G725" s="169"/>
      <c r="H725" s="297"/>
      <c r="I725" s="297"/>
    </row>
    <row r="726" spans="1:9">
      <c r="A726" s="493" t="s">
        <v>836</v>
      </c>
      <c r="B726" s="454"/>
      <c r="C726" s="454"/>
      <c r="D726" s="450"/>
      <c r="E726" s="67">
        <v>45.08</v>
      </c>
      <c r="F726" s="67">
        <f>F725*15%</f>
        <v>4.3423536</v>
      </c>
      <c r="G726" s="341"/>
      <c r="H726" s="297"/>
      <c r="I726" s="297"/>
    </row>
    <row r="727" spans="1:9">
      <c r="A727" s="493" t="s">
        <v>30</v>
      </c>
      <c r="B727" s="454"/>
      <c r="C727" s="454"/>
      <c r="D727" s="450"/>
      <c r="E727" s="341"/>
      <c r="F727" s="191">
        <f>ROUND(F726+F725,2)</f>
        <v>33.29</v>
      </c>
      <c r="G727" s="341"/>
      <c r="H727" s="297"/>
      <c r="I727" s="297"/>
    </row>
    <row r="728" spans="1:9">
      <c r="A728" s="594" t="str">
        <f>CONCATENATE("Say ₹ ",F716," + ",F727," x Cost Index")</f>
        <v>Say ₹ 65.04 + 33.29 x Cost Index</v>
      </c>
      <c r="B728" s="454"/>
      <c r="C728" s="454"/>
      <c r="D728" s="454"/>
      <c r="E728" s="454"/>
      <c r="F728" s="454"/>
      <c r="G728" s="450"/>
      <c r="H728" s="297">
        <f>((F710*1.01*1.15))</f>
        <v>65.043999999999997</v>
      </c>
      <c r="I728" s="297">
        <f>((SUM(F719,F721)*1.01*1.15))</f>
        <v>33.291377599999997</v>
      </c>
    </row>
  </sheetData>
  <mergeCells count="952">
    <mergeCell ref="A644:C644"/>
    <mergeCell ref="A645:C645"/>
    <mergeCell ref="A646:D646"/>
    <mergeCell ref="C657:E657"/>
    <mergeCell ref="F657:G657"/>
    <mergeCell ref="C666:E666"/>
    <mergeCell ref="F666:G666"/>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51:A652"/>
    <mergeCell ref="B651:B652"/>
    <mergeCell ref="F651:G651"/>
    <mergeCell ref="C651:E651"/>
    <mergeCell ref="A653:G653"/>
    <mergeCell ref="F654:G654"/>
    <mergeCell ref="B655:G655"/>
    <mergeCell ref="A656:F656"/>
    <mergeCell ref="A657:A658"/>
    <mergeCell ref="B657:B658"/>
    <mergeCell ref="A618:C618"/>
    <mergeCell ref="A619:C619"/>
    <mergeCell ref="A620:D620"/>
    <mergeCell ref="C631:E631"/>
    <mergeCell ref="F631:G631"/>
    <mergeCell ref="A647:D647"/>
    <mergeCell ref="A648:D648"/>
    <mergeCell ref="A649:D649"/>
    <mergeCell ref="A650:D650"/>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C605:E605"/>
    <mergeCell ref="F605:G605"/>
    <mergeCell ref="C599:E599"/>
    <mergeCell ref="A601:G601"/>
    <mergeCell ref="F602:G602"/>
    <mergeCell ref="B603:G603"/>
    <mergeCell ref="A604:F604"/>
    <mergeCell ref="A605:A606"/>
    <mergeCell ref="B605:B606"/>
    <mergeCell ref="A592:C592"/>
    <mergeCell ref="A593:C593"/>
    <mergeCell ref="A594:D594"/>
    <mergeCell ref="A595:D595"/>
    <mergeCell ref="A596:D596"/>
    <mergeCell ref="A597:D597"/>
    <mergeCell ref="A598:G598"/>
    <mergeCell ref="A599:A600"/>
    <mergeCell ref="B599:B600"/>
    <mergeCell ref="F599:G599"/>
    <mergeCell ref="C579:E579"/>
    <mergeCell ref="F579:G579"/>
    <mergeCell ref="C588:E588"/>
    <mergeCell ref="F588:G588"/>
    <mergeCell ref="C590:E590"/>
    <mergeCell ref="F590:G590"/>
    <mergeCell ref="A588:A589"/>
    <mergeCell ref="B588:B589"/>
    <mergeCell ref="A590:A591"/>
    <mergeCell ref="B590:B59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40:C540"/>
    <mergeCell ref="A541:C541"/>
    <mergeCell ref="A542:D542"/>
    <mergeCell ref="C553:E553"/>
    <mergeCell ref="F553:G553"/>
    <mergeCell ref="C562:E562"/>
    <mergeCell ref="F562:G562"/>
    <mergeCell ref="F573:G573"/>
    <mergeCell ref="A575:G575"/>
    <mergeCell ref="A569:D569"/>
    <mergeCell ref="A570:D570"/>
    <mergeCell ref="A571:D571"/>
    <mergeCell ref="A572:G572"/>
    <mergeCell ref="A573:A574"/>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17:D517"/>
    <mergeCell ref="A518:D518"/>
    <mergeCell ref="A519:D519"/>
    <mergeCell ref="A520:G520"/>
    <mergeCell ref="A521:A522"/>
    <mergeCell ref="B521:B522"/>
    <mergeCell ref="F521:G521"/>
    <mergeCell ref="C521:E521"/>
    <mergeCell ref="A523:G523"/>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F576:G576"/>
    <mergeCell ref="B577:G577"/>
    <mergeCell ref="A578:F578"/>
    <mergeCell ref="A579:A580"/>
    <mergeCell ref="B579:B580"/>
    <mergeCell ref="A581:C581"/>
    <mergeCell ref="C677:E677"/>
    <mergeCell ref="A671:C671"/>
    <mergeCell ref="A672:D672"/>
    <mergeCell ref="A673:D673"/>
    <mergeCell ref="A674:D674"/>
    <mergeCell ref="A675:D675"/>
    <mergeCell ref="A676:G676"/>
    <mergeCell ref="A677:A678"/>
    <mergeCell ref="C683:E683"/>
    <mergeCell ref="F683:G683"/>
    <mergeCell ref="A725:D725"/>
    <mergeCell ref="A726:D726"/>
    <mergeCell ref="A727:D727"/>
    <mergeCell ref="A728:G728"/>
    <mergeCell ref="A718:A719"/>
    <mergeCell ref="B718:B719"/>
    <mergeCell ref="A720:A721"/>
    <mergeCell ref="B720:B721"/>
    <mergeCell ref="A722:C722"/>
    <mergeCell ref="A723:C723"/>
    <mergeCell ref="A724:D724"/>
    <mergeCell ref="C718:E718"/>
    <mergeCell ref="F718:G718"/>
    <mergeCell ref="C720:E720"/>
    <mergeCell ref="F720:G720"/>
    <mergeCell ref="A711:C711"/>
    <mergeCell ref="A712:C712"/>
    <mergeCell ref="A713:D713"/>
    <mergeCell ref="A714:D714"/>
    <mergeCell ref="A715:D715"/>
    <mergeCell ref="A716:D716"/>
    <mergeCell ref="A717:F717"/>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692:E692"/>
    <mergeCell ref="F692:G692"/>
    <mergeCell ref="C694:E694"/>
    <mergeCell ref="F694:G694"/>
    <mergeCell ref="A692:A693"/>
    <mergeCell ref="B692:B693"/>
    <mergeCell ref="A694:A695"/>
    <mergeCell ref="A682:F682"/>
    <mergeCell ref="A683:A684"/>
    <mergeCell ref="B683:B684"/>
    <mergeCell ref="A685:C685"/>
    <mergeCell ref="A686:C686"/>
    <mergeCell ref="A687:D687"/>
    <mergeCell ref="A688:D688"/>
    <mergeCell ref="A689:D689"/>
    <mergeCell ref="A690:D690"/>
    <mergeCell ref="A514:C514"/>
    <mergeCell ref="A515:C515"/>
    <mergeCell ref="A516:D516"/>
    <mergeCell ref="C527:E527"/>
    <mergeCell ref="F527:G527"/>
    <mergeCell ref="F677:G677"/>
    <mergeCell ref="A679:G679"/>
    <mergeCell ref="F680:G680"/>
    <mergeCell ref="B681:G681"/>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495:A496"/>
    <mergeCell ref="B495:B496"/>
    <mergeCell ref="F495:G495"/>
    <mergeCell ref="C501:E501"/>
    <mergeCell ref="F501:G501"/>
    <mergeCell ref="C495:E495"/>
    <mergeCell ref="A497:G497"/>
    <mergeCell ref="F498:G498"/>
    <mergeCell ref="B499:G499"/>
    <mergeCell ref="A500:F500"/>
    <mergeCell ref="A501:A502"/>
    <mergeCell ref="B501:B502"/>
    <mergeCell ref="A410:C410"/>
    <mergeCell ref="A411:C411"/>
    <mergeCell ref="A412:D412"/>
    <mergeCell ref="C423:E423"/>
    <mergeCell ref="F423:G423"/>
    <mergeCell ref="A491:D491"/>
    <mergeCell ref="A492:D492"/>
    <mergeCell ref="A493:D493"/>
    <mergeCell ref="A494:G494"/>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C397:E397"/>
    <mergeCell ref="F397:G397"/>
    <mergeCell ref="C391:E391"/>
    <mergeCell ref="A393:G393"/>
    <mergeCell ref="F394:G394"/>
    <mergeCell ref="B395:G395"/>
    <mergeCell ref="A396:F396"/>
    <mergeCell ref="A397:A398"/>
    <mergeCell ref="B397:B398"/>
    <mergeCell ref="A385:C385"/>
    <mergeCell ref="A386:D386"/>
    <mergeCell ref="A387:D387"/>
    <mergeCell ref="A388:D388"/>
    <mergeCell ref="A389:D389"/>
    <mergeCell ref="A390:G390"/>
    <mergeCell ref="A391:A392"/>
    <mergeCell ref="B391:B392"/>
    <mergeCell ref="F391:G391"/>
    <mergeCell ref="C380:E380"/>
    <mergeCell ref="F380:G380"/>
    <mergeCell ref="C382:E382"/>
    <mergeCell ref="F382:G382"/>
    <mergeCell ref="A380:A381"/>
    <mergeCell ref="B380:B381"/>
    <mergeCell ref="A382:A383"/>
    <mergeCell ref="B382:B383"/>
    <mergeCell ref="A384:C384"/>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F368:G368"/>
    <mergeCell ref="B369:G369"/>
    <mergeCell ref="A370:F370"/>
    <mergeCell ref="A371:A372"/>
    <mergeCell ref="B371:B372"/>
    <mergeCell ref="A373:C373"/>
    <mergeCell ref="A374:C374"/>
    <mergeCell ref="A375:D375"/>
    <mergeCell ref="A376:D376"/>
    <mergeCell ref="C371:E371"/>
    <mergeCell ref="F371:G371"/>
    <mergeCell ref="A332:C332"/>
    <mergeCell ref="A333:C333"/>
    <mergeCell ref="A334:D334"/>
    <mergeCell ref="C345:E345"/>
    <mergeCell ref="F345:G345"/>
    <mergeCell ref="C354:E354"/>
    <mergeCell ref="F354:G354"/>
    <mergeCell ref="F365:G365"/>
    <mergeCell ref="A367:G367"/>
    <mergeCell ref="A364:G364"/>
    <mergeCell ref="A365:A366"/>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9:A340"/>
    <mergeCell ref="B339:B340"/>
    <mergeCell ref="F339:G339"/>
    <mergeCell ref="C339:E339"/>
    <mergeCell ref="A341:G341"/>
    <mergeCell ref="F342:G342"/>
    <mergeCell ref="B343:G343"/>
    <mergeCell ref="A344:F344"/>
    <mergeCell ref="A345:A346"/>
    <mergeCell ref="B345:B346"/>
    <mergeCell ref="A306:C306"/>
    <mergeCell ref="A307:C307"/>
    <mergeCell ref="A308:D308"/>
    <mergeCell ref="C319:E319"/>
    <mergeCell ref="F319:G319"/>
    <mergeCell ref="A335:D335"/>
    <mergeCell ref="A336:D336"/>
    <mergeCell ref="A337:D337"/>
    <mergeCell ref="A338:G338"/>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A297:D297"/>
    <mergeCell ref="A298:D298"/>
    <mergeCell ref="A299:D299"/>
    <mergeCell ref="A300:D300"/>
    <mergeCell ref="A301:F301"/>
    <mergeCell ref="A302:A303"/>
    <mergeCell ref="B302:B303"/>
    <mergeCell ref="A304:A305"/>
    <mergeCell ref="B304:B305"/>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C484:E484"/>
    <mergeCell ref="F484:G484"/>
    <mergeCell ref="C486:E486"/>
    <mergeCell ref="F486:G486"/>
    <mergeCell ref="A484:A485"/>
    <mergeCell ref="B484:B485"/>
    <mergeCell ref="A486:A487"/>
    <mergeCell ref="B486:B487"/>
    <mergeCell ref="A488:C488"/>
    <mergeCell ref="C469:E469"/>
    <mergeCell ref="A463:C463"/>
    <mergeCell ref="A464:D464"/>
    <mergeCell ref="A465:D465"/>
    <mergeCell ref="A466:D466"/>
    <mergeCell ref="A467:D467"/>
    <mergeCell ref="A468:G468"/>
    <mergeCell ref="A469:A470"/>
    <mergeCell ref="C475:E475"/>
    <mergeCell ref="F475:G475"/>
    <mergeCell ref="A475:A476"/>
    <mergeCell ref="B475:B476"/>
    <mergeCell ref="A477:C477"/>
    <mergeCell ref="A478:C478"/>
    <mergeCell ref="A479:D479"/>
    <mergeCell ref="A480:D480"/>
    <mergeCell ref="A481:D481"/>
    <mergeCell ref="A482:D482"/>
    <mergeCell ref="A483:F483"/>
    <mergeCell ref="C449:E449"/>
    <mergeCell ref="F449:G449"/>
    <mergeCell ref="C458:E458"/>
    <mergeCell ref="F458:G458"/>
    <mergeCell ref="F469:G469"/>
    <mergeCell ref="A471:G471"/>
    <mergeCell ref="F472:G472"/>
    <mergeCell ref="B473:G473"/>
    <mergeCell ref="A474:F474"/>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281:C281"/>
    <mergeCell ref="A282:D282"/>
    <mergeCell ref="A439:D439"/>
    <mergeCell ref="A440:D440"/>
    <mergeCell ref="A441:D441"/>
    <mergeCell ref="A442:G442"/>
    <mergeCell ref="A443:A444"/>
    <mergeCell ref="B443:B444"/>
    <mergeCell ref="F443:G443"/>
    <mergeCell ref="C443:E443"/>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276:E276"/>
    <mergeCell ref="F276:G276"/>
    <mergeCell ref="C278:E278"/>
    <mergeCell ref="F278:G278"/>
    <mergeCell ref="A276:A277"/>
    <mergeCell ref="B276:B277"/>
    <mergeCell ref="A278:A279"/>
    <mergeCell ref="B278:B279"/>
    <mergeCell ref="A280:C280"/>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F264:G264"/>
    <mergeCell ref="B265:G265"/>
    <mergeCell ref="A266:F266"/>
    <mergeCell ref="A267:A268"/>
    <mergeCell ref="B267:B268"/>
    <mergeCell ref="A269:C269"/>
    <mergeCell ref="A270:C270"/>
    <mergeCell ref="A271:D271"/>
    <mergeCell ref="A272:D272"/>
    <mergeCell ref="C267:E267"/>
    <mergeCell ref="F267:G267"/>
    <mergeCell ref="A228:C228"/>
    <mergeCell ref="A229:C229"/>
    <mergeCell ref="A230:D230"/>
    <mergeCell ref="C241:E241"/>
    <mergeCell ref="F241:G241"/>
    <mergeCell ref="C250:E250"/>
    <mergeCell ref="F250:G250"/>
    <mergeCell ref="F261:G261"/>
    <mergeCell ref="A263:G263"/>
    <mergeCell ref="A260:G260"/>
    <mergeCell ref="A261:A262"/>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35:A236"/>
    <mergeCell ref="B235:B236"/>
    <mergeCell ref="F235:G235"/>
    <mergeCell ref="C235:E235"/>
    <mergeCell ref="A237:G237"/>
    <mergeCell ref="F238:G238"/>
    <mergeCell ref="B239:G239"/>
    <mergeCell ref="A240:F240"/>
    <mergeCell ref="A241:A242"/>
    <mergeCell ref="B241:B242"/>
    <mergeCell ref="A202:C202"/>
    <mergeCell ref="A203:C203"/>
    <mergeCell ref="A204:D204"/>
    <mergeCell ref="C215:E215"/>
    <mergeCell ref="F215:G215"/>
    <mergeCell ref="A231:D231"/>
    <mergeCell ref="A232:D232"/>
    <mergeCell ref="A233:D233"/>
    <mergeCell ref="A234:G234"/>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C189:E189"/>
    <mergeCell ref="F189:G189"/>
    <mergeCell ref="C183:E183"/>
    <mergeCell ref="A185:G185"/>
    <mergeCell ref="F186:G186"/>
    <mergeCell ref="B187:G187"/>
    <mergeCell ref="A188:F188"/>
    <mergeCell ref="A189:A190"/>
    <mergeCell ref="B189:B190"/>
    <mergeCell ref="A177:C177"/>
    <mergeCell ref="A178:D178"/>
    <mergeCell ref="A179:D179"/>
    <mergeCell ref="A180:D180"/>
    <mergeCell ref="A181:D181"/>
    <mergeCell ref="A182:G182"/>
    <mergeCell ref="A183:A184"/>
    <mergeCell ref="B183:B184"/>
    <mergeCell ref="F183:G183"/>
    <mergeCell ref="C172:E172"/>
    <mergeCell ref="F172:G172"/>
    <mergeCell ref="C174:E174"/>
    <mergeCell ref="F174:G174"/>
    <mergeCell ref="A172:A173"/>
    <mergeCell ref="B172:B173"/>
    <mergeCell ref="A174:A175"/>
    <mergeCell ref="B174:B175"/>
    <mergeCell ref="A176:C176"/>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F160:G160"/>
    <mergeCell ref="B161:G161"/>
    <mergeCell ref="A162:F162"/>
    <mergeCell ref="A163:A164"/>
    <mergeCell ref="B163:B164"/>
    <mergeCell ref="A165:C165"/>
    <mergeCell ref="A166:C166"/>
    <mergeCell ref="A167:D167"/>
    <mergeCell ref="A168:D168"/>
    <mergeCell ref="C163:E163"/>
    <mergeCell ref="F163:G163"/>
    <mergeCell ref="A124:C124"/>
    <mergeCell ref="A125:C125"/>
    <mergeCell ref="A126:D126"/>
    <mergeCell ref="C137:E137"/>
    <mergeCell ref="F137:G137"/>
    <mergeCell ref="C146:E146"/>
    <mergeCell ref="F146:G146"/>
    <mergeCell ref="F157:G157"/>
    <mergeCell ref="A159:G159"/>
    <mergeCell ref="A156:G156"/>
    <mergeCell ref="A157:A158"/>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31:A132"/>
    <mergeCell ref="B131:B132"/>
    <mergeCell ref="F131:G131"/>
    <mergeCell ref="C131:E131"/>
    <mergeCell ref="A133:G133"/>
    <mergeCell ref="F134:G134"/>
    <mergeCell ref="B135:G135"/>
    <mergeCell ref="A136:F136"/>
    <mergeCell ref="A137:A138"/>
    <mergeCell ref="B137:B138"/>
    <mergeCell ref="A98:C98"/>
    <mergeCell ref="A99:C99"/>
    <mergeCell ref="A100:D100"/>
    <mergeCell ref="C111:E111"/>
    <mergeCell ref="F111:G111"/>
    <mergeCell ref="A127:D127"/>
    <mergeCell ref="A128:D128"/>
    <mergeCell ref="A129:D129"/>
    <mergeCell ref="A130:G130"/>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C85:E85"/>
    <mergeCell ref="F85:G85"/>
    <mergeCell ref="C79:E79"/>
    <mergeCell ref="A81:G81"/>
    <mergeCell ref="F82:G82"/>
    <mergeCell ref="B83:G83"/>
    <mergeCell ref="A84:F84"/>
    <mergeCell ref="A85:A86"/>
    <mergeCell ref="B85:B86"/>
    <mergeCell ref="A73:C73"/>
    <mergeCell ref="A74:D74"/>
    <mergeCell ref="A75:D75"/>
    <mergeCell ref="A76:D76"/>
    <mergeCell ref="A77:D77"/>
    <mergeCell ref="A78:G78"/>
    <mergeCell ref="A79:A80"/>
    <mergeCell ref="B79:B80"/>
    <mergeCell ref="F79:G79"/>
    <mergeCell ref="C68:E68"/>
    <mergeCell ref="F68:G68"/>
    <mergeCell ref="C70:E70"/>
    <mergeCell ref="F70:G70"/>
    <mergeCell ref="A68:A69"/>
    <mergeCell ref="B68:B69"/>
    <mergeCell ref="A70:A71"/>
    <mergeCell ref="B70:B71"/>
    <mergeCell ref="A72:C72"/>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B57:G57"/>
    <mergeCell ref="A58:F58"/>
    <mergeCell ref="A59:A60"/>
    <mergeCell ref="B59:B60"/>
    <mergeCell ref="A61:C61"/>
    <mergeCell ref="A62:C62"/>
    <mergeCell ref="A63:D63"/>
    <mergeCell ref="A64:D64"/>
    <mergeCell ref="A65:D65"/>
    <mergeCell ref="C59:E59"/>
    <mergeCell ref="F59:G59"/>
    <mergeCell ref="A21:C21"/>
    <mergeCell ref="A22:D22"/>
    <mergeCell ref="C33:E33"/>
    <mergeCell ref="F33:G33"/>
    <mergeCell ref="C42:E42"/>
    <mergeCell ref="F42:G42"/>
    <mergeCell ref="F53:G53"/>
    <mergeCell ref="A55:G55"/>
    <mergeCell ref="F56:G56"/>
    <mergeCell ref="A53:A54"/>
    <mergeCell ref="A16:A17"/>
    <mergeCell ref="B16:B17"/>
    <mergeCell ref="C16:E16"/>
    <mergeCell ref="F16:G16"/>
    <mergeCell ref="A18:A19"/>
    <mergeCell ref="B18:B19"/>
    <mergeCell ref="C18:E18"/>
    <mergeCell ref="F18:G18"/>
    <mergeCell ref="A20:C20"/>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23:D23"/>
    <mergeCell ref="A24:D24"/>
    <mergeCell ref="A25:D25"/>
    <mergeCell ref="A26:G26"/>
    <mergeCell ref="A27:A28"/>
    <mergeCell ref="B27:B28"/>
    <mergeCell ref="F27:G27"/>
    <mergeCell ref="C27:E27"/>
    <mergeCell ref="A29:G29"/>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58"/>
  <sheetViews>
    <sheetView workbookViewId="0"/>
  </sheetViews>
  <sheetFormatPr defaultColWidth="14.453125" defaultRowHeight="15" customHeight="1"/>
  <cols>
    <col min="6" max="6" width="11.81640625" customWidth="1"/>
    <col min="8" max="9" width="14.453125" hidden="1"/>
  </cols>
  <sheetData>
    <row r="1" spans="1:9">
      <c r="A1" s="486" t="s">
        <v>771</v>
      </c>
      <c r="B1" s="486" t="s">
        <v>776</v>
      </c>
      <c r="C1" s="487" t="s">
        <v>4</v>
      </c>
      <c r="D1" s="454"/>
      <c r="E1" s="450"/>
      <c r="F1" s="487" t="s">
        <v>785</v>
      </c>
      <c r="G1" s="450"/>
      <c r="H1" s="298"/>
      <c r="I1" s="298"/>
    </row>
    <row r="2" spans="1:9">
      <c r="A2" s="457"/>
      <c r="B2" s="457"/>
      <c r="C2" s="62" t="s">
        <v>5</v>
      </c>
      <c r="D2" s="62" t="s">
        <v>6</v>
      </c>
      <c r="E2" s="62" t="s">
        <v>336</v>
      </c>
      <c r="F2" s="62" t="s">
        <v>8</v>
      </c>
      <c r="G2" s="62" t="s">
        <v>789</v>
      </c>
      <c r="H2" s="298"/>
      <c r="I2" s="298"/>
    </row>
    <row r="3" spans="1:9">
      <c r="A3" s="617" t="s">
        <v>1690</v>
      </c>
      <c r="B3" s="454"/>
      <c r="C3" s="454"/>
      <c r="D3" s="454"/>
      <c r="E3" s="454"/>
      <c r="F3" s="454"/>
      <c r="G3" s="450"/>
      <c r="H3" s="298"/>
      <c r="I3" s="298"/>
    </row>
    <row r="4" spans="1:9">
      <c r="A4" s="65"/>
      <c r="B4" s="66" t="s">
        <v>795</v>
      </c>
      <c r="C4" s="66" t="s">
        <v>21</v>
      </c>
      <c r="D4" s="66" t="s">
        <v>798</v>
      </c>
      <c r="E4" s="67">
        <v>10</v>
      </c>
      <c r="F4" s="484"/>
      <c r="G4" s="450"/>
      <c r="H4" s="298"/>
      <c r="I4" s="298"/>
    </row>
    <row r="5" spans="1:9">
      <c r="A5" s="66" t="s">
        <v>800</v>
      </c>
      <c r="B5" s="484" t="s">
        <v>1693</v>
      </c>
      <c r="C5" s="454"/>
      <c r="D5" s="454"/>
      <c r="E5" s="454"/>
      <c r="F5" s="454"/>
      <c r="G5" s="450"/>
      <c r="H5" s="298"/>
      <c r="I5" s="298"/>
    </row>
    <row r="6" spans="1:9">
      <c r="A6" s="490" t="s">
        <v>802</v>
      </c>
      <c r="B6" s="454"/>
      <c r="C6" s="454"/>
      <c r="D6" s="454"/>
      <c r="E6" s="454"/>
      <c r="F6" s="450"/>
      <c r="G6" s="68" t="s">
        <v>803</v>
      </c>
      <c r="H6" s="298"/>
      <c r="I6" s="298"/>
    </row>
    <row r="7" spans="1:9">
      <c r="A7" s="491"/>
      <c r="B7" s="491" t="s">
        <v>1694</v>
      </c>
      <c r="C7" s="484" t="s">
        <v>1695</v>
      </c>
      <c r="D7" s="454"/>
      <c r="E7" s="450"/>
      <c r="F7" s="484"/>
      <c r="G7" s="450"/>
      <c r="H7" s="298"/>
      <c r="I7" s="298"/>
    </row>
    <row r="8" spans="1:9">
      <c r="A8" s="457"/>
      <c r="B8" s="457"/>
      <c r="C8" s="66" t="s">
        <v>21</v>
      </c>
      <c r="D8" s="67">
        <v>13</v>
      </c>
      <c r="E8" s="67">
        <v>38</v>
      </c>
      <c r="F8" s="67">
        <f>D8*E8</f>
        <v>494</v>
      </c>
      <c r="G8" s="66" t="s">
        <v>808</v>
      </c>
      <c r="H8" s="298"/>
      <c r="I8" s="298"/>
    </row>
    <row r="9" spans="1:9">
      <c r="A9" s="492" t="s">
        <v>30</v>
      </c>
      <c r="B9" s="454"/>
      <c r="C9" s="450"/>
      <c r="D9" s="67">
        <v>10</v>
      </c>
      <c r="E9" s="70" t="s">
        <v>21</v>
      </c>
      <c r="F9" s="67">
        <f>F8</f>
        <v>494</v>
      </c>
      <c r="G9" s="66"/>
      <c r="H9" s="298"/>
      <c r="I9" s="298"/>
    </row>
    <row r="10" spans="1:9">
      <c r="A10" s="492" t="s">
        <v>826</v>
      </c>
      <c r="B10" s="454"/>
      <c r="C10" s="450"/>
      <c r="D10" s="67">
        <v>1</v>
      </c>
      <c r="E10" s="70" t="s">
        <v>21</v>
      </c>
      <c r="F10" s="67">
        <f>F9/D9</f>
        <v>49.4</v>
      </c>
      <c r="G10" s="66"/>
      <c r="H10" s="298"/>
      <c r="I10" s="298"/>
    </row>
    <row r="11" spans="1:9">
      <c r="A11" s="493" t="s">
        <v>829</v>
      </c>
      <c r="B11" s="454"/>
      <c r="C11" s="454"/>
      <c r="D11" s="450"/>
      <c r="E11" s="67"/>
      <c r="F11" s="67">
        <f>F10*1%</f>
        <v>0.49399999999999999</v>
      </c>
      <c r="G11" s="66"/>
      <c r="H11" s="298"/>
      <c r="I11" s="298"/>
    </row>
    <row r="12" spans="1:9">
      <c r="A12" s="493" t="s">
        <v>30</v>
      </c>
      <c r="B12" s="454"/>
      <c r="C12" s="454"/>
      <c r="D12" s="450"/>
      <c r="E12" s="71"/>
      <c r="F12" s="67">
        <f>F10+F11</f>
        <v>49.893999999999998</v>
      </c>
      <c r="G12" s="66"/>
      <c r="H12" s="298"/>
      <c r="I12" s="298"/>
    </row>
    <row r="13" spans="1:9">
      <c r="A13" s="493" t="s">
        <v>836</v>
      </c>
      <c r="B13" s="454"/>
      <c r="C13" s="454"/>
      <c r="D13" s="450"/>
      <c r="E13" s="67"/>
      <c r="F13" s="67">
        <f>F12*15%</f>
        <v>7.4840999999999998</v>
      </c>
      <c r="G13" s="66"/>
      <c r="H13" s="298"/>
      <c r="I13" s="298"/>
    </row>
    <row r="14" spans="1:9">
      <c r="A14" s="493" t="s">
        <v>30</v>
      </c>
      <c r="B14" s="454"/>
      <c r="C14" s="454"/>
      <c r="D14" s="450"/>
      <c r="E14" s="71"/>
      <c r="F14" s="191">
        <f>ROUND(F12+F13,2)</f>
        <v>57.38</v>
      </c>
      <c r="G14" s="66"/>
      <c r="H14" s="298"/>
      <c r="I14" s="298"/>
    </row>
    <row r="15" spans="1:9">
      <c r="A15" s="490" t="s">
        <v>819</v>
      </c>
      <c r="B15" s="454"/>
      <c r="C15" s="454"/>
      <c r="D15" s="454"/>
      <c r="E15" s="454"/>
      <c r="F15" s="450"/>
      <c r="G15" s="68" t="s">
        <v>820</v>
      </c>
      <c r="H15" s="298"/>
      <c r="I15" s="298"/>
    </row>
    <row r="16" spans="1:9">
      <c r="A16" s="491">
        <v>116</v>
      </c>
      <c r="B16" s="491"/>
      <c r="C16" s="484" t="s">
        <v>527</v>
      </c>
      <c r="D16" s="454"/>
      <c r="E16" s="450"/>
      <c r="F16" s="484"/>
      <c r="G16" s="450"/>
      <c r="H16" s="298"/>
      <c r="I16" s="298"/>
    </row>
    <row r="17" spans="1:9">
      <c r="A17" s="457"/>
      <c r="B17" s="457"/>
      <c r="C17" s="66" t="s">
        <v>26</v>
      </c>
      <c r="D17" s="67">
        <v>0.33</v>
      </c>
      <c r="E17" s="67">
        <v>784</v>
      </c>
      <c r="F17" s="67">
        <f>D17*E17</f>
        <v>258.72000000000003</v>
      </c>
      <c r="G17" s="66" t="s">
        <v>822</v>
      </c>
      <c r="H17" s="298"/>
      <c r="I17" s="298"/>
    </row>
    <row r="18" spans="1:9">
      <c r="A18" s="491">
        <v>117</v>
      </c>
      <c r="B18" s="491"/>
      <c r="C18" s="484" t="s">
        <v>858</v>
      </c>
      <c r="D18" s="454"/>
      <c r="E18" s="450"/>
      <c r="F18" s="484"/>
      <c r="G18" s="450"/>
      <c r="H18" s="298"/>
      <c r="I18" s="298"/>
    </row>
    <row r="19" spans="1:9">
      <c r="A19" s="457"/>
      <c r="B19" s="457"/>
      <c r="C19" s="66" t="s">
        <v>26</v>
      </c>
      <c r="D19" s="67">
        <v>0.66</v>
      </c>
      <c r="E19" s="67">
        <v>714</v>
      </c>
      <c r="F19" s="67">
        <f>D19*E19</f>
        <v>471.24</v>
      </c>
      <c r="G19" s="66" t="s">
        <v>825</v>
      </c>
      <c r="H19" s="298"/>
      <c r="I19" s="298"/>
    </row>
    <row r="20" spans="1:9">
      <c r="A20" s="491">
        <v>114</v>
      </c>
      <c r="B20" s="491"/>
      <c r="C20" s="484" t="s">
        <v>59</v>
      </c>
      <c r="D20" s="454"/>
      <c r="E20" s="450"/>
      <c r="F20" s="484"/>
      <c r="G20" s="450"/>
      <c r="H20" s="298"/>
      <c r="I20" s="298"/>
    </row>
    <row r="21" spans="1:9">
      <c r="A21" s="457"/>
      <c r="B21" s="457"/>
      <c r="C21" s="66" t="s">
        <v>26</v>
      </c>
      <c r="D21" s="67">
        <v>0.66</v>
      </c>
      <c r="E21" s="67">
        <v>645</v>
      </c>
      <c r="F21" s="67">
        <f>D21*E21</f>
        <v>425.70000000000005</v>
      </c>
      <c r="G21" s="66" t="s">
        <v>837</v>
      </c>
      <c r="H21" s="298"/>
      <c r="I21" s="298"/>
    </row>
    <row r="22" spans="1:9">
      <c r="A22" s="490" t="s">
        <v>838</v>
      </c>
      <c r="B22" s="454"/>
      <c r="C22" s="454"/>
      <c r="D22" s="454"/>
      <c r="E22" s="454"/>
      <c r="F22" s="450"/>
      <c r="G22" s="68" t="s">
        <v>820</v>
      </c>
      <c r="H22" s="298"/>
      <c r="I22" s="298"/>
    </row>
    <row r="23" spans="1:9">
      <c r="A23" s="491">
        <v>18.78</v>
      </c>
      <c r="B23" s="491"/>
      <c r="C23" s="484" t="s">
        <v>1699</v>
      </c>
      <c r="D23" s="454"/>
      <c r="E23" s="450"/>
      <c r="F23" s="484"/>
      <c r="G23" s="450"/>
      <c r="H23" s="298"/>
      <c r="I23" s="298"/>
    </row>
    <row r="24" spans="1:9">
      <c r="A24" s="457"/>
      <c r="B24" s="457"/>
      <c r="C24" s="66" t="s">
        <v>1026</v>
      </c>
      <c r="D24" s="67">
        <v>10</v>
      </c>
      <c r="E24" s="67">
        <v>128.38999999999999</v>
      </c>
      <c r="F24" s="67">
        <f>D24*E24</f>
        <v>1283.8999999999999</v>
      </c>
      <c r="G24" s="66" t="s">
        <v>844</v>
      </c>
      <c r="H24" s="298"/>
      <c r="I24" s="298"/>
    </row>
    <row r="25" spans="1:9">
      <c r="A25" s="492" t="s">
        <v>30</v>
      </c>
      <c r="B25" s="454"/>
      <c r="C25" s="450"/>
      <c r="D25" s="67">
        <v>10</v>
      </c>
      <c r="E25" s="70" t="s">
        <v>21</v>
      </c>
      <c r="F25" s="299">
        <f>F17+F19+F21+F24</f>
        <v>2439.56</v>
      </c>
      <c r="G25" s="71"/>
      <c r="H25" s="298"/>
      <c r="I25" s="298"/>
    </row>
    <row r="26" spans="1:9">
      <c r="A26" s="492" t="s">
        <v>826</v>
      </c>
      <c r="B26" s="454"/>
      <c r="C26" s="450"/>
      <c r="D26" s="67">
        <v>1</v>
      </c>
      <c r="E26" s="70" t="s">
        <v>21</v>
      </c>
      <c r="F26" s="67">
        <f>F25/D25</f>
        <v>243.95599999999999</v>
      </c>
      <c r="G26" s="71"/>
      <c r="H26" s="298"/>
      <c r="I26" s="298"/>
    </row>
    <row r="27" spans="1:9">
      <c r="A27" s="493" t="s">
        <v>829</v>
      </c>
      <c r="B27" s="454"/>
      <c r="C27" s="454"/>
      <c r="D27" s="450"/>
      <c r="E27" s="67"/>
      <c r="F27" s="67">
        <f>F26*1%</f>
        <v>2.4395599999999997</v>
      </c>
      <c r="G27" s="71"/>
      <c r="H27" s="298"/>
      <c r="I27" s="298"/>
    </row>
    <row r="28" spans="1:9">
      <c r="A28" s="493" t="s">
        <v>30</v>
      </c>
      <c r="B28" s="454"/>
      <c r="C28" s="454"/>
      <c r="D28" s="450"/>
      <c r="E28" s="71"/>
      <c r="F28" s="67">
        <f>F26+F27</f>
        <v>246.39555999999999</v>
      </c>
      <c r="G28" s="71"/>
      <c r="H28" s="298"/>
      <c r="I28" s="298"/>
    </row>
    <row r="29" spans="1:9">
      <c r="A29" s="493" t="s">
        <v>836</v>
      </c>
      <c r="B29" s="454"/>
      <c r="C29" s="454"/>
      <c r="D29" s="450"/>
      <c r="E29" s="67"/>
      <c r="F29" s="67">
        <f>F28*15%</f>
        <v>36.959333999999998</v>
      </c>
      <c r="G29" s="71"/>
      <c r="H29" s="298"/>
      <c r="I29" s="298"/>
    </row>
    <row r="30" spans="1:9">
      <c r="A30" s="493" t="s">
        <v>30</v>
      </c>
      <c r="B30" s="454"/>
      <c r="C30" s="454"/>
      <c r="D30" s="450"/>
      <c r="E30" s="71"/>
      <c r="F30" s="191">
        <f>ROUND(F28+F29,2)</f>
        <v>283.35000000000002</v>
      </c>
      <c r="G30" s="71"/>
      <c r="H30" s="298"/>
      <c r="I30" s="298"/>
    </row>
    <row r="31" spans="1:9">
      <c r="A31" s="616" t="str">
        <f>CONCATENATE("Say ₹ ",F14," + ",F30," x Cost Index")</f>
        <v>Say ₹ 57.38 + 283.35 x Cost Index</v>
      </c>
      <c r="B31" s="454"/>
      <c r="C31" s="454"/>
      <c r="D31" s="454"/>
      <c r="E31" s="454"/>
      <c r="F31" s="450"/>
      <c r="G31" s="300" t="s">
        <v>1000</v>
      </c>
      <c r="H31" s="301">
        <f>F8*1.01*1.15/10</f>
        <v>57.378099999999996</v>
      </c>
      <c r="I31" s="301">
        <f>(F17+F19+F21+F24)*1.01*1.15/10</f>
        <v>283.35489399999994</v>
      </c>
    </row>
    <row r="32" spans="1:9">
      <c r="A32" s="486" t="s">
        <v>771</v>
      </c>
      <c r="B32" s="486" t="s">
        <v>776</v>
      </c>
      <c r="C32" s="487" t="s">
        <v>4</v>
      </c>
      <c r="D32" s="454"/>
      <c r="E32" s="450"/>
      <c r="F32" s="487" t="s">
        <v>785</v>
      </c>
      <c r="G32" s="450"/>
      <c r="H32" s="298"/>
      <c r="I32" s="298"/>
    </row>
    <row r="33" spans="1:9">
      <c r="A33" s="457"/>
      <c r="B33" s="457"/>
      <c r="C33" s="62" t="s">
        <v>5</v>
      </c>
      <c r="D33" s="62" t="s">
        <v>6</v>
      </c>
      <c r="E33" s="62" t="s">
        <v>336</v>
      </c>
      <c r="F33" s="62" t="s">
        <v>8</v>
      </c>
      <c r="G33" s="62" t="s">
        <v>789</v>
      </c>
      <c r="H33" s="298"/>
      <c r="I33" s="298"/>
    </row>
    <row r="34" spans="1:9">
      <c r="A34" s="617" t="s">
        <v>1703</v>
      </c>
      <c r="B34" s="454"/>
      <c r="C34" s="454"/>
      <c r="D34" s="454"/>
      <c r="E34" s="454"/>
      <c r="F34" s="454"/>
      <c r="G34" s="450"/>
      <c r="H34" s="298"/>
      <c r="I34" s="298"/>
    </row>
    <row r="35" spans="1:9">
      <c r="A35" s="65"/>
      <c r="B35" s="66" t="s">
        <v>795</v>
      </c>
      <c r="C35" s="66" t="s">
        <v>21</v>
      </c>
      <c r="D35" s="66" t="s">
        <v>798</v>
      </c>
      <c r="E35" s="67">
        <v>10</v>
      </c>
      <c r="F35" s="484"/>
      <c r="G35" s="450"/>
      <c r="H35" s="298"/>
      <c r="I35" s="298"/>
    </row>
    <row r="36" spans="1:9">
      <c r="A36" s="66" t="s">
        <v>800</v>
      </c>
      <c r="B36" s="484" t="s">
        <v>512</v>
      </c>
      <c r="C36" s="454"/>
      <c r="D36" s="454"/>
      <c r="E36" s="454"/>
      <c r="F36" s="454"/>
      <c r="G36" s="450"/>
      <c r="H36" s="298"/>
      <c r="I36" s="298"/>
    </row>
    <row r="37" spans="1:9">
      <c r="A37" s="490" t="s">
        <v>802</v>
      </c>
      <c r="B37" s="454"/>
      <c r="C37" s="454"/>
      <c r="D37" s="454"/>
      <c r="E37" s="454"/>
      <c r="F37" s="450"/>
      <c r="G37" s="68" t="s">
        <v>803</v>
      </c>
      <c r="H37" s="298"/>
      <c r="I37" s="298"/>
    </row>
    <row r="38" spans="1:9">
      <c r="A38" s="491"/>
      <c r="B38" s="491" t="s">
        <v>1704</v>
      </c>
      <c r="C38" s="484" t="s">
        <v>1705</v>
      </c>
      <c r="D38" s="454"/>
      <c r="E38" s="450"/>
      <c r="F38" s="484"/>
      <c r="G38" s="450"/>
      <c r="H38" s="298"/>
      <c r="I38" s="298"/>
    </row>
    <row r="39" spans="1:9">
      <c r="A39" s="457"/>
      <c r="B39" s="457"/>
      <c r="C39" s="66" t="s">
        <v>21</v>
      </c>
      <c r="D39" s="67">
        <v>13</v>
      </c>
      <c r="E39" s="67">
        <v>27</v>
      </c>
      <c r="F39" s="67">
        <f>E39*D39</f>
        <v>351</v>
      </c>
      <c r="G39" s="66" t="s">
        <v>808</v>
      </c>
      <c r="H39" s="298"/>
      <c r="I39" s="298"/>
    </row>
    <row r="40" spans="1:9">
      <c r="A40" s="492" t="s">
        <v>30</v>
      </c>
      <c r="B40" s="454"/>
      <c r="C40" s="450"/>
      <c r="D40" s="67">
        <v>10</v>
      </c>
      <c r="E40" s="70" t="s">
        <v>21</v>
      </c>
      <c r="F40" s="67">
        <f>F39</f>
        <v>351</v>
      </c>
      <c r="G40" s="66"/>
      <c r="H40" s="298"/>
      <c r="I40" s="298"/>
    </row>
    <row r="41" spans="1:9">
      <c r="A41" s="492" t="s">
        <v>826</v>
      </c>
      <c r="B41" s="454"/>
      <c r="C41" s="450"/>
      <c r="D41" s="67">
        <v>1</v>
      </c>
      <c r="E41" s="70" t="s">
        <v>21</v>
      </c>
      <c r="F41" s="67">
        <f>F40/D40</f>
        <v>35.1</v>
      </c>
      <c r="G41" s="66"/>
      <c r="H41" s="298"/>
      <c r="I41" s="298"/>
    </row>
    <row r="42" spans="1:9">
      <c r="A42" s="493" t="s">
        <v>829</v>
      </c>
      <c r="B42" s="454"/>
      <c r="C42" s="454"/>
      <c r="D42" s="450"/>
      <c r="E42" s="67"/>
      <c r="F42" s="67">
        <f>F41*1%</f>
        <v>0.35100000000000003</v>
      </c>
      <c r="G42" s="66"/>
      <c r="H42" s="298"/>
      <c r="I42" s="298"/>
    </row>
    <row r="43" spans="1:9">
      <c r="A43" s="493" t="s">
        <v>30</v>
      </c>
      <c r="B43" s="454"/>
      <c r="C43" s="454"/>
      <c r="D43" s="450"/>
      <c r="E43" s="71"/>
      <c r="F43" s="67">
        <f>F41+F42</f>
        <v>35.451000000000001</v>
      </c>
      <c r="G43" s="66"/>
      <c r="H43" s="298"/>
      <c r="I43" s="298"/>
    </row>
    <row r="44" spans="1:9">
      <c r="A44" s="493" t="s">
        <v>836</v>
      </c>
      <c r="B44" s="454"/>
      <c r="C44" s="454"/>
      <c r="D44" s="450"/>
      <c r="E44" s="67"/>
      <c r="F44" s="67">
        <f>F43*15%</f>
        <v>5.3176499999999995</v>
      </c>
      <c r="G44" s="66"/>
      <c r="H44" s="298"/>
      <c r="I44" s="298"/>
    </row>
    <row r="45" spans="1:9">
      <c r="A45" s="493" t="s">
        <v>30</v>
      </c>
      <c r="B45" s="454"/>
      <c r="C45" s="454"/>
      <c r="D45" s="450"/>
      <c r="E45" s="71"/>
      <c r="F45" s="191">
        <f>ROUND(F43+F44,2)</f>
        <v>40.770000000000003</v>
      </c>
      <c r="G45" s="66"/>
      <c r="H45" s="298"/>
      <c r="I45" s="298"/>
    </row>
    <row r="46" spans="1:9">
      <c r="A46" s="490" t="s">
        <v>819</v>
      </c>
      <c r="B46" s="454"/>
      <c r="C46" s="454"/>
      <c r="D46" s="454"/>
      <c r="E46" s="454"/>
      <c r="F46" s="450"/>
      <c r="G46" s="68" t="s">
        <v>820</v>
      </c>
      <c r="H46" s="298"/>
      <c r="I46" s="298"/>
    </row>
    <row r="47" spans="1:9">
      <c r="A47" s="491">
        <v>116</v>
      </c>
      <c r="B47" s="491"/>
      <c r="C47" s="484" t="s">
        <v>527</v>
      </c>
      <c r="D47" s="454"/>
      <c r="E47" s="450"/>
      <c r="F47" s="484"/>
      <c r="G47" s="450"/>
      <c r="H47" s="298"/>
      <c r="I47" s="298"/>
    </row>
    <row r="48" spans="1:9">
      <c r="A48" s="457"/>
      <c r="B48" s="457"/>
      <c r="C48" s="66" t="s">
        <v>26</v>
      </c>
      <c r="D48" s="67">
        <v>0.33</v>
      </c>
      <c r="E48" s="67">
        <v>784</v>
      </c>
      <c r="F48" s="67">
        <f>E48*D48</f>
        <v>258.72000000000003</v>
      </c>
      <c r="G48" s="66" t="s">
        <v>822</v>
      </c>
      <c r="H48" s="298"/>
      <c r="I48" s="298"/>
    </row>
    <row r="49" spans="1:9">
      <c r="A49" s="491">
        <v>117</v>
      </c>
      <c r="B49" s="491"/>
      <c r="C49" s="484" t="s">
        <v>858</v>
      </c>
      <c r="D49" s="454"/>
      <c r="E49" s="450"/>
      <c r="F49" s="484"/>
      <c r="G49" s="450"/>
      <c r="H49" s="298"/>
      <c r="I49" s="298"/>
    </row>
    <row r="50" spans="1:9">
      <c r="A50" s="457"/>
      <c r="B50" s="457"/>
      <c r="C50" s="66" t="s">
        <v>26</v>
      </c>
      <c r="D50" s="67">
        <v>0.66</v>
      </c>
      <c r="E50" s="67">
        <v>714</v>
      </c>
      <c r="F50" s="67">
        <f>E50*D50</f>
        <v>471.24</v>
      </c>
      <c r="G50" s="66" t="s">
        <v>825</v>
      </c>
      <c r="H50" s="298"/>
      <c r="I50" s="298"/>
    </row>
    <row r="51" spans="1:9">
      <c r="A51" s="491">
        <v>114</v>
      </c>
      <c r="B51" s="491"/>
      <c r="C51" s="484" t="s">
        <v>59</v>
      </c>
      <c r="D51" s="454"/>
      <c r="E51" s="450"/>
      <c r="F51" s="484"/>
      <c r="G51" s="450"/>
      <c r="H51" s="298"/>
      <c r="I51" s="298"/>
    </row>
    <row r="52" spans="1:9">
      <c r="A52" s="457"/>
      <c r="B52" s="457"/>
      <c r="C52" s="66" t="s">
        <v>26</v>
      </c>
      <c r="D52" s="67">
        <v>0.66</v>
      </c>
      <c r="E52" s="67">
        <v>645</v>
      </c>
      <c r="F52" s="67">
        <f>E52*D52</f>
        <v>425.70000000000005</v>
      </c>
      <c r="G52" s="66" t="s">
        <v>837</v>
      </c>
      <c r="H52" s="298"/>
      <c r="I52" s="298"/>
    </row>
    <row r="53" spans="1:9">
      <c r="A53" s="490" t="s">
        <v>838</v>
      </c>
      <c r="B53" s="454"/>
      <c r="C53" s="454"/>
      <c r="D53" s="454"/>
      <c r="E53" s="454"/>
      <c r="F53" s="450"/>
      <c r="G53" s="68" t="s">
        <v>820</v>
      </c>
      <c r="H53" s="298"/>
      <c r="I53" s="298"/>
    </row>
    <row r="54" spans="1:9">
      <c r="A54" s="491">
        <v>18.78</v>
      </c>
      <c r="B54" s="491"/>
      <c r="C54" s="484" t="s">
        <v>1699</v>
      </c>
      <c r="D54" s="454"/>
      <c r="E54" s="450"/>
      <c r="F54" s="484"/>
      <c r="G54" s="450"/>
      <c r="H54" s="298"/>
      <c r="I54" s="298"/>
    </row>
    <row r="55" spans="1:9">
      <c r="A55" s="457"/>
      <c r="B55" s="457"/>
      <c r="C55" s="66" t="s">
        <v>1026</v>
      </c>
      <c r="D55" s="67">
        <v>10</v>
      </c>
      <c r="E55" s="67">
        <v>128.38999999999999</v>
      </c>
      <c r="F55" s="67">
        <f>D55*E55</f>
        <v>1283.8999999999999</v>
      </c>
      <c r="G55" s="66" t="s">
        <v>844</v>
      </c>
      <c r="H55" s="298"/>
      <c r="I55" s="298"/>
    </row>
    <row r="56" spans="1:9">
      <c r="A56" s="492" t="s">
        <v>30</v>
      </c>
      <c r="B56" s="454"/>
      <c r="C56" s="450"/>
      <c r="D56" s="67">
        <v>10</v>
      </c>
      <c r="E56" s="70" t="s">
        <v>21</v>
      </c>
      <c r="F56" s="299">
        <f>F48+F50+F52+F55</f>
        <v>2439.56</v>
      </c>
      <c r="G56" s="71"/>
      <c r="H56" s="298"/>
      <c r="I56" s="298"/>
    </row>
    <row r="57" spans="1:9">
      <c r="A57" s="492" t="s">
        <v>826</v>
      </c>
      <c r="B57" s="454"/>
      <c r="C57" s="450"/>
      <c r="D57" s="67">
        <v>1</v>
      </c>
      <c r="E57" s="70" t="s">
        <v>21</v>
      </c>
      <c r="F57" s="67">
        <f>F56/D56</f>
        <v>243.95599999999999</v>
      </c>
      <c r="G57" s="71"/>
      <c r="H57" s="298"/>
      <c r="I57" s="298"/>
    </row>
    <row r="58" spans="1:9">
      <c r="A58" s="493" t="s">
        <v>829</v>
      </c>
      <c r="B58" s="454"/>
      <c r="C58" s="454"/>
      <c r="D58" s="450"/>
      <c r="E58" s="67"/>
      <c r="F58" s="67">
        <f>F57*1%</f>
        <v>2.4395599999999997</v>
      </c>
      <c r="G58" s="71"/>
      <c r="H58" s="298"/>
      <c r="I58" s="298"/>
    </row>
    <row r="59" spans="1:9">
      <c r="A59" s="493" t="s">
        <v>30</v>
      </c>
      <c r="B59" s="454"/>
      <c r="C59" s="454"/>
      <c r="D59" s="450"/>
      <c r="E59" s="71"/>
      <c r="F59" s="67">
        <f>F57+F58</f>
        <v>246.39555999999999</v>
      </c>
      <c r="G59" s="71"/>
      <c r="H59" s="298"/>
      <c r="I59" s="298"/>
    </row>
    <row r="60" spans="1:9">
      <c r="A60" s="493" t="s">
        <v>836</v>
      </c>
      <c r="B60" s="454"/>
      <c r="C60" s="454"/>
      <c r="D60" s="450"/>
      <c r="E60" s="67"/>
      <c r="F60" s="67">
        <f>F59*15%</f>
        <v>36.959333999999998</v>
      </c>
      <c r="G60" s="71"/>
      <c r="H60" s="298"/>
      <c r="I60" s="298"/>
    </row>
    <row r="61" spans="1:9">
      <c r="A61" s="493" t="s">
        <v>30</v>
      </c>
      <c r="B61" s="454"/>
      <c r="C61" s="454"/>
      <c r="D61" s="450"/>
      <c r="E61" s="71"/>
      <c r="F61" s="191">
        <f>ROUND(F59+F60,2)</f>
        <v>283.35000000000002</v>
      </c>
      <c r="G61" s="71"/>
      <c r="H61" s="298"/>
      <c r="I61" s="298"/>
    </row>
    <row r="62" spans="1:9">
      <c r="A62" s="616" t="str">
        <f>CONCATENATE("Say ₹ ",F45," + ",F61," x Cost Index")</f>
        <v>Say ₹ 40.77 + 283.35 x Cost Index</v>
      </c>
      <c r="B62" s="454"/>
      <c r="C62" s="454"/>
      <c r="D62" s="454"/>
      <c r="E62" s="454"/>
      <c r="F62" s="450"/>
      <c r="G62" s="300" t="s">
        <v>1000</v>
      </c>
      <c r="H62" s="301">
        <f>F39*1.01*1.15/10</f>
        <v>40.768649999999994</v>
      </c>
      <c r="I62" s="301">
        <f>(F48+F50+F52+F55)*1.01*1.15/10</f>
        <v>283.35489399999994</v>
      </c>
    </row>
    <row r="63" spans="1:9">
      <c r="A63" s="486" t="s">
        <v>771</v>
      </c>
      <c r="B63" s="486" t="s">
        <v>776</v>
      </c>
      <c r="C63" s="487" t="s">
        <v>4</v>
      </c>
      <c r="D63" s="454"/>
      <c r="E63" s="450"/>
      <c r="F63" s="487" t="s">
        <v>785</v>
      </c>
      <c r="G63" s="450"/>
      <c r="H63" s="298"/>
      <c r="I63" s="298"/>
    </row>
    <row r="64" spans="1:9">
      <c r="A64" s="457"/>
      <c r="B64" s="457"/>
      <c r="C64" s="62" t="s">
        <v>5</v>
      </c>
      <c r="D64" s="62" t="s">
        <v>6</v>
      </c>
      <c r="E64" s="62" t="s">
        <v>336</v>
      </c>
      <c r="F64" s="62" t="s">
        <v>8</v>
      </c>
      <c r="G64" s="62" t="s">
        <v>789</v>
      </c>
      <c r="H64" s="298"/>
      <c r="I64" s="298"/>
    </row>
    <row r="65" spans="1:9">
      <c r="A65" s="617" t="s">
        <v>1712</v>
      </c>
      <c r="B65" s="454"/>
      <c r="C65" s="454"/>
      <c r="D65" s="454"/>
      <c r="E65" s="454"/>
      <c r="F65" s="454"/>
      <c r="G65" s="450"/>
      <c r="H65" s="298"/>
      <c r="I65" s="298"/>
    </row>
    <row r="66" spans="1:9">
      <c r="A66" s="65"/>
      <c r="B66" s="66" t="s">
        <v>795</v>
      </c>
      <c r="C66" s="66" t="s">
        <v>21</v>
      </c>
      <c r="D66" s="66" t="s">
        <v>798</v>
      </c>
      <c r="E66" s="67">
        <v>10</v>
      </c>
      <c r="F66" s="484"/>
      <c r="G66" s="450"/>
      <c r="H66" s="298"/>
      <c r="I66" s="298"/>
    </row>
    <row r="67" spans="1:9">
      <c r="A67" s="66" t="s">
        <v>800</v>
      </c>
      <c r="B67" s="484" t="s">
        <v>512</v>
      </c>
      <c r="C67" s="454"/>
      <c r="D67" s="454"/>
      <c r="E67" s="454"/>
      <c r="F67" s="454"/>
      <c r="G67" s="450"/>
      <c r="H67" s="298"/>
      <c r="I67" s="298"/>
    </row>
    <row r="68" spans="1:9">
      <c r="A68" s="490" t="s">
        <v>802</v>
      </c>
      <c r="B68" s="454"/>
      <c r="C68" s="454"/>
      <c r="D68" s="454"/>
      <c r="E68" s="454"/>
      <c r="F68" s="450"/>
      <c r="G68" s="68" t="s">
        <v>803</v>
      </c>
      <c r="H68" s="298"/>
      <c r="I68" s="298"/>
    </row>
    <row r="69" spans="1:9">
      <c r="A69" s="491"/>
      <c r="B69" s="491" t="s">
        <v>1714</v>
      </c>
      <c r="C69" s="484" t="s">
        <v>1715</v>
      </c>
      <c r="D69" s="454"/>
      <c r="E69" s="450"/>
      <c r="F69" s="484"/>
      <c r="G69" s="450"/>
      <c r="H69" s="298"/>
      <c r="I69" s="298"/>
    </row>
    <row r="70" spans="1:9">
      <c r="A70" s="457"/>
      <c r="B70" s="457"/>
      <c r="C70" s="66" t="s">
        <v>21</v>
      </c>
      <c r="D70" s="67">
        <v>13</v>
      </c>
      <c r="E70" s="67">
        <v>40.5</v>
      </c>
      <c r="F70" s="67">
        <f>E70*D70</f>
        <v>526.5</v>
      </c>
      <c r="G70" s="66" t="s">
        <v>808</v>
      </c>
      <c r="H70" s="298"/>
      <c r="I70" s="298"/>
    </row>
    <row r="71" spans="1:9">
      <c r="A71" s="492" t="s">
        <v>30</v>
      </c>
      <c r="B71" s="454"/>
      <c r="C71" s="450"/>
      <c r="D71" s="67">
        <v>10</v>
      </c>
      <c r="E71" s="70" t="s">
        <v>21</v>
      </c>
      <c r="F71" s="67">
        <f>F70</f>
        <v>526.5</v>
      </c>
      <c r="G71" s="66"/>
      <c r="H71" s="298"/>
      <c r="I71" s="298"/>
    </row>
    <row r="72" spans="1:9">
      <c r="A72" s="492" t="s">
        <v>826</v>
      </c>
      <c r="B72" s="454"/>
      <c r="C72" s="450"/>
      <c r="D72" s="67">
        <v>1</v>
      </c>
      <c r="E72" s="70" t="s">
        <v>21</v>
      </c>
      <c r="F72" s="67">
        <f>F71/D71</f>
        <v>52.65</v>
      </c>
      <c r="G72" s="66"/>
      <c r="H72" s="298"/>
      <c r="I72" s="298"/>
    </row>
    <row r="73" spans="1:9">
      <c r="A73" s="493" t="s">
        <v>829</v>
      </c>
      <c r="B73" s="454"/>
      <c r="C73" s="454"/>
      <c r="D73" s="450"/>
      <c r="E73" s="67"/>
      <c r="F73" s="67">
        <f>F72*1%</f>
        <v>0.52649999999999997</v>
      </c>
      <c r="G73" s="66"/>
      <c r="H73" s="298"/>
      <c r="I73" s="298"/>
    </row>
    <row r="74" spans="1:9">
      <c r="A74" s="493" t="s">
        <v>30</v>
      </c>
      <c r="B74" s="454"/>
      <c r="C74" s="454"/>
      <c r="D74" s="450"/>
      <c r="E74" s="71"/>
      <c r="F74" s="67">
        <f>F72+F73</f>
        <v>53.176499999999997</v>
      </c>
      <c r="G74" s="66"/>
      <c r="H74" s="298"/>
      <c r="I74" s="298"/>
    </row>
    <row r="75" spans="1:9">
      <c r="A75" s="493" t="s">
        <v>836</v>
      </c>
      <c r="B75" s="454"/>
      <c r="C75" s="454"/>
      <c r="D75" s="450"/>
      <c r="E75" s="67"/>
      <c r="F75" s="67">
        <f>F74*15%</f>
        <v>7.9764749999999989</v>
      </c>
      <c r="G75" s="66"/>
      <c r="H75" s="298"/>
      <c r="I75" s="298"/>
    </row>
    <row r="76" spans="1:9">
      <c r="A76" s="493" t="s">
        <v>30</v>
      </c>
      <c r="B76" s="454"/>
      <c r="C76" s="454"/>
      <c r="D76" s="450"/>
      <c r="E76" s="71"/>
      <c r="F76" s="191">
        <f>ROUND(F74+F75,2)</f>
        <v>61.15</v>
      </c>
      <c r="G76" s="66"/>
      <c r="H76" s="298"/>
      <c r="I76" s="298"/>
    </row>
    <row r="77" spans="1:9">
      <c r="A77" s="490" t="s">
        <v>819</v>
      </c>
      <c r="B77" s="454"/>
      <c r="C77" s="454"/>
      <c r="D77" s="454"/>
      <c r="E77" s="454"/>
      <c r="F77" s="450"/>
      <c r="G77" s="68" t="s">
        <v>820</v>
      </c>
      <c r="H77" s="298"/>
      <c r="I77" s="298"/>
    </row>
    <row r="78" spans="1:9">
      <c r="A78" s="491">
        <v>116</v>
      </c>
      <c r="B78" s="491"/>
      <c r="C78" s="484" t="s">
        <v>527</v>
      </c>
      <c r="D78" s="454"/>
      <c r="E78" s="450"/>
      <c r="F78" s="484"/>
      <c r="G78" s="450"/>
      <c r="H78" s="298"/>
      <c r="I78" s="298"/>
    </row>
    <row r="79" spans="1:9">
      <c r="A79" s="457"/>
      <c r="B79" s="457"/>
      <c r="C79" s="66" t="s">
        <v>26</v>
      </c>
      <c r="D79" s="67">
        <v>0.33</v>
      </c>
      <c r="E79" s="67">
        <v>784</v>
      </c>
      <c r="F79" s="67">
        <f>E79*D79</f>
        <v>258.72000000000003</v>
      </c>
      <c r="G79" s="66" t="s">
        <v>822</v>
      </c>
      <c r="H79" s="298"/>
      <c r="I79" s="298"/>
    </row>
    <row r="80" spans="1:9">
      <c r="A80" s="491">
        <v>117</v>
      </c>
      <c r="B80" s="491"/>
      <c r="C80" s="484" t="s">
        <v>858</v>
      </c>
      <c r="D80" s="454"/>
      <c r="E80" s="450"/>
      <c r="F80" s="484"/>
      <c r="G80" s="450"/>
      <c r="H80" s="298"/>
      <c r="I80" s="298"/>
    </row>
    <row r="81" spans="1:9">
      <c r="A81" s="457"/>
      <c r="B81" s="457"/>
      <c r="C81" s="66" t="s">
        <v>26</v>
      </c>
      <c r="D81" s="67">
        <v>0.66</v>
      </c>
      <c r="E81" s="67">
        <v>714</v>
      </c>
      <c r="F81" s="67">
        <f>E81*D81</f>
        <v>471.24</v>
      </c>
      <c r="G81" s="66" t="s">
        <v>825</v>
      </c>
      <c r="H81" s="298"/>
      <c r="I81" s="298"/>
    </row>
    <row r="82" spans="1:9">
      <c r="A82" s="491">
        <v>114</v>
      </c>
      <c r="B82" s="491"/>
      <c r="C82" s="484" t="s">
        <v>59</v>
      </c>
      <c r="D82" s="454"/>
      <c r="E82" s="450"/>
      <c r="F82" s="484"/>
      <c r="G82" s="450"/>
      <c r="H82" s="298"/>
      <c r="I82" s="298"/>
    </row>
    <row r="83" spans="1:9">
      <c r="A83" s="457"/>
      <c r="B83" s="457"/>
      <c r="C83" s="66" t="s">
        <v>26</v>
      </c>
      <c r="D83" s="67">
        <v>0.66</v>
      </c>
      <c r="E83" s="67">
        <v>645</v>
      </c>
      <c r="F83" s="67">
        <f>E83*D83</f>
        <v>425.70000000000005</v>
      </c>
      <c r="G83" s="66" t="s">
        <v>837</v>
      </c>
      <c r="H83" s="298"/>
      <c r="I83" s="298"/>
    </row>
    <row r="84" spans="1:9">
      <c r="A84" s="490" t="s">
        <v>838</v>
      </c>
      <c r="B84" s="454"/>
      <c r="C84" s="454"/>
      <c r="D84" s="454"/>
      <c r="E84" s="454"/>
      <c r="F84" s="450"/>
      <c r="G84" s="68" t="s">
        <v>820</v>
      </c>
      <c r="H84" s="298"/>
      <c r="I84" s="298"/>
    </row>
    <row r="85" spans="1:9">
      <c r="A85" s="491">
        <v>18.78</v>
      </c>
      <c r="B85" s="614"/>
      <c r="C85" s="599" t="s">
        <v>1699</v>
      </c>
      <c r="D85" s="454"/>
      <c r="E85" s="450"/>
      <c r="F85" s="613"/>
      <c r="G85" s="450"/>
      <c r="H85" s="304"/>
      <c r="I85" s="304"/>
    </row>
    <row r="86" spans="1:9">
      <c r="A86" s="457"/>
      <c r="B86" s="457"/>
      <c r="C86" s="305" t="s">
        <v>1026</v>
      </c>
      <c r="D86" s="306">
        <v>10</v>
      </c>
      <c r="E86" s="306">
        <v>128.38999999999999</v>
      </c>
      <c r="F86" s="306">
        <f>D86*E86</f>
        <v>1283.8999999999999</v>
      </c>
      <c r="G86" s="307" t="s">
        <v>844</v>
      </c>
      <c r="H86" s="304"/>
      <c r="I86" s="304"/>
    </row>
    <row r="87" spans="1:9">
      <c r="A87" s="492" t="s">
        <v>30</v>
      </c>
      <c r="B87" s="454"/>
      <c r="C87" s="450"/>
      <c r="D87" s="67">
        <v>10</v>
      </c>
      <c r="E87" s="70" t="s">
        <v>21</v>
      </c>
      <c r="F87" s="299">
        <f>F79+F81+F83+F86</f>
        <v>2439.56</v>
      </c>
      <c r="G87" s="71"/>
      <c r="H87" s="298"/>
      <c r="I87" s="298"/>
    </row>
    <row r="88" spans="1:9">
      <c r="A88" s="492" t="s">
        <v>826</v>
      </c>
      <c r="B88" s="454"/>
      <c r="C88" s="450"/>
      <c r="D88" s="67">
        <v>1</v>
      </c>
      <c r="E88" s="70" t="s">
        <v>21</v>
      </c>
      <c r="F88" s="67">
        <f>F87/D87</f>
        <v>243.95599999999999</v>
      </c>
      <c r="G88" s="71"/>
      <c r="H88" s="298"/>
      <c r="I88" s="298"/>
    </row>
    <row r="89" spans="1:9">
      <c r="A89" s="493" t="s">
        <v>829</v>
      </c>
      <c r="B89" s="454"/>
      <c r="C89" s="454"/>
      <c r="D89" s="450"/>
      <c r="E89" s="67"/>
      <c r="F89" s="67">
        <f>F88*1%</f>
        <v>2.4395599999999997</v>
      </c>
      <c r="G89" s="71"/>
      <c r="H89" s="298"/>
      <c r="I89" s="298"/>
    </row>
    <row r="90" spans="1:9">
      <c r="A90" s="493" t="s">
        <v>30</v>
      </c>
      <c r="B90" s="454"/>
      <c r="C90" s="454"/>
      <c r="D90" s="450"/>
      <c r="E90" s="71"/>
      <c r="F90" s="67">
        <f>F88+F89</f>
        <v>246.39555999999999</v>
      </c>
      <c r="G90" s="71"/>
      <c r="H90" s="298"/>
      <c r="I90" s="298"/>
    </row>
    <row r="91" spans="1:9">
      <c r="A91" s="493" t="s">
        <v>836</v>
      </c>
      <c r="B91" s="454"/>
      <c r="C91" s="454"/>
      <c r="D91" s="450"/>
      <c r="E91" s="67"/>
      <c r="F91" s="67">
        <f>F90*15%</f>
        <v>36.959333999999998</v>
      </c>
      <c r="G91" s="71"/>
      <c r="H91" s="298"/>
      <c r="I91" s="298"/>
    </row>
    <row r="92" spans="1:9">
      <c r="A92" s="493" t="s">
        <v>30</v>
      </c>
      <c r="B92" s="454"/>
      <c r="C92" s="454"/>
      <c r="D92" s="450"/>
      <c r="E92" s="71"/>
      <c r="F92" s="191">
        <f>ROUND(F90+F91,2)</f>
        <v>283.35000000000002</v>
      </c>
      <c r="G92" s="71"/>
      <c r="H92" s="298"/>
      <c r="I92" s="298"/>
    </row>
    <row r="93" spans="1:9">
      <c r="A93" s="616" t="str">
        <f>CONCATENATE("Say ₹ ",F76," + ",F92," x Cost Index")</f>
        <v>Say ₹ 61.15 + 283.35 x Cost Index</v>
      </c>
      <c r="B93" s="454"/>
      <c r="C93" s="454"/>
      <c r="D93" s="454"/>
      <c r="E93" s="454"/>
      <c r="F93" s="450"/>
      <c r="G93" s="300" t="s">
        <v>1000</v>
      </c>
      <c r="H93" s="301">
        <f>F70*1.01*1.15/10</f>
        <v>61.152974999999991</v>
      </c>
      <c r="I93" s="301">
        <f>(F79+F81+F83+F86)*1.01*1.15/10</f>
        <v>283.35489399999994</v>
      </c>
    </row>
    <row r="94" spans="1:9">
      <c r="A94" s="486" t="s">
        <v>771</v>
      </c>
      <c r="B94" s="486" t="s">
        <v>776</v>
      </c>
      <c r="C94" s="487" t="s">
        <v>4</v>
      </c>
      <c r="D94" s="454"/>
      <c r="E94" s="450"/>
      <c r="F94" s="487" t="s">
        <v>785</v>
      </c>
      <c r="G94" s="450"/>
      <c r="H94" s="298"/>
      <c r="I94" s="298"/>
    </row>
    <row r="95" spans="1:9">
      <c r="A95" s="457"/>
      <c r="B95" s="457"/>
      <c r="C95" s="62" t="s">
        <v>5</v>
      </c>
      <c r="D95" s="62" t="s">
        <v>6</v>
      </c>
      <c r="E95" s="62" t="s">
        <v>336</v>
      </c>
      <c r="F95" s="62" t="s">
        <v>8</v>
      </c>
      <c r="G95" s="62" t="s">
        <v>789</v>
      </c>
      <c r="H95" s="298"/>
      <c r="I95" s="298"/>
    </row>
    <row r="96" spans="1:9">
      <c r="A96" s="617" t="s">
        <v>1728</v>
      </c>
      <c r="B96" s="454"/>
      <c r="C96" s="454"/>
      <c r="D96" s="454"/>
      <c r="E96" s="454"/>
      <c r="F96" s="454"/>
      <c r="G96" s="450"/>
      <c r="H96" s="298"/>
      <c r="I96" s="298"/>
    </row>
    <row r="97" spans="1:9">
      <c r="A97" s="65"/>
      <c r="B97" s="66" t="s">
        <v>795</v>
      </c>
      <c r="C97" s="66" t="s">
        <v>21</v>
      </c>
      <c r="D97" s="66" t="s">
        <v>798</v>
      </c>
      <c r="E97" s="67">
        <v>10</v>
      </c>
      <c r="F97" s="484"/>
      <c r="G97" s="450"/>
      <c r="H97" s="298"/>
      <c r="I97" s="298"/>
    </row>
    <row r="98" spans="1:9">
      <c r="A98" s="66" t="s">
        <v>800</v>
      </c>
      <c r="B98" s="484" t="s">
        <v>512</v>
      </c>
      <c r="C98" s="454"/>
      <c r="D98" s="454"/>
      <c r="E98" s="454"/>
      <c r="F98" s="454"/>
      <c r="G98" s="450"/>
      <c r="H98" s="298"/>
      <c r="I98" s="298"/>
    </row>
    <row r="99" spans="1:9">
      <c r="A99" s="490" t="s">
        <v>802</v>
      </c>
      <c r="B99" s="454"/>
      <c r="C99" s="454"/>
      <c r="D99" s="454"/>
      <c r="E99" s="454"/>
      <c r="F99" s="450"/>
      <c r="G99" s="68" t="s">
        <v>803</v>
      </c>
      <c r="H99" s="298"/>
      <c r="I99" s="298"/>
    </row>
    <row r="100" spans="1:9">
      <c r="A100" s="491"/>
      <c r="B100" s="491" t="s">
        <v>1732</v>
      </c>
      <c r="C100" s="484" t="s">
        <v>1733</v>
      </c>
      <c r="D100" s="454"/>
      <c r="E100" s="450"/>
      <c r="F100" s="484"/>
      <c r="G100" s="450"/>
      <c r="H100" s="298"/>
      <c r="I100" s="298"/>
    </row>
    <row r="101" spans="1:9">
      <c r="A101" s="457"/>
      <c r="B101" s="457"/>
      <c r="C101" s="66" t="s">
        <v>21</v>
      </c>
      <c r="D101" s="67">
        <v>13</v>
      </c>
      <c r="E101" s="67">
        <v>30</v>
      </c>
      <c r="F101" s="67">
        <f>E101*D101</f>
        <v>390</v>
      </c>
      <c r="G101" s="66" t="s">
        <v>808</v>
      </c>
      <c r="H101" s="298"/>
      <c r="I101" s="298"/>
    </row>
    <row r="102" spans="1:9">
      <c r="A102" s="492" t="s">
        <v>30</v>
      </c>
      <c r="B102" s="454"/>
      <c r="C102" s="450"/>
      <c r="D102" s="67">
        <v>10</v>
      </c>
      <c r="E102" s="70" t="s">
        <v>21</v>
      </c>
      <c r="F102" s="67">
        <f>F101</f>
        <v>390</v>
      </c>
      <c r="G102" s="66"/>
      <c r="H102" s="298"/>
      <c r="I102" s="298"/>
    </row>
    <row r="103" spans="1:9">
      <c r="A103" s="492" t="s">
        <v>826</v>
      </c>
      <c r="B103" s="454"/>
      <c r="C103" s="450"/>
      <c r="D103" s="67">
        <v>1</v>
      </c>
      <c r="E103" s="70" t="s">
        <v>21</v>
      </c>
      <c r="F103" s="67">
        <f>F102/D102</f>
        <v>39</v>
      </c>
      <c r="G103" s="66"/>
      <c r="H103" s="298"/>
      <c r="I103" s="298"/>
    </row>
    <row r="104" spans="1:9">
      <c r="A104" s="493" t="s">
        <v>829</v>
      </c>
      <c r="B104" s="454"/>
      <c r="C104" s="454"/>
      <c r="D104" s="450"/>
      <c r="E104" s="67"/>
      <c r="F104" s="67">
        <f>F103*1%</f>
        <v>0.39</v>
      </c>
      <c r="G104" s="66"/>
      <c r="H104" s="298"/>
      <c r="I104" s="298"/>
    </row>
    <row r="105" spans="1:9">
      <c r="A105" s="493" t="s">
        <v>30</v>
      </c>
      <c r="B105" s="454"/>
      <c r="C105" s="454"/>
      <c r="D105" s="450"/>
      <c r="E105" s="71"/>
      <c r="F105" s="67">
        <f>F103+F104</f>
        <v>39.39</v>
      </c>
      <c r="G105" s="66"/>
      <c r="H105" s="298"/>
      <c r="I105" s="298"/>
    </row>
    <row r="106" spans="1:9">
      <c r="A106" s="493" t="s">
        <v>836</v>
      </c>
      <c r="B106" s="454"/>
      <c r="C106" s="454"/>
      <c r="D106" s="450"/>
      <c r="E106" s="67"/>
      <c r="F106" s="67">
        <f>F105*15%</f>
        <v>5.9085000000000001</v>
      </c>
      <c r="G106" s="66"/>
      <c r="H106" s="298"/>
      <c r="I106" s="298"/>
    </row>
    <row r="107" spans="1:9">
      <c r="A107" s="493" t="s">
        <v>30</v>
      </c>
      <c r="B107" s="454"/>
      <c r="C107" s="454"/>
      <c r="D107" s="450"/>
      <c r="E107" s="71"/>
      <c r="F107" s="191">
        <f>ROUND(F105+F106,2)</f>
        <v>45.3</v>
      </c>
      <c r="G107" s="66"/>
      <c r="H107" s="298"/>
      <c r="I107" s="298"/>
    </row>
    <row r="108" spans="1:9">
      <c r="A108" s="490" t="s">
        <v>819</v>
      </c>
      <c r="B108" s="454"/>
      <c r="C108" s="454"/>
      <c r="D108" s="454"/>
      <c r="E108" s="454"/>
      <c r="F108" s="450"/>
      <c r="G108" s="68" t="s">
        <v>820</v>
      </c>
      <c r="H108" s="298"/>
      <c r="I108" s="298"/>
    </row>
    <row r="109" spans="1:9">
      <c r="A109" s="491">
        <v>116</v>
      </c>
      <c r="B109" s="491"/>
      <c r="C109" s="484" t="s">
        <v>527</v>
      </c>
      <c r="D109" s="454"/>
      <c r="E109" s="450"/>
      <c r="F109" s="484"/>
      <c r="G109" s="450"/>
      <c r="H109" s="298"/>
      <c r="I109" s="298"/>
    </row>
    <row r="110" spans="1:9">
      <c r="A110" s="457"/>
      <c r="B110" s="457"/>
      <c r="C110" s="66" t="s">
        <v>26</v>
      </c>
      <c r="D110" s="67">
        <v>0.33</v>
      </c>
      <c r="E110" s="67">
        <v>784</v>
      </c>
      <c r="F110" s="67">
        <f>E110*D110</f>
        <v>258.72000000000003</v>
      </c>
      <c r="G110" s="66" t="s">
        <v>822</v>
      </c>
      <c r="H110" s="298"/>
      <c r="I110" s="298"/>
    </row>
    <row r="111" spans="1:9">
      <c r="A111" s="491">
        <v>117</v>
      </c>
      <c r="B111" s="491"/>
      <c r="C111" s="484" t="s">
        <v>858</v>
      </c>
      <c r="D111" s="454"/>
      <c r="E111" s="450"/>
      <c r="F111" s="484"/>
      <c r="G111" s="450"/>
      <c r="H111" s="298"/>
      <c r="I111" s="298"/>
    </row>
    <row r="112" spans="1:9">
      <c r="A112" s="457"/>
      <c r="B112" s="457"/>
      <c r="C112" s="66" t="s">
        <v>26</v>
      </c>
      <c r="D112" s="67">
        <v>0.66</v>
      </c>
      <c r="E112" s="67">
        <v>714</v>
      </c>
      <c r="F112" s="67">
        <f>E112*D112</f>
        <v>471.24</v>
      </c>
      <c r="G112" s="66" t="s">
        <v>825</v>
      </c>
      <c r="H112" s="298"/>
      <c r="I112" s="298"/>
    </row>
    <row r="113" spans="1:9">
      <c r="A113" s="491">
        <v>114</v>
      </c>
      <c r="B113" s="491"/>
      <c r="C113" s="484" t="s">
        <v>59</v>
      </c>
      <c r="D113" s="454"/>
      <c r="E113" s="450"/>
      <c r="F113" s="484"/>
      <c r="G113" s="450"/>
      <c r="H113" s="298"/>
      <c r="I113" s="298"/>
    </row>
    <row r="114" spans="1:9">
      <c r="A114" s="457"/>
      <c r="B114" s="457"/>
      <c r="C114" s="66" t="s">
        <v>26</v>
      </c>
      <c r="D114" s="67">
        <v>0.66</v>
      </c>
      <c r="E114" s="67">
        <v>645</v>
      </c>
      <c r="F114" s="67">
        <f>E114*D114</f>
        <v>425.70000000000005</v>
      </c>
      <c r="G114" s="66" t="s">
        <v>837</v>
      </c>
      <c r="H114" s="298"/>
      <c r="I114" s="298"/>
    </row>
    <row r="115" spans="1:9">
      <c r="A115" s="490" t="s">
        <v>838</v>
      </c>
      <c r="B115" s="454"/>
      <c r="C115" s="454"/>
      <c r="D115" s="454"/>
      <c r="E115" s="454"/>
      <c r="F115" s="450"/>
      <c r="G115" s="68" t="s">
        <v>820</v>
      </c>
      <c r="H115" s="298"/>
      <c r="I115" s="298"/>
    </row>
    <row r="116" spans="1:9">
      <c r="A116" s="605">
        <v>18.78</v>
      </c>
      <c r="B116" s="614"/>
      <c r="C116" s="599" t="s">
        <v>1699</v>
      </c>
      <c r="D116" s="454"/>
      <c r="E116" s="450"/>
      <c r="F116" s="613"/>
      <c r="G116" s="450"/>
      <c r="H116" s="304"/>
      <c r="I116" s="304"/>
    </row>
    <row r="117" spans="1:9">
      <c r="A117" s="457"/>
      <c r="B117" s="457"/>
      <c r="C117" s="305" t="s">
        <v>1026</v>
      </c>
      <c r="D117" s="306">
        <v>10</v>
      </c>
      <c r="E117" s="306">
        <v>128.38999999999999</v>
      </c>
      <c r="F117" s="306">
        <f>D117*E117</f>
        <v>1283.8999999999999</v>
      </c>
      <c r="G117" s="307" t="s">
        <v>844</v>
      </c>
      <c r="H117" s="304"/>
      <c r="I117" s="304"/>
    </row>
    <row r="118" spans="1:9">
      <c r="A118" s="492" t="s">
        <v>30</v>
      </c>
      <c r="B118" s="454"/>
      <c r="C118" s="450"/>
      <c r="D118" s="67">
        <v>10</v>
      </c>
      <c r="E118" s="70" t="s">
        <v>21</v>
      </c>
      <c r="F118" s="299">
        <f>F110+F112+F114+F117</f>
        <v>2439.56</v>
      </c>
      <c r="G118" s="71"/>
      <c r="H118" s="298"/>
      <c r="I118" s="298"/>
    </row>
    <row r="119" spans="1:9">
      <c r="A119" s="492" t="s">
        <v>826</v>
      </c>
      <c r="B119" s="454"/>
      <c r="C119" s="450"/>
      <c r="D119" s="67">
        <v>1</v>
      </c>
      <c r="E119" s="70" t="s">
        <v>21</v>
      </c>
      <c r="F119" s="67">
        <f>F118/D118</f>
        <v>243.95599999999999</v>
      </c>
      <c r="G119" s="71"/>
      <c r="H119" s="298"/>
      <c r="I119" s="298"/>
    </row>
    <row r="120" spans="1:9">
      <c r="A120" s="493" t="s">
        <v>829</v>
      </c>
      <c r="B120" s="454"/>
      <c r="C120" s="454"/>
      <c r="D120" s="450"/>
      <c r="E120" s="67"/>
      <c r="F120" s="67">
        <f>F119*1%</f>
        <v>2.4395599999999997</v>
      </c>
      <c r="G120" s="71"/>
      <c r="H120" s="298"/>
      <c r="I120" s="298"/>
    </row>
    <row r="121" spans="1:9">
      <c r="A121" s="493" t="s">
        <v>30</v>
      </c>
      <c r="B121" s="454"/>
      <c r="C121" s="454"/>
      <c r="D121" s="450"/>
      <c r="E121" s="71"/>
      <c r="F121" s="67">
        <f>F119+F120</f>
        <v>246.39555999999999</v>
      </c>
      <c r="G121" s="71"/>
      <c r="H121" s="298"/>
      <c r="I121" s="298"/>
    </row>
    <row r="122" spans="1:9">
      <c r="A122" s="493" t="s">
        <v>836</v>
      </c>
      <c r="B122" s="454"/>
      <c r="C122" s="454"/>
      <c r="D122" s="450"/>
      <c r="E122" s="67"/>
      <c r="F122" s="67">
        <f>F121*15%</f>
        <v>36.959333999999998</v>
      </c>
      <c r="G122" s="71"/>
      <c r="H122" s="298"/>
      <c r="I122" s="298"/>
    </row>
    <row r="123" spans="1:9">
      <c r="A123" s="493" t="s">
        <v>30</v>
      </c>
      <c r="B123" s="454"/>
      <c r="C123" s="454"/>
      <c r="D123" s="450"/>
      <c r="E123" s="71"/>
      <c r="F123" s="191">
        <f>ROUND(F121+F122,2)</f>
        <v>283.35000000000002</v>
      </c>
      <c r="G123" s="71"/>
      <c r="H123" s="298"/>
      <c r="I123" s="298"/>
    </row>
    <row r="124" spans="1:9">
      <c r="A124" s="616" t="str">
        <f>CONCATENATE("Say ₹ ",F107," + ",F123," x Cost Index")</f>
        <v>Say ₹ 45.3 + 283.35 x Cost Index</v>
      </c>
      <c r="B124" s="454"/>
      <c r="C124" s="454"/>
      <c r="D124" s="454"/>
      <c r="E124" s="454"/>
      <c r="F124" s="450"/>
      <c r="G124" s="300" t="s">
        <v>1000</v>
      </c>
      <c r="H124" s="301">
        <f>F101*1.01*1.15/10</f>
        <v>45.298499999999997</v>
      </c>
      <c r="I124" s="301">
        <f>(F110+F112+F114+F117)*1.01*1.15/10</f>
        <v>283.35489399999994</v>
      </c>
    </row>
    <row r="125" spans="1:9">
      <c r="A125" s="486" t="s">
        <v>771</v>
      </c>
      <c r="B125" s="486" t="s">
        <v>776</v>
      </c>
      <c r="C125" s="487" t="s">
        <v>4</v>
      </c>
      <c r="D125" s="454"/>
      <c r="E125" s="450"/>
      <c r="F125" s="487" t="s">
        <v>785</v>
      </c>
      <c r="G125" s="450"/>
      <c r="H125" s="298"/>
      <c r="I125" s="298"/>
    </row>
    <row r="126" spans="1:9">
      <c r="A126" s="457"/>
      <c r="B126" s="457"/>
      <c r="C126" s="62" t="s">
        <v>5</v>
      </c>
      <c r="D126" s="62" t="s">
        <v>6</v>
      </c>
      <c r="E126" s="62" t="s">
        <v>336</v>
      </c>
      <c r="F126" s="62" t="s">
        <v>8</v>
      </c>
      <c r="G126" s="62" t="s">
        <v>789</v>
      </c>
      <c r="H126" s="298"/>
      <c r="I126" s="298"/>
    </row>
    <row r="127" spans="1:9">
      <c r="A127" s="617" t="s">
        <v>1751</v>
      </c>
      <c r="B127" s="454"/>
      <c r="C127" s="454"/>
      <c r="D127" s="454"/>
      <c r="E127" s="454"/>
      <c r="F127" s="454"/>
      <c r="G127" s="450"/>
      <c r="H127" s="298"/>
      <c r="I127" s="298"/>
    </row>
    <row r="128" spans="1:9">
      <c r="A128" s="65"/>
      <c r="B128" s="66" t="s">
        <v>795</v>
      </c>
      <c r="C128" s="66" t="s">
        <v>21</v>
      </c>
      <c r="D128" s="66" t="s">
        <v>798</v>
      </c>
      <c r="E128" s="67">
        <v>10</v>
      </c>
      <c r="F128" s="484"/>
      <c r="G128" s="450"/>
      <c r="H128" s="298"/>
      <c r="I128" s="298"/>
    </row>
    <row r="129" spans="1:9">
      <c r="A129" s="66" t="s">
        <v>800</v>
      </c>
      <c r="B129" s="484" t="s">
        <v>1752</v>
      </c>
      <c r="C129" s="454"/>
      <c r="D129" s="454"/>
      <c r="E129" s="454"/>
      <c r="F129" s="454"/>
      <c r="G129" s="450"/>
      <c r="H129" s="298"/>
      <c r="I129" s="298"/>
    </row>
    <row r="130" spans="1:9">
      <c r="A130" s="490" t="s">
        <v>802</v>
      </c>
      <c r="B130" s="454"/>
      <c r="C130" s="454"/>
      <c r="D130" s="454"/>
      <c r="E130" s="454"/>
      <c r="F130" s="450"/>
      <c r="G130" s="68" t="s">
        <v>803</v>
      </c>
      <c r="H130" s="298"/>
      <c r="I130" s="298"/>
    </row>
    <row r="131" spans="1:9">
      <c r="A131" s="491"/>
      <c r="B131" s="491" t="s">
        <v>1753</v>
      </c>
      <c r="C131" s="484" t="s">
        <v>1754</v>
      </c>
      <c r="D131" s="454"/>
      <c r="E131" s="450"/>
      <c r="F131" s="484"/>
      <c r="G131" s="450"/>
      <c r="H131" s="298"/>
      <c r="I131" s="298"/>
    </row>
    <row r="132" spans="1:9">
      <c r="A132" s="457"/>
      <c r="B132" s="457"/>
      <c r="C132" s="66" t="s">
        <v>21</v>
      </c>
      <c r="D132" s="67">
        <v>13</v>
      </c>
      <c r="E132" s="67">
        <v>61</v>
      </c>
      <c r="F132" s="67">
        <f>E132*D132</f>
        <v>793</v>
      </c>
      <c r="G132" s="66" t="s">
        <v>808</v>
      </c>
      <c r="H132" s="298"/>
      <c r="I132" s="298"/>
    </row>
    <row r="133" spans="1:9">
      <c r="A133" s="492" t="s">
        <v>30</v>
      </c>
      <c r="B133" s="454"/>
      <c r="C133" s="450"/>
      <c r="D133" s="67">
        <v>10</v>
      </c>
      <c r="E133" s="70" t="s">
        <v>21</v>
      </c>
      <c r="F133" s="67">
        <f>F132</f>
        <v>793</v>
      </c>
      <c r="G133" s="66"/>
      <c r="H133" s="298"/>
      <c r="I133" s="298"/>
    </row>
    <row r="134" spans="1:9">
      <c r="A134" s="492" t="s">
        <v>826</v>
      </c>
      <c r="B134" s="454"/>
      <c r="C134" s="450"/>
      <c r="D134" s="67">
        <v>1</v>
      </c>
      <c r="E134" s="70" t="s">
        <v>21</v>
      </c>
      <c r="F134" s="67">
        <f>F133/D133</f>
        <v>79.3</v>
      </c>
      <c r="G134" s="66"/>
      <c r="H134" s="298"/>
      <c r="I134" s="298"/>
    </row>
    <row r="135" spans="1:9">
      <c r="A135" s="493" t="s">
        <v>829</v>
      </c>
      <c r="B135" s="454"/>
      <c r="C135" s="454"/>
      <c r="D135" s="450"/>
      <c r="E135" s="67"/>
      <c r="F135" s="67">
        <f>F134*1%</f>
        <v>0.79300000000000004</v>
      </c>
      <c r="G135" s="66"/>
      <c r="H135" s="298"/>
      <c r="I135" s="298"/>
    </row>
    <row r="136" spans="1:9">
      <c r="A136" s="493" t="s">
        <v>30</v>
      </c>
      <c r="B136" s="454"/>
      <c r="C136" s="454"/>
      <c r="D136" s="450"/>
      <c r="E136" s="71"/>
      <c r="F136" s="67">
        <f>F134+F135</f>
        <v>80.093000000000004</v>
      </c>
      <c r="G136" s="66"/>
      <c r="H136" s="298"/>
      <c r="I136" s="298"/>
    </row>
    <row r="137" spans="1:9">
      <c r="A137" s="493" t="s">
        <v>836</v>
      </c>
      <c r="B137" s="454"/>
      <c r="C137" s="454"/>
      <c r="D137" s="450"/>
      <c r="E137" s="67"/>
      <c r="F137" s="67">
        <f>F136*15%</f>
        <v>12.013949999999999</v>
      </c>
      <c r="G137" s="66"/>
      <c r="H137" s="298"/>
      <c r="I137" s="298"/>
    </row>
    <row r="138" spans="1:9">
      <c r="A138" s="493" t="s">
        <v>30</v>
      </c>
      <c r="B138" s="454"/>
      <c r="C138" s="454"/>
      <c r="D138" s="450"/>
      <c r="E138" s="71"/>
      <c r="F138" s="191">
        <f>ROUND(F136+F137,2)</f>
        <v>92.11</v>
      </c>
      <c r="G138" s="66"/>
      <c r="H138" s="298"/>
      <c r="I138" s="298"/>
    </row>
    <row r="139" spans="1:9">
      <c r="A139" s="490" t="s">
        <v>819</v>
      </c>
      <c r="B139" s="454"/>
      <c r="C139" s="454"/>
      <c r="D139" s="454"/>
      <c r="E139" s="454"/>
      <c r="F139" s="450"/>
      <c r="G139" s="68" t="s">
        <v>820</v>
      </c>
      <c r="H139" s="298"/>
      <c r="I139" s="298"/>
    </row>
    <row r="140" spans="1:9">
      <c r="A140" s="491">
        <v>116</v>
      </c>
      <c r="B140" s="491"/>
      <c r="C140" s="484" t="s">
        <v>527</v>
      </c>
      <c r="D140" s="454"/>
      <c r="E140" s="450"/>
      <c r="F140" s="484"/>
      <c r="G140" s="450"/>
      <c r="H140" s="298"/>
      <c r="I140" s="298"/>
    </row>
    <row r="141" spans="1:9">
      <c r="A141" s="457"/>
      <c r="B141" s="457"/>
      <c r="C141" s="66" t="s">
        <v>26</v>
      </c>
      <c r="D141" s="67">
        <v>0.33</v>
      </c>
      <c r="E141" s="67">
        <v>784</v>
      </c>
      <c r="F141" s="67">
        <f>E141*D141</f>
        <v>258.72000000000003</v>
      </c>
      <c r="G141" s="66" t="s">
        <v>822</v>
      </c>
      <c r="H141" s="298"/>
      <c r="I141" s="298"/>
    </row>
    <row r="142" spans="1:9">
      <c r="A142" s="491">
        <v>117</v>
      </c>
      <c r="B142" s="491"/>
      <c r="C142" s="484" t="s">
        <v>858</v>
      </c>
      <c r="D142" s="454"/>
      <c r="E142" s="450"/>
      <c r="F142" s="484"/>
      <c r="G142" s="450"/>
      <c r="H142" s="298"/>
      <c r="I142" s="298"/>
    </row>
    <row r="143" spans="1:9">
      <c r="A143" s="457"/>
      <c r="B143" s="457"/>
      <c r="C143" s="66" t="s">
        <v>26</v>
      </c>
      <c r="D143" s="67">
        <v>0.66</v>
      </c>
      <c r="E143" s="67">
        <v>714</v>
      </c>
      <c r="F143" s="67">
        <f>E143*D143</f>
        <v>471.24</v>
      </c>
      <c r="G143" s="66" t="s">
        <v>825</v>
      </c>
      <c r="H143" s="298"/>
      <c r="I143" s="298"/>
    </row>
    <row r="144" spans="1:9">
      <c r="A144" s="491">
        <v>114</v>
      </c>
      <c r="B144" s="491"/>
      <c r="C144" s="484" t="s">
        <v>59</v>
      </c>
      <c r="D144" s="454"/>
      <c r="E144" s="450"/>
      <c r="F144" s="484"/>
      <c r="G144" s="450"/>
      <c r="H144" s="298"/>
      <c r="I144" s="298"/>
    </row>
    <row r="145" spans="1:9">
      <c r="A145" s="457"/>
      <c r="B145" s="457"/>
      <c r="C145" s="66" t="s">
        <v>26</v>
      </c>
      <c r="D145" s="67">
        <v>0.66</v>
      </c>
      <c r="E145" s="67">
        <v>645</v>
      </c>
      <c r="F145" s="67">
        <f>E145*D145</f>
        <v>425.70000000000005</v>
      </c>
      <c r="G145" s="66" t="s">
        <v>837</v>
      </c>
      <c r="H145" s="298"/>
      <c r="I145" s="298"/>
    </row>
    <row r="146" spans="1:9">
      <c r="A146" s="490" t="s">
        <v>838</v>
      </c>
      <c r="B146" s="454"/>
      <c r="C146" s="454"/>
      <c r="D146" s="454"/>
      <c r="E146" s="454"/>
      <c r="F146" s="450"/>
      <c r="G146" s="68" t="s">
        <v>820</v>
      </c>
      <c r="H146" s="298"/>
      <c r="I146" s="298"/>
    </row>
    <row r="147" spans="1:9">
      <c r="A147" s="605">
        <v>18.78</v>
      </c>
      <c r="B147" s="614"/>
      <c r="C147" s="599" t="s">
        <v>1699</v>
      </c>
      <c r="D147" s="454"/>
      <c r="E147" s="450"/>
      <c r="F147" s="613"/>
      <c r="G147" s="450"/>
      <c r="H147" s="304"/>
      <c r="I147" s="304"/>
    </row>
    <row r="148" spans="1:9">
      <c r="A148" s="457"/>
      <c r="B148" s="457"/>
      <c r="C148" s="305" t="s">
        <v>1026</v>
      </c>
      <c r="D148" s="306">
        <v>10</v>
      </c>
      <c r="E148" s="306">
        <v>128.38999999999999</v>
      </c>
      <c r="F148" s="306">
        <f>D148*E148</f>
        <v>1283.8999999999999</v>
      </c>
      <c r="G148" s="307" t="s">
        <v>844</v>
      </c>
      <c r="H148" s="304"/>
      <c r="I148" s="304"/>
    </row>
    <row r="149" spans="1:9">
      <c r="A149" s="492" t="s">
        <v>30</v>
      </c>
      <c r="B149" s="454"/>
      <c r="C149" s="450"/>
      <c r="D149" s="67">
        <v>10</v>
      </c>
      <c r="E149" s="70" t="s">
        <v>21</v>
      </c>
      <c r="F149" s="299">
        <f>F141+F143+F145+F148</f>
        <v>2439.56</v>
      </c>
      <c r="G149" s="71"/>
      <c r="H149" s="298"/>
      <c r="I149" s="298"/>
    </row>
    <row r="150" spans="1:9">
      <c r="A150" s="492" t="s">
        <v>826</v>
      </c>
      <c r="B150" s="454"/>
      <c r="C150" s="450"/>
      <c r="D150" s="67">
        <v>1</v>
      </c>
      <c r="E150" s="70" t="s">
        <v>21</v>
      </c>
      <c r="F150" s="67">
        <f>F149/D149</f>
        <v>243.95599999999999</v>
      </c>
      <c r="G150" s="71"/>
      <c r="H150" s="298"/>
      <c r="I150" s="298"/>
    </row>
    <row r="151" spans="1:9">
      <c r="A151" s="493" t="s">
        <v>829</v>
      </c>
      <c r="B151" s="454"/>
      <c r="C151" s="454"/>
      <c r="D151" s="450"/>
      <c r="E151" s="67"/>
      <c r="F151" s="67">
        <f>F150*1%</f>
        <v>2.4395599999999997</v>
      </c>
      <c r="G151" s="71"/>
      <c r="H151" s="298"/>
      <c r="I151" s="298"/>
    </row>
    <row r="152" spans="1:9">
      <c r="A152" s="493" t="s">
        <v>30</v>
      </c>
      <c r="B152" s="454"/>
      <c r="C152" s="454"/>
      <c r="D152" s="450"/>
      <c r="E152" s="71"/>
      <c r="F152" s="67">
        <f>F150+F151</f>
        <v>246.39555999999999</v>
      </c>
      <c r="G152" s="71"/>
      <c r="H152" s="298"/>
      <c r="I152" s="298"/>
    </row>
    <row r="153" spans="1:9">
      <c r="A153" s="493" t="s">
        <v>836</v>
      </c>
      <c r="B153" s="454"/>
      <c r="C153" s="454"/>
      <c r="D153" s="450"/>
      <c r="E153" s="67"/>
      <c r="F153" s="67">
        <f>F152*15%</f>
        <v>36.959333999999998</v>
      </c>
      <c r="G153" s="71"/>
      <c r="H153" s="298"/>
      <c r="I153" s="298"/>
    </row>
    <row r="154" spans="1:9">
      <c r="A154" s="493" t="s">
        <v>30</v>
      </c>
      <c r="B154" s="454"/>
      <c r="C154" s="454"/>
      <c r="D154" s="450"/>
      <c r="E154" s="71"/>
      <c r="F154" s="191">
        <f>ROUND(F152+F153,2)</f>
        <v>283.35000000000002</v>
      </c>
      <c r="G154" s="71"/>
      <c r="H154" s="298"/>
      <c r="I154" s="298"/>
    </row>
    <row r="155" spans="1:9">
      <c r="A155" s="616" t="str">
        <f>CONCATENATE("Say ₹ ",F138," + ",F154," x Cost Index")</f>
        <v>Say ₹ 92.11 + 283.35 x Cost Index</v>
      </c>
      <c r="B155" s="454"/>
      <c r="C155" s="454"/>
      <c r="D155" s="454"/>
      <c r="E155" s="454"/>
      <c r="F155" s="450"/>
      <c r="G155" s="300" t="s">
        <v>1000</v>
      </c>
      <c r="H155" s="301">
        <f>F132*1.01*1.15/10</f>
        <v>92.106949999999998</v>
      </c>
      <c r="I155" s="301">
        <f>(F141+F143+F145+F148)*1.01*1.15/10</f>
        <v>283.35489399999994</v>
      </c>
    </row>
    <row r="156" spans="1:9">
      <c r="A156" s="486" t="s">
        <v>771</v>
      </c>
      <c r="B156" s="486" t="s">
        <v>776</v>
      </c>
      <c r="C156" s="487" t="s">
        <v>4</v>
      </c>
      <c r="D156" s="454"/>
      <c r="E156" s="450"/>
      <c r="F156" s="487" t="s">
        <v>785</v>
      </c>
      <c r="G156" s="450"/>
      <c r="H156" s="298"/>
      <c r="I156" s="298"/>
    </row>
    <row r="157" spans="1:9">
      <c r="A157" s="457"/>
      <c r="B157" s="457"/>
      <c r="C157" s="62" t="s">
        <v>5</v>
      </c>
      <c r="D157" s="62" t="s">
        <v>6</v>
      </c>
      <c r="E157" s="62" t="s">
        <v>336</v>
      </c>
      <c r="F157" s="62" t="s">
        <v>8</v>
      </c>
      <c r="G157" s="62" t="s">
        <v>789</v>
      </c>
      <c r="H157" s="298"/>
      <c r="I157" s="298"/>
    </row>
    <row r="158" spans="1:9">
      <c r="A158" s="617" t="s">
        <v>1774</v>
      </c>
      <c r="B158" s="454"/>
      <c r="C158" s="454"/>
      <c r="D158" s="454"/>
      <c r="E158" s="454"/>
      <c r="F158" s="454"/>
      <c r="G158" s="450"/>
      <c r="H158" s="298"/>
      <c r="I158" s="298"/>
    </row>
    <row r="159" spans="1:9">
      <c r="A159" s="65"/>
      <c r="B159" s="66" t="s">
        <v>795</v>
      </c>
      <c r="C159" s="66" t="s">
        <v>21</v>
      </c>
      <c r="D159" s="66" t="s">
        <v>798</v>
      </c>
      <c r="E159" s="67">
        <v>10</v>
      </c>
      <c r="F159" s="484"/>
      <c r="G159" s="450"/>
      <c r="H159" s="298"/>
      <c r="I159" s="298"/>
    </row>
    <row r="160" spans="1:9">
      <c r="A160" s="66" t="s">
        <v>800</v>
      </c>
      <c r="B160" s="484" t="s">
        <v>512</v>
      </c>
      <c r="C160" s="454"/>
      <c r="D160" s="454"/>
      <c r="E160" s="454"/>
      <c r="F160" s="454"/>
      <c r="G160" s="450"/>
      <c r="H160" s="298"/>
      <c r="I160" s="298"/>
    </row>
    <row r="161" spans="1:9">
      <c r="A161" s="490" t="s">
        <v>802</v>
      </c>
      <c r="B161" s="454"/>
      <c r="C161" s="454"/>
      <c r="D161" s="454"/>
      <c r="E161" s="454"/>
      <c r="F161" s="450"/>
      <c r="G161" s="68" t="s">
        <v>803</v>
      </c>
      <c r="H161" s="298"/>
      <c r="I161" s="298"/>
    </row>
    <row r="162" spans="1:9">
      <c r="A162" s="491"/>
      <c r="B162" s="491" t="s">
        <v>1778</v>
      </c>
      <c r="C162" s="484" t="s">
        <v>1779</v>
      </c>
      <c r="D162" s="454"/>
      <c r="E162" s="450"/>
      <c r="F162" s="484"/>
      <c r="G162" s="450"/>
      <c r="H162" s="298"/>
      <c r="I162" s="298"/>
    </row>
    <row r="163" spans="1:9">
      <c r="A163" s="457"/>
      <c r="B163" s="457"/>
      <c r="C163" s="66" t="s">
        <v>21</v>
      </c>
      <c r="D163" s="67">
        <v>13</v>
      </c>
      <c r="E163" s="67">
        <v>48</v>
      </c>
      <c r="F163" s="67">
        <f>E163*D163</f>
        <v>624</v>
      </c>
      <c r="G163" s="66" t="s">
        <v>808</v>
      </c>
      <c r="H163" s="298"/>
      <c r="I163" s="298"/>
    </row>
    <row r="164" spans="1:9">
      <c r="A164" s="492" t="s">
        <v>30</v>
      </c>
      <c r="B164" s="454"/>
      <c r="C164" s="450"/>
      <c r="D164" s="67">
        <v>10</v>
      </c>
      <c r="E164" s="70" t="s">
        <v>21</v>
      </c>
      <c r="F164" s="67">
        <f>F163</f>
        <v>624</v>
      </c>
      <c r="G164" s="66"/>
      <c r="H164" s="298"/>
      <c r="I164" s="298"/>
    </row>
    <row r="165" spans="1:9">
      <c r="A165" s="492" t="s">
        <v>826</v>
      </c>
      <c r="B165" s="454"/>
      <c r="C165" s="450"/>
      <c r="D165" s="67">
        <v>1</v>
      </c>
      <c r="E165" s="70" t="s">
        <v>21</v>
      </c>
      <c r="F165" s="67">
        <f>F164/D164</f>
        <v>62.4</v>
      </c>
      <c r="G165" s="66"/>
      <c r="H165" s="298"/>
      <c r="I165" s="298"/>
    </row>
    <row r="166" spans="1:9">
      <c r="A166" s="493" t="s">
        <v>829</v>
      </c>
      <c r="B166" s="454"/>
      <c r="C166" s="454"/>
      <c r="D166" s="450"/>
      <c r="E166" s="67"/>
      <c r="F166" s="67">
        <f>F165*1%</f>
        <v>0.624</v>
      </c>
      <c r="G166" s="66"/>
      <c r="H166" s="298"/>
      <c r="I166" s="298"/>
    </row>
    <row r="167" spans="1:9">
      <c r="A167" s="493" t="s">
        <v>30</v>
      </c>
      <c r="B167" s="454"/>
      <c r="C167" s="454"/>
      <c r="D167" s="450"/>
      <c r="E167" s="71"/>
      <c r="F167" s="67">
        <f>F165+F166</f>
        <v>63.024000000000001</v>
      </c>
      <c r="G167" s="66"/>
      <c r="H167" s="298"/>
      <c r="I167" s="298"/>
    </row>
    <row r="168" spans="1:9">
      <c r="A168" s="493" t="s">
        <v>836</v>
      </c>
      <c r="B168" s="454"/>
      <c r="C168" s="454"/>
      <c r="D168" s="450"/>
      <c r="E168" s="67"/>
      <c r="F168" s="67">
        <f>F167*15%</f>
        <v>9.4535999999999998</v>
      </c>
      <c r="G168" s="66"/>
      <c r="H168" s="298"/>
      <c r="I168" s="298"/>
    </row>
    <row r="169" spans="1:9">
      <c r="A169" s="493" t="s">
        <v>30</v>
      </c>
      <c r="B169" s="454"/>
      <c r="C169" s="454"/>
      <c r="D169" s="450"/>
      <c r="E169" s="71"/>
      <c r="F169" s="191">
        <f>ROUND(F167+F168,2)</f>
        <v>72.48</v>
      </c>
      <c r="G169" s="66"/>
      <c r="H169" s="298"/>
      <c r="I169" s="298"/>
    </row>
    <row r="170" spans="1:9">
      <c r="A170" s="490" t="s">
        <v>819</v>
      </c>
      <c r="B170" s="454"/>
      <c r="C170" s="454"/>
      <c r="D170" s="454"/>
      <c r="E170" s="454"/>
      <c r="F170" s="450"/>
      <c r="G170" s="68" t="s">
        <v>820</v>
      </c>
      <c r="H170" s="298"/>
      <c r="I170" s="298"/>
    </row>
    <row r="171" spans="1:9">
      <c r="A171" s="491">
        <v>116</v>
      </c>
      <c r="B171" s="491"/>
      <c r="C171" s="484" t="s">
        <v>527</v>
      </c>
      <c r="D171" s="454"/>
      <c r="E171" s="450"/>
      <c r="F171" s="484"/>
      <c r="G171" s="450"/>
      <c r="H171" s="298"/>
      <c r="I171" s="298"/>
    </row>
    <row r="172" spans="1:9">
      <c r="A172" s="457"/>
      <c r="B172" s="457"/>
      <c r="C172" s="66" t="s">
        <v>26</v>
      </c>
      <c r="D172" s="67">
        <v>0.33</v>
      </c>
      <c r="E172" s="67">
        <v>784</v>
      </c>
      <c r="F172" s="67">
        <f>E172*D172</f>
        <v>258.72000000000003</v>
      </c>
      <c r="G172" s="66" t="s">
        <v>822</v>
      </c>
      <c r="H172" s="298"/>
      <c r="I172" s="298"/>
    </row>
    <row r="173" spans="1:9">
      <c r="A173" s="491">
        <v>117</v>
      </c>
      <c r="B173" s="491"/>
      <c r="C173" s="484" t="s">
        <v>858</v>
      </c>
      <c r="D173" s="454"/>
      <c r="E173" s="450"/>
      <c r="F173" s="484"/>
      <c r="G173" s="450"/>
      <c r="H173" s="298"/>
      <c r="I173" s="298"/>
    </row>
    <row r="174" spans="1:9">
      <c r="A174" s="457"/>
      <c r="B174" s="457"/>
      <c r="C174" s="66" t="s">
        <v>26</v>
      </c>
      <c r="D174" s="67">
        <v>0.66</v>
      </c>
      <c r="E174" s="67">
        <v>714</v>
      </c>
      <c r="F174" s="67">
        <f>E174*D174</f>
        <v>471.24</v>
      </c>
      <c r="G174" s="66" t="s">
        <v>825</v>
      </c>
      <c r="H174" s="298"/>
      <c r="I174" s="298"/>
    </row>
    <row r="175" spans="1:9">
      <c r="A175" s="491">
        <v>114</v>
      </c>
      <c r="B175" s="491"/>
      <c r="C175" s="484" t="s">
        <v>59</v>
      </c>
      <c r="D175" s="454"/>
      <c r="E175" s="450"/>
      <c r="F175" s="484"/>
      <c r="G175" s="450"/>
      <c r="H175" s="298"/>
      <c r="I175" s="298"/>
    </row>
    <row r="176" spans="1:9">
      <c r="A176" s="457"/>
      <c r="B176" s="457"/>
      <c r="C176" s="66" t="s">
        <v>26</v>
      </c>
      <c r="D176" s="67">
        <v>0.66</v>
      </c>
      <c r="E176" s="67">
        <v>645</v>
      </c>
      <c r="F176" s="67">
        <f>E176*D176</f>
        <v>425.70000000000005</v>
      </c>
      <c r="G176" s="66" t="s">
        <v>837</v>
      </c>
      <c r="H176" s="298"/>
      <c r="I176" s="298"/>
    </row>
    <row r="177" spans="1:9">
      <c r="A177" s="490" t="s">
        <v>838</v>
      </c>
      <c r="B177" s="454"/>
      <c r="C177" s="454"/>
      <c r="D177" s="454"/>
      <c r="E177" s="454"/>
      <c r="F177" s="450"/>
      <c r="G177" s="68" t="s">
        <v>820</v>
      </c>
      <c r="H177" s="298"/>
      <c r="I177" s="298"/>
    </row>
    <row r="178" spans="1:9">
      <c r="A178" s="605">
        <v>18.78</v>
      </c>
      <c r="B178" s="614"/>
      <c r="C178" s="599" t="s">
        <v>1699</v>
      </c>
      <c r="D178" s="454"/>
      <c r="E178" s="450"/>
      <c r="F178" s="613"/>
      <c r="G178" s="450"/>
      <c r="H178" s="304"/>
      <c r="I178" s="304"/>
    </row>
    <row r="179" spans="1:9">
      <c r="A179" s="457"/>
      <c r="B179" s="457"/>
      <c r="C179" s="305" t="s">
        <v>1026</v>
      </c>
      <c r="D179" s="306">
        <v>10</v>
      </c>
      <c r="E179" s="306">
        <v>128.38999999999999</v>
      </c>
      <c r="F179" s="306">
        <f>D179*E179</f>
        <v>1283.8999999999999</v>
      </c>
      <c r="G179" s="307" t="s">
        <v>844</v>
      </c>
      <c r="H179" s="304"/>
      <c r="I179" s="304"/>
    </row>
    <row r="180" spans="1:9">
      <c r="A180" s="492" t="s">
        <v>30</v>
      </c>
      <c r="B180" s="454"/>
      <c r="C180" s="450"/>
      <c r="D180" s="67">
        <v>10</v>
      </c>
      <c r="E180" s="70" t="s">
        <v>21</v>
      </c>
      <c r="F180" s="299">
        <f>F172+F174+F176+F179</f>
        <v>2439.56</v>
      </c>
      <c r="G180" s="71"/>
      <c r="H180" s="298"/>
      <c r="I180" s="298"/>
    </row>
    <row r="181" spans="1:9">
      <c r="A181" s="492" t="s">
        <v>826</v>
      </c>
      <c r="B181" s="454"/>
      <c r="C181" s="450"/>
      <c r="D181" s="67">
        <v>1</v>
      </c>
      <c r="E181" s="70" t="s">
        <v>21</v>
      </c>
      <c r="F181" s="67">
        <f>F180/D180</f>
        <v>243.95599999999999</v>
      </c>
      <c r="G181" s="71"/>
      <c r="H181" s="298"/>
      <c r="I181" s="298"/>
    </row>
    <row r="182" spans="1:9">
      <c r="A182" s="493" t="s">
        <v>829</v>
      </c>
      <c r="B182" s="454"/>
      <c r="C182" s="454"/>
      <c r="D182" s="450"/>
      <c r="E182" s="67"/>
      <c r="F182" s="67">
        <f>F181*1%</f>
        <v>2.4395599999999997</v>
      </c>
      <c r="G182" s="71"/>
      <c r="H182" s="298"/>
      <c r="I182" s="298"/>
    </row>
    <row r="183" spans="1:9">
      <c r="A183" s="493" t="s">
        <v>30</v>
      </c>
      <c r="B183" s="454"/>
      <c r="C183" s="454"/>
      <c r="D183" s="450"/>
      <c r="E183" s="71"/>
      <c r="F183" s="67">
        <f>F181+F182</f>
        <v>246.39555999999999</v>
      </c>
      <c r="G183" s="71"/>
      <c r="H183" s="298"/>
      <c r="I183" s="298"/>
    </row>
    <row r="184" spans="1:9">
      <c r="A184" s="493" t="s">
        <v>836</v>
      </c>
      <c r="B184" s="454"/>
      <c r="C184" s="454"/>
      <c r="D184" s="450"/>
      <c r="E184" s="67"/>
      <c r="F184" s="67">
        <f>F183*15%</f>
        <v>36.959333999999998</v>
      </c>
      <c r="G184" s="71"/>
      <c r="H184" s="298"/>
      <c r="I184" s="298"/>
    </row>
    <row r="185" spans="1:9">
      <c r="A185" s="493" t="s">
        <v>30</v>
      </c>
      <c r="B185" s="454"/>
      <c r="C185" s="454"/>
      <c r="D185" s="450"/>
      <c r="E185" s="71"/>
      <c r="F185" s="191">
        <f>ROUND(F183+F184,2)</f>
        <v>283.35000000000002</v>
      </c>
      <c r="G185" s="71"/>
      <c r="H185" s="298"/>
      <c r="I185" s="298"/>
    </row>
    <row r="186" spans="1:9">
      <c r="A186" s="616" t="str">
        <f>CONCATENATE("Say ₹ ",F169," + ",F185," x Cost Index")</f>
        <v>Say ₹ 72.48 + 283.35 x Cost Index</v>
      </c>
      <c r="B186" s="454"/>
      <c r="C186" s="454"/>
      <c r="D186" s="454"/>
      <c r="E186" s="454"/>
      <c r="F186" s="450"/>
      <c r="G186" s="300" t="s">
        <v>1000</v>
      </c>
      <c r="H186" s="301">
        <f>F163*1.01*1.15/10</f>
        <v>72.477599999999995</v>
      </c>
      <c r="I186" s="301">
        <f>(F172+F174+F176+F179)*1.01*1.15/10</f>
        <v>283.35489399999994</v>
      </c>
    </row>
    <row r="187" spans="1:9">
      <c r="A187" s="486" t="s">
        <v>771</v>
      </c>
      <c r="B187" s="486" t="s">
        <v>776</v>
      </c>
      <c r="C187" s="487" t="s">
        <v>4</v>
      </c>
      <c r="D187" s="454"/>
      <c r="E187" s="450"/>
      <c r="F187" s="487" t="s">
        <v>785</v>
      </c>
      <c r="G187" s="450"/>
      <c r="H187" s="298"/>
      <c r="I187" s="298"/>
    </row>
    <row r="188" spans="1:9">
      <c r="A188" s="457"/>
      <c r="B188" s="457"/>
      <c r="C188" s="62" t="s">
        <v>5</v>
      </c>
      <c r="D188" s="62" t="s">
        <v>6</v>
      </c>
      <c r="E188" s="62" t="s">
        <v>336</v>
      </c>
      <c r="F188" s="62" t="s">
        <v>8</v>
      </c>
      <c r="G188" s="62" t="s">
        <v>789</v>
      </c>
      <c r="H188" s="298"/>
      <c r="I188" s="298"/>
    </row>
    <row r="189" spans="1:9">
      <c r="A189" s="617" t="s">
        <v>1792</v>
      </c>
      <c r="B189" s="454"/>
      <c r="C189" s="454"/>
      <c r="D189" s="454"/>
      <c r="E189" s="454"/>
      <c r="F189" s="454"/>
      <c r="G189" s="450"/>
      <c r="H189" s="298"/>
      <c r="I189" s="298"/>
    </row>
    <row r="190" spans="1:9">
      <c r="A190" s="65"/>
      <c r="B190" s="66" t="s">
        <v>795</v>
      </c>
      <c r="C190" s="66" t="s">
        <v>21</v>
      </c>
      <c r="D190" s="66" t="s">
        <v>798</v>
      </c>
      <c r="E190" s="67">
        <v>10</v>
      </c>
      <c r="F190" s="484"/>
      <c r="G190" s="450"/>
      <c r="H190" s="298"/>
      <c r="I190" s="298"/>
    </row>
    <row r="191" spans="1:9">
      <c r="A191" s="66" t="s">
        <v>800</v>
      </c>
      <c r="B191" s="484" t="s">
        <v>512</v>
      </c>
      <c r="C191" s="454"/>
      <c r="D191" s="454"/>
      <c r="E191" s="454"/>
      <c r="F191" s="454"/>
      <c r="G191" s="450"/>
      <c r="H191" s="298"/>
      <c r="I191" s="298"/>
    </row>
    <row r="192" spans="1:9">
      <c r="A192" s="490" t="s">
        <v>802</v>
      </c>
      <c r="B192" s="454"/>
      <c r="C192" s="454"/>
      <c r="D192" s="454"/>
      <c r="E192" s="454"/>
      <c r="F192" s="450"/>
      <c r="G192" s="68" t="s">
        <v>803</v>
      </c>
      <c r="H192" s="298"/>
      <c r="I192" s="298"/>
    </row>
    <row r="193" spans="1:9">
      <c r="A193" s="491"/>
      <c r="B193" s="491" t="s">
        <v>1793</v>
      </c>
      <c r="C193" s="484" t="s">
        <v>1794</v>
      </c>
      <c r="D193" s="454"/>
      <c r="E193" s="450"/>
      <c r="F193" s="484"/>
      <c r="G193" s="450"/>
      <c r="H193" s="298"/>
      <c r="I193" s="298"/>
    </row>
    <row r="194" spans="1:9">
      <c r="A194" s="457"/>
      <c r="B194" s="457"/>
      <c r="C194" s="66" t="s">
        <v>21</v>
      </c>
      <c r="D194" s="67">
        <v>13</v>
      </c>
      <c r="E194" s="67">
        <v>65</v>
      </c>
      <c r="F194" s="67">
        <f>E194*D194</f>
        <v>845</v>
      </c>
      <c r="G194" s="66" t="s">
        <v>808</v>
      </c>
      <c r="H194" s="298"/>
      <c r="I194" s="298"/>
    </row>
    <row r="195" spans="1:9">
      <c r="A195" s="492" t="s">
        <v>30</v>
      </c>
      <c r="B195" s="454"/>
      <c r="C195" s="450"/>
      <c r="D195" s="67">
        <v>10</v>
      </c>
      <c r="E195" s="70" t="s">
        <v>21</v>
      </c>
      <c r="F195" s="67">
        <f>F194</f>
        <v>845</v>
      </c>
      <c r="G195" s="66"/>
      <c r="H195" s="298"/>
      <c r="I195" s="298"/>
    </row>
    <row r="196" spans="1:9">
      <c r="A196" s="492" t="s">
        <v>826</v>
      </c>
      <c r="B196" s="454"/>
      <c r="C196" s="450"/>
      <c r="D196" s="67">
        <v>1</v>
      </c>
      <c r="E196" s="70" t="s">
        <v>21</v>
      </c>
      <c r="F196" s="67">
        <f>F195/D195</f>
        <v>84.5</v>
      </c>
      <c r="G196" s="66"/>
      <c r="H196" s="298"/>
      <c r="I196" s="298"/>
    </row>
    <row r="197" spans="1:9">
      <c r="A197" s="493" t="s">
        <v>829</v>
      </c>
      <c r="B197" s="454"/>
      <c r="C197" s="454"/>
      <c r="D197" s="450"/>
      <c r="E197" s="67"/>
      <c r="F197" s="67">
        <f>F196*1%</f>
        <v>0.84499999999999997</v>
      </c>
      <c r="G197" s="66"/>
      <c r="H197" s="298"/>
      <c r="I197" s="298"/>
    </row>
    <row r="198" spans="1:9">
      <c r="A198" s="493" t="s">
        <v>30</v>
      </c>
      <c r="B198" s="454"/>
      <c r="C198" s="454"/>
      <c r="D198" s="450"/>
      <c r="E198" s="71"/>
      <c r="F198" s="67">
        <f>F196+F197</f>
        <v>85.344999999999999</v>
      </c>
      <c r="G198" s="66"/>
      <c r="H198" s="298"/>
      <c r="I198" s="298"/>
    </row>
    <row r="199" spans="1:9">
      <c r="A199" s="493" t="s">
        <v>836</v>
      </c>
      <c r="B199" s="454"/>
      <c r="C199" s="454"/>
      <c r="D199" s="450"/>
      <c r="E199" s="67"/>
      <c r="F199" s="67">
        <f>F198*15%</f>
        <v>12.80175</v>
      </c>
      <c r="G199" s="66"/>
      <c r="H199" s="298"/>
      <c r="I199" s="298"/>
    </row>
    <row r="200" spans="1:9">
      <c r="A200" s="493" t="s">
        <v>30</v>
      </c>
      <c r="B200" s="454"/>
      <c r="C200" s="454"/>
      <c r="D200" s="450"/>
      <c r="E200" s="71"/>
      <c r="F200" s="191">
        <f>ROUND(F198+F199,2)</f>
        <v>98.15</v>
      </c>
      <c r="G200" s="66"/>
      <c r="H200" s="298"/>
      <c r="I200" s="298"/>
    </row>
    <row r="201" spans="1:9">
      <c r="A201" s="490" t="s">
        <v>819</v>
      </c>
      <c r="B201" s="454"/>
      <c r="C201" s="454"/>
      <c r="D201" s="454"/>
      <c r="E201" s="454"/>
      <c r="F201" s="450"/>
      <c r="G201" s="68" t="s">
        <v>820</v>
      </c>
      <c r="H201" s="298"/>
      <c r="I201" s="298"/>
    </row>
    <row r="202" spans="1:9">
      <c r="A202" s="491">
        <v>116</v>
      </c>
      <c r="B202" s="491"/>
      <c r="C202" s="484" t="s">
        <v>527</v>
      </c>
      <c r="D202" s="454"/>
      <c r="E202" s="450"/>
      <c r="F202" s="484"/>
      <c r="G202" s="450"/>
      <c r="H202" s="298"/>
      <c r="I202" s="298"/>
    </row>
    <row r="203" spans="1:9">
      <c r="A203" s="457"/>
      <c r="B203" s="457"/>
      <c r="C203" s="66" t="s">
        <v>26</v>
      </c>
      <c r="D203" s="67">
        <v>0.33</v>
      </c>
      <c r="E203" s="67">
        <v>784</v>
      </c>
      <c r="F203" s="67">
        <f>E203*D203</f>
        <v>258.72000000000003</v>
      </c>
      <c r="G203" s="66" t="s">
        <v>822</v>
      </c>
      <c r="H203" s="298"/>
      <c r="I203" s="298"/>
    </row>
    <row r="204" spans="1:9">
      <c r="A204" s="491">
        <v>117</v>
      </c>
      <c r="B204" s="491"/>
      <c r="C204" s="484" t="s">
        <v>858</v>
      </c>
      <c r="D204" s="454"/>
      <c r="E204" s="450"/>
      <c r="F204" s="484"/>
      <c r="G204" s="450"/>
      <c r="H204" s="298"/>
      <c r="I204" s="298"/>
    </row>
    <row r="205" spans="1:9">
      <c r="A205" s="457"/>
      <c r="B205" s="457"/>
      <c r="C205" s="66" t="s">
        <v>26</v>
      </c>
      <c r="D205" s="67">
        <v>0.66</v>
      </c>
      <c r="E205" s="67">
        <v>714</v>
      </c>
      <c r="F205" s="67">
        <f>E205*D205</f>
        <v>471.24</v>
      </c>
      <c r="G205" s="66" t="s">
        <v>825</v>
      </c>
      <c r="H205" s="298"/>
      <c r="I205" s="298"/>
    </row>
    <row r="206" spans="1:9">
      <c r="A206" s="491">
        <v>114</v>
      </c>
      <c r="B206" s="491"/>
      <c r="C206" s="484" t="s">
        <v>59</v>
      </c>
      <c r="D206" s="454"/>
      <c r="E206" s="450"/>
      <c r="F206" s="484"/>
      <c r="G206" s="450"/>
      <c r="H206" s="298"/>
      <c r="I206" s="298"/>
    </row>
    <row r="207" spans="1:9">
      <c r="A207" s="457"/>
      <c r="B207" s="457"/>
      <c r="C207" s="66" t="s">
        <v>26</v>
      </c>
      <c r="D207" s="67">
        <v>0.66</v>
      </c>
      <c r="E207" s="67">
        <v>645</v>
      </c>
      <c r="F207" s="67">
        <f>E207*D207</f>
        <v>425.70000000000005</v>
      </c>
      <c r="G207" s="66" t="s">
        <v>837</v>
      </c>
      <c r="H207" s="298"/>
      <c r="I207" s="298"/>
    </row>
    <row r="208" spans="1:9">
      <c r="A208" s="490" t="s">
        <v>838</v>
      </c>
      <c r="B208" s="454"/>
      <c r="C208" s="454"/>
      <c r="D208" s="454"/>
      <c r="E208" s="454"/>
      <c r="F208" s="450"/>
      <c r="G208" s="68" t="s">
        <v>820</v>
      </c>
      <c r="H208" s="298"/>
      <c r="I208" s="298"/>
    </row>
    <row r="209" spans="1:9">
      <c r="A209" s="605">
        <v>18.78</v>
      </c>
      <c r="B209" s="614"/>
      <c r="C209" s="599" t="s">
        <v>1699</v>
      </c>
      <c r="D209" s="454"/>
      <c r="E209" s="450"/>
      <c r="F209" s="613"/>
      <c r="G209" s="450"/>
      <c r="H209" s="304"/>
      <c r="I209" s="304"/>
    </row>
    <row r="210" spans="1:9">
      <c r="A210" s="457"/>
      <c r="B210" s="457"/>
      <c r="C210" s="305" t="s">
        <v>1026</v>
      </c>
      <c r="D210" s="306">
        <v>10</v>
      </c>
      <c r="E210" s="306">
        <v>128.38999999999999</v>
      </c>
      <c r="F210" s="306">
        <f>D210*E210</f>
        <v>1283.8999999999999</v>
      </c>
      <c r="G210" s="307" t="s">
        <v>844</v>
      </c>
      <c r="H210" s="304"/>
      <c r="I210" s="304"/>
    </row>
    <row r="211" spans="1:9">
      <c r="A211" s="492" t="s">
        <v>30</v>
      </c>
      <c r="B211" s="454"/>
      <c r="C211" s="450"/>
      <c r="D211" s="67">
        <v>10</v>
      </c>
      <c r="E211" s="70" t="s">
        <v>21</v>
      </c>
      <c r="F211" s="299">
        <f>F203+F205+F207+F210</f>
        <v>2439.56</v>
      </c>
      <c r="G211" s="71"/>
      <c r="H211" s="298"/>
      <c r="I211" s="298"/>
    </row>
    <row r="212" spans="1:9">
      <c r="A212" s="492" t="s">
        <v>826</v>
      </c>
      <c r="B212" s="454"/>
      <c r="C212" s="450"/>
      <c r="D212" s="67">
        <v>1</v>
      </c>
      <c r="E212" s="70" t="s">
        <v>21</v>
      </c>
      <c r="F212" s="67">
        <f>F211/D211</f>
        <v>243.95599999999999</v>
      </c>
      <c r="G212" s="71"/>
      <c r="H212" s="298"/>
      <c r="I212" s="298"/>
    </row>
    <row r="213" spans="1:9">
      <c r="A213" s="493" t="s">
        <v>829</v>
      </c>
      <c r="B213" s="454"/>
      <c r="C213" s="454"/>
      <c r="D213" s="450"/>
      <c r="E213" s="67"/>
      <c r="F213" s="67">
        <f>F212*1%</f>
        <v>2.4395599999999997</v>
      </c>
      <c r="G213" s="71"/>
      <c r="H213" s="298"/>
      <c r="I213" s="298"/>
    </row>
    <row r="214" spans="1:9">
      <c r="A214" s="493" t="s">
        <v>30</v>
      </c>
      <c r="B214" s="454"/>
      <c r="C214" s="454"/>
      <c r="D214" s="450"/>
      <c r="E214" s="71"/>
      <c r="F214" s="67">
        <f>F212+F213</f>
        <v>246.39555999999999</v>
      </c>
      <c r="G214" s="71"/>
      <c r="H214" s="298"/>
      <c r="I214" s="298"/>
    </row>
    <row r="215" spans="1:9">
      <c r="A215" s="493" t="s">
        <v>836</v>
      </c>
      <c r="B215" s="454"/>
      <c r="C215" s="454"/>
      <c r="D215" s="450"/>
      <c r="E215" s="67"/>
      <c r="F215" s="67">
        <f>F214*15%</f>
        <v>36.959333999999998</v>
      </c>
      <c r="G215" s="71"/>
      <c r="H215" s="298"/>
      <c r="I215" s="298"/>
    </row>
    <row r="216" spans="1:9">
      <c r="A216" s="493" t="s">
        <v>30</v>
      </c>
      <c r="B216" s="454"/>
      <c r="C216" s="454"/>
      <c r="D216" s="450"/>
      <c r="E216" s="71"/>
      <c r="F216" s="191">
        <f>ROUND(F214+F215,2)</f>
        <v>283.35000000000002</v>
      </c>
      <c r="G216" s="71"/>
      <c r="H216" s="298"/>
      <c r="I216" s="298"/>
    </row>
    <row r="217" spans="1:9">
      <c r="A217" s="616" t="str">
        <f>CONCATENATE("Say ₹ ",F200," + ",F216," x Cost Index")</f>
        <v>Say ₹ 98.15 + 283.35 x Cost Index</v>
      </c>
      <c r="B217" s="454"/>
      <c r="C217" s="454"/>
      <c r="D217" s="454"/>
      <c r="E217" s="454"/>
      <c r="F217" s="450"/>
      <c r="G217" s="300" t="s">
        <v>1000</v>
      </c>
      <c r="H217" s="301">
        <f>F194*1.01*1.15/10</f>
        <v>98.146749999999997</v>
      </c>
      <c r="I217" s="301">
        <f>(F203+F205+F207+F210)*1.01*1.15/10</f>
        <v>283.35489399999994</v>
      </c>
    </row>
    <row r="218" spans="1:9">
      <c r="A218" s="486" t="s">
        <v>771</v>
      </c>
      <c r="B218" s="486" t="s">
        <v>776</v>
      </c>
      <c r="C218" s="487" t="s">
        <v>4</v>
      </c>
      <c r="D218" s="454"/>
      <c r="E218" s="450"/>
      <c r="F218" s="487" t="s">
        <v>785</v>
      </c>
      <c r="G218" s="450"/>
      <c r="H218" s="298"/>
      <c r="I218" s="298"/>
    </row>
    <row r="219" spans="1:9">
      <c r="A219" s="457"/>
      <c r="B219" s="457"/>
      <c r="C219" s="62" t="s">
        <v>5</v>
      </c>
      <c r="D219" s="62" t="s">
        <v>6</v>
      </c>
      <c r="E219" s="62" t="s">
        <v>336</v>
      </c>
      <c r="F219" s="62" t="s">
        <v>8</v>
      </c>
      <c r="G219" s="62" t="s">
        <v>789</v>
      </c>
      <c r="H219" s="298"/>
      <c r="I219" s="298"/>
    </row>
    <row r="220" spans="1:9">
      <c r="A220" s="617" t="s">
        <v>1812</v>
      </c>
      <c r="B220" s="454"/>
      <c r="C220" s="454"/>
      <c r="D220" s="454"/>
      <c r="E220" s="454"/>
      <c r="F220" s="454"/>
      <c r="G220" s="450"/>
      <c r="H220" s="298"/>
      <c r="I220" s="298"/>
    </row>
    <row r="221" spans="1:9">
      <c r="A221" s="65"/>
      <c r="B221" s="66" t="s">
        <v>795</v>
      </c>
      <c r="C221" s="66" t="s">
        <v>21</v>
      </c>
      <c r="D221" s="66" t="s">
        <v>798</v>
      </c>
      <c r="E221" s="67">
        <v>10</v>
      </c>
      <c r="F221" s="484"/>
      <c r="G221" s="450"/>
      <c r="H221" s="298"/>
      <c r="I221" s="298"/>
    </row>
    <row r="222" spans="1:9">
      <c r="A222" s="66" t="s">
        <v>800</v>
      </c>
      <c r="B222" s="484" t="s">
        <v>512</v>
      </c>
      <c r="C222" s="454"/>
      <c r="D222" s="454"/>
      <c r="E222" s="454"/>
      <c r="F222" s="454"/>
      <c r="G222" s="450"/>
      <c r="H222" s="298"/>
      <c r="I222" s="298"/>
    </row>
    <row r="223" spans="1:9">
      <c r="A223" s="490" t="s">
        <v>802</v>
      </c>
      <c r="B223" s="454"/>
      <c r="C223" s="454"/>
      <c r="D223" s="454"/>
      <c r="E223" s="454"/>
      <c r="F223" s="450"/>
      <c r="G223" s="68" t="s">
        <v>803</v>
      </c>
      <c r="H223" s="298"/>
      <c r="I223" s="298"/>
    </row>
    <row r="224" spans="1:9">
      <c r="A224" s="491"/>
      <c r="B224" s="491" t="s">
        <v>1793</v>
      </c>
      <c r="C224" s="484" t="s">
        <v>1813</v>
      </c>
      <c r="D224" s="454"/>
      <c r="E224" s="450"/>
      <c r="F224" s="484"/>
      <c r="G224" s="450"/>
      <c r="H224" s="298"/>
      <c r="I224" s="298"/>
    </row>
    <row r="225" spans="1:9">
      <c r="A225" s="457"/>
      <c r="B225" s="457"/>
      <c r="C225" s="66" t="s">
        <v>21</v>
      </c>
      <c r="D225" s="67">
        <v>13</v>
      </c>
      <c r="E225" s="67">
        <v>52</v>
      </c>
      <c r="F225" s="67">
        <f>E225*D225</f>
        <v>676</v>
      </c>
      <c r="G225" s="66" t="s">
        <v>808</v>
      </c>
      <c r="H225" s="298"/>
      <c r="I225" s="298"/>
    </row>
    <row r="226" spans="1:9">
      <c r="A226" s="492" t="s">
        <v>30</v>
      </c>
      <c r="B226" s="454"/>
      <c r="C226" s="450"/>
      <c r="D226" s="67">
        <v>10</v>
      </c>
      <c r="E226" s="70" t="s">
        <v>21</v>
      </c>
      <c r="F226" s="67">
        <f>F225</f>
        <v>676</v>
      </c>
      <c r="G226" s="66"/>
      <c r="H226" s="298"/>
      <c r="I226" s="298"/>
    </row>
    <row r="227" spans="1:9">
      <c r="A227" s="492" t="s">
        <v>826</v>
      </c>
      <c r="B227" s="454"/>
      <c r="C227" s="450"/>
      <c r="D227" s="67">
        <v>1</v>
      </c>
      <c r="E227" s="70" t="s">
        <v>21</v>
      </c>
      <c r="F227" s="67">
        <f>F226/D226</f>
        <v>67.599999999999994</v>
      </c>
      <c r="G227" s="66"/>
      <c r="H227" s="298"/>
      <c r="I227" s="298"/>
    </row>
    <row r="228" spans="1:9">
      <c r="A228" s="493" t="s">
        <v>829</v>
      </c>
      <c r="B228" s="454"/>
      <c r="C228" s="454"/>
      <c r="D228" s="450"/>
      <c r="E228" s="67"/>
      <c r="F228" s="67">
        <f>F227*1%</f>
        <v>0.67599999999999993</v>
      </c>
      <c r="G228" s="66"/>
      <c r="H228" s="298"/>
      <c r="I228" s="298"/>
    </row>
    <row r="229" spans="1:9">
      <c r="A229" s="493" t="s">
        <v>30</v>
      </c>
      <c r="B229" s="454"/>
      <c r="C229" s="454"/>
      <c r="D229" s="450"/>
      <c r="E229" s="71"/>
      <c r="F229" s="67">
        <f>F227+F228</f>
        <v>68.275999999999996</v>
      </c>
      <c r="G229" s="66"/>
      <c r="H229" s="298"/>
      <c r="I229" s="298"/>
    </row>
    <row r="230" spans="1:9">
      <c r="A230" s="493" t="s">
        <v>836</v>
      </c>
      <c r="B230" s="454"/>
      <c r="C230" s="454"/>
      <c r="D230" s="450"/>
      <c r="E230" s="67"/>
      <c r="F230" s="67">
        <f>F229*15%</f>
        <v>10.241399999999999</v>
      </c>
      <c r="G230" s="66"/>
      <c r="H230" s="298"/>
      <c r="I230" s="298"/>
    </row>
    <row r="231" spans="1:9">
      <c r="A231" s="493" t="s">
        <v>30</v>
      </c>
      <c r="B231" s="454"/>
      <c r="C231" s="454"/>
      <c r="D231" s="450"/>
      <c r="E231" s="71"/>
      <c r="F231" s="191">
        <f>ROUND(F229+F230,2)</f>
        <v>78.52</v>
      </c>
      <c r="G231" s="66"/>
      <c r="H231" s="298"/>
      <c r="I231" s="298"/>
    </row>
    <row r="232" spans="1:9">
      <c r="A232" s="490" t="s">
        <v>819</v>
      </c>
      <c r="B232" s="454"/>
      <c r="C232" s="454"/>
      <c r="D232" s="454"/>
      <c r="E232" s="454"/>
      <c r="F232" s="450"/>
      <c r="G232" s="68" t="s">
        <v>820</v>
      </c>
      <c r="H232" s="298"/>
      <c r="I232" s="298"/>
    </row>
    <row r="233" spans="1:9">
      <c r="A233" s="491">
        <v>116</v>
      </c>
      <c r="B233" s="491"/>
      <c r="C233" s="484" t="s">
        <v>527</v>
      </c>
      <c r="D233" s="454"/>
      <c r="E233" s="450"/>
      <c r="F233" s="484"/>
      <c r="G233" s="450"/>
      <c r="H233" s="298"/>
      <c r="I233" s="298"/>
    </row>
    <row r="234" spans="1:9">
      <c r="A234" s="457"/>
      <c r="B234" s="457"/>
      <c r="C234" s="66" t="s">
        <v>26</v>
      </c>
      <c r="D234" s="67">
        <v>0.33</v>
      </c>
      <c r="E234" s="67">
        <v>784</v>
      </c>
      <c r="F234" s="67">
        <f>E234*D234</f>
        <v>258.72000000000003</v>
      </c>
      <c r="G234" s="66" t="s">
        <v>822</v>
      </c>
      <c r="H234" s="298"/>
      <c r="I234" s="298"/>
    </row>
    <row r="235" spans="1:9">
      <c r="A235" s="491">
        <v>117</v>
      </c>
      <c r="B235" s="491"/>
      <c r="C235" s="484" t="s">
        <v>858</v>
      </c>
      <c r="D235" s="454"/>
      <c r="E235" s="450"/>
      <c r="F235" s="484"/>
      <c r="G235" s="450"/>
      <c r="H235" s="298"/>
      <c r="I235" s="298"/>
    </row>
    <row r="236" spans="1:9">
      <c r="A236" s="457"/>
      <c r="B236" s="457"/>
      <c r="C236" s="66" t="s">
        <v>26</v>
      </c>
      <c r="D236" s="67">
        <v>0.66</v>
      </c>
      <c r="E236" s="67">
        <v>714</v>
      </c>
      <c r="F236" s="67">
        <f>E236*D236</f>
        <v>471.24</v>
      </c>
      <c r="G236" s="66" t="s">
        <v>825</v>
      </c>
      <c r="H236" s="298"/>
      <c r="I236" s="298"/>
    </row>
    <row r="237" spans="1:9">
      <c r="A237" s="491">
        <v>114</v>
      </c>
      <c r="B237" s="491"/>
      <c r="C237" s="484" t="s">
        <v>59</v>
      </c>
      <c r="D237" s="454"/>
      <c r="E237" s="450"/>
      <c r="F237" s="484"/>
      <c r="G237" s="450"/>
      <c r="H237" s="298"/>
      <c r="I237" s="298"/>
    </row>
    <row r="238" spans="1:9">
      <c r="A238" s="457"/>
      <c r="B238" s="457"/>
      <c r="C238" s="66" t="s">
        <v>26</v>
      </c>
      <c r="D238" s="67">
        <v>0.66</v>
      </c>
      <c r="E238" s="67">
        <v>645</v>
      </c>
      <c r="F238" s="67">
        <f>E238*D238</f>
        <v>425.70000000000005</v>
      </c>
      <c r="G238" s="66" t="s">
        <v>837</v>
      </c>
      <c r="H238" s="298"/>
      <c r="I238" s="298"/>
    </row>
    <row r="239" spans="1:9">
      <c r="A239" s="490" t="s">
        <v>838</v>
      </c>
      <c r="B239" s="454"/>
      <c r="C239" s="454"/>
      <c r="D239" s="454"/>
      <c r="E239" s="454"/>
      <c r="F239" s="450"/>
      <c r="G239" s="68" t="s">
        <v>820</v>
      </c>
      <c r="H239" s="298"/>
      <c r="I239" s="298"/>
    </row>
    <row r="240" spans="1:9">
      <c r="A240" s="605">
        <v>18.78</v>
      </c>
      <c r="B240" s="614"/>
      <c r="C240" s="599" t="s">
        <v>1699</v>
      </c>
      <c r="D240" s="454"/>
      <c r="E240" s="450"/>
      <c r="F240" s="613"/>
      <c r="G240" s="450"/>
      <c r="H240" s="304"/>
      <c r="I240" s="304"/>
    </row>
    <row r="241" spans="1:9">
      <c r="A241" s="457"/>
      <c r="B241" s="457"/>
      <c r="C241" s="305" t="s">
        <v>1026</v>
      </c>
      <c r="D241" s="306">
        <v>10</v>
      </c>
      <c r="E241" s="306">
        <v>128.38999999999999</v>
      </c>
      <c r="F241" s="306">
        <f>D241*E241</f>
        <v>1283.8999999999999</v>
      </c>
      <c r="G241" s="307" t="s">
        <v>844</v>
      </c>
      <c r="H241" s="304"/>
      <c r="I241" s="304"/>
    </row>
    <row r="242" spans="1:9">
      <c r="A242" s="492" t="s">
        <v>30</v>
      </c>
      <c r="B242" s="454"/>
      <c r="C242" s="450"/>
      <c r="D242" s="67">
        <v>10</v>
      </c>
      <c r="E242" s="70" t="s">
        <v>21</v>
      </c>
      <c r="F242" s="299">
        <f>F234+F236+F238+F241</f>
        <v>2439.56</v>
      </c>
      <c r="G242" s="71"/>
      <c r="H242" s="298"/>
      <c r="I242" s="298"/>
    </row>
    <row r="243" spans="1:9">
      <c r="A243" s="492" t="s">
        <v>826</v>
      </c>
      <c r="B243" s="454"/>
      <c r="C243" s="450"/>
      <c r="D243" s="67">
        <v>1</v>
      </c>
      <c r="E243" s="70" t="s">
        <v>21</v>
      </c>
      <c r="F243" s="67">
        <f>F242/D242</f>
        <v>243.95599999999999</v>
      </c>
      <c r="G243" s="71"/>
      <c r="H243" s="298"/>
      <c r="I243" s="298"/>
    </row>
    <row r="244" spans="1:9">
      <c r="A244" s="493" t="s">
        <v>829</v>
      </c>
      <c r="B244" s="454"/>
      <c r="C244" s="454"/>
      <c r="D244" s="450"/>
      <c r="E244" s="67"/>
      <c r="F244" s="67">
        <f>F243*1%</f>
        <v>2.4395599999999997</v>
      </c>
      <c r="G244" s="71"/>
      <c r="H244" s="298"/>
      <c r="I244" s="298"/>
    </row>
    <row r="245" spans="1:9">
      <c r="A245" s="493" t="s">
        <v>30</v>
      </c>
      <c r="B245" s="454"/>
      <c r="C245" s="454"/>
      <c r="D245" s="450"/>
      <c r="E245" s="71"/>
      <c r="F245" s="67">
        <f>F243+F244</f>
        <v>246.39555999999999</v>
      </c>
      <c r="G245" s="71"/>
      <c r="H245" s="298"/>
      <c r="I245" s="298"/>
    </row>
    <row r="246" spans="1:9">
      <c r="A246" s="493" t="s">
        <v>836</v>
      </c>
      <c r="B246" s="454"/>
      <c r="C246" s="454"/>
      <c r="D246" s="450"/>
      <c r="E246" s="67"/>
      <c r="F246" s="67">
        <f>F245*15%</f>
        <v>36.959333999999998</v>
      </c>
      <c r="G246" s="71"/>
      <c r="H246" s="298"/>
      <c r="I246" s="298"/>
    </row>
    <row r="247" spans="1:9">
      <c r="A247" s="493" t="s">
        <v>30</v>
      </c>
      <c r="B247" s="454"/>
      <c r="C247" s="454"/>
      <c r="D247" s="450"/>
      <c r="E247" s="71"/>
      <c r="F247" s="191">
        <f>ROUND(F245+F246,2)</f>
        <v>283.35000000000002</v>
      </c>
      <c r="G247" s="71"/>
      <c r="H247" s="298"/>
      <c r="I247" s="298"/>
    </row>
    <row r="248" spans="1:9">
      <c r="A248" s="616" t="str">
        <f>CONCATENATE("Say ₹ ",F231," + ",F247," x Cost Index")</f>
        <v>Say ₹ 78.52 + 283.35 x Cost Index</v>
      </c>
      <c r="B248" s="454"/>
      <c r="C248" s="454"/>
      <c r="D248" s="454"/>
      <c r="E248" s="454"/>
      <c r="F248" s="450"/>
      <c r="G248" s="300" t="s">
        <v>1000</v>
      </c>
      <c r="H248" s="301">
        <f>F225*1.01*1.15/10</f>
        <v>78.517399999999995</v>
      </c>
      <c r="I248" s="301">
        <f>(F234+F236+F238+F241)*1.01*1.15/10</f>
        <v>283.35489399999994</v>
      </c>
    </row>
    <row r="249" spans="1:9">
      <c r="A249" s="486" t="s">
        <v>771</v>
      </c>
      <c r="B249" s="486" t="s">
        <v>776</v>
      </c>
      <c r="C249" s="487" t="s">
        <v>4</v>
      </c>
      <c r="D249" s="454"/>
      <c r="E249" s="450"/>
      <c r="F249" s="487" t="s">
        <v>785</v>
      </c>
      <c r="G249" s="450"/>
      <c r="H249" s="298"/>
      <c r="I249" s="298"/>
    </row>
    <row r="250" spans="1:9">
      <c r="A250" s="457"/>
      <c r="B250" s="457"/>
      <c r="C250" s="62" t="s">
        <v>5</v>
      </c>
      <c r="D250" s="62" t="s">
        <v>6</v>
      </c>
      <c r="E250" s="62" t="s">
        <v>336</v>
      </c>
      <c r="F250" s="62" t="s">
        <v>8</v>
      </c>
      <c r="G250" s="62" t="s">
        <v>789</v>
      </c>
      <c r="H250" s="298"/>
      <c r="I250" s="298"/>
    </row>
    <row r="251" spans="1:9">
      <c r="A251" s="617" t="s">
        <v>1828</v>
      </c>
      <c r="B251" s="454"/>
      <c r="C251" s="454"/>
      <c r="D251" s="454"/>
      <c r="E251" s="454"/>
      <c r="F251" s="454"/>
      <c r="G251" s="450"/>
      <c r="H251" s="298"/>
      <c r="I251" s="298"/>
    </row>
    <row r="252" spans="1:9">
      <c r="A252" s="65"/>
      <c r="B252" s="66" t="s">
        <v>795</v>
      </c>
      <c r="C252" s="66" t="s">
        <v>21</v>
      </c>
      <c r="D252" s="66" t="s">
        <v>798</v>
      </c>
      <c r="E252" s="67">
        <v>10</v>
      </c>
      <c r="F252" s="484"/>
      <c r="G252" s="450"/>
      <c r="H252" s="298"/>
      <c r="I252" s="298"/>
    </row>
    <row r="253" spans="1:9">
      <c r="A253" s="66" t="s">
        <v>800</v>
      </c>
      <c r="B253" s="484" t="s">
        <v>1829</v>
      </c>
      <c r="C253" s="454"/>
      <c r="D253" s="454"/>
      <c r="E253" s="454"/>
      <c r="F253" s="454"/>
      <c r="G253" s="450"/>
      <c r="H253" s="298"/>
      <c r="I253" s="298"/>
    </row>
    <row r="254" spans="1:9">
      <c r="A254" s="490" t="s">
        <v>802</v>
      </c>
      <c r="B254" s="454"/>
      <c r="C254" s="454"/>
      <c r="D254" s="454"/>
      <c r="E254" s="454"/>
      <c r="F254" s="450"/>
      <c r="G254" s="68" t="s">
        <v>803</v>
      </c>
      <c r="H254" s="298"/>
      <c r="I254" s="298"/>
    </row>
    <row r="255" spans="1:9">
      <c r="A255" s="491"/>
      <c r="B255" s="491" t="s">
        <v>1823</v>
      </c>
      <c r="C255" s="484" t="s">
        <v>1830</v>
      </c>
      <c r="D255" s="454"/>
      <c r="E255" s="450"/>
      <c r="F255" s="484"/>
      <c r="G255" s="450"/>
      <c r="H255" s="298"/>
      <c r="I255" s="298"/>
    </row>
    <row r="256" spans="1:9">
      <c r="A256" s="457"/>
      <c r="B256" s="457"/>
      <c r="C256" s="66" t="s">
        <v>21</v>
      </c>
      <c r="D256" s="67">
        <v>13</v>
      </c>
      <c r="E256" s="67">
        <v>84</v>
      </c>
      <c r="F256" s="67">
        <f>E256*D256</f>
        <v>1092</v>
      </c>
      <c r="G256" s="66" t="s">
        <v>808</v>
      </c>
      <c r="H256" s="298"/>
      <c r="I256" s="298"/>
    </row>
    <row r="257" spans="1:9">
      <c r="A257" s="492" t="s">
        <v>30</v>
      </c>
      <c r="B257" s="454"/>
      <c r="C257" s="450"/>
      <c r="D257" s="67">
        <v>10</v>
      </c>
      <c r="E257" s="70" t="s">
        <v>21</v>
      </c>
      <c r="F257" s="67">
        <f>F256</f>
        <v>1092</v>
      </c>
      <c r="G257" s="66"/>
      <c r="H257" s="298"/>
      <c r="I257" s="298"/>
    </row>
    <row r="258" spans="1:9">
      <c r="A258" s="492" t="s">
        <v>826</v>
      </c>
      <c r="B258" s="454"/>
      <c r="C258" s="450"/>
      <c r="D258" s="67">
        <v>1</v>
      </c>
      <c r="E258" s="70" t="s">
        <v>21</v>
      </c>
      <c r="F258" s="67">
        <f>F257/D257</f>
        <v>109.2</v>
      </c>
      <c r="G258" s="66"/>
      <c r="H258" s="298"/>
      <c r="I258" s="298"/>
    </row>
    <row r="259" spans="1:9">
      <c r="A259" s="493" t="s">
        <v>829</v>
      </c>
      <c r="B259" s="454"/>
      <c r="C259" s="454"/>
      <c r="D259" s="450"/>
      <c r="E259" s="67"/>
      <c r="F259" s="67">
        <f>F258*1%</f>
        <v>1.0920000000000001</v>
      </c>
      <c r="G259" s="66"/>
      <c r="H259" s="298"/>
      <c r="I259" s="298"/>
    </row>
    <row r="260" spans="1:9">
      <c r="A260" s="493" t="s">
        <v>30</v>
      </c>
      <c r="B260" s="454"/>
      <c r="C260" s="454"/>
      <c r="D260" s="450"/>
      <c r="E260" s="71"/>
      <c r="F260" s="67">
        <f>F258+F259</f>
        <v>110.292</v>
      </c>
      <c r="G260" s="66"/>
      <c r="H260" s="298"/>
      <c r="I260" s="298"/>
    </row>
    <row r="261" spans="1:9">
      <c r="A261" s="493" t="s">
        <v>836</v>
      </c>
      <c r="B261" s="454"/>
      <c r="C261" s="454"/>
      <c r="D261" s="450"/>
      <c r="E261" s="67"/>
      <c r="F261" s="67">
        <f>F260*15%</f>
        <v>16.543800000000001</v>
      </c>
      <c r="G261" s="66"/>
      <c r="H261" s="298"/>
      <c r="I261" s="298"/>
    </row>
    <row r="262" spans="1:9">
      <c r="A262" s="493" t="s">
        <v>30</v>
      </c>
      <c r="B262" s="454"/>
      <c r="C262" s="454"/>
      <c r="D262" s="450"/>
      <c r="E262" s="71"/>
      <c r="F262" s="191">
        <f>ROUND(F260+F261,2)</f>
        <v>126.84</v>
      </c>
      <c r="G262" s="66"/>
      <c r="H262" s="298"/>
      <c r="I262" s="298"/>
    </row>
    <row r="263" spans="1:9">
      <c r="A263" s="490" t="s">
        <v>819</v>
      </c>
      <c r="B263" s="454"/>
      <c r="C263" s="454"/>
      <c r="D263" s="454"/>
      <c r="E263" s="454"/>
      <c r="F263" s="450"/>
      <c r="G263" s="68" t="s">
        <v>820</v>
      </c>
      <c r="H263" s="298"/>
      <c r="I263" s="298"/>
    </row>
    <row r="264" spans="1:9">
      <c r="A264" s="491">
        <v>116</v>
      </c>
      <c r="B264" s="491"/>
      <c r="C264" s="484" t="s">
        <v>527</v>
      </c>
      <c r="D264" s="454"/>
      <c r="E264" s="450"/>
      <c r="F264" s="484"/>
      <c r="G264" s="450"/>
      <c r="H264" s="298"/>
      <c r="I264" s="298"/>
    </row>
    <row r="265" spans="1:9">
      <c r="A265" s="457"/>
      <c r="B265" s="457"/>
      <c r="C265" s="66" t="s">
        <v>26</v>
      </c>
      <c r="D265" s="67">
        <v>0.33</v>
      </c>
      <c r="E265" s="67">
        <v>784</v>
      </c>
      <c r="F265" s="67">
        <f>E265*D265</f>
        <v>258.72000000000003</v>
      </c>
      <c r="G265" s="66" t="s">
        <v>822</v>
      </c>
      <c r="H265" s="298"/>
      <c r="I265" s="298"/>
    </row>
    <row r="266" spans="1:9">
      <c r="A266" s="491">
        <v>117</v>
      </c>
      <c r="B266" s="491"/>
      <c r="C266" s="484" t="s">
        <v>858</v>
      </c>
      <c r="D266" s="454"/>
      <c r="E266" s="450"/>
      <c r="F266" s="484"/>
      <c r="G266" s="450"/>
      <c r="H266" s="298"/>
      <c r="I266" s="298"/>
    </row>
    <row r="267" spans="1:9">
      <c r="A267" s="457"/>
      <c r="B267" s="457"/>
      <c r="C267" s="66" t="s">
        <v>26</v>
      </c>
      <c r="D267" s="67">
        <v>0.66</v>
      </c>
      <c r="E267" s="67">
        <v>714</v>
      </c>
      <c r="F267" s="67">
        <f>E267*D267</f>
        <v>471.24</v>
      </c>
      <c r="G267" s="66" t="s">
        <v>825</v>
      </c>
      <c r="H267" s="298"/>
      <c r="I267" s="298"/>
    </row>
    <row r="268" spans="1:9">
      <c r="A268" s="491">
        <v>114</v>
      </c>
      <c r="B268" s="491"/>
      <c r="C268" s="484" t="s">
        <v>59</v>
      </c>
      <c r="D268" s="454"/>
      <c r="E268" s="450"/>
      <c r="F268" s="484"/>
      <c r="G268" s="450"/>
      <c r="H268" s="298"/>
      <c r="I268" s="298"/>
    </row>
    <row r="269" spans="1:9">
      <c r="A269" s="457"/>
      <c r="B269" s="457"/>
      <c r="C269" s="66" t="s">
        <v>26</v>
      </c>
      <c r="D269" s="67">
        <v>0.66</v>
      </c>
      <c r="E269" s="67">
        <v>645</v>
      </c>
      <c r="F269" s="67">
        <f>E269*D269</f>
        <v>425.70000000000005</v>
      </c>
      <c r="G269" s="66" t="s">
        <v>837</v>
      </c>
      <c r="H269" s="298"/>
      <c r="I269" s="298"/>
    </row>
    <row r="270" spans="1:9">
      <c r="A270" s="490" t="s">
        <v>838</v>
      </c>
      <c r="B270" s="454"/>
      <c r="C270" s="454"/>
      <c r="D270" s="454"/>
      <c r="E270" s="454"/>
      <c r="F270" s="450"/>
      <c r="G270" s="68" t="s">
        <v>820</v>
      </c>
      <c r="H270" s="298"/>
      <c r="I270" s="298"/>
    </row>
    <row r="271" spans="1:9">
      <c r="A271" s="605">
        <v>18.78</v>
      </c>
      <c r="B271" s="614"/>
      <c r="C271" s="599" t="s">
        <v>1699</v>
      </c>
      <c r="D271" s="454"/>
      <c r="E271" s="450"/>
      <c r="F271" s="613"/>
      <c r="G271" s="450"/>
      <c r="H271" s="304"/>
      <c r="I271" s="304"/>
    </row>
    <row r="272" spans="1:9">
      <c r="A272" s="457"/>
      <c r="B272" s="457"/>
      <c r="C272" s="305" t="s">
        <v>1026</v>
      </c>
      <c r="D272" s="306">
        <v>10</v>
      </c>
      <c r="E272" s="306">
        <v>128.38999999999999</v>
      </c>
      <c r="F272" s="306">
        <f>D272*E272</f>
        <v>1283.8999999999999</v>
      </c>
      <c r="G272" s="307" t="s">
        <v>844</v>
      </c>
      <c r="H272" s="304"/>
      <c r="I272" s="304"/>
    </row>
    <row r="273" spans="1:9">
      <c r="A273" s="492" t="s">
        <v>30</v>
      </c>
      <c r="B273" s="454"/>
      <c r="C273" s="450"/>
      <c r="D273" s="67">
        <v>10</v>
      </c>
      <c r="E273" s="70" t="s">
        <v>21</v>
      </c>
      <c r="F273" s="299">
        <f>F265+F267+F269+F272</f>
        <v>2439.56</v>
      </c>
      <c r="G273" s="71"/>
      <c r="H273" s="298"/>
      <c r="I273" s="298"/>
    </row>
    <row r="274" spans="1:9">
      <c r="A274" s="492" t="s">
        <v>826</v>
      </c>
      <c r="B274" s="454"/>
      <c r="C274" s="450"/>
      <c r="D274" s="67">
        <v>1</v>
      </c>
      <c r="E274" s="70" t="s">
        <v>21</v>
      </c>
      <c r="F274" s="67">
        <f>F273/D273</f>
        <v>243.95599999999999</v>
      </c>
      <c r="G274" s="71"/>
      <c r="H274" s="298"/>
      <c r="I274" s="298"/>
    </row>
    <row r="275" spans="1:9">
      <c r="A275" s="493" t="s">
        <v>829</v>
      </c>
      <c r="B275" s="454"/>
      <c r="C275" s="454"/>
      <c r="D275" s="450"/>
      <c r="E275" s="67"/>
      <c r="F275" s="67">
        <f>F274*1%</f>
        <v>2.4395599999999997</v>
      </c>
      <c r="G275" s="71"/>
      <c r="H275" s="298"/>
      <c r="I275" s="298"/>
    </row>
    <row r="276" spans="1:9">
      <c r="A276" s="493" t="s">
        <v>30</v>
      </c>
      <c r="B276" s="454"/>
      <c r="C276" s="454"/>
      <c r="D276" s="450"/>
      <c r="E276" s="71"/>
      <c r="F276" s="67">
        <f>F274+F275</f>
        <v>246.39555999999999</v>
      </c>
      <c r="G276" s="71"/>
      <c r="H276" s="298"/>
      <c r="I276" s="298"/>
    </row>
    <row r="277" spans="1:9">
      <c r="A277" s="493" t="s">
        <v>836</v>
      </c>
      <c r="B277" s="454"/>
      <c r="C277" s="454"/>
      <c r="D277" s="450"/>
      <c r="E277" s="67"/>
      <c r="F277" s="67">
        <f>F276*15%</f>
        <v>36.959333999999998</v>
      </c>
      <c r="G277" s="71"/>
      <c r="H277" s="298"/>
      <c r="I277" s="298"/>
    </row>
    <row r="278" spans="1:9">
      <c r="A278" s="493" t="s">
        <v>30</v>
      </c>
      <c r="B278" s="454"/>
      <c r="C278" s="454"/>
      <c r="D278" s="450"/>
      <c r="E278" s="71"/>
      <c r="F278" s="191">
        <f>ROUND(F276+F277,2)</f>
        <v>283.35000000000002</v>
      </c>
      <c r="G278" s="71"/>
      <c r="H278" s="298"/>
      <c r="I278" s="298"/>
    </row>
    <row r="279" spans="1:9">
      <c r="A279" s="616" t="str">
        <f>CONCATENATE("Say ₹ ",F262," + ",F278," x Cost Index")</f>
        <v>Say ₹ 126.84 + 283.35 x Cost Index</v>
      </c>
      <c r="B279" s="454"/>
      <c r="C279" s="454"/>
      <c r="D279" s="454"/>
      <c r="E279" s="454"/>
      <c r="F279" s="450"/>
      <c r="G279" s="300" t="s">
        <v>1000</v>
      </c>
      <c r="H279" s="301">
        <f>F256*1.01*1.15/10</f>
        <v>126.83579999999999</v>
      </c>
      <c r="I279" s="301">
        <f>(F265+F267+F269+F272)*1.01*1.15/10</f>
        <v>283.35489399999994</v>
      </c>
    </row>
    <row r="280" spans="1:9">
      <c r="A280" s="486" t="s">
        <v>771</v>
      </c>
      <c r="B280" s="486" t="s">
        <v>776</v>
      </c>
      <c r="C280" s="487" t="s">
        <v>4</v>
      </c>
      <c r="D280" s="454"/>
      <c r="E280" s="450"/>
      <c r="F280" s="487" t="s">
        <v>785</v>
      </c>
      <c r="G280" s="450"/>
      <c r="H280" s="298"/>
      <c r="I280" s="298"/>
    </row>
    <row r="281" spans="1:9">
      <c r="A281" s="457"/>
      <c r="B281" s="457"/>
      <c r="C281" s="62" t="s">
        <v>5</v>
      </c>
      <c r="D281" s="62" t="s">
        <v>6</v>
      </c>
      <c r="E281" s="62" t="s">
        <v>336</v>
      </c>
      <c r="F281" s="62" t="s">
        <v>8</v>
      </c>
      <c r="G281" s="62" t="s">
        <v>789</v>
      </c>
      <c r="H281" s="298"/>
      <c r="I281" s="298"/>
    </row>
    <row r="282" spans="1:9">
      <c r="A282" s="617" t="s">
        <v>1845</v>
      </c>
      <c r="B282" s="454"/>
      <c r="C282" s="454"/>
      <c r="D282" s="454"/>
      <c r="E282" s="454"/>
      <c r="F282" s="454"/>
      <c r="G282" s="450"/>
      <c r="H282" s="298"/>
      <c r="I282" s="298"/>
    </row>
    <row r="283" spans="1:9">
      <c r="A283" s="65"/>
      <c r="B283" s="66" t="s">
        <v>795</v>
      </c>
      <c r="C283" s="66" t="s">
        <v>21</v>
      </c>
      <c r="D283" s="66" t="s">
        <v>798</v>
      </c>
      <c r="E283" s="67">
        <v>10</v>
      </c>
      <c r="F283" s="484"/>
      <c r="G283" s="450"/>
      <c r="H283" s="298"/>
      <c r="I283" s="298"/>
    </row>
    <row r="284" spans="1:9">
      <c r="A284" s="66" t="s">
        <v>800</v>
      </c>
      <c r="B284" s="484" t="s">
        <v>512</v>
      </c>
      <c r="C284" s="454"/>
      <c r="D284" s="454"/>
      <c r="E284" s="454"/>
      <c r="F284" s="454"/>
      <c r="G284" s="450"/>
      <c r="H284" s="298"/>
      <c r="I284" s="298"/>
    </row>
    <row r="285" spans="1:9">
      <c r="A285" s="490" t="s">
        <v>802</v>
      </c>
      <c r="B285" s="454"/>
      <c r="C285" s="454"/>
      <c r="D285" s="454"/>
      <c r="E285" s="454"/>
      <c r="F285" s="450"/>
      <c r="G285" s="68" t="s">
        <v>803</v>
      </c>
      <c r="H285" s="298"/>
      <c r="I285" s="298"/>
    </row>
    <row r="286" spans="1:9">
      <c r="A286" s="491"/>
      <c r="B286" s="491" t="s">
        <v>1816</v>
      </c>
      <c r="C286" s="484" t="s">
        <v>1846</v>
      </c>
      <c r="D286" s="454"/>
      <c r="E286" s="450"/>
      <c r="F286" s="484"/>
      <c r="G286" s="450"/>
      <c r="H286" s="298"/>
      <c r="I286" s="298"/>
    </row>
    <row r="287" spans="1:9">
      <c r="A287" s="457"/>
      <c r="B287" s="457"/>
      <c r="C287" s="66" t="s">
        <v>21</v>
      </c>
      <c r="D287" s="67">
        <v>13</v>
      </c>
      <c r="E287" s="67">
        <v>53</v>
      </c>
      <c r="F287" s="67">
        <f>E287*D287</f>
        <v>689</v>
      </c>
      <c r="G287" s="66" t="s">
        <v>808</v>
      </c>
      <c r="H287" s="298"/>
      <c r="I287" s="298"/>
    </row>
    <row r="288" spans="1:9">
      <c r="A288" s="492" t="s">
        <v>30</v>
      </c>
      <c r="B288" s="454"/>
      <c r="C288" s="450"/>
      <c r="D288" s="67">
        <v>10</v>
      </c>
      <c r="E288" s="70" t="s">
        <v>21</v>
      </c>
      <c r="F288" s="67">
        <f>F287</f>
        <v>689</v>
      </c>
      <c r="G288" s="66"/>
      <c r="H288" s="298"/>
      <c r="I288" s="298"/>
    </row>
    <row r="289" spans="1:9">
      <c r="A289" s="492" t="s">
        <v>826</v>
      </c>
      <c r="B289" s="454"/>
      <c r="C289" s="450"/>
      <c r="D289" s="67">
        <v>1</v>
      </c>
      <c r="E289" s="70" t="s">
        <v>21</v>
      </c>
      <c r="F289" s="67">
        <f>F288/D288</f>
        <v>68.900000000000006</v>
      </c>
      <c r="G289" s="66"/>
      <c r="H289" s="298"/>
      <c r="I289" s="298"/>
    </row>
    <row r="290" spans="1:9">
      <c r="A290" s="493" t="s">
        <v>829</v>
      </c>
      <c r="B290" s="454"/>
      <c r="C290" s="454"/>
      <c r="D290" s="450"/>
      <c r="E290" s="67"/>
      <c r="F290" s="67">
        <f>F289*1%</f>
        <v>0.68900000000000006</v>
      </c>
      <c r="G290" s="66"/>
      <c r="H290" s="298"/>
      <c r="I290" s="298"/>
    </row>
    <row r="291" spans="1:9">
      <c r="A291" s="493" t="s">
        <v>30</v>
      </c>
      <c r="B291" s="454"/>
      <c r="C291" s="454"/>
      <c r="D291" s="450"/>
      <c r="E291" s="71"/>
      <c r="F291" s="67">
        <f>F289+F290</f>
        <v>69.588999999999999</v>
      </c>
      <c r="G291" s="66"/>
      <c r="H291" s="298"/>
      <c r="I291" s="298"/>
    </row>
    <row r="292" spans="1:9">
      <c r="A292" s="493" t="s">
        <v>836</v>
      </c>
      <c r="B292" s="454"/>
      <c r="C292" s="454"/>
      <c r="D292" s="450"/>
      <c r="E292" s="67"/>
      <c r="F292" s="67">
        <f>F291*15%</f>
        <v>10.43835</v>
      </c>
      <c r="G292" s="66"/>
      <c r="H292" s="298"/>
      <c r="I292" s="298"/>
    </row>
    <row r="293" spans="1:9">
      <c r="A293" s="493" t="s">
        <v>30</v>
      </c>
      <c r="B293" s="454"/>
      <c r="C293" s="454"/>
      <c r="D293" s="450"/>
      <c r="E293" s="71"/>
      <c r="F293" s="191">
        <f>ROUND(F291+F292,2)</f>
        <v>80.03</v>
      </c>
      <c r="G293" s="66"/>
      <c r="H293" s="298"/>
      <c r="I293" s="298"/>
    </row>
    <row r="294" spans="1:9">
      <c r="A294" s="490" t="s">
        <v>819</v>
      </c>
      <c r="B294" s="454"/>
      <c r="C294" s="454"/>
      <c r="D294" s="454"/>
      <c r="E294" s="454"/>
      <c r="F294" s="450"/>
      <c r="G294" s="68" t="s">
        <v>820</v>
      </c>
      <c r="H294" s="298"/>
      <c r="I294" s="298"/>
    </row>
    <row r="295" spans="1:9">
      <c r="A295" s="491">
        <v>116</v>
      </c>
      <c r="B295" s="491"/>
      <c r="C295" s="484" t="s">
        <v>527</v>
      </c>
      <c r="D295" s="454"/>
      <c r="E295" s="450"/>
      <c r="F295" s="484"/>
      <c r="G295" s="450"/>
      <c r="H295" s="298"/>
      <c r="I295" s="298"/>
    </row>
    <row r="296" spans="1:9">
      <c r="A296" s="457"/>
      <c r="B296" s="457"/>
      <c r="C296" s="66" t="s">
        <v>26</v>
      </c>
      <c r="D296" s="67">
        <v>0.33</v>
      </c>
      <c r="E296" s="67">
        <v>784</v>
      </c>
      <c r="F296" s="67">
        <f>E296*D296</f>
        <v>258.72000000000003</v>
      </c>
      <c r="G296" s="66" t="s">
        <v>822</v>
      </c>
      <c r="H296" s="298"/>
      <c r="I296" s="298"/>
    </row>
    <row r="297" spans="1:9">
      <c r="A297" s="491">
        <v>117</v>
      </c>
      <c r="B297" s="491"/>
      <c r="C297" s="484" t="s">
        <v>858</v>
      </c>
      <c r="D297" s="454"/>
      <c r="E297" s="450"/>
      <c r="F297" s="484"/>
      <c r="G297" s="450"/>
      <c r="H297" s="298"/>
      <c r="I297" s="298"/>
    </row>
    <row r="298" spans="1:9">
      <c r="A298" s="457"/>
      <c r="B298" s="457"/>
      <c r="C298" s="66" t="s">
        <v>26</v>
      </c>
      <c r="D298" s="67">
        <v>0.66</v>
      </c>
      <c r="E298" s="67">
        <v>714</v>
      </c>
      <c r="F298" s="67">
        <f>E298*D298</f>
        <v>471.24</v>
      </c>
      <c r="G298" s="66" t="s">
        <v>825</v>
      </c>
      <c r="H298" s="298"/>
      <c r="I298" s="298"/>
    </row>
    <row r="299" spans="1:9">
      <c r="A299" s="491">
        <v>114</v>
      </c>
      <c r="B299" s="491"/>
      <c r="C299" s="484" t="s">
        <v>59</v>
      </c>
      <c r="D299" s="454"/>
      <c r="E299" s="450"/>
      <c r="F299" s="484"/>
      <c r="G299" s="450"/>
      <c r="H299" s="298"/>
      <c r="I299" s="298"/>
    </row>
    <row r="300" spans="1:9">
      <c r="A300" s="457"/>
      <c r="B300" s="457"/>
      <c r="C300" s="66" t="s">
        <v>26</v>
      </c>
      <c r="D300" s="67">
        <v>0.66</v>
      </c>
      <c r="E300" s="67">
        <v>645</v>
      </c>
      <c r="F300" s="67">
        <f>E300*D300</f>
        <v>425.70000000000005</v>
      </c>
      <c r="G300" s="66" t="s">
        <v>837</v>
      </c>
      <c r="H300" s="298"/>
      <c r="I300" s="298"/>
    </row>
    <row r="301" spans="1:9">
      <c r="A301" s="490" t="s">
        <v>838</v>
      </c>
      <c r="B301" s="454"/>
      <c r="C301" s="454"/>
      <c r="D301" s="454"/>
      <c r="E301" s="454"/>
      <c r="F301" s="450"/>
      <c r="G301" s="68" t="s">
        <v>820</v>
      </c>
      <c r="H301" s="298"/>
      <c r="I301" s="298"/>
    </row>
    <row r="302" spans="1:9">
      <c r="A302" s="605">
        <v>18.78</v>
      </c>
      <c r="B302" s="614"/>
      <c r="C302" s="599" t="s">
        <v>1699</v>
      </c>
      <c r="D302" s="454"/>
      <c r="E302" s="450"/>
      <c r="F302" s="613"/>
      <c r="G302" s="450"/>
      <c r="H302" s="304"/>
      <c r="I302" s="304"/>
    </row>
    <row r="303" spans="1:9">
      <c r="A303" s="457"/>
      <c r="B303" s="457"/>
      <c r="C303" s="305" t="s">
        <v>1026</v>
      </c>
      <c r="D303" s="306">
        <v>10</v>
      </c>
      <c r="E303" s="306">
        <v>128.38999999999999</v>
      </c>
      <c r="F303" s="306">
        <f>D303*E303</f>
        <v>1283.8999999999999</v>
      </c>
      <c r="G303" s="307" t="s">
        <v>844</v>
      </c>
      <c r="H303" s="304"/>
      <c r="I303" s="304"/>
    </row>
    <row r="304" spans="1:9">
      <c r="A304" s="492" t="s">
        <v>30</v>
      </c>
      <c r="B304" s="454"/>
      <c r="C304" s="450"/>
      <c r="D304" s="67">
        <v>10</v>
      </c>
      <c r="E304" s="70" t="s">
        <v>21</v>
      </c>
      <c r="F304" s="299">
        <f>F296+F298+F300+F303</f>
        <v>2439.56</v>
      </c>
      <c r="G304" s="71"/>
      <c r="H304" s="298"/>
      <c r="I304" s="298"/>
    </row>
    <row r="305" spans="1:9">
      <c r="A305" s="492" t="s">
        <v>826</v>
      </c>
      <c r="B305" s="454"/>
      <c r="C305" s="450"/>
      <c r="D305" s="67">
        <v>1</v>
      </c>
      <c r="E305" s="70" t="s">
        <v>21</v>
      </c>
      <c r="F305" s="67">
        <f>F304/D304</f>
        <v>243.95599999999999</v>
      </c>
      <c r="G305" s="71"/>
      <c r="H305" s="298"/>
      <c r="I305" s="298"/>
    </row>
    <row r="306" spans="1:9">
      <c r="A306" s="493" t="s">
        <v>829</v>
      </c>
      <c r="B306" s="454"/>
      <c r="C306" s="454"/>
      <c r="D306" s="450"/>
      <c r="E306" s="67"/>
      <c r="F306" s="67">
        <f>F305*1%</f>
        <v>2.4395599999999997</v>
      </c>
      <c r="G306" s="71"/>
      <c r="H306" s="298"/>
      <c r="I306" s="298"/>
    </row>
    <row r="307" spans="1:9">
      <c r="A307" s="493" t="s">
        <v>30</v>
      </c>
      <c r="B307" s="454"/>
      <c r="C307" s="454"/>
      <c r="D307" s="450"/>
      <c r="E307" s="71"/>
      <c r="F307" s="67">
        <f>F305+F306</f>
        <v>246.39555999999999</v>
      </c>
      <c r="G307" s="71"/>
      <c r="H307" s="298"/>
      <c r="I307" s="298"/>
    </row>
    <row r="308" spans="1:9">
      <c r="A308" s="493" t="s">
        <v>836</v>
      </c>
      <c r="B308" s="454"/>
      <c r="C308" s="454"/>
      <c r="D308" s="450"/>
      <c r="E308" s="67"/>
      <c r="F308" s="67">
        <f>F307*15%</f>
        <v>36.959333999999998</v>
      </c>
      <c r="G308" s="71"/>
      <c r="H308" s="298"/>
      <c r="I308" s="298"/>
    </row>
    <row r="309" spans="1:9">
      <c r="A309" s="493" t="s">
        <v>30</v>
      </c>
      <c r="B309" s="454"/>
      <c r="C309" s="454"/>
      <c r="D309" s="450"/>
      <c r="E309" s="71"/>
      <c r="F309" s="191">
        <f>ROUND(F307+F308,2)</f>
        <v>283.35000000000002</v>
      </c>
      <c r="G309" s="71"/>
      <c r="H309" s="298"/>
      <c r="I309" s="298"/>
    </row>
    <row r="310" spans="1:9">
      <c r="A310" s="616" t="str">
        <f>CONCATENATE("Say ₹ ",F293," + ",F309," x Cost Index")</f>
        <v>Say ₹ 80.03 + 283.35 x Cost Index</v>
      </c>
      <c r="B310" s="454"/>
      <c r="C310" s="454"/>
      <c r="D310" s="454"/>
      <c r="E310" s="454"/>
      <c r="F310" s="450"/>
      <c r="G310" s="300" t="s">
        <v>1000</v>
      </c>
      <c r="H310" s="301">
        <f>F287*1.01*1.15/10</f>
        <v>80.027349999999984</v>
      </c>
      <c r="I310" s="301">
        <f>(F296+F298+F300+F303)*1.01*1.15/10</f>
        <v>283.35489399999994</v>
      </c>
    </row>
    <row r="311" spans="1:9">
      <c r="A311" s="486" t="s">
        <v>771</v>
      </c>
      <c r="B311" s="486" t="s">
        <v>776</v>
      </c>
      <c r="C311" s="487" t="s">
        <v>4</v>
      </c>
      <c r="D311" s="454"/>
      <c r="E311" s="450"/>
      <c r="F311" s="487" t="s">
        <v>785</v>
      </c>
      <c r="G311" s="450"/>
      <c r="H311" s="298"/>
      <c r="I311" s="298"/>
    </row>
    <row r="312" spans="1:9">
      <c r="A312" s="457"/>
      <c r="B312" s="457"/>
      <c r="C312" s="62" t="s">
        <v>5</v>
      </c>
      <c r="D312" s="62" t="s">
        <v>6</v>
      </c>
      <c r="E312" s="62" t="s">
        <v>336</v>
      </c>
      <c r="F312" s="62" t="s">
        <v>8</v>
      </c>
      <c r="G312" s="62" t="s">
        <v>789</v>
      </c>
      <c r="H312" s="298"/>
      <c r="I312" s="298"/>
    </row>
    <row r="313" spans="1:9">
      <c r="A313" s="617" t="s">
        <v>1857</v>
      </c>
      <c r="B313" s="454"/>
      <c r="C313" s="454"/>
      <c r="D313" s="454"/>
      <c r="E313" s="454"/>
      <c r="F313" s="454"/>
      <c r="G313" s="450"/>
      <c r="H313" s="298"/>
      <c r="I313" s="298"/>
    </row>
    <row r="314" spans="1:9">
      <c r="A314" s="302"/>
      <c r="B314" s="303" t="s">
        <v>795</v>
      </c>
      <c r="C314" s="303" t="s">
        <v>21</v>
      </c>
      <c r="D314" s="303" t="s">
        <v>798</v>
      </c>
      <c r="E314" s="299">
        <v>10</v>
      </c>
      <c r="F314" s="610"/>
      <c r="G314" s="450"/>
      <c r="H314" s="298"/>
      <c r="I314" s="298"/>
    </row>
    <row r="315" spans="1:9">
      <c r="A315" s="303" t="s">
        <v>800</v>
      </c>
      <c r="B315" s="610" t="s">
        <v>512</v>
      </c>
      <c r="C315" s="454"/>
      <c r="D315" s="454"/>
      <c r="E315" s="454"/>
      <c r="F315" s="454"/>
      <c r="G315" s="450"/>
      <c r="H315" s="298"/>
      <c r="I315" s="298"/>
    </row>
    <row r="316" spans="1:9">
      <c r="A316" s="490" t="s">
        <v>802</v>
      </c>
      <c r="B316" s="454"/>
      <c r="C316" s="454"/>
      <c r="D316" s="454"/>
      <c r="E316" s="454"/>
      <c r="F316" s="450"/>
      <c r="G316" s="68" t="s">
        <v>803</v>
      </c>
      <c r="H316" s="298"/>
      <c r="I316" s="298"/>
    </row>
    <row r="317" spans="1:9">
      <c r="A317" s="611"/>
      <c r="B317" s="611" t="s">
        <v>1838</v>
      </c>
      <c r="C317" s="610" t="s">
        <v>1859</v>
      </c>
      <c r="D317" s="454"/>
      <c r="E317" s="450"/>
      <c r="F317" s="610"/>
      <c r="G317" s="450"/>
      <c r="H317" s="298"/>
      <c r="I317" s="298"/>
    </row>
    <row r="318" spans="1:9">
      <c r="A318" s="457"/>
      <c r="B318" s="457"/>
      <c r="C318" s="303" t="s">
        <v>21</v>
      </c>
      <c r="D318" s="299">
        <v>13</v>
      </c>
      <c r="E318" s="299">
        <v>90</v>
      </c>
      <c r="F318" s="67">
        <f>E318*D318</f>
        <v>1170</v>
      </c>
      <c r="G318" s="303" t="s">
        <v>808</v>
      </c>
      <c r="H318" s="298"/>
      <c r="I318" s="298"/>
    </row>
    <row r="319" spans="1:9">
      <c r="A319" s="492" t="s">
        <v>30</v>
      </c>
      <c r="B319" s="454"/>
      <c r="C319" s="450"/>
      <c r="D319" s="67">
        <v>10</v>
      </c>
      <c r="E319" s="70" t="s">
        <v>21</v>
      </c>
      <c r="F319" s="67">
        <f>F318</f>
        <v>1170</v>
      </c>
      <c r="G319" s="303"/>
      <c r="H319" s="298"/>
      <c r="I319" s="298"/>
    </row>
    <row r="320" spans="1:9">
      <c r="A320" s="492" t="s">
        <v>826</v>
      </c>
      <c r="B320" s="454"/>
      <c r="C320" s="450"/>
      <c r="D320" s="67">
        <v>1</v>
      </c>
      <c r="E320" s="70" t="s">
        <v>21</v>
      </c>
      <c r="F320" s="67">
        <f>F319/D319</f>
        <v>117</v>
      </c>
      <c r="G320" s="303"/>
      <c r="H320" s="298"/>
      <c r="I320" s="298"/>
    </row>
    <row r="321" spans="1:9">
      <c r="A321" s="493" t="s">
        <v>829</v>
      </c>
      <c r="B321" s="454"/>
      <c r="C321" s="454"/>
      <c r="D321" s="450"/>
      <c r="E321" s="67"/>
      <c r="F321" s="67">
        <f>F320*1%</f>
        <v>1.17</v>
      </c>
      <c r="G321" s="303"/>
      <c r="H321" s="298"/>
      <c r="I321" s="298"/>
    </row>
    <row r="322" spans="1:9">
      <c r="A322" s="493" t="s">
        <v>30</v>
      </c>
      <c r="B322" s="454"/>
      <c r="C322" s="454"/>
      <c r="D322" s="450"/>
      <c r="E322" s="71"/>
      <c r="F322" s="67">
        <f>F320+F321</f>
        <v>118.17</v>
      </c>
      <c r="G322" s="303"/>
      <c r="H322" s="298"/>
      <c r="I322" s="298"/>
    </row>
    <row r="323" spans="1:9">
      <c r="A323" s="493" t="s">
        <v>836</v>
      </c>
      <c r="B323" s="454"/>
      <c r="C323" s="454"/>
      <c r="D323" s="450"/>
      <c r="E323" s="67"/>
      <c r="F323" s="67">
        <f>F322*15%</f>
        <v>17.7255</v>
      </c>
      <c r="G323" s="303"/>
      <c r="H323" s="298"/>
      <c r="I323" s="298"/>
    </row>
    <row r="324" spans="1:9">
      <c r="A324" s="493" t="s">
        <v>30</v>
      </c>
      <c r="B324" s="454"/>
      <c r="C324" s="454"/>
      <c r="D324" s="450"/>
      <c r="E324" s="71"/>
      <c r="F324" s="191">
        <f>ROUND(F322+F323,2)</f>
        <v>135.9</v>
      </c>
      <c r="G324" s="303"/>
      <c r="H324" s="298"/>
      <c r="I324" s="298"/>
    </row>
    <row r="325" spans="1:9">
      <c r="A325" s="490" t="s">
        <v>819</v>
      </c>
      <c r="B325" s="454"/>
      <c r="C325" s="454"/>
      <c r="D325" s="454"/>
      <c r="E325" s="454"/>
      <c r="F325" s="450"/>
      <c r="G325" s="68" t="s">
        <v>820</v>
      </c>
      <c r="H325" s="298"/>
      <c r="I325" s="298"/>
    </row>
    <row r="326" spans="1:9">
      <c r="A326" s="611">
        <v>116</v>
      </c>
      <c r="B326" s="611"/>
      <c r="C326" s="610" t="s">
        <v>527</v>
      </c>
      <c r="D326" s="454"/>
      <c r="E326" s="450"/>
      <c r="F326" s="610"/>
      <c r="G326" s="450"/>
      <c r="H326" s="298"/>
      <c r="I326" s="298"/>
    </row>
    <row r="327" spans="1:9">
      <c r="A327" s="457"/>
      <c r="B327" s="457"/>
      <c r="C327" s="303" t="s">
        <v>26</v>
      </c>
      <c r="D327" s="299">
        <v>0.33</v>
      </c>
      <c r="E327" s="299">
        <v>784</v>
      </c>
      <c r="F327" s="67">
        <f>E327*D327</f>
        <v>258.72000000000003</v>
      </c>
      <c r="G327" s="303" t="s">
        <v>822</v>
      </c>
      <c r="H327" s="298"/>
      <c r="I327" s="298"/>
    </row>
    <row r="328" spans="1:9">
      <c r="A328" s="611">
        <v>117</v>
      </c>
      <c r="B328" s="611"/>
      <c r="C328" s="610" t="s">
        <v>858</v>
      </c>
      <c r="D328" s="454"/>
      <c r="E328" s="450"/>
      <c r="F328" s="610"/>
      <c r="G328" s="450"/>
      <c r="H328" s="298"/>
      <c r="I328" s="298"/>
    </row>
    <row r="329" spans="1:9">
      <c r="A329" s="457"/>
      <c r="B329" s="457"/>
      <c r="C329" s="303" t="s">
        <v>26</v>
      </c>
      <c r="D329" s="299">
        <v>0.66</v>
      </c>
      <c r="E329" s="299">
        <v>714</v>
      </c>
      <c r="F329" s="67">
        <f>E329*D329</f>
        <v>471.24</v>
      </c>
      <c r="G329" s="303" t="s">
        <v>825</v>
      </c>
      <c r="H329" s="298"/>
      <c r="I329" s="298"/>
    </row>
    <row r="330" spans="1:9">
      <c r="A330" s="611">
        <v>114</v>
      </c>
      <c r="B330" s="611"/>
      <c r="C330" s="610" t="s">
        <v>59</v>
      </c>
      <c r="D330" s="454"/>
      <c r="E330" s="450"/>
      <c r="F330" s="610"/>
      <c r="G330" s="450"/>
      <c r="H330" s="298"/>
      <c r="I330" s="298"/>
    </row>
    <row r="331" spans="1:9">
      <c r="A331" s="457"/>
      <c r="B331" s="457"/>
      <c r="C331" s="303" t="s">
        <v>26</v>
      </c>
      <c r="D331" s="299">
        <v>0.66</v>
      </c>
      <c r="E331" s="299">
        <v>645</v>
      </c>
      <c r="F331" s="67">
        <f>E331*D331</f>
        <v>425.70000000000005</v>
      </c>
      <c r="G331" s="303" t="s">
        <v>837</v>
      </c>
      <c r="H331" s="298"/>
      <c r="I331" s="298"/>
    </row>
    <row r="332" spans="1:9">
      <c r="A332" s="490" t="s">
        <v>838</v>
      </c>
      <c r="B332" s="454"/>
      <c r="C332" s="454"/>
      <c r="D332" s="454"/>
      <c r="E332" s="454"/>
      <c r="F332" s="450"/>
      <c r="G332" s="68" t="s">
        <v>820</v>
      </c>
      <c r="H332" s="298"/>
      <c r="I332" s="298"/>
    </row>
    <row r="333" spans="1:9">
      <c r="A333" s="605">
        <v>18.78</v>
      </c>
      <c r="B333" s="614"/>
      <c r="C333" s="599" t="s">
        <v>1699</v>
      </c>
      <c r="D333" s="454"/>
      <c r="E333" s="450"/>
      <c r="F333" s="613"/>
      <c r="G333" s="450"/>
      <c r="H333" s="304"/>
      <c r="I333" s="304"/>
    </row>
    <row r="334" spans="1:9">
      <c r="A334" s="457"/>
      <c r="B334" s="457"/>
      <c r="C334" s="305" t="s">
        <v>1026</v>
      </c>
      <c r="D334" s="306">
        <v>10</v>
      </c>
      <c r="E334" s="306">
        <v>128.38999999999999</v>
      </c>
      <c r="F334" s="306">
        <f>D334*E334</f>
        <v>1283.8999999999999</v>
      </c>
      <c r="G334" s="307" t="s">
        <v>844</v>
      </c>
      <c r="H334" s="304"/>
      <c r="I334" s="304"/>
    </row>
    <row r="335" spans="1:9">
      <c r="A335" s="492" t="s">
        <v>30</v>
      </c>
      <c r="B335" s="454"/>
      <c r="C335" s="450"/>
      <c r="D335" s="67">
        <v>10</v>
      </c>
      <c r="E335" s="70" t="s">
        <v>21</v>
      </c>
      <c r="F335" s="299">
        <f>F327+F329+F331+F334</f>
        <v>2439.56</v>
      </c>
      <c r="G335" s="71"/>
      <c r="H335" s="298"/>
      <c r="I335" s="298"/>
    </row>
    <row r="336" spans="1:9">
      <c r="A336" s="492" t="s">
        <v>826</v>
      </c>
      <c r="B336" s="454"/>
      <c r="C336" s="450"/>
      <c r="D336" s="67">
        <v>1</v>
      </c>
      <c r="E336" s="70" t="s">
        <v>21</v>
      </c>
      <c r="F336" s="67">
        <f>F335/D335</f>
        <v>243.95599999999999</v>
      </c>
      <c r="G336" s="71"/>
      <c r="H336" s="298"/>
      <c r="I336" s="298"/>
    </row>
    <row r="337" spans="1:9">
      <c r="A337" s="493" t="s">
        <v>829</v>
      </c>
      <c r="B337" s="454"/>
      <c r="C337" s="454"/>
      <c r="D337" s="450"/>
      <c r="E337" s="67"/>
      <c r="F337" s="67">
        <f>F336*1%</f>
        <v>2.4395599999999997</v>
      </c>
      <c r="G337" s="71"/>
      <c r="H337" s="298"/>
      <c r="I337" s="298"/>
    </row>
    <row r="338" spans="1:9">
      <c r="A338" s="493" t="s">
        <v>30</v>
      </c>
      <c r="B338" s="454"/>
      <c r="C338" s="454"/>
      <c r="D338" s="450"/>
      <c r="E338" s="71"/>
      <c r="F338" s="67">
        <f>F336+F337</f>
        <v>246.39555999999999</v>
      </c>
      <c r="G338" s="71"/>
      <c r="H338" s="298"/>
      <c r="I338" s="298"/>
    </row>
    <row r="339" spans="1:9">
      <c r="A339" s="493" t="s">
        <v>836</v>
      </c>
      <c r="B339" s="454"/>
      <c r="C339" s="454"/>
      <c r="D339" s="450"/>
      <c r="E339" s="67"/>
      <c r="F339" s="67">
        <f>F338*15%</f>
        <v>36.959333999999998</v>
      </c>
      <c r="G339" s="71"/>
      <c r="H339" s="298"/>
      <c r="I339" s="298"/>
    </row>
    <row r="340" spans="1:9">
      <c r="A340" s="493" t="s">
        <v>30</v>
      </c>
      <c r="B340" s="454"/>
      <c r="C340" s="454"/>
      <c r="D340" s="450"/>
      <c r="E340" s="71"/>
      <c r="F340" s="191">
        <f>ROUND(F338+F339,2)</f>
        <v>283.35000000000002</v>
      </c>
      <c r="G340" s="71"/>
      <c r="H340" s="298"/>
      <c r="I340" s="298"/>
    </row>
    <row r="341" spans="1:9">
      <c r="A341" s="616" t="str">
        <f>CONCATENATE("Say ₹ ",F324," + ",F340," x Cost Index")</f>
        <v>Say ₹ 135.9 + 283.35 x Cost Index</v>
      </c>
      <c r="B341" s="454"/>
      <c r="C341" s="454"/>
      <c r="D341" s="454"/>
      <c r="E341" s="454"/>
      <c r="F341" s="450"/>
      <c r="G341" s="300" t="s">
        <v>1000</v>
      </c>
      <c r="H341" s="301">
        <f>F318*1.01*1.15/10</f>
        <v>135.8955</v>
      </c>
      <c r="I341" s="301">
        <f>(F327+F329+F331+F334)*1.01*1.15/10</f>
        <v>283.35489399999994</v>
      </c>
    </row>
    <row r="342" spans="1:9">
      <c r="A342" s="486" t="s">
        <v>771</v>
      </c>
      <c r="B342" s="486" t="s">
        <v>776</v>
      </c>
      <c r="C342" s="487" t="s">
        <v>4</v>
      </c>
      <c r="D342" s="454"/>
      <c r="E342" s="450"/>
      <c r="F342" s="487" t="s">
        <v>785</v>
      </c>
      <c r="G342" s="450"/>
      <c r="H342" s="298"/>
      <c r="I342" s="298"/>
    </row>
    <row r="343" spans="1:9">
      <c r="A343" s="457"/>
      <c r="B343" s="457"/>
      <c r="C343" s="62" t="s">
        <v>5</v>
      </c>
      <c r="D343" s="62" t="s">
        <v>6</v>
      </c>
      <c r="E343" s="62" t="s">
        <v>336</v>
      </c>
      <c r="F343" s="62" t="s">
        <v>8</v>
      </c>
      <c r="G343" s="62" t="s">
        <v>789</v>
      </c>
      <c r="H343" s="298"/>
      <c r="I343" s="298"/>
    </row>
    <row r="344" spans="1:9">
      <c r="A344" s="617" t="s">
        <v>1872</v>
      </c>
      <c r="B344" s="454"/>
      <c r="C344" s="454"/>
      <c r="D344" s="454"/>
      <c r="E344" s="454"/>
      <c r="F344" s="454"/>
      <c r="G344" s="450"/>
      <c r="H344" s="298"/>
      <c r="I344" s="298"/>
    </row>
    <row r="345" spans="1:9">
      <c r="A345" s="65"/>
      <c r="B345" s="66" t="s">
        <v>795</v>
      </c>
      <c r="C345" s="66" t="s">
        <v>21</v>
      </c>
      <c r="D345" s="66" t="s">
        <v>798</v>
      </c>
      <c r="E345" s="67">
        <v>10</v>
      </c>
      <c r="F345" s="484"/>
      <c r="G345" s="450"/>
      <c r="H345" s="298"/>
      <c r="I345" s="298"/>
    </row>
    <row r="346" spans="1:9">
      <c r="A346" s="66" t="s">
        <v>800</v>
      </c>
      <c r="B346" s="484" t="s">
        <v>512</v>
      </c>
      <c r="C346" s="454"/>
      <c r="D346" s="454"/>
      <c r="E346" s="454"/>
      <c r="F346" s="454"/>
      <c r="G346" s="450"/>
      <c r="H346" s="298"/>
      <c r="I346" s="298"/>
    </row>
    <row r="347" spans="1:9">
      <c r="A347" s="490" t="s">
        <v>802</v>
      </c>
      <c r="B347" s="454"/>
      <c r="C347" s="454"/>
      <c r="D347" s="454"/>
      <c r="E347" s="454"/>
      <c r="F347" s="450"/>
      <c r="G347" s="68" t="s">
        <v>803</v>
      </c>
      <c r="H347" s="298"/>
      <c r="I347" s="298"/>
    </row>
    <row r="348" spans="1:9">
      <c r="A348" s="491"/>
      <c r="B348" s="491" t="s">
        <v>1832</v>
      </c>
      <c r="C348" s="484" t="s">
        <v>1873</v>
      </c>
      <c r="D348" s="454"/>
      <c r="E348" s="450"/>
      <c r="F348" s="484"/>
      <c r="G348" s="450"/>
      <c r="H348" s="298"/>
      <c r="I348" s="298"/>
    </row>
    <row r="349" spans="1:9">
      <c r="A349" s="457"/>
      <c r="B349" s="457"/>
      <c r="C349" s="66" t="s">
        <v>21</v>
      </c>
      <c r="D349" s="67">
        <v>13</v>
      </c>
      <c r="E349" s="67">
        <v>60</v>
      </c>
      <c r="F349" s="67">
        <f>E349*D349</f>
        <v>780</v>
      </c>
      <c r="G349" s="66" t="s">
        <v>808</v>
      </c>
      <c r="H349" s="298"/>
      <c r="I349" s="298"/>
    </row>
    <row r="350" spans="1:9">
      <c r="A350" s="492" t="s">
        <v>30</v>
      </c>
      <c r="B350" s="454"/>
      <c r="C350" s="450"/>
      <c r="D350" s="67">
        <v>10</v>
      </c>
      <c r="E350" s="70" t="s">
        <v>21</v>
      </c>
      <c r="F350" s="67">
        <f>F349</f>
        <v>780</v>
      </c>
      <c r="G350" s="66"/>
      <c r="H350" s="298"/>
      <c r="I350" s="298"/>
    </row>
    <row r="351" spans="1:9">
      <c r="A351" s="492" t="s">
        <v>826</v>
      </c>
      <c r="B351" s="454"/>
      <c r="C351" s="450"/>
      <c r="D351" s="67">
        <v>1</v>
      </c>
      <c r="E351" s="70" t="s">
        <v>21</v>
      </c>
      <c r="F351" s="67">
        <f>F350/D350</f>
        <v>78</v>
      </c>
      <c r="G351" s="66"/>
      <c r="H351" s="298"/>
      <c r="I351" s="298"/>
    </row>
    <row r="352" spans="1:9">
      <c r="A352" s="493" t="s">
        <v>829</v>
      </c>
      <c r="B352" s="454"/>
      <c r="C352" s="454"/>
      <c r="D352" s="450"/>
      <c r="E352" s="67"/>
      <c r="F352" s="67">
        <f>F351*1%</f>
        <v>0.78</v>
      </c>
      <c r="G352" s="66"/>
      <c r="H352" s="298"/>
      <c r="I352" s="298"/>
    </row>
    <row r="353" spans="1:9">
      <c r="A353" s="493" t="s">
        <v>30</v>
      </c>
      <c r="B353" s="454"/>
      <c r="C353" s="454"/>
      <c r="D353" s="450"/>
      <c r="E353" s="71"/>
      <c r="F353" s="67">
        <f>F351+F352</f>
        <v>78.78</v>
      </c>
      <c r="G353" s="66"/>
      <c r="H353" s="298"/>
      <c r="I353" s="298"/>
    </row>
    <row r="354" spans="1:9">
      <c r="A354" s="493" t="s">
        <v>836</v>
      </c>
      <c r="B354" s="454"/>
      <c r="C354" s="454"/>
      <c r="D354" s="450"/>
      <c r="E354" s="67"/>
      <c r="F354" s="67">
        <f>F353*15%</f>
        <v>11.817</v>
      </c>
      <c r="G354" s="66"/>
      <c r="H354" s="298"/>
      <c r="I354" s="298"/>
    </row>
    <row r="355" spans="1:9">
      <c r="A355" s="493" t="s">
        <v>30</v>
      </c>
      <c r="B355" s="454"/>
      <c r="C355" s="454"/>
      <c r="D355" s="450"/>
      <c r="E355" s="71"/>
      <c r="F355" s="191">
        <f>ROUND(F353+F354,2)</f>
        <v>90.6</v>
      </c>
      <c r="G355" s="66"/>
      <c r="H355" s="298"/>
      <c r="I355" s="298"/>
    </row>
    <row r="356" spans="1:9">
      <c r="A356" s="490" t="s">
        <v>819</v>
      </c>
      <c r="B356" s="454"/>
      <c r="C356" s="454"/>
      <c r="D356" s="454"/>
      <c r="E356" s="454"/>
      <c r="F356" s="450"/>
      <c r="G356" s="68" t="s">
        <v>820</v>
      </c>
      <c r="H356" s="298"/>
      <c r="I356" s="298"/>
    </row>
    <row r="357" spans="1:9">
      <c r="A357" s="491">
        <v>116</v>
      </c>
      <c r="B357" s="491"/>
      <c r="C357" s="484" t="s">
        <v>527</v>
      </c>
      <c r="D357" s="454"/>
      <c r="E357" s="450"/>
      <c r="F357" s="484"/>
      <c r="G357" s="450"/>
      <c r="H357" s="298"/>
      <c r="I357" s="298"/>
    </row>
    <row r="358" spans="1:9">
      <c r="A358" s="457"/>
      <c r="B358" s="457"/>
      <c r="C358" s="66" t="s">
        <v>26</v>
      </c>
      <c r="D358" s="67">
        <v>0.33</v>
      </c>
      <c r="E358" s="67">
        <v>784</v>
      </c>
      <c r="F358" s="67">
        <f>E358*D358</f>
        <v>258.72000000000003</v>
      </c>
      <c r="G358" s="66" t="s">
        <v>822</v>
      </c>
      <c r="H358" s="298"/>
      <c r="I358" s="298"/>
    </row>
    <row r="359" spans="1:9">
      <c r="A359" s="491">
        <v>117</v>
      </c>
      <c r="B359" s="491"/>
      <c r="C359" s="484" t="s">
        <v>858</v>
      </c>
      <c r="D359" s="454"/>
      <c r="E359" s="450"/>
      <c r="F359" s="484"/>
      <c r="G359" s="450"/>
      <c r="H359" s="298"/>
      <c r="I359" s="298"/>
    </row>
    <row r="360" spans="1:9">
      <c r="A360" s="457"/>
      <c r="B360" s="457"/>
      <c r="C360" s="66" t="s">
        <v>26</v>
      </c>
      <c r="D360" s="67">
        <v>0.66</v>
      </c>
      <c r="E360" s="67">
        <v>714</v>
      </c>
      <c r="F360" s="67">
        <f>E360*D360</f>
        <v>471.24</v>
      </c>
      <c r="G360" s="66" t="s">
        <v>825</v>
      </c>
      <c r="H360" s="298"/>
      <c r="I360" s="298"/>
    </row>
    <row r="361" spans="1:9">
      <c r="A361" s="491">
        <v>114</v>
      </c>
      <c r="B361" s="491"/>
      <c r="C361" s="484" t="s">
        <v>59</v>
      </c>
      <c r="D361" s="454"/>
      <c r="E361" s="450"/>
      <c r="F361" s="484"/>
      <c r="G361" s="450"/>
      <c r="H361" s="298"/>
      <c r="I361" s="298"/>
    </row>
    <row r="362" spans="1:9">
      <c r="A362" s="457"/>
      <c r="B362" s="457"/>
      <c r="C362" s="66" t="s">
        <v>26</v>
      </c>
      <c r="D362" s="67">
        <v>0.66</v>
      </c>
      <c r="E362" s="67">
        <v>645</v>
      </c>
      <c r="F362" s="67">
        <f>E362*D362</f>
        <v>425.70000000000005</v>
      </c>
      <c r="G362" s="66" t="s">
        <v>837</v>
      </c>
      <c r="H362" s="298"/>
      <c r="I362" s="298"/>
    </row>
    <row r="363" spans="1:9">
      <c r="A363" s="490" t="s">
        <v>838</v>
      </c>
      <c r="B363" s="454"/>
      <c r="C363" s="454"/>
      <c r="D363" s="454"/>
      <c r="E363" s="454"/>
      <c r="F363" s="450"/>
      <c r="G363" s="68" t="s">
        <v>820</v>
      </c>
      <c r="H363" s="298"/>
      <c r="I363" s="298"/>
    </row>
    <row r="364" spans="1:9">
      <c r="A364" s="605">
        <v>18.78</v>
      </c>
      <c r="B364" s="614"/>
      <c r="C364" s="599" t="s">
        <v>1699</v>
      </c>
      <c r="D364" s="454"/>
      <c r="E364" s="450"/>
      <c r="F364" s="613"/>
      <c r="G364" s="450"/>
      <c r="H364" s="304"/>
      <c r="I364" s="304"/>
    </row>
    <row r="365" spans="1:9">
      <c r="A365" s="457"/>
      <c r="B365" s="457"/>
      <c r="C365" s="305" t="s">
        <v>1026</v>
      </c>
      <c r="D365" s="306">
        <v>10</v>
      </c>
      <c r="E365" s="306">
        <v>128.38999999999999</v>
      </c>
      <c r="F365" s="306">
        <f>D365*E365</f>
        <v>1283.8999999999999</v>
      </c>
      <c r="G365" s="307" t="s">
        <v>844</v>
      </c>
      <c r="H365" s="304"/>
      <c r="I365" s="304"/>
    </row>
    <row r="366" spans="1:9">
      <c r="A366" s="492" t="s">
        <v>30</v>
      </c>
      <c r="B366" s="454"/>
      <c r="C366" s="450"/>
      <c r="D366" s="67">
        <v>10</v>
      </c>
      <c r="E366" s="70" t="s">
        <v>21</v>
      </c>
      <c r="F366" s="299">
        <f>F358+F360+F362+F365</f>
        <v>2439.56</v>
      </c>
      <c r="G366" s="71"/>
      <c r="H366" s="298"/>
      <c r="I366" s="298"/>
    </row>
    <row r="367" spans="1:9">
      <c r="A367" s="492" t="s">
        <v>826</v>
      </c>
      <c r="B367" s="454"/>
      <c r="C367" s="450"/>
      <c r="D367" s="67">
        <v>1</v>
      </c>
      <c r="E367" s="70" t="s">
        <v>21</v>
      </c>
      <c r="F367" s="67">
        <f>F366/D366</f>
        <v>243.95599999999999</v>
      </c>
      <c r="G367" s="71"/>
      <c r="H367" s="298"/>
      <c r="I367" s="298"/>
    </row>
    <row r="368" spans="1:9">
      <c r="A368" s="493" t="s">
        <v>829</v>
      </c>
      <c r="B368" s="454"/>
      <c r="C368" s="454"/>
      <c r="D368" s="450"/>
      <c r="E368" s="67"/>
      <c r="F368" s="67">
        <f>F367*1%</f>
        <v>2.4395599999999997</v>
      </c>
      <c r="G368" s="71"/>
      <c r="H368" s="298"/>
      <c r="I368" s="298"/>
    </row>
    <row r="369" spans="1:9">
      <c r="A369" s="493" t="s">
        <v>30</v>
      </c>
      <c r="B369" s="454"/>
      <c r="C369" s="454"/>
      <c r="D369" s="450"/>
      <c r="E369" s="71"/>
      <c r="F369" s="67">
        <f>F367+F368</f>
        <v>246.39555999999999</v>
      </c>
      <c r="G369" s="71"/>
      <c r="H369" s="298"/>
      <c r="I369" s="298"/>
    </row>
    <row r="370" spans="1:9">
      <c r="A370" s="493" t="s">
        <v>836</v>
      </c>
      <c r="B370" s="454"/>
      <c r="C370" s="454"/>
      <c r="D370" s="450"/>
      <c r="E370" s="67"/>
      <c r="F370" s="67">
        <f>F369*15%</f>
        <v>36.959333999999998</v>
      </c>
      <c r="G370" s="71"/>
      <c r="H370" s="298"/>
      <c r="I370" s="298"/>
    </row>
    <row r="371" spans="1:9">
      <c r="A371" s="493" t="s">
        <v>30</v>
      </c>
      <c r="B371" s="454"/>
      <c r="C371" s="454"/>
      <c r="D371" s="450"/>
      <c r="E371" s="71"/>
      <c r="F371" s="191">
        <f>ROUND(F369+F370,2)</f>
        <v>283.35000000000002</v>
      </c>
      <c r="G371" s="71"/>
      <c r="H371" s="298"/>
      <c r="I371" s="298"/>
    </row>
    <row r="372" spans="1:9">
      <c r="A372" s="616" t="str">
        <f>CONCATENATE("Say ₹ ",F355," + ",F371," x Cost Index")</f>
        <v>Say ₹ 90.6 + 283.35 x Cost Index</v>
      </c>
      <c r="B372" s="454"/>
      <c r="C372" s="454"/>
      <c r="D372" s="454"/>
      <c r="E372" s="454"/>
      <c r="F372" s="450"/>
      <c r="G372" s="300" t="s">
        <v>1000</v>
      </c>
      <c r="H372" s="301">
        <f>F349*1.01*1.15/10</f>
        <v>90.596999999999994</v>
      </c>
      <c r="I372" s="301">
        <f>(F358+F360+F362+F365)*1.01*1.15/10</f>
        <v>283.35489399999994</v>
      </c>
    </row>
    <row r="373" spans="1:9">
      <c r="A373" s="486" t="s">
        <v>771</v>
      </c>
      <c r="B373" s="486" t="s">
        <v>776</v>
      </c>
      <c r="C373" s="487" t="s">
        <v>4</v>
      </c>
      <c r="D373" s="454"/>
      <c r="E373" s="450"/>
      <c r="F373" s="487" t="s">
        <v>785</v>
      </c>
      <c r="G373" s="450"/>
      <c r="H373" s="298"/>
      <c r="I373" s="298"/>
    </row>
    <row r="374" spans="1:9">
      <c r="A374" s="457"/>
      <c r="B374" s="457"/>
      <c r="C374" s="62" t="s">
        <v>5</v>
      </c>
      <c r="D374" s="62" t="s">
        <v>6</v>
      </c>
      <c r="E374" s="62" t="s">
        <v>336</v>
      </c>
      <c r="F374" s="62" t="s">
        <v>8</v>
      </c>
      <c r="G374" s="62" t="s">
        <v>789</v>
      </c>
      <c r="H374" s="298"/>
      <c r="I374" s="298"/>
    </row>
    <row r="375" spans="1:9">
      <c r="A375" s="617" t="s">
        <v>1880</v>
      </c>
      <c r="B375" s="454"/>
      <c r="C375" s="454"/>
      <c r="D375" s="454"/>
      <c r="E375" s="454"/>
      <c r="F375" s="454"/>
      <c r="G375" s="450"/>
      <c r="H375" s="298"/>
      <c r="I375" s="298"/>
    </row>
    <row r="376" spans="1:9">
      <c r="A376" s="65"/>
      <c r="B376" s="66" t="s">
        <v>795</v>
      </c>
      <c r="C376" s="66" t="s">
        <v>21</v>
      </c>
      <c r="D376" s="66" t="s">
        <v>798</v>
      </c>
      <c r="E376" s="67">
        <v>10</v>
      </c>
      <c r="F376" s="484"/>
      <c r="G376" s="450"/>
      <c r="H376" s="298"/>
      <c r="I376" s="298"/>
    </row>
    <row r="377" spans="1:9">
      <c r="A377" s="66" t="s">
        <v>800</v>
      </c>
      <c r="B377" s="484" t="s">
        <v>512</v>
      </c>
      <c r="C377" s="454"/>
      <c r="D377" s="454"/>
      <c r="E377" s="454"/>
      <c r="F377" s="454"/>
      <c r="G377" s="450"/>
      <c r="H377" s="298"/>
      <c r="I377" s="298"/>
    </row>
    <row r="378" spans="1:9">
      <c r="A378" s="490" t="s">
        <v>802</v>
      </c>
      <c r="B378" s="454"/>
      <c r="C378" s="454"/>
      <c r="D378" s="454"/>
      <c r="E378" s="454"/>
      <c r="F378" s="450"/>
      <c r="G378" s="68" t="s">
        <v>803</v>
      </c>
      <c r="H378" s="298"/>
      <c r="I378" s="298"/>
    </row>
    <row r="379" spans="1:9">
      <c r="A379" s="491"/>
      <c r="B379" s="491" t="s">
        <v>1848</v>
      </c>
      <c r="C379" s="484" t="s">
        <v>1881</v>
      </c>
      <c r="D379" s="454"/>
      <c r="E379" s="450"/>
      <c r="F379" s="484"/>
      <c r="G379" s="450"/>
      <c r="H379" s="298"/>
      <c r="I379" s="298"/>
    </row>
    <row r="380" spans="1:9">
      <c r="A380" s="457"/>
      <c r="B380" s="457"/>
      <c r="C380" s="66" t="s">
        <v>21</v>
      </c>
      <c r="D380" s="67">
        <v>10.5</v>
      </c>
      <c r="E380" s="67">
        <v>118</v>
      </c>
      <c r="F380" s="67">
        <f>E380*D380</f>
        <v>1239</v>
      </c>
      <c r="G380" s="66" t="s">
        <v>808</v>
      </c>
      <c r="H380" s="298"/>
      <c r="I380" s="298"/>
    </row>
    <row r="381" spans="1:9">
      <c r="A381" s="492" t="s">
        <v>30</v>
      </c>
      <c r="B381" s="454"/>
      <c r="C381" s="450"/>
      <c r="D381" s="67">
        <v>10</v>
      </c>
      <c r="E381" s="70" t="s">
        <v>21</v>
      </c>
      <c r="F381" s="67">
        <f>F380</f>
        <v>1239</v>
      </c>
      <c r="G381" s="66"/>
      <c r="H381" s="298"/>
      <c r="I381" s="298"/>
    </row>
    <row r="382" spans="1:9">
      <c r="A382" s="492" t="s">
        <v>826</v>
      </c>
      <c r="B382" s="454"/>
      <c r="C382" s="450"/>
      <c r="D382" s="67">
        <v>1</v>
      </c>
      <c r="E382" s="70" t="s">
        <v>21</v>
      </c>
      <c r="F382" s="67">
        <f>F381/D381</f>
        <v>123.9</v>
      </c>
      <c r="G382" s="66"/>
      <c r="H382" s="298"/>
      <c r="I382" s="298"/>
    </row>
    <row r="383" spans="1:9">
      <c r="A383" s="493" t="s">
        <v>829</v>
      </c>
      <c r="B383" s="454"/>
      <c r="C383" s="454"/>
      <c r="D383" s="450"/>
      <c r="E383" s="67"/>
      <c r="F383" s="67">
        <f>F382*1%</f>
        <v>1.2390000000000001</v>
      </c>
      <c r="G383" s="66"/>
      <c r="H383" s="298"/>
      <c r="I383" s="298"/>
    </row>
    <row r="384" spans="1:9">
      <c r="A384" s="493" t="s">
        <v>30</v>
      </c>
      <c r="B384" s="454"/>
      <c r="C384" s="454"/>
      <c r="D384" s="450"/>
      <c r="E384" s="71"/>
      <c r="F384" s="67">
        <f>F382+F383</f>
        <v>125.13900000000001</v>
      </c>
      <c r="G384" s="66"/>
      <c r="H384" s="298"/>
      <c r="I384" s="298"/>
    </row>
    <row r="385" spans="1:9">
      <c r="A385" s="493" t="s">
        <v>836</v>
      </c>
      <c r="B385" s="454"/>
      <c r="C385" s="454"/>
      <c r="D385" s="450"/>
      <c r="E385" s="67"/>
      <c r="F385" s="67">
        <f>F384*15%</f>
        <v>18.770849999999999</v>
      </c>
      <c r="G385" s="66"/>
      <c r="H385" s="298"/>
      <c r="I385" s="298"/>
    </row>
    <row r="386" spans="1:9">
      <c r="A386" s="493" t="s">
        <v>30</v>
      </c>
      <c r="B386" s="454"/>
      <c r="C386" s="454"/>
      <c r="D386" s="450"/>
      <c r="E386" s="71"/>
      <c r="F386" s="191">
        <f>ROUND(F384+F385,2)</f>
        <v>143.91</v>
      </c>
      <c r="G386" s="66"/>
      <c r="H386" s="298"/>
      <c r="I386" s="298"/>
    </row>
    <row r="387" spans="1:9">
      <c r="A387" s="490" t="s">
        <v>819</v>
      </c>
      <c r="B387" s="454"/>
      <c r="C387" s="454"/>
      <c r="D387" s="454"/>
      <c r="E387" s="454"/>
      <c r="F387" s="450"/>
      <c r="G387" s="68" t="s">
        <v>820</v>
      </c>
      <c r="H387" s="298"/>
      <c r="I387" s="298"/>
    </row>
    <row r="388" spans="1:9">
      <c r="A388" s="491">
        <v>116</v>
      </c>
      <c r="B388" s="491"/>
      <c r="C388" s="484" t="s">
        <v>527</v>
      </c>
      <c r="D388" s="454"/>
      <c r="E388" s="450"/>
      <c r="F388" s="484"/>
      <c r="G388" s="450"/>
      <c r="H388" s="298"/>
      <c r="I388" s="298"/>
    </row>
    <row r="389" spans="1:9">
      <c r="A389" s="457"/>
      <c r="B389" s="457"/>
      <c r="C389" s="66" t="s">
        <v>26</v>
      </c>
      <c r="D389" s="67">
        <v>0.33</v>
      </c>
      <c r="E389" s="67">
        <v>784</v>
      </c>
      <c r="F389" s="67">
        <f>E389*D389</f>
        <v>258.72000000000003</v>
      </c>
      <c r="G389" s="66" t="s">
        <v>822</v>
      </c>
      <c r="H389" s="298"/>
      <c r="I389" s="298"/>
    </row>
    <row r="390" spans="1:9">
      <c r="A390" s="491">
        <v>117</v>
      </c>
      <c r="B390" s="491"/>
      <c r="C390" s="484" t="s">
        <v>858</v>
      </c>
      <c r="D390" s="454"/>
      <c r="E390" s="450"/>
      <c r="F390" s="484"/>
      <c r="G390" s="450"/>
      <c r="H390" s="298"/>
      <c r="I390" s="298"/>
    </row>
    <row r="391" spans="1:9">
      <c r="A391" s="457"/>
      <c r="B391" s="457"/>
      <c r="C391" s="66" t="s">
        <v>26</v>
      </c>
      <c r="D391" s="67">
        <v>0.66</v>
      </c>
      <c r="E391" s="67">
        <v>714</v>
      </c>
      <c r="F391" s="67">
        <f>E391*D391</f>
        <v>471.24</v>
      </c>
      <c r="G391" s="66" t="s">
        <v>825</v>
      </c>
      <c r="H391" s="298"/>
      <c r="I391" s="298"/>
    </row>
    <row r="392" spans="1:9">
      <c r="A392" s="491">
        <v>114</v>
      </c>
      <c r="B392" s="491"/>
      <c r="C392" s="484" t="s">
        <v>59</v>
      </c>
      <c r="D392" s="454"/>
      <c r="E392" s="450"/>
      <c r="F392" s="484"/>
      <c r="G392" s="450"/>
      <c r="H392" s="298"/>
      <c r="I392" s="298"/>
    </row>
    <row r="393" spans="1:9">
      <c r="A393" s="457"/>
      <c r="B393" s="457"/>
      <c r="C393" s="66" t="s">
        <v>26</v>
      </c>
      <c r="D393" s="67">
        <v>0.66</v>
      </c>
      <c r="E393" s="67">
        <v>645</v>
      </c>
      <c r="F393" s="67">
        <f>E393*D393</f>
        <v>425.70000000000005</v>
      </c>
      <c r="G393" s="66" t="s">
        <v>837</v>
      </c>
      <c r="H393" s="298"/>
      <c r="I393" s="298"/>
    </row>
    <row r="394" spans="1:9">
      <c r="A394" s="490" t="s">
        <v>838</v>
      </c>
      <c r="B394" s="454"/>
      <c r="C394" s="454"/>
      <c r="D394" s="454"/>
      <c r="E394" s="454"/>
      <c r="F394" s="450"/>
      <c r="G394" s="68" t="s">
        <v>820</v>
      </c>
      <c r="H394" s="298"/>
      <c r="I394" s="298"/>
    </row>
    <row r="395" spans="1:9">
      <c r="A395" s="491" t="s">
        <v>1884</v>
      </c>
      <c r="B395" s="614"/>
      <c r="C395" s="599" t="s">
        <v>1885</v>
      </c>
      <c r="D395" s="454"/>
      <c r="E395" s="450"/>
      <c r="F395" s="613"/>
      <c r="G395" s="450"/>
      <c r="H395" s="304"/>
      <c r="I395" s="304"/>
    </row>
    <row r="396" spans="1:9">
      <c r="A396" s="457"/>
      <c r="B396" s="457"/>
      <c r="C396" s="305" t="s">
        <v>1026</v>
      </c>
      <c r="D396" s="306">
        <v>10</v>
      </c>
      <c r="E396" s="338">
        <v>210.03</v>
      </c>
      <c r="F396" s="306">
        <f>D396*E396</f>
        <v>2100.3000000000002</v>
      </c>
      <c r="G396" s="307" t="s">
        <v>844</v>
      </c>
      <c r="H396" s="304"/>
      <c r="I396" s="304"/>
    </row>
    <row r="397" spans="1:9">
      <c r="A397" s="492" t="s">
        <v>30</v>
      </c>
      <c r="B397" s="454"/>
      <c r="C397" s="450"/>
      <c r="D397" s="67">
        <v>10</v>
      </c>
      <c r="E397" s="70" t="s">
        <v>21</v>
      </c>
      <c r="F397" s="299">
        <f>F389+F391+F393+F396</f>
        <v>3255.96</v>
      </c>
      <c r="G397" s="71"/>
      <c r="H397" s="298"/>
      <c r="I397" s="298"/>
    </row>
    <row r="398" spans="1:9">
      <c r="A398" s="492" t="s">
        <v>826</v>
      </c>
      <c r="B398" s="454"/>
      <c r="C398" s="450"/>
      <c r="D398" s="67">
        <v>1</v>
      </c>
      <c r="E398" s="70" t="s">
        <v>21</v>
      </c>
      <c r="F398" s="67">
        <f>F397/D397</f>
        <v>325.596</v>
      </c>
      <c r="G398" s="71"/>
      <c r="H398" s="298"/>
      <c r="I398" s="298"/>
    </row>
    <row r="399" spans="1:9">
      <c r="A399" s="493" t="s">
        <v>829</v>
      </c>
      <c r="B399" s="454"/>
      <c r="C399" s="454"/>
      <c r="D399" s="450"/>
      <c r="E399" s="67"/>
      <c r="F399" s="67">
        <f>F398*1%</f>
        <v>3.25596</v>
      </c>
      <c r="G399" s="71"/>
      <c r="H399" s="298"/>
      <c r="I399" s="298"/>
    </row>
    <row r="400" spans="1:9">
      <c r="A400" s="493" t="s">
        <v>30</v>
      </c>
      <c r="B400" s="454"/>
      <c r="C400" s="454"/>
      <c r="D400" s="450"/>
      <c r="E400" s="71"/>
      <c r="F400" s="67">
        <f>F398+F399</f>
        <v>328.85196000000002</v>
      </c>
      <c r="G400" s="71"/>
      <c r="H400" s="298"/>
      <c r="I400" s="298"/>
    </row>
    <row r="401" spans="1:9">
      <c r="A401" s="493" t="s">
        <v>836</v>
      </c>
      <c r="B401" s="454"/>
      <c r="C401" s="454"/>
      <c r="D401" s="450"/>
      <c r="E401" s="67"/>
      <c r="F401" s="67">
        <f>F400*15%</f>
        <v>49.327794000000004</v>
      </c>
      <c r="G401" s="71"/>
      <c r="H401" s="298"/>
      <c r="I401" s="298"/>
    </row>
    <row r="402" spans="1:9">
      <c r="A402" s="493" t="s">
        <v>30</v>
      </c>
      <c r="B402" s="454"/>
      <c r="C402" s="454"/>
      <c r="D402" s="450"/>
      <c r="E402" s="71"/>
      <c r="F402" s="191">
        <f>ROUND(F400+F401,2)</f>
        <v>378.18</v>
      </c>
      <c r="G402" s="71"/>
      <c r="H402" s="298"/>
      <c r="I402" s="298"/>
    </row>
    <row r="403" spans="1:9">
      <c r="A403" s="616" t="str">
        <f>CONCATENATE("Say ₹ ",F386," + ",F402," x Cost Index")</f>
        <v>Say ₹ 143.91 + 378.18 x Cost Index</v>
      </c>
      <c r="B403" s="454"/>
      <c r="C403" s="454"/>
      <c r="D403" s="454"/>
      <c r="E403" s="454"/>
      <c r="F403" s="450"/>
      <c r="G403" s="300" t="s">
        <v>1000</v>
      </c>
      <c r="H403" s="301">
        <f>F380*1.01*1.15/10</f>
        <v>143.90985000000001</v>
      </c>
      <c r="I403" s="301">
        <f>(F389+F391+F393+F396)*1.01*1.15/10</f>
        <v>378.179754</v>
      </c>
    </row>
    <row r="404" spans="1:9">
      <c r="A404" s="486" t="s">
        <v>771</v>
      </c>
      <c r="B404" s="486" t="s">
        <v>776</v>
      </c>
      <c r="C404" s="487" t="s">
        <v>4</v>
      </c>
      <c r="D404" s="454"/>
      <c r="E404" s="450"/>
      <c r="F404" s="487" t="s">
        <v>785</v>
      </c>
      <c r="G404" s="450"/>
      <c r="H404" s="298"/>
      <c r="I404" s="298"/>
    </row>
    <row r="405" spans="1:9">
      <c r="A405" s="457"/>
      <c r="B405" s="457"/>
      <c r="C405" s="62" t="s">
        <v>5</v>
      </c>
      <c r="D405" s="62" t="s">
        <v>6</v>
      </c>
      <c r="E405" s="62" t="s">
        <v>336</v>
      </c>
      <c r="F405" s="62" t="s">
        <v>8</v>
      </c>
      <c r="G405" s="62" t="s">
        <v>789</v>
      </c>
      <c r="H405" s="298"/>
      <c r="I405" s="298"/>
    </row>
    <row r="406" spans="1:9">
      <c r="A406" s="617" t="s">
        <v>1892</v>
      </c>
      <c r="B406" s="454"/>
      <c r="C406" s="454"/>
      <c r="D406" s="454"/>
      <c r="E406" s="454"/>
      <c r="F406" s="454"/>
      <c r="G406" s="450"/>
      <c r="H406" s="298"/>
      <c r="I406" s="298"/>
    </row>
    <row r="407" spans="1:9">
      <c r="A407" s="65"/>
      <c r="B407" s="66" t="s">
        <v>795</v>
      </c>
      <c r="C407" s="66" t="s">
        <v>21</v>
      </c>
      <c r="D407" s="66" t="s">
        <v>798</v>
      </c>
      <c r="E407" s="67">
        <v>10</v>
      </c>
      <c r="F407" s="484"/>
      <c r="G407" s="450"/>
      <c r="H407" s="298"/>
      <c r="I407" s="298"/>
    </row>
    <row r="408" spans="1:9">
      <c r="A408" s="66" t="s">
        <v>800</v>
      </c>
      <c r="B408" s="484" t="s">
        <v>512</v>
      </c>
      <c r="C408" s="454"/>
      <c r="D408" s="454"/>
      <c r="E408" s="454"/>
      <c r="F408" s="454"/>
      <c r="G408" s="450"/>
      <c r="H408" s="298"/>
      <c r="I408" s="298"/>
    </row>
    <row r="409" spans="1:9">
      <c r="A409" s="490" t="s">
        <v>802</v>
      </c>
      <c r="B409" s="454"/>
      <c r="C409" s="454"/>
      <c r="D409" s="454"/>
      <c r="E409" s="454"/>
      <c r="F409" s="450"/>
      <c r="G409" s="68" t="s">
        <v>803</v>
      </c>
      <c r="H409" s="298"/>
      <c r="I409" s="298"/>
    </row>
    <row r="410" spans="1:9">
      <c r="A410" s="491"/>
      <c r="B410" s="491" t="s">
        <v>1893</v>
      </c>
      <c r="C410" s="484" t="s">
        <v>1894</v>
      </c>
      <c r="D410" s="454"/>
      <c r="E410" s="450"/>
      <c r="F410" s="484"/>
      <c r="G410" s="450"/>
      <c r="H410" s="298"/>
      <c r="I410" s="298"/>
    </row>
    <row r="411" spans="1:9">
      <c r="A411" s="457"/>
      <c r="B411" s="457"/>
      <c r="C411" s="66" t="s">
        <v>21</v>
      </c>
      <c r="D411" s="67">
        <v>10.5</v>
      </c>
      <c r="E411" s="67">
        <v>83</v>
      </c>
      <c r="F411" s="67">
        <f>E411*D411</f>
        <v>871.5</v>
      </c>
      <c r="G411" s="66" t="s">
        <v>808</v>
      </c>
      <c r="H411" s="298"/>
      <c r="I411" s="298"/>
    </row>
    <row r="412" spans="1:9">
      <c r="A412" s="492" t="s">
        <v>30</v>
      </c>
      <c r="B412" s="454"/>
      <c r="C412" s="450"/>
      <c r="D412" s="67">
        <v>10</v>
      </c>
      <c r="E412" s="70" t="s">
        <v>21</v>
      </c>
      <c r="F412" s="67">
        <f>F411</f>
        <v>871.5</v>
      </c>
      <c r="G412" s="66"/>
      <c r="H412" s="298"/>
      <c r="I412" s="298"/>
    </row>
    <row r="413" spans="1:9">
      <c r="A413" s="492" t="s">
        <v>826</v>
      </c>
      <c r="B413" s="454"/>
      <c r="C413" s="450"/>
      <c r="D413" s="67">
        <v>1</v>
      </c>
      <c r="E413" s="70" t="s">
        <v>21</v>
      </c>
      <c r="F413" s="67">
        <f>F412/D412</f>
        <v>87.15</v>
      </c>
      <c r="G413" s="66"/>
      <c r="H413" s="298"/>
      <c r="I413" s="298"/>
    </row>
    <row r="414" spans="1:9">
      <c r="A414" s="493" t="s">
        <v>829</v>
      </c>
      <c r="B414" s="454"/>
      <c r="C414" s="454"/>
      <c r="D414" s="450"/>
      <c r="E414" s="67"/>
      <c r="F414" s="67">
        <f>F413*1%</f>
        <v>0.87150000000000005</v>
      </c>
      <c r="G414" s="66"/>
      <c r="H414" s="298"/>
      <c r="I414" s="298"/>
    </row>
    <row r="415" spans="1:9">
      <c r="A415" s="493" t="s">
        <v>30</v>
      </c>
      <c r="B415" s="454"/>
      <c r="C415" s="454"/>
      <c r="D415" s="450"/>
      <c r="E415" s="71"/>
      <c r="F415" s="67">
        <f>F413+F414</f>
        <v>88.021500000000003</v>
      </c>
      <c r="G415" s="66"/>
      <c r="H415" s="298"/>
      <c r="I415" s="298"/>
    </row>
    <row r="416" spans="1:9">
      <c r="A416" s="493" t="s">
        <v>836</v>
      </c>
      <c r="B416" s="454"/>
      <c r="C416" s="454"/>
      <c r="D416" s="450"/>
      <c r="E416" s="67"/>
      <c r="F416" s="67">
        <f>F415*15%</f>
        <v>13.203225</v>
      </c>
      <c r="G416" s="66"/>
      <c r="H416" s="298"/>
      <c r="I416" s="298"/>
    </row>
    <row r="417" spans="1:9">
      <c r="A417" s="493" t="s">
        <v>30</v>
      </c>
      <c r="B417" s="454"/>
      <c r="C417" s="454"/>
      <c r="D417" s="450"/>
      <c r="E417" s="71"/>
      <c r="F417" s="191">
        <f>ROUND(F415+F416,2)</f>
        <v>101.22</v>
      </c>
      <c r="G417" s="66"/>
      <c r="H417" s="298"/>
      <c r="I417" s="298"/>
    </row>
    <row r="418" spans="1:9">
      <c r="A418" s="490" t="s">
        <v>819</v>
      </c>
      <c r="B418" s="454"/>
      <c r="C418" s="454"/>
      <c r="D418" s="454"/>
      <c r="E418" s="454"/>
      <c r="F418" s="450"/>
      <c r="G418" s="68" t="s">
        <v>820</v>
      </c>
      <c r="H418" s="298"/>
      <c r="I418" s="298"/>
    </row>
    <row r="419" spans="1:9">
      <c r="A419" s="491">
        <v>116</v>
      </c>
      <c r="B419" s="491"/>
      <c r="C419" s="484" t="s">
        <v>527</v>
      </c>
      <c r="D419" s="454"/>
      <c r="E419" s="450"/>
      <c r="F419" s="484"/>
      <c r="G419" s="450"/>
      <c r="H419" s="298"/>
      <c r="I419" s="298"/>
    </row>
    <row r="420" spans="1:9">
      <c r="A420" s="457"/>
      <c r="B420" s="457"/>
      <c r="C420" s="66" t="s">
        <v>26</v>
      </c>
      <c r="D420" s="67">
        <v>0.33</v>
      </c>
      <c r="E420" s="67">
        <v>784</v>
      </c>
      <c r="F420" s="67">
        <f>E420*D420</f>
        <v>258.72000000000003</v>
      </c>
      <c r="G420" s="66" t="s">
        <v>822</v>
      </c>
      <c r="H420" s="298"/>
      <c r="I420" s="298"/>
    </row>
    <row r="421" spans="1:9">
      <c r="A421" s="491">
        <v>117</v>
      </c>
      <c r="B421" s="491"/>
      <c r="C421" s="484" t="s">
        <v>858</v>
      </c>
      <c r="D421" s="454"/>
      <c r="E421" s="450"/>
      <c r="F421" s="484"/>
      <c r="G421" s="450"/>
      <c r="H421" s="298"/>
      <c r="I421" s="298"/>
    </row>
    <row r="422" spans="1:9">
      <c r="A422" s="457"/>
      <c r="B422" s="457"/>
      <c r="C422" s="66" t="s">
        <v>26</v>
      </c>
      <c r="D422" s="67">
        <v>0.66</v>
      </c>
      <c r="E422" s="67">
        <v>714</v>
      </c>
      <c r="F422" s="67">
        <f>E422*D422</f>
        <v>471.24</v>
      </c>
      <c r="G422" s="66" t="s">
        <v>825</v>
      </c>
      <c r="H422" s="298"/>
      <c r="I422" s="298"/>
    </row>
    <row r="423" spans="1:9">
      <c r="A423" s="491">
        <v>114</v>
      </c>
      <c r="B423" s="491"/>
      <c r="C423" s="484" t="s">
        <v>59</v>
      </c>
      <c r="D423" s="454"/>
      <c r="E423" s="450"/>
      <c r="F423" s="484"/>
      <c r="G423" s="450"/>
      <c r="H423" s="298"/>
      <c r="I423" s="298"/>
    </row>
    <row r="424" spans="1:9">
      <c r="A424" s="457"/>
      <c r="B424" s="457"/>
      <c r="C424" s="66" t="s">
        <v>26</v>
      </c>
      <c r="D424" s="67">
        <v>0.66</v>
      </c>
      <c r="E424" s="67">
        <v>645</v>
      </c>
      <c r="F424" s="67">
        <f>E424*D424</f>
        <v>425.70000000000005</v>
      </c>
      <c r="G424" s="66" t="s">
        <v>837</v>
      </c>
      <c r="H424" s="298"/>
      <c r="I424" s="298"/>
    </row>
    <row r="425" spans="1:9">
      <c r="A425" s="490" t="s">
        <v>838</v>
      </c>
      <c r="B425" s="454"/>
      <c r="C425" s="454"/>
      <c r="D425" s="454"/>
      <c r="E425" s="454"/>
      <c r="F425" s="450"/>
      <c r="G425" s="68" t="s">
        <v>820</v>
      </c>
      <c r="H425" s="298"/>
      <c r="I425" s="298"/>
    </row>
    <row r="426" spans="1:9">
      <c r="A426" s="491" t="s">
        <v>1884</v>
      </c>
      <c r="B426" s="614"/>
      <c r="C426" s="599" t="s">
        <v>1885</v>
      </c>
      <c r="D426" s="454"/>
      <c r="E426" s="450"/>
      <c r="F426" s="613"/>
      <c r="G426" s="450"/>
      <c r="H426" s="304"/>
      <c r="I426" s="304"/>
    </row>
    <row r="427" spans="1:9">
      <c r="A427" s="457"/>
      <c r="B427" s="457"/>
      <c r="C427" s="305" t="s">
        <v>1026</v>
      </c>
      <c r="D427" s="306">
        <v>10</v>
      </c>
      <c r="E427" s="338">
        <v>210.03</v>
      </c>
      <c r="F427" s="306">
        <f>D427*E427</f>
        <v>2100.3000000000002</v>
      </c>
      <c r="G427" s="307" t="s">
        <v>844</v>
      </c>
      <c r="H427" s="304"/>
      <c r="I427" s="304"/>
    </row>
    <row r="428" spans="1:9">
      <c r="A428" s="492" t="s">
        <v>30</v>
      </c>
      <c r="B428" s="454"/>
      <c r="C428" s="450"/>
      <c r="D428" s="67">
        <v>10</v>
      </c>
      <c r="E428" s="70" t="s">
        <v>21</v>
      </c>
      <c r="F428" s="299">
        <f>F420+F422+F424+F427</f>
        <v>3255.96</v>
      </c>
      <c r="G428" s="71"/>
      <c r="H428" s="298"/>
      <c r="I428" s="298"/>
    </row>
    <row r="429" spans="1:9">
      <c r="A429" s="492" t="s">
        <v>826</v>
      </c>
      <c r="B429" s="454"/>
      <c r="C429" s="450"/>
      <c r="D429" s="67">
        <v>1</v>
      </c>
      <c r="E429" s="70" t="s">
        <v>21</v>
      </c>
      <c r="F429" s="67">
        <f>F428/D428</f>
        <v>325.596</v>
      </c>
      <c r="G429" s="71"/>
      <c r="H429" s="298"/>
      <c r="I429" s="298"/>
    </row>
    <row r="430" spans="1:9">
      <c r="A430" s="493" t="s">
        <v>829</v>
      </c>
      <c r="B430" s="454"/>
      <c r="C430" s="454"/>
      <c r="D430" s="450"/>
      <c r="E430" s="67"/>
      <c r="F430" s="67">
        <f>F429*1%</f>
        <v>3.25596</v>
      </c>
      <c r="G430" s="71"/>
      <c r="H430" s="298"/>
      <c r="I430" s="298"/>
    </row>
    <row r="431" spans="1:9">
      <c r="A431" s="493" t="s">
        <v>30</v>
      </c>
      <c r="B431" s="454"/>
      <c r="C431" s="454"/>
      <c r="D431" s="450"/>
      <c r="E431" s="71"/>
      <c r="F431" s="67">
        <f>F429+F430</f>
        <v>328.85196000000002</v>
      </c>
      <c r="G431" s="71"/>
      <c r="H431" s="298"/>
      <c r="I431" s="298"/>
    </row>
    <row r="432" spans="1:9">
      <c r="A432" s="493" t="s">
        <v>836</v>
      </c>
      <c r="B432" s="454"/>
      <c r="C432" s="454"/>
      <c r="D432" s="450"/>
      <c r="E432" s="67"/>
      <c r="F432" s="67">
        <f>F431*15%</f>
        <v>49.327794000000004</v>
      </c>
      <c r="G432" s="71"/>
      <c r="H432" s="298"/>
      <c r="I432" s="298"/>
    </row>
    <row r="433" spans="1:9">
      <c r="A433" s="493" t="s">
        <v>30</v>
      </c>
      <c r="B433" s="454"/>
      <c r="C433" s="454"/>
      <c r="D433" s="450"/>
      <c r="E433" s="71"/>
      <c r="F433" s="191">
        <f>ROUND(F431+F432,2)</f>
        <v>378.18</v>
      </c>
      <c r="G433" s="71"/>
      <c r="H433" s="298"/>
      <c r="I433" s="298"/>
    </row>
    <row r="434" spans="1:9">
      <c r="A434" s="616" t="str">
        <f>CONCATENATE("Say ₹ ",F417," + ",F433," x Cost Index")</f>
        <v>Say ₹ 101.22 + 378.18 x Cost Index</v>
      </c>
      <c r="B434" s="454"/>
      <c r="C434" s="454"/>
      <c r="D434" s="454"/>
      <c r="E434" s="454"/>
      <c r="F434" s="450"/>
      <c r="G434" s="300" t="s">
        <v>1000</v>
      </c>
      <c r="H434" s="301">
        <f>F411*1.01*1.15/10</f>
        <v>101.22472500000001</v>
      </c>
      <c r="I434" s="301">
        <f>(F420+F422+F424+F427)*1.01*1.15/10</f>
        <v>378.179754</v>
      </c>
    </row>
    <row r="435" spans="1:9">
      <c r="A435" s="486" t="s">
        <v>771</v>
      </c>
      <c r="B435" s="486" t="s">
        <v>776</v>
      </c>
      <c r="C435" s="487" t="s">
        <v>4</v>
      </c>
      <c r="D435" s="454"/>
      <c r="E435" s="450"/>
      <c r="F435" s="487" t="s">
        <v>785</v>
      </c>
      <c r="G435" s="450"/>
      <c r="H435" s="298"/>
      <c r="I435" s="298"/>
    </row>
    <row r="436" spans="1:9">
      <c r="A436" s="457"/>
      <c r="B436" s="457"/>
      <c r="C436" s="62" t="s">
        <v>5</v>
      </c>
      <c r="D436" s="62" t="s">
        <v>6</v>
      </c>
      <c r="E436" s="62" t="s">
        <v>336</v>
      </c>
      <c r="F436" s="62" t="s">
        <v>8</v>
      </c>
      <c r="G436" s="62" t="s">
        <v>789</v>
      </c>
      <c r="H436" s="298"/>
      <c r="I436" s="298"/>
    </row>
    <row r="437" spans="1:9">
      <c r="A437" s="617" t="s">
        <v>1904</v>
      </c>
      <c r="B437" s="454"/>
      <c r="C437" s="454"/>
      <c r="D437" s="454"/>
      <c r="E437" s="454"/>
      <c r="F437" s="454"/>
      <c r="G437" s="450"/>
      <c r="H437" s="298"/>
      <c r="I437" s="298"/>
    </row>
    <row r="438" spans="1:9">
      <c r="A438" s="65"/>
      <c r="B438" s="66" t="s">
        <v>795</v>
      </c>
      <c r="C438" s="66" t="s">
        <v>21</v>
      </c>
      <c r="D438" s="66" t="s">
        <v>798</v>
      </c>
      <c r="E438" s="67">
        <v>10</v>
      </c>
      <c r="F438" s="484"/>
      <c r="G438" s="450"/>
      <c r="H438" s="298"/>
      <c r="I438" s="298"/>
    </row>
    <row r="439" spans="1:9">
      <c r="A439" s="66" t="s">
        <v>800</v>
      </c>
      <c r="B439" s="484" t="s">
        <v>512</v>
      </c>
      <c r="C439" s="454"/>
      <c r="D439" s="454"/>
      <c r="E439" s="454"/>
      <c r="F439" s="454"/>
      <c r="G439" s="450"/>
      <c r="H439" s="298"/>
      <c r="I439" s="298"/>
    </row>
    <row r="440" spans="1:9">
      <c r="A440" s="490" t="s">
        <v>802</v>
      </c>
      <c r="B440" s="454"/>
      <c r="C440" s="454"/>
      <c r="D440" s="454"/>
      <c r="E440" s="454"/>
      <c r="F440" s="450"/>
      <c r="G440" s="68" t="s">
        <v>803</v>
      </c>
      <c r="H440" s="298"/>
      <c r="I440" s="298"/>
    </row>
    <row r="441" spans="1:9">
      <c r="A441" s="491"/>
      <c r="B441" s="491" t="s">
        <v>1854</v>
      </c>
      <c r="C441" s="484" t="s">
        <v>1906</v>
      </c>
      <c r="D441" s="454"/>
      <c r="E441" s="450"/>
      <c r="F441" s="484"/>
      <c r="G441" s="450"/>
      <c r="H441" s="298"/>
      <c r="I441" s="298"/>
    </row>
    <row r="442" spans="1:9">
      <c r="A442" s="457"/>
      <c r="B442" s="457"/>
      <c r="C442" s="66" t="s">
        <v>21</v>
      </c>
      <c r="D442" s="67">
        <v>10.5</v>
      </c>
      <c r="E442" s="67">
        <v>129</v>
      </c>
      <c r="F442" s="67">
        <f>E442*D442</f>
        <v>1354.5</v>
      </c>
      <c r="G442" s="66" t="s">
        <v>808</v>
      </c>
      <c r="H442" s="298"/>
      <c r="I442" s="298"/>
    </row>
    <row r="443" spans="1:9">
      <c r="A443" s="492" t="s">
        <v>30</v>
      </c>
      <c r="B443" s="454"/>
      <c r="C443" s="450"/>
      <c r="D443" s="67">
        <v>10</v>
      </c>
      <c r="E443" s="70" t="s">
        <v>21</v>
      </c>
      <c r="F443" s="67">
        <f>F442</f>
        <v>1354.5</v>
      </c>
      <c r="G443" s="66"/>
      <c r="H443" s="298"/>
      <c r="I443" s="298"/>
    </row>
    <row r="444" spans="1:9">
      <c r="A444" s="492" t="s">
        <v>826</v>
      </c>
      <c r="B444" s="454"/>
      <c r="C444" s="450"/>
      <c r="D444" s="67">
        <v>1</v>
      </c>
      <c r="E444" s="70" t="s">
        <v>21</v>
      </c>
      <c r="F444" s="67">
        <f>F443/D443</f>
        <v>135.44999999999999</v>
      </c>
      <c r="G444" s="66"/>
      <c r="H444" s="298"/>
      <c r="I444" s="298"/>
    </row>
    <row r="445" spans="1:9">
      <c r="A445" s="493" t="s">
        <v>829</v>
      </c>
      <c r="B445" s="454"/>
      <c r="C445" s="454"/>
      <c r="D445" s="450"/>
      <c r="E445" s="67"/>
      <c r="F445" s="67">
        <f>F444*1%</f>
        <v>1.3544999999999998</v>
      </c>
      <c r="G445" s="66"/>
      <c r="H445" s="298"/>
      <c r="I445" s="298"/>
    </row>
    <row r="446" spans="1:9">
      <c r="A446" s="493" t="s">
        <v>30</v>
      </c>
      <c r="B446" s="454"/>
      <c r="C446" s="454"/>
      <c r="D446" s="450"/>
      <c r="E446" s="71"/>
      <c r="F446" s="67">
        <f>F444+F445</f>
        <v>136.80449999999999</v>
      </c>
      <c r="G446" s="66"/>
      <c r="H446" s="298"/>
      <c r="I446" s="298"/>
    </row>
    <row r="447" spans="1:9">
      <c r="A447" s="493" t="s">
        <v>836</v>
      </c>
      <c r="B447" s="454"/>
      <c r="C447" s="454"/>
      <c r="D447" s="450"/>
      <c r="E447" s="67"/>
      <c r="F447" s="67">
        <f>F446*15%</f>
        <v>20.520674999999997</v>
      </c>
      <c r="G447" s="66"/>
      <c r="H447" s="298"/>
      <c r="I447" s="298"/>
    </row>
    <row r="448" spans="1:9">
      <c r="A448" s="493" t="s">
        <v>30</v>
      </c>
      <c r="B448" s="454"/>
      <c r="C448" s="454"/>
      <c r="D448" s="450"/>
      <c r="E448" s="71"/>
      <c r="F448" s="191">
        <f>ROUND(F446+F447,2)</f>
        <v>157.33000000000001</v>
      </c>
      <c r="G448" s="66"/>
      <c r="H448" s="298"/>
      <c r="I448" s="298"/>
    </row>
    <row r="449" spans="1:9">
      <c r="A449" s="490" t="s">
        <v>819</v>
      </c>
      <c r="B449" s="454"/>
      <c r="C449" s="454"/>
      <c r="D449" s="454"/>
      <c r="E449" s="454"/>
      <c r="F449" s="450"/>
      <c r="G449" s="68" t="s">
        <v>820</v>
      </c>
      <c r="H449" s="298"/>
      <c r="I449" s="298"/>
    </row>
    <row r="450" spans="1:9">
      <c r="A450" s="491">
        <v>116</v>
      </c>
      <c r="B450" s="491"/>
      <c r="C450" s="484" t="s">
        <v>527</v>
      </c>
      <c r="D450" s="454"/>
      <c r="E450" s="450"/>
      <c r="F450" s="484"/>
      <c r="G450" s="450"/>
      <c r="H450" s="298"/>
      <c r="I450" s="298"/>
    </row>
    <row r="451" spans="1:9">
      <c r="A451" s="457"/>
      <c r="B451" s="457"/>
      <c r="C451" s="66" t="s">
        <v>26</v>
      </c>
      <c r="D451" s="67">
        <v>0.33</v>
      </c>
      <c r="E451" s="67">
        <v>784</v>
      </c>
      <c r="F451" s="67">
        <f>E451*D451</f>
        <v>258.72000000000003</v>
      </c>
      <c r="G451" s="66" t="s">
        <v>822</v>
      </c>
      <c r="H451" s="298"/>
      <c r="I451" s="298"/>
    </row>
    <row r="452" spans="1:9">
      <c r="A452" s="491">
        <v>117</v>
      </c>
      <c r="B452" s="491"/>
      <c r="C452" s="484" t="s">
        <v>858</v>
      </c>
      <c r="D452" s="454"/>
      <c r="E452" s="450"/>
      <c r="F452" s="484"/>
      <c r="G452" s="450"/>
      <c r="H452" s="298"/>
      <c r="I452" s="298"/>
    </row>
    <row r="453" spans="1:9">
      <c r="A453" s="457"/>
      <c r="B453" s="457"/>
      <c r="C453" s="66" t="s">
        <v>26</v>
      </c>
      <c r="D453" s="67">
        <v>0.66</v>
      </c>
      <c r="E453" s="67">
        <v>714</v>
      </c>
      <c r="F453" s="67">
        <f>E453*D453</f>
        <v>471.24</v>
      </c>
      <c r="G453" s="66" t="s">
        <v>825</v>
      </c>
      <c r="H453" s="298"/>
      <c r="I453" s="298"/>
    </row>
    <row r="454" spans="1:9">
      <c r="A454" s="491">
        <v>114</v>
      </c>
      <c r="B454" s="491"/>
      <c r="C454" s="484" t="s">
        <v>59</v>
      </c>
      <c r="D454" s="454"/>
      <c r="E454" s="450"/>
      <c r="F454" s="484"/>
      <c r="G454" s="450"/>
      <c r="H454" s="298"/>
      <c r="I454" s="298"/>
    </row>
    <row r="455" spans="1:9">
      <c r="A455" s="457"/>
      <c r="B455" s="457"/>
      <c r="C455" s="66" t="s">
        <v>26</v>
      </c>
      <c r="D455" s="67">
        <v>0.66</v>
      </c>
      <c r="E455" s="67">
        <v>645</v>
      </c>
      <c r="F455" s="67">
        <f>E455*D455</f>
        <v>425.70000000000005</v>
      </c>
      <c r="G455" s="66" t="s">
        <v>837</v>
      </c>
      <c r="H455" s="298"/>
      <c r="I455" s="298"/>
    </row>
    <row r="456" spans="1:9">
      <c r="A456" s="490" t="s">
        <v>838</v>
      </c>
      <c r="B456" s="454"/>
      <c r="C456" s="454"/>
      <c r="D456" s="454"/>
      <c r="E456" s="454"/>
      <c r="F456" s="450"/>
      <c r="G456" s="68" t="s">
        <v>820</v>
      </c>
      <c r="H456" s="298"/>
      <c r="I456" s="298"/>
    </row>
    <row r="457" spans="1:9">
      <c r="A457" s="491" t="s">
        <v>1884</v>
      </c>
      <c r="B457" s="614"/>
      <c r="C457" s="599" t="s">
        <v>1885</v>
      </c>
      <c r="D457" s="454"/>
      <c r="E457" s="450"/>
      <c r="F457" s="613"/>
      <c r="G457" s="450"/>
      <c r="H457" s="304"/>
      <c r="I457" s="304"/>
    </row>
    <row r="458" spans="1:9">
      <c r="A458" s="457"/>
      <c r="B458" s="457"/>
      <c r="C458" s="305" t="s">
        <v>1026</v>
      </c>
      <c r="D458" s="306">
        <v>10</v>
      </c>
      <c r="E458" s="338">
        <v>210.03</v>
      </c>
      <c r="F458" s="306">
        <f>D458*E458</f>
        <v>2100.3000000000002</v>
      </c>
      <c r="G458" s="307" t="s">
        <v>844</v>
      </c>
      <c r="H458" s="304"/>
      <c r="I458" s="304"/>
    </row>
    <row r="459" spans="1:9">
      <c r="A459" s="492" t="s">
        <v>30</v>
      </c>
      <c r="B459" s="454"/>
      <c r="C459" s="450"/>
      <c r="D459" s="67">
        <v>10</v>
      </c>
      <c r="E459" s="70" t="s">
        <v>21</v>
      </c>
      <c r="F459" s="299">
        <f>F451+F453+F455+F458</f>
        <v>3255.96</v>
      </c>
      <c r="G459" s="71"/>
      <c r="H459" s="298"/>
      <c r="I459" s="298"/>
    </row>
    <row r="460" spans="1:9">
      <c r="A460" s="492" t="s">
        <v>826</v>
      </c>
      <c r="B460" s="454"/>
      <c r="C460" s="450"/>
      <c r="D460" s="67">
        <v>1</v>
      </c>
      <c r="E460" s="70" t="s">
        <v>21</v>
      </c>
      <c r="F460" s="67">
        <f>F459/D459</f>
        <v>325.596</v>
      </c>
      <c r="G460" s="71"/>
      <c r="H460" s="298"/>
      <c r="I460" s="298"/>
    </row>
    <row r="461" spans="1:9">
      <c r="A461" s="493" t="s">
        <v>829</v>
      </c>
      <c r="B461" s="454"/>
      <c r="C461" s="454"/>
      <c r="D461" s="450"/>
      <c r="E461" s="67"/>
      <c r="F461" s="67">
        <f>F460*1%</f>
        <v>3.25596</v>
      </c>
      <c r="G461" s="71"/>
      <c r="H461" s="298"/>
      <c r="I461" s="298"/>
    </row>
    <row r="462" spans="1:9">
      <c r="A462" s="493" t="s">
        <v>30</v>
      </c>
      <c r="B462" s="454"/>
      <c r="C462" s="454"/>
      <c r="D462" s="450"/>
      <c r="E462" s="71"/>
      <c r="F462" s="67">
        <f>F460+F461</f>
        <v>328.85196000000002</v>
      </c>
      <c r="G462" s="71"/>
      <c r="H462" s="298"/>
      <c r="I462" s="298"/>
    </row>
    <row r="463" spans="1:9">
      <c r="A463" s="493" t="s">
        <v>836</v>
      </c>
      <c r="B463" s="454"/>
      <c r="C463" s="454"/>
      <c r="D463" s="450"/>
      <c r="E463" s="67"/>
      <c r="F463" s="67">
        <f>F462*15%</f>
        <v>49.327794000000004</v>
      </c>
      <c r="G463" s="71"/>
      <c r="H463" s="298"/>
      <c r="I463" s="298"/>
    </row>
    <row r="464" spans="1:9">
      <c r="A464" s="493" t="s">
        <v>30</v>
      </c>
      <c r="B464" s="454"/>
      <c r="C464" s="454"/>
      <c r="D464" s="450"/>
      <c r="E464" s="71"/>
      <c r="F464" s="191">
        <f>ROUND(F462+F463,2)</f>
        <v>378.18</v>
      </c>
      <c r="G464" s="71"/>
      <c r="H464" s="298"/>
      <c r="I464" s="298"/>
    </row>
    <row r="465" spans="1:9">
      <c r="A465" s="616" t="str">
        <f>CONCATENATE("Say ₹ ",F448," + ",F464," x Cost Index")</f>
        <v>Say ₹ 157.33 + 378.18 x Cost Index</v>
      </c>
      <c r="B465" s="454"/>
      <c r="C465" s="454"/>
      <c r="D465" s="454"/>
      <c r="E465" s="454"/>
      <c r="F465" s="450"/>
      <c r="G465" s="300" t="s">
        <v>1000</v>
      </c>
      <c r="H465" s="301">
        <f>F442*1.01*1.15/10</f>
        <v>157.325175</v>
      </c>
      <c r="I465" s="301">
        <f>(F451+F453+F455+F458)*1.01*1.15/10</f>
        <v>378.179754</v>
      </c>
    </row>
    <row r="466" spans="1:9">
      <c r="A466" s="486" t="s">
        <v>771</v>
      </c>
      <c r="B466" s="486" t="s">
        <v>776</v>
      </c>
      <c r="C466" s="487" t="s">
        <v>4</v>
      </c>
      <c r="D466" s="454"/>
      <c r="E466" s="450"/>
      <c r="F466" s="487" t="s">
        <v>785</v>
      </c>
      <c r="G466" s="450"/>
      <c r="H466" s="298"/>
      <c r="I466" s="298"/>
    </row>
    <row r="467" spans="1:9">
      <c r="A467" s="457"/>
      <c r="B467" s="457"/>
      <c r="C467" s="62" t="s">
        <v>5</v>
      </c>
      <c r="D467" s="62" t="s">
        <v>6</v>
      </c>
      <c r="E467" s="62" t="s">
        <v>336</v>
      </c>
      <c r="F467" s="62" t="s">
        <v>8</v>
      </c>
      <c r="G467" s="62" t="s">
        <v>789</v>
      </c>
      <c r="H467" s="298"/>
      <c r="I467" s="298"/>
    </row>
    <row r="468" spans="1:9">
      <c r="A468" s="617" t="s">
        <v>1911</v>
      </c>
      <c r="B468" s="454"/>
      <c r="C468" s="454"/>
      <c r="D468" s="454"/>
      <c r="E468" s="454"/>
      <c r="F468" s="454"/>
      <c r="G468" s="450"/>
      <c r="H468" s="298"/>
      <c r="I468" s="298"/>
    </row>
    <row r="469" spans="1:9">
      <c r="A469" s="65"/>
      <c r="B469" s="66" t="s">
        <v>795</v>
      </c>
      <c r="C469" s="66" t="s">
        <v>21</v>
      </c>
      <c r="D469" s="66" t="s">
        <v>798</v>
      </c>
      <c r="E469" s="67">
        <v>10</v>
      </c>
      <c r="F469" s="484"/>
      <c r="G469" s="450"/>
      <c r="H469" s="298"/>
      <c r="I469" s="298"/>
    </row>
    <row r="470" spans="1:9">
      <c r="A470" s="66" t="s">
        <v>800</v>
      </c>
      <c r="B470" s="484" t="s">
        <v>512</v>
      </c>
      <c r="C470" s="454"/>
      <c r="D470" s="454"/>
      <c r="E470" s="454"/>
      <c r="F470" s="454"/>
      <c r="G470" s="450"/>
      <c r="H470" s="298"/>
      <c r="I470" s="298"/>
    </row>
    <row r="471" spans="1:9">
      <c r="A471" s="490" t="s">
        <v>802</v>
      </c>
      <c r="B471" s="454"/>
      <c r="C471" s="454"/>
      <c r="D471" s="454"/>
      <c r="E471" s="454"/>
      <c r="F471" s="450"/>
      <c r="G471" s="68" t="s">
        <v>803</v>
      </c>
      <c r="H471" s="298"/>
      <c r="I471" s="298"/>
    </row>
    <row r="472" spans="1:9">
      <c r="A472" s="491"/>
      <c r="B472" s="491" t="s">
        <v>1913</v>
      </c>
      <c r="C472" s="484" t="s">
        <v>1914</v>
      </c>
      <c r="D472" s="454"/>
      <c r="E472" s="450"/>
      <c r="F472" s="484"/>
      <c r="G472" s="450"/>
      <c r="H472" s="298"/>
      <c r="I472" s="298"/>
    </row>
    <row r="473" spans="1:9">
      <c r="A473" s="457"/>
      <c r="B473" s="457"/>
      <c r="C473" s="66" t="s">
        <v>21</v>
      </c>
      <c r="D473" s="67">
        <v>10.5</v>
      </c>
      <c r="E473" s="67">
        <v>95</v>
      </c>
      <c r="F473" s="67">
        <f>E473*D473</f>
        <v>997.5</v>
      </c>
      <c r="G473" s="66" t="s">
        <v>808</v>
      </c>
      <c r="H473" s="298"/>
      <c r="I473" s="298"/>
    </row>
    <row r="474" spans="1:9">
      <c r="A474" s="492" t="s">
        <v>30</v>
      </c>
      <c r="B474" s="454"/>
      <c r="C474" s="450"/>
      <c r="D474" s="67">
        <v>10</v>
      </c>
      <c r="E474" s="70" t="s">
        <v>21</v>
      </c>
      <c r="F474" s="67">
        <f>F473</f>
        <v>997.5</v>
      </c>
      <c r="G474" s="66"/>
      <c r="H474" s="298"/>
      <c r="I474" s="298"/>
    </row>
    <row r="475" spans="1:9">
      <c r="A475" s="492" t="s">
        <v>826</v>
      </c>
      <c r="B475" s="454"/>
      <c r="C475" s="450"/>
      <c r="D475" s="67">
        <v>1</v>
      </c>
      <c r="E475" s="70" t="s">
        <v>21</v>
      </c>
      <c r="F475" s="67">
        <f>F474/D474</f>
        <v>99.75</v>
      </c>
      <c r="G475" s="66"/>
      <c r="H475" s="298"/>
      <c r="I475" s="298"/>
    </row>
    <row r="476" spans="1:9">
      <c r="A476" s="493" t="s">
        <v>829</v>
      </c>
      <c r="B476" s="454"/>
      <c r="C476" s="454"/>
      <c r="D476" s="450"/>
      <c r="E476" s="67"/>
      <c r="F476" s="67">
        <f>F475*1%</f>
        <v>0.99750000000000005</v>
      </c>
      <c r="G476" s="66"/>
      <c r="H476" s="298"/>
      <c r="I476" s="298"/>
    </row>
    <row r="477" spans="1:9">
      <c r="A477" s="493" t="s">
        <v>30</v>
      </c>
      <c r="B477" s="454"/>
      <c r="C477" s="454"/>
      <c r="D477" s="450"/>
      <c r="E477" s="71"/>
      <c r="F477" s="67">
        <f>F475+F476</f>
        <v>100.7475</v>
      </c>
      <c r="G477" s="66"/>
      <c r="H477" s="298"/>
      <c r="I477" s="298"/>
    </row>
    <row r="478" spans="1:9">
      <c r="A478" s="493" t="s">
        <v>836</v>
      </c>
      <c r="B478" s="454"/>
      <c r="C478" s="454"/>
      <c r="D478" s="450"/>
      <c r="E478" s="67"/>
      <c r="F478" s="67">
        <f>F477*15%</f>
        <v>15.112124999999999</v>
      </c>
      <c r="G478" s="66"/>
      <c r="H478" s="298"/>
      <c r="I478" s="298"/>
    </row>
    <row r="479" spans="1:9">
      <c r="A479" s="493" t="s">
        <v>30</v>
      </c>
      <c r="B479" s="454"/>
      <c r="C479" s="454"/>
      <c r="D479" s="450"/>
      <c r="E479" s="71"/>
      <c r="F479" s="191">
        <f>ROUND(F477+F478,2)</f>
        <v>115.86</v>
      </c>
      <c r="G479" s="66"/>
      <c r="H479" s="298"/>
      <c r="I479" s="298"/>
    </row>
    <row r="480" spans="1:9">
      <c r="A480" s="490" t="s">
        <v>819</v>
      </c>
      <c r="B480" s="454"/>
      <c r="C480" s="454"/>
      <c r="D480" s="454"/>
      <c r="E480" s="454"/>
      <c r="F480" s="450"/>
      <c r="G480" s="68" t="s">
        <v>820</v>
      </c>
      <c r="H480" s="298"/>
      <c r="I480" s="298"/>
    </row>
    <row r="481" spans="1:9">
      <c r="A481" s="491">
        <v>116</v>
      </c>
      <c r="B481" s="491"/>
      <c r="C481" s="484" t="s">
        <v>527</v>
      </c>
      <c r="D481" s="454"/>
      <c r="E481" s="450"/>
      <c r="F481" s="484"/>
      <c r="G481" s="450"/>
      <c r="H481" s="298"/>
      <c r="I481" s="298"/>
    </row>
    <row r="482" spans="1:9">
      <c r="A482" s="457"/>
      <c r="B482" s="457"/>
      <c r="C482" s="66" t="s">
        <v>26</v>
      </c>
      <c r="D482" s="67">
        <v>0.33</v>
      </c>
      <c r="E482" s="67">
        <v>784</v>
      </c>
      <c r="F482" s="67">
        <f>E482*D482</f>
        <v>258.72000000000003</v>
      </c>
      <c r="G482" s="66" t="s">
        <v>822</v>
      </c>
      <c r="H482" s="298"/>
      <c r="I482" s="298"/>
    </row>
    <row r="483" spans="1:9">
      <c r="A483" s="491">
        <v>117</v>
      </c>
      <c r="B483" s="491"/>
      <c r="C483" s="484" t="s">
        <v>858</v>
      </c>
      <c r="D483" s="454"/>
      <c r="E483" s="450"/>
      <c r="F483" s="484"/>
      <c r="G483" s="450"/>
      <c r="H483" s="298"/>
      <c r="I483" s="298"/>
    </row>
    <row r="484" spans="1:9">
      <c r="A484" s="457"/>
      <c r="B484" s="457"/>
      <c r="C484" s="66" t="s">
        <v>26</v>
      </c>
      <c r="D484" s="67">
        <v>0.66</v>
      </c>
      <c r="E484" s="67">
        <v>714</v>
      </c>
      <c r="F484" s="67">
        <f>E484*D484</f>
        <v>471.24</v>
      </c>
      <c r="G484" s="66" t="s">
        <v>825</v>
      </c>
      <c r="H484" s="298"/>
      <c r="I484" s="298"/>
    </row>
    <row r="485" spans="1:9">
      <c r="A485" s="491">
        <v>114</v>
      </c>
      <c r="B485" s="491"/>
      <c r="C485" s="484" t="s">
        <v>59</v>
      </c>
      <c r="D485" s="454"/>
      <c r="E485" s="450"/>
      <c r="F485" s="484"/>
      <c r="G485" s="450"/>
      <c r="H485" s="298"/>
      <c r="I485" s="298"/>
    </row>
    <row r="486" spans="1:9">
      <c r="A486" s="457"/>
      <c r="B486" s="457"/>
      <c r="C486" s="66" t="s">
        <v>26</v>
      </c>
      <c r="D486" s="67">
        <v>0.66</v>
      </c>
      <c r="E486" s="67">
        <v>645</v>
      </c>
      <c r="F486" s="67">
        <f>E486*D486</f>
        <v>425.70000000000005</v>
      </c>
      <c r="G486" s="66" t="s">
        <v>837</v>
      </c>
      <c r="H486" s="298"/>
      <c r="I486" s="298"/>
    </row>
    <row r="487" spans="1:9">
      <c r="A487" s="490" t="s">
        <v>838</v>
      </c>
      <c r="B487" s="454"/>
      <c r="C487" s="454"/>
      <c r="D487" s="454"/>
      <c r="E487" s="454"/>
      <c r="F487" s="450"/>
      <c r="G487" s="68" t="s">
        <v>820</v>
      </c>
      <c r="H487" s="298"/>
      <c r="I487" s="298"/>
    </row>
    <row r="488" spans="1:9">
      <c r="A488" s="491" t="s">
        <v>1884</v>
      </c>
      <c r="B488" s="614"/>
      <c r="C488" s="599" t="s">
        <v>1885</v>
      </c>
      <c r="D488" s="454"/>
      <c r="E488" s="450"/>
      <c r="F488" s="613"/>
      <c r="G488" s="450"/>
      <c r="H488" s="304"/>
      <c r="I488" s="304"/>
    </row>
    <row r="489" spans="1:9">
      <c r="A489" s="457"/>
      <c r="B489" s="457"/>
      <c r="C489" s="305" t="s">
        <v>1026</v>
      </c>
      <c r="D489" s="306">
        <v>10</v>
      </c>
      <c r="E489" s="338">
        <v>210.03</v>
      </c>
      <c r="F489" s="306">
        <f>D489*E489</f>
        <v>2100.3000000000002</v>
      </c>
      <c r="G489" s="307" t="s">
        <v>844</v>
      </c>
      <c r="H489" s="304"/>
      <c r="I489" s="304"/>
    </row>
    <row r="490" spans="1:9">
      <c r="A490" s="492" t="s">
        <v>30</v>
      </c>
      <c r="B490" s="454"/>
      <c r="C490" s="450"/>
      <c r="D490" s="67">
        <v>10</v>
      </c>
      <c r="E490" s="70" t="s">
        <v>21</v>
      </c>
      <c r="F490" s="299">
        <f>F482+F484+F486+F489</f>
        <v>3255.96</v>
      </c>
      <c r="G490" s="71"/>
      <c r="H490" s="298"/>
      <c r="I490" s="298"/>
    </row>
    <row r="491" spans="1:9">
      <c r="A491" s="492" t="s">
        <v>826</v>
      </c>
      <c r="B491" s="454"/>
      <c r="C491" s="450"/>
      <c r="D491" s="67">
        <v>1</v>
      </c>
      <c r="E491" s="70" t="s">
        <v>21</v>
      </c>
      <c r="F491" s="67">
        <f>F490/D490</f>
        <v>325.596</v>
      </c>
      <c r="G491" s="71"/>
      <c r="H491" s="298"/>
      <c r="I491" s="298"/>
    </row>
    <row r="492" spans="1:9">
      <c r="A492" s="493" t="s">
        <v>829</v>
      </c>
      <c r="B492" s="454"/>
      <c r="C492" s="454"/>
      <c r="D492" s="450"/>
      <c r="E492" s="67"/>
      <c r="F492" s="67">
        <f>F491*1%</f>
        <v>3.25596</v>
      </c>
      <c r="G492" s="71"/>
      <c r="H492" s="298"/>
      <c r="I492" s="298"/>
    </row>
    <row r="493" spans="1:9">
      <c r="A493" s="493" t="s">
        <v>30</v>
      </c>
      <c r="B493" s="454"/>
      <c r="C493" s="454"/>
      <c r="D493" s="450"/>
      <c r="E493" s="71"/>
      <c r="F493" s="67">
        <f>F491+F492</f>
        <v>328.85196000000002</v>
      </c>
      <c r="G493" s="71"/>
      <c r="H493" s="298"/>
      <c r="I493" s="298"/>
    </row>
    <row r="494" spans="1:9">
      <c r="A494" s="493" t="s">
        <v>836</v>
      </c>
      <c r="B494" s="454"/>
      <c r="C494" s="454"/>
      <c r="D494" s="450"/>
      <c r="E494" s="67"/>
      <c r="F494" s="67">
        <f>F493*15%</f>
        <v>49.327794000000004</v>
      </c>
      <c r="G494" s="71"/>
      <c r="H494" s="298"/>
      <c r="I494" s="298"/>
    </row>
    <row r="495" spans="1:9">
      <c r="A495" s="493" t="s">
        <v>30</v>
      </c>
      <c r="B495" s="454"/>
      <c r="C495" s="454"/>
      <c r="D495" s="450"/>
      <c r="E495" s="71"/>
      <c r="F495" s="191">
        <f>ROUND(F493+F494,2)</f>
        <v>378.18</v>
      </c>
      <c r="G495" s="71"/>
      <c r="H495" s="298"/>
      <c r="I495" s="298"/>
    </row>
    <row r="496" spans="1:9">
      <c r="A496" s="616" t="str">
        <f>CONCATENATE("Say ₹ ",F479," + ",F495," x Cost Index")</f>
        <v>Say ₹ 115.86 + 378.18 x Cost Index</v>
      </c>
      <c r="B496" s="454"/>
      <c r="C496" s="454"/>
      <c r="D496" s="454"/>
      <c r="E496" s="454"/>
      <c r="F496" s="450"/>
      <c r="G496" s="300" t="s">
        <v>1000</v>
      </c>
      <c r="H496" s="301">
        <f>F473*1.01*1.15/10</f>
        <v>115.85962499999998</v>
      </c>
      <c r="I496" s="301">
        <f>(F482+F484+F486+F489)*1.01*1.15/10</f>
        <v>378.179754</v>
      </c>
    </row>
    <row r="497" spans="1:9">
      <c r="A497" s="486" t="s">
        <v>771</v>
      </c>
      <c r="B497" s="486" t="s">
        <v>776</v>
      </c>
      <c r="C497" s="487" t="s">
        <v>4</v>
      </c>
      <c r="D497" s="454"/>
      <c r="E497" s="450"/>
      <c r="F497" s="487" t="s">
        <v>785</v>
      </c>
      <c r="G497" s="450"/>
      <c r="H497" s="298"/>
      <c r="I497" s="298"/>
    </row>
    <row r="498" spans="1:9">
      <c r="A498" s="457"/>
      <c r="B498" s="457"/>
      <c r="C498" s="62" t="s">
        <v>5</v>
      </c>
      <c r="D498" s="62" t="s">
        <v>6</v>
      </c>
      <c r="E498" s="62" t="s">
        <v>336</v>
      </c>
      <c r="F498" s="62" t="s">
        <v>8</v>
      </c>
      <c r="G498" s="62" t="s">
        <v>789</v>
      </c>
      <c r="H498" s="298"/>
      <c r="I498" s="298"/>
    </row>
    <row r="499" spans="1:9">
      <c r="A499" s="617" t="s">
        <v>1916</v>
      </c>
      <c r="B499" s="454"/>
      <c r="C499" s="454"/>
      <c r="D499" s="454"/>
      <c r="E499" s="454"/>
      <c r="F499" s="454"/>
      <c r="G499" s="450"/>
      <c r="H499" s="298"/>
      <c r="I499" s="298"/>
    </row>
    <row r="500" spans="1:9">
      <c r="A500" s="65"/>
      <c r="B500" s="66" t="s">
        <v>795</v>
      </c>
      <c r="C500" s="66" t="s">
        <v>21</v>
      </c>
      <c r="D500" s="66" t="s">
        <v>798</v>
      </c>
      <c r="E500" s="67">
        <v>10</v>
      </c>
      <c r="F500" s="484"/>
      <c r="G500" s="450"/>
      <c r="H500" s="298"/>
      <c r="I500" s="298"/>
    </row>
    <row r="501" spans="1:9">
      <c r="A501" s="66" t="s">
        <v>800</v>
      </c>
      <c r="B501" s="484" t="s">
        <v>512</v>
      </c>
      <c r="C501" s="454"/>
      <c r="D501" s="454"/>
      <c r="E501" s="454"/>
      <c r="F501" s="454"/>
      <c r="G501" s="450"/>
      <c r="H501" s="298"/>
      <c r="I501" s="298"/>
    </row>
    <row r="502" spans="1:9">
      <c r="A502" s="490" t="s">
        <v>802</v>
      </c>
      <c r="B502" s="454"/>
      <c r="C502" s="454"/>
      <c r="D502" s="454"/>
      <c r="E502" s="454"/>
      <c r="F502" s="450"/>
      <c r="G502" s="68" t="s">
        <v>803</v>
      </c>
      <c r="H502" s="298"/>
      <c r="I502" s="298"/>
    </row>
    <row r="503" spans="1:9">
      <c r="A503" s="491"/>
      <c r="B503" s="491" t="s">
        <v>1864</v>
      </c>
      <c r="C503" s="484" t="s">
        <v>1917</v>
      </c>
      <c r="D503" s="454"/>
      <c r="E503" s="450"/>
      <c r="F503" s="484"/>
      <c r="G503" s="450"/>
      <c r="H503" s="298"/>
      <c r="I503" s="298"/>
    </row>
    <row r="504" spans="1:9">
      <c r="A504" s="457"/>
      <c r="B504" s="457"/>
      <c r="C504" s="66" t="s">
        <v>21</v>
      </c>
      <c r="D504" s="67">
        <v>10.5</v>
      </c>
      <c r="E504" s="67">
        <v>211</v>
      </c>
      <c r="F504" s="67">
        <f>E504*D504</f>
        <v>2215.5</v>
      </c>
      <c r="G504" s="66" t="s">
        <v>808</v>
      </c>
      <c r="H504" s="298"/>
      <c r="I504" s="298"/>
    </row>
    <row r="505" spans="1:9">
      <c r="A505" s="492" t="s">
        <v>30</v>
      </c>
      <c r="B505" s="454"/>
      <c r="C505" s="450"/>
      <c r="D505" s="67">
        <v>10</v>
      </c>
      <c r="E505" s="70" t="s">
        <v>21</v>
      </c>
      <c r="F505" s="67">
        <f>F504</f>
        <v>2215.5</v>
      </c>
      <c r="G505" s="66"/>
      <c r="H505" s="298"/>
      <c r="I505" s="298"/>
    </row>
    <row r="506" spans="1:9">
      <c r="A506" s="492" t="s">
        <v>826</v>
      </c>
      <c r="B506" s="454"/>
      <c r="C506" s="450"/>
      <c r="D506" s="67">
        <v>1</v>
      </c>
      <c r="E506" s="70" t="s">
        <v>21</v>
      </c>
      <c r="F506" s="67">
        <f>F505/D505</f>
        <v>221.55</v>
      </c>
      <c r="G506" s="66"/>
      <c r="H506" s="298"/>
      <c r="I506" s="298"/>
    </row>
    <row r="507" spans="1:9">
      <c r="A507" s="493" t="s">
        <v>829</v>
      </c>
      <c r="B507" s="454"/>
      <c r="C507" s="454"/>
      <c r="D507" s="450"/>
      <c r="E507" s="67"/>
      <c r="F507" s="67">
        <f>F506*1%</f>
        <v>2.2155</v>
      </c>
      <c r="G507" s="66"/>
      <c r="H507" s="298"/>
      <c r="I507" s="298"/>
    </row>
    <row r="508" spans="1:9">
      <c r="A508" s="493" t="s">
        <v>30</v>
      </c>
      <c r="B508" s="454"/>
      <c r="C508" s="454"/>
      <c r="D508" s="450"/>
      <c r="E508" s="71"/>
      <c r="F508" s="67">
        <f>F506+F507</f>
        <v>223.7655</v>
      </c>
      <c r="G508" s="66"/>
      <c r="H508" s="298"/>
      <c r="I508" s="298"/>
    </row>
    <row r="509" spans="1:9">
      <c r="A509" s="493" t="s">
        <v>836</v>
      </c>
      <c r="B509" s="454"/>
      <c r="C509" s="454"/>
      <c r="D509" s="450"/>
      <c r="E509" s="67"/>
      <c r="F509" s="67">
        <f>F508*15%</f>
        <v>33.564824999999999</v>
      </c>
      <c r="G509" s="66"/>
      <c r="H509" s="298"/>
      <c r="I509" s="298"/>
    </row>
    <row r="510" spans="1:9">
      <c r="A510" s="493" t="s">
        <v>30</v>
      </c>
      <c r="B510" s="454"/>
      <c r="C510" s="454"/>
      <c r="D510" s="450"/>
      <c r="E510" s="71"/>
      <c r="F510" s="191">
        <f>ROUND(F508+F509,2)</f>
        <v>257.33</v>
      </c>
      <c r="G510" s="66"/>
      <c r="H510" s="298"/>
      <c r="I510" s="298"/>
    </row>
    <row r="511" spans="1:9">
      <c r="A511" s="490" t="s">
        <v>819</v>
      </c>
      <c r="B511" s="454"/>
      <c r="C511" s="454"/>
      <c r="D511" s="454"/>
      <c r="E511" s="454"/>
      <c r="F511" s="450"/>
      <c r="G511" s="68" t="s">
        <v>820</v>
      </c>
      <c r="H511" s="298"/>
      <c r="I511" s="298"/>
    </row>
    <row r="512" spans="1:9">
      <c r="A512" s="491">
        <v>116</v>
      </c>
      <c r="B512" s="491"/>
      <c r="C512" s="484" t="s">
        <v>527</v>
      </c>
      <c r="D512" s="454"/>
      <c r="E512" s="450"/>
      <c r="F512" s="484"/>
      <c r="G512" s="450"/>
      <c r="H512" s="298"/>
      <c r="I512" s="298"/>
    </row>
    <row r="513" spans="1:9">
      <c r="A513" s="457"/>
      <c r="B513" s="457"/>
      <c r="C513" s="66" t="s">
        <v>26</v>
      </c>
      <c r="D513" s="67">
        <v>0.33</v>
      </c>
      <c r="E513" s="67">
        <v>784</v>
      </c>
      <c r="F513" s="67">
        <f>E513*D513</f>
        <v>258.72000000000003</v>
      </c>
      <c r="G513" s="66" t="s">
        <v>822</v>
      </c>
      <c r="H513" s="298"/>
      <c r="I513" s="298"/>
    </row>
    <row r="514" spans="1:9">
      <c r="A514" s="491">
        <v>117</v>
      </c>
      <c r="B514" s="491"/>
      <c r="C514" s="484" t="s">
        <v>858</v>
      </c>
      <c r="D514" s="454"/>
      <c r="E514" s="450"/>
      <c r="F514" s="484"/>
      <c r="G514" s="450"/>
      <c r="H514" s="298"/>
      <c r="I514" s="298"/>
    </row>
    <row r="515" spans="1:9">
      <c r="A515" s="457"/>
      <c r="B515" s="457"/>
      <c r="C515" s="66" t="s">
        <v>26</v>
      </c>
      <c r="D515" s="67">
        <v>0.66</v>
      </c>
      <c r="E515" s="67">
        <v>714</v>
      </c>
      <c r="F515" s="67">
        <f>E515*D515</f>
        <v>471.24</v>
      </c>
      <c r="G515" s="66" t="s">
        <v>825</v>
      </c>
      <c r="H515" s="298"/>
      <c r="I515" s="298"/>
    </row>
    <row r="516" spans="1:9">
      <c r="A516" s="491">
        <v>114</v>
      </c>
      <c r="B516" s="491"/>
      <c r="C516" s="484" t="s">
        <v>59</v>
      </c>
      <c r="D516" s="454"/>
      <c r="E516" s="450"/>
      <c r="F516" s="484"/>
      <c r="G516" s="450"/>
      <c r="H516" s="298"/>
      <c r="I516" s="298"/>
    </row>
    <row r="517" spans="1:9">
      <c r="A517" s="457"/>
      <c r="B517" s="457"/>
      <c r="C517" s="66" t="s">
        <v>26</v>
      </c>
      <c r="D517" s="67">
        <v>0.66</v>
      </c>
      <c r="E517" s="67">
        <v>645</v>
      </c>
      <c r="F517" s="67">
        <f>E517*D517</f>
        <v>425.70000000000005</v>
      </c>
      <c r="G517" s="66" t="s">
        <v>837</v>
      </c>
      <c r="H517" s="298"/>
      <c r="I517" s="298"/>
    </row>
    <row r="518" spans="1:9">
      <c r="A518" s="490" t="s">
        <v>838</v>
      </c>
      <c r="B518" s="454"/>
      <c r="C518" s="454"/>
      <c r="D518" s="454"/>
      <c r="E518" s="454"/>
      <c r="F518" s="450"/>
      <c r="G518" s="68" t="s">
        <v>820</v>
      </c>
      <c r="H518" s="298"/>
      <c r="I518" s="298"/>
    </row>
    <row r="519" spans="1:9">
      <c r="A519" s="491" t="s">
        <v>1884</v>
      </c>
      <c r="B519" s="614"/>
      <c r="C519" s="599" t="s">
        <v>1885</v>
      </c>
      <c r="D519" s="454"/>
      <c r="E519" s="450"/>
      <c r="F519" s="613"/>
      <c r="G519" s="450"/>
      <c r="H519" s="304"/>
      <c r="I519" s="304"/>
    </row>
    <row r="520" spans="1:9">
      <c r="A520" s="457"/>
      <c r="B520" s="457"/>
      <c r="C520" s="305" t="s">
        <v>1026</v>
      </c>
      <c r="D520" s="306">
        <v>10</v>
      </c>
      <c r="E520" s="338">
        <v>210.03</v>
      </c>
      <c r="F520" s="306">
        <f>D520*E520</f>
        <v>2100.3000000000002</v>
      </c>
      <c r="G520" s="307" t="s">
        <v>844</v>
      </c>
      <c r="H520" s="304"/>
      <c r="I520" s="304"/>
    </row>
    <row r="521" spans="1:9">
      <c r="A521" s="492" t="s">
        <v>30</v>
      </c>
      <c r="B521" s="454"/>
      <c r="C521" s="450"/>
      <c r="D521" s="67">
        <v>10</v>
      </c>
      <c r="E521" s="70" t="s">
        <v>21</v>
      </c>
      <c r="F521" s="299">
        <f>F513+F515+F517+F520</f>
        <v>3255.96</v>
      </c>
      <c r="G521" s="71"/>
      <c r="H521" s="298"/>
      <c r="I521" s="298"/>
    </row>
    <row r="522" spans="1:9">
      <c r="A522" s="492" t="s">
        <v>826</v>
      </c>
      <c r="B522" s="454"/>
      <c r="C522" s="450"/>
      <c r="D522" s="67">
        <v>1</v>
      </c>
      <c r="E522" s="70" t="s">
        <v>21</v>
      </c>
      <c r="F522" s="67">
        <f>F521/D521</f>
        <v>325.596</v>
      </c>
      <c r="G522" s="71"/>
      <c r="H522" s="298"/>
      <c r="I522" s="298"/>
    </row>
    <row r="523" spans="1:9">
      <c r="A523" s="493" t="s">
        <v>829</v>
      </c>
      <c r="B523" s="454"/>
      <c r="C523" s="454"/>
      <c r="D523" s="450"/>
      <c r="E523" s="67"/>
      <c r="F523" s="67">
        <f>F522*1%</f>
        <v>3.25596</v>
      </c>
      <c r="G523" s="71"/>
      <c r="H523" s="298"/>
      <c r="I523" s="298"/>
    </row>
    <row r="524" spans="1:9">
      <c r="A524" s="493" t="s">
        <v>30</v>
      </c>
      <c r="B524" s="454"/>
      <c r="C524" s="454"/>
      <c r="D524" s="450"/>
      <c r="E524" s="71"/>
      <c r="F524" s="67">
        <f>F522+F523</f>
        <v>328.85196000000002</v>
      </c>
      <c r="G524" s="71"/>
      <c r="H524" s="298"/>
      <c r="I524" s="298"/>
    </row>
    <row r="525" spans="1:9">
      <c r="A525" s="493" t="s">
        <v>836</v>
      </c>
      <c r="B525" s="454"/>
      <c r="C525" s="454"/>
      <c r="D525" s="450"/>
      <c r="E525" s="67"/>
      <c r="F525" s="67">
        <f>F524*15%</f>
        <v>49.327794000000004</v>
      </c>
      <c r="G525" s="71"/>
      <c r="H525" s="298"/>
      <c r="I525" s="298"/>
    </row>
    <row r="526" spans="1:9">
      <c r="A526" s="493" t="s">
        <v>30</v>
      </c>
      <c r="B526" s="454"/>
      <c r="C526" s="454"/>
      <c r="D526" s="450"/>
      <c r="E526" s="71"/>
      <c r="F526" s="191">
        <f>ROUND(F524+F525,2)</f>
        <v>378.18</v>
      </c>
      <c r="G526" s="71"/>
      <c r="H526" s="298"/>
      <c r="I526" s="298"/>
    </row>
    <row r="527" spans="1:9">
      <c r="A527" s="616" t="str">
        <f>CONCATENATE("Say ₹ ",F510," + ",F526," x Cost Index")</f>
        <v>Say ₹ 257.33 + 378.18 x Cost Index</v>
      </c>
      <c r="B527" s="454"/>
      <c r="C527" s="454"/>
      <c r="D527" s="454"/>
      <c r="E527" s="454"/>
      <c r="F527" s="450"/>
      <c r="G527" s="300" t="s">
        <v>1000</v>
      </c>
      <c r="H527" s="301">
        <f>F504*1.01*1.15/10</f>
        <v>257.33032500000002</v>
      </c>
      <c r="I527" s="301">
        <f>(F513+F515+F517+F520)*1.01*1.15/10</f>
        <v>378.179754</v>
      </c>
    </row>
    <row r="528" spans="1:9">
      <c r="A528" s="486" t="s">
        <v>771</v>
      </c>
      <c r="B528" s="486" t="s">
        <v>776</v>
      </c>
      <c r="C528" s="487" t="s">
        <v>4</v>
      </c>
      <c r="D528" s="454"/>
      <c r="E528" s="450"/>
      <c r="F528" s="487" t="s">
        <v>785</v>
      </c>
      <c r="G528" s="450"/>
      <c r="H528" s="298"/>
      <c r="I528" s="298"/>
    </row>
    <row r="529" spans="1:9">
      <c r="A529" s="457"/>
      <c r="B529" s="457"/>
      <c r="C529" s="62" t="s">
        <v>5</v>
      </c>
      <c r="D529" s="62" t="s">
        <v>6</v>
      </c>
      <c r="E529" s="62" t="s">
        <v>336</v>
      </c>
      <c r="F529" s="62" t="s">
        <v>8</v>
      </c>
      <c r="G529" s="62" t="s">
        <v>789</v>
      </c>
      <c r="H529" s="298"/>
      <c r="I529" s="298"/>
    </row>
    <row r="530" spans="1:9">
      <c r="A530" s="617" t="s">
        <v>1926</v>
      </c>
      <c r="B530" s="454"/>
      <c r="C530" s="454"/>
      <c r="D530" s="454"/>
      <c r="E530" s="454"/>
      <c r="F530" s="454"/>
      <c r="G530" s="450"/>
      <c r="H530" s="298"/>
      <c r="I530" s="298"/>
    </row>
    <row r="531" spans="1:9">
      <c r="A531" s="65"/>
      <c r="B531" s="66" t="s">
        <v>795</v>
      </c>
      <c r="C531" s="66" t="s">
        <v>21</v>
      </c>
      <c r="D531" s="66" t="s">
        <v>798</v>
      </c>
      <c r="E531" s="67">
        <v>10</v>
      </c>
      <c r="F531" s="484"/>
      <c r="G531" s="450"/>
      <c r="H531" s="298"/>
      <c r="I531" s="298"/>
    </row>
    <row r="532" spans="1:9">
      <c r="A532" s="66" t="s">
        <v>800</v>
      </c>
      <c r="B532" s="484" t="s">
        <v>512</v>
      </c>
      <c r="C532" s="454"/>
      <c r="D532" s="454"/>
      <c r="E532" s="454"/>
      <c r="F532" s="454"/>
      <c r="G532" s="450"/>
      <c r="H532" s="298"/>
      <c r="I532" s="298"/>
    </row>
    <row r="533" spans="1:9">
      <c r="A533" s="490" t="s">
        <v>802</v>
      </c>
      <c r="B533" s="454"/>
      <c r="C533" s="454"/>
      <c r="D533" s="454"/>
      <c r="E533" s="454"/>
      <c r="F533" s="450"/>
      <c r="G533" s="68" t="s">
        <v>803</v>
      </c>
      <c r="H533" s="298"/>
      <c r="I533" s="298"/>
    </row>
    <row r="534" spans="1:9">
      <c r="A534" s="491"/>
      <c r="B534" s="491" t="s">
        <v>571</v>
      </c>
      <c r="C534" s="484" t="s">
        <v>1929</v>
      </c>
      <c r="D534" s="454"/>
      <c r="E534" s="450"/>
      <c r="F534" s="484"/>
      <c r="G534" s="450"/>
      <c r="H534" s="298"/>
      <c r="I534" s="298"/>
    </row>
    <row r="535" spans="1:9">
      <c r="A535" s="457"/>
      <c r="B535" s="457"/>
      <c r="C535" s="66" t="s">
        <v>21</v>
      </c>
      <c r="D535" s="67">
        <v>10.5</v>
      </c>
      <c r="E535" s="67">
        <v>170</v>
      </c>
      <c r="F535" s="67">
        <f>E535*D535</f>
        <v>1785</v>
      </c>
      <c r="G535" s="66" t="s">
        <v>808</v>
      </c>
      <c r="H535" s="298"/>
      <c r="I535" s="298"/>
    </row>
    <row r="536" spans="1:9">
      <c r="A536" s="492" t="s">
        <v>30</v>
      </c>
      <c r="B536" s="454"/>
      <c r="C536" s="450"/>
      <c r="D536" s="67">
        <v>10</v>
      </c>
      <c r="E536" s="70" t="s">
        <v>21</v>
      </c>
      <c r="F536" s="67">
        <f>F535</f>
        <v>1785</v>
      </c>
      <c r="G536" s="66"/>
      <c r="H536" s="298"/>
      <c r="I536" s="298"/>
    </row>
    <row r="537" spans="1:9">
      <c r="A537" s="492" t="s">
        <v>826</v>
      </c>
      <c r="B537" s="454"/>
      <c r="C537" s="450"/>
      <c r="D537" s="67">
        <v>1</v>
      </c>
      <c r="E537" s="70" t="s">
        <v>21</v>
      </c>
      <c r="F537" s="67">
        <f>F536/D536</f>
        <v>178.5</v>
      </c>
      <c r="G537" s="66"/>
      <c r="H537" s="298"/>
      <c r="I537" s="298"/>
    </row>
    <row r="538" spans="1:9">
      <c r="A538" s="493" t="s">
        <v>829</v>
      </c>
      <c r="B538" s="454"/>
      <c r="C538" s="454"/>
      <c r="D538" s="450"/>
      <c r="E538" s="67"/>
      <c r="F538" s="67">
        <f>F537*1%</f>
        <v>1.7850000000000001</v>
      </c>
      <c r="G538" s="66"/>
      <c r="H538" s="298"/>
      <c r="I538" s="298"/>
    </row>
    <row r="539" spans="1:9">
      <c r="A539" s="493" t="s">
        <v>30</v>
      </c>
      <c r="B539" s="454"/>
      <c r="C539" s="454"/>
      <c r="D539" s="450"/>
      <c r="E539" s="71"/>
      <c r="F539" s="67">
        <f>F537+F538</f>
        <v>180.285</v>
      </c>
      <c r="G539" s="66"/>
      <c r="H539" s="298"/>
      <c r="I539" s="298"/>
    </row>
    <row r="540" spans="1:9">
      <c r="A540" s="493" t="s">
        <v>836</v>
      </c>
      <c r="B540" s="454"/>
      <c r="C540" s="454"/>
      <c r="D540" s="450"/>
      <c r="E540" s="67"/>
      <c r="F540" s="67">
        <f>F539*15%</f>
        <v>27.042749999999998</v>
      </c>
      <c r="G540" s="66"/>
      <c r="H540" s="298"/>
      <c r="I540" s="298"/>
    </row>
    <row r="541" spans="1:9">
      <c r="A541" s="493" t="s">
        <v>30</v>
      </c>
      <c r="B541" s="454"/>
      <c r="C541" s="454"/>
      <c r="D541" s="450"/>
      <c r="E541" s="71"/>
      <c r="F541" s="191">
        <f>ROUND(F539+F540,2)</f>
        <v>207.33</v>
      </c>
      <c r="G541" s="66"/>
      <c r="H541" s="298"/>
      <c r="I541" s="298"/>
    </row>
    <row r="542" spans="1:9">
      <c r="A542" s="490" t="s">
        <v>819</v>
      </c>
      <c r="B542" s="454"/>
      <c r="C542" s="454"/>
      <c r="D542" s="454"/>
      <c r="E542" s="454"/>
      <c r="F542" s="450"/>
      <c r="G542" s="68" t="s">
        <v>820</v>
      </c>
      <c r="H542" s="298"/>
      <c r="I542" s="298"/>
    </row>
    <row r="543" spans="1:9">
      <c r="A543" s="491">
        <v>116</v>
      </c>
      <c r="B543" s="491"/>
      <c r="C543" s="484" t="s">
        <v>527</v>
      </c>
      <c r="D543" s="454"/>
      <c r="E543" s="450"/>
      <c r="F543" s="484"/>
      <c r="G543" s="450"/>
      <c r="H543" s="298"/>
      <c r="I543" s="298"/>
    </row>
    <row r="544" spans="1:9">
      <c r="A544" s="457"/>
      <c r="B544" s="457"/>
      <c r="C544" s="66" t="s">
        <v>26</v>
      </c>
      <c r="D544" s="67">
        <v>0.33</v>
      </c>
      <c r="E544" s="67">
        <v>784</v>
      </c>
      <c r="F544" s="67">
        <f>E544*D544</f>
        <v>258.72000000000003</v>
      </c>
      <c r="G544" s="66" t="s">
        <v>822</v>
      </c>
      <c r="H544" s="298"/>
      <c r="I544" s="298"/>
    </row>
    <row r="545" spans="1:9">
      <c r="A545" s="491">
        <v>117</v>
      </c>
      <c r="B545" s="491"/>
      <c r="C545" s="484" t="s">
        <v>858</v>
      </c>
      <c r="D545" s="454"/>
      <c r="E545" s="450"/>
      <c r="F545" s="484"/>
      <c r="G545" s="450"/>
      <c r="H545" s="298"/>
      <c r="I545" s="298"/>
    </row>
    <row r="546" spans="1:9">
      <c r="A546" s="457"/>
      <c r="B546" s="457"/>
      <c r="C546" s="66" t="s">
        <v>26</v>
      </c>
      <c r="D546" s="67">
        <v>0.66</v>
      </c>
      <c r="E546" s="67">
        <v>714</v>
      </c>
      <c r="F546" s="67">
        <f>E546*D546</f>
        <v>471.24</v>
      </c>
      <c r="G546" s="66" t="s">
        <v>825</v>
      </c>
      <c r="H546" s="298"/>
      <c r="I546" s="298"/>
    </row>
    <row r="547" spans="1:9">
      <c r="A547" s="491">
        <v>114</v>
      </c>
      <c r="B547" s="491"/>
      <c r="C547" s="484" t="s">
        <v>59</v>
      </c>
      <c r="D547" s="454"/>
      <c r="E547" s="450"/>
      <c r="F547" s="484"/>
      <c r="G547" s="450"/>
      <c r="H547" s="298"/>
      <c r="I547" s="298"/>
    </row>
    <row r="548" spans="1:9">
      <c r="A548" s="457"/>
      <c r="B548" s="457"/>
      <c r="C548" s="66" t="s">
        <v>26</v>
      </c>
      <c r="D548" s="67">
        <v>0.66</v>
      </c>
      <c r="E548" s="67">
        <v>645</v>
      </c>
      <c r="F548" s="67">
        <f>E548*D548</f>
        <v>425.70000000000005</v>
      </c>
      <c r="G548" s="66" t="s">
        <v>837</v>
      </c>
      <c r="H548" s="298"/>
      <c r="I548" s="298"/>
    </row>
    <row r="549" spans="1:9">
      <c r="A549" s="490" t="s">
        <v>838</v>
      </c>
      <c r="B549" s="454"/>
      <c r="C549" s="454"/>
      <c r="D549" s="454"/>
      <c r="E549" s="454"/>
      <c r="F549" s="450"/>
      <c r="G549" s="68" t="s">
        <v>820</v>
      </c>
      <c r="H549" s="298"/>
      <c r="I549" s="298"/>
    </row>
    <row r="550" spans="1:9">
      <c r="A550" s="491" t="s">
        <v>1884</v>
      </c>
      <c r="B550" s="614"/>
      <c r="C550" s="599" t="s">
        <v>1885</v>
      </c>
      <c r="D550" s="454"/>
      <c r="E550" s="450"/>
      <c r="F550" s="613"/>
      <c r="G550" s="450"/>
      <c r="H550" s="304"/>
      <c r="I550" s="304"/>
    </row>
    <row r="551" spans="1:9">
      <c r="A551" s="457"/>
      <c r="B551" s="457"/>
      <c r="C551" s="305" t="s">
        <v>1026</v>
      </c>
      <c r="D551" s="306">
        <v>10</v>
      </c>
      <c r="E551" s="338">
        <v>210.03</v>
      </c>
      <c r="F551" s="306">
        <f>D551*E551</f>
        <v>2100.3000000000002</v>
      </c>
      <c r="G551" s="307" t="s">
        <v>844</v>
      </c>
      <c r="H551" s="304"/>
      <c r="I551" s="304"/>
    </row>
    <row r="552" spans="1:9">
      <c r="A552" s="492" t="s">
        <v>30</v>
      </c>
      <c r="B552" s="454"/>
      <c r="C552" s="450"/>
      <c r="D552" s="67">
        <v>10</v>
      </c>
      <c r="E552" s="70" t="s">
        <v>21</v>
      </c>
      <c r="F552" s="299">
        <f>F544+F546+F548+F551</f>
        <v>3255.96</v>
      </c>
      <c r="G552" s="71"/>
      <c r="H552" s="298"/>
      <c r="I552" s="298"/>
    </row>
    <row r="553" spans="1:9">
      <c r="A553" s="492" t="s">
        <v>826</v>
      </c>
      <c r="B553" s="454"/>
      <c r="C553" s="450"/>
      <c r="D553" s="67">
        <v>1</v>
      </c>
      <c r="E553" s="70" t="s">
        <v>21</v>
      </c>
      <c r="F553" s="67">
        <f>F552/D552</f>
        <v>325.596</v>
      </c>
      <c r="G553" s="71"/>
      <c r="H553" s="298"/>
      <c r="I553" s="298"/>
    </row>
    <row r="554" spans="1:9">
      <c r="A554" s="493" t="s">
        <v>829</v>
      </c>
      <c r="B554" s="454"/>
      <c r="C554" s="454"/>
      <c r="D554" s="450"/>
      <c r="E554" s="67"/>
      <c r="F554" s="67">
        <f>F553*1%</f>
        <v>3.25596</v>
      </c>
      <c r="G554" s="71"/>
      <c r="H554" s="298"/>
      <c r="I554" s="298"/>
    </row>
    <row r="555" spans="1:9">
      <c r="A555" s="493" t="s">
        <v>30</v>
      </c>
      <c r="B555" s="454"/>
      <c r="C555" s="454"/>
      <c r="D555" s="450"/>
      <c r="E555" s="71"/>
      <c r="F555" s="67">
        <f>F553+F554</f>
        <v>328.85196000000002</v>
      </c>
      <c r="G555" s="71"/>
      <c r="H555" s="298"/>
      <c r="I555" s="298"/>
    </row>
    <row r="556" spans="1:9">
      <c r="A556" s="493" t="s">
        <v>836</v>
      </c>
      <c r="B556" s="454"/>
      <c r="C556" s="454"/>
      <c r="D556" s="450"/>
      <c r="E556" s="67"/>
      <c r="F556" s="67">
        <f>F555*15%</f>
        <v>49.327794000000004</v>
      </c>
      <c r="G556" s="71"/>
      <c r="H556" s="298"/>
      <c r="I556" s="298"/>
    </row>
    <row r="557" spans="1:9">
      <c r="A557" s="493" t="s">
        <v>30</v>
      </c>
      <c r="B557" s="454"/>
      <c r="C557" s="454"/>
      <c r="D557" s="450"/>
      <c r="E557" s="71"/>
      <c r="F557" s="191">
        <f>ROUND(F555+F556,2)</f>
        <v>378.18</v>
      </c>
      <c r="G557" s="71"/>
      <c r="H557" s="298"/>
      <c r="I557" s="298"/>
    </row>
    <row r="558" spans="1:9">
      <c r="A558" s="616" t="str">
        <f>CONCATENATE("Say ₹ ",F541," + ",F557," x Cost Index")</f>
        <v>Say ₹ 207.33 + 378.18 x Cost Index</v>
      </c>
      <c r="B558" s="454"/>
      <c r="C558" s="454"/>
      <c r="D558" s="454"/>
      <c r="E558" s="454"/>
      <c r="F558" s="450"/>
      <c r="G558" s="300" t="s">
        <v>1000</v>
      </c>
      <c r="H558" s="301">
        <f>F535*1.01*1.15/10</f>
        <v>207.32774999999998</v>
      </c>
      <c r="I558" s="301">
        <f>(F544+F546+F548+F551)*1.01*1.15/10</f>
        <v>378.179754</v>
      </c>
    </row>
  </sheetData>
  <mergeCells count="774">
    <mergeCell ref="A499:G499"/>
    <mergeCell ref="F500:G500"/>
    <mergeCell ref="B501:G501"/>
    <mergeCell ref="A502:F502"/>
    <mergeCell ref="A490:C490"/>
    <mergeCell ref="A491:C491"/>
    <mergeCell ref="A492:D492"/>
    <mergeCell ref="A493:D493"/>
    <mergeCell ref="A494:D494"/>
    <mergeCell ref="A495:D495"/>
    <mergeCell ref="A496:F496"/>
    <mergeCell ref="A497:A498"/>
    <mergeCell ref="B497:B498"/>
    <mergeCell ref="C497:E497"/>
    <mergeCell ref="F497:G497"/>
    <mergeCell ref="A485:A486"/>
    <mergeCell ref="B485:B486"/>
    <mergeCell ref="F485:G485"/>
    <mergeCell ref="C485:E485"/>
    <mergeCell ref="A487:F487"/>
    <mergeCell ref="A488:A489"/>
    <mergeCell ref="B488:B489"/>
    <mergeCell ref="C488:E488"/>
    <mergeCell ref="F488:G488"/>
    <mergeCell ref="F481:G481"/>
    <mergeCell ref="A475:C475"/>
    <mergeCell ref="A476:D476"/>
    <mergeCell ref="A477:D477"/>
    <mergeCell ref="A478:D478"/>
    <mergeCell ref="A479:D479"/>
    <mergeCell ref="A480:F480"/>
    <mergeCell ref="A481:A482"/>
    <mergeCell ref="A483:A484"/>
    <mergeCell ref="B483:B484"/>
    <mergeCell ref="C483:E483"/>
    <mergeCell ref="F483:G483"/>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552:C552"/>
    <mergeCell ref="A553:C553"/>
    <mergeCell ref="A554:D554"/>
    <mergeCell ref="A555:D555"/>
    <mergeCell ref="A556:D556"/>
    <mergeCell ref="A557:D557"/>
    <mergeCell ref="A558:F558"/>
    <mergeCell ref="C373:E373"/>
    <mergeCell ref="F373:G373"/>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541:D541"/>
    <mergeCell ref="C545:E545"/>
    <mergeCell ref="F545:G545"/>
    <mergeCell ref="A542:F542"/>
    <mergeCell ref="A543:A544"/>
    <mergeCell ref="B543:B544"/>
    <mergeCell ref="C543:E543"/>
    <mergeCell ref="F543:G543"/>
    <mergeCell ref="A545:A546"/>
    <mergeCell ref="B545:B546"/>
    <mergeCell ref="A534:A535"/>
    <mergeCell ref="C534:E534"/>
    <mergeCell ref="F534:G534"/>
    <mergeCell ref="B534:B535"/>
    <mergeCell ref="A536:C536"/>
    <mergeCell ref="A537:C537"/>
    <mergeCell ref="A538:D538"/>
    <mergeCell ref="A539:D539"/>
    <mergeCell ref="A540:D540"/>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433:D433"/>
    <mergeCell ref="A434:F434"/>
    <mergeCell ref="A435:A436"/>
    <mergeCell ref="B435:B436"/>
    <mergeCell ref="F435:G435"/>
    <mergeCell ref="C441:E441"/>
    <mergeCell ref="F441:G441"/>
    <mergeCell ref="A516:A517"/>
    <mergeCell ref="A519:A520"/>
    <mergeCell ref="B519:B520"/>
    <mergeCell ref="C519:E519"/>
    <mergeCell ref="F519:G519"/>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26:A427"/>
    <mergeCell ref="B426:B427"/>
    <mergeCell ref="C426:E426"/>
    <mergeCell ref="F426:G426"/>
    <mergeCell ref="A428:C428"/>
    <mergeCell ref="A429:C429"/>
    <mergeCell ref="A430:D430"/>
    <mergeCell ref="A431:D431"/>
    <mergeCell ref="A432:D432"/>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9:A420"/>
    <mergeCell ref="B419:B420"/>
    <mergeCell ref="A421:A422"/>
    <mergeCell ref="B421:B422"/>
    <mergeCell ref="A423:A424"/>
    <mergeCell ref="B423:B424"/>
    <mergeCell ref="C516:E516"/>
    <mergeCell ref="F516:G516"/>
    <mergeCell ref="A512:A513"/>
    <mergeCell ref="A514:A515"/>
    <mergeCell ref="B514:B515"/>
    <mergeCell ref="C514:E514"/>
    <mergeCell ref="F514:G514"/>
    <mergeCell ref="B516:B517"/>
    <mergeCell ref="A518:F518"/>
    <mergeCell ref="A505:C505"/>
    <mergeCell ref="A506:C506"/>
    <mergeCell ref="A507:D507"/>
    <mergeCell ref="A508:D508"/>
    <mergeCell ref="A509:D509"/>
    <mergeCell ref="A510:D510"/>
    <mergeCell ref="A511:F511"/>
    <mergeCell ref="B512:B513"/>
    <mergeCell ref="C512:E512"/>
    <mergeCell ref="F512:G512"/>
    <mergeCell ref="A445:D445"/>
    <mergeCell ref="A446:D446"/>
    <mergeCell ref="A447:D447"/>
    <mergeCell ref="A448:D448"/>
    <mergeCell ref="A449:F449"/>
    <mergeCell ref="A503:A504"/>
    <mergeCell ref="B503:B504"/>
    <mergeCell ref="C503:E503"/>
    <mergeCell ref="F503:G503"/>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C435:E435"/>
    <mergeCell ref="A437:G437"/>
    <mergeCell ref="F438:G438"/>
    <mergeCell ref="B439:G439"/>
    <mergeCell ref="A440:F440"/>
    <mergeCell ref="A441:A442"/>
    <mergeCell ref="B441:B442"/>
    <mergeCell ref="A443:C443"/>
    <mergeCell ref="A444:C444"/>
    <mergeCell ref="B410:B411"/>
    <mergeCell ref="C410:E410"/>
    <mergeCell ref="C404:E404"/>
    <mergeCell ref="F404:G404"/>
    <mergeCell ref="A406:G406"/>
    <mergeCell ref="F407:G407"/>
    <mergeCell ref="B408:G408"/>
    <mergeCell ref="A409:F409"/>
    <mergeCell ref="F410:G410"/>
    <mergeCell ref="A410:A411"/>
    <mergeCell ref="A404:A405"/>
    <mergeCell ref="B404:B405"/>
    <mergeCell ref="A397:C397"/>
    <mergeCell ref="A398:C398"/>
    <mergeCell ref="A399:D399"/>
    <mergeCell ref="A400:D400"/>
    <mergeCell ref="A401:D401"/>
    <mergeCell ref="A402:D402"/>
    <mergeCell ref="A403:F403"/>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368:D368"/>
    <mergeCell ref="A369:D369"/>
    <mergeCell ref="A370:D370"/>
    <mergeCell ref="A371:D371"/>
    <mergeCell ref="A372:F372"/>
    <mergeCell ref="A386:D386"/>
    <mergeCell ref="C390:E390"/>
    <mergeCell ref="F390:G390"/>
    <mergeCell ref="A387:F387"/>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64:A265"/>
    <mergeCell ref="B264:B265"/>
    <mergeCell ref="A266:A267"/>
    <mergeCell ref="B266:B267"/>
    <mergeCell ref="A268:A269"/>
    <mergeCell ref="B268:B269"/>
    <mergeCell ref="A271:A272"/>
    <mergeCell ref="B271:B272"/>
    <mergeCell ref="C271:E271"/>
    <mergeCell ref="F271:G271"/>
    <mergeCell ref="A273:C273"/>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1:A362"/>
    <mergeCell ref="A348:A349"/>
    <mergeCell ref="B348:B349"/>
    <mergeCell ref="C348:E348"/>
    <mergeCell ref="F348:G348"/>
    <mergeCell ref="A350:C350"/>
    <mergeCell ref="A351:C351"/>
    <mergeCell ref="A352:D352"/>
    <mergeCell ref="A353:D353"/>
    <mergeCell ref="A354:D354"/>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280:A281"/>
    <mergeCell ref="B280:B281"/>
    <mergeCell ref="F280:G280"/>
    <mergeCell ref="C286:E286"/>
    <mergeCell ref="F286:G286"/>
    <mergeCell ref="A340:D340"/>
    <mergeCell ref="A341:F341"/>
    <mergeCell ref="A342:A343"/>
    <mergeCell ref="B342:B343"/>
    <mergeCell ref="C342:E342"/>
    <mergeCell ref="F342:G342"/>
    <mergeCell ref="A344:G344"/>
    <mergeCell ref="F345:G345"/>
    <mergeCell ref="B346:G346"/>
    <mergeCell ref="A333:A334"/>
    <mergeCell ref="B333:B334"/>
    <mergeCell ref="C333:E333"/>
    <mergeCell ref="F333:G333"/>
    <mergeCell ref="A335:C335"/>
    <mergeCell ref="A336:C336"/>
    <mergeCell ref="A337:D337"/>
    <mergeCell ref="A338:D338"/>
    <mergeCell ref="A339:D339"/>
    <mergeCell ref="A328:A329"/>
    <mergeCell ref="B328:B329"/>
    <mergeCell ref="C328:E328"/>
    <mergeCell ref="F328:G328"/>
    <mergeCell ref="A330:A331"/>
    <mergeCell ref="B330:B331"/>
    <mergeCell ref="F330:G330"/>
    <mergeCell ref="C330:E330"/>
    <mergeCell ref="A332:F332"/>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08:D308"/>
    <mergeCell ref="A309:D309"/>
    <mergeCell ref="A310:F310"/>
    <mergeCell ref="A311:A312"/>
    <mergeCell ref="B311:B312"/>
    <mergeCell ref="C311:E311"/>
    <mergeCell ref="F311:G311"/>
    <mergeCell ref="A313:G313"/>
    <mergeCell ref="F314:G314"/>
    <mergeCell ref="A301:F301"/>
    <mergeCell ref="A302:A303"/>
    <mergeCell ref="C302:E302"/>
    <mergeCell ref="F302:G302"/>
    <mergeCell ref="B302:B303"/>
    <mergeCell ref="A304:C304"/>
    <mergeCell ref="A305:C305"/>
    <mergeCell ref="A306:D306"/>
    <mergeCell ref="A307:D307"/>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274:C274"/>
    <mergeCell ref="A275:D275"/>
    <mergeCell ref="A276:D276"/>
    <mergeCell ref="A277:D277"/>
    <mergeCell ref="A278:D278"/>
    <mergeCell ref="A279:F279"/>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A220:G220"/>
    <mergeCell ref="F221:G221"/>
    <mergeCell ref="B222:G222"/>
    <mergeCell ref="A223:F223"/>
    <mergeCell ref="A224:A225"/>
    <mergeCell ref="C224:E224"/>
    <mergeCell ref="F224:G224"/>
    <mergeCell ref="B224:B225"/>
    <mergeCell ref="A226:C226"/>
    <mergeCell ref="B255:B256"/>
    <mergeCell ref="C255:E255"/>
    <mergeCell ref="C249:E249"/>
    <mergeCell ref="F249:G249"/>
    <mergeCell ref="A251:G251"/>
    <mergeCell ref="F252:G252"/>
    <mergeCell ref="B253:G253"/>
    <mergeCell ref="A254:F254"/>
    <mergeCell ref="F255:G255"/>
    <mergeCell ref="A255:A256"/>
    <mergeCell ref="A249:A250"/>
    <mergeCell ref="B249:B250"/>
    <mergeCell ref="A242:C242"/>
    <mergeCell ref="A243:C243"/>
    <mergeCell ref="A244:D244"/>
    <mergeCell ref="A245:D245"/>
    <mergeCell ref="A246:D246"/>
    <mergeCell ref="A247:D247"/>
    <mergeCell ref="A248:F248"/>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C218:E218"/>
    <mergeCell ref="F218:G218"/>
    <mergeCell ref="A213:D213"/>
    <mergeCell ref="A214:D214"/>
    <mergeCell ref="A215:D215"/>
    <mergeCell ref="A216:D216"/>
    <mergeCell ref="A217:F217"/>
    <mergeCell ref="A218:A219"/>
    <mergeCell ref="B218:B219"/>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9:A110"/>
    <mergeCell ref="B109:B110"/>
    <mergeCell ref="A111:A112"/>
    <mergeCell ref="B111:B112"/>
    <mergeCell ref="A113:A114"/>
    <mergeCell ref="B113:B114"/>
    <mergeCell ref="A116:A117"/>
    <mergeCell ref="B116:B117"/>
    <mergeCell ref="C116:E116"/>
    <mergeCell ref="F116:G116"/>
    <mergeCell ref="A118:C118"/>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6:A207"/>
    <mergeCell ref="A193:A194"/>
    <mergeCell ref="B193:B194"/>
    <mergeCell ref="C193:E193"/>
    <mergeCell ref="F193:G193"/>
    <mergeCell ref="A195:C195"/>
    <mergeCell ref="A196:C196"/>
    <mergeCell ref="A197:D197"/>
    <mergeCell ref="A198:D198"/>
    <mergeCell ref="A199:D199"/>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25:A126"/>
    <mergeCell ref="B125:B126"/>
    <mergeCell ref="F125:G125"/>
    <mergeCell ref="C131:E131"/>
    <mergeCell ref="F131:G131"/>
    <mergeCell ref="A185:D185"/>
    <mergeCell ref="A186:F186"/>
    <mergeCell ref="A187:A188"/>
    <mergeCell ref="B187:B188"/>
    <mergeCell ref="C187:E187"/>
    <mergeCell ref="F187:G187"/>
    <mergeCell ref="A189:G189"/>
    <mergeCell ref="F190:G190"/>
    <mergeCell ref="B191:G191"/>
    <mergeCell ref="A178:A179"/>
    <mergeCell ref="B178:B179"/>
    <mergeCell ref="C178:E178"/>
    <mergeCell ref="F178:G178"/>
    <mergeCell ref="A180:C180"/>
    <mergeCell ref="A181:C181"/>
    <mergeCell ref="A182:D182"/>
    <mergeCell ref="A183:D183"/>
    <mergeCell ref="A184:D184"/>
    <mergeCell ref="A173:A174"/>
    <mergeCell ref="B173:B174"/>
    <mergeCell ref="C173:E173"/>
    <mergeCell ref="F173:G173"/>
    <mergeCell ref="A175:A176"/>
    <mergeCell ref="B175:B176"/>
    <mergeCell ref="F175:G175"/>
    <mergeCell ref="C175:E175"/>
    <mergeCell ref="A177:F177"/>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53:D153"/>
    <mergeCell ref="A154:D154"/>
    <mergeCell ref="A155:F155"/>
    <mergeCell ref="A156:A157"/>
    <mergeCell ref="B156:B157"/>
    <mergeCell ref="C156:E156"/>
    <mergeCell ref="F156:G156"/>
    <mergeCell ref="A158:G158"/>
    <mergeCell ref="F159:G159"/>
    <mergeCell ref="A146:F146"/>
    <mergeCell ref="A147:A148"/>
    <mergeCell ref="C147:E147"/>
    <mergeCell ref="F147:G147"/>
    <mergeCell ref="B147:B148"/>
    <mergeCell ref="A149:C149"/>
    <mergeCell ref="A150:C150"/>
    <mergeCell ref="A151:D151"/>
    <mergeCell ref="A152:D152"/>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19:C119"/>
    <mergeCell ref="A120:D120"/>
    <mergeCell ref="A121:D121"/>
    <mergeCell ref="A122:D122"/>
    <mergeCell ref="A123:D123"/>
    <mergeCell ref="A124:F124"/>
    <mergeCell ref="A76:D76"/>
    <mergeCell ref="C80:E80"/>
    <mergeCell ref="F80:G80"/>
    <mergeCell ref="A77:F77"/>
    <mergeCell ref="A78:A79"/>
    <mergeCell ref="B78:B79"/>
    <mergeCell ref="C78:E78"/>
    <mergeCell ref="F78:G78"/>
    <mergeCell ref="A80:A81"/>
    <mergeCell ref="B80:B81"/>
    <mergeCell ref="A69:A70"/>
    <mergeCell ref="C69:E69"/>
    <mergeCell ref="F69:G69"/>
    <mergeCell ref="B69:B70"/>
    <mergeCell ref="A71:C71"/>
    <mergeCell ref="A72:C72"/>
    <mergeCell ref="A73:D73"/>
    <mergeCell ref="A74:D74"/>
    <mergeCell ref="A75:D75"/>
    <mergeCell ref="B100:B101"/>
    <mergeCell ref="C100:E100"/>
    <mergeCell ref="C94:E94"/>
    <mergeCell ref="F94:G94"/>
    <mergeCell ref="A96:G96"/>
    <mergeCell ref="F97:G97"/>
    <mergeCell ref="B98:G98"/>
    <mergeCell ref="A99:F99"/>
    <mergeCell ref="F100:G100"/>
    <mergeCell ref="A100:A101"/>
    <mergeCell ref="A94:A95"/>
    <mergeCell ref="B94:B95"/>
    <mergeCell ref="A87:C87"/>
    <mergeCell ref="A88:C88"/>
    <mergeCell ref="A89:D89"/>
    <mergeCell ref="A90:D90"/>
    <mergeCell ref="A91:D91"/>
    <mergeCell ref="A92:D92"/>
    <mergeCell ref="A93:F93"/>
    <mergeCell ref="A56:C56"/>
    <mergeCell ref="A57:C57"/>
    <mergeCell ref="C85:E85"/>
    <mergeCell ref="F85:G85"/>
    <mergeCell ref="A82:A83"/>
    <mergeCell ref="B82:B83"/>
    <mergeCell ref="C82:E82"/>
    <mergeCell ref="F82:G82"/>
    <mergeCell ref="A84:F84"/>
    <mergeCell ref="A85:A86"/>
    <mergeCell ref="B85:B86"/>
    <mergeCell ref="C63:E63"/>
    <mergeCell ref="F63:G63"/>
    <mergeCell ref="A58:D58"/>
    <mergeCell ref="A59:D59"/>
    <mergeCell ref="A60:D60"/>
    <mergeCell ref="A61:D61"/>
    <mergeCell ref="A62:F62"/>
    <mergeCell ref="A63:A64"/>
    <mergeCell ref="B63:B64"/>
    <mergeCell ref="A65:G65"/>
    <mergeCell ref="F66:G66"/>
    <mergeCell ref="B67:G67"/>
    <mergeCell ref="A68:F68"/>
    <mergeCell ref="A23:A24"/>
    <mergeCell ref="B23:B24"/>
    <mergeCell ref="C23:E23"/>
    <mergeCell ref="F23:G23"/>
    <mergeCell ref="A25:C25"/>
    <mergeCell ref="A51:A52"/>
    <mergeCell ref="A54:A55"/>
    <mergeCell ref="B54:B55"/>
    <mergeCell ref="C54:E54"/>
    <mergeCell ref="F54:G54"/>
    <mergeCell ref="A18:A19"/>
    <mergeCell ref="B18:B19"/>
    <mergeCell ref="C18:E18"/>
    <mergeCell ref="F18:G18"/>
    <mergeCell ref="A20:A21"/>
    <mergeCell ref="B20:B21"/>
    <mergeCell ref="F20:G20"/>
    <mergeCell ref="C20:E20"/>
    <mergeCell ref="A22:F22"/>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C51:E51"/>
    <mergeCell ref="F51:G51"/>
    <mergeCell ref="A47:A48"/>
    <mergeCell ref="A49:A50"/>
    <mergeCell ref="B49:B50"/>
    <mergeCell ref="C49:E49"/>
    <mergeCell ref="F49:G49"/>
    <mergeCell ref="B51:B52"/>
    <mergeCell ref="A53:F53"/>
    <mergeCell ref="A41:C41"/>
    <mergeCell ref="A42:D42"/>
    <mergeCell ref="A43:D43"/>
    <mergeCell ref="A44:D44"/>
    <mergeCell ref="A45:D45"/>
    <mergeCell ref="A46:F46"/>
    <mergeCell ref="B47:B48"/>
    <mergeCell ref="C47:E47"/>
    <mergeCell ref="F47:G47"/>
    <mergeCell ref="A34:G34"/>
    <mergeCell ref="F35:G35"/>
    <mergeCell ref="B36:G36"/>
    <mergeCell ref="A37:F37"/>
    <mergeCell ref="A38:A39"/>
    <mergeCell ref="B38:B39"/>
    <mergeCell ref="C38:E38"/>
    <mergeCell ref="F38:G38"/>
    <mergeCell ref="A40:C40"/>
    <mergeCell ref="A26:C26"/>
    <mergeCell ref="A27:D27"/>
    <mergeCell ref="A28:D28"/>
    <mergeCell ref="A29:D29"/>
    <mergeCell ref="A30:D30"/>
    <mergeCell ref="A31:F31"/>
    <mergeCell ref="A32:A33"/>
    <mergeCell ref="B32:B33"/>
    <mergeCell ref="C32:E32"/>
    <mergeCell ref="F32:G3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947"/>
  <sheetViews>
    <sheetView workbookViewId="0"/>
  </sheetViews>
  <sheetFormatPr defaultColWidth="14.453125" defaultRowHeight="15" customHeight="1"/>
  <cols>
    <col min="8" max="9" width="14.453125" hidden="1"/>
  </cols>
  <sheetData>
    <row r="1" spans="1:9">
      <c r="A1" s="486" t="s">
        <v>771</v>
      </c>
      <c r="B1" s="486" t="s">
        <v>776</v>
      </c>
      <c r="C1" s="487" t="s">
        <v>4</v>
      </c>
      <c r="D1" s="454"/>
      <c r="E1" s="450"/>
      <c r="F1" s="487" t="s">
        <v>785</v>
      </c>
      <c r="G1" s="450"/>
      <c r="H1" s="298"/>
      <c r="I1" s="298"/>
    </row>
    <row r="2" spans="1:9">
      <c r="A2" s="457"/>
      <c r="B2" s="457"/>
      <c r="C2" s="62" t="s">
        <v>5</v>
      </c>
      <c r="D2" s="62" t="s">
        <v>6</v>
      </c>
      <c r="E2" s="62" t="s">
        <v>336</v>
      </c>
      <c r="F2" s="62" t="s">
        <v>8</v>
      </c>
      <c r="G2" s="62" t="s">
        <v>789</v>
      </c>
      <c r="H2" s="298"/>
      <c r="I2" s="298"/>
    </row>
    <row r="3" spans="1:9">
      <c r="A3" s="617" t="s">
        <v>1731</v>
      </c>
      <c r="B3" s="454"/>
      <c r="C3" s="454"/>
      <c r="D3" s="454"/>
      <c r="E3" s="454"/>
      <c r="F3" s="454"/>
      <c r="G3" s="450"/>
      <c r="H3" s="298"/>
      <c r="I3" s="298"/>
    </row>
    <row r="4" spans="1:9">
      <c r="A4" s="65"/>
      <c r="B4" s="66" t="s">
        <v>795</v>
      </c>
      <c r="C4" s="66" t="s">
        <v>21</v>
      </c>
      <c r="D4" s="66" t="s">
        <v>798</v>
      </c>
      <c r="E4" s="67">
        <v>10</v>
      </c>
      <c r="F4" s="484"/>
      <c r="G4" s="450"/>
      <c r="H4" s="298"/>
      <c r="I4" s="298"/>
    </row>
    <row r="5" spans="1:9">
      <c r="A5" s="66" t="s">
        <v>800</v>
      </c>
      <c r="B5" s="484" t="s">
        <v>1693</v>
      </c>
      <c r="C5" s="454"/>
      <c r="D5" s="454"/>
      <c r="E5" s="454"/>
      <c r="F5" s="454"/>
      <c r="G5" s="450"/>
      <c r="H5" s="298"/>
      <c r="I5" s="298"/>
    </row>
    <row r="6" spans="1:9">
      <c r="A6" s="490" t="s">
        <v>802</v>
      </c>
      <c r="B6" s="454"/>
      <c r="C6" s="454"/>
      <c r="D6" s="454"/>
      <c r="E6" s="454"/>
      <c r="F6" s="450"/>
      <c r="G6" s="68" t="s">
        <v>803</v>
      </c>
      <c r="H6" s="298"/>
      <c r="I6" s="298"/>
    </row>
    <row r="7" spans="1:9">
      <c r="A7" s="491"/>
      <c r="B7" s="491" t="s">
        <v>1694</v>
      </c>
      <c r="C7" s="484" t="s">
        <v>1734</v>
      </c>
      <c r="D7" s="454"/>
      <c r="E7" s="450"/>
      <c r="F7" s="484"/>
      <c r="G7" s="450"/>
      <c r="H7" s="298"/>
      <c r="I7" s="298"/>
    </row>
    <row r="8" spans="1:9">
      <c r="A8" s="457"/>
      <c r="B8" s="457"/>
      <c r="C8" s="66" t="s">
        <v>21</v>
      </c>
      <c r="D8" s="67">
        <v>11.5</v>
      </c>
      <c r="E8" s="67">
        <v>38</v>
      </c>
      <c r="F8" s="67">
        <f>D8*E8</f>
        <v>437</v>
      </c>
      <c r="G8" s="66" t="s">
        <v>808</v>
      </c>
      <c r="H8" s="298"/>
      <c r="I8" s="298"/>
    </row>
    <row r="9" spans="1:9">
      <c r="A9" s="492" t="s">
        <v>30</v>
      </c>
      <c r="B9" s="454"/>
      <c r="C9" s="450"/>
      <c r="D9" s="67">
        <v>10</v>
      </c>
      <c r="E9" s="70" t="s">
        <v>21</v>
      </c>
      <c r="F9" s="67">
        <f>F8</f>
        <v>437</v>
      </c>
      <c r="G9" s="66"/>
      <c r="H9" s="298"/>
      <c r="I9" s="298"/>
    </row>
    <row r="10" spans="1:9">
      <c r="A10" s="492" t="s">
        <v>826</v>
      </c>
      <c r="B10" s="454"/>
      <c r="C10" s="450"/>
      <c r="D10" s="67">
        <v>1</v>
      </c>
      <c r="E10" s="70" t="s">
        <v>21</v>
      </c>
      <c r="F10" s="67">
        <f>F9/D9</f>
        <v>43.7</v>
      </c>
      <c r="G10" s="66"/>
      <c r="H10" s="298"/>
      <c r="I10" s="298"/>
    </row>
    <row r="11" spans="1:9">
      <c r="A11" s="493" t="s">
        <v>829</v>
      </c>
      <c r="B11" s="454"/>
      <c r="C11" s="454"/>
      <c r="D11" s="450"/>
      <c r="E11" s="67"/>
      <c r="F11" s="67">
        <f>F10*1%</f>
        <v>0.43700000000000006</v>
      </c>
      <c r="G11" s="66"/>
      <c r="H11" s="298"/>
      <c r="I11" s="298"/>
    </row>
    <row r="12" spans="1:9">
      <c r="A12" s="493" t="s">
        <v>30</v>
      </c>
      <c r="B12" s="454"/>
      <c r="C12" s="454"/>
      <c r="D12" s="450"/>
      <c r="E12" s="71"/>
      <c r="F12" s="67">
        <f>F10+F11</f>
        <v>44.137</v>
      </c>
      <c r="G12" s="66"/>
      <c r="H12" s="298"/>
      <c r="I12" s="298"/>
    </row>
    <row r="13" spans="1:9">
      <c r="A13" s="493" t="s">
        <v>836</v>
      </c>
      <c r="B13" s="454"/>
      <c r="C13" s="454"/>
      <c r="D13" s="450"/>
      <c r="E13" s="67"/>
      <c r="F13" s="67">
        <f>F12*15%</f>
        <v>6.6205499999999997</v>
      </c>
      <c r="G13" s="66"/>
      <c r="H13" s="298"/>
      <c r="I13" s="298"/>
    </row>
    <row r="14" spans="1:9">
      <c r="A14" s="493" t="s">
        <v>30</v>
      </c>
      <c r="B14" s="454"/>
      <c r="C14" s="454"/>
      <c r="D14" s="450"/>
      <c r="E14" s="71"/>
      <c r="F14" s="191">
        <f>ROUND(F12+F13,2)</f>
        <v>50.76</v>
      </c>
      <c r="G14" s="66"/>
      <c r="H14" s="298"/>
      <c r="I14" s="298"/>
    </row>
    <row r="15" spans="1:9">
      <c r="A15" s="490" t="s">
        <v>819</v>
      </c>
      <c r="B15" s="454"/>
      <c r="C15" s="454"/>
      <c r="D15" s="454"/>
      <c r="E15" s="454"/>
      <c r="F15" s="450"/>
      <c r="G15" s="68" t="s">
        <v>820</v>
      </c>
      <c r="H15" s="298"/>
      <c r="I15" s="298"/>
    </row>
    <row r="16" spans="1:9">
      <c r="A16" s="491">
        <v>116</v>
      </c>
      <c r="B16" s="491"/>
      <c r="C16" s="484" t="s">
        <v>527</v>
      </c>
      <c r="D16" s="454"/>
      <c r="E16" s="450"/>
      <c r="F16" s="484"/>
      <c r="G16" s="450"/>
      <c r="H16" s="298"/>
      <c r="I16" s="298"/>
    </row>
    <row r="17" spans="1:9">
      <c r="A17" s="457"/>
      <c r="B17" s="457"/>
      <c r="C17" s="66" t="s">
        <v>26</v>
      </c>
      <c r="D17" s="67">
        <v>0.33</v>
      </c>
      <c r="E17" s="67">
        <v>784</v>
      </c>
      <c r="F17" s="67">
        <f>D17*E17</f>
        <v>258.72000000000003</v>
      </c>
      <c r="G17" s="66" t="s">
        <v>822</v>
      </c>
      <c r="H17" s="298"/>
      <c r="I17" s="298"/>
    </row>
    <row r="18" spans="1:9">
      <c r="A18" s="491">
        <v>117</v>
      </c>
      <c r="B18" s="491"/>
      <c r="C18" s="484" t="s">
        <v>858</v>
      </c>
      <c r="D18" s="454"/>
      <c r="E18" s="450"/>
      <c r="F18" s="484"/>
      <c r="G18" s="450"/>
      <c r="H18" s="298"/>
      <c r="I18" s="298"/>
    </row>
    <row r="19" spans="1:9">
      <c r="A19" s="457"/>
      <c r="B19" s="457"/>
      <c r="C19" s="66" t="s">
        <v>26</v>
      </c>
      <c r="D19" s="67">
        <v>0.82</v>
      </c>
      <c r="E19" s="67">
        <v>714</v>
      </c>
      <c r="F19" s="67">
        <f>D19*E19</f>
        <v>585.48</v>
      </c>
      <c r="G19" s="66" t="s">
        <v>825</v>
      </c>
      <c r="H19" s="298"/>
      <c r="I19" s="298"/>
    </row>
    <row r="20" spans="1:9">
      <c r="A20" s="491">
        <v>114</v>
      </c>
      <c r="B20" s="491"/>
      <c r="C20" s="484" t="s">
        <v>59</v>
      </c>
      <c r="D20" s="454"/>
      <c r="E20" s="450"/>
      <c r="F20" s="484"/>
      <c r="G20" s="450"/>
      <c r="H20" s="298"/>
      <c r="I20" s="298"/>
    </row>
    <row r="21" spans="1:9">
      <c r="A21" s="457"/>
      <c r="B21" s="457"/>
      <c r="C21" s="66" t="s">
        <v>26</v>
      </c>
      <c r="D21" s="67">
        <v>0.66</v>
      </c>
      <c r="E21" s="67">
        <v>645</v>
      </c>
      <c r="F21" s="67">
        <f>D21*E21</f>
        <v>425.70000000000005</v>
      </c>
      <c r="G21" s="66" t="s">
        <v>837</v>
      </c>
      <c r="H21" s="298"/>
      <c r="I21" s="298"/>
    </row>
    <row r="22" spans="1:9">
      <c r="A22" s="490" t="s">
        <v>847</v>
      </c>
      <c r="B22" s="454"/>
      <c r="C22" s="454"/>
      <c r="D22" s="454"/>
      <c r="E22" s="454"/>
      <c r="F22" s="450"/>
      <c r="G22" s="68" t="s">
        <v>820</v>
      </c>
      <c r="H22" s="298"/>
      <c r="I22" s="298"/>
    </row>
    <row r="23" spans="1:9">
      <c r="A23" s="491">
        <v>9999</v>
      </c>
      <c r="B23" s="491"/>
      <c r="C23" s="484" t="s">
        <v>1742</v>
      </c>
      <c r="D23" s="454"/>
      <c r="E23" s="450"/>
      <c r="F23" s="484"/>
      <c r="G23" s="450"/>
      <c r="H23" s="298"/>
      <c r="I23" s="298"/>
    </row>
    <row r="24" spans="1:9">
      <c r="A24" s="457"/>
      <c r="B24" s="457"/>
      <c r="C24" s="66" t="s">
        <v>62</v>
      </c>
      <c r="D24" s="67">
        <v>2.73</v>
      </c>
      <c r="E24" s="67">
        <v>2.12</v>
      </c>
      <c r="F24" s="67">
        <f>D24*E24</f>
        <v>5.7876000000000003</v>
      </c>
      <c r="G24" s="66" t="s">
        <v>851</v>
      </c>
      <c r="H24" s="298"/>
      <c r="I24" s="298"/>
    </row>
    <row r="25" spans="1:9">
      <c r="A25" s="492" t="s">
        <v>30</v>
      </c>
      <c r="B25" s="454"/>
      <c r="C25" s="450"/>
      <c r="D25" s="67">
        <v>10</v>
      </c>
      <c r="E25" s="70" t="s">
        <v>21</v>
      </c>
      <c r="F25" s="299">
        <f>F17+F19+F21+F24</f>
        <v>1275.6876000000002</v>
      </c>
      <c r="G25" s="71"/>
      <c r="H25" s="298"/>
      <c r="I25" s="298"/>
    </row>
    <row r="26" spans="1:9">
      <c r="A26" s="492" t="s">
        <v>826</v>
      </c>
      <c r="B26" s="454"/>
      <c r="C26" s="450"/>
      <c r="D26" s="67">
        <v>1</v>
      </c>
      <c r="E26" s="70" t="s">
        <v>21</v>
      </c>
      <c r="F26" s="67">
        <f>F25/D25</f>
        <v>127.56876000000003</v>
      </c>
      <c r="G26" s="71"/>
      <c r="H26" s="298"/>
      <c r="I26" s="298"/>
    </row>
    <row r="27" spans="1:9">
      <c r="A27" s="493" t="s">
        <v>829</v>
      </c>
      <c r="B27" s="454"/>
      <c r="C27" s="454"/>
      <c r="D27" s="450"/>
      <c r="E27" s="67"/>
      <c r="F27" s="67">
        <f>F26*1%</f>
        <v>1.2756876000000004</v>
      </c>
      <c r="G27" s="71"/>
      <c r="H27" s="298"/>
      <c r="I27" s="298"/>
    </row>
    <row r="28" spans="1:9">
      <c r="A28" s="493" t="s">
        <v>30</v>
      </c>
      <c r="B28" s="454"/>
      <c r="C28" s="454"/>
      <c r="D28" s="450"/>
      <c r="E28" s="71"/>
      <c r="F28" s="67">
        <f>F26+F27</f>
        <v>128.84444760000002</v>
      </c>
      <c r="G28" s="71"/>
      <c r="H28" s="298"/>
      <c r="I28" s="298"/>
    </row>
    <row r="29" spans="1:9">
      <c r="A29" s="493" t="s">
        <v>836</v>
      </c>
      <c r="B29" s="454"/>
      <c r="C29" s="454"/>
      <c r="D29" s="450"/>
      <c r="E29" s="67"/>
      <c r="F29" s="67">
        <f>F28*15%</f>
        <v>19.326667140000001</v>
      </c>
      <c r="G29" s="71"/>
      <c r="H29" s="298"/>
      <c r="I29" s="298"/>
    </row>
    <row r="30" spans="1:9">
      <c r="A30" s="493" t="s">
        <v>30</v>
      </c>
      <c r="B30" s="454"/>
      <c r="C30" s="454"/>
      <c r="D30" s="450"/>
      <c r="E30" s="71"/>
      <c r="F30" s="191">
        <f>ROUND(F28+F29,2)</f>
        <v>148.16999999999999</v>
      </c>
      <c r="G30" s="71"/>
      <c r="H30" s="298"/>
      <c r="I30" s="298"/>
    </row>
    <row r="31" spans="1:9">
      <c r="A31" s="616" t="str">
        <f>CONCATENATE("Say ₹ ",F14," + ",F30," x Cost Index")</f>
        <v>Say ₹ 50.76 + 148.17 x Cost Index</v>
      </c>
      <c r="B31" s="454"/>
      <c r="C31" s="454"/>
      <c r="D31" s="454"/>
      <c r="E31" s="454"/>
      <c r="F31" s="450"/>
      <c r="G31" s="300" t="s">
        <v>1000</v>
      </c>
      <c r="H31" s="301">
        <f>F8*1.01*1.15/10</f>
        <v>50.757549999999995</v>
      </c>
      <c r="I31" s="301">
        <f>(F17+F19+F21+F24)*1.01*1.15/10</f>
        <v>148.17111474000001</v>
      </c>
    </row>
    <row r="32" spans="1:9">
      <c r="A32" s="486" t="s">
        <v>771</v>
      </c>
      <c r="B32" s="486" t="s">
        <v>776</v>
      </c>
      <c r="C32" s="487" t="s">
        <v>4</v>
      </c>
      <c r="D32" s="454"/>
      <c r="E32" s="450"/>
      <c r="F32" s="487" t="s">
        <v>785</v>
      </c>
      <c r="G32" s="450"/>
      <c r="H32" s="298"/>
      <c r="I32" s="298"/>
    </row>
    <row r="33" spans="1:9">
      <c r="A33" s="457"/>
      <c r="B33" s="457"/>
      <c r="C33" s="62" t="s">
        <v>5</v>
      </c>
      <c r="D33" s="62" t="s">
        <v>6</v>
      </c>
      <c r="E33" s="62" t="s">
        <v>336</v>
      </c>
      <c r="F33" s="62" t="s">
        <v>8</v>
      </c>
      <c r="G33" s="62" t="s">
        <v>789</v>
      </c>
      <c r="H33" s="298"/>
      <c r="I33" s="298"/>
    </row>
    <row r="34" spans="1:9">
      <c r="A34" s="617" t="s">
        <v>1745</v>
      </c>
      <c r="B34" s="454"/>
      <c r="C34" s="454"/>
      <c r="D34" s="454"/>
      <c r="E34" s="454"/>
      <c r="F34" s="454"/>
      <c r="G34" s="450"/>
      <c r="H34" s="298"/>
      <c r="I34" s="298"/>
    </row>
    <row r="35" spans="1:9">
      <c r="A35" s="65"/>
      <c r="B35" s="66" t="s">
        <v>795</v>
      </c>
      <c r="C35" s="66" t="s">
        <v>21</v>
      </c>
      <c r="D35" s="66" t="s">
        <v>798</v>
      </c>
      <c r="E35" s="67">
        <v>10</v>
      </c>
      <c r="F35" s="484"/>
      <c r="G35" s="450"/>
      <c r="H35" s="298"/>
      <c r="I35" s="298"/>
    </row>
    <row r="36" spans="1:9">
      <c r="A36" s="66" t="s">
        <v>800</v>
      </c>
      <c r="B36" s="484" t="s">
        <v>512</v>
      </c>
      <c r="C36" s="454"/>
      <c r="D36" s="454"/>
      <c r="E36" s="454"/>
      <c r="F36" s="454"/>
      <c r="G36" s="450"/>
      <c r="H36" s="298"/>
      <c r="I36" s="298"/>
    </row>
    <row r="37" spans="1:9">
      <c r="A37" s="490" t="s">
        <v>802</v>
      </c>
      <c r="B37" s="454"/>
      <c r="C37" s="454"/>
      <c r="D37" s="454"/>
      <c r="E37" s="454"/>
      <c r="F37" s="450"/>
      <c r="G37" s="68" t="s">
        <v>803</v>
      </c>
      <c r="H37" s="298"/>
      <c r="I37" s="298"/>
    </row>
    <row r="38" spans="1:9">
      <c r="A38" s="491"/>
      <c r="B38" s="491" t="s">
        <v>1704</v>
      </c>
      <c r="C38" s="484" t="s">
        <v>1750</v>
      </c>
      <c r="D38" s="454"/>
      <c r="E38" s="450"/>
      <c r="F38" s="484"/>
      <c r="G38" s="450"/>
      <c r="H38" s="298"/>
      <c r="I38" s="298"/>
    </row>
    <row r="39" spans="1:9">
      <c r="A39" s="457"/>
      <c r="B39" s="457"/>
      <c r="C39" s="66" t="s">
        <v>21</v>
      </c>
      <c r="D39" s="67">
        <v>11.5</v>
      </c>
      <c r="E39" s="67">
        <v>27</v>
      </c>
      <c r="F39" s="67">
        <f>E39*D39</f>
        <v>310.5</v>
      </c>
      <c r="G39" s="66" t="s">
        <v>808</v>
      </c>
      <c r="H39" s="298"/>
      <c r="I39" s="298"/>
    </row>
    <row r="40" spans="1:9">
      <c r="A40" s="492" t="s">
        <v>30</v>
      </c>
      <c r="B40" s="454"/>
      <c r="C40" s="450"/>
      <c r="D40" s="67">
        <v>10</v>
      </c>
      <c r="E40" s="70" t="s">
        <v>21</v>
      </c>
      <c r="F40" s="67">
        <f>F39</f>
        <v>310.5</v>
      </c>
      <c r="G40" s="66"/>
      <c r="H40" s="298"/>
      <c r="I40" s="298"/>
    </row>
    <row r="41" spans="1:9">
      <c r="A41" s="492" t="s">
        <v>826</v>
      </c>
      <c r="B41" s="454"/>
      <c r="C41" s="450"/>
      <c r="D41" s="67">
        <v>1</v>
      </c>
      <c r="E41" s="70" t="s">
        <v>21</v>
      </c>
      <c r="F41" s="67">
        <f>F40/D40</f>
        <v>31.05</v>
      </c>
      <c r="G41" s="66"/>
      <c r="H41" s="298"/>
      <c r="I41" s="298"/>
    </row>
    <row r="42" spans="1:9">
      <c r="A42" s="493" t="s">
        <v>829</v>
      </c>
      <c r="B42" s="454"/>
      <c r="C42" s="454"/>
      <c r="D42" s="450"/>
      <c r="E42" s="67"/>
      <c r="F42" s="67">
        <f>F41*1%</f>
        <v>0.3105</v>
      </c>
      <c r="G42" s="66"/>
      <c r="H42" s="298"/>
      <c r="I42" s="298"/>
    </row>
    <row r="43" spans="1:9">
      <c r="A43" s="493" t="s">
        <v>30</v>
      </c>
      <c r="B43" s="454"/>
      <c r="C43" s="454"/>
      <c r="D43" s="450"/>
      <c r="E43" s="71"/>
      <c r="F43" s="67">
        <f>F41+F42</f>
        <v>31.360500000000002</v>
      </c>
      <c r="G43" s="66"/>
      <c r="H43" s="298"/>
      <c r="I43" s="298"/>
    </row>
    <row r="44" spans="1:9">
      <c r="A44" s="493" t="s">
        <v>836</v>
      </c>
      <c r="B44" s="454"/>
      <c r="C44" s="454"/>
      <c r="D44" s="450"/>
      <c r="E44" s="67"/>
      <c r="F44" s="67">
        <f>F43*15%</f>
        <v>4.7040750000000005</v>
      </c>
      <c r="G44" s="66"/>
      <c r="H44" s="298"/>
      <c r="I44" s="298"/>
    </row>
    <row r="45" spans="1:9">
      <c r="A45" s="493" t="s">
        <v>30</v>
      </c>
      <c r="B45" s="454"/>
      <c r="C45" s="454"/>
      <c r="D45" s="450"/>
      <c r="E45" s="71"/>
      <c r="F45" s="191">
        <f>ROUND(F43+F44,2)</f>
        <v>36.06</v>
      </c>
      <c r="G45" s="66"/>
      <c r="H45" s="298"/>
      <c r="I45" s="298"/>
    </row>
    <row r="46" spans="1:9">
      <c r="A46" s="490" t="s">
        <v>819</v>
      </c>
      <c r="B46" s="454"/>
      <c r="C46" s="454"/>
      <c r="D46" s="454"/>
      <c r="E46" s="454"/>
      <c r="F46" s="450"/>
      <c r="G46" s="68" t="s">
        <v>820</v>
      </c>
      <c r="H46" s="298"/>
      <c r="I46" s="298"/>
    </row>
    <row r="47" spans="1:9">
      <c r="A47" s="491">
        <v>116</v>
      </c>
      <c r="B47" s="491"/>
      <c r="C47" s="484" t="s">
        <v>527</v>
      </c>
      <c r="D47" s="454"/>
      <c r="E47" s="450"/>
      <c r="F47" s="484"/>
      <c r="G47" s="450"/>
      <c r="H47" s="298"/>
      <c r="I47" s="298"/>
    </row>
    <row r="48" spans="1:9">
      <c r="A48" s="457"/>
      <c r="B48" s="457"/>
      <c r="C48" s="66" t="s">
        <v>26</v>
      </c>
      <c r="D48" s="67">
        <v>0.33</v>
      </c>
      <c r="E48" s="67">
        <v>784</v>
      </c>
      <c r="F48" s="67">
        <f>E48*D48</f>
        <v>258.72000000000003</v>
      </c>
      <c r="G48" s="66" t="s">
        <v>822</v>
      </c>
      <c r="H48" s="298"/>
      <c r="I48" s="298"/>
    </row>
    <row r="49" spans="1:9">
      <c r="A49" s="491">
        <v>117</v>
      </c>
      <c r="B49" s="491"/>
      <c r="C49" s="484" t="s">
        <v>858</v>
      </c>
      <c r="D49" s="454"/>
      <c r="E49" s="450"/>
      <c r="F49" s="484"/>
      <c r="G49" s="450"/>
      <c r="H49" s="298"/>
      <c r="I49" s="298"/>
    </row>
    <row r="50" spans="1:9">
      <c r="A50" s="457"/>
      <c r="B50" s="457"/>
      <c r="C50" s="66" t="s">
        <v>26</v>
      </c>
      <c r="D50" s="67">
        <v>0.82</v>
      </c>
      <c r="E50" s="67">
        <v>714</v>
      </c>
      <c r="F50" s="67">
        <f>E50*D50</f>
        <v>585.48</v>
      </c>
      <c r="G50" s="66" t="s">
        <v>825</v>
      </c>
      <c r="H50" s="298"/>
      <c r="I50" s="298"/>
    </row>
    <row r="51" spans="1:9">
      <c r="A51" s="491">
        <v>114</v>
      </c>
      <c r="B51" s="491"/>
      <c r="C51" s="484" t="s">
        <v>59</v>
      </c>
      <c r="D51" s="454"/>
      <c r="E51" s="450"/>
      <c r="F51" s="484"/>
      <c r="G51" s="450"/>
      <c r="H51" s="298"/>
      <c r="I51" s="298"/>
    </row>
    <row r="52" spans="1:9">
      <c r="A52" s="457"/>
      <c r="B52" s="457"/>
      <c r="C52" s="66" t="s">
        <v>26</v>
      </c>
      <c r="D52" s="67">
        <v>0.66</v>
      </c>
      <c r="E52" s="67">
        <v>645</v>
      </c>
      <c r="F52" s="67">
        <f>E52*D52</f>
        <v>425.70000000000005</v>
      </c>
      <c r="G52" s="66" t="s">
        <v>837</v>
      </c>
      <c r="H52" s="298"/>
      <c r="I52" s="298"/>
    </row>
    <row r="53" spans="1:9">
      <c r="A53" s="490" t="s">
        <v>847</v>
      </c>
      <c r="B53" s="454"/>
      <c r="C53" s="454"/>
      <c r="D53" s="454"/>
      <c r="E53" s="454"/>
      <c r="F53" s="450"/>
      <c r="G53" s="68" t="s">
        <v>820</v>
      </c>
      <c r="H53" s="298"/>
      <c r="I53" s="298"/>
    </row>
    <row r="54" spans="1:9">
      <c r="A54" s="491">
        <v>9999</v>
      </c>
      <c r="B54" s="491"/>
      <c r="C54" s="484" t="s">
        <v>1758</v>
      </c>
      <c r="D54" s="454"/>
      <c r="E54" s="450"/>
      <c r="F54" s="484"/>
      <c r="G54" s="450"/>
      <c r="H54" s="298"/>
      <c r="I54" s="298"/>
    </row>
    <row r="55" spans="1:9">
      <c r="A55" s="457"/>
      <c r="B55" s="457"/>
      <c r="C55" s="66" t="s">
        <v>62</v>
      </c>
      <c r="D55" s="67">
        <v>2.73</v>
      </c>
      <c r="E55" s="67">
        <v>2.12</v>
      </c>
      <c r="F55" s="67">
        <f>E55*D55</f>
        <v>5.7876000000000003</v>
      </c>
      <c r="G55" s="66" t="s">
        <v>851</v>
      </c>
      <c r="H55" s="298"/>
      <c r="I55" s="298"/>
    </row>
    <row r="56" spans="1:9">
      <c r="A56" s="492" t="s">
        <v>30</v>
      </c>
      <c r="B56" s="454"/>
      <c r="C56" s="450"/>
      <c r="D56" s="67">
        <v>10</v>
      </c>
      <c r="E56" s="70" t="s">
        <v>21</v>
      </c>
      <c r="F56" s="299">
        <f>F48+F50+F52+F55</f>
        <v>1275.6876000000002</v>
      </c>
      <c r="G56" s="71"/>
      <c r="H56" s="298"/>
      <c r="I56" s="298"/>
    </row>
    <row r="57" spans="1:9">
      <c r="A57" s="492" t="s">
        <v>826</v>
      </c>
      <c r="B57" s="454"/>
      <c r="C57" s="450"/>
      <c r="D57" s="67">
        <v>1</v>
      </c>
      <c r="E57" s="70" t="s">
        <v>21</v>
      </c>
      <c r="F57" s="67">
        <f>F56/D56</f>
        <v>127.56876000000003</v>
      </c>
      <c r="G57" s="71"/>
      <c r="H57" s="298"/>
      <c r="I57" s="298"/>
    </row>
    <row r="58" spans="1:9">
      <c r="A58" s="493" t="s">
        <v>829</v>
      </c>
      <c r="B58" s="454"/>
      <c r="C58" s="454"/>
      <c r="D58" s="450"/>
      <c r="E58" s="67"/>
      <c r="F58" s="67">
        <f>F57*1%</f>
        <v>1.2756876000000004</v>
      </c>
      <c r="G58" s="71"/>
      <c r="H58" s="298"/>
      <c r="I58" s="298"/>
    </row>
    <row r="59" spans="1:9">
      <c r="A59" s="493" t="s">
        <v>30</v>
      </c>
      <c r="B59" s="454"/>
      <c r="C59" s="454"/>
      <c r="D59" s="450"/>
      <c r="E59" s="71"/>
      <c r="F59" s="67">
        <f>F57+F58</f>
        <v>128.84444760000002</v>
      </c>
      <c r="G59" s="71"/>
      <c r="H59" s="298"/>
      <c r="I59" s="298"/>
    </row>
    <row r="60" spans="1:9">
      <c r="A60" s="493" t="s">
        <v>836</v>
      </c>
      <c r="B60" s="454"/>
      <c r="C60" s="454"/>
      <c r="D60" s="450"/>
      <c r="E60" s="67"/>
      <c r="F60" s="67">
        <f>F59*15%</f>
        <v>19.326667140000001</v>
      </c>
      <c r="G60" s="71"/>
      <c r="H60" s="298"/>
      <c r="I60" s="298"/>
    </row>
    <row r="61" spans="1:9">
      <c r="A61" s="493" t="s">
        <v>30</v>
      </c>
      <c r="B61" s="454"/>
      <c r="C61" s="454"/>
      <c r="D61" s="450"/>
      <c r="E61" s="71"/>
      <c r="F61" s="191">
        <f>ROUND(F59+F60,2)</f>
        <v>148.16999999999999</v>
      </c>
      <c r="G61" s="71"/>
      <c r="H61" s="298"/>
      <c r="I61" s="298"/>
    </row>
    <row r="62" spans="1:9">
      <c r="A62" s="616" t="str">
        <f>CONCATENATE("Say ₹ ",F45," + ",F61," x Cost Index")</f>
        <v>Say ₹ 36.06 + 148.17 x Cost Index</v>
      </c>
      <c r="B62" s="454"/>
      <c r="C62" s="454"/>
      <c r="D62" s="454"/>
      <c r="E62" s="454"/>
      <c r="F62" s="450"/>
      <c r="G62" s="300" t="s">
        <v>1000</v>
      </c>
      <c r="H62" s="301">
        <f>F39*1.01*1.15/10</f>
        <v>36.064575000000005</v>
      </c>
      <c r="I62" s="301">
        <f>(F48+F50+F52+F55)*1.01*1.15/10</f>
        <v>148.17111474000001</v>
      </c>
    </row>
    <row r="63" spans="1:9">
      <c r="A63" s="486" t="s">
        <v>771</v>
      </c>
      <c r="B63" s="486" t="s">
        <v>776</v>
      </c>
      <c r="C63" s="487" t="s">
        <v>4</v>
      </c>
      <c r="D63" s="454"/>
      <c r="E63" s="450"/>
      <c r="F63" s="487" t="s">
        <v>785</v>
      </c>
      <c r="G63" s="450"/>
      <c r="H63" s="298"/>
      <c r="I63" s="298"/>
    </row>
    <row r="64" spans="1:9">
      <c r="A64" s="457"/>
      <c r="B64" s="457"/>
      <c r="C64" s="62" t="s">
        <v>5</v>
      </c>
      <c r="D64" s="62" t="s">
        <v>6</v>
      </c>
      <c r="E64" s="62" t="s">
        <v>336</v>
      </c>
      <c r="F64" s="62" t="s">
        <v>8</v>
      </c>
      <c r="G64" s="62" t="s">
        <v>789</v>
      </c>
      <c r="H64" s="298"/>
      <c r="I64" s="298"/>
    </row>
    <row r="65" spans="1:9">
      <c r="A65" s="617" t="s">
        <v>1763</v>
      </c>
      <c r="B65" s="454"/>
      <c r="C65" s="454"/>
      <c r="D65" s="454"/>
      <c r="E65" s="454"/>
      <c r="F65" s="454"/>
      <c r="G65" s="450"/>
      <c r="H65" s="298"/>
      <c r="I65" s="298"/>
    </row>
    <row r="66" spans="1:9">
      <c r="A66" s="65"/>
      <c r="B66" s="66" t="s">
        <v>795</v>
      </c>
      <c r="C66" s="66" t="s">
        <v>21</v>
      </c>
      <c r="D66" s="66" t="s">
        <v>798</v>
      </c>
      <c r="E66" s="67">
        <v>10</v>
      </c>
      <c r="F66" s="484"/>
      <c r="G66" s="450"/>
      <c r="H66" s="298"/>
      <c r="I66" s="298"/>
    </row>
    <row r="67" spans="1:9">
      <c r="A67" s="66" t="s">
        <v>800</v>
      </c>
      <c r="B67" s="484" t="s">
        <v>512</v>
      </c>
      <c r="C67" s="454"/>
      <c r="D67" s="454"/>
      <c r="E67" s="454"/>
      <c r="F67" s="454"/>
      <c r="G67" s="450"/>
      <c r="H67" s="298"/>
      <c r="I67" s="298"/>
    </row>
    <row r="68" spans="1:9">
      <c r="A68" s="490" t="s">
        <v>802</v>
      </c>
      <c r="B68" s="454"/>
      <c r="C68" s="454"/>
      <c r="D68" s="454"/>
      <c r="E68" s="454"/>
      <c r="F68" s="450"/>
      <c r="G68" s="68" t="s">
        <v>803</v>
      </c>
      <c r="H68" s="298"/>
      <c r="I68" s="298"/>
    </row>
    <row r="69" spans="1:9">
      <c r="A69" s="491"/>
      <c r="B69" s="491" t="s">
        <v>1714</v>
      </c>
      <c r="C69" s="484" t="s">
        <v>1767</v>
      </c>
      <c r="D69" s="454"/>
      <c r="E69" s="450"/>
      <c r="F69" s="484"/>
      <c r="G69" s="450"/>
      <c r="H69" s="298"/>
      <c r="I69" s="298"/>
    </row>
    <row r="70" spans="1:9">
      <c r="A70" s="457"/>
      <c r="B70" s="457"/>
      <c r="C70" s="66" t="s">
        <v>21</v>
      </c>
      <c r="D70" s="67">
        <v>11.5</v>
      </c>
      <c r="E70" s="67">
        <v>40.5</v>
      </c>
      <c r="F70" s="67">
        <f>E70*D70</f>
        <v>465.75</v>
      </c>
      <c r="G70" s="66" t="s">
        <v>808</v>
      </c>
      <c r="H70" s="298"/>
      <c r="I70" s="298"/>
    </row>
    <row r="71" spans="1:9">
      <c r="A71" s="492" t="s">
        <v>30</v>
      </c>
      <c r="B71" s="454"/>
      <c r="C71" s="450"/>
      <c r="D71" s="67">
        <v>10</v>
      </c>
      <c r="E71" s="70" t="s">
        <v>21</v>
      </c>
      <c r="F71" s="67">
        <f>F70</f>
        <v>465.75</v>
      </c>
      <c r="G71" s="66"/>
      <c r="H71" s="298"/>
      <c r="I71" s="298"/>
    </row>
    <row r="72" spans="1:9">
      <c r="A72" s="492" t="s">
        <v>826</v>
      </c>
      <c r="B72" s="454"/>
      <c r="C72" s="450"/>
      <c r="D72" s="67">
        <v>1</v>
      </c>
      <c r="E72" s="70" t="s">
        <v>21</v>
      </c>
      <c r="F72" s="67">
        <f>F71/D71</f>
        <v>46.575000000000003</v>
      </c>
      <c r="G72" s="66"/>
      <c r="H72" s="298"/>
      <c r="I72" s="298"/>
    </row>
    <row r="73" spans="1:9">
      <c r="A73" s="493" t="s">
        <v>829</v>
      </c>
      <c r="B73" s="454"/>
      <c r="C73" s="454"/>
      <c r="D73" s="450"/>
      <c r="E73" s="67"/>
      <c r="F73" s="67">
        <f>F72*1%</f>
        <v>0.46575000000000005</v>
      </c>
      <c r="G73" s="66"/>
      <c r="H73" s="298"/>
      <c r="I73" s="298"/>
    </row>
    <row r="74" spans="1:9">
      <c r="A74" s="493" t="s">
        <v>30</v>
      </c>
      <c r="B74" s="454"/>
      <c r="C74" s="454"/>
      <c r="D74" s="450"/>
      <c r="E74" s="71"/>
      <c r="F74" s="67">
        <f>F72+F73</f>
        <v>47.040750000000003</v>
      </c>
      <c r="G74" s="66"/>
      <c r="H74" s="298"/>
      <c r="I74" s="298"/>
    </row>
    <row r="75" spans="1:9">
      <c r="A75" s="493" t="s">
        <v>836</v>
      </c>
      <c r="B75" s="454"/>
      <c r="C75" s="454"/>
      <c r="D75" s="450"/>
      <c r="E75" s="67"/>
      <c r="F75" s="67">
        <f>F74*15%</f>
        <v>7.0561125000000002</v>
      </c>
      <c r="G75" s="66"/>
      <c r="H75" s="298"/>
      <c r="I75" s="298"/>
    </row>
    <row r="76" spans="1:9">
      <c r="A76" s="493" t="s">
        <v>30</v>
      </c>
      <c r="B76" s="454"/>
      <c r="C76" s="454"/>
      <c r="D76" s="450"/>
      <c r="E76" s="71"/>
      <c r="F76" s="191">
        <f>ROUND(F74+F75,2)</f>
        <v>54.1</v>
      </c>
      <c r="G76" s="66"/>
      <c r="H76" s="298"/>
      <c r="I76" s="298"/>
    </row>
    <row r="77" spans="1:9">
      <c r="A77" s="490" t="s">
        <v>819</v>
      </c>
      <c r="B77" s="454"/>
      <c r="C77" s="454"/>
      <c r="D77" s="454"/>
      <c r="E77" s="454"/>
      <c r="F77" s="450"/>
      <c r="G77" s="68" t="s">
        <v>820</v>
      </c>
      <c r="H77" s="298"/>
      <c r="I77" s="298"/>
    </row>
    <row r="78" spans="1:9">
      <c r="A78" s="491">
        <v>116</v>
      </c>
      <c r="B78" s="491"/>
      <c r="C78" s="484" t="s">
        <v>527</v>
      </c>
      <c r="D78" s="454"/>
      <c r="E78" s="450"/>
      <c r="F78" s="484"/>
      <c r="G78" s="450"/>
      <c r="H78" s="298"/>
      <c r="I78" s="298"/>
    </row>
    <row r="79" spans="1:9">
      <c r="A79" s="457"/>
      <c r="B79" s="457"/>
      <c r="C79" s="66" t="s">
        <v>26</v>
      </c>
      <c r="D79" s="67">
        <v>0.33</v>
      </c>
      <c r="E79" s="67">
        <v>784</v>
      </c>
      <c r="F79" s="67">
        <f>E79*D79</f>
        <v>258.72000000000003</v>
      </c>
      <c r="G79" s="66" t="s">
        <v>822</v>
      </c>
      <c r="H79" s="298"/>
      <c r="I79" s="298"/>
    </row>
    <row r="80" spans="1:9">
      <c r="A80" s="491">
        <v>117</v>
      </c>
      <c r="B80" s="491"/>
      <c r="C80" s="484" t="s">
        <v>858</v>
      </c>
      <c r="D80" s="454"/>
      <c r="E80" s="450"/>
      <c r="F80" s="484"/>
      <c r="G80" s="450"/>
      <c r="H80" s="298"/>
      <c r="I80" s="298"/>
    </row>
    <row r="81" spans="1:9">
      <c r="A81" s="457"/>
      <c r="B81" s="457"/>
      <c r="C81" s="66" t="s">
        <v>26</v>
      </c>
      <c r="D81" s="67">
        <v>0.98</v>
      </c>
      <c r="E81" s="67">
        <v>714</v>
      </c>
      <c r="F81" s="67">
        <f>E81*D81</f>
        <v>699.72</v>
      </c>
      <c r="G81" s="66" t="s">
        <v>825</v>
      </c>
      <c r="H81" s="298"/>
      <c r="I81" s="298"/>
    </row>
    <row r="82" spans="1:9">
      <c r="A82" s="491">
        <v>114</v>
      </c>
      <c r="B82" s="491"/>
      <c r="C82" s="484" t="s">
        <v>59</v>
      </c>
      <c r="D82" s="454"/>
      <c r="E82" s="450"/>
      <c r="F82" s="484"/>
      <c r="G82" s="450"/>
      <c r="H82" s="298"/>
      <c r="I82" s="298"/>
    </row>
    <row r="83" spans="1:9">
      <c r="A83" s="457"/>
      <c r="B83" s="457"/>
      <c r="C83" s="66" t="s">
        <v>26</v>
      </c>
      <c r="D83" s="67">
        <v>0.66</v>
      </c>
      <c r="E83" s="67">
        <v>645</v>
      </c>
      <c r="F83" s="67">
        <f>E83*D83</f>
        <v>425.70000000000005</v>
      </c>
      <c r="G83" s="66" t="s">
        <v>837</v>
      </c>
      <c r="H83" s="298"/>
      <c r="I83" s="298"/>
    </row>
    <row r="84" spans="1:9">
      <c r="A84" s="490" t="s">
        <v>847</v>
      </c>
      <c r="B84" s="454"/>
      <c r="C84" s="454"/>
      <c r="D84" s="454"/>
      <c r="E84" s="454"/>
      <c r="F84" s="450"/>
      <c r="G84" s="68" t="s">
        <v>820</v>
      </c>
      <c r="H84" s="298"/>
      <c r="I84" s="298"/>
    </row>
    <row r="85" spans="1:9">
      <c r="A85" s="491">
        <v>9999</v>
      </c>
      <c r="B85" s="491"/>
      <c r="C85" s="484" t="s">
        <v>1758</v>
      </c>
      <c r="D85" s="454"/>
      <c r="E85" s="450"/>
      <c r="F85" s="484"/>
      <c r="G85" s="450"/>
      <c r="H85" s="298"/>
      <c r="I85" s="298"/>
    </row>
    <row r="86" spans="1:9">
      <c r="A86" s="457"/>
      <c r="B86" s="457"/>
      <c r="C86" s="66" t="s">
        <v>62</v>
      </c>
      <c r="D86" s="67">
        <v>2.73</v>
      </c>
      <c r="E86" s="67">
        <v>2.12</v>
      </c>
      <c r="F86" s="67">
        <f>E86*D86</f>
        <v>5.7876000000000003</v>
      </c>
      <c r="G86" s="66" t="s">
        <v>851</v>
      </c>
      <c r="H86" s="298"/>
      <c r="I86" s="298"/>
    </row>
    <row r="87" spans="1:9">
      <c r="A87" s="492" t="s">
        <v>30</v>
      </c>
      <c r="B87" s="454"/>
      <c r="C87" s="450"/>
      <c r="D87" s="67">
        <v>10</v>
      </c>
      <c r="E87" s="70" t="s">
        <v>21</v>
      </c>
      <c r="F87" s="299">
        <f>F79+F81+F83+F86</f>
        <v>1389.9276000000002</v>
      </c>
      <c r="G87" s="71"/>
      <c r="H87" s="298"/>
      <c r="I87" s="298"/>
    </row>
    <row r="88" spans="1:9">
      <c r="A88" s="492" t="s">
        <v>826</v>
      </c>
      <c r="B88" s="454"/>
      <c r="C88" s="450"/>
      <c r="D88" s="67">
        <v>1</v>
      </c>
      <c r="E88" s="70" t="s">
        <v>21</v>
      </c>
      <c r="F88" s="67">
        <f>F87/D87</f>
        <v>138.99276000000003</v>
      </c>
      <c r="G88" s="71"/>
      <c r="H88" s="298"/>
      <c r="I88" s="298"/>
    </row>
    <row r="89" spans="1:9">
      <c r="A89" s="493" t="s">
        <v>829</v>
      </c>
      <c r="B89" s="454"/>
      <c r="C89" s="454"/>
      <c r="D89" s="450"/>
      <c r="E89" s="67"/>
      <c r="F89" s="67">
        <f>F88*1%</f>
        <v>1.3899276000000003</v>
      </c>
      <c r="G89" s="71"/>
      <c r="H89" s="298"/>
      <c r="I89" s="298"/>
    </row>
    <row r="90" spans="1:9">
      <c r="A90" s="493" t="s">
        <v>30</v>
      </c>
      <c r="B90" s="454"/>
      <c r="C90" s="454"/>
      <c r="D90" s="450"/>
      <c r="E90" s="71"/>
      <c r="F90" s="67">
        <f>F88+F89</f>
        <v>140.38268760000003</v>
      </c>
      <c r="G90" s="71"/>
      <c r="H90" s="298"/>
      <c r="I90" s="298"/>
    </row>
    <row r="91" spans="1:9">
      <c r="A91" s="493" t="s">
        <v>836</v>
      </c>
      <c r="B91" s="454"/>
      <c r="C91" s="454"/>
      <c r="D91" s="450"/>
      <c r="E91" s="67"/>
      <c r="F91" s="67">
        <f>F90*15%</f>
        <v>21.057403140000002</v>
      </c>
      <c r="G91" s="71"/>
      <c r="H91" s="298"/>
      <c r="I91" s="298"/>
    </row>
    <row r="92" spans="1:9">
      <c r="A92" s="493" t="s">
        <v>30</v>
      </c>
      <c r="B92" s="454"/>
      <c r="C92" s="454"/>
      <c r="D92" s="450"/>
      <c r="E92" s="71"/>
      <c r="F92" s="191">
        <f>ROUND(F90+F91,2)</f>
        <v>161.44</v>
      </c>
      <c r="G92" s="71"/>
      <c r="H92" s="298"/>
      <c r="I92" s="298"/>
    </row>
    <row r="93" spans="1:9">
      <c r="A93" s="616" t="str">
        <f>CONCATENATE("Say ₹ ",F76," + ",F92," x Cost Index")</f>
        <v>Say ₹ 54.1 + 161.44 x Cost Index</v>
      </c>
      <c r="B93" s="454"/>
      <c r="C93" s="454"/>
      <c r="D93" s="454"/>
      <c r="E93" s="454"/>
      <c r="F93" s="450"/>
      <c r="G93" s="300" t="s">
        <v>1000</v>
      </c>
      <c r="H93" s="301">
        <f>F70*1.01*1.15/10</f>
        <v>54.0968625</v>
      </c>
      <c r="I93" s="301">
        <f>(F79+F81+F83+F86)*1.01*1.15/10</f>
        <v>161.44009074000002</v>
      </c>
    </row>
    <row r="94" spans="1:9">
      <c r="A94" s="486" t="s">
        <v>771</v>
      </c>
      <c r="B94" s="486" t="s">
        <v>776</v>
      </c>
      <c r="C94" s="487" t="s">
        <v>4</v>
      </c>
      <c r="D94" s="454"/>
      <c r="E94" s="450"/>
      <c r="F94" s="487" t="s">
        <v>785</v>
      </c>
      <c r="G94" s="450"/>
      <c r="H94" s="298"/>
      <c r="I94" s="298"/>
    </row>
    <row r="95" spans="1:9">
      <c r="A95" s="457"/>
      <c r="B95" s="457"/>
      <c r="C95" s="62" t="s">
        <v>5</v>
      </c>
      <c r="D95" s="62" t="s">
        <v>6</v>
      </c>
      <c r="E95" s="62" t="s">
        <v>336</v>
      </c>
      <c r="F95" s="62" t="s">
        <v>8</v>
      </c>
      <c r="G95" s="62" t="s">
        <v>789</v>
      </c>
      <c r="H95" s="298"/>
      <c r="I95" s="298"/>
    </row>
    <row r="96" spans="1:9">
      <c r="A96" s="617" t="s">
        <v>1780</v>
      </c>
      <c r="B96" s="454"/>
      <c r="C96" s="454"/>
      <c r="D96" s="454"/>
      <c r="E96" s="454"/>
      <c r="F96" s="454"/>
      <c r="G96" s="450"/>
      <c r="H96" s="298"/>
      <c r="I96" s="298"/>
    </row>
    <row r="97" spans="1:9">
      <c r="A97" s="65"/>
      <c r="B97" s="66" t="s">
        <v>795</v>
      </c>
      <c r="C97" s="66" t="s">
        <v>21</v>
      </c>
      <c r="D97" s="66" t="s">
        <v>798</v>
      </c>
      <c r="E97" s="67">
        <v>10</v>
      </c>
      <c r="F97" s="484"/>
      <c r="G97" s="450"/>
      <c r="H97" s="298"/>
      <c r="I97" s="298"/>
    </row>
    <row r="98" spans="1:9">
      <c r="A98" s="66" t="s">
        <v>800</v>
      </c>
      <c r="B98" s="484" t="s">
        <v>512</v>
      </c>
      <c r="C98" s="454"/>
      <c r="D98" s="454"/>
      <c r="E98" s="454"/>
      <c r="F98" s="454"/>
      <c r="G98" s="450"/>
      <c r="H98" s="298"/>
      <c r="I98" s="298"/>
    </row>
    <row r="99" spans="1:9">
      <c r="A99" s="490" t="s">
        <v>802</v>
      </c>
      <c r="B99" s="454"/>
      <c r="C99" s="454"/>
      <c r="D99" s="454"/>
      <c r="E99" s="454"/>
      <c r="F99" s="450"/>
      <c r="G99" s="68" t="s">
        <v>803</v>
      </c>
      <c r="H99" s="298"/>
      <c r="I99" s="298"/>
    </row>
    <row r="100" spans="1:9">
      <c r="A100" s="491"/>
      <c r="B100" s="491" t="s">
        <v>1732</v>
      </c>
      <c r="C100" s="484" t="s">
        <v>1781</v>
      </c>
      <c r="D100" s="454"/>
      <c r="E100" s="450"/>
      <c r="F100" s="484"/>
      <c r="G100" s="450"/>
      <c r="H100" s="298"/>
      <c r="I100" s="298"/>
    </row>
    <row r="101" spans="1:9">
      <c r="A101" s="457"/>
      <c r="B101" s="457"/>
      <c r="C101" s="66" t="s">
        <v>21</v>
      </c>
      <c r="D101" s="67">
        <v>11.5</v>
      </c>
      <c r="E101" s="67">
        <v>30</v>
      </c>
      <c r="F101" s="67">
        <f>E101*D101</f>
        <v>345</v>
      </c>
      <c r="G101" s="66" t="s">
        <v>808</v>
      </c>
      <c r="H101" s="298"/>
      <c r="I101" s="298"/>
    </row>
    <row r="102" spans="1:9">
      <c r="A102" s="492" t="s">
        <v>30</v>
      </c>
      <c r="B102" s="454"/>
      <c r="C102" s="450"/>
      <c r="D102" s="67">
        <v>10</v>
      </c>
      <c r="E102" s="70" t="s">
        <v>21</v>
      </c>
      <c r="F102" s="67">
        <f>F101</f>
        <v>345</v>
      </c>
      <c r="G102" s="66"/>
      <c r="H102" s="298"/>
      <c r="I102" s="298"/>
    </row>
    <row r="103" spans="1:9">
      <c r="A103" s="492" t="s">
        <v>826</v>
      </c>
      <c r="B103" s="454"/>
      <c r="C103" s="450"/>
      <c r="D103" s="67">
        <v>1</v>
      </c>
      <c r="E103" s="70" t="s">
        <v>21</v>
      </c>
      <c r="F103" s="67">
        <f>F102/D102</f>
        <v>34.5</v>
      </c>
      <c r="G103" s="66"/>
      <c r="H103" s="298"/>
      <c r="I103" s="298"/>
    </row>
    <row r="104" spans="1:9">
      <c r="A104" s="493" t="s">
        <v>829</v>
      </c>
      <c r="B104" s="454"/>
      <c r="C104" s="454"/>
      <c r="D104" s="450"/>
      <c r="E104" s="67"/>
      <c r="F104" s="67">
        <f>F103*1%</f>
        <v>0.34500000000000003</v>
      </c>
      <c r="G104" s="66"/>
      <c r="H104" s="298"/>
      <c r="I104" s="298"/>
    </row>
    <row r="105" spans="1:9">
      <c r="A105" s="493" t="s">
        <v>30</v>
      </c>
      <c r="B105" s="454"/>
      <c r="C105" s="454"/>
      <c r="D105" s="450"/>
      <c r="E105" s="71"/>
      <c r="F105" s="67">
        <f>F103+F104</f>
        <v>34.844999999999999</v>
      </c>
      <c r="G105" s="66"/>
      <c r="H105" s="298"/>
      <c r="I105" s="298"/>
    </row>
    <row r="106" spans="1:9">
      <c r="A106" s="493" t="s">
        <v>836</v>
      </c>
      <c r="B106" s="454"/>
      <c r="C106" s="454"/>
      <c r="D106" s="450"/>
      <c r="E106" s="67"/>
      <c r="F106" s="67">
        <f>F105*15%</f>
        <v>5.22675</v>
      </c>
      <c r="G106" s="66"/>
      <c r="H106" s="298"/>
      <c r="I106" s="298"/>
    </row>
    <row r="107" spans="1:9">
      <c r="A107" s="493" t="s">
        <v>30</v>
      </c>
      <c r="B107" s="454"/>
      <c r="C107" s="454"/>
      <c r="D107" s="450"/>
      <c r="E107" s="71"/>
      <c r="F107" s="191">
        <f>ROUND(F105+F106,2)</f>
        <v>40.07</v>
      </c>
      <c r="G107" s="66"/>
      <c r="H107" s="298"/>
      <c r="I107" s="298"/>
    </row>
    <row r="108" spans="1:9">
      <c r="A108" s="490" t="s">
        <v>819</v>
      </c>
      <c r="B108" s="454"/>
      <c r="C108" s="454"/>
      <c r="D108" s="454"/>
      <c r="E108" s="454"/>
      <c r="F108" s="450"/>
      <c r="G108" s="68" t="s">
        <v>820</v>
      </c>
      <c r="H108" s="298"/>
      <c r="I108" s="298"/>
    </row>
    <row r="109" spans="1:9">
      <c r="A109" s="491">
        <v>116</v>
      </c>
      <c r="B109" s="491"/>
      <c r="C109" s="484" t="s">
        <v>527</v>
      </c>
      <c r="D109" s="454"/>
      <c r="E109" s="450"/>
      <c r="F109" s="484"/>
      <c r="G109" s="450"/>
      <c r="H109" s="298"/>
      <c r="I109" s="298"/>
    </row>
    <row r="110" spans="1:9">
      <c r="A110" s="457"/>
      <c r="B110" s="457"/>
      <c r="C110" s="66" t="s">
        <v>26</v>
      </c>
      <c r="D110" s="67">
        <v>0.33</v>
      </c>
      <c r="E110" s="67">
        <v>784</v>
      </c>
      <c r="F110" s="67">
        <f>E110*D110</f>
        <v>258.72000000000003</v>
      </c>
      <c r="G110" s="66" t="s">
        <v>822</v>
      </c>
      <c r="H110" s="298"/>
      <c r="I110" s="298"/>
    </row>
    <row r="111" spans="1:9">
      <c r="A111" s="491">
        <v>117</v>
      </c>
      <c r="B111" s="491"/>
      <c r="C111" s="484" t="s">
        <v>858</v>
      </c>
      <c r="D111" s="454"/>
      <c r="E111" s="450"/>
      <c r="F111" s="484"/>
      <c r="G111" s="450"/>
      <c r="H111" s="298"/>
      <c r="I111" s="298"/>
    </row>
    <row r="112" spans="1:9">
      <c r="A112" s="457"/>
      <c r="B112" s="457"/>
      <c r="C112" s="66" t="s">
        <v>26</v>
      </c>
      <c r="D112" s="67">
        <v>0.98</v>
      </c>
      <c r="E112" s="67">
        <v>714</v>
      </c>
      <c r="F112" s="67">
        <f>E112*D112</f>
        <v>699.72</v>
      </c>
      <c r="G112" s="66" t="s">
        <v>825</v>
      </c>
      <c r="H112" s="298"/>
      <c r="I112" s="298"/>
    </row>
    <row r="113" spans="1:9">
      <c r="A113" s="491">
        <v>114</v>
      </c>
      <c r="B113" s="491"/>
      <c r="C113" s="484" t="s">
        <v>59</v>
      </c>
      <c r="D113" s="454"/>
      <c r="E113" s="450"/>
      <c r="F113" s="484"/>
      <c r="G113" s="450"/>
      <c r="H113" s="298"/>
      <c r="I113" s="298"/>
    </row>
    <row r="114" spans="1:9">
      <c r="A114" s="457"/>
      <c r="B114" s="457"/>
      <c r="C114" s="66" t="s">
        <v>26</v>
      </c>
      <c r="D114" s="67">
        <v>0.66</v>
      </c>
      <c r="E114" s="67">
        <v>645</v>
      </c>
      <c r="F114" s="67">
        <f>E114*D114</f>
        <v>425.70000000000005</v>
      </c>
      <c r="G114" s="66" t="s">
        <v>837</v>
      </c>
      <c r="H114" s="298"/>
      <c r="I114" s="298"/>
    </row>
    <row r="115" spans="1:9">
      <c r="A115" s="490" t="s">
        <v>847</v>
      </c>
      <c r="B115" s="454"/>
      <c r="C115" s="454"/>
      <c r="D115" s="454"/>
      <c r="E115" s="454"/>
      <c r="F115" s="450"/>
      <c r="G115" s="68" t="s">
        <v>820</v>
      </c>
      <c r="H115" s="298"/>
      <c r="I115" s="298"/>
    </row>
    <row r="116" spans="1:9">
      <c r="A116" s="491">
        <v>9999</v>
      </c>
      <c r="B116" s="491"/>
      <c r="C116" s="484" t="s">
        <v>890</v>
      </c>
      <c r="D116" s="454"/>
      <c r="E116" s="450"/>
      <c r="F116" s="484"/>
      <c r="G116" s="450"/>
      <c r="H116" s="298"/>
      <c r="I116" s="298"/>
    </row>
    <row r="117" spans="1:9">
      <c r="A117" s="457"/>
      <c r="B117" s="457"/>
      <c r="C117" s="66" t="s">
        <v>62</v>
      </c>
      <c r="D117" s="67">
        <v>2.73</v>
      </c>
      <c r="E117" s="67">
        <v>2.12</v>
      </c>
      <c r="F117" s="67">
        <f>E117*D117</f>
        <v>5.7876000000000003</v>
      </c>
      <c r="G117" s="66" t="s">
        <v>851</v>
      </c>
      <c r="H117" s="298"/>
      <c r="I117" s="298"/>
    </row>
    <row r="118" spans="1:9">
      <c r="A118" s="492" t="s">
        <v>30</v>
      </c>
      <c r="B118" s="454"/>
      <c r="C118" s="450"/>
      <c r="D118" s="67">
        <v>10</v>
      </c>
      <c r="E118" s="70" t="s">
        <v>21</v>
      </c>
      <c r="F118" s="299">
        <f>F110+F112+F114+F117</f>
        <v>1389.9276000000002</v>
      </c>
      <c r="G118" s="71"/>
      <c r="H118" s="298"/>
      <c r="I118" s="298"/>
    </row>
    <row r="119" spans="1:9">
      <c r="A119" s="492" t="s">
        <v>826</v>
      </c>
      <c r="B119" s="454"/>
      <c r="C119" s="450"/>
      <c r="D119" s="67">
        <v>1</v>
      </c>
      <c r="E119" s="70" t="s">
        <v>21</v>
      </c>
      <c r="F119" s="67">
        <f>F118/D118</f>
        <v>138.99276000000003</v>
      </c>
      <c r="G119" s="71"/>
      <c r="H119" s="298"/>
      <c r="I119" s="298"/>
    </row>
    <row r="120" spans="1:9">
      <c r="A120" s="493" t="s">
        <v>829</v>
      </c>
      <c r="B120" s="454"/>
      <c r="C120" s="454"/>
      <c r="D120" s="450"/>
      <c r="E120" s="67"/>
      <c r="F120" s="67">
        <f>F119*1%</f>
        <v>1.3899276000000003</v>
      </c>
      <c r="G120" s="71"/>
      <c r="H120" s="298"/>
      <c r="I120" s="298"/>
    </row>
    <row r="121" spans="1:9">
      <c r="A121" s="493" t="s">
        <v>30</v>
      </c>
      <c r="B121" s="454"/>
      <c r="C121" s="454"/>
      <c r="D121" s="450"/>
      <c r="E121" s="71"/>
      <c r="F121" s="67">
        <f>F119+F120</f>
        <v>140.38268760000003</v>
      </c>
      <c r="G121" s="71"/>
      <c r="H121" s="298"/>
      <c r="I121" s="298"/>
    </row>
    <row r="122" spans="1:9">
      <c r="A122" s="493" t="s">
        <v>836</v>
      </c>
      <c r="B122" s="454"/>
      <c r="C122" s="454"/>
      <c r="D122" s="450"/>
      <c r="E122" s="67"/>
      <c r="F122" s="67">
        <f>F121*15%</f>
        <v>21.057403140000002</v>
      </c>
      <c r="G122" s="71"/>
      <c r="H122" s="298"/>
      <c r="I122" s="298"/>
    </row>
    <row r="123" spans="1:9">
      <c r="A123" s="493" t="s">
        <v>30</v>
      </c>
      <c r="B123" s="454"/>
      <c r="C123" s="454"/>
      <c r="D123" s="450"/>
      <c r="E123" s="71"/>
      <c r="F123" s="191">
        <f>ROUND(F121+F122,2)</f>
        <v>161.44</v>
      </c>
      <c r="G123" s="71"/>
      <c r="H123" s="298"/>
      <c r="I123" s="298"/>
    </row>
    <row r="124" spans="1:9">
      <c r="A124" s="616" t="str">
        <f>CONCATENATE("Say ₹ ",F107," + ",F123," x Cost Index")</f>
        <v>Say ₹ 40.07 + 161.44 x Cost Index</v>
      </c>
      <c r="B124" s="454"/>
      <c r="C124" s="454"/>
      <c r="D124" s="454"/>
      <c r="E124" s="454"/>
      <c r="F124" s="450"/>
      <c r="G124" s="300" t="s">
        <v>1000</v>
      </c>
      <c r="H124" s="301">
        <f>F101*1.01*1.15/10</f>
        <v>40.071749999999994</v>
      </c>
      <c r="I124" s="301">
        <f>(F110+F112+F114+F117)*1.01*1.15/10</f>
        <v>161.44009074000002</v>
      </c>
    </row>
    <row r="125" spans="1:9">
      <c r="A125" s="486" t="s">
        <v>771</v>
      </c>
      <c r="B125" s="486" t="s">
        <v>776</v>
      </c>
      <c r="C125" s="487" t="s">
        <v>4</v>
      </c>
      <c r="D125" s="454"/>
      <c r="E125" s="450"/>
      <c r="F125" s="487" t="s">
        <v>785</v>
      </c>
      <c r="G125" s="450"/>
      <c r="H125" s="298"/>
      <c r="I125" s="298"/>
    </row>
    <row r="126" spans="1:9">
      <c r="A126" s="457"/>
      <c r="B126" s="457"/>
      <c r="C126" s="62" t="s">
        <v>5</v>
      </c>
      <c r="D126" s="62" t="s">
        <v>6</v>
      </c>
      <c r="E126" s="62" t="s">
        <v>336</v>
      </c>
      <c r="F126" s="62" t="s">
        <v>8</v>
      </c>
      <c r="G126" s="62" t="s">
        <v>789</v>
      </c>
      <c r="H126" s="298"/>
      <c r="I126" s="298"/>
    </row>
    <row r="127" spans="1:9">
      <c r="A127" s="617" t="s">
        <v>1795</v>
      </c>
      <c r="B127" s="454"/>
      <c r="C127" s="454"/>
      <c r="D127" s="454"/>
      <c r="E127" s="454"/>
      <c r="F127" s="454"/>
      <c r="G127" s="450"/>
      <c r="H127" s="298"/>
      <c r="I127" s="298"/>
    </row>
    <row r="128" spans="1:9">
      <c r="A128" s="65"/>
      <c r="B128" s="66" t="s">
        <v>795</v>
      </c>
      <c r="C128" s="66" t="s">
        <v>21</v>
      </c>
      <c r="D128" s="66" t="s">
        <v>798</v>
      </c>
      <c r="E128" s="67">
        <v>10</v>
      </c>
      <c r="F128" s="484"/>
      <c r="G128" s="450"/>
      <c r="H128" s="298"/>
      <c r="I128" s="298"/>
    </row>
    <row r="129" spans="1:9">
      <c r="A129" s="66" t="s">
        <v>800</v>
      </c>
      <c r="B129" s="484" t="s">
        <v>1752</v>
      </c>
      <c r="C129" s="454"/>
      <c r="D129" s="454"/>
      <c r="E129" s="454"/>
      <c r="F129" s="454"/>
      <c r="G129" s="450"/>
      <c r="H129" s="298"/>
      <c r="I129" s="298"/>
    </row>
    <row r="130" spans="1:9">
      <c r="A130" s="490" t="s">
        <v>802</v>
      </c>
      <c r="B130" s="454"/>
      <c r="C130" s="454"/>
      <c r="D130" s="454"/>
      <c r="E130" s="454"/>
      <c r="F130" s="450"/>
      <c r="G130" s="68" t="s">
        <v>803</v>
      </c>
      <c r="H130" s="298"/>
      <c r="I130" s="298"/>
    </row>
    <row r="131" spans="1:9">
      <c r="A131" s="491"/>
      <c r="B131" s="491" t="s">
        <v>1753</v>
      </c>
      <c r="C131" s="484" t="s">
        <v>1796</v>
      </c>
      <c r="D131" s="454"/>
      <c r="E131" s="450"/>
      <c r="F131" s="484"/>
      <c r="G131" s="450"/>
      <c r="H131" s="298"/>
      <c r="I131" s="298"/>
    </row>
    <row r="132" spans="1:9">
      <c r="A132" s="457"/>
      <c r="B132" s="457"/>
      <c r="C132" s="66" t="s">
        <v>21</v>
      </c>
      <c r="D132" s="67">
        <v>11.5</v>
      </c>
      <c r="E132" s="67">
        <v>61</v>
      </c>
      <c r="F132" s="67">
        <f>E132*D132</f>
        <v>701.5</v>
      </c>
      <c r="G132" s="66" t="s">
        <v>808</v>
      </c>
      <c r="H132" s="298"/>
      <c r="I132" s="298"/>
    </row>
    <row r="133" spans="1:9">
      <c r="A133" s="492" t="s">
        <v>30</v>
      </c>
      <c r="B133" s="454"/>
      <c r="C133" s="450"/>
      <c r="D133" s="67">
        <v>10</v>
      </c>
      <c r="E133" s="70" t="s">
        <v>21</v>
      </c>
      <c r="F133" s="67">
        <f>F132</f>
        <v>701.5</v>
      </c>
      <c r="G133" s="66"/>
      <c r="H133" s="298"/>
      <c r="I133" s="298"/>
    </row>
    <row r="134" spans="1:9">
      <c r="A134" s="492" t="s">
        <v>826</v>
      </c>
      <c r="B134" s="454"/>
      <c r="C134" s="450"/>
      <c r="D134" s="67">
        <v>1</v>
      </c>
      <c r="E134" s="70" t="s">
        <v>21</v>
      </c>
      <c r="F134" s="67">
        <f>F133/D133</f>
        <v>70.150000000000006</v>
      </c>
      <c r="G134" s="66"/>
      <c r="H134" s="298"/>
      <c r="I134" s="298"/>
    </row>
    <row r="135" spans="1:9">
      <c r="A135" s="493" t="s">
        <v>829</v>
      </c>
      <c r="B135" s="454"/>
      <c r="C135" s="454"/>
      <c r="D135" s="450"/>
      <c r="E135" s="67"/>
      <c r="F135" s="67">
        <f>F134*1%</f>
        <v>0.70150000000000012</v>
      </c>
      <c r="G135" s="66"/>
      <c r="H135" s="298"/>
      <c r="I135" s="298"/>
    </row>
    <row r="136" spans="1:9">
      <c r="A136" s="493" t="s">
        <v>30</v>
      </c>
      <c r="B136" s="454"/>
      <c r="C136" s="454"/>
      <c r="D136" s="450"/>
      <c r="E136" s="71"/>
      <c r="F136" s="67">
        <f>F134+F135</f>
        <v>70.851500000000001</v>
      </c>
      <c r="G136" s="66"/>
      <c r="H136" s="298"/>
      <c r="I136" s="298"/>
    </row>
    <row r="137" spans="1:9">
      <c r="A137" s="493" t="s">
        <v>836</v>
      </c>
      <c r="B137" s="454"/>
      <c r="C137" s="454"/>
      <c r="D137" s="450"/>
      <c r="E137" s="67"/>
      <c r="F137" s="67">
        <f>F136*15%</f>
        <v>10.627725</v>
      </c>
      <c r="G137" s="66"/>
      <c r="H137" s="298"/>
      <c r="I137" s="298"/>
    </row>
    <row r="138" spans="1:9">
      <c r="A138" s="493" t="s">
        <v>30</v>
      </c>
      <c r="B138" s="454"/>
      <c r="C138" s="454"/>
      <c r="D138" s="450"/>
      <c r="E138" s="71"/>
      <c r="F138" s="191">
        <f>ROUND(F136+F137,2)</f>
        <v>81.48</v>
      </c>
      <c r="G138" s="66"/>
      <c r="H138" s="298"/>
      <c r="I138" s="298"/>
    </row>
    <row r="139" spans="1:9">
      <c r="A139" s="490" t="s">
        <v>819</v>
      </c>
      <c r="B139" s="454"/>
      <c r="C139" s="454"/>
      <c r="D139" s="454"/>
      <c r="E139" s="454"/>
      <c r="F139" s="450"/>
      <c r="G139" s="68" t="s">
        <v>820</v>
      </c>
      <c r="H139" s="298"/>
      <c r="I139" s="298"/>
    </row>
    <row r="140" spans="1:9">
      <c r="A140" s="491">
        <v>116</v>
      </c>
      <c r="B140" s="491"/>
      <c r="C140" s="484" t="s">
        <v>527</v>
      </c>
      <c r="D140" s="454"/>
      <c r="E140" s="450"/>
      <c r="F140" s="484"/>
      <c r="G140" s="450"/>
      <c r="H140" s="298"/>
      <c r="I140" s="298"/>
    </row>
    <row r="141" spans="1:9">
      <c r="A141" s="457"/>
      <c r="B141" s="457"/>
      <c r="C141" s="66" t="s">
        <v>26</v>
      </c>
      <c r="D141" s="67">
        <v>0.33</v>
      </c>
      <c r="E141" s="67">
        <v>784</v>
      </c>
      <c r="F141" s="67">
        <f>E141*D141</f>
        <v>258.72000000000003</v>
      </c>
      <c r="G141" s="66" t="s">
        <v>822</v>
      </c>
      <c r="H141" s="298"/>
      <c r="I141" s="298"/>
    </row>
    <row r="142" spans="1:9">
      <c r="A142" s="491">
        <v>117</v>
      </c>
      <c r="B142" s="491"/>
      <c r="C142" s="484" t="s">
        <v>858</v>
      </c>
      <c r="D142" s="454"/>
      <c r="E142" s="450"/>
      <c r="F142" s="484"/>
      <c r="G142" s="450"/>
      <c r="H142" s="298"/>
      <c r="I142" s="298"/>
    </row>
    <row r="143" spans="1:9">
      <c r="A143" s="457"/>
      <c r="B143" s="457"/>
      <c r="C143" s="66" t="s">
        <v>26</v>
      </c>
      <c r="D143" s="67">
        <v>0.98</v>
      </c>
      <c r="E143" s="67">
        <v>714</v>
      </c>
      <c r="F143" s="67">
        <f>E143*D143</f>
        <v>699.72</v>
      </c>
      <c r="G143" s="66" t="s">
        <v>825</v>
      </c>
      <c r="H143" s="298"/>
      <c r="I143" s="298"/>
    </row>
    <row r="144" spans="1:9">
      <c r="A144" s="491">
        <v>114</v>
      </c>
      <c r="B144" s="491"/>
      <c r="C144" s="484" t="s">
        <v>59</v>
      </c>
      <c r="D144" s="454"/>
      <c r="E144" s="450"/>
      <c r="F144" s="484"/>
      <c r="G144" s="450"/>
      <c r="H144" s="298"/>
      <c r="I144" s="298"/>
    </row>
    <row r="145" spans="1:9">
      <c r="A145" s="457"/>
      <c r="B145" s="457"/>
      <c r="C145" s="66" t="s">
        <v>26</v>
      </c>
      <c r="D145" s="67">
        <v>0.66</v>
      </c>
      <c r="E145" s="67">
        <v>645</v>
      </c>
      <c r="F145" s="67">
        <f>E145*D145</f>
        <v>425.70000000000005</v>
      </c>
      <c r="G145" s="66" t="s">
        <v>837</v>
      </c>
      <c r="H145" s="298"/>
      <c r="I145" s="298"/>
    </row>
    <row r="146" spans="1:9">
      <c r="A146" s="490" t="s">
        <v>847</v>
      </c>
      <c r="B146" s="454"/>
      <c r="C146" s="454"/>
      <c r="D146" s="454"/>
      <c r="E146" s="454"/>
      <c r="F146" s="450"/>
      <c r="G146" s="68" t="s">
        <v>820</v>
      </c>
      <c r="H146" s="298"/>
      <c r="I146" s="298"/>
    </row>
    <row r="147" spans="1:9">
      <c r="A147" s="491">
        <v>9999</v>
      </c>
      <c r="B147" s="491"/>
      <c r="C147" s="484" t="s">
        <v>1758</v>
      </c>
      <c r="D147" s="454"/>
      <c r="E147" s="450"/>
      <c r="F147" s="484"/>
      <c r="G147" s="450"/>
      <c r="H147" s="298"/>
      <c r="I147" s="298"/>
    </row>
    <row r="148" spans="1:9">
      <c r="A148" s="457"/>
      <c r="B148" s="457"/>
      <c r="C148" s="66" t="s">
        <v>62</v>
      </c>
      <c r="D148" s="67">
        <v>2.73</v>
      </c>
      <c r="E148" s="67">
        <v>2.12</v>
      </c>
      <c r="F148" s="67">
        <f>E148*D148</f>
        <v>5.7876000000000003</v>
      </c>
      <c r="G148" s="66" t="s">
        <v>851</v>
      </c>
      <c r="H148" s="298"/>
      <c r="I148" s="298"/>
    </row>
    <row r="149" spans="1:9">
      <c r="A149" s="492" t="s">
        <v>30</v>
      </c>
      <c r="B149" s="454"/>
      <c r="C149" s="450"/>
      <c r="D149" s="67">
        <v>10</v>
      </c>
      <c r="E149" s="70" t="s">
        <v>21</v>
      </c>
      <c r="F149" s="299">
        <f>F141+F143+F145+F148</f>
        <v>1389.9276000000002</v>
      </c>
      <c r="G149" s="71"/>
      <c r="H149" s="298"/>
      <c r="I149" s="298"/>
    </row>
    <row r="150" spans="1:9">
      <c r="A150" s="492" t="s">
        <v>826</v>
      </c>
      <c r="B150" s="454"/>
      <c r="C150" s="450"/>
      <c r="D150" s="67">
        <v>1</v>
      </c>
      <c r="E150" s="70" t="s">
        <v>21</v>
      </c>
      <c r="F150" s="67">
        <f>F149/D149</f>
        <v>138.99276000000003</v>
      </c>
      <c r="G150" s="71"/>
      <c r="H150" s="298"/>
      <c r="I150" s="298"/>
    </row>
    <row r="151" spans="1:9">
      <c r="A151" s="493" t="s">
        <v>829</v>
      </c>
      <c r="B151" s="454"/>
      <c r="C151" s="454"/>
      <c r="D151" s="450"/>
      <c r="E151" s="67"/>
      <c r="F151" s="67">
        <f>F150*1%</f>
        <v>1.3899276000000003</v>
      </c>
      <c r="G151" s="71"/>
      <c r="H151" s="298"/>
      <c r="I151" s="298"/>
    </row>
    <row r="152" spans="1:9">
      <c r="A152" s="493" t="s">
        <v>30</v>
      </c>
      <c r="B152" s="454"/>
      <c r="C152" s="454"/>
      <c r="D152" s="450"/>
      <c r="E152" s="71"/>
      <c r="F152" s="67">
        <f>F150+F151</f>
        <v>140.38268760000003</v>
      </c>
      <c r="G152" s="71"/>
      <c r="H152" s="298"/>
      <c r="I152" s="298"/>
    </row>
    <row r="153" spans="1:9">
      <c r="A153" s="493" t="s">
        <v>836</v>
      </c>
      <c r="B153" s="454"/>
      <c r="C153" s="454"/>
      <c r="D153" s="450"/>
      <c r="E153" s="67"/>
      <c r="F153" s="67">
        <f>F152*15%</f>
        <v>21.057403140000002</v>
      </c>
      <c r="G153" s="71"/>
      <c r="H153" s="298"/>
      <c r="I153" s="298"/>
    </row>
    <row r="154" spans="1:9">
      <c r="A154" s="493" t="s">
        <v>30</v>
      </c>
      <c r="B154" s="454"/>
      <c r="C154" s="454"/>
      <c r="D154" s="450"/>
      <c r="E154" s="71"/>
      <c r="F154" s="191">
        <f>ROUND(F152+F153,2)</f>
        <v>161.44</v>
      </c>
      <c r="G154" s="71"/>
      <c r="H154" s="298"/>
      <c r="I154" s="298"/>
    </row>
    <row r="155" spans="1:9">
      <c r="A155" s="616" t="str">
        <f>CONCATENATE("Say ₹ ",F138," + ",F154," x Cost Index")</f>
        <v>Say ₹ 81.48 + 161.44 x Cost Index</v>
      </c>
      <c r="B155" s="454"/>
      <c r="C155" s="454"/>
      <c r="D155" s="454"/>
      <c r="E155" s="454"/>
      <c r="F155" s="450"/>
      <c r="G155" s="300" t="s">
        <v>1000</v>
      </c>
      <c r="H155" s="301">
        <f>F132*1.01*1.15/10</f>
        <v>81.479225</v>
      </c>
      <c r="I155" s="301">
        <f>(F141+F143+F145+F148)*1.01*1.15/10</f>
        <v>161.44009074000002</v>
      </c>
    </row>
    <row r="156" spans="1:9">
      <c r="A156" s="486" t="s">
        <v>771</v>
      </c>
      <c r="B156" s="486" t="s">
        <v>776</v>
      </c>
      <c r="C156" s="487" t="s">
        <v>4</v>
      </c>
      <c r="D156" s="454"/>
      <c r="E156" s="450"/>
      <c r="F156" s="487" t="s">
        <v>785</v>
      </c>
      <c r="G156" s="450"/>
      <c r="H156" s="298"/>
      <c r="I156" s="298"/>
    </row>
    <row r="157" spans="1:9">
      <c r="A157" s="457"/>
      <c r="B157" s="457"/>
      <c r="C157" s="62" t="s">
        <v>5</v>
      </c>
      <c r="D157" s="62" t="s">
        <v>6</v>
      </c>
      <c r="E157" s="62" t="s">
        <v>336</v>
      </c>
      <c r="F157" s="62" t="s">
        <v>8</v>
      </c>
      <c r="G157" s="62" t="s">
        <v>789</v>
      </c>
      <c r="H157" s="298"/>
      <c r="I157" s="298"/>
    </row>
    <row r="158" spans="1:9">
      <c r="A158" s="617" t="s">
        <v>1804</v>
      </c>
      <c r="B158" s="454"/>
      <c r="C158" s="454"/>
      <c r="D158" s="454"/>
      <c r="E158" s="454"/>
      <c r="F158" s="454"/>
      <c r="G158" s="450"/>
      <c r="H158" s="298"/>
      <c r="I158" s="298"/>
    </row>
    <row r="159" spans="1:9">
      <c r="A159" s="65"/>
      <c r="B159" s="66" t="s">
        <v>795</v>
      </c>
      <c r="C159" s="66" t="s">
        <v>21</v>
      </c>
      <c r="D159" s="66" t="s">
        <v>798</v>
      </c>
      <c r="E159" s="67">
        <v>10</v>
      </c>
      <c r="F159" s="484"/>
      <c r="G159" s="450"/>
      <c r="H159" s="298"/>
      <c r="I159" s="298"/>
    </row>
    <row r="160" spans="1:9">
      <c r="A160" s="66" t="s">
        <v>800</v>
      </c>
      <c r="B160" s="484" t="s">
        <v>512</v>
      </c>
      <c r="C160" s="454"/>
      <c r="D160" s="454"/>
      <c r="E160" s="454"/>
      <c r="F160" s="454"/>
      <c r="G160" s="450"/>
      <c r="H160" s="298"/>
      <c r="I160" s="298"/>
    </row>
    <row r="161" spans="1:9">
      <c r="A161" s="490" t="s">
        <v>802</v>
      </c>
      <c r="B161" s="454"/>
      <c r="C161" s="454"/>
      <c r="D161" s="454"/>
      <c r="E161" s="454"/>
      <c r="F161" s="450"/>
      <c r="G161" s="68" t="s">
        <v>803</v>
      </c>
      <c r="H161" s="298"/>
      <c r="I161" s="298"/>
    </row>
    <row r="162" spans="1:9">
      <c r="A162" s="491"/>
      <c r="B162" s="491" t="s">
        <v>1778</v>
      </c>
      <c r="C162" s="484" t="s">
        <v>1806</v>
      </c>
      <c r="D162" s="454"/>
      <c r="E162" s="450"/>
      <c r="F162" s="484"/>
      <c r="G162" s="450"/>
      <c r="H162" s="298"/>
      <c r="I162" s="298"/>
    </row>
    <row r="163" spans="1:9">
      <c r="A163" s="457"/>
      <c r="B163" s="457"/>
      <c r="C163" s="66" t="s">
        <v>21</v>
      </c>
      <c r="D163" s="67">
        <v>11.5</v>
      </c>
      <c r="E163" s="67">
        <v>48</v>
      </c>
      <c r="F163" s="67">
        <f>E163*D163</f>
        <v>552</v>
      </c>
      <c r="G163" s="66" t="s">
        <v>808</v>
      </c>
      <c r="H163" s="298"/>
      <c r="I163" s="298"/>
    </row>
    <row r="164" spans="1:9">
      <c r="A164" s="492" t="s">
        <v>30</v>
      </c>
      <c r="B164" s="454"/>
      <c r="C164" s="450"/>
      <c r="D164" s="67">
        <v>10</v>
      </c>
      <c r="E164" s="70" t="s">
        <v>21</v>
      </c>
      <c r="F164" s="67">
        <f>F163</f>
        <v>552</v>
      </c>
      <c r="G164" s="66"/>
      <c r="H164" s="298"/>
      <c r="I164" s="298"/>
    </row>
    <row r="165" spans="1:9">
      <c r="A165" s="492" t="s">
        <v>826</v>
      </c>
      <c r="B165" s="454"/>
      <c r="C165" s="450"/>
      <c r="D165" s="67">
        <v>1</v>
      </c>
      <c r="E165" s="70" t="s">
        <v>21</v>
      </c>
      <c r="F165" s="67">
        <f>F164/D164</f>
        <v>55.2</v>
      </c>
      <c r="G165" s="66"/>
      <c r="H165" s="298"/>
      <c r="I165" s="298"/>
    </row>
    <row r="166" spans="1:9">
      <c r="A166" s="493" t="s">
        <v>829</v>
      </c>
      <c r="B166" s="454"/>
      <c r="C166" s="454"/>
      <c r="D166" s="450"/>
      <c r="E166" s="67"/>
      <c r="F166" s="67">
        <f>F165*1%</f>
        <v>0.55200000000000005</v>
      </c>
      <c r="G166" s="66"/>
      <c r="H166" s="298"/>
      <c r="I166" s="298"/>
    </row>
    <row r="167" spans="1:9">
      <c r="A167" s="493" t="s">
        <v>30</v>
      </c>
      <c r="B167" s="454"/>
      <c r="C167" s="454"/>
      <c r="D167" s="450"/>
      <c r="E167" s="71"/>
      <c r="F167" s="67">
        <f>F165+F166</f>
        <v>55.752000000000002</v>
      </c>
      <c r="G167" s="66"/>
      <c r="H167" s="298"/>
      <c r="I167" s="298"/>
    </row>
    <row r="168" spans="1:9">
      <c r="A168" s="493" t="s">
        <v>836</v>
      </c>
      <c r="B168" s="454"/>
      <c r="C168" s="454"/>
      <c r="D168" s="450"/>
      <c r="E168" s="67"/>
      <c r="F168" s="67">
        <f>F167*15%</f>
        <v>8.3628</v>
      </c>
      <c r="G168" s="66"/>
      <c r="H168" s="298"/>
      <c r="I168" s="298"/>
    </row>
    <row r="169" spans="1:9">
      <c r="A169" s="493" t="s">
        <v>30</v>
      </c>
      <c r="B169" s="454"/>
      <c r="C169" s="454"/>
      <c r="D169" s="450"/>
      <c r="E169" s="71"/>
      <c r="F169" s="191">
        <f>ROUND(F167+F168,2)</f>
        <v>64.11</v>
      </c>
      <c r="G169" s="66"/>
      <c r="H169" s="298"/>
      <c r="I169" s="298"/>
    </row>
    <row r="170" spans="1:9">
      <c r="A170" s="490" t="s">
        <v>819</v>
      </c>
      <c r="B170" s="454"/>
      <c r="C170" s="454"/>
      <c r="D170" s="454"/>
      <c r="E170" s="454"/>
      <c r="F170" s="450"/>
      <c r="G170" s="68" t="s">
        <v>820</v>
      </c>
      <c r="H170" s="298"/>
      <c r="I170" s="298"/>
    </row>
    <row r="171" spans="1:9">
      <c r="A171" s="491">
        <v>116</v>
      </c>
      <c r="B171" s="491"/>
      <c r="C171" s="484" t="s">
        <v>527</v>
      </c>
      <c r="D171" s="454"/>
      <c r="E171" s="450"/>
      <c r="F171" s="484"/>
      <c r="G171" s="450"/>
      <c r="H171" s="298"/>
      <c r="I171" s="298"/>
    </row>
    <row r="172" spans="1:9">
      <c r="A172" s="457"/>
      <c r="B172" s="457"/>
      <c r="C172" s="66" t="s">
        <v>26</v>
      </c>
      <c r="D172" s="67">
        <v>0.33</v>
      </c>
      <c r="E172" s="67">
        <v>784</v>
      </c>
      <c r="F172" s="67">
        <f>E172*D172</f>
        <v>258.72000000000003</v>
      </c>
      <c r="G172" s="66" t="s">
        <v>822</v>
      </c>
      <c r="H172" s="298"/>
      <c r="I172" s="298"/>
    </row>
    <row r="173" spans="1:9">
      <c r="A173" s="491">
        <v>117</v>
      </c>
      <c r="B173" s="491"/>
      <c r="C173" s="484" t="s">
        <v>858</v>
      </c>
      <c r="D173" s="454"/>
      <c r="E173" s="450"/>
      <c r="F173" s="484"/>
      <c r="G173" s="450"/>
      <c r="H173" s="298"/>
      <c r="I173" s="298"/>
    </row>
    <row r="174" spans="1:9">
      <c r="A174" s="457"/>
      <c r="B174" s="457"/>
      <c r="C174" s="66" t="s">
        <v>26</v>
      </c>
      <c r="D174" s="67">
        <v>0.98</v>
      </c>
      <c r="E174" s="67">
        <v>714</v>
      </c>
      <c r="F174" s="67">
        <f>E174*D174</f>
        <v>699.72</v>
      </c>
      <c r="G174" s="66" t="s">
        <v>825</v>
      </c>
      <c r="H174" s="298"/>
      <c r="I174" s="298"/>
    </row>
    <row r="175" spans="1:9">
      <c r="A175" s="491">
        <v>114</v>
      </c>
      <c r="B175" s="491"/>
      <c r="C175" s="484" t="s">
        <v>59</v>
      </c>
      <c r="D175" s="454"/>
      <c r="E175" s="450"/>
      <c r="F175" s="484"/>
      <c r="G175" s="450"/>
      <c r="H175" s="298"/>
      <c r="I175" s="298"/>
    </row>
    <row r="176" spans="1:9">
      <c r="A176" s="457"/>
      <c r="B176" s="457"/>
      <c r="C176" s="66" t="s">
        <v>26</v>
      </c>
      <c r="D176" s="67">
        <v>0.66</v>
      </c>
      <c r="E176" s="67">
        <v>645</v>
      </c>
      <c r="F176" s="67">
        <f>E176*D176</f>
        <v>425.70000000000005</v>
      </c>
      <c r="G176" s="66" t="s">
        <v>837</v>
      </c>
      <c r="H176" s="298"/>
      <c r="I176" s="298"/>
    </row>
    <row r="177" spans="1:9">
      <c r="A177" s="490" t="s">
        <v>847</v>
      </c>
      <c r="B177" s="454"/>
      <c r="C177" s="454"/>
      <c r="D177" s="454"/>
      <c r="E177" s="454"/>
      <c r="F177" s="450"/>
      <c r="G177" s="68" t="s">
        <v>820</v>
      </c>
      <c r="H177" s="298"/>
      <c r="I177" s="298"/>
    </row>
    <row r="178" spans="1:9">
      <c r="A178" s="491">
        <v>9999</v>
      </c>
      <c r="B178" s="491"/>
      <c r="C178" s="484" t="s">
        <v>1758</v>
      </c>
      <c r="D178" s="454"/>
      <c r="E178" s="450"/>
      <c r="F178" s="484"/>
      <c r="G178" s="450"/>
      <c r="H178" s="298"/>
      <c r="I178" s="298"/>
    </row>
    <row r="179" spans="1:9">
      <c r="A179" s="457"/>
      <c r="B179" s="457"/>
      <c r="C179" s="66" t="s">
        <v>62</v>
      </c>
      <c r="D179" s="67">
        <v>2.73</v>
      </c>
      <c r="E179" s="67">
        <v>2.12</v>
      </c>
      <c r="F179" s="67">
        <f>E179*D179</f>
        <v>5.7876000000000003</v>
      </c>
      <c r="G179" s="66" t="s">
        <v>851</v>
      </c>
      <c r="H179" s="298"/>
      <c r="I179" s="298"/>
    </row>
    <row r="180" spans="1:9">
      <c r="A180" s="492" t="s">
        <v>30</v>
      </c>
      <c r="B180" s="454"/>
      <c r="C180" s="450"/>
      <c r="D180" s="67">
        <v>10</v>
      </c>
      <c r="E180" s="70" t="s">
        <v>21</v>
      </c>
      <c r="F180" s="299">
        <f>F172+F174+F176+F179</f>
        <v>1389.9276000000002</v>
      </c>
      <c r="G180" s="71"/>
      <c r="H180" s="298"/>
      <c r="I180" s="298"/>
    </row>
    <row r="181" spans="1:9">
      <c r="A181" s="492" t="s">
        <v>826</v>
      </c>
      <c r="B181" s="454"/>
      <c r="C181" s="450"/>
      <c r="D181" s="67">
        <v>1</v>
      </c>
      <c r="E181" s="70" t="s">
        <v>21</v>
      </c>
      <c r="F181" s="67">
        <f>F180/D180</f>
        <v>138.99276000000003</v>
      </c>
      <c r="G181" s="71"/>
      <c r="H181" s="298"/>
      <c r="I181" s="298"/>
    </row>
    <row r="182" spans="1:9">
      <c r="A182" s="493" t="s">
        <v>829</v>
      </c>
      <c r="B182" s="454"/>
      <c r="C182" s="454"/>
      <c r="D182" s="450"/>
      <c r="E182" s="67"/>
      <c r="F182" s="67">
        <f>F181*1%</f>
        <v>1.3899276000000003</v>
      </c>
      <c r="G182" s="71"/>
      <c r="H182" s="298"/>
      <c r="I182" s="298"/>
    </row>
    <row r="183" spans="1:9">
      <c r="A183" s="493" t="s">
        <v>30</v>
      </c>
      <c r="B183" s="454"/>
      <c r="C183" s="454"/>
      <c r="D183" s="450"/>
      <c r="E183" s="71"/>
      <c r="F183" s="67">
        <f>F181+F182</f>
        <v>140.38268760000003</v>
      </c>
      <c r="G183" s="71"/>
      <c r="H183" s="298"/>
      <c r="I183" s="298"/>
    </row>
    <row r="184" spans="1:9">
      <c r="A184" s="493" t="s">
        <v>836</v>
      </c>
      <c r="B184" s="454"/>
      <c r="C184" s="454"/>
      <c r="D184" s="450"/>
      <c r="E184" s="67"/>
      <c r="F184" s="67">
        <f>F183*15%</f>
        <v>21.057403140000002</v>
      </c>
      <c r="G184" s="71"/>
      <c r="H184" s="298"/>
      <c r="I184" s="298"/>
    </row>
    <row r="185" spans="1:9">
      <c r="A185" s="493" t="s">
        <v>30</v>
      </c>
      <c r="B185" s="454"/>
      <c r="C185" s="454"/>
      <c r="D185" s="450"/>
      <c r="E185" s="71"/>
      <c r="F185" s="191">
        <f>ROUND(F183+F184,2)</f>
        <v>161.44</v>
      </c>
      <c r="G185" s="71"/>
      <c r="H185" s="298"/>
      <c r="I185" s="298"/>
    </row>
    <row r="186" spans="1:9">
      <c r="A186" s="616" t="str">
        <f>CONCATENATE("Say ₹ ",F169," + ",F185," x Cost Index")</f>
        <v>Say ₹ 64.11 + 161.44 x Cost Index</v>
      </c>
      <c r="B186" s="454"/>
      <c r="C186" s="454"/>
      <c r="D186" s="454"/>
      <c r="E186" s="454"/>
      <c r="F186" s="450"/>
      <c r="G186" s="300" t="s">
        <v>1000</v>
      </c>
      <c r="H186" s="301">
        <f>F163*1.01*1.15/10</f>
        <v>64.114799999999988</v>
      </c>
      <c r="I186" s="301">
        <f>(F172+F174+F176+F179)*1.01*1.15/10</f>
        <v>161.44009074000002</v>
      </c>
    </row>
    <row r="187" spans="1:9">
      <c r="A187" s="486" t="s">
        <v>771</v>
      </c>
      <c r="B187" s="486" t="s">
        <v>776</v>
      </c>
      <c r="C187" s="487" t="s">
        <v>4</v>
      </c>
      <c r="D187" s="454"/>
      <c r="E187" s="450"/>
      <c r="F187" s="487" t="s">
        <v>785</v>
      </c>
      <c r="G187" s="450"/>
      <c r="H187" s="298"/>
      <c r="I187" s="298"/>
    </row>
    <row r="188" spans="1:9">
      <c r="A188" s="457"/>
      <c r="B188" s="457"/>
      <c r="C188" s="62" t="s">
        <v>5</v>
      </c>
      <c r="D188" s="62" t="s">
        <v>6</v>
      </c>
      <c r="E188" s="62" t="s">
        <v>336</v>
      </c>
      <c r="F188" s="62" t="s">
        <v>8</v>
      </c>
      <c r="G188" s="62" t="s">
        <v>789</v>
      </c>
      <c r="H188" s="298"/>
      <c r="I188" s="298"/>
    </row>
    <row r="189" spans="1:9">
      <c r="A189" s="617" t="s">
        <v>1820</v>
      </c>
      <c r="B189" s="454"/>
      <c r="C189" s="454"/>
      <c r="D189" s="454"/>
      <c r="E189" s="454"/>
      <c r="F189" s="454"/>
      <c r="G189" s="450"/>
      <c r="H189" s="298"/>
      <c r="I189" s="298"/>
    </row>
    <row r="190" spans="1:9">
      <c r="A190" s="65"/>
      <c r="B190" s="66" t="s">
        <v>795</v>
      </c>
      <c r="C190" s="66" t="s">
        <v>21</v>
      </c>
      <c r="D190" s="66" t="s">
        <v>798</v>
      </c>
      <c r="E190" s="67">
        <v>10</v>
      </c>
      <c r="F190" s="484"/>
      <c r="G190" s="450"/>
      <c r="H190" s="298"/>
      <c r="I190" s="298"/>
    </row>
    <row r="191" spans="1:9">
      <c r="A191" s="66" t="s">
        <v>800</v>
      </c>
      <c r="B191" s="484" t="s">
        <v>512</v>
      </c>
      <c r="C191" s="454"/>
      <c r="D191" s="454"/>
      <c r="E191" s="454"/>
      <c r="F191" s="454"/>
      <c r="G191" s="450"/>
      <c r="H191" s="298"/>
      <c r="I191" s="298"/>
    </row>
    <row r="192" spans="1:9">
      <c r="A192" s="490" t="s">
        <v>802</v>
      </c>
      <c r="B192" s="454"/>
      <c r="C192" s="454"/>
      <c r="D192" s="454"/>
      <c r="E192" s="454"/>
      <c r="F192" s="450"/>
      <c r="G192" s="68" t="s">
        <v>803</v>
      </c>
      <c r="H192" s="298"/>
      <c r="I192" s="298"/>
    </row>
    <row r="193" spans="1:9">
      <c r="A193" s="491"/>
      <c r="B193" s="491" t="s">
        <v>1793</v>
      </c>
      <c r="C193" s="484" t="s">
        <v>1822</v>
      </c>
      <c r="D193" s="454"/>
      <c r="E193" s="450"/>
      <c r="F193" s="484"/>
      <c r="G193" s="450"/>
      <c r="H193" s="298"/>
      <c r="I193" s="298"/>
    </row>
    <row r="194" spans="1:9">
      <c r="A194" s="457"/>
      <c r="B194" s="457"/>
      <c r="C194" s="66" t="s">
        <v>21</v>
      </c>
      <c r="D194" s="67">
        <v>11.5</v>
      </c>
      <c r="E194" s="67">
        <v>65</v>
      </c>
      <c r="F194" s="67">
        <f>E194*D194</f>
        <v>747.5</v>
      </c>
      <c r="G194" s="66" t="s">
        <v>808</v>
      </c>
      <c r="H194" s="298"/>
      <c r="I194" s="298"/>
    </row>
    <row r="195" spans="1:9">
      <c r="A195" s="492" t="s">
        <v>30</v>
      </c>
      <c r="B195" s="454"/>
      <c r="C195" s="450"/>
      <c r="D195" s="67">
        <v>10</v>
      </c>
      <c r="E195" s="70" t="s">
        <v>21</v>
      </c>
      <c r="F195" s="67">
        <f>F194</f>
        <v>747.5</v>
      </c>
      <c r="G195" s="66"/>
      <c r="H195" s="298"/>
      <c r="I195" s="298"/>
    </row>
    <row r="196" spans="1:9">
      <c r="A196" s="492" t="s">
        <v>826</v>
      </c>
      <c r="B196" s="454"/>
      <c r="C196" s="450"/>
      <c r="D196" s="67">
        <v>1</v>
      </c>
      <c r="E196" s="70" t="s">
        <v>21</v>
      </c>
      <c r="F196" s="67">
        <f>F195/D195</f>
        <v>74.75</v>
      </c>
      <c r="G196" s="66"/>
      <c r="H196" s="298"/>
      <c r="I196" s="298"/>
    </row>
    <row r="197" spans="1:9">
      <c r="A197" s="493" t="s">
        <v>829</v>
      </c>
      <c r="B197" s="454"/>
      <c r="C197" s="454"/>
      <c r="D197" s="450"/>
      <c r="E197" s="67"/>
      <c r="F197" s="67">
        <f>F196*1%</f>
        <v>0.74750000000000005</v>
      </c>
      <c r="G197" s="66"/>
      <c r="H197" s="298"/>
      <c r="I197" s="298"/>
    </row>
    <row r="198" spans="1:9">
      <c r="A198" s="493" t="s">
        <v>30</v>
      </c>
      <c r="B198" s="454"/>
      <c r="C198" s="454"/>
      <c r="D198" s="450"/>
      <c r="E198" s="71"/>
      <c r="F198" s="67">
        <f>F196+F197</f>
        <v>75.497500000000002</v>
      </c>
      <c r="G198" s="66"/>
      <c r="H198" s="298"/>
      <c r="I198" s="298"/>
    </row>
    <row r="199" spans="1:9">
      <c r="A199" s="493" t="s">
        <v>836</v>
      </c>
      <c r="B199" s="454"/>
      <c r="C199" s="454"/>
      <c r="D199" s="450"/>
      <c r="E199" s="67"/>
      <c r="F199" s="67">
        <f>F198*15%</f>
        <v>11.324624999999999</v>
      </c>
      <c r="G199" s="66"/>
      <c r="H199" s="298"/>
      <c r="I199" s="298"/>
    </row>
    <row r="200" spans="1:9">
      <c r="A200" s="493" t="s">
        <v>30</v>
      </c>
      <c r="B200" s="454"/>
      <c r="C200" s="454"/>
      <c r="D200" s="450"/>
      <c r="E200" s="71"/>
      <c r="F200" s="191">
        <f>ROUND(F198+F199,2)</f>
        <v>86.82</v>
      </c>
      <c r="G200" s="66"/>
      <c r="H200" s="298"/>
      <c r="I200" s="298"/>
    </row>
    <row r="201" spans="1:9">
      <c r="A201" s="490" t="s">
        <v>819</v>
      </c>
      <c r="B201" s="454"/>
      <c r="C201" s="454"/>
      <c r="D201" s="454"/>
      <c r="E201" s="454"/>
      <c r="F201" s="450"/>
      <c r="G201" s="68" t="s">
        <v>820</v>
      </c>
      <c r="H201" s="298"/>
      <c r="I201" s="298"/>
    </row>
    <row r="202" spans="1:9">
      <c r="A202" s="491">
        <v>116</v>
      </c>
      <c r="B202" s="491"/>
      <c r="C202" s="484" t="s">
        <v>527</v>
      </c>
      <c r="D202" s="454"/>
      <c r="E202" s="450"/>
      <c r="F202" s="484"/>
      <c r="G202" s="450"/>
      <c r="H202" s="298"/>
      <c r="I202" s="298"/>
    </row>
    <row r="203" spans="1:9">
      <c r="A203" s="457"/>
      <c r="B203" s="457"/>
      <c r="C203" s="66" t="s">
        <v>26</v>
      </c>
      <c r="D203" s="67">
        <v>0.33</v>
      </c>
      <c r="E203" s="67">
        <v>784</v>
      </c>
      <c r="F203" s="67">
        <f>E203*D203</f>
        <v>258.72000000000003</v>
      </c>
      <c r="G203" s="66" t="s">
        <v>822</v>
      </c>
      <c r="H203" s="298"/>
      <c r="I203" s="298"/>
    </row>
    <row r="204" spans="1:9">
      <c r="A204" s="491">
        <v>117</v>
      </c>
      <c r="B204" s="491"/>
      <c r="C204" s="484" t="s">
        <v>858</v>
      </c>
      <c r="D204" s="454"/>
      <c r="E204" s="450"/>
      <c r="F204" s="484"/>
      <c r="G204" s="450"/>
      <c r="H204" s="298"/>
      <c r="I204" s="298"/>
    </row>
    <row r="205" spans="1:9">
      <c r="A205" s="457"/>
      <c r="B205" s="457"/>
      <c r="C205" s="66" t="s">
        <v>26</v>
      </c>
      <c r="D205" s="67">
        <v>0.98</v>
      </c>
      <c r="E205" s="67">
        <v>714</v>
      </c>
      <c r="F205" s="67">
        <f>E205*D205</f>
        <v>699.72</v>
      </c>
      <c r="G205" s="66" t="s">
        <v>825</v>
      </c>
      <c r="H205" s="298"/>
      <c r="I205" s="298"/>
    </row>
    <row r="206" spans="1:9">
      <c r="A206" s="491">
        <v>114</v>
      </c>
      <c r="B206" s="491"/>
      <c r="C206" s="484" t="s">
        <v>59</v>
      </c>
      <c r="D206" s="454"/>
      <c r="E206" s="450"/>
      <c r="F206" s="484"/>
      <c r="G206" s="450"/>
      <c r="H206" s="298"/>
      <c r="I206" s="298"/>
    </row>
    <row r="207" spans="1:9">
      <c r="A207" s="457"/>
      <c r="B207" s="457"/>
      <c r="C207" s="66" t="s">
        <v>26</v>
      </c>
      <c r="D207" s="67">
        <v>0.98</v>
      </c>
      <c r="E207" s="67">
        <v>645</v>
      </c>
      <c r="F207" s="67">
        <f>E207*D207</f>
        <v>632.1</v>
      </c>
      <c r="G207" s="66" t="s">
        <v>837</v>
      </c>
      <c r="H207" s="298"/>
      <c r="I207" s="298"/>
    </row>
    <row r="208" spans="1:9">
      <c r="A208" s="490" t="s">
        <v>847</v>
      </c>
      <c r="B208" s="454"/>
      <c r="C208" s="454"/>
      <c r="D208" s="454"/>
      <c r="E208" s="454"/>
      <c r="F208" s="450"/>
      <c r="G208" s="68" t="s">
        <v>820</v>
      </c>
      <c r="H208" s="298"/>
      <c r="I208" s="298"/>
    </row>
    <row r="209" spans="1:9">
      <c r="A209" s="491">
        <v>9999</v>
      </c>
      <c r="B209" s="491"/>
      <c r="C209" s="484" t="s">
        <v>1758</v>
      </c>
      <c r="D209" s="454"/>
      <c r="E209" s="450"/>
      <c r="F209" s="484"/>
      <c r="G209" s="450"/>
      <c r="H209" s="298"/>
      <c r="I209" s="298"/>
    </row>
    <row r="210" spans="1:9">
      <c r="A210" s="457"/>
      <c r="B210" s="457"/>
      <c r="C210" s="66" t="s">
        <v>62</v>
      </c>
      <c r="D210" s="67">
        <v>4.16</v>
      </c>
      <c r="E210" s="67">
        <v>2.12</v>
      </c>
      <c r="F210" s="67">
        <f>E210*D210</f>
        <v>8.8192000000000004</v>
      </c>
      <c r="G210" s="66" t="s">
        <v>851</v>
      </c>
      <c r="H210" s="298"/>
      <c r="I210" s="298"/>
    </row>
    <row r="211" spans="1:9">
      <c r="A211" s="492" t="s">
        <v>30</v>
      </c>
      <c r="B211" s="454"/>
      <c r="C211" s="450"/>
      <c r="D211" s="67">
        <v>10</v>
      </c>
      <c r="E211" s="70" t="s">
        <v>21</v>
      </c>
      <c r="F211" s="299">
        <f>F203+F205+F207+F210</f>
        <v>1599.3591999999999</v>
      </c>
      <c r="G211" s="71"/>
      <c r="H211" s="298"/>
      <c r="I211" s="298"/>
    </row>
    <row r="212" spans="1:9">
      <c r="A212" s="492" t="s">
        <v>826</v>
      </c>
      <c r="B212" s="454"/>
      <c r="C212" s="450"/>
      <c r="D212" s="67">
        <v>1</v>
      </c>
      <c r="E212" s="70" t="s">
        <v>21</v>
      </c>
      <c r="F212" s="67">
        <f>F211/D211</f>
        <v>159.93591999999998</v>
      </c>
      <c r="G212" s="71"/>
      <c r="H212" s="298"/>
      <c r="I212" s="298"/>
    </row>
    <row r="213" spans="1:9">
      <c r="A213" s="493" t="s">
        <v>829</v>
      </c>
      <c r="B213" s="454"/>
      <c r="C213" s="454"/>
      <c r="D213" s="450"/>
      <c r="E213" s="67"/>
      <c r="F213" s="67">
        <f>F212*1%</f>
        <v>1.5993591999999999</v>
      </c>
      <c r="G213" s="71"/>
      <c r="H213" s="298"/>
      <c r="I213" s="298"/>
    </row>
    <row r="214" spans="1:9">
      <c r="A214" s="493" t="s">
        <v>30</v>
      </c>
      <c r="B214" s="454"/>
      <c r="C214" s="454"/>
      <c r="D214" s="450"/>
      <c r="E214" s="71"/>
      <c r="F214" s="67">
        <f>F212+F213</f>
        <v>161.53527919999999</v>
      </c>
      <c r="G214" s="71"/>
      <c r="H214" s="298"/>
      <c r="I214" s="298"/>
    </row>
    <row r="215" spans="1:9">
      <c r="A215" s="493" t="s">
        <v>836</v>
      </c>
      <c r="B215" s="454"/>
      <c r="C215" s="454"/>
      <c r="D215" s="450"/>
      <c r="E215" s="67"/>
      <c r="F215" s="67">
        <f>F214*15%</f>
        <v>24.230291879999999</v>
      </c>
      <c r="G215" s="71"/>
      <c r="H215" s="298"/>
      <c r="I215" s="298"/>
    </row>
    <row r="216" spans="1:9">
      <c r="A216" s="493" t="s">
        <v>30</v>
      </c>
      <c r="B216" s="454"/>
      <c r="C216" s="454"/>
      <c r="D216" s="450"/>
      <c r="E216" s="71"/>
      <c r="F216" s="191">
        <f>ROUND(F214+F215,2)</f>
        <v>185.77</v>
      </c>
      <c r="G216" s="71"/>
      <c r="H216" s="298"/>
      <c r="I216" s="298"/>
    </row>
    <row r="217" spans="1:9">
      <c r="A217" s="616" t="str">
        <f>CONCATENATE("Say ₹ ",F200," + ",F216," x Cost Index")</f>
        <v>Say ₹ 86.82 + 185.77 x Cost Index</v>
      </c>
      <c r="B217" s="454"/>
      <c r="C217" s="454"/>
      <c r="D217" s="454"/>
      <c r="E217" s="454"/>
      <c r="F217" s="450"/>
      <c r="G217" s="300" t="s">
        <v>1000</v>
      </c>
      <c r="H217" s="301">
        <f>F194*1.01*1.15/10</f>
        <v>86.822125</v>
      </c>
      <c r="I217" s="301">
        <f>(F203+F205+F207+F210)*1.01*1.15/10</f>
        <v>185.76557107999997</v>
      </c>
    </row>
    <row r="218" spans="1:9">
      <c r="A218" s="486" t="s">
        <v>771</v>
      </c>
      <c r="B218" s="486" t="s">
        <v>776</v>
      </c>
      <c r="C218" s="487" t="s">
        <v>4</v>
      </c>
      <c r="D218" s="454"/>
      <c r="E218" s="450"/>
      <c r="F218" s="487" t="s">
        <v>785</v>
      </c>
      <c r="G218" s="450"/>
      <c r="H218" s="298"/>
      <c r="I218" s="298"/>
    </row>
    <row r="219" spans="1:9">
      <c r="A219" s="457"/>
      <c r="B219" s="457"/>
      <c r="C219" s="62" t="s">
        <v>5</v>
      </c>
      <c r="D219" s="62" t="s">
        <v>6</v>
      </c>
      <c r="E219" s="62" t="s">
        <v>336</v>
      </c>
      <c r="F219" s="62" t="s">
        <v>8</v>
      </c>
      <c r="G219" s="62" t="s">
        <v>789</v>
      </c>
      <c r="H219" s="298"/>
      <c r="I219" s="298"/>
    </row>
    <row r="220" spans="1:9">
      <c r="A220" s="617" t="s">
        <v>1840</v>
      </c>
      <c r="B220" s="454"/>
      <c r="C220" s="454"/>
      <c r="D220" s="454"/>
      <c r="E220" s="454"/>
      <c r="F220" s="454"/>
      <c r="G220" s="450"/>
      <c r="H220" s="298"/>
      <c r="I220" s="298"/>
    </row>
    <row r="221" spans="1:9">
      <c r="A221" s="65"/>
      <c r="B221" s="66" t="s">
        <v>795</v>
      </c>
      <c r="C221" s="66" t="s">
        <v>21</v>
      </c>
      <c r="D221" s="66" t="s">
        <v>798</v>
      </c>
      <c r="E221" s="67">
        <v>10</v>
      </c>
      <c r="F221" s="484"/>
      <c r="G221" s="450"/>
      <c r="H221" s="298"/>
      <c r="I221" s="298"/>
    </row>
    <row r="222" spans="1:9">
      <c r="A222" s="66" t="s">
        <v>800</v>
      </c>
      <c r="B222" s="484" t="s">
        <v>1829</v>
      </c>
      <c r="C222" s="454"/>
      <c r="D222" s="454"/>
      <c r="E222" s="454"/>
      <c r="F222" s="454"/>
      <c r="G222" s="450"/>
      <c r="H222" s="298"/>
      <c r="I222" s="298"/>
    </row>
    <row r="223" spans="1:9">
      <c r="A223" s="490" t="s">
        <v>802</v>
      </c>
      <c r="B223" s="454"/>
      <c r="C223" s="454"/>
      <c r="D223" s="454"/>
      <c r="E223" s="454"/>
      <c r="F223" s="450"/>
      <c r="G223" s="68" t="s">
        <v>803</v>
      </c>
      <c r="H223" s="298"/>
      <c r="I223" s="298"/>
    </row>
    <row r="224" spans="1:9">
      <c r="A224" s="491"/>
      <c r="B224" s="491" t="s">
        <v>1823</v>
      </c>
      <c r="C224" s="484" t="s">
        <v>1842</v>
      </c>
      <c r="D224" s="454"/>
      <c r="E224" s="450"/>
      <c r="F224" s="484"/>
      <c r="G224" s="450"/>
      <c r="H224" s="298"/>
      <c r="I224" s="298"/>
    </row>
    <row r="225" spans="1:9">
      <c r="A225" s="457"/>
      <c r="B225" s="457"/>
      <c r="C225" s="66" t="s">
        <v>21</v>
      </c>
      <c r="D225" s="67">
        <v>11.5</v>
      </c>
      <c r="E225" s="67">
        <v>84</v>
      </c>
      <c r="F225" s="67">
        <f>E225*D225</f>
        <v>966</v>
      </c>
      <c r="G225" s="66" t="s">
        <v>808</v>
      </c>
      <c r="H225" s="298"/>
      <c r="I225" s="298"/>
    </row>
    <row r="226" spans="1:9">
      <c r="A226" s="492" t="s">
        <v>30</v>
      </c>
      <c r="B226" s="454"/>
      <c r="C226" s="450"/>
      <c r="D226" s="67">
        <v>10</v>
      </c>
      <c r="E226" s="70" t="s">
        <v>21</v>
      </c>
      <c r="F226" s="67">
        <f>F225</f>
        <v>966</v>
      </c>
      <c r="G226" s="66"/>
      <c r="H226" s="298"/>
      <c r="I226" s="298"/>
    </row>
    <row r="227" spans="1:9">
      <c r="A227" s="492" t="s">
        <v>826</v>
      </c>
      <c r="B227" s="454"/>
      <c r="C227" s="450"/>
      <c r="D227" s="67">
        <v>1</v>
      </c>
      <c r="E227" s="70" t="s">
        <v>21</v>
      </c>
      <c r="F227" s="67">
        <f>F226/D226</f>
        <v>96.6</v>
      </c>
      <c r="G227" s="66"/>
      <c r="H227" s="298"/>
      <c r="I227" s="298"/>
    </row>
    <row r="228" spans="1:9">
      <c r="A228" s="493" t="s">
        <v>829</v>
      </c>
      <c r="B228" s="454"/>
      <c r="C228" s="454"/>
      <c r="D228" s="450"/>
      <c r="E228" s="67"/>
      <c r="F228" s="67">
        <f>F227*1%</f>
        <v>0.96599999999999997</v>
      </c>
      <c r="G228" s="66"/>
      <c r="H228" s="298"/>
      <c r="I228" s="298"/>
    </row>
    <row r="229" spans="1:9">
      <c r="A229" s="493" t="s">
        <v>30</v>
      </c>
      <c r="B229" s="454"/>
      <c r="C229" s="454"/>
      <c r="D229" s="450"/>
      <c r="E229" s="71"/>
      <c r="F229" s="67">
        <f>F227+F228</f>
        <v>97.565999999999988</v>
      </c>
      <c r="G229" s="66"/>
      <c r="H229" s="298"/>
      <c r="I229" s="298"/>
    </row>
    <row r="230" spans="1:9">
      <c r="A230" s="493" t="s">
        <v>836</v>
      </c>
      <c r="B230" s="454"/>
      <c r="C230" s="454"/>
      <c r="D230" s="450"/>
      <c r="E230" s="67"/>
      <c r="F230" s="67">
        <f>F229*15%</f>
        <v>14.634899999999998</v>
      </c>
      <c r="G230" s="66"/>
      <c r="H230" s="298"/>
      <c r="I230" s="298"/>
    </row>
    <row r="231" spans="1:9">
      <c r="A231" s="493" t="s">
        <v>30</v>
      </c>
      <c r="B231" s="454"/>
      <c r="C231" s="454"/>
      <c r="D231" s="450"/>
      <c r="E231" s="71"/>
      <c r="F231" s="191">
        <f>ROUND(F229+F230,2)</f>
        <v>112.2</v>
      </c>
      <c r="G231" s="66"/>
      <c r="H231" s="298"/>
      <c r="I231" s="298"/>
    </row>
    <row r="232" spans="1:9">
      <c r="A232" s="490" t="s">
        <v>819</v>
      </c>
      <c r="B232" s="454"/>
      <c r="C232" s="454"/>
      <c r="D232" s="454"/>
      <c r="E232" s="454"/>
      <c r="F232" s="450"/>
      <c r="G232" s="68" t="s">
        <v>820</v>
      </c>
      <c r="H232" s="298"/>
      <c r="I232" s="298"/>
    </row>
    <row r="233" spans="1:9">
      <c r="A233" s="491">
        <v>116</v>
      </c>
      <c r="B233" s="491"/>
      <c r="C233" s="484" t="s">
        <v>527</v>
      </c>
      <c r="D233" s="454"/>
      <c r="E233" s="450"/>
      <c r="F233" s="484"/>
      <c r="G233" s="450"/>
      <c r="H233" s="298"/>
      <c r="I233" s="298"/>
    </row>
    <row r="234" spans="1:9">
      <c r="A234" s="457"/>
      <c r="B234" s="457"/>
      <c r="C234" s="66" t="s">
        <v>26</v>
      </c>
      <c r="D234" s="67">
        <v>0.33</v>
      </c>
      <c r="E234" s="67">
        <v>784</v>
      </c>
      <c r="F234" s="67">
        <f>E234*D234</f>
        <v>258.72000000000003</v>
      </c>
      <c r="G234" s="66" t="s">
        <v>822</v>
      </c>
      <c r="H234" s="298"/>
      <c r="I234" s="298"/>
    </row>
    <row r="235" spans="1:9">
      <c r="A235" s="491">
        <v>117</v>
      </c>
      <c r="B235" s="491"/>
      <c r="C235" s="484" t="s">
        <v>858</v>
      </c>
      <c r="D235" s="454"/>
      <c r="E235" s="450"/>
      <c r="F235" s="484"/>
      <c r="G235" s="450"/>
      <c r="H235" s="298"/>
      <c r="I235" s="298"/>
    </row>
    <row r="236" spans="1:9">
      <c r="A236" s="457"/>
      <c r="B236" s="457"/>
      <c r="C236" s="66" t="s">
        <v>26</v>
      </c>
      <c r="D236" s="67">
        <v>1.31</v>
      </c>
      <c r="E236" s="67">
        <v>714</v>
      </c>
      <c r="F236" s="67">
        <f>E236*D236</f>
        <v>935.34</v>
      </c>
      <c r="G236" s="66" t="s">
        <v>825</v>
      </c>
      <c r="H236" s="298"/>
      <c r="I236" s="298"/>
    </row>
    <row r="237" spans="1:9">
      <c r="A237" s="491">
        <v>114</v>
      </c>
      <c r="B237" s="491"/>
      <c r="C237" s="484" t="s">
        <v>59</v>
      </c>
      <c r="D237" s="454"/>
      <c r="E237" s="450"/>
      <c r="F237" s="484"/>
      <c r="G237" s="450"/>
      <c r="H237" s="298"/>
      <c r="I237" s="298"/>
    </row>
    <row r="238" spans="1:9">
      <c r="A238" s="457"/>
      <c r="B238" s="457"/>
      <c r="C238" s="66" t="s">
        <v>26</v>
      </c>
      <c r="D238" s="67">
        <v>1.31</v>
      </c>
      <c r="E238" s="67">
        <v>645</v>
      </c>
      <c r="F238" s="67">
        <f>E238*D238</f>
        <v>844.95</v>
      </c>
      <c r="G238" s="66" t="s">
        <v>837</v>
      </c>
      <c r="H238" s="298"/>
      <c r="I238" s="298"/>
    </row>
    <row r="239" spans="1:9">
      <c r="A239" s="490" t="s">
        <v>847</v>
      </c>
      <c r="B239" s="454"/>
      <c r="C239" s="454"/>
      <c r="D239" s="454"/>
      <c r="E239" s="454"/>
      <c r="F239" s="450"/>
      <c r="G239" s="68" t="s">
        <v>820</v>
      </c>
      <c r="H239" s="298"/>
      <c r="I239" s="298"/>
    </row>
    <row r="240" spans="1:9">
      <c r="A240" s="491">
        <v>9999</v>
      </c>
      <c r="B240" s="491"/>
      <c r="C240" s="484" t="s">
        <v>1758</v>
      </c>
      <c r="D240" s="454"/>
      <c r="E240" s="450"/>
      <c r="F240" s="484"/>
      <c r="G240" s="450"/>
      <c r="H240" s="298"/>
      <c r="I240" s="298"/>
    </row>
    <row r="241" spans="1:9">
      <c r="A241" s="457"/>
      <c r="B241" s="457"/>
      <c r="C241" s="66" t="s">
        <v>62</v>
      </c>
      <c r="D241" s="67">
        <v>5.33</v>
      </c>
      <c r="E241" s="67">
        <v>2.12</v>
      </c>
      <c r="F241" s="67">
        <f>E241*D241</f>
        <v>11.2996</v>
      </c>
      <c r="G241" s="66" t="s">
        <v>851</v>
      </c>
      <c r="H241" s="298"/>
      <c r="I241" s="298"/>
    </row>
    <row r="242" spans="1:9">
      <c r="A242" s="492" t="s">
        <v>30</v>
      </c>
      <c r="B242" s="454"/>
      <c r="C242" s="450"/>
      <c r="D242" s="67">
        <v>10</v>
      </c>
      <c r="E242" s="70" t="s">
        <v>21</v>
      </c>
      <c r="F242" s="299">
        <f>F234+F236+F238+F241</f>
        <v>2050.3096</v>
      </c>
      <c r="G242" s="71"/>
      <c r="H242" s="298"/>
      <c r="I242" s="298"/>
    </row>
    <row r="243" spans="1:9">
      <c r="A243" s="492" t="s">
        <v>826</v>
      </c>
      <c r="B243" s="454"/>
      <c r="C243" s="450"/>
      <c r="D243" s="67">
        <v>1</v>
      </c>
      <c r="E243" s="70" t="s">
        <v>21</v>
      </c>
      <c r="F243" s="67">
        <f>F242/D242</f>
        <v>205.03095999999999</v>
      </c>
      <c r="G243" s="71"/>
      <c r="H243" s="298"/>
      <c r="I243" s="298"/>
    </row>
    <row r="244" spans="1:9">
      <c r="A244" s="493" t="s">
        <v>829</v>
      </c>
      <c r="B244" s="454"/>
      <c r="C244" s="454"/>
      <c r="D244" s="450"/>
      <c r="E244" s="67"/>
      <c r="F244" s="67">
        <f>F243*1%</f>
        <v>2.0503095999999998</v>
      </c>
      <c r="G244" s="71"/>
      <c r="H244" s="298"/>
      <c r="I244" s="298"/>
    </row>
    <row r="245" spans="1:9">
      <c r="A245" s="493" t="s">
        <v>30</v>
      </c>
      <c r="B245" s="454"/>
      <c r="C245" s="454"/>
      <c r="D245" s="450"/>
      <c r="E245" s="71"/>
      <c r="F245" s="67">
        <f>F243+F244</f>
        <v>207.08126959999998</v>
      </c>
      <c r="G245" s="71"/>
      <c r="H245" s="298"/>
      <c r="I245" s="298"/>
    </row>
    <row r="246" spans="1:9">
      <c r="A246" s="493" t="s">
        <v>836</v>
      </c>
      <c r="B246" s="454"/>
      <c r="C246" s="454"/>
      <c r="D246" s="450"/>
      <c r="E246" s="67"/>
      <c r="F246" s="67">
        <f>F245*15%</f>
        <v>31.062190439999995</v>
      </c>
      <c r="G246" s="71"/>
      <c r="H246" s="298"/>
      <c r="I246" s="298"/>
    </row>
    <row r="247" spans="1:9">
      <c r="A247" s="493" t="s">
        <v>30</v>
      </c>
      <c r="B247" s="454"/>
      <c r="C247" s="454"/>
      <c r="D247" s="450"/>
      <c r="E247" s="71"/>
      <c r="F247" s="191">
        <f>ROUND(F245+F246,2)</f>
        <v>238.14</v>
      </c>
      <c r="G247" s="71"/>
      <c r="H247" s="298"/>
      <c r="I247" s="298"/>
    </row>
    <row r="248" spans="1:9">
      <c r="A248" s="616" t="str">
        <f>CONCATENATE("Say ₹ ",F231," + ",F247," x Cost Index")</f>
        <v>Say ₹ 112.2 + 238.14 x Cost Index</v>
      </c>
      <c r="B248" s="454"/>
      <c r="C248" s="454"/>
      <c r="D248" s="454"/>
      <c r="E248" s="454"/>
      <c r="F248" s="450"/>
      <c r="G248" s="300" t="s">
        <v>1000</v>
      </c>
      <c r="H248" s="301">
        <f>F225*1.01*1.15/10</f>
        <v>112.20089999999998</v>
      </c>
      <c r="I248" s="301">
        <f>(F234+F236+F238+F241)*1.01*1.15/10</f>
        <v>238.14346003999998</v>
      </c>
    </row>
    <row r="249" spans="1:9">
      <c r="A249" s="486" t="s">
        <v>771</v>
      </c>
      <c r="B249" s="486" t="s">
        <v>776</v>
      </c>
      <c r="C249" s="487" t="s">
        <v>4</v>
      </c>
      <c r="D249" s="454"/>
      <c r="E249" s="450"/>
      <c r="F249" s="487" t="s">
        <v>785</v>
      </c>
      <c r="G249" s="450"/>
      <c r="H249" s="298"/>
      <c r="I249" s="298"/>
    </row>
    <row r="250" spans="1:9">
      <c r="A250" s="457"/>
      <c r="B250" s="457"/>
      <c r="C250" s="62" t="s">
        <v>5</v>
      </c>
      <c r="D250" s="62" t="s">
        <v>6</v>
      </c>
      <c r="E250" s="62" t="s">
        <v>336</v>
      </c>
      <c r="F250" s="62" t="s">
        <v>8</v>
      </c>
      <c r="G250" s="62" t="s">
        <v>789</v>
      </c>
      <c r="H250" s="298"/>
      <c r="I250" s="298"/>
    </row>
    <row r="251" spans="1:9">
      <c r="A251" s="617" t="s">
        <v>1856</v>
      </c>
      <c r="B251" s="454"/>
      <c r="C251" s="454"/>
      <c r="D251" s="454"/>
      <c r="E251" s="454"/>
      <c r="F251" s="454"/>
      <c r="G251" s="450"/>
      <c r="H251" s="298"/>
      <c r="I251" s="298"/>
    </row>
    <row r="252" spans="1:9">
      <c r="A252" s="65"/>
      <c r="B252" s="66" t="s">
        <v>795</v>
      </c>
      <c r="C252" s="66" t="s">
        <v>21</v>
      </c>
      <c r="D252" s="66" t="s">
        <v>798</v>
      </c>
      <c r="E252" s="67">
        <v>10</v>
      </c>
      <c r="F252" s="484"/>
      <c r="G252" s="450"/>
      <c r="H252" s="298"/>
      <c r="I252" s="298"/>
    </row>
    <row r="253" spans="1:9">
      <c r="A253" s="66" t="s">
        <v>800</v>
      </c>
      <c r="B253" s="484" t="s">
        <v>512</v>
      </c>
      <c r="C253" s="454"/>
      <c r="D253" s="454"/>
      <c r="E253" s="454"/>
      <c r="F253" s="454"/>
      <c r="G253" s="450"/>
      <c r="H253" s="298"/>
      <c r="I253" s="298"/>
    </row>
    <row r="254" spans="1:9">
      <c r="A254" s="490" t="s">
        <v>802</v>
      </c>
      <c r="B254" s="454"/>
      <c r="C254" s="454"/>
      <c r="D254" s="454"/>
      <c r="E254" s="454"/>
      <c r="F254" s="450"/>
      <c r="G254" s="68" t="s">
        <v>803</v>
      </c>
      <c r="H254" s="298"/>
      <c r="I254" s="298"/>
    </row>
    <row r="255" spans="1:9">
      <c r="A255" s="491"/>
      <c r="B255" s="491" t="s">
        <v>1816</v>
      </c>
      <c r="C255" s="484" t="s">
        <v>1858</v>
      </c>
      <c r="D255" s="454"/>
      <c r="E255" s="450"/>
      <c r="F255" s="484"/>
      <c r="G255" s="450"/>
      <c r="H255" s="298"/>
      <c r="I255" s="298"/>
    </row>
    <row r="256" spans="1:9">
      <c r="A256" s="457"/>
      <c r="B256" s="457"/>
      <c r="C256" s="66" t="s">
        <v>21</v>
      </c>
      <c r="D256" s="67">
        <v>11.5</v>
      </c>
      <c r="E256" s="67">
        <v>53</v>
      </c>
      <c r="F256" s="67">
        <f>E256*D256</f>
        <v>609.5</v>
      </c>
      <c r="G256" s="66" t="s">
        <v>808</v>
      </c>
      <c r="H256" s="298"/>
      <c r="I256" s="298"/>
    </row>
    <row r="257" spans="1:9">
      <c r="A257" s="492" t="s">
        <v>30</v>
      </c>
      <c r="B257" s="454"/>
      <c r="C257" s="450"/>
      <c r="D257" s="67">
        <v>10</v>
      </c>
      <c r="E257" s="70" t="s">
        <v>21</v>
      </c>
      <c r="F257" s="67">
        <f>F256</f>
        <v>609.5</v>
      </c>
      <c r="G257" s="66"/>
      <c r="H257" s="298"/>
      <c r="I257" s="298"/>
    </row>
    <row r="258" spans="1:9">
      <c r="A258" s="492" t="s">
        <v>826</v>
      </c>
      <c r="B258" s="454"/>
      <c r="C258" s="450"/>
      <c r="D258" s="67">
        <v>1</v>
      </c>
      <c r="E258" s="70" t="s">
        <v>21</v>
      </c>
      <c r="F258" s="67">
        <f>F257/D257</f>
        <v>60.95</v>
      </c>
      <c r="G258" s="66"/>
      <c r="H258" s="298"/>
      <c r="I258" s="298"/>
    </row>
    <row r="259" spans="1:9">
      <c r="A259" s="493" t="s">
        <v>829</v>
      </c>
      <c r="B259" s="454"/>
      <c r="C259" s="454"/>
      <c r="D259" s="450"/>
      <c r="E259" s="67"/>
      <c r="F259" s="67">
        <f>F258*1%</f>
        <v>0.60950000000000004</v>
      </c>
      <c r="G259" s="66"/>
      <c r="H259" s="298"/>
      <c r="I259" s="298"/>
    </row>
    <row r="260" spans="1:9">
      <c r="A260" s="493" t="s">
        <v>30</v>
      </c>
      <c r="B260" s="454"/>
      <c r="C260" s="454"/>
      <c r="D260" s="450"/>
      <c r="E260" s="71"/>
      <c r="F260" s="67">
        <f>F258+F259</f>
        <v>61.5595</v>
      </c>
      <c r="G260" s="66"/>
      <c r="H260" s="298"/>
      <c r="I260" s="298"/>
    </row>
    <row r="261" spans="1:9">
      <c r="A261" s="493" t="s">
        <v>836</v>
      </c>
      <c r="B261" s="454"/>
      <c r="C261" s="454"/>
      <c r="D261" s="450"/>
      <c r="E261" s="67"/>
      <c r="F261" s="67">
        <f>F260*15%</f>
        <v>9.2339249999999993</v>
      </c>
      <c r="G261" s="66"/>
      <c r="H261" s="298"/>
      <c r="I261" s="298"/>
    </row>
    <row r="262" spans="1:9">
      <c r="A262" s="493" t="s">
        <v>30</v>
      </c>
      <c r="B262" s="454"/>
      <c r="C262" s="454"/>
      <c r="D262" s="450"/>
      <c r="E262" s="71"/>
      <c r="F262" s="191">
        <f>ROUND(F260+F261,2)</f>
        <v>70.790000000000006</v>
      </c>
      <c r="G262" s="66"/>
      <c r="H262" s="298"/>
      <c r="I262" s="298"/>
    </row>
    <row r="263" spans="1:9">
      <c r="A263" s="490" t="s">
        <v>819</v>
      </c>
      <c r="B263" s="454"/>
      <c r="C263" s="454"/>
      <c r="D263" s="454"/>
      <c r="E263" s="454"/>
      <c r="F263" s="450"/>
      <c r="G263" s="68" t="s">
        <v>820</v>
      </c>
      <c r="H263" s="298"/>
      <c r="I263" s="298"/>
    </row>
    <row r="264" spans="1:9">
      <c r="A264" s="491">
        <v>116</v>
      </c>
      <c r="B264" s="491"/>
      <c r="C264" s="484" t="s">
        <v>527</v>
      </c>
      <c r="D264" s="454"/>
      <c r="E264" s="450"/>
      <c r="F264" s="484"/>
      <c r="G264" s="450"/>
      <c r="H264" s="298"/>
      <c r="I264" s="298"/>
    </row>
    <row r="265" spans="1:9">
      <c r="A265" s="457"/>
      <c r="B265" s="457"/>
      <c r="C265" s="66" t="s">
        <v>26</v>
      </c>
      <c r="D265" s="67">
        <v>0.33</v>
      </c>
      <c r="E265" s="67">
        <v>784</v>
      </c>
      <c r="F265" s="67">
        <f>E265*D265</f>
        <v>258.72000000000003</v>
      </c>
      <c r="G265" s="66" t="s">
        <v>822</v>
      </c>
      <c r="H265" s="298"/>
      <c r="I265" s="298"/>
    </row>
    <row r="266" spans="1:9">
      <c r="A266" s="491">
        <v>117</v>
      </c>
      <c r="B266" s="491"/>
      <c r="C266" s="484" t="s">
        <v>858</v>
      </c>
      <c r="D266" s="454"/>
      <c r="E266" s="450"/>
      <c r="F266" s="484"/>
      <c r="G266" s="450"/>
      <c r="H266" s="298"/>
      <c r="I266" s="298"/>
    </row>
    <row r="267" spans="1:9">
      <c r="A267" s="457"/>
      <c r="B267" s="457"/>
      <c r="C267" s="66" t="s">
        <v>26</v>
      </c>
      <c r="D267" s="67">
        <v>1.31</v>
      </c>
      <c r="E267" s="67">
        <v>714</v>
      </c>
      <c r="F267" s="67">
        <f>E267*D267</f>
        <v>935.34</v>
      </c>
      <c r="G267" s="66" t="s">
        <v>825</v>
      </c>
      <c r="H267" s="298"/>
      <c r="I267" s="298"/>
    </row>
    <row r="268" spans="1:9">
      <c r="A268" s="491">
        <v>114</v>
      </c>
      <c r="B268" s="491"/>
      <c r="C268" s="484" t="s">
        <v>59</v>
      </c>
      <c r="D268" s="454"/>
      <c r="E268" s="450"/>
      <c r="F268" s="484"/>
      <c r="G268" s="450"/>
      <c r="H268" s="298"/>
      <c r="I268" s="298"/>
    </row>
    <row r="269" spans="1:9">
      <c r="A269" s="457"/>
      <c r="B269" s="457"/>
      <c r="C269" s="66" t="s">
        <v>26</v>
      </c>
      <c r="D269" s="67">
        <v>1.31</v>
      </c>
      <c r="E269" s="67">
        <v>645</v>
      </c>
      <c r="F269" s="67">
        <f>E269*D269</f>
        <v>844.95</v>
      </c>
      <c r="G269" s="66" t="s">
        <v>837</v>
      </c>
      <c r="H269" s="298"/>
      <c r="I269" s="298"/>
    </row>
    <row r="270" spans="1:9">
      <c r="A270" s="490" t="s">
        <v>847</v>
      </c>
      <c r="B270" s="454"/>
      <c r="C270" s="454"/>
      <c r="D270" s="454"/>
      <c r="E270" s="454"/>
      <c r="F270" s="450"/>
      <c r="G270" s="68" t="s">
        <v>820</v>
      </c>
      <c r="H270" s="298"/>
      <c r="I270" s="298"/>
    </row>
    <row r="271" spans="1:9">
      <c r="A271" s="491">
        <v>9999</v>
      </c>
      <c r="B271" s="491"/>
      <c r="C271" s="484" t="s">
        <v>1758</v>
      </c>
      <c r="D271" s="454"/>
      <c r="E271" s="450"/>
      <c r="F271" s="484"/>
      <c r="G271" s="450"/>
      <c r="H271" s="298"/>
      <c r="I271" s="298"/>
    </row>
    <row r="272" spans="1:9">
      <c r="A272" s="457"/>
      <c r="B272" s="457"/>
      <c r="C272" s="66" t="s">
        <v>62</v>
      </c>
      <c r="D272" s="67">
        <v>5.33</v>
      </c>
      <c r="E272" s="67">
        <v>2.12</v>
      </c>
      <c r="F272" s="67">
        <f>E272*D272</f>
        <v>11.2996</v>
      </c>
      <c r="G272" s="66" t="s">
        <v>851</v>
      </c>
      <c r="H272" s="298"/>
      <c r="I272" s="298"/>
    </row>
    <row r="273" spans="1:9">
      <c r="A273" s="492" t="s">
        <v>30</v>
      </c>
      <c r="B273" s="454"/>
      <c r="C273" s="450"/>
      <c r="D273" s="67">
        <v>10</v>
      </c>
      <c r="E273" s="70" t="s">
        <v>21</v>
      </c>
      <c r="F273" s="299">
        <f>F265+F267+F269+F272</f>
        <v>2050.3096</v>
      </c>
      <c r="G273" s="71"/>
      <c r="H273" s="298"/>
      <c r="I273" s="298"/>
    </row>
    <row r="274" spans="1:9">
      <c r="A274" s="492" t="s">
        <v>826</v>
      </c>
      <c r="B274" s="454"/>
      <c r="C274" s="450"/>
      <c r="D274" s="67">
        <v>1</v>
      </c>
      <c r="E274" s="70" t="s">
        <v>21</v>
      </c>
      <c r="F274" s="67">
        <f>F273/D273</f>
        <v>205.03095999999999</v>
      </c>
      <c r="G274" s="71"/>
      <c r="H274" s="298"/>
      <c r="I274" s="298"/>
    </row>
    <row r="275" spans="1:9">
      <c r="A275" s="493" t="s">
        <v>829</v>
      </c>
      <c r="B275" s="454"/>
      <c r="C275" s="454"/>
      <c r="D275" s="450"/>
      <c r="E275" s="67"/>
      <c r="F275" s="67">
        <f>F274*1%</f>
        <v>2.0503095999999998</v>
      </c>
      <c r="G275" s="71"/>
      <c r="H275" s="298"/>
      <c r="I275" s="298"/>
    </row>
    <row r="276" spans="1:9">
      <c r="A276" s="493" t="s">
        <v>30</v>
      </c>
      <c r="B276" s="454"/>
      <c r="C276" s="454"/>
      <c r="D276" s="450"/>
      <c r="E276" s="71"/>
      <c r="F276" s="67">
        <f>F274+F275</f>
        <v>207.08126959999998</v>
      </c>
      <c r="G276" s="71"/>
      <c r="H276" s="298"/>
      <c r="I276" s="298"/>
    </row>
    <row r="277" spans="1:9">
      <c r="A277" s="493" t="s">
        <v>836</v>
      </c>
      <c r="B277" s="454"/>
      <c r="C277" s="454"/>
      <c r="D277" s="450"/>
      <c r="E277" s="67"/>
      <c r="F277" s="67">
        <f>F276*15%</f>
        <v>31.062190439999995</v>
      </c>
      <c r="G277" s="71"/>
      <c r="H277" s="298"/>
      <c r="I277" s="298"/>
    </row>
    <row r="278" spans="1:9">
      <c r="A278" s="493" t="s">
        <v>30</v>
      </c>
      <c r="B278" s="454"/>
      <c r="C278" s="454"/>
      <c r="D278" s="450"/>
      <c r="E278" s="71"/>
      <c r="F278" s="191">
        <f>ROUND(F276+F277,2)</f>
        <v>238.14</v>
      </c>
      <c r="G278" s="71"/>
      <c r="H278" s="298"/>
      <c r="I278" s="298"/>
    </row>
    <row r="279" spans="1:9">
      <c r="A279" s="616" t="str">
        <f>CONCATENATE("Say ₹ ",F262," + ",F278," x Cost Index")</f>
        <v>Say ₹ 70.79 + 238.14 x Cost Index</v>
      </c>
      <c r="B279" s="454"/>
      <c r="C279" s="454"/>
      <c r="D279" s="454"/>
      <c r="E279" s="454"/>
      <c r="F279" s="450"/>
      <c r="G279" s="300" t="s">
        <v>1000</v>
      </c>
      <c r="H279" s="301">
        <f>F256*1.01*1.15/10</f>
        <v>70.793424999999999</v>
      </c>
      <c r="I279" s="301">
        <f>(F265+F267+F269+F272)*1.01*1.15/10</f>
        <v>238.14346003999998</v>
      </c>
    </row>
    <row r="280" spans="1:9">
      <c r="A280" s="486" t="s">
        <v>771</v>
      </c>
      <c r="B280" s="486" t="s">
        <v>776</v>
      </c>
      <c r="C280" s="487" t="s">
        <v>4</v>
      </c>
      <c r="D280" s="454"/>
      <c r="E280" s="450"/>
      <c r="F280" s="487" t="s">
        <v>785</v>
      </c>
      <c r="G280" s="450"/>
      <c r="H280" s="298"/>
      <c r="I280" s="298"/>
    </row>
    <row r="281" spans="1:9">
      <c r="A281" s="457"/>
      <c r="B281" s="457"/>
      <c r="C281" s="62" t="s">
        <v>5</v>
      </c>
      <c r="D281" s="62" t="s">
        <v>6</v>
      </c>
      <c r="E281" s="62" t="s">
        <v>336</v>
      </c>
      <c r="F281" s="62" t="s">
        <v>8</v>
      </c>
      <c r="G281" s="62" t="s">
        <v>789</v>
      </c>
      <c r="H281" s="298"/>
      <c r="I281" s="298"/>
    </row>
    <row r="282" spans="1:9">
      <c r="A282" s="617" t="s">
        <v>1874</v>
      </c>
      <c r="B282" s="454"/>
      <c r="C282" s="454"/>
      <c r="D282" s="454"/>
      <c r="E282" s="454"/>
      <c r="F282" s="454"/>
      <c r="G282" s="450"/>
      <c r="H282" s="298"/>
      <c r="I282" s="298"/>
    </row>
    <row r="283" spans="1:9">
      <c r="A283" s="302"/>
      <c r="B283" s="303" t="s">
        <v>795</v>
      </c>
      <c r="C283" s="303" t="s">
        <v>21</v>
      </c>
      <c r="D283" s="303" t="s">
        <v>798</v>
      </c>
      <c r="E283" s="299">
        <v>10</v>
      </c>
      <c r="F283" s="610"/>
      <c r="G283" s="450"/>
      <c r="H283" s="298"/>
      <c r="I283" s="298"/>
    </row>
    <row r="284" spans="1:9">
      <c r="A284" s="303" t="s">
        <v>800</v>
      </c>
      <c r="B284" s="610" t="s">
        <v>512</v>
      </c>
      <c r="C284" s="454"/>
      <c r="D284" s="454"/>
      <c r="E284" s="454"/>
      <c r="F284" s="454"/>
      <c r="G284" s="450"/>
      <c r="H284" s="298"/>
      <c r="I284" s="298"/>
    </row>
    <row r="285" spans="1:9">
      <c r="A285" s="490" t="s">
        <v>802</v>
      </c>
      <c r="B285" s="454"/>
      <c r="C285" s="454"/>
      <c r="D285" s="454"/>
      <c r="E285" s="454"/>
      <c r="F285" s="450"/>
      <c r="G285" s="68" t="s">
        <v>803</v>
      </c>
      <c r="H285" s="298"/>
      <c r="I285" s="298"/>
    </row>
    <row r="286" spans="1:9">
      <c r="A286" s="611"/>
      <c r="B286" s="611" t="s">
        <v>1838</v>
      </c>
      <c r="C286" s="610" t="s">
        <v>1875</v>
      </c>
      <c r="D286" s="454"/>
      <c r="E286" s="450"/>
      <c r="F286" s="610"/>
      <c r="G286" s="450"/>
      <c r="H286" s="298"/>
      <c r="I286" s="298"/>
    </row>
    <row r="287" spans="1:9">
      <c r="A287" s="457"/>
      <c r="B287" s="457"/>
      <c r="C287" s="303" t="s">
        <v>21</v>
      </c>
      <c r="D287" s="299">
        <v>11.5</v>
      </c>
      <c r="E287" s="299">
        <v>90</v>
      </c>
      <c r="F287" s="67">
        <f>E287*D287</f>
        <v>1035</v>
      </c>
      <c r="G287" s="303" t="s">
        <v>808</v>
      </c>
      <c r="H287" s="298"/>
      <c r="I287" s="298"/>
    </row>
    <row r="288" spans="1:9">
      <c r="A288" s="492" t="s">
        <v>30</v>
      </c>
      <c r="B288" s="454"/>
      <c r="C288" s="450"/>
      <c r="D288" s="67">
        <v>10</v>
      </c>
      <c r="E288" s="70" t="s">
        <v>21</v>
      </c>
      <c r="F288" s="67">
        <f>F287</f>
        <v>1035</v>
      </c>
      <c r="G288" s="303"/>
      <c r="H288" s="298"/>
      <c r="I288" s="298"/>
    </row>
    <row r="289" spans="1:9">
      <c r="A289" s="492" t="s">
        <v>826</v>
      </c>
      <c r="B289" s="454"/>
      <c r="C289" s="450"/>
      <c r="D289" s="67">
        <v>1</v>
      </c>
      <c r="E289" s="70" t="s">
        <v>21</v>
      </c>
      <c r="F289" s="67">
        <f>F288/D288</f>
        <v>103.5</v>
      </c>
      <c r="G289" s="303"/>
      <c r="H289" s="298"/>
      <c r="I289" s="298"/>
    </row>
    <row r="290" spans="1:9">
      <c r="A290" s="493" t="s">
        <v>829</v>
      </c>
      <c r="B290" s="454"/>
      <c r="C290" s="454"/>
      <c r="D290" s="450"/>
      <c r="E290" s="67"/>
      <c r="F290" s="67">
        <f>F289*1%</f>
        <v>1.0349999999999999</v>
      </c>
      <c r="G290" s="303"/>
      <c r="H290" s="298"/>
      <c r="I290" s="298"/>
    </row>
    <row r="291" spans="1:9">
      <c r="A291" s="493" t="s">
        <v>30</v>
      </c>
      <c r="B291" s="454"/>
      <c r="C291" s="454"/>
      <c r="D291" s="450"/>
      <c r="E291" s="71"/>
      <c r="F291" s="67">
        <f>F289+F290</f>
        <v>104.535</v>
      </c>
      <c r="G291" s="303"/>
      <c r="H291" s="298"/>
      <c r="I291" s="298"/>
    </row>
    <row r="292" spans="1:9">
      <c r="A292" s="493" t="s">
        <v>836</v>
      </c>
      <c r="B292" s="454"/>
      <c r="C292" s="454"/>
      <c r="D292" s="450"/>
      <c r="E292" s="67"/>
      <c r="F292" s="67">
        <f>F291*15%</f>
        <v>15.680249999999999</v>
      </c>
      <c r="G292" s="303"/>
      <c r="H292" s="298"/>
      <c r="I292" s="298"/>
    </row>
    <row r="293" spans="1:9">
      <c r="A293" s="493" t="s">
        <v>30</v>
      </c>
      <c r="B293" s="454"/>
      <c r="C293" s="454"/>
      <c r="D293" s="450"/>
      <c r="E293" s="71"/>
      <c r="F293" s="191">
        <f>ROUND(F291+F292,2)</f>
        <v>120.22</v>
      </c>
      <c r="G293" s="303"/>
      <c r="H293" s="298"/>
      <c r="I293" s="298"/>
    </row>
    <row r="294" spans="1:9">
      <c r="A294" s="490" t="s">
        <v>819</v>
      </c>
      <c r="B294" s="454"/>
      <c r="C294" s="454"/>
      <c r="D294" s="454"/>
      <c r="E294" s="454"/>
      <c r="F294" s="450"/>
      <c r="G294" s="68" t="s">
        <v>820</v>
      </c>
      <c r="H294" s="298"/>
      <c r="I294" s="298"/>
    </row>
    <row r="295" spans="1:9">
      <c r="A295" s="611">
        <v>116</v>
      </c>
      <c r="B295" s="611"/>
      <c r="C295" s="610" t="s">
        <v>527</v>
      </c>
      <c r="D295" s="454"/>
      <c r="E295" s="450"/>
      <c r="F295" s="610"/>
      <c r="G295" s="450"/>
      <c r="H295" s="298"/>
      <c r="I295" s="298"/>
    </row>
    <row r="296" spans="1:9">
      <c r="A296" s="457"/>
      <c r="B296" s="457"/>
      <c r="C296" s="303" t="s">
        <v>26</v>
      </c>
      <c r="D296" s="299">
        <v>0.33</v>
      </c>
      <c r="E296" s="299">
        <v>784</v>
      </c>
      <c r="F296" s="67">
        <f>E296*D296</f>
        <v>258.72000000000003</v>
      </c>
      <c r="G296" s="303" t="s">
        <v>822</v>
      </c>
      <c r="H296" s="298"/>
      <c r="I296" s="298"/>
    </row>
    <row r="297" spans="1:9">
      <c r="A297" s="611">
        <v>117</v>
      </c>
      <c r="B297" s="611"/>
      <c r="C297" s="610" t="s">
        <v>858</v>
      </c>
      <c r="D297" s="454"/>
      <c r="E297" s="450"/>
      <c r="F297" s="610"/>
      <c r="G297" s="450"/>
      <c r="H297" s="298"/>
      <c r="I297" s="298"/>
    </row>
    <row r="298" spans="1:9">
      <c r="A298" s="457"/>
      <c r="B298" s="457"/>
      <c r="C298" s="303" t="s">
        <v>26</v>
      </c>
      <c r="D298" s="299">
        <v>1.31</v>
      </c>
      <c r="E298" s="299">
        <v>714</v>
      </c>
      <c r="F298" s="67">
        <f>E298*D298</f>
        <v>935.34</v>
      </c>
      <c r="G298" s="303" t="s">
        <v>825</v>
      </c>
      <c r="H298" s="298"/>
      <c r="I298" s="298"/>
    </row>
    <row r="299" spans="1:9">
      <c r="A299" s="611">
        <v>114</v>
      </c>
      <c r="B299" s="611"/>
      <c r="C299" s="610" t="s">
        <v>59</v>
      </c>
      <c r="D299" s="454"/>
      <c r="E299" s="450"/>
      <c r="F299" s="610"/>
      <c r="G299" s="450"/>
      <c r="H299" s="298"/>
      <c r="I299" s="298"/>
    </row>
    <row r="300" spans="1:9">
      <c r="A300" s="457"/>
      <c r="B300" s="457"/>
      <c r="C300" s="303" t="s">
        <v>26</v>
      </c>
      <c r="D300" s="299">
        <v>1.31</v>
      </c>
      <c r="E300" s="299">
        <v>645</v>
      </c>
      <c r="F300" s="67">
        <f>E300*D300</f>
        <v>844.95</v>
      </c>
      <c r="G300" s="303" t="s">
        <v>837</v>
      </c>
      <c r="H300" s="298"/>
      <c r="I300" s="298"/>
    </row>
    <row r="301" spans="1:9">
      <c r="A301" s="490" t="s">
        <v>847</v>
      </c>
      <c r="B301" s="454"/>
      <c r="C301" s="454"/>
      <c r="D301" s="454"/>
      <c r="E301" s="454"/>
      <c r="F301" s="450"/>
      <c r="G301" s="68" t="s">
        <v>820</v>
      </c>
      <c r="H301" s="298"/>
      <c r="I301" s="298"/>
    </row>
    <row r="302" spans="1:9">
      <c r="A302" s="611">
        <v>9999</v>
      </c>
      <c r="B302" s="611"/>
      <c r="C302" s="610" t="s">
        <v>1758</v>
      </c>
      <c r="D302" s="454"/>
      <c r="E302" s="450"/>
      <c r="F302" s="610"/>
      <c r="G302" s="450"/>
      <c r="H302" s="298"/>
      <c r="I302" s="298"/>
    </row>
    <row r="303" spans="1:9">
      <c r="A303" s="457"/>
      <c r="B303" s="457"/>
      <c r="C303" s="303" t="s">
        <v>62</v>
      </c>
      <c r="D303" s="299">
        <v>5.33</v>
      </c>
      <c r="E303" s="299">
        <v>2.12</v>
      </c>
      <c r="F303" s="67">
        <f>E303*D303</f>
        <v>11.2996</v>
      </c>
      <c r="G303" s="303" t="s">
        <v>851</v>
      </c>
      <c r="H303" s="298"/>
      <c r="I303" s="298"/>
    </row>
    <row r="304" spans="1:9">
      <c r="A304" s="492" t="s">
        <v>30</v>
      </c>
      <c r="B304" s="454"/>
      <c r="C304" s="450"/>
      <c r="D304" s="67">
        <v>10</v>
      </c>
      <c r="E304" s="70" t="s">
        <v>21</v>
      </c>
      <c r="F304" s="299">
        <f>F296+F298+F300+F303</f>
        <v>2050.3096</v>
      </c>
      <c r="G304" s="71"/>
      <c r="H304" s="298"/>
      <c r="I304" s="298"/>
    </row>
    <row r="305" spans="1:9">
      <c r="A305" s="492" t="s">
        <v>826</v>
      </c>
      <c r="B305" s="454"/>
      <c r="C305" s="450"/>
      <c r="D305" s="67">
        <v>1</v>
      </c>
      <c r="E305" s="70" t="s">
        <v>21</v>
      </c>
      <c r="F305" s="67">
        <f>F304/D304</f>
        <v>205.03095999999999</v>
      </c>
      <c r="G305" s="71"/>
      <c r="H305" s="298"/>
      <c r="I305" s="298"/>
    </row>
    <row r="306" spans="1:9">
      <c r="A306" s="493" t="s">
        <v>829</v>
      </c>
      <c r="B306" s="454"/>
      <c r="C306" s="454"/>
      <c r="D306" s="450"/>
      <c r="E306" s="67"/>
      <c r="F306" s="67">
        <f>F305*1%</f>
        <v>2.0503095999999998</v>
      </c>
      <c r="G306" s="71"/>
      <c r="H306" s="298"/>
      <c r="I306" s="298"/>
    </row>
    <row r="307" spans="1:9">
      <c r="A307" s="493" t="s">
        <v>30</v>
      </c>
      <c r="B307" s="454"/>
      <c r="C307" s="454"/>
      <c r="D307" s="450"/>
      <c r="E307" s="71"/>
      <c r="F307" s="67">
        <f>F305+F306</f>
        <v>207.08126959999998</v>
      </c>
      <c r="G307" s="71"/>
      <c r="H307" s="298"/>
      <c r="I307" s="298"/>
    </row>
    <row r="308" spans="1:9">
      <c r="A308" s="493" t="s">
        <v>836</v>
      </c>
      <c r="B308" s="454"/>
      <c r="C308" s="454"/>
      <c r="D308" s="450"/>
      <c r="E308" s="67"/>
      <c r="F308" s="67">
        <f>F307*15%</f>
        <v>31.062190439999995</v>
      </c>
      <c r="G308" s="71"/>
      <c r="H308" s="298"/>
      <c r="I308" s="298"/>
    </row>
    <row r="309" spans="1:9">
      <c r="A309" s="493" t="s">
        <v>30</v>
      </c>
      <c r="B309" s="454"/>
      <c r="C309" s="454"/>
      <c r="D309" s="450"/>
      <c r="E309" s="71"/>
      <c r="F309" s="191">
        <f>ROUND(F307+F308,2)</f>
        <v>238.14</v>
      </c>
      <c r="G309" s="71"/>
      <c r="H309" s="298"/>
      <c r="I309" s="298"/>
    </row>
    <row r="310" spans="1:9">
      <c r="A310" s="616" t="str">
        <f>CONCATENATE("Say ₹ ",F293," + ",F309," x Cost Index")</f>
        <v>Say ₹ 120.22 + 238.14 x Cost Index</v>
      </c>
      <c r="B310" s="454"/>
      <c r="C310" s="454"/>
      <c r="D310" s="454"/>
      <c r="E310" s="454"/>
      <c r="F310" s="450"/>
      <c r="G310" s="300" t="s">
        <v>1000</v>
      </c>
      <c r="H310" s="301">
        <f>F287*1.01*1.15/10</f>
        <v>120.21524999999997</v>
      </c>
      <c r="I310" s="301">
        <f>(F296+F298+F300+F303)*1.01*1.15/10</f>
        <v>238.14346003999998</v>
      </c>
    </row>
    <row r="311" spans="1:9">
      <c r="A311" s="486" t="s">
        <v>771</v>
      </c>
      <c r="B311" s="486" t="s">
        <v>776</v>
      </c>
      <c r="C311" s="487" t="s">
        <v>4</v>
      </c>
      <c r="D311" s="454"/>
      <c r="E311" s="450"/>
      <c r="F311" s="487" t="s">
        <v>785</v>
      </c>
      <c r="G311" s="450"/>
      <c r="H311" s="298"/>
      <c r="I311" s="298"/>
    </row>
    <row r="312" spans="1:9">
      <c r="A312" s="457"/>
      <c r="B312" s="457"/>
      <c r="C312" s="62" t="s">
        <v>5</v>
      </c>
      <c r="D312" s="62" t="s">
        <v>6</v>
      </c>
      <c r="E312" s="62" t="s">
        <v>336</v>
      </c>
      <c r="F312" s="62" t="s">
        <v>8</v>
      </c>
      <c r="G312" s="62" t="s">
        <v>789</v>
      </c>
      <c r="H312" s="298"/>
      <c r="I312" s="298"/>
    </row>
    <row r="313" spans="1:9">
      <c r="A313" s="617" t="s">
        <v>1883</v>
      </c>
      <c r="B313" s="454"/>
      <c r="C313" s="454"/>
      <c r="D313" s="454"/>
      <c r="E313" s="454"/>
      <c r="F313" s="454"/>
      <c r="G313" s="450"/>
      <c r="H313" s="298"/>
      <c r="I313" s="298"/>
    </row>
    <row r="314" spans="1:9">
      <c r="A314" s="65"/>
      <c r="B314" s="66" t="s">
        <v>795</v>
      </c>
      <c r="C314" s="66" t="s">
        <v>21</v>
      </c>
      <c r="D314" s="66" t="s">
        <v>798</v>
      </c>
      <c r="E314" s="67">
        <v>10</v>
      </c>
      <c r="F314" s="484"/>
      <c r="G314" s="450"/>
      <c r="H314" s="298"/>
      <c r="I314" s="298"/>
    </row>
    <row r="315" spans="1:9">
      <c r="A315" s="66" t="s">
        <v>800</v>
      </c>
      <c r="B315" s="484" t="s">
        <v>512</v>
      </c>
      <c r="C315" s="454"/>
      <c r="D315" s="454"/>
      <c r="E315" s="454"/>
      <c r="F315" s="454"/>
      <c r="G315" s="450"/>
      <c r="H315" s="298"/>
      <c r="I315" s="298"/>
    </row>
    <row r="316" spans="1:9">
      <c r="A316" s="490" t="s">
        <v>802</v>
      </c>
      <c r="B316" s="454"/>
      <c r="C316" s="454"/>
      <c r="D316" s="454"/>
      <c r="E316" s="454"/>
      <c r="F316" s="450"/>
      <c r="G316" s="68" t="s">
        <v>803</v>
      </c>
      <c r="H316" s="298"/>
      <c r="I316" s="298"/>
    </row>
    <row r="317" spans="1:9">
      <c r="A317" s="491"/>
      <c r="B317" s="491" t="s">
        <v>1832</v>
      </c>
      <c r="C317" s="484" t="s">
        <v>1886</v>
      </c>
      <c r="D317" s="454"/>
      <c r="E317" s="450"/>
      <c r="F317" s="484"/>
      <c r="G317" s="450"/>
      <c r="H317" s="298"/>
      <c r="I317" s="298"/>
    </row>
    <row r="318" spans="1:9">
      <c r="A318" s="457"/>
      <c r="B318" s="457"/>
      <c r="C318" s="66" t="s">
        <v>21</v>
      </c>
      <c r="D318" s="67">
        <v>11.5</v>
      </c>
      <c r="E318" s="67">
        <v>60</v>
      </c>
      <c r="F318" s="67">
        <f>E318*D318</f>
        <v>690</v>
      </c>
      <c r="G318" s="66" t="s">
        <v>808</v>
      </c>
      <c r="H318" s="298"/>
      <c r="I318" s="298"/>
    </row>
    <row r="319" spans="1:9">
      <c r="A319" s="492" t="s">
        <v>30</v>
      </c>
      <c r="B319" s="454"/>
      <c r="C319" s="450"/>
      <c r="D319" s="67">
        <v>10</v>
      </c>
      <c r="E319" s="70" t="s">
        <v>21</v>
      </c>
      <c r="F319" s="67">
        <f>F318</f>
        <v>690</v>
      </c>
      <c r="G319" s="66"/>
      <c r="H319" s="298"/>
      <c r="I319" s="298"/>
    </row>
    <row r="320" spans="1:9">
      <c r="A320" s="492" t="s">
        <v>826</v>
      </c>
      <c r="B320" s="454"/>
      <c r="C320" s="450"/>
      <c r="D320" s="67">
        <v>1</v>
      </c>
      <c r="E320" s="70" t="s">
        <v>21</v>
      </c>
      <c r="F320" s="67">
        <f>F319/D319</f>
        <v>69</v>
      </c>
      <c r="G320" s="66"/>
      <c r="H320" s="298"/>
      <c r="I320" s="298"/>
    </row>
    <row r="321" spans="1:9">
      <c r="A321" s="493" t="s">
        <v>829</v>
      </c>
      <c r="B321" s="454"/>
      <c r="C321" s="454"/>
      <c r="D321" s="450"/>
      <c r="E321" s="67"/>
      <c r="F321" s="67">
        <f>F320*1%</f>
        <v>0.69000000000000006</v>
      </c>
      <c r="G321" s="66"/>
      <c r="H321" s="298"/>
      <c r="I321" s="298"/>
    </row>
    <row r="322" spans="1:9">
      <c r="A322" s="493" t="s">
        <v>30</v>
      </c>
      <c r="B322" s="454"/>
      <c r="C322" s="454"/>
      <c r="D322" s="450"/>
      <c r="E322" s="71"/>
      <c r="F322" s="67">
        <f>F320+F321</f>
        <v>69.69</v>
      </c>
      <c r="G322" s="66"/>
      <c r="H322" s="298"/>
      <c r="I322" s="298"/>
    </row>
    <row r="323" spans="1:9">
      <c r="A323" s="493" t="s">
        <v>836</v>
      </c>
      <c r="B323" s="454"/>
      <c r="C323" s="454"/>
      <c r="D323" s="450"/>
      <c r="E323" s="67"/>
      <c r="F323" s="67">
        <f>F322*15%</f>
        <v>10.4535</v>
      </c>
      <c r="G323" s="66"/>
      <c r="H323" s="298"/>
      <c r="I323" s="298"/>
    </row>
    <row r="324" spans="1:9">
      <c r="A324" s="493" t="s">
        <v>30</v>
      </c>
      <c r="B324" s="454"/>
      <c r="C324" s="454"/>
      <c r="D324" s="450"/>
      <c r="E324" s="71"/>
      <c r="F324" s="191">
        <f>ROUND(F322+F323,2)</f>
        <v>80.14</v>
      </c>
      <c r="G324" s="66"/>
      <c r="H324" s="298"/>
      <c r="I324" s="298"/>
    </row>
    <row r="325" spans="1:9">
      <c r="A325" s="490" t="s">
        <v>819</v>
      </c>
      <c r="B325" s="454"/>
      <c r="C325" s="454"/>
      <c r="D325" s="454"/>
      <c r="E325" s="454"/>
      <c r="F325" s="450"/>
      <c r="G325" s="68" t="s">
        <v>820</v>
      </c>
      <c r="H325" s="298"/>
      <c r="I325" s="298"/>
    </row>
    <row r="326" spans="1:9">
      <c r="A326" s="491">
        <v>116</v>
      </c>
      <c r="B326" s="491"/>
      <c r="C326" s="484" t="s">
        <v>527</v>
      </c>
      <c r="D326" s="454"/>
      <c r="E326" s="450"/>
      <c r="F326" s="484"/>
      <c r="G326" s="450"/>
      <c r="H326" s="298"/>
      <c r="I326" s="298"/>
    </row>
    <row r="327" spans="1:9">
      <c r="A327" s="457"/>
      <c r="B327" s="457"/>
      <c r="C327" s="66" t="s">
        <v>26</v>
      </c>
      <c r="D327" s="67">
        <v>0.33</v>
      </c>
      <c r="E327" s="67">
        <v>784</v>
      </c>
      <c r="F327" s="67">
        <f>E327*D327</f>
        <v>258.72000000000003</v>
      </c>
      <c r="G327" s="66" t="s">
        <v>822</v>
      </c>
      <c r="H327" s="298"/>
      <c r="I327" s="298"/>
    </row>
    <row r="328" spans="1:9">
      <c r="A328" s="491">
        <v>117</v>
      </c>
      <c r="B328" s="491"/>
      <c r="C328" s="484" t="s">
        <v>858</v>
      </c>
      <c r="D328" s="454"/>
      <c r="E328" s="450"/>
      <c r="F328" s="484"/>
      <c r="G328" s="450"/>
      <c r="H328" s="298"/>
      <c r="I328" s="298"/>
    </row>
    <row r="329" spans="1:9">
      <c r="A329" s="457"/>
      <c r="B329" s="457"/>
      <c r="C329" s="66" t="s">
        <v>26</v>
      </c>
      <c r="D329" s="67">
        <v>1.31</v>
      </c>
      <c r="E329" s="67">
        <v>714</v>
      </c>
      <c r="F329" s="67">
        <f>E329*D329</f>
        <v>935.34</v>
      </c>
      <c r="G329" s="66" t="s">
        <v>825</v>
      </c>
      <c r="H329" s="298"/>
      <c r="I329" s="298"/>
    </row>
    <row r="330" spans="1:9">
      <c r="A330" s="491">
        <v>114</v>
      </c>
      <c r="B330" s="491"/>
      <c r="C330" s="484" t="s">
        <v>59</v>
      </c>
      <c r="D330" s="454"/>
      <c r="E330" s="450"/>
      <c r="F330" s="484"/>
      <c r="G330" s="450"/>
      <c r="H330" s="298"/>
      <c r="I330" s="298"/>
    </row>
    <row r="331" spans="1:9">
      <c r="A331" s="457"/>
      <c r="B331" s="457"/>
      <c r="C331" s="66" t="s">
        <v>26</v>
      </c>
      <c r="D331" s="67">
        <v>1.31</v>
      </c>
      <c r="E331" s="67">
        <v>645</v>
      </c>
      <c r="F331" s="67">
        <f>E331*D331</f>
        <v>844.95</v>
      </c>
      <c r="G331" s="66" t="s">
        <v>837</v>
      </c>
      <c r="H331" s="298"/>
      <c r="I331" s="298"/>
    </row>
    <row r="332" spans="1:9">
      <c r="A332" s="490" t="s">
        <v>847</v>
      </c>
      <c r="B332" s="454"/>
      <c r="C332" s="454"/>
      <c r="D332" s="454"/>
      <c r="E332" s="454"/>
      <c r="F332" s="450"/>
      <c r="G332" s="68" t="s">
        <v>820</v>
      </c>
      <c r="H332" s="298"/>
      <c r="I332" s="298"/>
    </row>
    <row r="333" spans="1:9">
      <c r="A333" s="491">
        <v>9999</v>
      </c>
      <c r="B333" s="491"/>
      <c r="C333" s="484" t="s">
        <v>1758</v>
      </c>
      <c r="D333" s="454"/>
      <c r="E333" s="450"/>
      <c r="F333" s="484"/>
      <c r="G333" s="450"/>
      <c r="H333" s="298"/>
      <c r="I333" s="298"/>
    </row>
    <row r="334" spans="1:9">
      <c r="A334" s="457"/>
      <c r="B334" s="457"/>
      <c r="C334" s="66" t="s">
        <v>62</v>
      </c>
      <c r="D334" s="67">
        <v>5.33</v>
      </c>
      <c r="E334" s="67">
        <v>2.12</v>
      </c>
      <c r="F334" s="67">
        <f>E334*D334</f>
        <v>11.2996</v>
      </c>
      <c r="G334" s="66" t="s">
        <v>851</v>
      </c>
      <c r="H334" s="298"/>
      <c r="I334" s="298"/>
    </row>
    <row r="335" spans="1:9">
      <c r="A335" s="492" t="s">
        <v>30</v>
      </c>
      <c r="B335" s="454"/>
      <c r="C335" s="450"/>
      <c r="D335" s="67">
        <v>10</v>
      </c>
      <c r="E335" s="70" t="s">
        <v>21</v>
      </c>
      <c r="F335" s="299">
        <f>F327+F329+F331+F334</f>
        <v>2050.3096</v>
      </c>
      <c r="G335" s="71"/>
      <c r="H335" s="298"/>
      <c r="I335" s="298"/>
    </row>
    <row r="336" spans="1:9">
      <c r="A336" s="492" t="s">
        <v>826</v>
      </c>
      <c r="B336" s="454"/>
      <c r="C336" s="450"/>
      <c r="D336" s="67">
        <v>1</v>
      </c>
      <c r="E336" s="70" t="s">
        <v>21</v>
      </c>
      <c r="F336" s="67">
        <f>F335/D335</f>
        <v>205.03095999999999</v>
      </c>
      <c r="G336" s="71"/>
      <c r="H336" s="298"/>
      <c r="I336" s="298"/>
    </row>
    <row r="337" spans="1:9">
      <c r="A337" s="493" t="s">
        <v>829</v>
      </c>
      <c r="B337" s="454"/>
      <c r="C337" s="454"/>
      <c r="D337" s="450"/>
      <c r="E337" s="67"/>
      <c r="F337" s="67">
        <f>F336*1%</f>
        <v>2.0503095999999998</v>
      </c>
      <c r="G337" s="71"/>
      <c r="H337" s="298"/>
      <c r="I337" s="298"/>
    </row>
    <row r="338" spans="1:9">
      <c r="A338" s="493" t="s">
        <v>30</v>
      </c>
      <c r="B338" s="454"/>
      <c r="C338" s="454"/>
      <c r="D338" s="450"/>
      <c r="E338" s="71"/>
      <c r="F338" s="67">
        <f>F336+F337</f>
        <v>207.08126959999998</v>
      </c>
      <c r="G338" s="71"/>
      <c r="H338" s="298"/>
      <c r="I338" s="298"/>
    </row>
    <row r="339" spans="1:9">
      <c r="A339" s="493" t="s">
        <v>836</v>
      </c>
      <c r="B339" s="454"/>
      <c r="C339" s="454"/>
      <c r="D339" s="450"/>
      <c r="E339" s="67"/>
      <c r="F339" s="67">
        <f>F338*15%</f>
        <v>31.062190439999995</v>
      </c>
      <c r="G339" s="71"/>
      <c r="H339" s="298"/>
      <c r="I339" s="298"/>
    </row>
    <row r="340" spans="1:9">
      <c r="A340" s="493" t="s">
        <v>30</v>
      </c>
      <c r="B340" s="454"/>
      <c r="C340" s="454"/>
      <c r="D340" s="450"/>
      <c r="E340" s="71"/>
      <c r="F340" s="191">
        <f>ROUND(F338+F339,2)</f>
        <v>238.14</v>
      </c>
      <c r="G340" s="71"/>
      <c r="H340" s="298"/>
      <c r="I340" s="298"/>
    </row>
    <row r="341" spans="1:9">
      <c r="A341" s="616" t="str">
        <f>CONCATENATE("Say ₹ ",F324," + ",F340," x Cost Index")</f>
        <v>Say ₹ 80.14 + 238.14 x Cost Index</v>
      </c>
      <c r="B341" s="454"/>
      <c r="C341" s="454"/>
      <c r="D341" s="454"/>
      <c r="E341" s="454"/>
      <c r="F341" s="450"/>
      <c r="G341" s="300" t="s">
        <v>1000</v>
      </c>
      <c r="H341" s="301">
        <f>F318*1.01*1.15/10</f>
        <v>80.143499999999989</v>
      </c>
      <c r="I341" s="301">
        <f>(F327+F329+F331+F334)*1.01*1.15/10</f>
        <v>238.14346003999998</v>
      </c>
    </row>
    <row r="342" spans="1:9">
      <c r="A342" s="486" t="s">
        <v>771</v>
      </c>
      <c r="B342" s="486" t="s">
        <v>776</v>
      </c>
      <c r="C342" s="487" t="s">
        <v>4</v>
      </c>
      <c r="D342" s="454"/>
      <c r="E342" s="450"/>
      <c r="F342" s="487" t="s">
        <v>785</v>
      </c>
      <c r="G342" s="450"/>
      <c r="H342" s="298"/>
      <c r="I342" s="298"/>
    </row>
    <row r="343" spans="1:9">
      <c r="A343" s="457"/>
      <c r="B343" s="457"/>
      <c r="C343" s="62" t="s">
        <v>5</v>
      </c>
      <c r="D343" s="62" t="s">
        <v>6</v>
      </c>
      <c r="E343" s="62" t="s">
        <v>336</v>
      </c>
      <c r="F343" s="62" t="s">
        <v>8</v>
      </c>
      <c r="G343" s="62" t="s">
        <v>789</v>
      </c>
      <c r="H343" s="298"/>
      <c r="I343" s="298"/>
    </row>
    <row r="344" spans="1:9">
      <c r="A344" s="617" t="s">
        <v>1902</v>
      </c>
      <c r="B344" s="454"/>
      <c r="C344" s="454"/>
      <c r="D344" s="454"/>
      <c r="E344" s="454"/>
      <c r="F344" s="454"/>
      <c r="G344" s="450"/>
      <c r="H344" s="298"/>
      <c r="I344" s="298"/>
    </row>
    <row r="345" spans="1:9">
      <c r="A345" s="65"/>
      <c r="B345" s="66" t="s">
        <v>795</v>
      </c>
      <c r="C345" s="66" t="s">
        <v>21</v>
      </c>
      <c r="D345" s="66" t="s">
        <v>798</v>
      </c>
      <c r="E345" s="67">
        <v>10</v>
      </c>
      <c r="F345" s="484"/>
      <c r="G345" s="450"/>
      <c r="H345" s="298"/>
      <c r="I345" s="345"/>
    </row>
    <row r="346" spans="1:9">
      <c r="A346" s="66" t="s">
        <v>800</v>
      </c>
      <c r="B346" s="484" t="s">
        <v>1903</v>
      </c>
      <c r="C346" s="454"/>
      <c r="D346" s="454"/>
      <c r="E346" s="454"/>
      <c r="F346" s="454"/>
      <c r="G346" s="450"/>
      <c r="H346" s="298"/>
      <c r="I346" s="345"/>
    </row>
    <row r="347" spans="1:9">
      <c r="A347" s="490" t="s">
        <v>802</v>
      </c>
      <c r="B347" s="454"/>
      <c r="C347" s="454"/>
      <c r="D347" s="454"/>
      <c r="E347" s="454"/>
      <c r="F347" s="450"/>
      <c r="G347" s="68" t="s">
        <v>803</v>
      </c>
      <c r="H347" s="298"/>
      <c r="I347" s="298"/>
    </row>
    <row r="348" spans="1:9">
      <c r="A348" s="491"/>
      <c r="B348" s="491" t="s">
        <v>1694</v>
      </c>
      <c r="C348" s="484" t="s">
        <v>1905</v>
      </c>
      <c r="D348" s="454"/>
      <c r="E348" s="450"/>
      <c r="F348" s="484"/>
      <c r="G348" s="450"/>
      <c r="H348" s="298"/>
      <c r="I348" s="298"/>
    </row>
    <row r="349" spans="1:9">
      <c r="A349" s="457"/>
      <c r="B349" s="457"/>
      <c r="C349" s="66" t="s">
        <v>21</v>
      </c>
      <c r="D349" s="67">
        <v>11.5</v>
      </c>
      <c r="E349" s="67">
        <v>38</v>
      </c>
      <c r="F349" s="67">
        <f>E349*D349</f>
        <v>437</v>
      </c>
      <c r="G349" s="66" t="s">
        <v>808</v>
      </c>
      <c r="H349" s="298"/>
      <c r="I349" s="298"/>
    </row>
    <row r="350" spans="1:9">
      <c r="A350" s="492" t="s">
        <v>30</v>
      </c>
      <c r="B350" s="454"/>
      <c r="C350" s="450"/>
      <c r="D350" s="67">
        <v>10</v>
      </c>
      <c r="E350" s="70" t="s">
        <v>21</v>
      </c>
      <c r="F350" s="67">
        <f>F349</f>
        <v>437</v>
      </c>
      <c r="G350" s="66"/>
      <c r="H350" s="298"/>
      <c r="I350" s="298"/>
    </row>
    <row r="351" spans="1:9">
      <c r="A351" s="492" t="s">
        <v>826</v>
      </c>
      <c r="B351" s="454"/>
      <c r="C351" s="450"/>
      <c r="D351" s="67">
        <v>1</v>
      </c>
      <c r="E351" s="70" t="s">
        <v>21</v>
      </c>
      <c r="F351" s="67">
        <f>F350/D350</f>
        <v>43.7</v>
      </c>
      <c r="G351" s="66"/>
      <c r="H351" s="298"/>
      <c r="I351" s="298"/>
    </row>
    <row r="352" spans="1:9">
      <c r="A352" s="493" t="s">
        <v>829</v>
      </c>
      <c r="B352" s="454"/>
      <c r="C352" s="454"/>
      <c r="D352" s="450"/>
      <c r="E352" s="67"/>
      <c r="F352" s="67">
        <f>F351*1%</f>
        <v>0.43700000000000006</v>
      </c>
      <c r="G352" s="66"/>
      <c r="H352" s="298"/>
      <c r="I352" s="298"/>
    </row>
    <row r="353" spans="1:9">
      <c r="A353" s="493" t="s">
        <v>30</v>
      </c>
      <c r="B353" s="454"/>
      <c r="C353" s="454"/>
      <c r="D353" s="450"/>
      <c r="E353" s="71"/>
      <c r="F353" s="67">
        <f>F351+F352</f>
        <v>44.137</v>
      </c>
      <c r="G353" s="66"/>
      <c r="H353" s="298"/>
      <c r="I353" s="298"/>
    </row>
    <row r="354" spans="1:9">
      <c r="A354" s="493" t="s">
        <v>836</v>
      </c>
      <c r="B354" s="454"/>
      <c r="C354" s="454"/>
      <c r="D354" s="450"/>
      <c r="E354" s="67"/>
      <c r="F354" s="67">
        <f>F353*15%</f>
        <v>6.6205499999999997</v>
      </c>
      <c r="G354" s="66"/>
      <c r="H354" s="298"/>
      <c r="I354" s="298"/>
    </row>
    <row r="355" spans="1:9">
      <c r="A355" s="493" t="s">
        <v>30</v>
      </c>
      <c r="B355" s="454"/>
      <c r="C355" s="454"/>
      <c r="D355" s="450"/>
      <c r="E355" s="71"/>
      <c r="F355" s="191">
        <f>ROUND(F353+F354,2)</f>
        <v>50.76</v>
      </c>
      <c r="G355" s="66"/>
      <c r="H355" s="298"/>
      <c r="I355" s="298"/>
    </row>
    <row r="356" spans="1:9">
      <c r="A356" s="490" t="s">
        <v>819</v>
      </c>
      <c r="B356" s="454"/>
      <c r="C356" s="454"/>
      <c r="D356" s="454"/>
      <c r="E356" s="454"/>
      <c r="F356" s="450"/>
      <c r="G356" s="68" t="s">
        <v>820</v>
      </c>
      <c r="H356" s="298"/>
      <c r="I356" s="298"/>
    </row>
    <row r="357" spans="1:9">
      <c r="A357" s="491">
        <v>116</v>
      </c>
      <c r="B357" s="491"/>
      <c r="C357" s="484" t="s">
        <v>527</v>
      </c>
      <c r="D357" s="454"/>
      <c r="E357" s="450"/>
      <c r="F357" s="484"/>
      <c r="G357" s="450"/>
      <c r="H357" s="298"/>
      <c r="I357" s="298"/>
    </row>
    <row r="358" spans="1:9">
      <c r="A358" s="457"/>
      <c r="B358" s="457"/>
      <c r="C358" s="66" t="s">
        <v>26</v>
      </c>
      <c r="D358" s="67">
        <v>0.33</v>
      </c>
      <c r="E358" s="67">
        <v>784</v>
      </c>
      <c r="F358" s="67">
        <f>E358*D358</f>
        <v>258.72000000000003</v>
      </c>
      <c r="G358" s="66" t="s">
        <v>822</v>
      </c>
      <c r="H358" s="298"/>
      <c r="I358" s="298"/>
    </row>
    <row r="359" spans="1:9">
      <c r="A359" s="491">
        <v>117</v>
      </c>
      <c r="B359" s="491"/>
      <c r="C359" s="484" t="s">
        <v>858</v>
      </c>
      <c r="D359" s="454"/>
      <c r="E359" s="450"/>
      <c r="F359" s="484"/>
      <c r="G359" s="450"/>
      <c r="H359" s="298"/>
      <c r="I359" s="298"/>
    </row>
    <row r="360" spans="1:9">
      <c r="A360" s="457"/>
      <c r="B360" s="457"/>
      <c r="C360" s="66" t="s">
        <v>26</v>
      </c>
      <c r="D360" s="67">
        <v>0.82</v>
      </c>
      <c r="E360" s="67">
        <v>714</v>
      </c>
      <c r="F360" s="67">
        <f>E360*D360</f>
        <v>585.48</v>
      </c>
      <c r="G360" s="66" t="s">
        <v>825</v>
      </c>
      <c r="H360" s="298"/>
      <c r="I360" s="298"/>
    </row>
    <row r="361" spans="1:9">
      <c r="A361" s="491">
        <v>114</v>
      </c>
      <c r="B361" s="491"/>
      <c r="C361" s="484" t="s">
        <v>59</v>
      </c>
      <c r="D361" s="454"/>
      <c r="E361" s="450"/>
      <c r="F361" s="484"/>
      <c r="G361" s="450"/>
      <c r="H361" s="298"/>
      <c r="I361" s="298"/>
    </row>
    <row r="362" spans="1:9">
      <c r="A362" s="457"/>
      <c r="B362" s="457"/>
      <c r="C362" s="66" t="s">
        <v>26</v>
      </c>
      <c r="D362" s="67">
        <v>0.66</v>
      </c>
      <c r="E362" s="67">
        <v>645</v>
      </c>
      <c r="F362" s="67">
        <f>E362*D362</f>
        <v>425.70000000000005</v>
      </c>
      <c r="G362" s="66" t="s">
        <v>837</v>
      </c>
      <c r="H362" s="298"/>
      <c r="I362" s="298"/>
    </row>
    <row r="363" spans="1:9">
      <c r="A363" s="490" t="s">
        <v>847</v>
      </c>
      <c r="B363" s="454"/>
      <c r="C363" s="454"/>
      <c r="D363" s="454"/>
      <c r="E363" s="454"/>
      <c r="F363" s="450"/>
      <c r="G363" s="68" t="s">
        <v>820</v>
      </c>
      <c r="H363" s="298"/>
      <c r="I363" s="298"/>
    </row>
    <row r="364" spans="1:9">
      <c r="A364" s="491">
        <v>9999</v>
      </c>
      <c r="B364" s="491"/>
      <c r="C364" s="484" t="s">
        <v>1742</v>
      </c>
      <c r="D364" s="454"/>
      <c r="E364" s="450"/>
      <c r="F364" s="484"/>
      <c r="G364" s="450"/>
      <c r="H364" s="298"/>
      <c r="I364" s="298"/>
    </row>
    <row r="365" spans="1:9">
      <c r="A365" s="457"/>
      <c r="B365" s="457"/>
      <c r="C365" s="66" t="s">
        <v>62</v>
      </c>
      <c r="D365" s="67">
        <v>2.73</v>
      </c>
      <c r="E365" s="67">
        <v>2.12</v>
      </c>
      <c r="F365" s="67">
        <f>E365*D365</f>
        <v>5.7876000000000003</v>
      </c>
      <c r="G365" s="66" t="s">
        <v>851</v>
      </c>
      <c r="H365" s="298"/>
      <c r="I365" s="298"/>
    </row>
    <row r="366" spans="1:9">
      <c r="A366" s="491">
        <v>9999</v>
      </c>
      <c r="B366" s="491"/>
      <c r="C366" s="484" t="s">
        <v>1765</v>
      </c>
      <c r="D366" s="454"/>
      <c r="E366" s="450"/>
      <c r="F366" s="484"/>
      <c r="G366" s="450"/>
      <c r="H366" s="298"/>
      <c r="I366" s="298"/>
    </row>
    <row r="367" spans="1:9">
      <c r="A367" s="457"/>
      <c r="B367" s="457"/>
      <c r="C367" s="66" t="s">
        <v>62</v>
      </c>
      <c r="D367" s="67">
        <v>30.98</v>
      </c>
      <c r="E367" s="67">
        <v>2.12</v>
      </c>
      <c r="F367" s="67">
        <f>E367*D367</f>
        <v>65.677599999999998</v>
      </c>
      <c r="G367" s="66" t="s">
        <v>854</v>
      </c>
      <c r="H367" s="298"/>
      <c r="I367" s="298"/>
    </row>
    <row r="368" spans="1:9">
      <c r="A368" s="492" t="s">
        <v>30</v>
      </c>
      <c r="B368" s="454"/>
      <c r="C368" s="450"/>
      <c r="D368" s="67">
        <v>10</v>
      </c>
      <c r="E368" s="70" t="s">
        <v>21</v>
      </c>
      <c r="F368" s="67">
        <f>F358+F360+F362+F365+F367</f>
        <v>1341.3652000000002</v>
      </c>
      <c r="G368" s="71"/>
      <c r="H368" s="298"/>
      <c r="I368" s="298"/>
    </row>
    <row r="369" spans="1:9">
      <c r="A369" s="492" t="s">
        <v>826</v>
      </c>
      <c r="B369" s="454"/>
      <c r="C369" s="450"/>
      <c r="D369" s="67">
        <v>1</v>
      </c>
      <c r="E369" s="70" t="s">
        <v>21</v>
      </c>
      <c r="F369" s="67">
        <f>F368/D368</f>
        <v>134.13652000000002</v>
      </c>
      <c r="G369" s="71"/>
      <c r="H369" s="298"/>
      <c r="I369" s="298"/>
    </row>
    <row r="370" spans="1:9">
      <c r="A370" s="493" t="s">
        <v>829</v>
      </c>
      <c r="B370" s="454"/>
      <c r="C370" s="454"/>
      <c r="D370" s="450"/>
      <c r="E370" s="67"/>
      <c r="F370" s="67">
        <f>F369*1%</f>
        <v>1.3413652000000003</v>
      </c>
      <c r="G370" s="71"/>
      <c r="H370" s="298"/>
      <c r="I370" s="298"/>
    </row>
    <row r="371" spans="1:9">
      <c r="A371" s="493" t="s">
        <v>30</v>
      </c>
      <c r="B371" s="454"/>
      <c r="C371" s="454"/>
      <c r="D371" s="450"/>
      <c r="E371" s="71"/>
      <c r="F371" s="67">
        <f>F369+F370</f>
        <v>135.47788520000003</v>
      </c>
      <c r="G371" s="71"/>
      <c r="H371" s="298"/>
      <c r="I371" s="298"/>
    </row>
    <row r="372" spans="1:9">
      <c r="A372" s="493" t="s">
        <v>836</v>
      </c>
      <c r="B372" s="454"/>
      <c r="C372" s="454"/>
      <c r="D372" s="450"/>
      <c r="E372" s="67"/>
      <c r="F372" s="67">
        <f>F371*15%</f>
        <v>20.321682780000003</v>
      </c>
      <c r="G372" s="71"/>
      <c r="H372" s="298"/>
      <c r="I372" s="298"/>
    </row>
    <row r="373" spans="1:9">
      <c r="A373" s="493" t="s">
        <v>30</v>
      </c>
      <c r="B373" s="454"/>
      <c r="C373" s="454"/>
      <c r="D373" s="450"/>
      <c r="E373" s="71"/>
      <c r="F373" s="191">
        <f>ROUND(F371+F372,2)</f>
        <v>155.80000000000001</v>
      </c>
      <c r="G373" s="71"/>
      <c r="H373" s="298"/>
      <c r="I373" s="298"/>
    </row>
    <row r="374" spans="1:9">
      <c r="A374" s="616" t="str">
        <f>CONCATENATE("Say ₹ ",F355," + ",F373," x Cost Index")</f>
        <v>Say ₹ 50.76 + 155.8 x Cost Index</v>
      </c>
      <c r="B374" s="454"/>
      <c r="C374" s="454"/>
      <c r="D374" s="454"/>
      <c r="E374" s="454"/>
      <c r="F374" s="450"/>
      <c r="G374" s="300" t="s">
        <v>1000</v>
      </c>
      <c r="H374" s="301">
        <f>F349*1.01*1.15/10</f>
        <v>50.757549999999995</v>
      </c>
      <c r="I374" s="301">
        <f>(F358+F360+F362+F365+F367)*1.01*1.15/10</f>
        <v>155.79956798000001</v>
      </c>
    </row>
    <row r="375" spans="1:9">
      <c r="A375" s="486" t="s">
        <v>771</v>
      </c>
      <c r="B375" s="486" t="s">
        <v>776</v>
      </c>
      <c r="C375" s="487" t="s">
        <v>4</v>
      </c>
      <c r="D375" s="454"/>
      <c r="E375" s="450"/>
      <c r="F375" s="487" t="s">
        <v>785</v>
      </c>
      <c r="G375" s="450"/>
      <c r="H375" s="298"/>
      <c r="I375" s="298"/>
    </row>
    <row r="376" spans="1:9">
      <c r="A376" s="457"/>
      <c r="B376" s="457"/>
      <c r="C376" s="62" t="s">
        <v>5</v>
      </c>
      <c r="D376" s="62" t="s">
        <v>6</v>
      </c>
      <c r="E376" s="62" t="s">
        <v>336</v>
      </c>
      <c r="F376" s="62" t="s">
        <v>8</v>
      </c>
      <c r="G376" s="62" t="s">
        <v>789</v>
      </c>
      <c r="H376" s="298"/>
      <c r="I376" s="298"/>
    </row>
    <row r="377" spans="1:9">
      <c r="A377" s="617" t="s">
        <v>1915</v>
      </c>
      <c r="B377" s="454"/>
      <c r="C377" s="454"/>
      <c r="D377" s="454"/>
      <c r="E377" s="454"/>
      <c r="F377" s="454"/>
      <c r="G377" s="450"/>
      <c r="H377" s="298"/>
      <c r="I377" s="298"/>
    </row>
    <row r="378" spans="1:9">
      <c r="A378" s="65"/>
      <c r="B378" s="66" t="s">
        <v>795</v>
      </c>
      <c r="C378" s="66" t="s">
        <v>21</v>
      </c>
      <c r="D378" s="66" t="s">
        <v>798</v>
      </c>
      <c r="E378" s="67">
        <v>10</v>
      </c>
      <c r="F378" s="484"/>
      <c r="G378" s="450"/>
      <c r="H378" s="298"/>
      <c r="I378" s="298"/>
    </row>
    <row r="379" spans="1:9">
      <c r="A379" s="66" t="s">
        <v>800</v>
      </c>
      <c r="B379" s="484" t="s">
        <v>1693</v>
      </c>
      <c r="C379" s="454"/>
      <c r="D379" s="454"/>
      <c r="E379" s="454"/>
      <c r="F379" s="454"/>
      <c r="G379" s="450"/>
      <c r="H379" s="298"/>
      <c r="I379" s="298"/>
    </row>
    <row r="380" spans="1:9">
      <c r="A380" s="490" t="s">
        <v>802</v>
      </c>
      <c r="B380" s="454"/>
      <c r="C380" s="454"/>
      <c r="D380" s="454"/>
      <c r="E380" s="454"/>
      <c r="F380" s="450"/>
      <c r="G380" s="68" t="s">
        <v>803</v>
      </c>
      <c r="H380" s="298"/>
      <c r="I380" s="298"/>
    </row>
    <row r="381" spans="1:9">
      <c r="A381" s="491"/>
      <c r="B381" s="491" t="s">
        <v>1704</v>
      </c>
      <c r="C381" s="484" t="s">
        <v>1750</v>
      </c>
      <c r="D381" s="454"/>
      <c r="E381" s="450"/>
      <c r="F381" s="484"/>
      <c r="G381" s="450"/>
      <c r="H381" s="298"/>
      <c r="I381" s="298"/>
    </row>
    <row r="382" spans="1:9">
      <c r="A382" s="457"/>
      <c r="B382" s="457"/>
      <c r="C382" s="66" t="s">
        <v>21</v>
      </c>
      <c r="D382" s="67">
        <v>11.5</v>
      </c>
      <c r="E382" s="67">
        <v>27</v>
      </c>
      <c r="F382" s="67">
        <f>E382*D382</f>
        <v>310.5</v>
      </c>
      <c r="G382" s="66" t="s">
        <v>808</v>
      </c>
      <c r="H382" s="298"/>
      <c r="I382" s="298"/>
    </row>
    <row r="383" spans="1:9">
      <c r="A383" s="492" t="s">
        <v>30</v>
      </c>
      <c r="B383" s="454"/>
      <c r="C383" s="450"/>
      <c r="D383" s="67">
        <v>10</v>
      </c>
      <c r="E383" s="70" t="s">
        <v>21</v>
      </c>
      <c r="F383" s="67">
        <f>F382</f>
        <v>310.5</v>
      </c>
      <c r="G383" s="66"/>
      <c r="H383" s="298"/>
      <c r="I383" s="298"/>
    </row>
    <row r="384" spans="1:9">
      <c r="A384" s="492" t="s">
        <v>826</v>
      </c>
      <c r="B384" s="454"/>
      <c r="C384" s="450"/>
      <c r="D384" s="67">
        <v>1</v>
      </c>
      <c r="E384" s="70" t="s">
        <v>21</v>
      </c>
      <c r="F384" s="67">
        <f>F383/D383</f>
        <v>31.05</v>
      </c>
      <c r="G384" s="66"/>
      <c r="H384" s="298"/>
      <c r="I384" s="298"/>
    </row>
    <row r="385" spans="1:9">
      <c r="A385" s="493" t="s">
        <v>829</v>
      </c>
      <c r="B385" s="454"/>
      <c r="C385" s="454"/>
      <c r="D385" s="450"/>
      <c r="E385" s="67"/>
      <c r="F385" s="67">
        <f>F384*1%</f>
        <v>0.3105</v>
      </c>
      <c r="G385" s="66"/>
      <c r="H385" s="298"/>
      <c r="I385" s="298"/>
    </row>
    <row r="386" spans="1:9">
      <c r="A386" s="493" t="s">
        <v>30</v>
      </c>
      <c r="B386" s="454"/>
      <c r="C386" s="454"/>
      <c r="D386" s="450"/>
      <c r="E386" s="71"/>
      <c r="F386" s="67">
        <f>F384+F385</f>
        <v>31.360500000000002</v>
      </c>
      <c r="G386" s="66"/>
      <c r="H386" s="298"/>
      <c r="I386" s="298"/>
    </row>
    <row r="387" spans="1:9">
      <c r="A387" s="493" t="s">
        <v>836</v>
      </c>
      <c r="B387" s="454"/>
      <c r="C387" s="454"/>
      <c r="D387" s="450"/>
      <c r="E387" s="67"/>
      <c r="F387" s="67">
        <f>F386*15%</f>
        <v>4.7040750000000005</v>
      </c>
      <c r="G387" s="66"/>
      <c r="H387" s="298"/>
      <c r="I387" s="298"/>
    </row>
    <row r="388" spans="1:9">
      <c r="A388" s="493" t="s">
        <v>30</v>
      </c>
      <c r="B388" s="454"/>
      <c r="C388" s="454"/>
      <c r="D388" s="450"/>
      <c r="E388" s="71"/>
      <c r="F388" s="191">
        <f>ROUND(F386+F387,2)</f>
        <v>36.06</v>
      </c>
      <c r="G388" s="66"/>
      <c r="H388" s="298"/>
      <c r="I388" s="298"/>
    </row>
    <row r="389" spans="1:9">
      <c r="A389" s="490" t="s">
        <v>819</v>
      </c>
      <c r="B389" s="454"/>
      <c r="C389" s="454"/>
      <c r="D389" s="454"/>
      <c r="E389" s="454"/>
      <c r="F389" s="450"/>
      <c r="G389" s="68" t="s">
        <v>820</v>
      </c>
      <c r="H389" s="298"/>
      <c r="I389" s="298"/>
    </row>
    <row r="390" spans="1:9">
      <c r="A390" s="491">
        <v>116</v>
      </c>
      <c r="B390" s="491"/>
      <c r="C390" s="484" t="s">
        <v>527</v>
      </c>
      <c r="D390" s="454"/>
      <c r="E390" s="450"/>
      <c r="F390" s="484"/>
      <c r="G390" s="450"/>
      <c r="H390" s="298"/>
      <c r="I390" s="298"/>
    </row>
    <row r="391" spans="1:9">
      <c r="A391" s="457"/>
      <c r="B391" s="457"/>
      <c r="C391" s="66" t="s">
        <v>26</v>
      </c>
      <c r="D391" s="67">
        <v>0.33</v>
      </c>
      <c r="E391" s="67">
        <v>784</v>
      </c>
      <c r="F391" s="67">
        <f>E391*D391</f>
        <v>258.72000000000003</v>
      </c>
      <c r="G391" s="66" t="s">
        <v>822</v>
      </c>
      <c r="H391" s="298"/>
      <c r="I391" s="298"/>
    </row>
    <row r="392" spans="1:9">
      <c r="A392" s="491">
        <v>117</v>
      </c>
      <c r="B392" s="491"/>
      <c r="C392" s="484" t="s">
        <v>858</v>
      </c>
      <c r="D392" s="454"/>
      <c r="E392" s="450"/>
      <c r="F392" s="484"/>
      <c r="G392" s="450"/>
      <c r="H392" s="298"/>
      <c r="I392" s="298"/>
    </row>
    <row r="393" spans="1:9">
      <c r="A393" s="457"/>
      <c r="B393" s="457"/>
      <c r="C393" s="66" t="s">
        <v>26</v>
      </c>
      <c r="D393" s="67">
        <v>0.82</v>
      </c>
      <c r="E393" s="67">
        <v>714</v>
      </c>
      <c r="F393" s="67">
        <f>E393*D393</f>
        <v>585.48</v>
      </c>
      <c r="G393" s="66" t="s">
        <v>825</v>
      </c>
      <c r="H393" s="298"/>
      <c r="I393" s="298"/>
    </row>
    <row r="394" spans="1:9">
      <c r="A394" s="491">
        <v>114</v>
      </c>
      <c r="B394" s="491"/>
      <c r="C394" s="484" t="s">
        <v>59</v>
      </c>
      <c r="D394" s="454"/>
      <c r="E394" s="450"/>
      <c r="F394" s="484"/>
      <c r="G394" s="450"/>
      <c r="H394" s="298"/>
      <c r="I394" s="298"/>
    </row>
    <row r="395" spans="1:9">
      <c r="A395" s="457"/>
      <c r="B395" s="457"/>
      <c r="C395" s="66" t="s">
        <v>26</v>
      </c>
      <c r="D395" s="67">
        <v>0.66</v>
      </c>
      <c r="E395" s="67">
        <v>645</v>
      </c>
      <c r="F395" s="67">
        <f>E395*D395</f>
        <v>425.70000000000005</v>
      </c>
      <c r="G395" s="66" t="s">
        <v>837</v>
      </c>
      <c r="H395" s="298"/>
      <c r="I395" s="298"/>
    </row>
    <row r="396" spans="1:9">
      <c r="A396" s="490" t="s">
        <v>847</v>
      </c>
      <c r="B396" s="454"/>
      <c r="C396" s="454"/>
      <c r="D396" s="454"/>
      <c r="E396" s="454"/>
      <c r="F396" s="450"/>
      <c r="G396" s="68" t="s">
        <v>820</v>
      </c>
      <c r="H396" s="298"/>
      <c r="I396" s="298"/>
    </row>
    <row r="397" spans="1:9">
      <c r="A397" s="491">
        <v>9999</v>
      </c>
      <c r="B397" s="491"/>
      <c r="C397" s="484" t="s">
        <v>1758</v>
      </c>
      <c r="D397" s="454"/>
      <c r="E397" s="450"/>
      <c r="F397" s="484"/>
      <c r="G397" s="450"/>
      <c r="H397" s="298"/>
      <c r="I397" s="298"/>
    </row>
    <row r="398" spans="1:9">
      <c r="A398" s="457"/>
      <c r="B398" s="457"/>
      <c r="C398" s="66" t="s">
        <v>62</v>
      </c>
      <c r="D398" s="67">
        <v>2.73</v>
      </c>
      <c r="E398" s="67">
        <v>2.12</v>
      </c>
      <c r="F398" s="67">
        <f>E398*D398</f>
        <v>5.7876000000000003</v>
      </c>
      <c r="G398" s="66" t="s">
        <v>851</v>
      </c>
      <c r="H398" s="298"/>
      <c r="I398" s="298"/>
    </row>
    <row r="399" spans="1:9">
      <c r="A399" s="491">
        <v>9999</v>
      </c>
      <c r="B399" s="491"/>
      <c r="C399" s="484" t="s">
        <v>1765</v>
      </c>
      <c r="D399" s="454"/>
      <c r="E399" s="450"/>
      <c r="F399" s="484"/>
      <c r="G399" s="450"/>
      <c r="H399" s="298"/>
      <c r="I399" s="298"/>
    </row>
    <row r="400" spans="1:9">
      <c r="A400" s="457"/>
      <c r="B400" s="457"/>
      <c r="C400" s="66" t="s">
        <v>62</v>
      </c>
      <c r="D400" s="67">
        <v>30.98</v>
      </c>
      <c r="E400" s="67">
        <v>2.12</v>
      </c>
      <c r="F400" s="67">
        <f>E400*D400</f>
        <v>65.677599999999998</v>
      </c>
      <c r="G400" s="66" t="s">
        <v>854</v>
      </c>
      <c r="H400" s="298"/>
      <c r="I400" s="298"/>
    </row>
    <row r="401" spans="1:9">
      <c r="A401" s="492" t="s">
        <v>30</v>
      </c>
      <c r="B401" s="454"/>
      <c r="C401" s="450"/>
      <c r="D401" s="67">
        <v>10</v>
      </c>
      <c r="E401" s="70" t="s">
        <v>21</v>
      </c>
      <c r="F401" s="67">
        <f>F391+F393+F395+F398+F400</f>
        <v>1341.3652000000002</v>
      </c>
      <c r="G401" s="71"/>
      <c r="H401" s="298"/>
      <c r="I401" s="298"/>
    </row>
    <row r="402" spans="1:9">
      <c r="A402" s="492" t="s">
        <v>826</v>
      </c>
      <c r="B402" s="454"/>
      <c r="C402" s="450"/>
      <c r="D402" s="67">
        <v>1</v>
      </c>
      <c r="E402" s="70" t="s">
        <v>21</v>
      </c>
      <c r="F402" s="67">
        <f>F401/D401</f>
        <v>134.13652000000002</v>
      </c>
      <c r="G402" s="71"/>
      <c r="H402" s="298"/>
      <c r="I402" s="298"/>
    </row>
    <row r="403" spans="1:9">
      <c r="A403" s="493" t="s">
        <v>829</v>
      </c>
      <c r="B403" s="454"/>
      <c r="C403" s="454"/>
      <c r="D403" s="450"/>
      <c r="E403" s="67"/>
      <c r="F403" s="67">
        <f>F402*1%</f>
        <v>1.3413652000000003</v>
      </c>
      <c r="G403" s="71"/>
      <c r="H403" s="298"/>
      <c r="I403" s="298"/>
    </row>
    <row r="404" spans="1:9">
      <c r="A404" s="493" t="s">
        <v>30</v>
      </c>
      <c r="B404" s="454"/>
      <c r="C404" s="454"/>
      <c r="D404" s="450"/>
      <c r="E404" s="71"/>
      <c r="F404" s="67">
        <f>F402+F403</f>
        <v>135.47788520000003</v>
      </c>
      <c r="G404" s="71"/>
      <c r="H404" s="298"/>
      <c r="I404" s="298"/>
    </row>
    <row r="405" spans="1:9">
      <c r="A405" s="493" t="s">
        <v>836</v>
      </c>
      <c r="B405" s="454"/>
      <c r="C405" s="454"/>
      <c r="D405" s="450"/>
      <c r="E405" s="67"/>
      <c r="F405" s="67">
        <f>F404*15%</f>
        <v>20.321682780000003</v>
      </c>
      <c r="G405" s="71"/>
      <c r="H405" s="298"/>
      <c r="I405" s="298"/>
    </row>
    <row r="406" spans="1:9">
      <c r="A406" s="493" t="s">
        <v>30</v>
      </c>
      <c r="B406" s="454"/>
      <c r="C406" s="454"/>
      <c r="D406" s="450"/>
      <c r="E406" s="71"/>
      <c r="F406" s="191">
        <f>ROUND(F404+F405,2)</f>
        <v>155.80000000000001</v>
      </c>
      <c r="G406" s="71"/>
      <c r="H406" s="298"/>
      <c r="I406" s="298"/>
    </row>
    <row r="407" spans="1:9">
      <c r="A407" s="616" t="str">
        <f>CONCATENATE("Say ₹ ",F388," + ",F406," x Cost Index")</f>
        <v>Say ₹ 36.06 + 155.8 x Cost Index</v>
      </c>
      <c r="B407" s="454"/>
      <c r="C407" s="454"/>
      <c r="D407" s="454"/>
      <c r="E407" s="454"/>
      <c r="F407" s="450"/>
      <c r="G407" s="300" t="s">
        <v>1000</v>
      </c>
      <c r="H407" s="301">
        <f>F382*1.01*1.15/10</f>
        <v>36.064575000000005</v>
      </c>
      <c r="I407" s="301">
        <f>(F391+F393+F395+F398+F400)*1.01*1.15/10</f>
        <v>155.79956798000001</v>
      </c>
    </row>
    <row r="408" spans="1:9">
      <c r="A408" s="486" t="s">
        <v>771</v>
      </c>
      <c r="B408" s="486" t="s">
        <v>776</v>
      </c>
      <c r="C408" s="487" t="s">
        <v>4</v>
      </c>
      <c r="D408" s="454"/>
      <c r="E408" s="450"/>
      <c r="F408" s="487" t="s">
        <v>785</v>
      </c>
      <c r="G408" s="450"/>
      <c r="H408" s="298"/>
      <c r="I408" s="298"/>
    </row>
    <row r="409" spans="1:9">
      <c r="A409" s="457"/>
      <c r="B409" s="457"/>
      <c r="C409" s="62" t="s">
        <v>5</v>
      </c>
      <c r="D409" s="62" t="s">
        <v>6</v>
      </c>
      <c r="E409" s="62" t="s">
        <v>336</v>
      </c>
      <c r="F409" s="62" t="s">
        <v>8</v>
      </c>
      <c r="G409" s="62" t="s">
        <v>789</v>
      </c>
      <c r="H409" s="298"/>
      <c r="I409" s="298"/>
    </row>
    <row r="410" spans="1:9">
      <c r="A410" s="617" t="s">
        <v>1924</v>
      </c>
      <c r="B410" s="454"/>
      <c r="C410" s="454"/>
      <c r="D410" s="454"/>
      <c r="E410" s="454"/>
      <c r="F410" s="454"/>
      <c r="G410" s="450"/>
      <c r="H410" s="298"/>
      <c r="I410" s="298"/>
    </row>
    <row r="411" spans="1:9">
      <c r="A411" s="65"/>
      <c r="B411" s="66" t="s">
        <v>795</v>
      </c>
      <c r="C411" s="66" t="s">
        <v>21</v>
      </c>
      <c r="D411" s="66" t="s">
        <v>798</v>
      </c>
      <c r="E411" s="67">
        <v>10</v>
      </c>
      <c r="F411" s="484"/>
      <c r="G411" s="450"/>
      <c r="H411" s="298"/>
      <c r="I411" s="298"/>
    </row>
    <row r="412" spans="1:9">
      <c r="A412" s="66" t="s">
        <v>800</v>
      </c>
      <c r="B412" s="484" t="s">
        <v>1693</v>
      </c>
      <c r="C412" s="454"/>
      <c r="D412" s="454"/>
      <c r="E412" s="454"/>
      <c r="F412" s="454"/>
      <c r="G412" s="450"/>
      <c r="H412" s="298"/>
      <c r="I412" s="298"/>
    </row>
    <row r="413" spans="1:9">
      <c r="A413" s="490" t="s">
        <v>802</v>
      </c>
      <c r="B413" s="454"/>
      <c r="C413" s="454"/>
      <c r="D413" s="454"/>
      <c r="E413" s="454"/>
      <c r="F413" s="450"/>
      <c r="G413" s="68" t="s">
        <v>803</v>
      </c>
      <c r="H413" s="298"/>
      <c r="I413" s="298"/>
    </row>
    <row r="414" spans="1:9">
      <c r="A414" s="491"/>
      <c r="B414" s="491" t="s">
        <v>1714</v>
      </c>
      <c r="C414" s="484" t="s">
        <v>1767</v>
      </c>
      <c r="D414" s="454"/>
      <c r="E414" s="450"/>
      <c r="F414" s="484"/>
      <c r="G414" s="450"/>
      <c r="H414" s="298"/>
      <c r="I414" s="298"/>
    </row>
    <row r="415" spans="1:9">
      <c r="A415" s="457"/>
      <c r="B415" s="457"/>
      <c r="C415" s="66" t="s">
        <v>21</v>
      </c>
      <c r="D415" s="67">
        <v>11.5</v>
      </c>
      <c r="E415" s="67">
        <v>40.5</v>
      </c>
      <c r="F415" s="67">
        <f>E415*D415</f>
        <v>465.75</v>
      </c>
      <c r="G415" s="66" t="s">
        <v>808</v>
      </c>
      <c r="H415" s="298"/>
      <c r="I415" s="298"/>
    </row>
    <row r="416" spans="1:9">
      <c r="A416" s="492" t="s">
        <v>30</v>
      </c>
      <c r="B416" s="454"/>
      <c r="C416" s="450"/>
      <c r="D416" s="67">
        <v>10</v>
      </c>
      <c r="E416" s="70" t="s">
        <v>21</v>
      </c>
      <c r="F416" s="67">
        <f>F415</f>
        <v>465.75</v>
      </c>
      <c r="G416" s="66"/>
      <c r="H416" s="298"/>
      <c r="I416" s="298"/>
    </row>
    <row r="417" spans="1:9">
      <c r="A417" s="492" t="s">
        <v>826</v>
      </c>
      <c r="B417" s="454"/>
      <c r="C417" s="450"/>
      <c r="D417" s="67">
        <v>1</v>
      </c>
      <c r="E417" s="70" t="s">
        <v>21</v>
      </c>
      <c r="F417" s="67">
        <f>F416/D416</f>
        <v>46.575000000000003</v>
      </c>
      <c r="G417" s="66"/>
      <c r="H417" s="298"/>
      <c r="I417" s="298"/>
    </row>
    <row r="418" spans="1:9">
      <c r="A418" s="493" t="s">
        <v>829</v>
      </c>
      <c r="B418" s="454"/>
      <c r="C418" s="454"/>
      <c r="D418" s="450"/>
      <c r="E418" s="67"/>
      <c r="F418" s="67">
        <f>F417*1%</f>
        <v>0.46575000000000005</v>
      </c>
      <c r="G418" s="66"/>
      <c r="H418" s="298"/>
      <c r="I418" s="298"/>
    </row>
    <row r="419" spans="1:9">
      <c r="A419" s="493" t="s">
        <v>30</v>
      </c>
      <c r="B419" s="454"/>
      <c r="C419" s="454"/>
      <c r="D419" s="450"/>
      <c r="E419" s="71"/>
      <c r="F419" s="67">
        <f>F417+F418</f>
        <v>47.040750000000003</v>
      </c>
      <c r="G419" s="66"/>
      <c r="H419" s="298"/>
      <c r="I419" s="298"/>
    </row>
    <row r="420" spans="1:9">
      <c r="A420" s="493" t="s">
        <v>836</v>
      </c>
      <c r="B420" s="454"/>
      <c r="C420" s="454"/>
      <c r="D420" s="450"/>
      <c r="E420" s="67"/>
      <c r="F420" s="67">
        <f>F419*15%</f>
        <v>7.0561125000000002</v>
      </c>
      <c r="G420" s="66"/>
      <c r="H420" s="298"/>
      <c r="I420" s="298"/>
    </row>
    <row r="421" spans="1:9">
      <c r="A421" s="493" t="s">
        <v>30</v>
      </c>
      <c r="B421" s="454"/>
      <c r="C421" s="454"/>
      <c r="D421" s="450"/>
      <c r="E421" s="71"/>
      <c r="F421" s="191">
        <f>ROUND(F419+F420,2)</f>
        <v>54.1</v>
      </c>
      <c r="G421" s="66"/>
      <c r="H421" s="298"/>
      <c r="I421" s="298"/>
    </row>
    <row r="422" spans="1:9">
      <c r="A422" s="490" t="s">
        <v>819</v>
      </c>
      <c r="B422" s="454"/>
      <c r="C422" s="454"/>
      <c r="D422" s="454"/>
      <c r="E422" s="454"/>
      <c r="F422" s="450"/>
      <c r="G422" s="68" t="s">
        <v>820</v>
      </c>
      <c r="H422" s="298"/>
      <c r="I422" s="298"/>
    </row>
    <row r="423" spans="1:9">
      <c r="A423" s="491">
        <v>116</v>
      </c>
      <c r="B423" s="491"/>
      <c r="C423" s="484" t="s">
        <v>527</v>
      </c>
      <c r="D423" s="454"/>
      <c r="E423" s="450"/>
      <c r="F423" s="484"/>
      <c r="G423" s="450"/>
      <c r="H423" s="298"/>
      <c r="I423" s="298"/>
    </row>
    <row r="424" spans="1:9">
      <c r="A424" s="457"/>
      <c r="B424" s="457"/>
      <c r="C424" s="66" t="s">
        <v>26</v>
      </c>
      <c r="D424" s="67">
        <v>0.33</v>
      </c>
      <c r="E424" s="67">
        <v>784</v>
      </c>
      <c r="F424" s="67">
        <f>E424*D424</f>
        <v>258.72000000000003</v>
      </c>
      <c r="G424" s="66" t="s">
        <v>822</v>
      </c>
      <c r="H424" s="298"/>
      <c r="I424" s="298"/>
    </row>
    <row r="425" spans="1:9">
      <c r="A425" s="491">
        <v>117</v>
      </c>
      <c r="B425" s="491"/>
      <c r="C425" s="484" t="s">
        <v>858</v>
      </c>
      <c r="D425" s="454"/>
      <c r="E425" s="450"/>
      <c r="F425" s="484"/>
      <c r="G425" s="450"/>
      <c r="H425" s="298"/>
      <c r="I425" s="298"/>
    </row>
    <row r="426" spans="1:9">
      <c r="A426" s="457"/>
      <c r="B426" s="457"/>
      <c r="C426" s="66" t="s">
        <v>26</v>
      </c>
      <c r="D426" s="67">
        <v>0.98</v>
      </c>
      <c r="E426" s="67">
        <v>714</v>
      </c>
      <c r="F426" s="67">
        <f>E426*D426</f>
        <v>699.72</v>
      </c>
      <c r="G426" s="66" t="s">
        <v>825</v>
      </c>
      <c r="H426" s="298"/>
      <c r="I426" s="298"/>
    </row>
    <row r="427" spans="1:9">
      <c r="A427" s="491">
        <v>114</v>
      </c>
      <c r="B427" s="491"/>
      <c r="C427" s="484" t="s">
        <v>59</v>
      </c>
      <c r="D427" s="454"/>
      <c r="E427" s="450"/>
      <c r="F427" s="484"/>
      <c r="G427" s="450"/>
      <c r="H427" s="298"/>
      <c r="I427" s="298"/>
    </row>
    <row r="428" spans="1:9">
      <c r="A428" s="457"/>
      <c r="B428" s="457"/>
      <c r="C428" s="66" t="s">
        <v>26</v>
      </c>
      <c r="D428" s="67">
        <v>0.66</v>
      </c>
      <c r="E428" s="67">
        <v>645</v>
      </c>
      <c r="F428" s="67">
        <f>E428*D428</f>
        <v>425.70000000000005</v>
      </c>
      <c r="G428" s="66" t="s">
        <v>837</v>
      </c>
      <c r="H428" s="298"/>
      <c r="I428" s="298"/>
    </row>
    <row r="429" spans="1:9">
      <c r="A429" s="490" t="s">
        <v>847</v>
      </c>
      <c r="B429" s="454"/>
      <c r="C429" s="454"/>
      <c r="D429" s="454"/>
      <c r="E429" s="454"/>
      <c r="F429" s="450"/>
      <c r="G429" s="68" t="s">
        <v>820</v>
      </c>
      <c r="H429" s="298"/>
      <c r="I429" s="298"/>
    </row>
    <row r="430" spans="1:9">
      <c r="A430" s="491">
        <v>9999</v>
      </c>
      <c r="B430" s="491"/>
      <c r="C430" s="484" t="s">
        <v>1758</v>
      </c>
      <c r="D430" s="454"/>
      <c r="E430" s="450"/>
      <c r="F430" s="484"/>
      <c r="G430" s="450"/>
      <c r="H430" s="298"/>
      <c r="I430" s="298"/>
    </row>
    <row r="431" spans="1:9">
      <c r="A431" s="457"/>
      <c r="B431" s="457"/>
      <c r="C431" s="66" t="s">
        <v>62</v>
      </c>
      <c r="D431" s="67">
        <v>2.73</v>
      </c>
      <c r="E431" s="67">
        <v>2.12</v>
      </c>
      <c r="F431" s="67">
        <f>E431*D431</f>
        <v>5.7876000000000003</v>
      </c>
      <c r="G431" s="66" t="s">
        <v>851</v>
      </c>
      <c r="H431" s="298"/>
      <c r="I431" s="298"/>
    </row>
    <row r="432" spans="1:9">
      <c r="A432" s="491">
        <v>9999</v>
      </c>
      <c r="B432" s="491"/>
      <c r="C432" s="484" t="s">
        <v>1765</v>
      </c>
      <c r="D432" s="454"/>
      <c r="E432" s="450"/>
      <c r="F432" s="484"/>
      <c r="G432" s="450"/>
      <c r="H432" s="298"/>
      <c r="I432" s="298"/>
    </row>
    <row r="433" spans="1:9">
      <c r="A433" s="457"/>
      <c r="B433" s="457"/>
      <c r="C433" s="66" t="s">
        <v>62</v>
      </c>
      <c r="D433" s="67">
        <v>30.98</v>
      </c>
      <c r="E433" s="67">
        <v>2.12</v>
      </c>
      <c r="F433" s="67">
        <f>E433*D433</f>
        <v>65.677599999999998</v>
      </c>
      <c r="G433" s="66" t="s">
        <v>854</v>
      </c>
      <c r="H433" s="298"/>
      <c r="I433" s="298"/>
    </row>
    <row r="434" spans="1:9">
      <c r="A434" s="492" t="s">
        <v>30</v>
      </c>
      <c r="B434" s="454"/>
      <c r="C434" s="450"/>
      <c r="D434" s="67">
        <v>10</v>
      </c>
      <c r="E434" s="70" t="s">
        <v>21</v>
      </c>
      <c r="F434" s="67">
        <f>F424+F426+F428+F431+F433</f>
        <v>1455.6052000000002</v>
      </c>
      <c r="G434" s="71"/>
      <c r="H434" s="298"/>
      <c r="I434" s="298"/>
    </row>
    <row r="435" spans="1:9">
      <c r="A435" s="492" t="s">
        <v>826</v>
      </c>
      <c r="B435" s="454"/>
      <c r="C435" s="450"/>
      <c r="D435" s="67">
        <v>1</v>
      </c>
      <c r="E435" s="70" t="s">
        <v>21</v>
      </c>
      <c r="F435" s="67">
        <f>F434/D434</f>
        <v>145.56052000000003</v>
      </c>
      <c r="G435" s="71"/>
      <c r="H435" s="298"/>
      <c r="I435" s="298"/>
    </row>
    <row r="436" spans="1:9">
      <c r="A436" s="493" t="s">
        <v>829</v>
      </c>
      <c r="B436" s="454"/>
      <c r="C436" s="454"/>
      <c r="D436" s="450"/>
      <c r="E436" s="67"/>
      <c r="F436" s="67">
        <f>F435*1%</f>
        <v>1.4556052000000004</v>
      </c>
      <c r="G436" s="71"/>
      <c r="H436" s="298"/>
      <c r="I436" s="298"/>
    </row>
    <row r="437" spans="1:9">
      <c r="A437" s="493" t="s">
        <v>30</v>
      </c>
      <c r="B437" s="454"/>
      <c r="C437" s="454"/>
      <c r="D437" s="450"/>
      <c r="E437" s="71"/>
      <c r="F437" s="67">
        <f>F435+F436</f>
        <v>147.01612520000003</v>
      </c>
      <c r="G437" s="71"/>
      <c r="H437" s="298"/>
      <c r="I437" s="298"/>
    </row>
    <row r="438" spans="1:9">
      <c r="A438" s="493" t="s">
        <v>836</v>
      </c>
      <c r="B438" s="454"/>
      <c r="C438" s="454"/>
      <c r="D438" s="450"/>
      <c r="E438" s="67"/>
      <c r="F438" s="67">
        <f>F437*15%</f>
        <v>22.052418780000004</v>
      </c>
      <c r="G438" s="71"/>
      <c r="H438" s="298"/>
      <c r="I438" s="298"/>
    </row>
    <row r="439" spans="1:9">
      <c r="A439" s="493" t="s">
        <v>30</v>
      </c>
      <c r="B439" s="454"/>
      <c r="C439" s="454"/>
      <c r="D439" s="450"/>
      <c r="E439" s="71"/>
      <c r="F439" s="191">
        <f>ROUND(F437+F438,2)</f>
        <v>169.07</v>
      </c>
      <c r="G439" s="71"/>
      <c r="H439" s="298"/>
      <c r="I439" s="298"/>
    </row>
    <row r="440" spans="1:9">
      <c r="A440" s="616" t="str">
        <f>CONCATENATE("Say ₹ ",F421," + ",F439," x Cost Index")</f>
        <v>Say ₹ 54.1 + 169.07 x Cost Index</v>
      </c>
      <c r="B440" s="454"/>
      <c r="C440" s="454"/>
      <c r="D440" s="454"/>
      <c r="E440" s="454"/>
      <c r="F440" s="450"/>
      <c r="G440" s="300" t="s">
        <v>1000</v>
      </c>
      <c r="H440" s="301">
        <f>F415*1.01*1.15/10</f>
        <v>54.0968625</v>
      </c>
      <c r="I440" s="301">
        <f>(F424+F426+F428+F431+F433)*1.01*1.15/10</f>
        <v>169.06854398000002</v>
      </c>
    </row>
    <row r="441" spans="1:9">
      <c r="A441" s="486" t="s">
        <v>771</v>
      </c>
      <c r="B441" s="486" t="s">
        <v>776</v>
      </c>
      <c r="C441" s="487" t="s">
        <v>4</v>
      </c>
      <c r="D441" s="454"/>
      <c r="E441" s="450"/>
      <c r="F441" s="487" t="s">
        <v>785</v>
      </c>
      <c r="G441" s="450"/>
      <c r="H441" s="298"/>
      <c r="I441" s="298"/>
    </row>
    <row r="442" spans="1:9">
      <c r="A442" s="457"/>
      <c r="B442" s="457"/>
      <c r="C442" s="62" t="s">
        <v>5</v>
      </c>
      <c r="D442" s="62" t="s">
        <v>6</v>
      </c>
      <c r="E442" s="62" t="s">
        <v>336</v>
      </c>
      <c r="F442" s="62" t="s">
        <v>8</v>
      </c>
      <c r="G442" s="62" t="s">
        <v>789</v>
      </c>
      <c r="H442" s="298"/>
      <c r="I442" s="298"/>
    </row>
    <row r="443" spans="1:9">
      <c r="A443" s="617" t="s">
        <v>1937</v>
      </c>
      <c r="B443" s="454"/>
      <c r="C443" s="454"/>
      <c r="D443" s="454"/>
      <c r="E443" s="454"/>
      <c r="F443" s="454"/>
      <c r="G443" s="450"/>
      <c r="H443" s="298"/>
      <c r="I443" s="298"/>
    </row>
    <row r="444" spans="1:9">
      <c r="A444" s="65"/>
      <c r="B444" s="66" t="s">
        <v>795</v>
      </c>
      <c r="C444" s="66" t="s">
        <v>21</v>
      </c>
      <c r="D444" s="66" t="s">
        <v>798</v>
      </c>
      <c r="E444" s="67">
        <v>10</v>
      </c>
      <c r="F444" s="484"/>
      <c r="G444" s="450"/>
      <c r="H444" s="298"/>
      <c r="I444" s="298"/>
    </row>
    <row r="445" spans="1:9">
      <c r="A445" s="66" t="s">
        <v>800</v>
      </c>
      <c r="B445" s="484" t="s">
        <v>512</v>
      </c>
      <c r="C445" s="454"/>
      <c r="D445" s="454"/>
      <c r="E445" s="454"/>
      <c r="F445" s="454"/>
      <c r="G445" s="450"/>
      <c r="H445" s="298"/>
      <c r="I445" s="298"/>
    </row>
    <row r="446" spans="1:9">
      <c r="A446" s="490" t="s">
        <v>802</v>
      </c>
      <c r="B446" s="454"/>
      <c r="C446" s="454"/>
      <c r="D446" s="454"/>
      <c r="E446" s="454"/>
      <c r="F446" s="450"/>
      <c r="G446" s="68" t="s">
        <v>803</v>
      </c>
      <c r="H446" s="298"/>
      <c r="I446" s="298"/>
    </row>
    <row r="447" spans="1:9">
      <c r="A447" s="491"/>
      <c r="B447" s="491" t="s">
        <v>1732</v>
      </c>
      <c r="C447" s="484" t="s">
        <v>1781</v>
      </c>
      <c r="D447" s="454"/>
      <c r="E447" s="450"/>
      <c r="F447" s="484"/>
      <c r="G447" s="450"/>
      <c r="H447" s="298"/>
      <c r="I447" s="298"/>
    </row>
    <row r="448" spans="1:9">
      <c r="A448" s="457"/>
      <c r="B448" s="457"/>
      <c r="C448" s="66" t="s">
        <v>21</v>
      </c>
      <c r="D448" s="67">
        <v>11.5</v>
      </c>
      <c r="E448" s="67">
        <v>30</v>
      </c>
      <c r="F448" s="67">
        <f>E448*D448</f>
        <v>345</v>
      </c>
      <c r="G448" s="66" t="s">
        <v>808</v>
      </c>
      <c r="H448" s="298"/>
      <c r="I448" s="298"/>
    </row>
    <row r="449" spans="1:9">
      <c r="A449" s="492" t="s">
        <v>30</v>
      </c>
      <c r="B449" s="454"/>
      <c r="C449" s="450"/>
      <c r="D449" s="67">
        <v>10</v>
      </c>
      <c r="E449" s="70" t="s">
        <v>21</v>
      </c>
      <c r="F449" s="67">
        <f>F448</f>
        <v>345</v>
      </c>
      <c r="G449" s="66"/>
      <c r="H449" s="298"/>
      <c r="I449" s="298"/>
    </row>
    <row r="450" spans="1:9">
      <c r="A450" s="492" t="s">
        <v>826</v>
      </c>
      <c r="B450" s="454"/>
      <c r="C450" s="450"/>
      <c r="D450" s="67">
        <v>1</v>
      </c>
      <c r="E450" s="70" t="s">
        <v>21</v>
      </c>
      <c r="F450" s="67">
        <f>F449/D449</f>
        <v>34.5</v>
      </c>
      <c r="G450" s="66"/>
      <c r="H450" s="298"/>
      <c r="I450" s="298"/>
    </row>
    <row r="451" spans="1:9">
      <c r="A451" s="493" t="s">
        <v>829</v>
      </c>
      <c r="B451" s="454"/>
      <c r="C451" s="454"/>
      <c r="D451" s="450"/>
      <c r="E451" s="67"/>
      <c r="F451" s="67">
        <f>F450*1%</f>
        <v>0.34500000000000003</v>
      </c>
      <c r="G451" s="66"/>
      <c r="H451" s="298"/>
      <c r="I451" s="298"/>
    </row>
    <row r="452" spans="1:9">
      <c r="A452" s="493" t="s">
        <v>30</v>
      </c>
      <c r="B452" s="454"/>
      <c r="C452" s="454"/>
      <c r="D452" s="450"/>
      <c r="E452" s="71"/>
      <c r="F452" s="67">
        <f>F450+F451</f>
        <v>34.844999999999999</v>
      </c>
      <c r="G452" s="66"/>
      <c r="H452" s="298"/>
      <c r="I452" s="298"/>
    </row>
    <row r="453" spans="1:9">
      <c r="A453" s="493" t="s">
        <v>836</v>
      </c>
      <c r="B453" s="454"/>
      <c r="C453" s="454"/>
      <c r="D453" s="450"/>
      <c r="E453" s="67"/>
      <c r="F453" s="67">
        <f>F452*15%</f>
        <v>5.22675</v>
      </c>
      <c r="G453" s="66"/>
      <c r="H453" s="298"/>
      <c r="I453" s="298"/>
    </row>
    <row r="454" spans="1:9">
      <c r="A454" s="493" t="s">
        <v>30</v>
      </c>
      <c r="B454" s="454"/>
      <c r="C454" s="454"/>
      <c r="D454" s="450"/>
      <c r="E454" s="71"/>
      <c r="F454" s="191">
        <f>ROUND(F452+F453,2)</f>
        <v>40.07</v>
      </c>
      <c r="G454" s="66"/>
      <c r="H454" s="298"/>
      <c r="I454" s="298"/>
    </row>
    <row r="455" spans="1:9">
      <c r="A455" s="490" t="s">
        <v>819</v>
      </c>
      <c r="B455" s="454"/>
      <c r="C455" s="454"/>
      <c r="D455" s="454"/>
      <c r="E455" s="454"/>
      <c r="F455" s="450"/>
      <c r="G455" s="68" t="s">
        <v>820</v>
      </c>
      <c r="H455" s="298"/>
      <c r="I455" s="298"/>
    </row>
    <row r="456" spans="1:9">
      <c r="A456" s="491">
        <v>116</v>
      </c>
      <c r="B456" s="491"/>
      <c r="C456" s="484" t="s">
        <v>527</v>
      </c>
      <c r="D456" s="454"/>
      <c r="E456" s="450"/>
      <c r="F456" s="484"/>
      <c r="G456" s="450"/>
      <c r="H456" s="298"/>
      <c r="I456" s="298"/>
    </row>
    <row r="457" spans="1:9">
      <c r="A457" s="457"/>
      <c r="B457" s="457"/>
      <c r="C457" s="66" t="s">
        <v>26</v>
      </c>
      <c r="D457" s="67">
        <v>0.33</v>
      </c>
      <c r="E457" s="67">
        <v>784</v>
      </c>
      <c r="F457" s="67">
        <f>E457*D457</f>
        <v>258.72000000000003</v>
      </c>
      <c r="G457" s="66" t="s">
        <v>822</v>
      </c>
      <c r="H457" s="298"/>
      <c r="I457" s="298"/>
    </row>
    <row r="458" spans="1:9">
      <c r="A458" s="491">
        <v>117</v>
      </c>
      <c r="B458" s="491"/>
      <c r="C458" s="484" t="s">
        <v>858</v>
      </c>
      <c r="D458" s="454"/>
      <c r="E458" s="450"/>
      <c r="F458" s="484"/>
      <c r="G458" s="450"/>
      <c r="H458" s="298"/>
      <c r="I458" s="298"/>
    </row>
    <row r="459" spans="1:9">
      <c r="A459" s="457"/>
      <c r="B459" s="457"/>
      <c r="C459" s="66" t="s">
        <v>26</v>
      </c>
      <c r="D459" s="67">
        <v>0.98</v>
      </c>
      <c r="E459" s="67">
        <v>714</v>
      </c>
      <c r="F459" s="67">
        <f>E459*D459</f>
        <v>699.72</v>
      </c>
      <c r="G459" s="66" t="s">
        <v>825</v>
      </c>
      <c r="H459" s="298"/>
      <c r="I459" s="298"/>
    </row>
    <row r="460" spans="1:9">
      <c r="A460" s="491">
        <v>114</v>
      </c>
      <c r="B460" s="491"/>
      <c r="C460" s="484" t="s">
        <v>59</v>
      </c>
      <c r="D460" s="454"/>
      <c r="E460" s="450"/>
      <c r="F460" s="484"/>
      <c r="G460" s="450"/>
      <c r="H460" s="298"/>
      <c r="I460" s="298"/>
    </row>
    <row r="461" spans="1:9">
      <c r="A461" s="457"/>
      <c r="B461" s="457"/>
      <c r="C461" s="66" t="s">
        <v>26</v>
      </c>
      <c r="D461" s="67">
        <v>0.66</v>
      </c>
      <c r="E461" s="67">
        <v>645</v>
      </c>
      <c r="F461" s="67">
        <f>E461*D461</f>
        <v>425.70000000000005</v>
      </c>
      <c r="G461" s="66" t="s">
        <v>837</v>
      </c>
      <c r="H461" s="298"/>
      <c r="I461" s="298"/>
    </row>
    <row r="462" spans="1:9">
      <c r="A462" s="490" t="s">
        <v>847</v>
      </c>
      <c r="B462" s="454"/>
      <c r="C462" s="454"/>
      <c r="D462" s="454"/>
      <c r="E462" s="454"/>
      <c r="F462" s="450"/>
      <c r="G462" s="68" t="s">
        <v>820</v>
      </c>
      <c r="H462" s="298"/>
      <c r="I462" s="298"/>
    </row>
    <row r="463" spans="1:9">
      <c r="A463" s="491">
        <v>9999</v>
      </c>
      <c r="B463" s="491"/>
      <c r="C463" s="484" t="s">
        <v>1993</v>
      </c>
      <c r="D463" s="454"/>
      <c r="E463" s="450"/>
      <c r="F463" s="484"/>
      <c r="G463" s="450"/>
      <c r="H463" s="298"/>
      <c r="I463" s="298"/>
    </row>
    <row r="464" spans="1:9">
      <c r="A464" s="457"/>
      <c r="B464" s="457"/>
      <c r="C464" s="66" t="s">
        <v>62</v>
      </c>
      <c r="D464" s="67">
        <v>2.73</v>
      </c>
      <c r="E464" s="67">
        <v>2.12</v>
      </c>
      <c r="F464" s="67">
        <f>E464*D464</f>
        <v>5.7876000000000003</v>
      </c>
      <c r="G464" s="66" t="s">
        <v>851</v>
      </c>
      <c r="H464" s="298"/>
      <c r="I464" s="298"/>
    </row>
    <row r="465" spans="1:9">
      <c r="A465" s="491">
        <v>9999</v>
      </c>
      <c r="B465" s="491"/>
      <c r="C465" s="484" t="s">
        <v>1765</v>
      </c>
      <c r="D465" s="454"/>
      <c r="E465" s="450"/>
      <c r="F465" s="484"/>
      <c r="G465" s="450"/>
      <c r="H465" s="298"/>
      <c r="I465" s="298"/>
    </row>
    <row r="466" spans="1:9">
      <c r="A466" s="457"/>
      <c r="B466" s="457"/>
      <c r="C466" s="66" t="s">
        <v>62</v>
      </c>
      <c r="D466" s="67">
        <v>30.98</v>
      </c>
      <c r="E466" s="67">
        <v>2.12</v>
      </c>
      <c r="F466" s="67">
        <f>E466*D466</f>
        <v>65.677599999999998</v>
      </c>
      <c r="G466" s="66" t="s">
        <v>854</v>
      </c>
      <c r="H466" s="298"/>
      <c r="I466" s="298"/>
    </row>
    <row r="467" spans="1:9">
      <c r="A467" s="492" t="s">
        <v>30</v>
      </c>
      <c r="B467" s="454"/>
      <c r="C467" s="450"/>
      <c r="D467" s="67">
        <v>10</v>
      </c>
      <c r="E467" s="70" t="s">
        <v>21</v>
      </c>
      <c r="F467" s="67">
        <f>F457+F459+F461+F464+F466</f>
        <v>1455.6052000000002</v>
      </c>
      <c r="G467" s="71"/>
      <c r="H467" s="298"/>
      <c r="I467" s="298"/>
    </row>
    <row r="468" spans="1:9">
      <c r="A468" s="492" t="s">
        <v>826</v>
      </c>
      <c r="B468" s="454"/>
      <c r="C468" s="450"/>
      <c r="D468" s="67">
        <v>1</v>
      </c>
      <c r="E468" s="70" t="s">
        <v>21</v>
      </c>
      <c r="F468" s="67">
        <f>F467/D467</f>
        <v>145.56052000000003</v>
      </c>
      <c r="G468" s="71"/>
      <c r="H468" s="298"/>
      <c r="I468" s="298"/>
    </row>
    <row r="469" spans="1:9">
      <c r="A469" s="493" t="s">
        <v>829</v>
      </c>
      <c r="B469" s="454"/>
      <c r="C469" s="454"/>
      <c r="D469" s="450"/>
      <c r="E469" s="67"/>
      <c r="F469" s="67">
        <f>F468*1%</f>
        <v>1.4556052000000004</v>
      </c>
      <c r="G469" s="71"/>
      <c r="H469" s="298"/>
      <c r="I469" s="298"/>
    </row>
    <row r="470" spans="1:9">
      <c r="A470" s="493" t="s">
        <v>30</v>
      </c>
      <c r="B470" s="454"/>
      <c r="C470" s="454"/>
      <c r="D470" s="450"/>
      <c r="E470" s="71"/>
      <c r="F470" s="67">
        <f>F468+F469</f>
        <v>147.01612520000003</v>
      </c>
      <c r="G470" s="71"/>
      <c r="H470" s="298"/>
      <c r="I470" s="298"/>
    </row>
    <row r="471" spans="1:9">
      <c r="A471" s="493" t="s">
        <v>836</v>
      </c>
      <c r="B471" s="454"/>
      <c r="C471" s="454"/>
      <c r="D471" s="450"/>
      <c r="E471" s="67"/>
      <c r="F471" s="67">
        <f>F470*15%</f>
        <v>22.052418780000004</v>
      </c>
      <c r="G471" s="71"/>
      <c r="H471" s="298"/>
      <c r="I471" s="298"/>
    </row>
    <row r="472" spans="1:9">
      <c r="A472" s="493" t="s">
        <v>30</v>
      </c>
      <c r="B472" s="454"/>
      <c r="C472" s="454"/>
      <c r="D472" s="450"/>
      <c r="E472" s="71"/>
      <c r="F472" s="191">
        <f>ROUND(F470+F471,2)</f>
        <v>169.07</v>
      </c>
      <c r="G472" s="71"/>
      <c r="H472" s="298"/>
      <c r="I472" s="298"/>
    </row>
    <row r="473" spans="1:9">
      <c r="A473" s="616" t="str">
        <f>CONCATENATE("Say ₹ ",F454," + ",F472," x Cost Index")</f>
        <v>Say ₹ 40.07 + 169.07 x Cost Index</v>
      </c>
      <c r="B473" s="454"/>
      <c r="C473" s="454"/>
      <c r="D473" s="454"/>
      <c r="E473" s="454"/>
      <c r="F473" s="450"/>
      <c r="G473" s="300" t="s">
        <v>1000</v>
      </c>
      <c r="H473" s="301">
        <f>F448*1.01*1.15/10</f>
        <v>40.071749999999994</v>
      </c>
      <c r="I473" s="301">
        <f>(F457+F459+F461+F464+F466)*1.01*1.15/10</f>
        <v>169.06854398000002</v>
      </c>
    </row>
    <row r="474" spans="1:9">
      <c r="A474" s="486" t="s">
        <v>771</v>
      </c>
      <c r="B474" s="486" t="s">
        <v>776</v>
      </c>
      <c r="C474" s="487" t="s">
        <v>4</v>
      </c>
      <c r="D474" s="454"/>
      <c r="E474" s="450"/>
      <c r="F474" s="487" t="s">
        <v>785</v>
      </c>
      <c r="G474" s="450"/>
      <c r="H474" s="298"/>
      <c r="I474" s="298"/>
    </row>
    <row r="475" spans="1:9">
      <c r="A475" s="457"/>
      <c r="B475" s="457"/>
      <c r="C475" s="62" t="s">
        <v>5</v>
      </c>
      <c r="D475" s="62" t="s">
        <v>6</v>
      </c>
      <c r="E475" s="62" t="s">
        <v>336</v>
      </c>
      <c r="F475" s="62" t="s">
        <v>8</v>
      </c>
      <c r="G475" s="62" t="s">
        <v>789</v>
      </c>
      <c r="H475" s="298"/>
      <c r="I475" s="298"/>
    </row>
    <row r="476" spans="1:9">
      <c r="A476" s="617" t="s">
        <v>2003</v>
      </c>
      <c r="B476" s="454"/>
      <c r="C476" s="454"/>
      <c r="D476" s="454"/>
      <c r="E476" s="454"/>
      <c r="F476" s="454"/>
      <c r="G476" s="450"/>
      <c r="H476" s="298"/>
      <c r="I476" s="298"/>
    </row>
    <row r="477" spans="1:9">
      <c r="A477" s="65"/>
      <c r="B477" s="66" t="s">
        <v>795</v>
      </c>
      <c r="C477" s="66" t="s">
        <v>21</v>
      </c>
      <c r="D477" s="66" t="s">
        <v>798</v>
      </c>
      <c r="E477" s="67">
        <v>10</v>
      </c>
      <c r="F477" s="484"/>
      <c r="G477" s="450"/>
      <c r="H477" s="298"/>
      <c r="I477" s="298"/>
    </row>
    <row r="478" spans="1:9">
      <c r="A478" s="66" t="s">
        <v>800</v>
      </c>
      <c r="B478" s="484" t="s">
        <v>1693</v>
      </c>
      <c r="C478" s="454"/>
      <c r="D478" s="454"/>
      <c r="E478" s="454"/>
      <c r="F478" s="454"/>
      <c r="G478" s="450"/>
      <c r="H478" s="298"/>
      <c r="I478" s="298"/>
    </row>
    <row r="479" spans="1:9">
      <c r="A479" s="490" t="s">
        <v>802</v>
      </c>
      <c r="B479" s="454"/>
      <c r="C479" s="454"/>
      <c r="D479" s="454"/>
      <c r="E479" s="454"/>
      <c r="F479" s="450"/>
      <c r="G479" s="68" t="s">
        <v>803</v>
      </c>
      <c r="H479" s="298"/>
      <c r="I479" s="298"/>
    </row>
    <row r="480" spans="1:9">
      <c r="A480" s="491"/>
      <c r="B480" s="491" t="s">
        <v>1753</v>
      </c>
      <c r="C480" s="484" t="s">
        <v>2004</v>
      </c>
      <c r="D480" s="454"/>
      <c r="E480" s="450"/>
      <c r="F480" s="484"/>
      <c r="G480" s="450"/>
      <c r="H480" s="298"/>
      <c r="I480" s="298"/>
    </row>
    <row r="481" spans="1:9">
      <c r="A481" s="457"/>
      <c r="B481" s="457"/>
      <c r="C481" s="66" t="s">
        <v>21</v>
      </c>
      <c r="D481" s="67">
        <v>11.5</v>
      </c>
      <c r="E481" s="67">
        <v>61</v>
      </c>
      <c r="F481" s="67">
        <f>E481*D481</f>
        <v>701.5</v>
      </c>
      <c r="G481" s="66" t="s">
        <v>808</v>
      </c>
      <c r="H481" s="298"/>
      <c r="I481" s="298"/>
    </row>
    <row r="482" spans="1:9">
      <c r="A482" s="492" t="s">
        <v>30</v>
      </c>
      <c r="B482" s="454"/>
      <c r="C482" s="450"/>
      <c r="D482" s="67">
        <v>10</v>
      </c>
      <c r="E482" s="70" t="s">
        <v>21</v>
      </c>
      <c r="F482" s="67">
        <f>F481</f>
        <v>701.5</v>
      </c>
      <c r="G482" s="66"/>
      <c r="H482" s="298"/>
      <c r="I482" s="298"/>
    </row>
    <row r="483" spans="1:9">
      <c r="A483" s="492" t="s">
        <v>826</v>
      </c>
      <c r="B483" s="454"/>
      <c r="C483" s="450"/>
      <c r="D483" s="67">
        <v>1</v>
      </c>
      <c r="E483" s="70" t="s">
        <v>21</v>
      </c>
      <c r="F483" s="67">
        <f>F482/D482</f>
        <v>70.150000000000006</v>
      </c>
      <c r="G483" s="66"/>
      <c r="H483" s="298"/>
      <c r="I483" s="298"/>
    </row>
    <row r="484" spans="1:9">
      <c r="A484" s="493" t="s">
        <v>829</v>
      </c>
      <c r="B484" s="454"/>
      <c r="C484" s="454"/>
      <c r="D484" s="450"/>
      <c r="E484" s="67"/>
      <c r="F484" s="67">
        <f>F483*1%</f>
        <v>0.70150000000000012</v>
      </c>
      <c r="G484" s="66"/>
      <c r="H484" s="298"/>
      <c r="I484" s="298"/>
    </row>
    <row r="485" spans="1:9">
      <c r="A485" s="493" t="s">
        <v>30</v>
      </c>
      <c r="B485" s="454"/>
      <c r="C485" s="454"/>
      <c r="D485" s="450"/>
      <c r="E485" s="71"/>
      <c r="F485" s="67">
        <f>F483+F484</f>
        <v>70.851500000000001</v>
      </c>
      <c r="G485" s="66"/>
      <c r="H485" s="298"/>
      <c r="I485" s="298"/>
    </row>
    <row r="486" spans="1:9">
      <c r="A486" s="493" t="s">
        <v>836</v>
      </c>
      <c r="B486" s="454"/>
      <c r="C486" s="454"/>
      <c r="D486" s="450"/>
      <c r="E486" s="67"/>
      <c r="F486" s="67">
        <f>F485*15%</f>
        <v>10.627725</v>
      </c>
      <c r="G486" s="66"/>
      <c r="H486" s="298"/>
      <c r="I486" s="298"/>
    </row>
    <row r="487" spans="1:9">
      <c r="A487" s="493" t="s">
        <v>30</v>
      </c>
      <c r="B487" s="454"/>
      <c r="C487" s="454"/>
      <c r="D487" s="450"/>
      <c r="E487" s="71"/>
      <c r="F487" s="191">
        <f>ROUND(F485+F486,2)</f>
        <v>81.48</v>
      </c>
      <c r="G487" s="66"/>
      <c r="H487" s="298"/>
      <c r="I487" s="298"/>
    </row>
    <row r="488" spans="1:9">
      <c r="A488" s="490" t="s">
        <v>819</v>
      </c>
      <c r="B488" s="454"/>
      <c r="C488" s="454"/>
      <c r="D488" s="454"/>
      <c r="E488" s="454"/>
      <c r="F488" s="450"/>
      <c r="G488" s="68" t="s">
        <v>820</v>
      </c>
      <c r="H488" s="298"/>
      <c r="I488" s="298"/>
    </row>
    <row r="489" spans="1:9">
      <c r="A489" s="491">
        <v>116</v>
      </c>
      <c r="B489" s="491"/>
      <c r="C489" s="484" t="s">
        <v>527</v>
      </c>
      <c r="D489" s="454"/>
      <c r="E489" s="450"/>
      <c r="F489" s="484"/>
      <c r="G489" s="450"/>
      <c r="H489" s="298"/>
      <c r="I489" s="298"/>
    </row>
    <row r="490" spans="1:9">
      <c r="A490" s="457"/>
      <c r="B490" s="457"/>
      <c r="C490" s="66" t="s">
        <v>26</v>
      </c>
      <c r="D490" s="67">
        <v>0.33</v>
      </c>
      <c r="E490" s="67">
        <v>784</v>
      </c>
      <c r="F490" s="67">
        <f>E490*D490</f>
        <v>258.72000000000003</v>
      </c>
      <c r="G490" s="66" t="s">
        <v>822</v>
      </c>
      <c r="H490" s="298"/>
      <c r="I490" s="298"/>
    </row>
    <row r="491" spans="1:9">
      <c r="A491" s="491">
        <v>117</v>
      </c>
      <c r="B491" s="491"/>
      <c r="C491" s="484" t="s">
        <v>858</v>
      </c>
      <c r="D491" s="454"/>
      <c r="E491" s="450"/>
      <c r="F491" s="484"/>
      <c r="G491" s="450"/>
      <c r="H491" s="298"/>
      <c r="I491" s="298"/>
    </row>
    <row r="492" spans="1:9">
      <c r="A492" s="457"/>
      <c r="B492" s="457"/>
      <c r="C492" s="66" t="s">
        <v>26</v>
      </c>
      <c r="D492" s="67">
        <v>0.98</v>
      </c>
      <c r="E492" s="67">
        <v>714</v>
      </c>
      <c r="F492" s="67">
        <f>E492*D492</f>
        <v>699.72</v>
      </c>
      <c r="G492" s="66" t="s">
        <v>825</v>
      </c>
      <c r="H492" s="298"/>
      <c r="I492" s="298"/>
    </row>
    <row r="493" spans="1:9">
      <c r="A493" s="491">
        <v>114</v>
      </c>
      <c r="B493" s="491"/>
      <c r="C493" s="484" t="s">
        <v>59</v>
      </c>
      <c r="D493" s="454"/>
      <c r="E493" s="450"/>
      <c r="F493" s="484"/>
      <c r="G493" s="450"/>
      <c r="H493" s="298"/>
      <c r="I493" s="298"/>
    </row>
    <row r="494" spans="1:9">
      <c r="A494" s="457"/>
      <c r="B494" s="457"/>
      <c r="C494" s="66" t="s">
        <v>26</v>
      </c>
      <c r="D494" s="67">
        <v>0.66</v>
      </c>
      <c r="E494" s="67">
        <v>645</v>
      </c>
      <c r="F494" s="67">
        <f>E494*D494</f>
        <v>425.70000000000005</v>
      </c>
      <c r="G494" s="66" t="s">
        <v>837</v>
      </c>
      <c r="H494" s="298"/>
      <c r="I494" s="298"/>
    </row>
    <row r="495" spans="1:9">
      <c r="A495" s="490" t="s">
        <v>847</v>
      </c>
      <c r="B495" s="454"/>
      <c r="C495" s="454"/>
      <c r="D495" s="454"/>
      <c r="E495" s="454"/>
      <c r="F495" s="450"/>
      <c r="G495" s="68" t="s">
        <v>820</v>
      </c>
      <c r="H495" s="298"/>
      <c r="I495" s="298"/>
    </row>
    <row r="496" spans="1:9">
      <c r="A496" s="491">
        <v>9999</v>
      </c>
      <c r="B496" s="491"/>
      <c r="C496" s="484" t="s">
        <v>1758</v>
      </c>
      <c r="D496" s="454"/>
      <c r="E496" s="450"/>
      <c r="F496" s="484"/>
      <c r="G496" s="450"/>
      <c r="H496" s="298"/>
      <c r="I496" s="298"/>
    </row>
    <row r="497" spans="1:9">
      <c r="A497" s="457"/>
      <c r="B497" s="457"/>
      <c r="C497" s="66" t="s">
        <v>62</v>
      </c>
      <c r="D497" s="67">
        <v>2.73</v>
      </c>
      <c r="E497" s="67">
        <v>2.12</v>
      </c>
      <c r="F497" s="67">
        <f>E497*D497</f>
        <v>5.7876000000000003</v>
      </c>
      <c r="G497" s="66" t="s">
        <v>851</v>
      </c>
      <c r="H497" s="298"/>
      <c r="I497" s="298"/>
    </row>
    <row r="498" spans="1:9">
      <c r="A498" s="491">
        <v>9999</v>
      </c>
      <c r="B498" s="491"/>
      <c r="C498" s="484" t="s">
        <v>1765</v>
      </c>
      <c r="D498" s="454"/>
      <c r="E498" s="450"/>
      <c r="F498" s="484"/>
      <c r="G498" s="450"/>
      <c r="H498" s="298"/>
      <c r="I498" s="298"/>
    </row>
    <row r="499" spans="1:9">
      <c r="A499" s="457"/>
      <c r="B499" s="457"/>
      <c r="C499" s="66" t="s">
        <v>62</v>
      </c>
      <c r="D499" s="67">
        <v>30.98</v>
      </c>
      <c r="E499" s="67">
        <v>2.12</v>
      </c>
      <c r="F499" s="67">
        <f>E499*D499</f>
        <v>65.677599999999998</v>
      </c>
      <c r="G499" s="66" t="s">
        <v>854</v>
      </c>
      <c r="H499" s="298"/>
      <c r="I499" s="298"/>
    </row>
    <row r="500" spans="1:9">
      <c r="A500" s="492" t="s">
        <v>30</v>
      </c>
      <c r="B500" s="454"/>
      <c r="C500" s="450"/>
      <c r="D500" s="67">
        <v>10</v>
      </c>
      <c r="E500" s="70" t="s">
        <v>21</v>
      </c>
      <c r="F500" s="67">
        <f>F490+F492+F494+F497+F499</f>
        <v>1455.6052000000002</v>
      </c>
      <c r="G500" s="71"/>
      <c r="H500" s="298"/>
      <c r="I500" s="298"/>
    </row>
    <row r="501" spans="1:9">
      <c r="A501" s="492" t="s">
        <v>826</v>
      </c>
      <c r="B501" s="454"/>
      <c r="C501" s="450"/>
      <c r="D501" s="67">
        <v>1</v>
      </c>
      <c r="E501" s="70" t="s">
        <v>21</v>
      </c>
      <c r="F501" s="67">
        <f>F500/D500</f>
        <v>145.56052000000003</v>
      </c>
      <c r="G501" s="71"/>
      <c r="H501" s="298"/>
      <c r="I501" s="298"/>
    </row>
    <row r="502" spans="1:9">
      <c r="A502" s="493" t="s">
        <v>829</v>
      </c>
      <c r="B502" s="454"/>
      <c r="C502" s="454"/>
      <c r="D502" s="450"/>
      <c r="E502" s="67"/>
      <c r="F502" s="67">
        <f>F501*1%</f>
        <v>1.4556052000000004</v>
      </c>
      <c r="G502" s="71"/>
      <c r="H502" s="298"/>
      <c r="I502" s="298"/>
    </row>
    <row r="503" spans="1:9">
      <c r="A503" s="493" t="s">
        <v>30</v>
      </c>
      <c r="B503" s="454"/>
      <c r="C503" s="454"/>
      <c r="D503" s="450"/>
      <c r="E503" s="71"/>
      <c r="F503" s="67">
        <f>F501+F502</f>
        <v>147.01612520000003</v>
      </c>
      <c r="G503" s="71"/>
      <c r="H503" s="298"/>
      <c r="I503" s="298"/>
    </row>
    <row r="504" spans="1:9">
      <c r="A504" s="493" t="s">
        <v>836</v>
      </c>
      <c r="B504" s="454"/>
      <c r="C504" s="454"/>
      <c r="D504" s="450"/>
      <c r="E504" s="67"/>
      <c r="F504" s="67">
        <f>F503*15%</f>
        <v>22.052418780000004</v>
      </c>
      <c r="G504" s="71"/>
      <c r="H504" s="298"/>
      <c r="I504" s="298"/>
    </row>
    <row r="505" spans="1:9">
      <c r="A505" s="493" t="s">
        <v>30</v>
      </c>
      <c r="B505" s="454"/>
      <c r="C505" s="454"/>
      <c r="D505" s="450"/>
      <c r="E505" s="71"/>
      <c r="F505" s="191">
        <f>ROUND(F503+F504,2)</f>
        <v>169.07</v>
      </c>
      <c r="G505" s="71"/>
      <c r="H505" s="298"/>
      <c r="I505" s="298"/>
    </row>
    <row r="506" spans="1:9">
      <c r="A506" s="616" t="str">
        <f>CONCATENATE("Say ₹ ",F487," + ",F505," x Cost Index")</f>
        <v>Say ₹ 81.48 + 169.07 x Cost Index</v>
      </c>
      <c r="B506" s="454"/>
      <c r="C506" s="454"/>
      <c r="D506" s="454"/>
      <c r="E506" s="454"/>
      <c r="F506" s="450"/>
      <c r="G506" s="300" t="s">
        <v>1000</v>
      </c>
      <c r="H506" s="301">
        <f>F481*1.01*1.15/10</f>
        <v>81.479225</v>
      </c>
      <c r="I506" s="301">
        <f>(F490+F492+F494+F497+F499)*1.01*1.15/10</f>
        <v>169.06854398000002</v>
      </c>
    </row>
    <row r="507" spans="1:9">
      <c r="A507" s="486" t="s">
        <v>771</v>
      </c>
      <c r="B507" s="486" t="s">
        <v>776</v>
      </c>
      <c r="C507" s="487" t="s">
        <v>4</v>
      </c>
      <c r="D507" s="454"/>
      <c r="E507" s="450"/>
      <c r="F507" s="487" t="s">
        <v>785</v>
      </c>
      <c r="G507" s="450"/>
      <c r="H507" s="298"/>
      <c r="I507" s="298"/>
    </row>
    <row r="508" spans="1:9">
      <c r="A508" s="457"/>
      <c r="B508" s="457"/>
      <c r="C508" s="62" t="s">
        <v>5</v>
      </c>
      <c r="D508" s="62" t="s">
        <v>6</v>
      </c>
      <c r="E508" s="62" t="s">
        <v>336</v>
      </c>
      <c r="F508" s="62" t="s">
        <v>8</v>
      </c>
      <c r="G508" s="62" t="s">
        <v>789</v>
      </c>
      <c r="H508" s="298"/>
      <c r="I508" s="298"/>
    </row>
    <row r="509" spans="1:9">
      <c r="A509" s="617" t="s">
        <v>2016</v>
      </c>
      <c r="B509" s="454"/>
      <c r="C509" s="454"/>
      <c r="D509" s="454"/>
      <c r="E509" s="454"/>
      <c r="F509" s="454"/>
      <c r="G509" s="450"/>
      <c r="H509" s="298"/>
      <c r="I509" s="298"/>
    </row>
    <row r="510" spans="1:9">
      <c r="A510" s="65"/>
      <c r="B510" s="66" t="s">
        <v>795</v>
      </c>
      <c r="C510" s="66" t="s">
        <v>21</v>
      </c>
      <c r="D510" s="66" t="s">
        <v>798</v>
      </c>
      <c r="E510" s="67">
        <v>10</v>
      </c>
      <c r="F510" s="484"/>
      <c r="G510" s="450"/>
      <c r="H510" s="298"/>
      <c r="I510" s="298"/>
    </row>
    <row r="511" spans="1:9">
      <c r="A511" s="66" t="s">
        <v>800</v>
      </c>
      <c r="B511" s="484" t="s">
        <v>512</v>
      </c>
      <c r="C511" s="454"/>
      <c r="D511" s="454"/>
      <c r="E511" s="454"/>
      <c r="F511" s="454"/>
      <c r="G511" s="450"/>
      <c r="H511" s="298"/>
      <c r="I511" s="298"/>
    </row>
    <row r="512" spans="1:9">
      <c r="A512" s="490" t="s">
        <v>802</v>
      </c>
      <c r="B512" s="454"/>
      <c r="C512" s="454"/>
      <c r="D512" s="454"/>
      <c r="E512" s="454"/>
      <c r="F512" s="450"/>
      <c r="G512" s="68" t="s">
        <v>803</v>
      </c>
      <c r="H512" s="298"/>
      <c r="I512" s="298"/>
    </row>
    <row r="513" spans="1:9">
      <c r="A513" s="491"/>
      <c r="B513" s="491" t="s">
        <v>1778</v>
      </c>
      <c r="C513" s="484" t="s">
        <v>1806</v>
      </c>
      <c r="D513" s="454"/>
      <c r="E513" s="450"/>
      <c r="F513" s="484"/>
      <c r="G513" s="450"/>
      <c r="H513" s="298"/>
      <c r="I513" s="298"/>
    </row>
    <row r="514" spans="1:9">
      <c r="A514" s="457"/>
      <c r="B514" s="457"/>
      <c r="C514" s="66" t="s">
        <v>21</v>
      </c>
      <c r="D514" s="67">
        <v>11.5</v>
      </c>
      <c r="E514" s="67">
        <v>48</v>
      </c>
      <c r="F514" s="67">
        <f>E514*D514</f>
        <v>552</v>
      </c>
      <c r="G514" s="66" t="s">
        <v>808</v>
      </c>
      <c r="H514" s="298"/>
      <c r="I514" s="298"/>
    </row>
    <row r="515" spans="1:9">
      <c r="A515" s="492" t="s">
        <v>30</v>
      </c>
      <c r="B515" s="454"/>
      <c r="C515" s="450"/>
      <c r="D515" s="67">
        <v>10</v>
      </c>
      <c r="E515" s="70" t="s">
        <v>21</v>
      </c>
      <c r="F515" s="67">
        <f>F514</f>
        <v>552</v>
      </c>
      <c r="G515" s="66"/>
      <c r="H515" s="298"/>
      <c r="I515" s="298"/>
    </row>
    <row r="516" spans="1:9">
      <c r="A516" s="492" t="s">
        <v>826</v>
      </c>
      <c r="B516" s="454"/>
      <c r="C516" s="450"/>
      <c r="D516" s="67">
        <v>1</v>
      </c>
      <c r="E516" s="70" t="s">
        <v>21</v>
      </c>
      <c r="F516" s="67">
        <f>F515/D515</f>
        <v>55.2</v>
      </c>
      <c r="G516" s="66"/>
      <c r="H516" s="298"/>
      <c r="I516" s="298"/>
    </row>
    <row r="517" spans="1:9">
      <c r="A517" s="493" t="s">
        <v>829</v>
      </c>
      <c r="B517" s="454"/>
      <c r="C517" s="454"/>
      <c r="D517" s="450"/>
      <c r="E517" s="67"/>
      <c r="F517" s="67">
        <f>F516*1%</f>
        <v>0.55200000000000005</v>
      </c>
      <c r="G517" s="66"/>
      <c r="H517" s="298"/>
      <c r="I517" s="298"/>
    </row>
    <row r="518" spans="1:9">
      <c r="A518" s="493" t="s">
        <v>30</v>
      </c>
      <c r="B518" s="454"/>
      <c r="C518" s="454"/>
      <c r="D518" s="450"/>
      <c r="E518" s="71"/>
      <c r="F518" s="67">
        <f>F516+F517</f>
        <v>55.752000000000002</v>
      </c>
      <c r="G518" s="66"/>
      <c r="H518" s="298"/>
      <c r="I518" s="298"/>
    </row>
    <row r="519" spans="1:9">
      <c r="A519" s="493" t="s">
        <v>836</v>
      </c>
      <c r="B519" s="454"/>
      <c r="C519" s="454"/>
      <c r="D519" s="450"/>
      <c r="E519" s="67"/>
      <c r="F519" s="67">
        <f>F518*15%</f>
        <v>8.3628</v>
      </c>
      <c r="G519" s="66"/>
      <c r="H519" s="298"/>
      <c r="I519" s="298"/>
    </row>
    <row r="520" spans="1:9">
      <c r="A520" s="493" t="s">
        <v>30</v>
      </c>
      <c r="B520" s="454"/>
      <c r="C520" s="454"/>
      <c r="D520" s="450"/>
      <c r="E520" s="71"/>
      <c r="F520" s="191">
        <f>ROUND(F518+F519,2)</f>
        <v>64.11</v>
      </c>
      <c r="G520" s="66"/>
      <c r="H520" s="298"/>
      <c r="I520" s="298"/>
    </row>
    <row r="521" spans="1:9">
      <c r="A521" s="490" t="s">
        <v>819</v>
      </c>
      <c r="B521" s="454"/>
      <c r="C521" s="454"/>
      <c r="D521" s="454"/>
      <c r="E521" s="454"/>
      <c r="F521" s="450"/>
      <c r="G521" s="68" t="s">
        <v>820</v>
      </c>
      <c r="H521" s="298"/>
      <c r="I521" s="298"/>
    </row>
    <row r="522" spans="1:9">
      <c r="A522" s="491">
        <v>116</v>
      </c>
      <c r="B522" s="491"/>
      <c r="C522" s="484" t="s">
        <v>527</v>
      </c>
      <c r="D522" s="454"/>
      <c r="E522" s="450"/>
      <c r="F522" s="484"/>
      <c r="G522" s="450"/>
      <c r="H522" s="298"/>
      <c r="I522" s="298"/>
    </row>
    <row r="523" spans="1:9">
      <c r="A523" s="457"/>
      <c r="B523" s="457"/>
      <c r="C523" s="66" t="s">
        <v>26</v>
      </c>
      <c r="D523" s="67">
        <v>0.33</v>
      </c>
      <c r="E523" s="67">
        <v>784</v>
      </c>
      <c r="F523" s="67">
        <f>E523*D523</f>
        <v>258.72000000000003</v>
      </c>
      <c r="G523" s="66" t="s">
        <v>822</v>
      </c>
      <c r="H523" s="298"/>
      <c r="I523" s="298"/>
    </row>
    <row r="524" spans="1:9">
      <c r="A524" s="491">
        <v>117</v>
      </c>
      <c r="B524" s="491"/>
      <c r="C524" s="484" t="s">
        <v>858</v>
      </c>
      <c r="D524" s="454"/>
      <c r="E524" s="450"/>
      <c r="F524" s="484"/>
      <c r="G524" s="450"/>
      <c r="H524" s="298"/>
      <c r="I524" s="298"/>
    </row>
    <row r="525" spans="1:9">
      <c r="A525" s="457"/>
      <c r="B525" s="457"/>
      <c r="C525" s="66" t="s">
        <v>26</v>
      </c>
      <c r="D525" s="67">
        <v>0.98</v>
      </c>
      <c r="E525" s="67">
        <v>714</v>
      </c>
      <c r="F525" s="67">
        <f>E525*D525</f>
        <v>699.72</v>
      </c>
      <c r="G525" s="66" t="s">
        <v>825</v>
      </c>
      <c r="H525" s="298"/>
      <c r="I525" s="298"/>
    </row>
    <row r="526" spans="1:9">
      <c r="A526" s="491">
        <v>114</v>
      </c>
      <c r="B526" s="491"/>
      <c r="C526" s="484" t="s">
        <v>59</v>
      </c>
      <c r="D526" s="454"/>
      <c r="E526" s="450"/>
      <c r="F526" s="484"/>
      <c r="G526" s="450"/>
      <c r="H526" s="298"/>
      <c r="I526" s="298"/>
    </row>
    <row r="527" spans="1:9">
      <c r="A527" s="457"/>
      <c r="B527" s="457"/>
      <c r="C527" s="66" t="s">
        <v>26</v>
      </c>
      <c r="D527" s="67">
        <v>0.66</v>
      </c>
      <c r="E527" s="67">
        <v>645</v>
      </c>
      <c r="F527" s="67">
        <f>E527*D527</f>
        <v>425.70000000000005</v>
      </c>
      <c r="G527" s="66" t="s">
        <v>837</v>
      </c>
      <c r="H527" s="298"/>
      <c r="I527" s="298"/>
    </row>
    <row r="528" spans="1:9">
      <c r="A528" s="490" t="s">
        <v>847</v>
      </c>
      <c r="B528" s="454"/>
      <c r="C528" s="454"/>
      <c r="D528" s="454"/>
      <c r="E528" s="454"/>
      <c r="F528" s="450"/>
      <c r="G528" s="68" t="s">
        <v>820</v>
      </c>
      <c r="H528" s="298"/>
      <c r="I528" s="298"/>
    </row>
    <row r="529" spans="1:9">
      <c r="A529" s="491">
        <v>9999</v>
      </c>
      <c r="B529" s="491"/>
      <c r="C529" s="484" t="s">
        <v>1758</v>
      </c>
      <c r="D529" s="454"/>
      <c r="E529" s="450"/>
      <c r="F529" s="484"/>
      <c r="G529" s="450"/>
      <c r="H529" s="298"/>
      <c r="I529" s="298"/>
    </row>
    <row r="530" spans="1:9">
      <c r="A530" s="457"/>
      <c r="B530" s="457"/>
      <c r="C530" s="66" t="s">
        <v>62</v>
      </c>
      <c r="D530" s="67">
        <v>2.73</v>
      </c>
      <c r="E530" s="67">
        <v>2.12</v>
      </c>
      <c r="F530" s="67">
        <f>E530*D530</f>
        <v>5.7876000000000003</v>
      </c>
      <c r="G530" s="66" t="s">
        <v>851</v>
      </c>
      <c r="H530" s="298"/>
      <c r="I530" s="298"/>
    </row>
    <row r="531" spans="1:9">
      <c r="A531" s="491">
        <v>9999</v>
      </c>
      <c r="B531" s="491"/>
      <c r="C531" s="484" t="s">
        <v>2022</v>
      </c>
      <c r="D531" s="454"/>
      <c r="E531" s="450"/>
      <c r="F531" s="484"/>
      <c r="G531" s="450"/>
      <c r="H531" s="298"/>
      <c r="I531" s="298"/>
    </row>
    <row r="532" spans="1:9">
      <c r="A532" s="457"/>
      <c r="B532" s="457"/>
      <c r="C532" s="66" t="s">
        <v>62</v>
      </c>
      <c r="D532" s="67">
        <v>30.98</v>
      </c>
      <c r="E532" s="67">
        <v>2.12</v>
      </c>
      <c r="F532" s="67">
        <f>E532*D532</f>
        <v>65.677599999999998</v>
      </c>
      <c r="G532" s="66" t="s">
        <v>854</v>
      </c>
      <c r="H532" s="298"/>
      <c r="I532" s="298"/>
    </row>
    <row r="533" spans="1:9">
      <c r="A533" s="492" t="s">
        <v>30</v>
      </c>
      <c r="B533" s="454"/>
      <c r="C533" s="450"/>
      <c r="D533" s="67">
        <v>10</v>
      </c>
      <c r="E533" s="70" t="s">
        <v>21</v>
      </c>
      <c r="F533" s="67">
        <f>F523+F525+F527+F530+F532</f>
        <v>1455.6052000000002</v>
      </c>
      <c r="G533" s="71"/>
      <c r="H533" s="298"/>
      <c r="I533" s="298"/>
    </row>
    <row r="534" spans="1:9">
      <c r="A534" s="492" t="s">
        <v>826</v>
      </c>
      <c r="B534" s="454"/>
      <c r="C534" s="450"/>
      <c r="D534" s="67">
        <v>1</v>
      </c>
      <c r="E534" s="70" t="s">
        <v>21</v>
      </c>
      <c r="F534" s="67">
        <f>F533/D533</f>
        <v>145.56052000000003</v>
      </c>
      <c r="G534" s="71"/>
      <c r="H534" s="298"/>
      <c r="I534" s="298"/>
    </row>
    <row r="535" spans="1:9">
      <c r="A535" s="493" t="s">
        <v>829</v>
      </c>
      <c r="B535" s="454"/>
      <c r="C535" s="454"/>
      <c r="D535" s="450"/>
      <c r="E535" s="67"/>
      <c r="F535" s="67">
        <f>F534*1%</f>
        <v>1.4556052000000004</v>
      </c>
      <c r="G535" s="71"/>
      <c r="H535" s="298"/>
      <c r="I535" s="298"/>
    </row>
    <row r="536" spans="1:9">
      <c r="A536" s="493" t="s">
        <v>30</v>
      </c>
      <c r="B536" s="454"/>
      <c r="C536" s="454"/>
      <c r="D536" s="450"/>
      <c r="E536" s="71"/>
      <c r="F536" s="67">
        <f>F534+F535</f>
        <v>147.01612520000003</v>
      </c>
      <c r="G536" s="71"/>
      <c r="H536" s="298"/>
      <c r="I536" s="298"/>
    </row>
    <row r="537" spans="1:9">
      <c r="A537" s="493" t="s">
        <v>836</v>
      </c>
      <c r="B537" s="454"/>
      <c r="C537" s="454"/>
      <c r="D537" s="450"/>
      <c r="E537" s="67"/>
      <c r="F537" s="67">
        <f>F536*15%</f>
        <v>22.052418780000004</v>
      </c>
      <c r="G537" s="71"/>
      <c r="H537" s="298"/>
      <c r="I537" s="298"/>
    </row>
    <row r="538" spans="1:9">
      <c r="A538" s="493" t="s">
        <v>30</v>
      </c>
      <c r="B538" s="454"/>
      <c r="C538" s="454"/>
      <c r="D538" s="450"/>
      <c r="E538" s="71"/>
      <c r="F538" s="191">
        <f>ROUND(F536+F537,2)</f>
        <v>169.07</v>
      </c>
      <c r="G538" s="71"/>
      <c r="H538" s="298"/>
      <c r="I538" s="298"/>
    </row>
    <row r="539" spans="1:9">
      <c r="A539" s="616" t="str">
        <f>CONCATENATE("Say ₹ ",F520," + ",F538," x Cost Index")</f>
        <v>Say ₹ 64.11 + 169.07 x Cost Index</v>
      </c>
      <c r="B539" s="454"/>
      <c r="C539" s="454"/>
      <c r="D539" s="454"/>
      <c r="E539" s="454"/>
      <c r="F539" s="450"/>
      <c r="G539" s="300" t="s">
        <v>1000</v>
      </c>
      <c r="H539" s="301">
        <f>F514*1.01*1.15/10</f>
        <v>64.114799999999988</v>
      </c>
      <c r="I539" s="301">
        <f>(F523+F525+F527+F530+F532)*1.01*1.15/10</f>
        <v>169.06854398000002</v>
      </c>
    </row>
    <row r="540" spans="1:9">
      <c r="A540" s="486" t="s">
        <v>771</v>
      </c>
      <c r="B540" s="486" t="s">
        <v>776</v>
      </c>
      <c r="C540" s="487" t="s">
        <v>4</v>
      </c>
      <c r="D540" s="454"/>
      <c r="E540" s="450"/>
      <c r="F540" s="487" t="s">
        <v>785</v>
      </c>
      <c r="G540" s="450"/>
      <c r="H540" s="298"/>
      <c r="I540" s="298"/>
    </row>
    <row r="541" spans="1:9">
      <c r="A541" s="457"/>
      <c r="B541" s="457"/>
      <c r="C541" s="62" t="s">
        <v>5</v>
      </c>
      <c r="D541" s="62" t="s">
        <v>6</v>
      </c>
      <c r="E541" s="62" t="s">
        <v>336</v>
      </c>
      <c r="F541" s="62" t="s">
        <v>8</v>
      </c>
      <c r="G541" s="62" t="s">
        <v>789</v>
      </c>
      <c r="H541" s="298"/>
      <c r="I541" s="298"/>
    </row>
    <row r="542" spans="1:9">
      <c r="A542" s="617" t="s">
        <v>2047</v>
      </c>
      <c r="B542" s="454"/>
      <c r="C542" s="454"/>
      <c r="D542" s="454"/>
      <c r="E542" s="454"/>
      <c r="F542" s="454"/>
      <c r="G542" s="450"/>
      <c r="H542" s="298"/>
      <c r="I542" s="298"/>
    </row>
    <row r="543" spans="1:9">
      <c r="A543" s="65"/>
      <c r="B543" s="66" t="s">
        <v>795</v>
      </c>
      <c r="C543" s="66" t="s">
        <v>21</v>
      </c>
      <c r="D543" s="66" t="s">
        <v>798</v>
      </c>
      <c r="E543" s="67">
        <v>10</v>
      </c>
      <c r="F543" s="484"/>
      <c r="G543" s="450"/>
      <c r="H543" s="298"/>
      <c r="I543" s="298"/>
    </row>
    <row r="544" spans="1:9">
      <c r="A544" s="66" t="s">
        <v>800</v>
      </c>
      <c r="B544" s="484" t="s">
        <v>1693</v>
      </c>
      <c r="C544" s="454"/>
      <c r="D544" s="454"/>
      <c r="E544" s="454"/>
      <c r="F544" s="454"/>
      <c r="G544" s="450"/>
      <c r="H544" s="298"/>
      <c r="I544" s="298"/>
    </row>
    <row r="545" spans="1:9">
      <c r="A545" s="490" t="s">
        <v>802</v>
      </c>
      <c r="B545" s="454"/>
      <c r="C545" s="454"/>
      <c r="D545" s="454"/>
      <c r="E545" s="454"/>
      <c r="F545" s="450"/>
      <c r="G545" s="68" t="s">
        <v>803</v>
      </c>
      <c r="H545" s="298"/>
      <c r="I545" s="298"/>
    </row>
    <row r="546" spans="1:9">
      <c r="A546" s="491"/>
      <c r="B546" s="491" t="s">
        <v>1793</v>
      </c>
      <c r="C546" s="484" t="s">
        <v>1822</v>
      </c>
      <c r="D546" s="454"/>
      <c r="E546" s="450"/>
      <c r="F546" s="484"/>
      <c r="G546" s="450"/>
      <c r="H546" s="298"/>
      <c r="I546" s="298"/>
    </row>
    <row r="547" spans="1:9">
      <c r="A547" s="457"/>
      <c r="B547" s="457"/>
      <c r="C547" s="66" t="s">
        <v>21</v>
      </c>
      <c r="D547" s="67">
        <v>11.5</v>
      </c>
      <c r="E547" s="67">
        <v>65</v>
      </c>
      <c r="F547" s="67">
        <f>E547*D547</f>
        <v>747.5</v>
      </c>
      <c r="G547" s="66" t="s">
        <v>808</v>
      </c>
      <c r="H547" s="298"/>
      <c r="I547" s="298"/>
    </row>
    <row r="548" spans="1:9">
      <c r="A548" s="492" t="s">
        <v>30</v>
      </c>
      <c r="B548" s="454"/>
      <c r="C548" s="450"/>
      <c r="D548" s="67">
        <v>10</v>
      </c>
      <c r="E548" s="70" t="s">
        <v>21</v>
      </c>
      <c r="F548" s="67">
        <f>F547</f>
        <v>747.5</v>
      </c>
      <c r="G548" s="66"/>
      <c r="H548" s="298"/>
      <c r="I548" s="298"/>
    </row>
    <row r="549" spans="1:9">
      <c r="A549" s="492" t="s">
        <v>826</v>
      </c>
      <c r="B549" s="454"/>
      <c r="C549" s="450"/>
      <c r="D549" s="67">
        <v>1</v>
      </c>
      <c r="E549" s="70" t="s">
        <v>21</v>
      </c>
      <c r="F549" s="67">
        <f>F548/D548</f>
        <v>74.75</v>
      </c>
      <c r="G549" s="66"/>
      <c r="H549" s="298"/>
      <c r="I549" s="298"/>
    </row>
    <row r="550" spans="1:9">
      <c r="A550" s="493" t="s">
        <v>829</v>
      </c>
      <c r="B550" s="454"/>
      <c r="C550" s="454"/>
      <c r="D550" s="450"/>
      <c r="E550" s="67"/>
      <c r="F550" s="67">
        <f>F549*1%</f>
        <v>0.74750000000000005</v>
      </c>
      <c r="G550" s="66"/>
      <c r="H550" s="298"/>
      <c r="I550" s="298"/>
    </row>
    <row r="551" spans="1:9">
      <c r="A551" s="493" t="s">
        <v>30</v>
      </c>
      <c r="B551" s="454"/>
      <c r="C551" s="454"/>
      <c r="D551" s="450"/>
      <c r="E551" s="71"/>
      <c r="F551" s="67">
        <f>F549+F550</f>
        <v>75.497500000000002</v>
      </c>
      <c r="G551" s="66"/>
      <c r="H551" s="298"/>
      <c r="I551" s="298"/>
    </row>
    <row r="552" spans="1:9">
      <c r="A552" s="493" t="s">
        <v>836</v>
      </c>
      <c r="B552" s="454"/>
      <c r="C552" s="454"/>
      <c r="D552" s="450"/>
      <c r="E552" s="67"/>
      <c r="F552" s="67">
        <f>F551*15%</f>
        <v>11.324624999999999</v>
      </c>
      <c r="G552" s="66"/>
      <c r="H552" s="298"/>
      <c r="I552" s="298"/>
    </row>
    <row r="553" spans="1:9">
      <c r="A553" s="493" t="s">
        <v>30</v>
      </c>
      <c r="B553" s="454"/>
      <c r="C553" s="454"/>
      <c r="D553" s="450"/>
      <c r="E553" s="71"/>
      <c r="F553" s="191">
        <f>ROUND(F551+F552,2)</f>
        <v>86.82</v>
      </c>
      <c r="G553" s="66"/>
      <c r="H553" s="298"/>
      <c r="I553" s="298"/>
    </row>
    <row r="554" spans="1:9">
      <c r="A554" s="490" t="s">
        <v>819</v>
      </c>
      <c r="B554" s="454"/>
      <c r="C554" s="454"/>
      <c r="D554" s="454"/>
      <c r="E554" s="454"/>
      <c r="F554" s="450"/>
      <c r="G554" s="68" t="s">
        <v>820</v>
      </c>
      <c r="H554" s="298"/>
      <c r="I554" s="298"/>
    </row>
    <row r="555" spans="1:9">
      <c r="A555" s="491">
        <v>116</v>
      </c>
      <c r="B555" s="491"/>
      <c r="C555" s="484" t="s">
        <v>527</v>
      </c>
      <c r="D555" s="454"/>
      <c r="E555" s="450"/>
      <c r="F555" s="484"/>
      <c r="G555" s="450"/>
      <c r="H555" s="298"/>
      <c r="I555" s="298"/>
    </row>
    <row r="556" spans="1:9">
      <c r="A556" s="457"/>
      <c r="B556" s="457"/>
      <c r="C556" s="66" t="s">
        <v>26</v>
      </c>
      <c r="D556" s="67">
        <v>0.33</v>
      </c>
      <c r="E556" s="67">
        <v>784</v>
      </c>
      <c r="F556" s="67">
        <f>E556*D556</f>
        <v>258.72000000000003</v>
      </c>
      <c r="G556" s="66" t="s">
        <v>822</v>
      </c>
      <c r="H556" s="298"/>
      <c r="I556" s="298"/>
    </row>
    <row r="557" spans="1:9">
      <c r="A557" s="491">
        <v>117</v>
      </c>
      <c r="B557" s="491"/>
      <c r="C557" s="484" t="s">
        <v>858</v>
      </c>
      <c r="D557" s="454"/>
      <c r="E557" s="450"/>
      <c r="F557" s="484"/>
      <c r="G557" s="450"/>
      <c r="H557" s="298"/>
      <c r="I557" s="298"/>
    </row>
    <row r="558" spans="1:9">
      <c r="A558" s="457"/>
      <c r="B558" s="457"/>
      <c r="C558" s="66" t="s">
        <v>26</v>
      </c>
      <c r="D558" s="67">
        <v>0.98</v>
      </c>
      <c r="E558" s="67">
        <v>714</v>
      </c>
      <c r="F558" s="67">
        <f>E558*D558</f>
        <v>699.72</v>
      </c>
      <c r="G558" s="66" t="s">
        <v>825</v>
      </c>
      <c r="H558" s="298"/>
      <c r="I558" s="298"/>
    </row>
    <row r="559" spans="1:9">
      <c r="A559" s="491">
        <v>114</v>
      </c>
      <c r="B559" s="491"/>
      <c r="C559" s="484" t="s">
        <v>59</v>
      </c>
      <c r="D559" s="454"/>
      <c r="E559" s="450"/>
      <c r="F559" s="484"/>
      <c r="G559" s="450"/>
      <c r="H559" s="298"/>
      <c r="I559" s="298"/>
    </row>
    <row r="560" spans="1:9">
      <c r="A560" s="457"/>
      <c r="B560" s="457"/>
      <c r="C560" s="66" t="s">
        <v>26</v>
      </c>
      <c r="D560" s="67">
        <v>0.98</v>
      </c>
      <c r="E560" s="67">
        <v>645</v>
      </c>
      <c r="F560" s="67">
        <f>E560*D560</f>
        <v>632.1</v>
      </c>
      <c r="G560" s="66" t="s">
        <v>837</v>
      </c>
      <c r="H560" s="298"/>
      <c r="I560" s="298"/>
    </row>
    <row r="561" spans="1:9">
      <c r="A561" s="490" t="s">
        <v>847</v>
      </c>
      <c r="B561" s="454"/>
      <c r="C561" s="454"/>
      <c r="D561" s="454"/>
      <c r="E561" s="454"/>
      <c r="F561" s="450"/>
      <c r="G561" s="68" t="s">
        <v>820</v>
      </c>
      <c r="H561" s="298"/>
      <c r="I561" s="298"/>
    </row>
    <row r="562" spans="1:9">
      <c r="A562" s="491">
        <v>9999</v>
      </c>
      <c r="B562" s="491"/>
      <c r="C562" s="484" t="s">
        <v>1758</v>
      </c>
      <c r="D562" s="454"/>
      <c r="E562" s="450"/>
      <c r="F562" s="484"/>
      <c r="G562" s="450"/>
      <c r="H562" s="298"/>
      <c r="I562" s="298"/>
    </row>
    <row r="563" spans="1:9">
      <c r="A563" s="457"/>
      <c r="B563" s="457"/>
      <c r="C563" s="66" t="s">
        <v>62</v>
      </c>
      <c r="D563" s="67">
        <v>4.16</v>
      </c>
      <c r="E563" s="67">
        <v>2.12</v>
      </c>
      <c r="F563" s="67">
        <f>E563*D563</f>
        <v>8.8192000000000004</v>
      </c>
      <c r="G563" s="66" t="s">
        <v>851</v>
      </c>
      <c r="H563" s="298"/>
      <c r="I563" s="298"/>
    </row>
    <row r="564" spans="1:9">
      <c r="A564" s="491">
        <v>9999</v>
      </c>
      <c r="B564" s="491"/>
      <c r="C564" s="484" t="s">
        <v>1765</v>
      </c>
      <c r="D564" s="454"/>
      <c r="E564" s="450"/>
      <c r="F564" s="484"/>
      <c r="G564" s="450"/>
      <c r="H564" s="298"/>
      <c r="I564" s="298"/>
    </row>
    <row r="565" spans="1:9">
      <c r="A565" s="457"/>
      <c r="B565" s="457"/>
      <c r="C565" s="66" t="s">
        <v>62</v>
      </c>
      <c r="D565" s="67">
        <v>30.98</v>
      </c>
      <c r="E565" s="67">
        <v>2.12</v>
      </c>
      <c r="F565" s="67">
        <f>E565*D565</f>
        <v>65.677599999999998</v>
      </c>
      <c r="G565" s="66" t="s">
        <v>854</v>
      </c>
      <c r="H565" s="298"/>
      <c r="I565" s="298"/>
    </row>
    <row r="566" spans="1:9">
      <c r="A566" s="492" t="s">
        <v>30</v>
      </c>
      <c r="B566" s="454"/>
      <c r="C566" s="450"/>
      <c r="D566" s="67">
        <v>10</v>
      </c>
      <c r="E566" s="70" t="s">
        <v>21</v>
      </c>
      <c r="F566" s="67">
        <f>F556+F558+F560+F563+F565</f>
        <v>1665.0367999999999</v>
      </c>
      <c r="G566" s="71"/>
      <c r="H566" s="298"/>
      <c r="I566" s="298"/>
    </row>
    <row r="567" spans="1:9">
      <c r="A567" s="492" t="s">
        <v>826</v>
      </c>
      <c r="B567" s="454"/>
      <c r="C567" s="450"/>
      <c r="D567" s="67">
        <v>1</v>
      </c>
      <c r="E567" s="70" t="s">
        <v>21</v>
      </c>
      <c r="F567" s="67">
        <f>F566/D566</f>
        <v>166.50367999999997</v>
      </c>
      <c r="G567" s="71"/>
      <c r="H567" s="298"/>
      <c r="I567" s="298"/>
    </row>
    <row r="568" spans="1:9">
      <c r="A568" s="493" t="s">
        <v>829</v>
      </c>
      <c r="B568" s="454"/>
      <c r="C568" s="454"/>
      <c r="D568" s="450"/>
      <c r="E568" s="67"/>
      <c r="F568" s="67">
        <f>F567*1%</f>
        <v>1.6650367999999998</v>
      </c>
      <c r="G568" s="71"/>
      <c r="H568" s="298"/>
      <c r="I568" s="298"/>
    </row>
    <row r="569" spans="1:9">
      <c r="A569" s="493" t="s">
        <v>30</v>
      </c>
      <c r="B569" s="454"/>
      <c r="C569" s="454"/>
      <c r="D569" s="450"/>
      <c r="E569" s="71"/>
      <c r="F569" s="67">
        <f>F567+F568</f>
        <v>168.16871679999997</v>
      </c>
      <c r="G569" s="71"/>
      <c r="H569" s="298"/>
      <c r="I569" s="298"/>
    </row>
    <row r="570" spans="1:9">
      <c r="A570" s="493" t="s">
        <v>836</v>
      </c>
      <c r="B570" s="454"/>
      <c r="C570" s="454"/>
      <c r="D570" s="450"/>
      <c r="E570" s="67"/>
      <c r="F570" s="67">
        <f>F569*15%</f>
        <v>25.225307519999994</v>
      </c>
      <c r="G570" s="71"/>
      <c r="H570" s="298"/>
      <c r="I570" s="298"/>
    </row>
    <row r="571" spans="1:9">
      <c r="A571" s="493" t="s">
        <v>30</v>
      </c>
      <c r="B571" s="454"/>
      <c r="C571" s="454"/>
      <c r="D571" s="450"/>
      <c r="E571" s="71"/>
      <c r="F571" s="191">
        <f>ROUND(F569+F570,2)</f>
        <v>193.39</v>
      </c>
      <c r="G571" s="71"/>
      <c r="H571" s="298"/>
      <c r="I571" s="298"/>
    </row>
    <row r="572" spans="1:9">
      <c r="A572" s="616" t="str">
        <f>CONCATENATE("Say ₹ ",F553," + ",F571," x Cost Index")</f>
        <v>Say ₹ 86.82 + 193.39 x Cost Index</v>
      </c>
      <c r="B572" s="454"/>
      <c r="C572" s="454"/>
      <c r="D572" s="454"/>
      <c r="E572" s="454"/>
      <c r="F572" s="450"/>
      <c r="G572" s="300" t="s">
        <v>1000</v>
      </c>
      <c r="H572" s="301">
        <f>F547*1.01*1.15/10</f>
        <v>86.822125</v>
      </c>
      <c r="I572" s="301">
        <f>(F556+F558+F560+F563+F565)*1.01*1.15/10</f>
        <v>193.39402431999997</v>
      </c>
    </row>
    <row r="573" spans="1:9">
      <c r="A573" s="486" t="s">
        <v>771</v>
      </c>
      <c r="B573" s="486" t="s">
        <v>776</v>
      </c>
      <c r="C573" s="487" t="s">
        <v>4</v>
      </c>
      <c r="D573" s="454"/>
      <c r="E573" s="450"/>
      <c r="F573" s="487" t="s">
        <v>785</v>
      </c>
      <c r="G573" s="450"/>
      <c r="H573" s="298"/>
      <c r="I573" s="298"/>
    </row>
    <row r="574" spans="1:9">
      <c r="A574" s="457"/>
      <c r="B574" s="457"/>
      <c r="C574" s="62" t="s">
        <v>5</v>
      </c>
      <c r="D574" s="62" t="s">
        <v>6</v>
      </c>
      <c r="E574" s="62" t="s">
        <v>336</v>
      </c>
      <c r="F574" s="62" t="s">
        <v>8</v>
      </c>
      <c r="G574" s="62" t="s">
        <v>789</v>
      </c>
      <c r="H574" s="298"/>
      <c r="I574" s="298"/>
    </row>
    <row r="575" spans="1:9">
      <c r="A575" s="617" t="s">
        <v>2059</v>
      </c>
      <c r="B575" s="454"/>
      <c r="C575" s="454"/>
      <c r="D575" s="454"/>
      <c r="E575" s="454"/>
      <c r="F575" s="454"/>
      <c r="G575" s="450"/>
      <c r="H575" s="298"/>
      <c r="I575" s="298"/>
    </row>
    <row r="576" spans="1:9">
      <c r="A576" s="65"/>
      <c r="B576" s="66" t="s">
        <v>795</v>
      </c>
      <c r="C576" s="66" t="s">
        <v>21</v>
      </c>
      <c r="D576" s="66" t="s">
        <v>798</v>
      </c>
      <c r="E576" s="67">
        <v>10</v>
      </c>
      <c r="F576" s="484"/>
      <c r="G576" s="450"/>
      <c r="H576" s="298"/>
      <c r="I576" s="298"/>
    </row>
    <row r="577" spans="1:9">
      <c r="A577" s="66" t="s">
        <v>800</v>
      </c>
      <c r="B577" s="484" t="s">
        <v>2061</v>
      </c>
      <c r="C577" s="454"/>
      <c r="D577" s="454"/>
      <c r="E577" s="454"/>
      <c r="F577" s="454"/>
      <c r="G577" s="450"/>
      <c r="H577" s="298"/>
      <c r="I577" s="298"/>
    </row>
    <row r="578" spans="1:9">
      <c r="A578" s="490" t="s">
        <v>802</v>
      </c>
      <c r="B578" s="454"/>
      <c r="C578" s="454"/>
      <c r="D578" s="454"/>
      <c r="E578" s="454"/>
      <c r="F578" s="450"/>
      <c r="G578" s="68" t="s">
        <v>803</v>
      </c>
      <c r="H578" s="298"/>
      <c r="I578" s="298"/>
    </row>
    <row r="579" spans="1:9">
      <c r="A579" s="491"/>
      <c r="B579" s="491" t="s">
        <v>1810</v>
      </c>
      <c r="C579" s="484" t="s">
        <v>2063</v>
      </c>
      <c r="D579" s="454"/>
      <c r="E579" s="450"/>
      <c r="F579" s="484"/>
      <c r="G579" s="450"/>
      <c r="H579" s="298"/>
      <c r="I579" s="298"/>
    </row>
    <row r="580" spans="1:9">
      <c r="A580" s="457"/>
      <c r="B580" s="457"/>
      <c r="C580" s="66" t="s">
        <v>21</v>
      </c>
      <c r="D580" s="67">
        <v>11.5</v>
      </c>
      <c r="E580" s="67">
        <v>52</v>
      </c>
      <c r="F580" s="67">
        <f>E580*D580</f>
        <v>598</v>
      </c>
      <c r="G580" s="66" t="s">
        <v>808</v>
      </c>
      <c r="H580" s="298"/>
      <c r="I580" s="298"/>
    </row>
    <row r="581" spans="1:9">
      <c r="A581" s="492" t="s">
        <v>30</v>
      </c>
      <c r="B581" s="454"/>
      <c r="C581" s="450"/>
      <c r="D581" s="67">
        <v>10</v>
      </c>
      <c r="E581" s="70" t="s">
        <v>21</v>
      </c>
      <c r="F581" s="67">
        <f>F580</f>
        <v>598</v>
      </c>
      <c r="G581" s="66"/>
      <c r="H581" s="298"/>
      <c r="I581" s="298"/>
    </row>
    <row r="582" spans="1:9">
      <c r="A582" s="492" t="s">
        <v>826</v>
      </c>
      <c r="B582" s="454"/>
      <c r="C582" s="450"/>
      <c r="D582" s="67">
        <v>1</v>
      </c>
      <c r="E582" s="70" t="s">
        <v>21</v>
      </c>
      <c r="F582" s="67">
        <f>F581/D581</f>
        <v>59.8</v>
      </c>
      <c r="G582" s="66"/>
      <c r="H582" s="298"/>
      <c r="I582" s="298"/>
    </row>
    <row r="583" spans="1:9">
      <c r="A583" s="493" t="s">
        <v>829</v>
      </c>
      <c r="B583" s="454"/>
      <c r="C583" s="454"/>
      <c r="D583" s="450"/>
      <c r="E583" s="67"/>
      <c r="F583" s="67">
        <f>F582*1%</f>
        <v>0.59799999999999998</v>
      </c>
      <c r="G583" s="66"/>
      <c r="H583" s="298"/>
      <c r="I583" s="298"/>
    </row>
    <row r="584" spans="1:9">
      <c r="A584" s="493" t="s">
        <v>30</v>
      </c>
      <c r="B584" s="454"/>
      <c r="C584" s="454"/>
      <c r="D584" s="450"/>
      <c r="E584" s="71"/>
      <c r="F584" s="67">
        <f>F582+F583</f>
        <v>60.397999999999996</v>
      </c>
      <c r="G584" s="66"/>
      <c r="H584" s="298"/>
      <c r="I584" s="298"/>
    </row>
    <row r="585" spans="1:9">
      <c r="A585" s="493" t="s">
        <v>836</v>
      </c>
      <c r="B585" s="454"/>
      <c r="C585" s="454"/>
      <c r="D585" s="450"/>
      <c r="E585" s="67"/>
      <c r="F585" s="67">
        <f>F584*15%</f>
        <v>9.0596999999999994</v>
      </c>
      <c r="G585" s="66"/>
      <c r="H585" s="298"/>
      <c r="I585" s="298"/>
    </row>
    <row r="586" spans="1:9">
      <c r="A586" s="493" t="s">
        <v>30</v>
      </c>
      <c r="B586" s="454"/>
      <c r="C586" s="454"/>
      <c r="D586" s="450"/>
      <c r="E586" s="71"/>
      <c r="F586" s="191">
        <f>ROUND(F584+F585,2)</f>
        <v>69.459999999999994</v>
      </c>
      <c r="G586" s="66"/>
      <c r="H586" s="298"/>
      <c r="I586" s="298"/>
    </row>
    <row r="587" spans="1:9">
      <c r="A587" s="490" t="s">
        <v>819</v>
      </c>
      <c r="B587" s="454"/>
      <c r="C587" s="454"/>
      <c r="D587" s="454"/>
      <c r="E587" s="454"/>
      <c r="F587" s="450"/>
      <c r="G587" s="68" t="s">
        <v>820</v>
      </c>
      <c r="H587" s="298"/>
      <c r="I587" s="298"/>
    </row>
    <row r="588" spans="1:9">
      <c r="A588" s="491">
        <v>116</v>
      </c>
      <c r="B588" s="491"/>
      <c r="C588" s="484" t="s">
        <v>527</v>
      </c>
      <c r="D588" s="454"/>
      <c r="E588" s="450"/>
      <c r="F588" s="484"/>
      <c r="G588" s="450"/>
      <c r="H588" s="298"/>
      <c r="I588" s="298"/>
    </row>
    <row r="589" spans="1:9">
      <c r="A589" s="457"/>
      <c r="B589" s="457"/>
      <c r="C589" s="66" t="s">
        <v>26</v>
      </c>
      <c r="D589" s="67">
        <v>0.33</v>
      </c>
      <c r="E589" s="67">
        <v>784</v>
      </c>
      <c r="F589" s="67">
        <f>E589*D589</f>
        <v>258.72000000000003</v>
      </c>
      <c r="G589" s="66" t="s">
        <v>822</v>
      </c>
      <c r="H589" s="298"/>
      <c r="I589" s="298"/>
    </row>
    <row r="590" spans="1:9">
      <c r="A590" s="491">
        <v>117</v>
      </c>
      <c r="B590" s="491"/>
      <c r="C590" s="484" t="s">
        <v>858</v>
      </c>
      <c r="D590" s="454"/>
      <c r="E590" s="450"/>
      <c r="F590" s="484"/>
      <c r="G590" s="450"/>
      <c r="H590" s="298"/>
      <c r="I590" s="298"/>
    </row>
    <row r="591" spans="1:9">
      <c r="A591" s="457"/>
      <c r="B591" s="457"/>
      <c r="C591" s="66" t="s">
        <v>26</v>
      </c>
      <c r="D591" s="67">
        <v>0.98</v>
      </c>
      <c r="E591" s="67">
        <v>714</v>
      </c>
      <c r="F591" s="67">
        <f>E591*D591</f>
        <v>699.72</v>
      </c>
      <c r="G591" s="66" t="s">
        <v>825</v>
      </c>
      <c r="H591" s="298"/>
      <c r="I591" s="298"/>
    </row>
    <row r="592" spans="1:9">
      <c r="A592" s="491">
        <v>114</v>
      </c>
      <c r="B592" s="491"/>
      <c r="C592" s="484" t="s">
        <v>59</v>
      </c>
      <c r="D592" s="454"/>
      <c r="E592" s="450"/>
      <c r="F592" s="484"/>
      <c r="G592" s="450"/>
      <c r="H592" s="298"/>
      <c r="I592" s="298"/>
    </row>
    <row r="593" spans="1:9">
      <c r="A593" s="457"/>
      <c r="B593" s="457"/>
      <c r="C593" s="66" t="s">
        <v>26</v>
      </c>
      <c r="D593" s="67">
        <v>0.98</v>
      </c>
      <c r="E593" s="67">
        <v>645</v>
      </c>
      <c r="F593" s="67">
        <f>E593*D593</f>
        <v>632.1</v>
      </c>
      <c r="G593" s="66" t="s">
        <v>837</v>
      </c>
      <c r="H593" s="298"/>
      <c r="I593" s="298"/>
    </row>
    <row r="594" spans="1:9">
      <c r="A594" s="490" t="s">
        <v>847</v>
      </c>
      <c r="B594" s="454"/>
      <c r="C594" s="454"/>
      <c r="D594" s="454"/>
      <c r="E594" s="454"/>
      <c r="F594" s="450"/>
      <c r="G594" s="68" t="s">
        <v>820</v>
      </c>
      <c r="H594" s="298"/>
      <c r="I594" s="298"/>
    </row>
    <row r="595" spans="1:9">
      <c r="A595" s="491">
        <v>9999</v>
      </c>
      <c r="B595" s="491"/>
      <c r="C595" s="484" t="s">
        <v>1758</v>
      </c>
      <c r="D595" s="454"/>
      <c r="E595" s="450"/>
      <c r="F595" s="484"/>
      <c r="G595" s="450"/>
      <c r="H595" s="298"/>
      <c r="I595" s="298"/>
    </row>
    <row r="596" spans="1:9">
      <c r="A596" s="457"/>
      <c r="B596" s="457"/>
      <c r="C596" s="66" t="s">
        <v>62</v>
      </c>
      <c r="D596" s="67">
        <v>4.16</v>
      </c>
      <c r="E596" s="67">
        <v>2.12</v>
      </c>
      <c r="F596" s="67">
        <f>E596*D596</f>
        <v>8.8192000000000004</v>
      </c>
      <c r="G596" s="66" t="s">
        <v>851</v>
      </c>
      <c r="H596" s="298"/>
      <c r="I596" s="298"/>
    </row>
    <row r="597" spans="1:9">
      <c r="A597" s="491">
        <v>9999</v>
      </c>
      <c r="B597" s="491"/>
      <c r="C597" s="484" t="s">
        <v>1742</v>
      </c>
      <c r="D597" s="454"/>
      <c r="E597" s="450"/>
      <c r="F597" s="484"/>
      <c r="G597" s="450"/>
      <c r="H597" s="298"/>
      <c r="I597" s="298"/>
    </row>
    <row r="598" spans="1:9">
      <c r="A598" s="457"/>
      <c r="B598" s="457"/>
      <c r="C598" s="66" t="s">
        <v>62</v>
      </c>
      <c r="D598" s="67">
        <v>30.98</v>
      </c>
      <c r="E598" s="67">
        <v>2.12</v>
      </c>
      <c r="F598" s="67">
        <f>E598*D598</f>
        <v>65.677599999999998</v>
      </c>
      <c r="G598" s="66" t="s">
        <v>854</v>
      </c>
      <c r="H598" s="298"/>
      <c r="I598" s="298"/>
    </row>
    <row r="599" spans="1:9">
      <c r="A599" s="492" t="s">
        <v>30</v>
      </c>
      <c r="B599" s="454"/>
      <c r="C599" s="450"/>
      <c r="D599" s="67">
        <v>10</v>
      </c>
      <c r="E599" s="70" t="s">
        <v>21</v>
      </c>
      <c r="F599" s="67">
        <f>F589+F591+F593+F596+F598</f>
        <v>1665.0367999999999</v>
      </c>
      <c r="G599" s="71"/>
      <c r="H599" s="298"/>
      <c r="I599" s="298"/>
    </row>
    <row r="600" spans="1:9">
      <c r="A600" s="492" t="s">
        <v>826</v>
      </c>
      <c r="B600" s="454"/>
      <c r="C600" s="450"/>
      <c r="D600" s="67">
        <v>1</v>
      </c>
      <c r="E600" s="70" t="s">
        <v>21</v>
      </c>
      <c r="F600" s="67">
        <f>F599/D599</f>
        <v>166.50367999999997</v>
      </c>
      <c r="G600" s="71"/>
      <c r="H600" s="298"/>
      <c r="I600" s="298"/>
    </row>
    <row r="601" spans="1:9">
      <c r="A601" s="493" t="s">
        <v>829</v>
      </c>
      <c r="B601" s="454"/>
      <c r="C601" s="454"/>
      <c r="D601" s="450"/>
      <c r="E601" s="67"/>
      <c r="F601" s="67">
        <f>F600*1%</f>
        <v>1.6650367999999998</v>
      </c>
      <c r="G601" s="71"/>
      <c r="H601" s="298"/>
      <c r="I601" s="298"/>
    </row>
    <row r="602" spans="1:9">
      <c r="A602" s="493" t="s">
        <v>30</v>
      </c>
      <c r="B602" s="454"/>
      <c r="C602" s="454"/>
      <c r="D602" s="450"/>
      <c r="E602" s="71"/>
      <c r="F602" s="67">
        <f>F600+F601</f>
        <v>168.16871679999997</v>
      </c>
      <c r="G602" s="71"/>
      <c r="H602" s="298"/>
      <c r="I602" s="298"/>
    </row>
    <row r="603" spans="1:9">
      <c r="A603" s="493" t="s">
        <v>836</v>
      </c>
      <c r="B603" s="454"/>
      <c r="C603" s="454"/>
      <c r="D603" s="450"/>
      <c r="E603" s="67"/>
      <c r="F603" s="67">
        <f>F602*15%</f>
        <v>25.225307519999994</v>
      </c>
      <c r="G603" s="71"/>
      <c r="H603" s="298"/>
      <c r="I603" s="298"/>
    </row>
    <row r="604" spans="1:9">
      <c r="A604" s="493" t="s">
        <v>30</v>
      </c>
      <c r="B604" s="454"/>
      <c r="C604" s="454"/>
      <c r="D604" s="450"/>
      <c r="E604" s="71"/>
      <c r="F604" s="191">
        <f>ROUND(F602+F603,2)</f>
        <v>193.39</v>
      </c>
      <c r="G604" s="71"/>
      <c r="H604" s="298"/>
      <c r="I604" s="298"/>
    </row>
    <row r="605" spans="1:9">
      <c r="A605" s="616" t="str">
        <f>CONCATENATE("Say ₹ ",F586," + ",F604," x Cost Index")</f>
        <v>Say ₹ 69.46 + 193.39 x Cost Index</v>
      </c>
      <c r="B605" s="454"/>
      <c r="C605" s="454"/>
      <c r="D605" s="454"/>
      <c r="E605" s="454"/>
      <c r="F605" s="450"/>
      <c r="G605" s="300" t="s">
        <v>1000</v>
      </c>
      <c r="H605" s="301">
        <f>F580*1.01*1.15/10</f>
        <v>69.457700000000003</v>
      </c>
      <c r="I605" s="301">
        <f>(F589+F591+F593+F596+F598)*1.01*1.15/10</f>
        <v>193.39402431999997</v>
      </c>
    </row>
    <row r="606" spans="1:9">
      <c r="A606" s="486" t="s">
        <v>771</v>
      </c>
      <c r="B606" s="486" t="s">
        <v>776</v>
      </c>
      <c r="C606" s="487" t="s">
        <v>4</v>
      </c>
      <c r="D606" s="454"/>
      <c r="E606" s="450"/>
      <c r="F606" s="487" t="s">
        <v>785</v>
      </c>
      <c r="G606" s="450"/>
      <c r="H606" s="298"/>
      <c r="I606" s="298"/>
    </row>
    <row r="607" spans="1:9">
      <c r="A607" s="457"/>
      <c r="B607" s="457"/>
      <c r="C607" s="62" t="s">
        <v>5</v>
      </c>
      <c r="D607" s="62" t="s">
        <v>6</v>
      </c>
      <c r="E607" s="62" t="s">
        <v>336</v>
      </c>
      <c r="F607" s="62" t="s">
        <v>8</v>
      </c>
      <c r="G607" s="62" t="s">
        <v>789</v>
      </c>
      <c r="H607" s="298"/>
      <c r="I607" s="298"/>
    </row>
    <row r="608" spans="1:9">
      <c r="A608" s="617" t="s">
        <v>2074</v>
      </c>
      <c r="B608" s="454"/>
      <c r="C608" s="454"/>
      <c r="D608" s="454"/>
      <c r="E608" s="454"/>
      <c r="F608" s="454"/>
      <c r="G608" s="450"/>
      <c r="H608" s="298"/>
      <c r="I608" s="298"/>
    </row>
    <row r="609" spans="1:9">
      <c r="A609" s="65"/>
      <c r="B609" s="66" t="s">
        <v>795</v>
      </c>
      <c r="C609" s="66" t="s">
        <v>21</v>
      </c>
      <c r="D609" s="66" t="s">
        <v>798</v>
      </c>
      <c r="E609" s="67">
        <v>10</v>
      </c>
      <c r="F609" s="484"/>
      <c r="G609" s="450"/>
      <c r="H609" s="298"/>
      <c r="I609" s="298"/>
    </row>
    <row r="610" spans="1:9">
      <c r="A610" s="66" t="s">
        <v>800</v>
      </c>
      <c r="B610" s="484" t="s">
        <v>1693</v>
      </c>
      <c r="C610" s="454"/>
      <c r="D610" s="454"/>
      <c r="E610" s="454"/>
      <c r="F610" s="454"/>
      <c r="G610" s="450"/>
      <c r="H610" s="298"/>
      <c r="I610" s="298"/>
    </row>
    <row r="611" spans="1:9">
      <c r="A611" s="490" t="s">
        <v>802</v>
      </c>
      <c r="B611" s="454"/>
      <c r="C611" s="454"/>
      <c r="D611" s="454"/>
      <c r="E611" s="454"/>
      <c r="F611" s="450"/>
      <c r="G611" s="68" t="s">
        <v>803</v>
      </c>
      <c r="H611" s="298"/>
      <c r="I611" s="298"/>
    </row>
    <row r="612" spans="1:9">
      <c r="A612" s="491"/>
      <c r="B612" s="491" t="s">
        <v>1823</v>
      </c>
      <c r="C612" s="484" t="s">
        <v>1842</v>
      </c>
      <c r="D612" s="454"/>
      <c r="E612" s="450"/>
      <c r="F612" s="484"/>
      <c r="G612" s="450"/>
      <c r="H612" s="298"/>
      <c r="I612" s="298"/>
    </row>
    <row r="613" spans="1:9">
      <c r="A613" s="457"/>
      <c r="B613" s="457"/>
      <c r="C613" s="66" t="s">
        <v>21</v>
      </c>
      <c r="D613" s="67">
        <v>11.5</v>
      </c>
      <c r="E613" s="67">
        <v>84</v>
      </c>
      <c r="F613" s="67">
        <f>E613*D613</f>
        <v>966</v>
      </c>
      <c r="G613" s="66" t="s">
        <v>808</v>
      </c>
      <c r="H613" s="298"/>
      <c r="I613" s="298"/>
    </row>
    <row r="614" spans="1:9">
      <c r="A614" s="492" t="s">
        <v>30</v>
      </c>
      <c r="B614" s="454"/>
      <c r="C614" s="450"/>
      <c r="D614" s="67">
        <v>10</v>
      </c>
      <c r="E614" s="70" t="s">
        <v>21</v>
      </c>
      <c r="F614" s="67">
        <f>F613</f>
        <v>966</v>
      </c>
      <c r="G614" s="66"/>
      <c r="H614" s="298"/>
      <c r="I614" s="298"/>
    </row>
    <row r="615" spans="1:9">
      <c r="A615" s="492" t="s">
        <v>826</v>
      </c>
      <c r="B615" s="454"/>
      <c r="C615" s="450"/>
      <c r="D615" s="67">
        <v>1</v>
      </c>
      <c r="E615" s="70" t="s">
        <v>21</v>
      </c>
      <c r="F615" s="67">
        <f>F614/D614</f>
        <v>96.6</v>
      </c>
      <c r="G615" s="66"/>
      <c r="H615" s="298"/>
      <c r="I615" s="298"/>
    </row>
    <row r="616" spans="1:9">
      <c r="A616" s="493" t="s">
        <v>829</v>
      </c>
      <c r="B616" s="454"/>
      <c r="C616" s="454"/>
      <c r="D616" s="450"/>
      <c r="E616" s="67"/>
      <c r="F616" s="67">
        <f>F615*1%</f>
        <v>0.96599999999999997</v>
      </c>
      <c r="G616" s="66"/>
      <c r="H616" s="298"/>
      <c r="I616" s="298"/>
    </row>
    <row r="617" spans="1:9">
      <c r="A617" s="493" t="s">
        <v>30</v>
      </c>
      <c r="B617" s="454"/>
      <c r="C617" s="454"/>
      <c r="D617" s="450"/>
      <c r="E617" s="71"/>
      <c r="F617" s="67">
        <f>F615+F616</f>
        <v>97.565999999999988</v>
      </c>
      <c r="G617" s="66"/>
      <c r="H617" s="298"/>
      <c r="I617" s="298"/>
    </row>
    <row r="618" spans="1:9">
      <c r="A618" s="493" t="s">
        <v>836</v>
      </c>
      <c r="B618" s="454"/>
      <c r="C618" s="454"/>
      <c r="D618" s="450"/>
      <c r="E618" s="67"/>
      <c r="F618" s="67">
        <f>F617*15%</f>
        <v>14.634899999999998</v>
      </c>
      <c r="G618" s="66"/>
      <c r="H618" s="298"/>
      <c r="I618" s="298"/>
    </row>
    <row r="619" spans="1:9">
      <c r="A619" s="493" t="s">
        <v>30</v>
      </c>
      <c r="B619" s="454"/>
      <c r="C619" s="454"/>
      <c r="D619" s="450"/>
      <c r="E619" s="71"/>
      <c r="F619" s="191">
        <f>ROUND(F617+F618,2)</f>
        <v>112.2</v>
      </c>
      <c r="G619" s="66"/>
      <c r="H619" s="298"/>
      <c r="I619" s="298"/>
    </row>
    <row r="620" spans="1:9">
      <c r="A620" s="490" t="s">
        <v>819</v>
      </c>
      <c r="B620" s="454"/>
      <c r="C620" s="454"/>
      <c r="D620" s="454"/>
      <c r="E620" s="454"/>
      <c r="F620" s="450"/>
      <c r="G620" s="68" t="s">
        <v>820</v>
      </c>
      <c r="H620" s="298"/>
      <c r="I620" s="298"/>
    </row>
    <row r="621" spans="1:9">
      <c r="A621" s="491">
        <v>116</v>
      </c>
      <c r="B621" s="491"/>
      <c r="C621" s="484" t="s">
        <v>527</v>
      </c>
      <c r="D621" s="454"/>
      <c r="E621" s="450"/>
      <c r="F621" s="484"/>
      <c r="G621" s="450"/>
      <c r="H621" s="298"/>
      <c r="I621" s="298"/>
    </row>
    <row r="622" spans="1:9">
      <c r="A622" s="457"/>
      <c r="B622" s="457"/>
      <c r="C622" s="66" t="s">
        <v>26</v>
      </c>
      <c r="D622" s="67">
        <v>0.33</v>
      </c>
      <c r="E622" s="67">
        <v>784</v>
      </c>
      <c r="F622" s="67">
        <f>E622*D622</f>
        <v>258.72000000000003</v>
      </c>
      <c r="G622" s="66" t="s">
        <v>822</v>
      </c>
      <c r="H622" s="298"/>
      <c r="I622" s="298"/>
    </row>
    <row r="623" spans="1:9">
      <c r="A623" s="491">
        <v>117</v>
      </c>
      <c r="B623" s="491"/>
      <c r="C623" s="484" t="s">
        <v>858</v>
      </c>
      <c r="D623" s="454"/>
      <c r="E623" s="450"/>
      <c r="F623" s="484"/>
      <c r="G623" s="450"/>
      <c r="H623" s="298"/>
      <c r="I623" s="298"/>
    </row>
    <row r="624" spans="1:9">
      <c r="A624" s="457"/>
      <c r="B624" s="457"/>
      <c r="C624" s="66" t="s">
        <v>26</v>
      </c>
      <c r="D624" s="67">
        <v>1.31</v>
      </c>
      <c r="E624" s="67">
        <v>714</v>
      </c>
      <c r="F624" s="67">
        <f>E624*D624</f>
        <v>935.34</v>
      </c>
      <c r="G624" s="66" t="s">
        <v>825</v>
      </c>
      <c r="H624" s="298"/>
      <c r="I624" s="298"/>
    </row>
    <row r="625" spans="1:9">
      <c r="A625" s="491">
        <v>114</v>
      </c>
      <c r="B625" s="491"/>
      <c r="C625" s="484" t="s">
        <v>59</v>
      </c>
      <c r="D625" s="454"/>
      <c r="E625" s="450"/>
      <c r="F625" s="484"/>
      <c r="G625" s="450"/>
      <c r="H625" s="298"/>
      <c r="I625" s="298"/>
    </row>
    <row r="626" spans="1:9">
      <c r="A626" s="457"/>
      <c r="B626" s="457"/>
      <c r="C626" s="66" t="s">
        <v>26</v>
      </c>
      <c r="D626" s="67">
        <v>1.31</v>
      </c>
      <c r="E626" s="67">
        <v>645</v>
      </c>
      <c r="F626" s="67">
        <f>E626*D626</f>
        <v>844.95</v>
      </c>
      <c r="G626" s="66" t="s">
        <v>837</v>
      </c>
      <c r="H626" s="298"/>
      <c r="I626" s="298"/>
    </row>
    <row r="627" spans="1:9">
      <c r="A627" s="490" t="s">
        <v>847</v>
      </c>
      <c r="B627" s="454"/>
      <c r="C627" s="454"/>
      <c r="D627" s="454"/>
      <c r="E627" s="454"/>
      <c r="F627" s="450"/>
      <c r="G627" s="68" t="s">
        <v>820</v>
      </c>
      <c r="H627" s="298"/>
      <c r="I627" s="298"/>
    </row>
    <row r="628" spans="1:9">
      <c r="A628" s="491">
        <v>9999</v>
      </c>
      <c r="B628" s="491"/>
      <c r="C628" s="484" t="s">
        <v>1758</v>
      </c>
      <c r="D628" s="454"/>
      <c r="E628" s="450"/>
      <c r="F628" s="484"/>
      <c r="G628" s="450"/>
      <c r="H628" s="298"/>
      <c r="I628" s="298"/>
    </row>
    <row r="629" spans="1:9">
      <c r="A629" s="457"/>
      <c r="B629" s="457"/>
      <c r="C629" s="66" t="s">
        <v>62</v>
      </c>
      <c r="D629" s="67">
        <v>5.33</v>
      </c>
      <c r="E629" s="67">
        <v>2.12</v>
      </c>
      <c r="F629" s="67">
        <f>E629*D629</f>
        <v>11.2996</v>
      </c>
      <c r="G629" s="66" t="s">
        <v>851</v>
      </c>
      <c r="H629" s="298"/>
      <c r="I629" s="298"/>
    </row>
    <row r="630" spans="1:9">
      <c r="A630" s="491">
        <v>9999</v>
      </c>
      <c r="B630" s="491"/>
      <c r="C630" s="484" t="s">
        <v>1765</v>
      </c>
      <c r="D630" s="454"/>
      <c r="E630" s="450"/>
      <c r="F630" s="484"/>
      <c r="G630" s="450"/>
      <c r="H630" s="298"/>
      <c r="I630" s="298"/>
    </row>
    <row r="631" spans="1:9">
      <c r="A631" s="457"/>
      <c r="B631" s="457"/>
      <c r="C631" s="66" t="s">
        <v>62</v>
      </c>
      <c r="D631" s="67">
        <v>30.98</v>
      </c>
      <c r="E631" s="67">
        <v>2.12</v>
      </c>
      <c r="F631" s="67">
        <f>E631*D631</f>
        <v>65.677599999999998</v>
      </c>
      <c r="G631" s="66" t="s">
        <v>854</v>
      </c>
      <c r="H631" s="298"/>
      <c r="I631" s="298"/>
    </row>
    <row r="632" spans="1:9">
      <c r="A632" s="492" t="s">
        <v>30</v>
      </c>
      <c r="B632" s="454"/>
      <c r="C632" s="450"/>
      <c r="D632" s="67">
        <v>10</v>
      </c>
      <c r="E632" s="70" t="s">
        <v>21</v>
      </c>
      <c r="F632" s="67">
        <f>F622+F624+F626+F629+F631</f>
        <v>2115.9872</v>
      </c>
      <c r="G632" s="71"/>
      <c r="H632" s="298"/>
      <c r="I632" s="298"/>
    </row>
    <row r="633" spans="1:9">
      <c r="A633" s="492" t="s">
        <v>826</v>
      </c>
      <c r="B633" s="454"/>
      <c r="C633" s="450"/>
      <c r="D633" s="67">
        <v>1</v>
      </c>
      <c r="E633" s="70" t="s">
        <v>21</v>
      </c>
      <c r="F633" s="67">
        <f>F632/D632</f>
        <v>211.59872000000001</v>
      </c>
      <c r="G633" s="71"/>
      <c r="H633" s="298"/>
      <c r="I633" s="298"/>
    </row>
    <row r="634" spans="1:9">
      <c r="A634" s="493" t="s">
        <v>829</v>
      </c>
      <c r="B634" s="454"/>
      <c r="C634" s="454"/>
      <c r="D634" s="450"/>
      <c r="E634" s="67"/>
      <c r="F634" s="67">
        <f>F633*1%</f>
        <v>2.1159872000000002</v>
      </c>
      <c r="G634" s="71"/>
      <c r="H634" s="298"/>
      <c r="I634" s="298"/>
    </row>
    <row r="635" spans="1:9">
      <c r="A635" s="493" t="s">
        <v>30</v>
      </c>
      <c r="B635" s="454"/>
      <c r="C635" s="454"/>
      <c r="D635" s="450"/>
      <c r="E635" s="71"/>
      <c r="F635" s="67">
        <f>F633+F634</f>
        <v>213.71470720000002</v>
      </c>
      <c r="G635" s="71"/>
      <c r="H635" s="298"/>
      <c r="I635" s="298"/>
    </row>
    <row r="636" spans="1:9">
      <c r="A636" s="493" t="s">
        <v>836</v>
      </c>
      <c r="B636" s="454"/>
      <c r="C636" s="454"/>
      <c r="D636" s="450"/>
      <c r="E636" s="67"/>
      <c r="F636" s="67">
        <f>F635*15%</f>
        <v>32.05720608</v>
      </c>
      <c r="G636" s="71"/>
      <c r="H636" s="298"/>
      <c r="I636" s="298"/>
    </row>
    <row r="637" spans="1:9">
      <c r="A637" s="493" t="s">
        <v>30</v>
      </c>
      <c r="B637" s="454"/>
      <c r="C637" s="454"/>
      <c r="D637" s="450"/>
      <c r="E637" s="71"/>
      <c r="F637" s="191">
        <f>ROUND(F635+F636,2)</f>
        <v>245.77</v>
      </c>
      <c r="G637" s="71"/>
      <c r="H637" s="298"/>
      <c r="I637" s="298"/>
    </row>
    <row r="638" spans="1:9">
      <c r="A638" s="616" t="str">
        <f>CONCATENATE("Say ₹ ",F619," + ",F637," x Cost Index")</f>
        <v>Say ₹ 112.2 + 245.77 x Cost Index</v>
      </c>
      <c r="B638" s="454"/>
      <c r="C638" s="454"/>
      <c r="D638" s="454"/>
      <c r="E638" s="454"/>
      <c r="F638" s="450"/>
      <c r="G638" s="300" t="s">
        <v>1000</v>
      </c>
      <c r="H638" s="301">
        <f>F613*1.01*1.15/10</f>
        <v>112.20089999999998</v>
      </c>
      <c r="I638" s="301">
        <f>(F622+F624+F626+F629+F631)*1.01*1.15/10</f>
        <v>245.77191327999998</v>
      </c>
    </row>
    <row r="639" spans="1:9">
      <c r="A639" s="486" t="s">
        <v>771</v>
      </c>
      <c r="B639" s="486" t="s">
        <v>776</v>
      </c>
      <c r="C639" s="487" t="s">
        <v>4</v>
      </c>
      <c r="D639" s="454"/>
      <c r="E639" s="450"/>
      <c r="F639" s="487" t="s">
        <v>785</v>
      </c>
      <c r="G639" s="450"/>
      <c r="H639" s="298"/>
      <c r="I639" s="298"/>
    </row>
    <row r="640" spans="1:9">
      <c r="A640" s="457"/>
      <c r="B640" s="457"/>
      <c r="C640" s="62" t="s">
        <v>5</v>
      </c>
      <c r="D640" s="62" t="s">
        <v>6</v>
      </c>
      <c r="E640" s="62" t="s">
        <v>336</v>
      </c>
      <c r="F640" s="62" t="s">
        <v>8</v>
      </c>
      <c r="G640" s="62" t="s">
        <v>789</v>
      </c>
      <c r="H640" s="298"/>
      <c r="I640" s="298"/>
    </row>
    <row r="641" spans="1:9">
      <c r="A641" s="617" t="s">
        <v>2084</v>
      </c>
      <c r="B641" s="454"/>
      <c r="C641" s="454"/>
      <c r="D641" s="454"/>
      <c r="E641" s="454"/>
      <c r="F641" s="454"/>
      <c r="G641" s="450"/>
      <c r="H641" s="298"/>
      <c r="I641" s="298"/>
    </row>
    <row r="642" spans="1:9">
      <c r="A642" s="65"/>
      <c r="B642" s="66" t="s">
        <v>795</v>
      </c>
      <c r="C642" s="66" t="s">
        <v>21</v>
      </c>
      <c r="D642" s="66" t="s">
        <v>798</v>
      </c>
      <c r="E642" s="67">
        <v>10</v>
      </c>
      <c r="F642" s="484"/>
      <c r="G642" s="450"/>
      <c r="H642" s="298"/>
      <c r="I642" s="298"/>
    </row>
    <row r="643" spans="1:9">
      <c r="A643" s="66" t="s">
        <v>800</v>
      </c>
      <c r="B643" s="484" t="s">
        <v>2075</v>
      </c>
      <c r="C643" s="454"/>
      <c r="D643" s="454"/>
      <c r="E643" s="454"/>
      <c r="F643" s="454"/>
      <c r="G643" s="450"/>
      <c r="H643" s="298"/>
      <c r="I643" s="298"/>
    </row>
    <row r="644" spans="1:9">
      <c r="A644" s="490" t="s">
        <v>802</v>
      </c>
      <c r="B644" s="454"/>
      <c r="C644" s="454"/>
      <c r="D644" s="454"/>
      <c r="E644" s="454"/>
      <c r="F644" s="450"/>
      <c r="G644" s="68" t="s">
        <v>803</v>
      </c>
      <c r="H644" s="298"/>
      <c r="I644" s="298"/>
    </row>
    <row r="645" spans="1:9">
      <c r="A645" s="491"/>
      <c r="B645" s="491" t="s">
        <v>1816</v>
      </c>
      <c r="C645" s="484" t="s">
        <v>1858</v>
      </c>
      <c r="D645" s="454"/>
      <c r="E645" s="450"/>
      <c r="F645" s="484"/>
      <c r="G645" s="450"/>
      <c r="H645" s="298"/>
      <c r="I645" s="298"/>
    </row>
    <row r="646" spans="1:9">
      <c r="A646" s="457"/>
      <c r="B646" s="457"/>
      <c r="C646" s="66" t="s">
        <v>21</v>
      </c>
      <c r="D646" s="67">
        <v>11.5</v>
      </c>
      <c r="E646" s="67">
        <v>53</v>
      </c>
      <c r="F646" s="67">
        <f>E646*D646</f>
        <v>609.5</v>
      </c>
      <c r="G646" s="66" t="s">
        <v>808</v>
      </c>
      <c r="H646" s="298"/>
      <c r="I646" s="298"/>
    </row>
    <row r="647" spans="1:9">
      <c r="A647" s="492" t="s">
        <v>30</v>
      </c>
      <c r="B647" s="454"/>
      <c r="C647" s="450"/>
      <c r="D647" s="67">
        <v>10</v>
      </c>
      <c r="E647" s="70" t="s">
        <v>21</v>
      </c>
      <c r="F647" s="67">
        <f>F646</f>
        <v>609.5</v>
      </c>
      <c r="G647" s="66"/>
      <c r="H647" s="298"/>
      <c r="I647" s="298"/>
    </row>
    <row r="648" spans="1:9">
      <c r="A648" s="492" t="s">
        <v>826</v>
      </c>
      <c r="B648" s="454"/>
      <c r="C648" s="450"/>
      <c r="D648" s="67">
        <v>1</v>
      </c>
      <c r="E648" s="70" t="s">
        <v>21</v>
      </c>
      <c r="F648" s="67">
        <f>F647/D647</f>
        <v>60.95</v>
      </c>
      <c r="G648" s="66"/>
      <c r="H648" s="298"/>
      <c r="I648" s="298"/>
    </row>
    <row r="649" spans="1:9">
      <c r="A649" s="493" t="s">
        <v>829</v>
      </c>
      <c r="B649" s="454"/>
      <c r="C649" s="454"/>
      <c r="D649" s="450"/>
      <c r="E649" s="67"/>
      <c r="F649" s="67">
        <f>F648*1%</f>
        <v>0.60950000000000004</v>
      </c>
      <c r="G649" s="66"/>
      <c r="H649" s="298"/>
      <c r="I649" s="298"/>
    </row>
    <row r="650" spans="1:9">
      <c r="A650" s="493" t="s">
        <v>30</v>
      </c>
      <c r="B650" s="454"/>
      <c r="C650" s="454"/>
      <c r="D650" s="450"/>
      <c r="E650" s="71"/>
      <c r="F650" s="67">
        <f>F648+F649</f>
        <v>61.5595</v>
      </c>
      <c r="G650" s="66"/>
      <c r="H650" s="298"/>
      <c r="I650" s="298"/>
    </row>
    <row r="651" spans="1:9">
      <c r="A651" s="493" t="s">
        <v>836</v>
      </c>
      <c r="B651" s="454"/>
      <c r="C651" s="454"/>
      <c r="D651" s="450"/>
      <c r="E651" s="67"/>
      <c r="F651" s="67">
        <f>F650*15%</f>
        <v>9.2339249999999993</v>
      </c>
      <c r="G651" s="66"/>
      <c r="H651" s="298"/>
      <c r="I651" s="298"/>
    </row>
    <row r="652" spans="1:9">
      <c r="A652" s="493" t="s">
        <v>30</v>
      </c>
      <c r="B652" s="454"/>
      <c r="C652" s="454"/>
      <c r="D652" s="450"/>
      <c r="E652" s="71"/>
      <c r="F652" s="191">
        <f>ROUND(F650+F651,2)</f>
        <v>70.790000000000006</v>
      </c>
      <c r="G652" s="66"/>
      <c r="H652" s="298"/>
      <c r="I652" s="298"/>
    </row>
    <row r="653" spans="1:9">
      <c r="A653" s="490" t="s">
        <v>819</v>
      </c>
      <c r="B653" s="454"/>
      <c r="C653" s="454"/>
      <c r="D653" s="454"/>
      <c r="E653" s="454"/>
      <c r="F653" s="450"/>
      <c r="G653" s="68" t="s">
        <v>820</v>
      </c>
      <c r="H653" s="298"/>
      <c r="I653" s="298"/>
    </row>
    <row r="654" spans="1:9">
      <c r="A654" s="491">
        <v>116</v>
      </c>
      <c r="B654" s="491"/>
      <c r="C654" s="484" t="s">
        <v>527</v>
      </c>
      <c r="D654" s="454"/>
      <c r="E654" s="450"/>
      <c r="F654" s="484"/>
      <c r="G654" s="450"/>
      <c r="H654" s="298"/>
      <c r="I654" s="298"/>
    </row>
    <row r="655" spans="1:9">
      <c r="A655" s="457"/>
      <c r="B655" s="457"/>
      <c r="C655" s="66" t="s">
        <v>26</v>
      </c>
      <c r="D655" s="67">
        <v>0.33</v>
      </c>
      <c r="E655" s="67">
        <v>784</v>
      </c>
      <c r="F655" s="67">
        <f>E655*D655</f>
        <v>258.72000000000003</v>
      </c>
      <c r="G655" s="66" t="s">
        <v>822</v>
      </c>
      <c r="H655" s="298"/>
      <c r="I655" s="298"/>
    </row>
    <row r="656" spans="1:9">
      <c r="A656" s="491">
        <v>117</v>
      </c>
      <c r="B656" s="491"/>
      <c r="C656" s="484" t="s">
        <v>858</v>
      </c>
      <c r="D656" s="454"/>
      <c r="E656" s="450"/>
      <c r="F656" s="484"/>
      <c r="G656" s="450"/>
      <c r="H656" s="298"/>
      <c r="I656" s="298"/>
    </row>
    <row r="657" spans="1:9">
      <c r="A657" s="457"/>
      <c r="B657" s="457"/>
      <c r="C657" s="66" t="s">
        <v>26</v>
      </c>
      <c r="D657" s="67">
        <v>1.31</v>
      </c>
      <c r="E657" s="67">
        <v>714</v>
      </c>
      <c r="F657" s="67">
        <f>E657*D657</f>
        <v>935.34</v>
      </c>
      <c r="G657" s="66" t="s">
        <v>825</v>
      </c>
      <c r="H657" s="298"/>
      <c r="I657" s="298"/>
    </row>
    <row r="658" spans="1:9">
      <c r="A658" s="491">
        <v>114</v>
      </c>
      <c r="B658" s="491"/>
      <c r="C658" s="484" t="s">
        <v>59</v>
      </c>
      <c r="D658" s="454"/>
      <c r="E658" s="450"/>
      <c r="F658" s="484"/>
      <c r="G658" s="450"/>
      <c r="H658" s="298"/>
      <c r="I658" s="298"/>
    </row>
    <row r="659" spans="1:9">
      <c r="A659" s="457"/>
      <c r="B659" s="457"/>
      <c r="C659" s="66" t="s">
        <v>26</v>
      </c>
      <c r="D659" s="67">
        <v>1.31</v>
      </c>
      <c r="E659" s="67">
        <v>645</v>
      </c>
      <c r="F659" s="67">
        <f>E659*D659</f>
        <v>844.95</v>
      </c>
      <c r="G659" s="66" t="s">
        <v>837</v>
      </c>
      <c r="H659" s="298"/>
      <c r="I659" s="298"/>
    </row>
    <row r="660" spans="1:9">
      <c r="A660" s="490" t="s">
        <v>847</v>
      </c>
      <c r="B660" s="454"/>
      <c r="C660" s="454"/>
      <c r="D660" s="454"/>
      <c r="E660" s="454"/>
      <c r="F660" s="450"/>
      <c r="G660" s="68" t="s">
        <v>820</v>
      </c>
      <c r="H660" s="298"/>
      <c r="I660" s="298"/>
    </row>
    <row r="661" spans="1:9">
      <c r="A661" s="491">
        <v>9999</v>
      </c>
      <c r="B661" s="491"/>
      <c r="C661" s="484" t="s">
        <v>1758</v>
      </c>
      <c r="D661" s="454"/>
      <c r="E661" s="450"/>
      <c r="F661" s="484"/>
      <c r="G661" s="450"/>
      <c r="H661" s="298"/>
      <c r="I661" s="298"/>
    </row>
    <row r="662" spans="1:9">
      <c r="A662" s="457"/>
      <c r="B662" s="457"/>
      <c r="C662" s="66" t="s">
        <v>62</v>
      </c>
      <c r="D662" s="67">
        <v>5.33</v>
      </c>
      <c r="E662" s="67">
        <v>2.12</v>
      </c>
      <c r="F662" s="67">
        <f>E662*D662</f>
        <v>11.2996</v>
      </c>
      <c r="G662" s="66" t="s">
        <v>851</v>
      </c>
      <c r="H662" s="298"/>
      <c r="I662" s="298"/>
    </row>
    <row r="663" spans="1:9">
      <c r="A663" s="491">
        <v>9999</v>
      </c>
      <c r="B663" s="491"/>
      <c r="C663" s="484" t="s">
        <v>1765</v>
      </c>
      <c r="D663" s="454"/>
      <c r="E663" s="450"/>
      <c r="F663" s="484"/>
      <c r="G663" s="450"/>
      <c r="H663" s="298"/>
      <c r="I663" s="298"/>
    </row>
    <row r="664" spans="1:9">
      <c r="A664" s="457"/>
      <c r="B664" s="457"/>
      <c r="C664" s="66" t="s">
        <v>62</v>
      </c>
      <c r="D664" s="67">
        <v>30.98</v>
      </c>
      <c r="E664" s="67">
        <v>2.12</v>
      </c>
      <c r="F664" s="67">
        <f>E664*D664</f>
        <v>65.677599999999998</v>
      </c>
      <c r="G664" s="66" t="s">
        <v>854</v>
      </c>
      <c r="H664" s="298"/>
      <c r="I664" s="298"/>
    </row>
    <row r="665" spans="1:9">
      <c r="A665" s="492" t="s">
        <v>30</v>
      </c>
      <c r="B665" s="454"/>
      <c r="C665" s="450"/>
      <c r="D665" s="67">
        <v>10</v>
      </c>
      <c r="E665" s="70" t="s">
        <v>21</v>
      </c>
      <c r="F665" s="67">
        <f>F655+F657+F659+F662+F664</f>
        <v>2115.9872</v>
      </c>
      <c r="G665" s="71"/>
      <c r="H665" s="298"/>
      <c r="I665" s="298"/>
    </row>
    <row r="666" spans="1:9">
      <c r="A666" s="492" t="s">
        <v>826</v>
      </c>
      <c r="B666" s="454"/>
      <c r="C666" s="450"/>
      <c r="D666" s="67">
        <v>1</v>
      </c>
      <c r="E666" s="70" t="s">
        <v>21</v>
      </c>
      <c r="F666" s="67">
        <f>F665/D665</f>
        <v>211.59872000000001</v>
      </c>
      <c r="G666" s="71"/>
      <c r="H666" s="298"/>
      <c r="I666" s="298"/>
    </row>
    <row r="667" spans="1:9">
      <c r="A667" s="493" t="s">
        <v>829</v>
      </c>
      <c r="B667" s="454"/>
      <c r="C667" s="454"/>
      <c r="D667" s="450"/>
      <c r="E667" s="67"/>
      <c r="F667" s="67">
        <f>F666*1%</f>
        <v>2.1159872000000002</v>
      </c>
      <c r="G667" s="71"/>
      <c r="H667" s="298"/>
      <c r="I667" s="298"/>
    </row>
    <row r="668" spans="1:9">
      <c r="A668" s="493" t="s">
        <v>30</v>
      </c>
      <c r="B668" s="454"/>
      <c r="C668" s="454"/>
      <c r="D668" s="450"/>
      <c r="E668" s="71"/>
      <c r="F668" s="67">
        <f>F666+F667</f>
        <v>213.71470720000002</v>
      </c>
      <c r="G668" s="71"/>
      <c r="H668" s="298"/>
      <c r="I668" s="298"/>
    </row>
    <row r="669" spans="1:9">
      <c r="A669" s="493" t="s">
        <v>836</v>
      </c>
      <c r="B669" s="454"/>
      <c r="C669" s="454"/>
      <c r="D669" s="450"/>
      <c r="E669" s="67"/>
      <c r="F669" s="67">
        <f>F668*15%</f>
        <v>32.05720608</v>
      </c>
      <c r="G669" s="71"/>
      <c r="H669" s="298"/>
      <c r="I669" s="298"/>
    </row>
    <row r="670" spans="1:9">
      <c r="A670" s="493" t="s">
        <v>30</v>
      </c>
      <c r="B670" s="454"/>
      <c r="C670" s="454"/>
      <c r="D670" s="450"/>
      <c r="E670" s="71"/>
      <c r="F670" s="191">
        <f>ROUND(F668+F669,2)</f>
        <v>245.77</v>
      </c>
      <c r="G670" s="71"/>
      <c r="H670" s="298"/>
      <c r="I670" s="298"/>
    </row>
    <row r="671" spans="1:9">
      <c r="A671" s="616" t="str">
        <f>CONCATENATE("Say ₹ ",F652," + ",F670," x Cost Index")</f>
        <v>Say ₹ 70.79 + 245.77 x Cost Index</v>
      </c>
      <c r="B671" s="454"/>
      <c r="C671" s="454"/>
      <c r="D671" s="454"/>
      <c r="E671" s="454"/>
      <c r="F671" s="450"/>
      <c r="G671" s="300" t="s">
        <v>1000</v>
      </c>
      <c r="H671" s="301">
        <f>F646*1.01*1.15/10</f>
        <v>70.793424999999999</v>
      </c>
      <c r="I671" s="301">
        <f>(F655+F657+F659+F662+F664)*1.01*1.15/10</f>
        <v>245.77191327999998</v>
      </c>
    </row>
    <row r="672" spans="1:9">
      <c r="A672" s="486" t="s">
        <v>771</v>
      </c>
      <c r="B672" s="486" t="s">
        <v>776</v>
      </c>
      <c r="C672" s="487" t="s">
        <v>4</v>
      </c>
      <c r="D672" s="454"/>
      <c r="E672" s="450"/>
      <c r="F672" s="487" t="s">
        <v>785</v>
      </c>
      <c r="G672" s="450"/>
      <c r="H672" s="298"/>
      <c r="I672" s="298"/>
    </row>
    <row r="673" spans="1:9">
      <c r="A673" s="457"/>
      <c r="B673" s="457"/>
      <c r="C673" s="62" t="s">
        <v>5</v>
      </c>
      <c r="D673" s="62" t="s">
        <v>6</v>
      </c>
      <c r="E673" s="62" t="s">
        <v>336</v>
      </c>
      <c r="F673" s="62" t="s">
        <v>8</v>
      </c>
      <c r="G673" s="62" t="s">
        <v>789</v>
      </c>
      <c r="H673" s="298"/>
      <c r="I673" s="298"/>
    </row>
    <row r="674" spans="1:9">
      <c r="A674" s="617" t="s">
        <v>2097</v>
      </c>
      <c r="B674" s="454"/>
      <c r="C674" s="454"/>
      <c r="D674" s="454"/>
      <c r="E674" s="454"/>
      <c r="F674" s="454"/>
      <c r="G674" s="450"/>
      <c r="H674" s="298"/>
      <c r="I674" s="298"/>
    </row>
    <row r="675" spans="1:9">
      <c r="A675" s="65"/>
      <c r="B675" s="66" t="s">
        <v>795</v>
      </c>
      <c r="C675" s="66" t="s">
        <v>21</v>
      </c>
      <c r="D675" s="66" t="s">
        <v>798</v>
      </c>
      <c r="E675" s="67">
        <v>10</v>
      </c>
      <c r="F675" s="484"/>
      <c r="G675" s="450"/>
      <c r="H675" s="298"/>
      <c r="I675" s="298"/>
    </row>
    <row r="676" spans="1:9">
      <c r="A676" s="66" t="s">
        <v>800</v>
      </c>
      <c r="B676" s="484" t="s">
        <v>2075</v>
      </c>
      <c r="C676" s="454"/>
      <c r="D676" s="454"/>
      <c r="E676" s="454"/>
      <c r="F676" s="454"/>
      <c r="G676" s="450"/>
      <c r="H676" s="298"/>
      <c r="I676" s="298"/>
    </row>
    <row r="677" spans="1:9">
      <c r="A677" s="490" t="s">
        <v>802</v>
      </c>
      <c r="B677" s="454"/>
      <c r="C677" s="454"/>
      <c r="D677" s="454"/>
      <c r="E677" s="454"/>
      <c r="F677" s="450"/>
      <c r="G677" s="68" t="s">
        <v>803</v>
      </c>
      <c r="H677" s="298"/>
      <c r="I677" s="298"/>
    </row>
    <row r="678" spans="1:9">
      <c r="A678" s="491"/>
      <c r="B678" s="491" t="s">
        <v>1838</v>
      </c>
      <c r="C678" s="484" t="s">
        <v>1875</v>
      </c>
      <c r="D678" s="454"/>
      <c r="E678" s="450"/>
      <c r="F678" s="484"/>
      <c r="G678" s="450"/>
      <c r="H678" s="298"/>
      <c r="I678" s="298"/>
    </row>
    <row r="679" spans="1:9">
      <c r="A679" s="457"/>
      <c r="B679" s="457"/>
      <c r="C679" s="66" t="s">
        <v>21</v>
      </c>
      <c r="D679" s="67">
        <v>11.5</v>
      </c>
      <c r="E679" s="67">
        <v>90</v>
      </c>
      <c r="F679" s="67">
        <f>E679*D679</f>
        <v>1035</v>
      </c>
      <c r="G679" s="66" t="s">
        <v>808</v>
      </c>
      <c r="H679" s="298"/>
      <c r="I679" s="298"/>
    </row>
    <row r="680" spans="1:9">
      <c r="A680" s="492" t="s">
        <v>30</v>
      </c>
      <c r="B680" s="454"/>
      <c r="C680" s="450"/>
      <c r="D680" s="67">
        <v>10</v>
      </c>
      <c r="E680" s="70" t="s">
        <v>21</v>
      </c>
      <c r="F680" s="67">
        <f>F679</f>
        <v>1035</v>
      </c>
      <c r="G680" s="66"/>
      <c r="H680" s="298"/>
      <c r="I680" s="298"/>
    </row>
    <row r="681" spans="1:9">
      <c r="A681" s="492" t="s">
        <v>826</v>
      </c>
      <c r="B681" s="454"/>
      <c r="C681" s="450"/>
      <c r="D681" s="67">
        <v>1</v>
      </c>
      <c r="E681" s="70" t="s">
        <v>21</v>
      </c>
      <c r="F681" s="67">
        <f>F680/D680</f>
        <v>103.5</v>
      </c>
      <c r="G681" s="66"/>
      <c r="H681" s="298"/>
      <c r="I681" s="298"/>
    </row>
    <row r="682" spans="1:9">
      <c r="A682" s="493" t="s">
        <v>829</v>
      </c>
      <c r="B682" s="454"/>
      <c r="C682" s="454"/>
      <c r="D682" s="450"/>
      <c r="E682" s="67"/>
      <c r="F682" s="67">
        <f>F681*1%</f>
        <v>1.0349999999999999</v>
      </c>
      <c r="G682" s="66"/>
      <c r="H682" s="298"/>
      <c r="I682" s="298"/>
    </row>
    <row r="683" spans="1:9">
      <c r="A683" s="493" t="s">
        <v>30</v>
      </c>
      <c r="B683" s="454"/>
      <c r="C683" s="454"/>
      <c r="D683" s="450"/>
      <c r="E683" s="71"/>
      <c r="F683" s="67">
        <f>F681+F682</f>
        <v>104.535</v>
      </c>
      <c r="G683" s="66"/>
      <c r="H683" s="298"/>
      <c r="I683" s="298"/>
    </row>
    <row r="684" spans="1:9">
      <c r="A684" s="493" t="s">
        <v>836</v>
      </c>
      <c r="B684" s="454"/>
      <c r="C684" s="454"/>
      <c r="D684" s="450"/>
      <c r="E684" s="67"/>
      <c r="F684" s="67">
        <f>F683*15%</f>
        <v>15.680249999999999</v>
      </c>
      <c r="G684" s="66"/>
      <c r="H684" s="298"/>
      <c r="I684" s="298"/>
    </row>
    <row r="685" spans="1:9">
      <c r="A685" s="493" t="s">
        <v>30</v>
      </c>
      <c r="B685" s="454"/>
      <c r="C685" s="454"/>
      <c r="D685" s="450"/>
      <c r="E685" s="71"/>
      <c r="F685" s="191">
        <f>ROUND(F683+F684,2)</f>
        <v>120.22</v>
      </c>
      <c r="G685" s="66"/>
      <c r="H685" s="298"/>
      <c r="I685" s="298"/>
    </row>
    <row r="686" spans="1:9">
      <c r="A686" s="490" t="s">
        <v>819</v>
      </c>
      <c r="B686" s="454"/>
      <c r="C686" s="454"/>
      <c r="D686" s="454"/>
      <c r="E686" s="454"/>
      <c r="F686" s="450"/>
      <c r="G686" s="68" t="s">
        <v>820</v>
      </c>
      <c r="H686" s="298"/>
      <c r="I686" s="298"/>
    </row>
    <row r="687" spans="1:9">
      <c r="A687" s="491">
        <v>116</v>
      </c>
      <c r="B687" s="491"/>
      <c r="C687" s="484" t="s">
        <v>527</v>
      </c>
      <c r="D687" s="454"/>
      <c r="E687" s="450"/>
      <c r="F687" s="484"/>
      <c r="G687" s="450"/>
      <c r="H687" s="298"/>
      <c r="I687" s="298"/>
    </row>
    <row r="688" spans="1:9">
      <c r="A688" s="457"/>
      <c r="B688" s="457"/>
      <c r="C688" s="66" t="s">
        <v>26</v>
      </c>
      <c r="D688" s="67">
        <v>0.33</v>
      </c>
      <c r="E688" s="67">
        <v>784</v>
      </c>
      <c r="F688" s="67">
        <f>E688*D688</f>
        <v>258.72000000000003</v>
      </c>
      <c r="G688" s="66" t="s">
        <v>822</v>
      </c>
      <c r="H688" s="298"/>
      <c r="I688" s="298"/>
    </row>
    <row r="689" spans="1:9">
      <c r="A689" s="491">
        <v>117</v>
      </c>
      <c r="B689" s="491"/>
      <c r="C689" s="484" t="s">
        <v>858</v>
      </c>
      <c r="D689" s="454"/>
      <c r="E689" s="450"/>
      <c r="F689" s="484"/>
      <c r="G689" s="450"/>
      <c r="H689" s="298"/>
      <c r="I689" s="298"/>
    </row>
    <row r="690" spans="1:9">
      <c r="A690" s="457"/>
      <c r="B690" s="457"/>
      <c r="C690" s="66" t="s">
        <v>26</v>
      </c>
      <c r="D690" s="67">
        <v>1.31</v>
      </c>
      <c r="E690" s="67">
        <v>714</v>
      </c>
      <c r="F690" s="67">
        <f>E690*D690</f>
        <v>935.34</v>
      </c>
      <c r="G690" s="66" t="s">
        <v>825</v>
      </c>
      <c r="H690" s="298"/>
      <c r="I690" s="298"/>
    </row>
    <row r="691" spans="1:9">
      <c r="A691" s="491">
        <v>114</v>
      </c>
      <c r="B691" s="491"/>
      <c r="C691" s="484" t="s">
        <v>59</v>
      </c>
      <c r="D691" s="454"/>
      <c r="E691" s="450"/>
      <c r="F691" s="484"/>
      <c r="G691" s="450"/>
      <c r="H691" s="298"/>
      <c r="I691" s="298"/>
    </row>
    <row r="692" spans="1:9">
      <c r="A692" s="457"/>
      <c r="B692" s="457"/>
      <c r="C692" s="66" t="s">
        <v>26</v>
      </c>
      <c r="D692" s="67">
        <v>1.31</v>
      </c>
      <c r="E692" s="67">
        <v>645</v>
      </c>
      <c r="F692" s="67">
        <f>E692*D692</f>
        <v>844.95</v>
      </c>
      <c r="G692" s="66" t="s">
        <v>837</v>
      </c>
      <c r="H692" s="298"/>
      <c r="I692" s="298"/>
    </row>
    <row r="693" spans="1:9">
      <c r="A693" s="490" t="s">
        <v>847</v>
      </c>
      <c r="B693" s="454"/>
      <c r="C693" s="454"/>
      <c r="D693" s="454"/>
      <c r="E693" s="454"/>
      <c r="F693" s="450"/>
      <c r="G693" s="68" t="s">
        <v>820</v>
      </c>
      <c r="H693" s="298"/>
      <c r="I693" s="298"/>
    </row>
    <row r="694" spans="1:9">
      <c r="A694" s="491">
        <v>9999</v>
      </c>
      <c r="B694" s="491"/>
      <c r="C694" s="484" t="s">
        <v>1758</v>
      </c>
      <c r="D694" s="454"/>
      <c r="E694" s="450"/>
      <c r="F694" s="484"/>
      <c r="G694" s="450"/>
      <c r="H694" s="298"/>
      <c r="I694" s="298"/>
    </row>
    <row r="695" spans="1:9">
      <c r="A695" s="457"/>
      <c r="B695" s="457"/>
      <c r="C695" s="66" t="s">
        <v>62</v>
      </c>
      <c r="D695" s="67">
        <v>5.33</v>
      </c>
      <c r="E695" s="67">
        <v>2.12</v>
      </c>
      <c r="F695" s="67">
        <f>E695*D695</f>
        <v>11.2996</v>
      </c>
      <c r="G695" s="66" t="s">
        <v>851</v>
      </c>
      <c r="H695" s="298"/>
      <c r="I695" s="298"/>
    </row>
    <row r="696" spans="1:9">
      <c r="A696" s="491">
        <v>9999</v>
      </c>
      <c r="B696" s="491"/>
      <c r="C696" s="484" t="s">
        <v>1765</v>
      </c>
      <c r="D696" s="454"/>
      <c r="E696" s="450"/>
      <c r="F696" s="484"/>
      <c r="G696" s="450"/>
      <c r="H696" s="298"/>
      <c r="I696" s="298"/>
    </row>
    <row r="697" spans="1:9">
      <c r="A697" s="457"/>
      <c r="B697" s="457"/>
      <c r="C697" s="66" t="s">
        <v>62</v>
      </c>
      <c r="D697" s="67">
        <v>30.98</v>
      </c>
      <c r="E697" s="67">
        <v>2.12</v>
      </c>
      <c r="F697" s="67">
        <f>E697*D697</f>
        <v>65.677599999999998</v>
      </c>
      <c r="G697" s="66" t="s">
        <v>854</v>
      </c>
      <c r="H697" s="298"/>
      <c r="I697" s="298"/>
    </row>
    <row r="698" spans="1:9">
      <c r="A698" s="492" t="s">
        <v>30</v>
      </c>
      <c r="B698" s="454"/>
      <c r="C698" s="450"/>
      <c r="D698" s="67">
        <v>10</v>
      </c>
      <c r="E698" s="70" t="s">
        <v>21</v>
      </c>
      <c r="F698" s="67">
        <f>F688+F690+F692+F695+F697</f>
        <v>2115.9872</v>
      </c>
      <c r="G698" s="71"/>
      <c r="H698" s="298"/>
      <c r="I698" s="298"/>
    </row>
    <row r="699" spans="1:9">
      <c r="A699" s="492" t="s">
        <v>826</v>
      </c>
      <c r="B699" s="454"/>
      <c r="C699" s="450"/>
      <c r="D699" s="67">
        <v>1</v>
      </c>
      <c r="E699" s="70" t="s">
        <v>21</v>
      </c>
      <c r="F699" s="67">
        <f>F698/D698</f>
        <v>211.59872000000001</v>
      </c>
      <c r="G699" s="71"/>
      <c r="H699" s="298"/>
      <c r="I699" s="298"/>
    </row>
    <row r="700" spans="1:9">
      <c r="A700" s="493" t="s">
        <v>829</v>
      </c>
      <c r="B700" s="454"/>
      <c r="C700" s="454"/>
      <c r="D700" s="450"/>
      <c r="E700" s="67"/>
      <c r="F700" s="67">
        <f>F699*1%</f>
        <v>2.1159872000000002</v>
      </c>
      <c r="G700" s="71"/>
      <c r="H700" s="298"/>
      <c r="I700" s="298"/>
    </row>
    <row r="701" spans="1:9">
      <c r="A701" s="493" t="s">
        <v>30</v>
      </c>
      <c r="B701" s="454"/>
      <c r="C701" s="454"/>
      <c r="D701" s="450"/>
      <c r="E701" s="71"/>
      <c r="F701" s="67">
        <f>F699+F700</f>
        <v>213.71470720000002</v>
      </c>
      <c r="G701" s="71"/>
      <c r="H701" s="298"/>
      <c r="I701" s="298"/>
    </row>
    <row r="702" spans="1:9">
      <c r="A702" s="493" t="s">
        <v>836</v>
      </c>
      <c r="B702" s="454"/>
      <c r="C702" s="454"/>
      <c r="D702" s="450"/>
      <c r="E702" s="67"/>
      <c r="F702" s="67">
        <f>F701*15%</f>
        <v>32.05720608</v>
      </c>
      <c r="G702" s="71"/>
      <c r="H702" s="298"/>
      <c r="I702" s="298"/>
    </row>
    <row r="703" spans="1:9">
      <c r="A703" s="493" t="s">
        <v>30</v>
      </c>
      <c r="B703" s="454"/>
      <c r="C703" s="454"/>
      <c r="D703" s="450"/>
      <c r="E703" s="71"/>
      <c r="F703" s="191">
        <f>ROUND(F701+F702,2)</f>
        <v>245.77</v>
      </c>
      <c r="G703" s="71"/>
      <c r="H703" s="298"/>
      <c r="I703" s="298"/>
    </row>
    <row r="704" spans="1:9">
      <c r="A704" s="616" t="str">
        <f>CONCATENATE("Say ₹ ",F685," + ",F703," x Cost Index")</f>
        <v>Say ₹ 120.22 + 245.77 x Cost Index</v>
      </c>
      <c r="B704" s="454"/>
      <c r="C704" s="454"/>
      <c r="D704" s="454"/>
      <c r="E704" s="454"/>
      <c r="F704" s="450"/>
      <c r="G704" s="300" t="s">
        <v>1000</v>
      </c>
      <c r="H704" s="301">
        <f>F679*1.01*1.15/10</f>
        <v>120.21524999999997</v>
      </c>
      <c r="I704" s="301">
        <f>(F688+F690+F692+F695+F697)*1.01*1.15/10</f>
        <v>245.77191327999998</v>
      </c>
    </row>
    <row r="705" spans="1:9">
      <c r="A705" s="486" t="s">
        <v>771</v>
      </c>
      <c r="B705" s="486" t="s">
        <v>776</v>
      </c>
      <c r="C705" s="487" t="s">
        <v>4</v>
      </c>
      <c r="D705" s="454"/>
      <c r="E705" s="450"/>
      <c r="F705" s="487" t="s">
        <v>785</v>
      </c>
      <c r="G705" s="450"/>
      <c r="H705" s="298"/>
      <c r="I705" s="298"/>
    </row>
    <row r="706" spans="1:9">
      <c r="A706" s="457"/>
      <c r="B706" s="457"/>
      <c r="C706" s="62" t="s">
        <v>5</v>
      </c>
      <c r="D706" s="62" t="s">
        <v>6</v>
      </c>
      <c r="E706" s="62" t="s">
        <v>336</v>
      </c>
      <c r="F706" s="62" t="s">
        <v>8</v>
      </c>
      <c r="G706" s="62" t="s">
        <v>789</v>
      </c>
      <c r="H706" s="298"/>
      <c r="I706" s="298"/>
    </row>
    <row r="707" spans="1:9">
      <c r="A707" s="617" t="s">
        <v>2106</v>
      </c>
      <c r="B707" s="454"/>
      <c r="C707" s="454"/>
      <c r="D707" s="454"/>
      <c r="E707" s="454"/>
      <c r="F707" s="454"/>
      <c r="G707" s="450"/>
      <c r="H707" s="298"/>
      <c r="I707" s="298"/>
    </row>
    <row r="708" spans="1:9">
      <c r="A708" s="65"/>
      <c r="B708" s="66" t="s">
        <v>795</v>
      </c>
      <c r="C708" s="66" t="s">
        <v>21</v>
      </c>
      <c r="D708" s="66" t="s">
        <v>798</v>
      </c>
      <c r="E708" s="67">
        <v>10</v>
      </c>
      <c r="F708" s="484"/>
      <c r="G708" s="450"/>
      <c r="H708" s="298"/>
      <c r="I708" s="298"/>
    </row>
    <row r="709" spans="1:9">
      <c r="A709" s="66" t="s">
        <v>800</v>
      </c>
      <c r="B709" s="484" t="s">
        <v>1693</v>
      </c>
      <c r="C709" s="454"/>
      <c r="D709" s="454"/>
      <c r="E709" s="454"/>
      <c r="F709" s="454"/>
      <c r="G709" s="450"/>
      <c r="H709" s="298"/>
      <c r="I709" s="298"/>
    </row>
    <row r="710" spans="1:9">
      <c r="A710" s="490" t="s">
        <v>802</v>
      </c>
      <c r="B710" s="454"/>
      <c r="C710" s="454"/>
      <c r="D710" s="454"/>
      <c r="E710" s="454"/>
      <c r="F710" s="450"/>
      <c r="G710" s="68" t="s">
        <v>803</v>
      </c>
      <c r="H710" s="298"/>
      <c r="I710" s="298"/>
    </row>
    <row r="711" spans="1:9">
      <c r="A711" s="491"/>
      <c r="B711" s="491" t="s">
        <v>1832</v>
      </c>
      <c r="C711" s="484" t="s">
        <v>1886</v>
      </c>
      <c r="D711" s="454"/>
      <c r="E711" s="450"/>
      <c r="F711" s="484"/>
      <c r="G711" s="450"/>
      <c r="H711" s="298"/>
      <c r="I711" s="298"/>
    </row>
    <row r="712" spans="1:9">
      <c r="A712" s="457"/>
      <c r="B712" s="457"/>
      <c r="C712" s="66" t="s">
        <v>21</v>
      </c>
      <c r="D712" s="67">
        <v>11.5</v>
      </c>
      <c r="E712" s="67">
        <v>60</v>
      </c>
      <c r="F712" s="67">
        <f>E712*D712</f>
        <v>690</v>
      </c>
      <c r="G712" s="66" t="s">
        <v>808</v>
      </c>
      <c r="H712" s="298"/>
      <c r="I712" s="298"/>
    </row>
    <row r="713" spans="1:9">
      <c r="A713" s="492" t="s">
        <v>30</v>
      </c>
      <c r="B713" s="454"/>
      <c r="C713" s="450"/>
      <c r="D713" s="67">
        <v>10</v>
      </c>
      <c r="E713" s="70" t="s">
        <v>21</v>
      </c>
      <c r="F713" s="67">
        <f>F712</f>
        <v>690</v>
      </c>
      <c r="G713" s="66"/>
      <c r="H713" s="298"/>
      <c r="I713" s="298"/>
    </row>
    <row r="714" spans="1:9">
      <c r="A714" s="492" t="s">
        <v>826</v>
      </c>
      <c r="B714" s="454"/>
      <c r="C714" s="450"/>
      <c r="D714" s="67">
        <v>1</v>
      </c>
      <c r="E714" s="70" t="s">
        <v>21</v>
      </c>
      <c r="F714" s="67">
        <f>F713/D713</f>
        <v>69</v>
      </c>
      <c r="G714" s="66"/>
      <c r="H714" s="298"/>
      <c r="I714" s="298"/>
    </row>
    <row r="715" spans="1:9">
      <c r="A715" s="493" t="s">
        <v>829</v>
      </c>
      <c r="B715" s="454"/>
      <c r="C715" s="454"/>
      <c r="D715" s="450"/>
      <c r="E715" s="67"/>
      <c r="F715" s="67">
        <f>F714*1%</f>
        <v>0.69000000000000006</v>
      </c>
      <c r="G715" s="66"/>
      <c r="H715" s="298"/>
      <c r="I715" s="298"/>
    </row>
    <row r="716" spans="1:9">
      <c r="A716" s="493" t="s">
        <v>30</v>
      </c>
      <c r="B716" s="454"/>
      <c r="C716" s="454"/>
      <c r="D716" s="450"/>
      <c r="E716" s="71"/>
      <c r="F716" s="67">
        <f>F714+F715</f>
        <v>69.69</v>
      </c>
      <c r="G716" s="66"/>
      <c r="H716" s="298"/>
      <c r="I716" s="298"/>
    </row>
    <row r="717" spans="1:9">
      <c r="A717" s="493" t="s">
        <v>836</v>
      </c>
      <c r="B717" s="454"/>
      <c r="C717" s="454"/>
      <c r="D717" s="450"/>
      <c r="E717" s="67"/>
      <c r="F717" s="67">
        <f>F716*15%</f>
        <v>10.4535</v>
      </c>
      <c r="G717" s="66"/>
      <c r="H717" s="298"/>
      <c r="I717" s="298"/>
    </row>
    <row r="718" spans="1:9">
      <c r="A718" s="493" t="s">
        <v>30</v>
      </c>
      <c r="B718" s="454"/>
      <c r="C718" s="454"/>
      <c r="D718" s="450"/>
      <c r="E718" s="71"/>
      <c r="F718" s="191">
        <f>ROUND(F716+F717,2)</f>
        <v>80.14</v>
      </c>
      <c r="G718" s="66"/>
      <c r="H718" s="298"/>
      <c r="I718" s="298"/>
    </row>
    <row r="719" spans="1:9">
      <c r="A719" s="490" t="s">
        <v>819</v>
      </c>
      <c r="B719" s="454"/>
      <c r="C719" s="454"/>
      <c r="D719" s="454"/>
      <c r="E719" s="454"/>
      <c r="F719" s="450"/>
      <c r="G719" s="68" t="s">
        <v>820</v>
      </c>
      <c r="H719" s="298"/>
      <c r="I719" s="298"/>
    </row>
    <row r="720" spans="1:9">
      <c r="A720" s="491">
        <v>116</v>
      </c>
      <c r="B720" s="491"/>
      <c r="C720" s="484" t="s">
        <v>527</v>
      </c>
      <c r="D720" s="454"/>
      <c r="E720" s="450"/>
      <c r="F720" s="484"/>
      <c r="G720" s="450"/>
      <c r="H720" s="298"/>
      <c r="I720" s="298"/>
    </row>
    <row r="721" spans="1:9">
      <c r="A721" s="457"/>
      <c r="B721" s="457"/>
      <c r="C721" s="66" t="s">
        <v>26</v>
      </c>
      <c r="D721" s="67">
        <v>0.33</v>
      </c>
      <c r="E721" s="67">
        <v>784</v>
      </c>
      <c r="F721" s="67">
        <f>E721*D721</f>
        <v>258.72000000000003</v>
      </c>
      <c r="G721" s="66" t="s">
        <v>822</v>
      </c>
      <c r="H721" s="298"/>
      <c r="I721" s="298"/>
    </row>
    <row r="722" spans="1:9">
      <c r="A722" s="491">
        <v>117</v>
      </c>
      <c r="B722" s="491"/>
      <c r="C722" s="484" t="s">
        <v>858</v>
      </c>
      <c r="D722" s="454"/>
      <c r="E722" s="450"/>
      <c r="F722" s="484"/>
      <c r="G722" s="450"/>
      <c r="H722" s="298"/>
      <c r="I722" s="298"/>
    </row>
    <row r="723" spans="1:9">
      <c r="A723" s="457"/>
      <c r="B723" s="457"/>
      <c r="C723" s="66" t="s">
        <v>26</v>
      </c>
      <c r="D723" s="67">
        <v>1.31</v>
      </c>
      <c r="E723" s="67">
        <v>714</v>
      </c>
      <c r="F723" s="67">
        <f>E723*D723</f>
        <v>935.34</v>
      </c>
      <c r="G723" s="66" t="s">
        <v>825</v>
      </c>
      <c r="H723" s="298"/>
      <c r="I723" s="298"/>
    </row>
    <row r="724" spans="1:9">
      <c r="A724" s="491">
        <v>114</v>
      </c>
      <c r="B724" s="491"/>
      <c r="C724" s="484" t="s">
        <v>59</v>
      </c>
      <c r="D724" s="454"/>
      <c r="E724" s="450"/>
      <c r="F724" s="484"/>
      <c r="G724" s="450"/>
      <c r="H724" s="298"/>
      <c r="I724" s="298"/>
    </row>
    <row r="725" spans="1:9">
      <c r="A725" s="457"/>
      <c r="B725" s="457"/>
      <c r="C725" s="66" t="s">
        <v>26</v>
      </c>
      <c r="D725" s="67">
        <v>1.31</v>
      </c>
      <c r="E725" s="67">
        <v>645</v>
      </c>
      <c r="F725" s="67">
        <f>E725*D725</f>
        <v>844.95</v>
      </c>
      <c r="G725" s="66" t="s">
        <v>837</v>
      </c>
      <c r="H725" s="298"/>
      <c r="I725" s="298"/>
    </row>
    <row r="726" spans="1:9">
      <c r="A726" s="490" t="s">
        <v>847</v>
      </c>
      <c r="B726" s="454"/>
      <c r="C726" s="454"/>
      <c r="D726" s="454"/>
      <c r="E726" s="454"/>
      <c r="F726" s="450"/>
      <c r="G726" s="68" t="s">
        <v>820</v>
      </c>
      <c r="H726" s="298"/>
      <c r="I726" s="298"/>
    </row>
    <row r="727" spans="1:9">
      <c r="A727" s="491">
        <v>9999</v>
      </c>
      <c r="B727" s="491"/>
      <c r="C727" s="484" t="s">
        <v>1758</v>
      </c>
      <c r="D727" s="454"/>
      <c r="E727" s="450"/>
      <c r="F727" s="484"/>
      <c r="G727" s="450"/>
      <c r="H727" s="298"/>
      <c r="I727" s="298"/>
    </row>
    <row r="728" spans="1:9">
      <c r="A728" s="457"/>
      <c r="B728" s="457"/>
      <c r="C728" s="66" t="s">
        <v>62</v>
      </c>
      <c r="D728" s="67">
        <v>5.33</v>
      </c>
      <c r="E728" s="67">
        <v>2.12</v>
      </c>
      <c r="F728" s="67">
        <f>E728*D728</f>
        <v>11.2996</v>
      </c>
      <c r="G728" s="66" t="s">
        <v>851</v>
      </c>
      <c r="H728" s="298"/>
      <c r="I728" s="298"/>
    </row>
    <row r="729" spans="1:9">
      <c r="A729" s="491">
        <v>9999</v>
      </c>
      <c r="B729" s="491"/>
      <c r="C729" s="484" t="s">
        <v>1765</v>
      </c>
      <c r="D729" s="454"/>
      <c r="E729" s="450"/>
      <c r="F729" s="484"/>
      <c r="G729" s="450"/>
      <c r="H729" s="298"/>
      <c r="I729" s="298"/>
    </row>
    <row r="730" spans="1:9">
      <c r="A730" s="457"/>
      <c r="B730" s="457"/>
      <c r="C730" s="66" t="s">
        <v>62</v>
      </c>
      <c r="D730" s="67">
        <v>30.98</v>
      </c>
      <c r="E730" s="67">
        <v>2.12</v>
      </c>
      <c r="F730" s="67">
        <f>E730*D730</f>
        <v>65.677599999999998</v>
      </c>
      <c r="G730" s="66" t="s">
        <v>854</v>
      </c>
      <c r="H730" s="298"/>
      <c r="I730" s="298"/>
    </row>
    <row r="731" spans="1:9">
      <c r="A731" s="492" t="s">
        <v>30</v>
      </c>
      <c r="B731" s="454"/>
      <c r="C731" s="450"/>
      <c r="D731" s="67">
        <v>10</v>
      </c>
      <c r="E731" s="70" t="s">
        <v>21</v>
      </c>
      <c r="F731" s="67">
        <f>F721+F723+F725+F728+F730</f>
        <v>2115.9872</v>
      </c>
      <c r="G731" s="71"/>
      <c r="H731" s="298"/>
      <c r="I731" s="298"/>
    </row>
    <row r="732" spans="1:9">
      <c r="A732" s="492" t="s">
        <v>826</v>
      </c>
      <c r="B732" s="454"/>
      <c r="C732" s="450"/>
      <c r="D732" s="67">
        <v>1</v>
      </c>
      <c r="E732" s="70" t="s">
        <v>21</v>
      </c>
      <c r="F732" s="67">
        <f>F731/D731</f>
        <v>211.59872000000001</v>
      </c>
      <c r="G732" s="71"/>
      <c r="H732" s="298"/>
      <c r="I732" s="298"/>
    </row>
    <row r="733" spans="1:9">
      <c r="A733" s="493" t="s">
        <v>829</v>
      </c>
      <c r="B733" s="454"/>
      <c r="C733" s="454"/>
      <c r="D733" s="450"/>
      <c r="E733" s="67"/>
      <c r="F733" s="67">
        <f>F732*1%</f>
        <v>2.1159872000000002</v>
      </c>
      <c r="G733" s="71"/>
      <c r="H733" s="298"/>
      <c r="I733" s="298"/>
    </row>
    <row r="734" spans="1:9">
      <c r="A734" s="493" t="s">
        <v>30</v>
      </c>
      <c r="B734" s="454"/>
      <c r="C734" s="454"/>
      <c r="D734" s="450"/>
      <c r="E734" s="71"/>
      <c r="F734" s="67">
        <f>F732+F733</f>
        <v>213.71470720000002</v>
      </c>
      <c r="G734" s="71"/>
      <c r="H734" s="298"/>
      <c r="I734" s="298"/>
    </row>
    <row r="735" spans="1:9">
      <c r="A735" s="493" t="s">
        <v>836</v>
      </c>
      <c r="B735" s="454"/>
      <c r="C735" s="454"/>
      <c r="D735" s="450"/>
      <c r="E735" s="67"/>
      <c r="F735" s="67">
        <f>F734*15%</f>
        <v>32.05720608</v>
      </c>
      <c r="G735" s="71"/>
      <c r="H735" s="298"/>
      <c r="I735" s="298"/>
    </row>
    <row r="736" spans="1:9">
      <c r="A736" s="493" t="s">
        <v>30</v>
      </c>
      <c r="B736" s="454"/>
      <c r="C736" s="454"/>
      <c r="D736" s="450"/>
      <c r="E736" s="71"/>
      <c r="F736" s="191">
        <f>ROUND(F734+F735,2)</f>
        <v>245.77</v>
      </c>
      <c r="G736" s="71"/>
      <c r="H736" s="298"/>
      <c r="I736" s="298"/>
    </row>
    <row r="737" spans="1:9">
      <c r="A737" s="616" t="str">
        <f>CONCATENATE("Say ₹ ",F718," + ",F736," x Cost Index")</f>
        <v>Say ₹ 80.14 + 245.77 x Cost Index</v>
      </c>
      <c r="B737" s="454"/>
      <c r="C737" s="454"/>
      <c r="D737" s="454"/>
      <c r="E737" s="454"/>
      <c r="F737" s="450"/>
      <c r="G737" s="300" t="s">
        <v>1000</v>
      </c>
      <c r="H737" s="301">
        <f>F712*1.01*1.15/10</f>
        <v>80.143499999999989</v>
      </c>
      <c r="I737" s="301">
        <f>(F721+F723+F725+F728+F730)*1.01*1.15/10</f>
        <v>245.77191327999998</v>
      </c>
    </row>
    <row r="738" spans="1:9">
      <c r="A738" s="486" t="s">
        <v>771</v>
      </c>
      <c r="B738" s="486" t="s">
        <v>776</v>
      </c>
      <c r="C738" s="487" t="s">
        <v>4</v>
      </c>
      <c r="D738" s="454"/>
      <c r="E738" s="450"/>
      <c r="F738" s="487" t="s">
        <v>785</v>
      </c>
      <c r="G738" s="450"/>
      <c r="H738" s="298"/>
      <c r="I738" s="298"/>
    </row>
    <row r="739" spans="1:9">
      <c r="A739" s="457"/>
      <c r="B739" s="457"/>
      <c r="C739" s="62" t="s">
        <v>5</v>
      </c>
      <c r="D739" s="62" t="s">
        <v>6</v>
      </c>
      <c r="E739" s="62" t="s">
        <v>336</v>
      </c>
      <c r="F739" s="62" t="s">
        <v>8</v>
      </c>
      <c r="G739" s="62" t="s">
        <v>789</v>
      </c>
      <c r="H739" s="298"/>
      <c r="I739" s="298"/>
    </row>
    <row r="740" spans="1:9">
      <c r="A740" s="617" t="s">
        <v>2118</v>
      </c>
      <c r="B740" s="454"/>
      <c r="C740" s="454"/>
      <c r="D740" s="454"/>
      <c r="E740" s="454"/>
      <c r="F740" s="454"/>
      <c r="G740" s="450"/>
      <c r="H740" s="298"/>
      <c r="I740" s="298"/>
    </row>
    <row r="741" spans="1:9">
      <c r="A741" s="65"/>
      <c r="B741" s="66" t="s">
        <v>795</v>
      </c>
      <c r="C741" s="66" t="s">
        <v>21</v>
      </c>
      <c r="D741" s="66" t="s">
        <v>798</v>
      </c>
      <c r="E741" s="67">
        <v>10</v>
      </c>
      <c r="F741" s="484"/>
      <c r="G741" s="450"/>
      <c r="H741" s="298"/>
      <c r="I741" s="298"/>
    </row>
    <row r="742" spans="1:9">
      <c r="A742" s="66" t="s">
        <v>800</v>
      </c>
      <c r="B742" s="484" t="s">
        <v>512</v>
      </c>
      <c r="C742" s="454"/>
      <c r="D742" s="454"/>
      <c r="E742" s="454"/>
      <c r="F742" s="454"/>
      <c r="G742" s="450"/>
      <c r="H742" s="298"/>
      <c r="I742" s="298"/>
    </row>
    <row r="743" spans="1:9">
      <c r="A743" s="490" t="s">
        <v>802</v>
      </c>
      <c r="B743" s="454"/>
      <c r="C743" s="454"/>
      <c r="D743" s="454"/>
      <c r="E743" s="454"/>
      <c r="F743" s="450"/>
      <c r="G743" s="68" t="s">
        <v>803</v>
      </c>
      <c r="H743" s="298"/>
      <c r="I743" s="298"/>
    </row>
    <row r="744" spans="1:9">
      <c r="A744" s="491"/>
      <c r="B744" s="491" t="s">
        <v>1848</v>
      </c>
      <c r="C744" s="484" t="s">
        <v>2119</v>
      </c>
      <c r="D744" s="454"/>
      <c r="E744" s="450"/>
      <c r="F744" s="484"/>
      <c r="G744" s="450"/>
      <c r="H744" s="298"/>
      <c r="I744" s="298"/>
    </row>
    <row r="745" spans="1:9">
      <c r="A745" s="457"/>
      <c r="B745" s="457"/>
      <c r="C745" s="66" t="s">
        <v>21</v>
      </c>
      <c r="D745" s="67">
        <v>10.5</v>
      </c>
      <c r="E745" s="67">
        <v>118</v>
      </c>
      <c r="F745" s="67">
        <f>E745*D745</f>
        <v>1239</v>
      </c>
      <c r="G745" s="66" t="s">
        <v>808</v>
      </c>
      <c r="H745" s="298"/>
      <c r="I745" s="298"/>
    </row>
    <row r="746" spans="1:9">
      <c r="A746" s="492" t="s">
        <v>30</v>
      </c>
      <c r="B746" s="454"/>
      <c r="C746" s="450"/>
      <c r="D746" s="67">
        <v>10</v>
      </c>
      <c r="E746" s="70" t="s">
        <v>21</v>
      </c>
      <c r="F746" s="67">
        <f>F745</f>
        <v>1239</v>
      </c>
      <c r="G746" s="66"/>
      <c r="H746" s="298"/>
      <c r="I746" s="298"/>
    </row>
    <row r="747" spans="1:9">
      <c r="A747" s="492" t="s">
        <v>826</v>
      </c>
      <c r="B747" s="454"/>
      <c r="C747" s="450"/>
      <c r="D747" s="67">
        <v>1</v>
      </c>
      <c r="E747" s="70" t="s">
        <v>21</v>
      </c>
      <c r="F747" s="67">
        <f>F746/D746</f>
        <v>123.9</v>
      </c>
      <c r="G747" s="66"/>
      <c r="H747" s="298"/>
      <c r="I747" s="298"/>
    </row>
    <row r="748" spans="1:9">
      <c r="A748" s="493" t="s">
        <v>829</v>
      </c>
      <c r="B748" s="454"/>
      <c r="C748" s="454"/>
      <c r="D748" s="450"/>
      <c r="E748" s="67"/>
      <c r="F748" s="67">
        <f>F747*1%</f>
        <v>1.2390000000000001</v>
      </c>
      <c r="G748" s="66"/>
      <c r="H748" s="298"/>
      <c r="I748" s="298"/>
    </row>
    <row r="749" spans="1:9">
      <c r="A749" s="493" t="s">
        <v>30</v>
      </c>
      <c r="B749" s="454"/>
      <c r="C749" s="454"/>
      <c r="D749" s="450"/>
      <c r="E749" s="71"/>
      <c r="F749" s="67">
        <f>F747+F748</f>
        <v>125.13900000000001</v>
      </c>
      <c r="G749" s="66"/>
      <c r="H749" s="298"/>
      <c r="I749" s="298"/>
    </row>
    <row r="750" spans="1:9">
      <c r="A750" s="493" t="s">
        <v>836</v>
      </c>
      <c r="B750" s="454"/>
      <c r="C750" s="454"/>
      <c r="D750" s="450"/>
      <c r="E750" s="67"/>
      <c r="F750" s="67">
        <f>F749*15%</f>
        <v>18.770849999999999</v>
      </c>
      <c r="G750" s="66"/>
      <c r="H750" s="298"/>
      <c r="I750" s="298"/>
    </row>
    <row r="751" spans="1:9">
      <c r="A751" s="493" t="s">
        <v>30</v>
      </c>
      <c r="B751" s="454"/>
      <c r="C751" s="454"/>
      <c r="D751" s="450"/>
      <c r="E751" s="71"/>
      <c r="F751" s="191">
        <f>ROUND(F749+F750,2)</f>
        <v>143.91</v>
      </c>
      <c r="G751" s="66"/>
      <c r="H751" s="298"/>
      <c r="I751" s="298"/>
    </row>
    <row r="752" spans="1:9">
      <c r="A752" s="490" t="s">
        <v>819</v>
      </c>
      <c r="B752" s="454"/>
      <c r="C752" s="454"/>
      <c r="D752" s="454"/>
      <c r="E752" s="454"/>
      <c r="F752" s="450"/>
      <c r="G752" s="68" t="s">
        <v>820</v>
      </c>
      <c r="H752" s="298"/>
      <c r="I752" s="298"/>
    </row>
    <row r="753" spans="1:9">
      <c r="A753" s="491">
        <v>116</v>
      </c>
      <c r="B753" s="491"/>
      <c r="C753" s="484" t="s">
        <v>527</v>
      </c>
      <c r="D753" s="454"/>
      <c r="E753" s="450"/>
      <c r="F753" s="484"/>
      <c r="G753" s="450"/>
      <c r="H753" s="298"/>
      <c r="I753" s="298"/>
    </row>
    <row r="754" spans="1:9">
      <c r="A754" s="457"/>
      <c r="B754" s="457"/>
      <c r="C754" s="66" t="s">
        <v>26</v>
      </c>
      <c r="D754" s="67">
        <v>0.32</v>
      </c>
      <c r="E754" s="67">
        <v>784</v>
      </c>
      <c r="F754" s="67">
        <f>E754*D754</f>
        <v>250.88</v>
      </c>
      <c r="G754" s="66" t="s">
        <v>822</v>
      </c>
      <c r="H754" s="298"/>
      <c r="I754" s="298"/>
    </row>
    <row r="755" spans="1:9">
      <c r="A755" s="491">
        <v>114</v>
      </c>
      <c r="B755" s="491"/>
      <c r="C755" s="484" t="s">
        <v>59</v>
      </c>
      <c r="D755" s="454"/>
      <c r="E755" s="450"/>
      <c r="F755" s="484"/>
      <c r="G755" s="450"/>
      <c r="H755" s="298"/>
      <c r="I755" s="298"/>
    </row>
    <row r="756" spans="1:9">
      <c r="A756" s="457"/>
      <c r="B756" s="457"/>
      <c r="C756" s="66" t="s">
        <v>26</v>
      </c>
      <c r="D756" s="67">
        <v>0.62</v>
      </c>
      <c r="E756" s="67">
        <v>645</v>
      </c>
      <c r="F756" s="67">
        <f>E756*D756</f>
        <v>399.9</v>
      </c>
      <c r="G756" s="66" t="s">
        <v>825</v>
      </c>
      <c r="H756" s="298"/>
      <c r="I756" s="298"/>
    </row>
    <row r="757" spans="1:9">
      <c r="A757" s="491">
        <v>100</v>
      </c>
      <c r="B757" s="491"/>
      <c r="C757" s="484" t="s">
        <v>1762</v>
      </c>
      <c r="D757" s="454"/>
      <c r="E757" s="450"/>
      <c r="F757" s="484"/>
      <c r="G757" s="450"/>
      <c r="H757" s="298"/>
      <c r="I757" s="298"/>
    </row>
    <row r="758" spans="1:9">
      <c r="A758" s="457"/>
      <c r="B758" s="457"/>
      <c r="C758" s="66" t="s">
        <v>26</v>
      </c>
      <c r="D758" s="67">
        <v>0.13</v>
      </c>
      <c r="E758" s="67">
        <v>714</v>
      </c>
      <c r="F758" s="67">
        <f>E758*D758</f>
        <v>92.820000000000007</v>
      </c>
      <c r="G758" s="66" t="s">
        <v>837</v>
      </c>
      <c r="H758" s="298"/>
      <c r="I758" s="298"/>
    </row>
    <row r="759" spans="1:9">
      <c r="A759" s="490" t="s">
        <v>847</v>
      </c>
      <c r="B759" s="454"/>
      <c r="C759" s="454"/>
      <c r="D759" s="454"/>
      <c r="E759" s="454"/>
      <c r="F759" s="450"/>
      <c r="G759" s="68" t="s">
        <v>820</v>
      </c>
      <c r="H759" s="298"/>
      <c r="I759" s="298"/>
    </row>
    <row r="760" spans="1:9">
      <c r="A760" s="491">
        <v>9999</v>
      </c>
      <c r="B760" s="491"/>
      <c r="C760" s="484" t="s">
        <v>1764</v>
      </c>
      <c r="D760" s="454"/>
      <c r="E760" s="450"/>
      <c r="F760" s="484"/>
      <c r="G760" s="450"/>
      <c r="H760" s="298"/>
      <c r="I760" s="298"/>
    </row>
    <row r="761" spans="1:9">
      <c r="A761" s="457"/>
      <c r="B761" s="457"/>
      <c r="C761" s="66" t="s">
        <v>62</v>
      </c>
      <c r="D761" s="67">
        <v>22.53</v>
      </c>
      <c r="E761" s="67">
        <v>2.12</v>
      </c>
      <c r="F761" s="67">
        <f>E761*D761</f>
        <v>47.763600000000004</v>
      </c>
      <c r="G761" s="66" t="s">
        <v>851</v>
      </c>
      <c r="H761" s="298"/>
      <c r="I761" s="298"/>
    </row>
    <row r="762" spans="1:9">
      <c r="A762" s="491">
        <v>9999</v>
      </c>
      <c r="B762" s="491"/>
      <c r="C762" s="484" t="s">
        <v>1624</v>
      </c>
      <c r="D762" s="454"/>
      <c r="E762" s="450"/>
      <c r="F762" s="484"/>
      <c r="G762" s="450"/>
      <c r="H762" s="298"/>
      <c r="I762" s="298"/>
    </row>
    <row r="763" spans="1:9">
      <c r="A763" s="457"/>
      <c r="B763" s="457"/>
      <c r="C763" s="66" t="s">
        <v>62</v>
      </c>
      <c r="D763" s="67">
        <v>10.27</v>
      </c>
      <c r="E763" s="67">
        <v>2.12</v>
      </c>
      <c r="F763" s="67">
        <f>E763*D763</f>
        <v>21.772400000000001</v>
      </c>
      <c r="G763" s="66" t="s">
        <v>854</v>
      </c>
      <c r="H763" s="298"/>
      <c r="I763" s="298"/>
    </row>
    <row r="764" spans="1:9">
      <c r="A764" s="491">
        <v>9999</v>
      </c>
      <c r="B764" s="491"/>
      <c r="C764" s="484" t="s">
        <v>1765</v>
      </c>
      <c r="D764" s="454"/>
      <c r="E764" s="450"/>
      <c r="F764" s="484"/>
      <c r="G764" s="450"/>
      <c r="H764" s="298"/>
      <c r="I764" s="298"/>
    </row>
    <row r="765" spans="1:9">
      <c r="A765" s="457"/>
      <c r="B765" s="457"/>
      <c r="C765" s="66" t="s">
        <v>62</v>
      </c>
      <c r="D765" s="67">
        <v>30.98</v>
      </c>
      <c r="E765" s="67">
        <v>2.12</v>
      </c>
      <c r="F765" s="67">
        <f>E765*D765</f>
        <v>65.677599999999998</v>
      </c>
      <c r="G765" s="66" t="s">
        <v>1768</v>
      </c>
      <c r="H765" s="298"/>
      <c r="I765" s="298"/>
    </row>
    <row r="766" spans="1:9">
      <c r="A766" s="492" t="s">
        <v>30</v>
      </c>
      <c r="B766" s="454"/>
      <c r="C766" s="450"/>
      <c r="D766" s="67">
        <v>10</v>
      </c>
      <c r="E766" s="70" t="s">
        <v>21</v>
      </c>
      <c r="F766" s="67">
        <f>F754+F756+F758+F761+F763+F765</f>
        <v>878.81359999999995</v>
      </c>
      <c r="G766" s="71"/>
      <c r="H766" s="298"/>
      <c r="I766" s="298"/>
    </row>
    <row r="767" spans="1:9">
      <c r="A767" s="492" t="s">
        <v>826</v>
      </c>
      <c r="B767" s="454"/>
      <c r="C767" s="450"/>
      <c r="D767" s="67">
        <v>1</v>
      </c>
      <c r="E767" s="70" t="s">
        <v>21</v>
      </c>
      <c r="F767" s="67">
        <f>F766/D766</f>
        <v>87.881360000000001</v>
      </c>
      <c r="G767" s="71"/>
      <c r="H767" s="298"/>
      <c r="I767" s="298"/>
    </row>
    <row r="768" spans="1:9">
      <c r="A768" s="493" t="s">
        <v>829</v>
      </c>
      <c r="B768" s="454"/>
      <c r="C768" s="454"/>
      <c r="D768" s="450"/>
      <c r="E768" s="67"/>
      <c r="F768" s="67">
        <f>F767*1%</f>
        <v>0.87881359999999997</v>
      </c>
      <c r="G768" s="71"/>
      <c r="H768" s="298"/>
      <c r="I768" s="298"/>
    </row>
    <row r="769" spans="1:9">
      <c r="A769" s="493" t="s">
        <v>30</v>
      </c>
      <c r="B769" s="454"/>
      <c r="C769" s="454"/>
      <c r="D769" s="450"/>
      <c r="E769" s="71"/>
      <c r="F769" s="67">
        <f>F767+F768</f>
        <v>88.760173600000002</v>
      </c>
      <c r="G769" s="71"/>
      <c r="H769" s="298"/>
      <c r="I769" s="298"/>
    </row>
    <row r="770" spans="1:9">
      <c r="A770" s="493" t="s">
        <v>836</v>
      </c>
      <c r="B770" s="454"/>
      <c r="C770" s="454"/>
      <c r="D770" s="450"/>
      <c r="E770" s="67"/>
      <c r="F770" s="67">
        <f>F769*15%</f>
        <v>13.31402604</v>
      </c>
      <c r="G770" s="71"/>
      <c r="H770" s="298"/>
      <c r="I770" s="298"/>
    </row>
    <row r="771" spans="1:9">
      <c r="A771" s="493" t="s">
        <v>30</v>
      </c>
      <c r="B771" s="454"/>
      <c r="C771" s="454"/>
      <c r="D771" s="450"/>
      <c r="E771" s="71"/>
      <c r="F771" s="191">
        <f>ROUND(F769+F770,2)</f>
        <v>102.07</v>
      </c>
      <c r="G771" s="71"/>
      <c r="H771" s="298"/>
      <c r="I771" s="298"/>
    </row>
    <row r="772" spans="1:9">
      <c r="A772" s="616" t="str">
        <f>CONCATENATE("Say ₹ ",F751," + ",F771," x Cost Index")</f>
        <v>Say ₹ 143.91 + 102.07 x Cost Index</v>
      </c>
      <c r="B772" s="454"/>
      <c r="C772" s="454"/>
      <c r="D772" s="454"/>
      <c r="E772" s="454"/>
      <c r="F772" s="450"/>
      <c r="G772" s="300" t="s">
        <v>1000</v>
      </c>
      <c r="H772" s="301">
        <f>F745*1.01*1.15/10</f>
        <v>143.90985000000001</v>
      </c>
      <c r="I772" s="301">
        <f>(F754+F756+F758+F761+F763+F765)*1.01*1.15/10</f>
        <v>102.07419963999999</v>
      </c>
    </row>
    <row r="773" spans="1:9">
      <c r="A773" s="486" t="s">
        <v>771</v>
      </c>
      <c r="B773" s="486" t="s">
        <v>776</v>
      </c>
      <c r="C773" s="487" t="s">
        <v>4</v>
      </c>
      <c r="D773" s="454"/>
      <c r="E773" s="450"/>
      <c r="F773" s="487" t="s">
        <v>785</v>
      </c>
      <c r="G773" s="450"/>
      <c r="H773" s="298"/>
      <c r="I773" s="298"/>
    </row>
    <row r="774" spans="1:9">
      <c r="A774" s="457"/>
      <c r="B774" s="457"/>
      <c r="C774" s="62" t="s">
        <v>5</v>
      </c>
      <c r="D774" s="62" t="s">
        <v>6</v>
      </c>
      <c r="E774" s="62" t="s">
        <v>336</v>
      </c>
      <c r="F774" s="62" t="s">
        <v>8</v>
      </c>
      <c r="G774" s="62" t="s">
        <v>789</v>
      </c>
      <c r="H774" s="298"/>
      <c r="I774" s="298"/>
    </row>
    <row r="775" spans="1:9">
      <c r="A775" s="617" t="s">
        <v>2133</v>
      </c>
      <c r="B775" s="454"/>
      <c r="C775" s="454"/>
      <c r="D775" s="454"/>
      <c r="E775" s="454"/>
      <c r="F775" s="454"/>
      <c r="G775" s="450"/>
      <c r="H775" s="298"/>
      <c r="I775" s="298"/>
    </row>
    <row r="776" spans="1:9">
      <c r="A776" s="65"/>
      <c r="B776" s="66" t="s">
        <v>795</v>
      </c>
      <c r="C776" s="66" t="s">
        <v>21</v>
      </c>
      <c r="D776" s="66" t="s">
        <v>798</v>
      </c>
      <c r="E776" s="67">
        <v>10</v>
      </c>
      <c r="F776" s="484"/>
      <c r="G776" s="450"/>
      <c r="H776" s="298"/>
      <c r="I776" s="298"/>
    </row>
    <row r="777" spans="1:9">
      <c r="A777" s="66" t="s">
        <v>800</v>
      </c>
      <c r="B777" s="484" t="s">
        <v>1693</v>
      </c>
      <c r="C777" s="454"/>
      <c r="D777" s="454"/>
      <c r="E777" s="454"/>
      <c r="F777" s="454"/>
      <c r="G777" s="450"/>
      <c r="H777" s="298"/>
      <c r="I777" s="298"/>
    </row>
    <row r="778" spans="1:9">
      <c r="A778" s="490" t="s">
        <v>802</v>
      </c>
      <c r="B778" s="454"/>
      <c r="C778" s="454"/>
      <c r="D778" s="454"/>
      <c r="E778" s="454"/>
      <c r="F778" s="450"/>
      <c r="G778" s="68" t="s">
        <v>803</v>
      </c>
      <c r="H778" s="298"/>
      <c r="I778" s="298"/>
    </row>
    <row r="779" spans="1:9">
      <c r="A779" s="491"/>
      <c r="B779" s="491" t="s">
        <v>1893</v>
      </c>
      <c r="C779" s="484" t="s">
        <v>2142</v>
      </c>
      <c r="D779" s="454"/>
      <c r="E779" s="450"/>
      <c r="F779" s="484"/>
      <c r="G779" s="450"/>
      <c r="H779" s="298"/>
      <c r="I779" s="298"/>
    </row>
    <row r="780" spans="1:9">
      <c r="A780" s="457"/>
      <c r="B780" s="457"/>
      <c r="C780" s="66" t="s">
        <v>21</v>
      </c>
      <c r="D780" s="67">
        <v>10.5</v>
      </c>
      <c r="E780" s="67">
        <v>83</v>
      </c>
      <c r="F780" s="67">
        <f>E780*D780</f>
        <v>871.5</v>
      </c>
      <c r="G780" s="66" t="s">
        <v>808</v>
      </c>
      <c r="H780" s="298"/>
      <c r="I780" s="298"/>
    </row>
    <row r="781" spans="1:9">
      <c r="A781" s="492" t="s">
        <v>30</v>
      </c>
      <c r="B781" s="454"/>
      <c r="C781" s="450"/>
      <c r="D781" s="67">
        <v>10</v>
      </c>
      <c r="E781" s="70" t="s">
        <v>21</v>
      </c>
      <c r="F781" s="67">
        <f>F780</f>
        <v>871.5</v>
      </c>
      <c r="G781" s="66"/>
      <c r="H781" s="298"/>
      <c r="I781" s="298"/>
    </row>
    <row r="782" spans="1:9">
      <c r="A782" s="492" t="s">
        <v>826</v>
      </c>
      <c r="B782" s="454"/>
      <c r="C782" s="450"/>
      <c r="D782" s="67">
        <v>1</v>
      </c>
      <c r="E782" s="70" t="s">
        <v>21</v>
      </c>
      <c r="F782" s="67">
        <f>F781/D781</f>
        <v>87.15</v>
      </c>
      <c r="G782" s="66"/>
      <c r="H782" s="298"/>
      <c r="I782" s="298"/>
    </row>
    <row r="783" spans="1:9">
      <c r="A783" s="493" t="s">
        <v>829</v>
      </c>
      <c r="B783" s="454"/>
      <c r="C783" s="454"/>
      <c r="D783" s="450"/>
      <c r="E783" s="67"/>
      <c r="F783" s="67">
        <f>F782*1%</f>
        <v>0.87150000000000005</v>
      </c>
      <c r="G783" s="66"/>
      <c r="H783" s="298"/>
      <c r="I783" s="298"/>
    </row>
    <row r="784" spans="1:9">
      <c r="A784" s="493" t="s">
        <v>30</v>
      </c>
      <c r="B784" s="454"/>
      <c r="C784" s="454"/>
      <c r="D784" s="450"/>
      <c r="E784" s="71"/>
      <c r="F784" s="67">
        <f>F782+F783</f>
        <v>88.021500000000003</v>
      </c>
      <c r="G784" s="66"/>
      <c r="H784" s="298"/>
      <c r="I784" s="298"/>
    </row>
    <row r="785" spans="1:9">
      <c r="A785" s="493" t="s">
        <v>836</v>
      </c>
      <c r="B785" s="454"/>
      <c r="C785" s="454"/>
      <c r="D785" s="450"/>
      <c r="E785" s="67"/>
      <c r="F785" s="67">
        <f>F784*15%</f>
        <v>13.203225</v>
      </c>
      <c r="G785" s="66"/>
      <c r="H785" s="298"/>
      <c r="I785" s="298"/>
    </row>
    <row r="786" spans="1:9">
      <c r="A786" s="493" t="s">
        <v>30</v>
      </c>
      <c r="B786" s="454"/>
      <c r="C786" s="454"/>
      <c r="D786" s="450"/>
      <c r="E786" s="71"/>
      <c r="F786" s="191">
        <f>ROUND(F784+F785,2)</f>
        <v>101.22</v>
      </c>
      <c r="G786" s="66"/>
      <c r="H786" s="298"/>
      <c r="I786" s="298"/>
    </row>
    <row r="787" spans="1:9">
      <c r="A787" s="490" t="s">
        <v>819</v>
      </c>
      <c r="B787" s="454"/>
      <c r="C787" s="454"/>
      <c r="D787" s="454"/>
      <c r="E787" s="454"/>
      <c r="F787" s="450"/>
      <c r="G787" s="68" t="s">
        <v>820</v>
      </c>
      <c r="H787" s="298"/>
      <c r="I787" s="298"/>
    </row>
    <row r="788" spans="1:9">
      <c r="A788" s="491">
        <v>116</v>
      </c>
      <c r="B788" s="491"/>
      <c r="C788" s="484" t="s">
        <v>527</v>
      </c>
      <c r="D788" s="454"/>
      <c r="E788" s="450"/>
      <c r="F788" s="484"/>
      <c r="G788" s="450"/>
      <c r="H788" s="298"/>
      <c r="I788" s="298"/>
    </row>
    <row r="789" spans="1:9">
      <c r="A789" s="457"/>
      <c r="B789" s="457"/>
      <c r="C789" s="66" t="s">
        <v>26</v>
      </c>
      <c r="D789" s="67">
        <v>0.32</v>
      </c>
      <c r="E789" s="67">
        <v>784</v>
      </c>
      <c r="F789" s="67">
        <f>E789*D789</f>
        <v>250.88</v>
      </c>
      <c r="G789" s="66" t="s">
        <v>822</v>
      </c>
      <c r="H789" s="298"/>
      <c r="I789" s="298"/>
    </row>
    <row r="790" spans="1:9">
      <c r="A790" s="491">
        <v>114</v>
      </c>
      <c r="B790" s="491"/>
      <c r="C790" s="484" t="s">
        <v>59</v>
      </c>
      <c r="D790" s="454"/>
      <c r="E790" s="450"/>
      <c r="F790" s="484"/>
      <c r="G790" s="450"/>
      <c r="H790" s="298"/>
      <c r="I790" s="298"/>
    </row>
    <row r="791" spans="1:9">
      <c r="A791" s="457"/>
      <c r="B791" s="457"/>
      <c r="C791" s="66" t="s">
        <v>26</v>
      </c>
      <c r="D791" s="67">
        <v>0.62</v>
      </c>
      <c r="E791" s="67">
        <v>645</v>
      </c>
      <c r="F791" s="67">
        <f>E791*D791</f>
        <v>399.9</v>
      </c>
      <c r="G791" s="66" t="s">
        <v>825</v>
      </c>
      <c r="H791" s="298"/>
      <c r="I791" s="298"/>
    </row>
    <row r="792" spans="1:9">
      <c r="A792" s="491">
        <v>100</v>
      </c>
      <c r="B792" s="491"/>
      <c r="C792" s="484" t="s">
        <v>1762</v>
      </c>
      <c r="D792" s="454"/>
      <c r="E792" s="450"/>
      <c r="F792" s="484"/>
      <c r="G792" s="450"/>
      <c r="H792" s="298"/>
      <c r="I792" s="298"/>
    </row>
    <row r="793" spans="1:9">
      <c r="A793" s="457"/>
      <c r="B793" s="457"/>
      <c r="C793" s="66" t="s">
        <v>26</v>
      </c>
      <c r="D793" s="67">
        <v>0.13</v>
      </c>
      <c r="E793" s="67">
        <v>714</v>
      </c>
      <c r="F793" s="67">
        <f>E793*D793</f>
        <v>92.820000000000007</v>
      </c>
      <c r="G793" s="66" t="s">
        <v>837</v>
      </c>
      <c r="H793" s="298"/>
      <c r="I793" s="298"/>
    </row>
    <row r="794" spans="1:9">
      <c r="A794" s="490" t="s">
        <v>847</v>
      </c>
      <c r="B794" s="454"/>
      <c r="C794" s="454"/>
      <c r="D794" s="454"/>
      <c r="E794" s="454"/>
      <c r="F794" s="450"/>
      <c r="G794" s="68" t="s">
        <v>820</v>
      </c>
      <c r="H794" s="298"/>
      <c r="I794" s="298"/>
    </row>
    <row r="795" spans="1:9">
      <c r="A795" s="491">
        <v>9999</v>
      </c>
      <c r="B795" s="491"/>
      <c r="C795" s="484" t="s">
        <v>1764</v>
      </c>
      <c r="D795" s="454"/>
      <c r="E795" s="450"/>
      <c r="F795" s="484"/>
      <c r="G795" s="450"/>
      <c r="H795" s="298"/>
      <c r="I795" s="298"/>
    </row>
    <row r="796" spans="1:9">
      <c r="A796" s="457"/>
      <c r="B796" s="457"/>
      <c r="C796" s="66" t="s">
        <v>62</v>
      </c>
      <c r="D796" s="67">
        <v>22.53</v>
      </c>
      <c r="E796" s="67">
        <v>2.12</v>
      </c>
      <c r="F796" s="67">
        <f>E796*D796</f>
        <v>47.763600000000004</v>
      </c>
      <c r="G796" s="66" t="s">
        <v>851</v>
      </c>
      <c r="H796" s="298"/>
      <c r="I796" s="298"/>
    </row>
    <row r="797" spans="1:9">
      <c r="A797" s="491">
        <v>9999</v>
      </c>
      <c r="B797" s="491"/>
      <c r="C797" s="484" t="s">
        <v>1624</v>
      </c>
      <c r="D797" s="454"/>
      <c r="E797" s="450"/>
      <c r="F797" s="484"/>
      <c r="G797" s="450"/>
      <c r="H797" s="298"/>
      <c r="I797" s="298"/>
    </row>
    <row r="798" spans="1:9">
      <c r="A798" s="457"/>
      <c r="B798" s="457"/>
      <c r="C798" s="66" t="s">
        <v>62</v>
      </c>
      <c r="D798" s="67">
        <v>10.27</v>
      </c>
      <c r="E798" s="67">
        <v>2.12</v>
      </c>
      <c r="F798" s="67">
        <f>E798*D798</f>
        <v>21.772400000000001</v>
      </c>
      <c r="G798" s="66" t="s">
        <v>854</v>
      </c>
      <c r="H798" s="298"/>
      <c r="I798" s="298"/>
    </row>
    <row r="799" spans="1:9">
      <c r="A799" s="491">
        <v>9999</v>
      </c>
      <c r="B799" s="491"/>
      <c r="C799" s="484" t="s">
        <v>1765</v>
      </c>
      <c r="D799" s="454"/>
      <c r="E799" s="450"/>
      <c r="F799" s="484"/>
      <c r="G799" s="450"/>
      <c r="H799" s="298"/>
      <c r="I799" s="298"/>
    </row>
    <row r="800" spans="1:9">
      <c r="A800" s="457"/>
      <c r="B800" s="457"/>
      <c r="C800" s="66" t="s">
        <v>62</v>
      </c>
      <c r="D800" s="67">
        <v>30.98</v>
      </c>
      <c r="E800" s="67">
        <v>2.12</v>
      </c>
      <c r="F800" s="67">
        <f>E800*D800</f>
        <v>65.677599999999998</v>
      </c>
      <c r="G800" s="66" t="s">
        <v>1768</v>
      </c>
      <c r="H800" s="298"/>
      <c r="I800" s="298"/>
    </row>
    <row r="801" spans="1:9">
      <c r="A801" s="492" t="s">
        <v>30</v>
      </c>
      <c r="B801" s="454"/>
      <c r="C801" s="450"/>
      <c r="D801" s="67">
        <v>10</v>
      </c>
      <c r="E801" s="70" t="s">
        <v>21</v>
      </c>
      <c r="F801" s="67">
        <f>F789+F791+F793+F796+F798+F800</f>
        <v>878.81359999999995</v>
      </c>
      <c r="G801" s="71"/>
      <c r="H801" s="298"/>
      <c r="I801" s="298"/>
    </row>
    <row r="802" spans="1:9">
      <c r="A802" s="492" t="s">
        <v>826</v>
      </c>
      <c r="B802" s="454"/>
      <c r="C802" s="450"/>
      <c r="D802" s="67">
        <v>1</v>
      </c>
      <c r="E802" s="70" t="s">
        <v>21</v>
      </c>
      <c r="F802" s="67">
        <f>F801/D801</f>
        <v>87.881360000000001</v>
      </c>
      <c r="G802" s="71"/>
      <c r="H802" s="298"/>
      <c r="I802" s="298"/>
    </row>
    <row r="803" spans="1:9">
      <c r="A803" s="493" t="s">
        <v>829</v>
      </c>
      <c r="B803" s="454"/>
      <c r="C803" s="454"/>
      <c r="D803" s="450"/>
      <c r="E803" s="67"/>
      <c r="F803" s="67">
        <f>F802*1%</f>
        <v>0.87881359999999997</v>
      </c>
      <c r="G803" s="71"/>
      <c r="H803" s="298"/>
      <c r="I803" s="298"/>
    </row>
    <row r="804" spans="1:9">
      <c r="A804" s="493" t="s">
        <v>30</v>
      </c>
      <c r="B804" s="454"/>
      <c r="C804" s="454"/>
      <c r="D804" s="450"/>
      <c r="E804" s="71"/>
      <c r="F804" s="67">
        <f>F802+F803</f>
        <v>88.760173600000002</v>
      </c>
      <c r="G804" s="71"/>
      <c r="H804" s="298"/>
      <c r="I804" s="298"/>
    </row>
    <row r="805" spans="1:9">
      <c r="A805" s="493" t="s">
        <v>836</v>
      </c>
      <c r="B805" s="454"/>
      <c r="C805" s="454"/>
      <c r="D805" s="450"/>
      <c r="E805" s="67"/>
      <c r="F805" s="67">
        <f>F804*15%</f>
        <v>13.31402604</v>
      </c>
      <c r="G805" s="71"/>
      <c r="H805" s="298"/>
      <c r="I805" s="298"/>
    </row>
    <row r="806" spans="1:9">
      <c r="A806" s="493" t="s">
        <v>30</v>
      </c>
      <c r="B806" s="454"/>
      <c r="C806" s="454"/>
      <c r="D806" s="450"/>
      <c r="E806" s="71"/>
      <c r="F806" s="191">
        <f>ROUND(F804+F805,2)</f>
        <v>102.07</v>
      </c>
      <c r="G806" s="71"/>
      <c r="H806" s="298"/>
      <c r="I806" s="298"/>
    </row>
    <row r="807" spans="1:9">
      <c r="A807" s="616" t="str">
        <f>CONCATENATE("Say ₹ ",F786," + ",F806," x Cost Index")</f>
        <v>Say ₹ 101.22 + 102.07 x Cost Index</v>
      </c>
      <c r="B807" s="454"/>
      <c r="C807" s="454"/>
      <c r="D807" s="454"/>
      <c r="E807" s="454"/>
      <c r="F807" s="450"/>
      <c r="G807" s="300" t="s">
        <v>1000</v>
      </c>
      <c r="H807" s="301">
        <f>F780*1.01*1.15/10</f>
        <v>101.22472500000001</v>
      </c>
      <c r="I807" s="301">
        <f>(F789+F791+F793+F796+F798+F800)*1.01*1.15/10</f>
        <v>102.07419963999999</v>
      </c>
    </row>
    <row r="808" spans="1:9">
      <c r="A808" s="486" t="s">
        <v>771</v>
      </c>
      <c r="B808" s="486" t="s">
        <v>776</v>
      </c>
      <c r="C808" s="487" t="s">
        <v>4</v>
      </c>
      <c r="D808" s="454"/>
      <c r="E808" s="450"/>
      <c r="F808" s="487" t="s">
        <v>785</v>
      </c>
      <c r="G808" s="450"/>
      <c r="H808" s="298"/>
      <c r="I808" s="298"/>
    </row>
    <row r="809" spans="1:9">
      <c r="A809" s="457"/>
      <c r="B809" s="457"/>
      <c r="C809" s="62" t="s">
        <v>5</v>
      </c>
      <c r="D809" s="62" t="s">
        <v>6</v>
      </c>
      <c r="E809" s="62" t="s">
        <v>336</v>
      </c>
      <c r="F809" s="62" t="s">
        <v>8</v>
      </c>
      <c r="G809" s="62" t="s">
        <v>789</v>
      </c>
      <c r="H809" s="298"/>
      <c r="I809" s="298"/>
    </row>
    <row r="810" spans="1:9">
      <c r="A810" s="617" t="s">
        <v>2201</v>
      </c>
      <c r="B810" s="454"/>
      <c r="C810" s="454"/>
      <c r="D810" s="454"/>
      <c r="E810" s="454"/>
      <c r="F810" s="454"/>
      <c r="G810" s="450"/>
      <c r="H810" s="298"/>
      <c r="I810" s="298"/>
    </row>
    <row r="811" spans="1:9">
      <c r="A811" s="65"/>
      <c r="B811" s="66" t="s">
        <v>795</v>
      </c>
      <c r="C811" s="66" t="s">
        <v>21</v>
      </c>
      <c r="D811" s="66" t="s">
        <v>798</v>
      </c>
      <c r="E811" s="67">
        <v>10</v>
      </c>
      <c r="F811" s="484"/>
      <c r="G811" s="450"/>
      <c r="H811" s="298"/>
      <c r="I811" s="298"/>
    </row>
    <row r="812" spans="1:9">
      <c r="A812" s="66" t="s">
        <v>800</v>
      </c>
      <c r="B812" s="484" t="s">
        <v>1920</v>
      </c>
      <c r="C812" s="454"/>
      <c r="D812" s="454"/>
      <c r="E812" s="454"/>
      <c r="F812" s="454"/>
      <c r="G812" s="450"/>
      <c r="H812" s="298"/>
      <c r="I812" s="298"/>
    </row>
    <row r="813" spans="1:9">
      <c r="A813" s="490" t="s">
        <v>802</v>
      </c>
      <c r="B813" s="454"/>
      <c r="C813" s="454"/>
      <c r="D813" s="454"/>
      <c r="E813" s="454"/>
      <c r="F813" s="450"/>
      <c r="G813" s="68" t="s">
        <v>803</v>
      </c>
      <c r="H813" s="298"/>
      <c r="I813" s="298"/>
    </row>
    <row r="814" spans="1:9">
      <c r="A814" s="491"/>
      <c r="B814" s="491" t="s">
        <v>1854</v>
      </c>
      <c r="C814" s="484" t="s">
        <v>2203</v>
      </c>
      <c r="D814" s="454"/>
      <c r="E814" s="450"/>
      <c r="F814" s="484"/>
      <c r="G814" s="450"/>
      <c r="H814" s="298"/>
      <c r="I814" s="298"/>
    </row>
    <row r="815" spans="1:9">
      <c r="A815" s="457"/>
      <c r="B815" s="457"/>
      <c r="C815" s="66" t="s">
        <v>21</v>
      </c>
      <c r="D815" s="67">
        <v>10.5</v>
      </c>
      <c r="E815" s="67">
        <v>129</v>
      </c>
      <c r="F815" s="67">
        <f>E815*D815</f>
        <v>1354.5</v>
      </c>
      <c r="G815" s="66" t="s">
        <v>808</v>
      </c>
      <c r="H815" s="298"/>
      <c r="I815" s="298"/>
    </row>
    <row r="816" spans="1:9">
      <c r="A816" s="492" t="s">
        <v>30</v>
      </c>
      <c r="B816" s="454"/>
      <c r="C816" s="450"/>
      <c r="D816" s="67">
        <v>10</v>
      </c>
      <c r="E816" s="70" t="s">
        <v>21</v>
      </c>
      <c r="F816" s="67">
        <f>F815</f>
        <v>1354.5</v>
      </c>
      <c r="G816" s="66"/>
      <c r="H816" s="298"/>
      <c r="I816" s="298"/>
    </row>
    <row r="817" spans="1:9">
      <c r="A817" s="492" t="s">
        <v>826</v>
      </c>
      <c r="B817" s="454"/>
      <c r="C817" s="450"/>
      <c r="D817" s="67">
        <v>1</v>
      </c>
      <c r="E817" s="70" t="s">
        <v>21</v>
      </c>
      <c r="F817" s="67">
        <f>F816/D816</f>
        <v>135.44999999999999</v>
      </c>
      <c r="G817" s="66"/>
      <c r="H817" s="298"/>
      <c r="I817" s="298"/>
    </row>
    <row r="818" spans="1:9">
      <c r="A818" s="493" t="s">
        <v>829</v>
      </c>
      <c r="B818" s="454"/>
      <c r="C818" s="454"/>
      <c r="D818" s="450"/>
      <c r="E818" s="67"/>
      <c r="F818" s="67">
        <f>F817*1%</f>
        <v>1.3544999999999998</v>
      </c>
      <c r="G818" s="66"/>
      <c r="H818" s="298"/>
      <c r="I818" s="298"/>
    </row>
    <row r="819" spans="1:9">
      <c r="A819" s="493" t="s">
        <v>30</v>
      </c>
      <c r="B819" s="454"/>
      <c r="C819" s="454"/>
      <c r="D819" s="450"/>
      <c r="E819" s="71"/>
      <c r="F819" s="67">
        <f>F817+F818</f>
        <v>136.80449999999999</v>
      </c>
      <c r="G819" s="66"/>
      <c r="H819" s="298"/>
      <c r="I819" s="298"/>
    </row>
    <row r="820" spans="1:9">
      <c r="A820" s="493" t="s">
        <v>836</v>
      </c>
      <c r="B820" s="454"/>
      <c r="C820" s="454"/>
      <c r="D820" s="450"/>
      <c r="E820" s="67"/>
      <c r="F820" s="67">
        <f>F819*15%</f>
        <v>20.520674999999997</v>
      </c>
      <c r="G820" s="66"/>
      <c r="H820" s="298"/>
      <c r="I820" s="298"/>
    </row>
    <row r="821" spans="1:9">
      <c r="A821" s="493" t="s">
        <v>30</v>
      </c>
      <c r="B821" s="454"/>
      <c r="C821" s="454"/>
      <c r="D821" s="450"/>
      <c r="E821" s="71"/>
      <c r="F821" s="191">
        <f>ROUND(F819+F820,2)</f>
        <v>157.33000000000001</v>
      </c>
      <c r="G821" s="66"/>
      <c r="H821" s="298"/>
      <c r="I821" s="298"/>
    </row>
    <row r="822" spans="1:9">
      <c r="A822" s="490" t="s">
        <v>819</v>
      </c>
      <c r="B822" s="454"/>
      <c r="C822" s="454"/>
      <c r="D822" s="454"/>
      <c r="E822" s="454"/>
      <c r="F822" s="450"/>
      <c r="G822" s="68" t="s">
        <v>820</v>
      </c>
      <c r="H822" s="298"/>
      <c r="I822" s="298"/>
    </row>
    <row r="823" spans="1:9">
      <c r="A823" s="491">
        <v>116</v>
      </c>
      <c r="B823" s="491"/>
      <c r="C823" s="484" t="s">
        <v>527</v>
      </c>
      <c r="D823" s="454"/>
      <c r="E823" s="450"/>
      <c r="F823" s="484"/>
      <c r="G823" s="450"/>
      <c r="H823" s="298"/>
      <c r="I823" s="298"/>
    </row>
    <row r="824" spans="1:9">
      <c r="A824" s="457"/>
      <c r="B824" s="457"/>
      <c r="C824" s="66" t="s">
        <v>26</v>
      </c>
      <c r="D824" s="67">
        <v>0.32</v>
      </c>
      <c r="E824" s="67">
        <v>784</v>
      </c>
      <c r="F824" s="67">
        <f>E824*D824</f>
        <v>250.88</v>
      </c>
      <c r="G824" s="66" t="s">
        <v>822</v>
      </c>
      <c r="H824" s="298"/>
      <c r="I824" s="298"/>
    </row>
    <row r="825" spans="1:9">
      <c r="A825" s="491">
        <v>114</v>
      </c>
      <c r="B825" s="491"/>
      <c r="C825" s="484" t="s">
        <v>59</v>
      </c>
      <c r="D825" s="454"/>
      <c r="E825" s="450"/>
      <c r="F825" s="484"/>
      <c r="G825" s="450"/>
      <c r="H825" s="298"/>
      <c r="I825" s="298"/>
    </row>
    <row r="826" spans="1:9">
      <c r="A826" s="457"/>
      <c r="B826" s="457"/>
      <c r="C826" s="66" t="s">
        <v>26</v>
      </c>
      <c r="D826" s="67">
        <v>0.62</v>
      </c>
      <c r="E826" s="67">
        <v>645</v>
      </c>
      <c r="F826" s="67">
        <f>E826*D826</f>
        <v>399.9</v>
      </c>
      <c r="G826" s="66" t="s">
        <v>825</v>
      </c>
      <c r="H826" s="298"/>
      <c r="I826" s="298"/>
    </row>
    <row r="827" spans="1:9">
      <c r="A827" s="491">
        <v>100</v>
      </c>
      <c r="B827" s="491"/>
      <c r="C827" s="484" t="s">
        <v>1762</v>
      </c>
      <c r="D827" s="454"/>
      <c r="E827" s="450"/>
      <c r="F827" s="484"/>
      <c r="G827" s="450"/>
      <c r="H827" s="298"/>
      <c r="I827" s="298"/>
    </row>
    <row r="828" spans="1:9">
      <c r="A828" s="457"/>
      <c r="B828" s="457"/>
      <c r="C828" s="66" t="s">
        <v>26</v>
      </c>
      <c r="D828" s="67">
        <v>0.13</v>
      </c>
      <c r="E828" s="67">
        <v>714</v>
      </c>
      <c r="F828" s="67">
        <f>E828*D828</f>
        <v>92.820000000000007</v>
      </c>
      <c r="G828" s="66" t="s">
        <v>837</v>
      </c>
      <c r="H828" s="298"/>
      <c r="I828" s="298"/>
    </row>
    <row r="829" spans="1:9">
      <c r="A829" s="490" t="s">
        <v>847</v>
      </c>
      <c r="B829" s="454"/>
      <c r="C829" s="454"/>
      <c r="D829" s="454"/>
      <c r="E829" s="454"/>
      <c r="F829" s="450"/>
      <c r="G829" s="68" t="s">
        <v>820</v>
      </c>
      <c r="H829" s="298"/>
      <c r="I829" s="298"/>
    </row>
    <row r="830" spans="1:9">
      <c r="A830" s="491">
        <v>9999</v>
      </c>
      <c r="B830" s="491"/>
      <c r="C830" s="484" t="s">
        <v>1764</v>
      </c>
      <c r="D830" s="454"/>
      <c r="E830" s="450"/>
      <c r="F830" s="484"/>
      <c r="G830" s="450"/>
      <c r="H830" s="298"/>
      <c r="I830" s="298"/>
    </row>
    <row r="831" spans="1:9">
      <c r="A831" s="457"/>
      <c r="B831" s="457"/>
      <c r="C831" s="66" t="s">
        <v>62</v>
      </c>
      <c r="D831" s="67">
        <v>22.53</v>
      </c>
      <c r="E831" s="67">
        <v>2.12</v>
      </c>
      <c r="F831" s="67">
        <f>E831*D831</f>
        <v>47.763600000000004</v>
      </c>
      <c r="G831" s="66" t="s">
        <v>851</v>
      </c>
      <c r="H831" s="298"/>
      <c r="I831" s="298"/>
    </row>
    <row r="832" spans="1:9">
      <c r="A832" s="491">
        <v>9999</v>
      </c>
      <c r="B832" s="491"/>
      <c r="C832" s="484" t="s">
        <v>1736</v>
      </c>
      <c r="D832" s="454"/>
      <c r="E832" s="450"/>
      <c r="F832" s="484"/>
      <c r="G832" s="450"/>
      <c r="H832" s="298"/>
      <c r="I832" s="298"/>
    </row>
    <row r="833" spans="1:9">
      <c r="A833" s="457"/>
      <c r="B833" s="457"/>
      <c r="C833" s="66" t="s">
        <v>62</v>
      </c>
      <c r="D833" s="67">
        <v>10.27</v>
      </c>
      <c r="E833" s="67">
        <v>2.12</v>
      </c>
      <c r="F833" s="67">
        <f>E833*D833</f>
        <v>21.772400000000001</v>
      </c>
      <c r="G833" s="66" t="s">
        <v>854</v>
      </c>
      <c r="H833" s="298"/>
      <c r="I833" s="298"/>
    </row>
    <row r="834" spans="1:9">
      <c r="A834" s="491">
        <v>9999</v>
      </c>
      <c r="B834" s="491"/>
      <c r="C834" s="484" t="s">
        <v>2022</v>
      </c>
      <c r="D834" s="454"/>
      <c r="E834" s="450"/>
      <c r="F834" s="484"/>
      <c r="G834" s="450"/>
      <c r="H834" s="298"/>
      <c r="I834" s="298"/>
    </row>
    <row r="835" spans="1:9">
      <c r="A835" s="457"/>
      <c r="B835" s="457"/>
      <c r="C835" s="66" t="s">
        <v>62</v>
      </c>
      <c r="D835" s="67">
        <v>30.98</v>
      </c>
      <c r="E835" s="67">
        <v>2.12</v>
      </c>
      <c r="F835" s="67">
        <f>E835*D835</f>
        <v>65.677599999999998</v>
      </c>
      <c r="G835" s="66" t="s">
        <v>1768</v>
      </c>
      <c r="H835" s="298"/>
      <c r="I835" s="298"/>
    </row>
    <row r="836" spans="1:9">
      <c r="A836" s="492" t="s">
        <v>30</v>
      </c>
      <c r="B836" s="454"/>
      <c r="C836" s="450"/>
      <c r="D836" s="67">
        <v>10</v>
      </c>
      <c r="E836" s="70" t="s">
        <v>21</v>
      </c>
      <c r="F836" s="67">
        <f>F824+F826+F828+F831+F833+F835</f>
        <v>878.81359999999995</v>
      </c>
      <c r="G836" s="71"/>
      <c r="H836" s="298"/>
      <c r="I836" s="298"/>
    </row>
    <row r="837" spans="1:9">
      <c r="A837" s="492" t="s">
        <v>826</v>
      </c>
      <c r="B837" s="454"/>
      <c r="C837" s="450"/>
      <c r="D837" s="67">
        <v>1</v>
      </c>
      <c r="E837" s="70" t="s">
        <v>21</v>
      </c>
      <c r="F837" s="67">
        <f>F836/D836</f>
        <v>87.881360000000001</v>
      </c>
      <c r="G837" s="71"/>
      <c r="H837" s="298"/>
      <c r="I837" s="298"/>
    </row>
    <row r="838" spans="1:9">
      <c r="A838" s="493" t="s">
        <v>829</v>
      </c>
      <c r="B838" s="454"/>
      <c r="C838" s="454"/>
      <c r="D838" s="450"/>
      <c r="E838" s="67"/>
      <c r="F838" s="67">
        <f>F837*1%</f>
        <v>0.87881359999999997</v>
      </c>
      <c r="G838" s="71"/>
      <c r="H838" s="298"/>
      <c r="I838" s="298"/>
    </row>
    <row r="839" spans="1:9">
      <c r="A839" s="493" t="s">
        <v>30</v>
      </c>
      <c r="B839" s="454"/>
      <c r="C839" s="454"/>
      <c r="D839" s="450"/>
      <c r="E839" s="71"/>
      <c r="F839" s="67">
        <f>F837+F838</f>
        <v>88.760173600000002</v>
      </c>
      <c r="G839" s="71"/>
      <c r="H839" s="298"/>
      <c r="I839" s="298"/>
    </row>
    <row r="840" spans="1:9">
      <c r="A840" s="493" t="s">
        <v>836</v>
      </c>
      <c r="B840" s="454"/>
      <c r="C840" s="454"/>
      <c r="D840" s="450"/>
      <c r="E840" s="67"/>
      <c r="F840" s="67">
        <f>F839*15%</f>
        <v>13.31402604</v>
      </c>
      <c r="G840" s="71"/>
      <c r="H840" s="298"/>
      <c r="I840" s="298"/>
    </row>
    <row r="841" spans="1:9">
      <c r="A841" s="493" t="s">
        <v>30</v>
      </c>
      <c r="B841" s="454"/>
      <c r="C841" s="454"/>
      <c r="D841" s="450"/>
      <c r="E841" s="71"/>
      <c r="F841" s="191">
        <f>ROUND(F839+F840,2)</f>
        <v>102.07</v>
      </c>
      <c r="G841" s="71"/>
      <c r="H841" s="298"/>
      <c r="I841" s="298"/>
    </row>
    <row r="842" spans="1:9">
      <c r="A842" s="616" t="str">
        <f>CONCATENATE("Say ₹ ",F821," + ",F841," x Cost Index")</f>
        <v>Say ₹ 157.33 + 102.07 x Cost Index</v>
      </c>
      <c r="B842" s="454"/>
      <c r="C842" s="454"/>
      <c r="D842" s="454"/>
      <c r="E842" s="454"/>
      <c r="F842" s="450"/>
      <c r="G842" s="300" t="s">
        <v>1000</v>
      </c>
      <c r="H842" s="301">
        <f>F815*1.01*1.15/10</f>
        <v>157.325175</v>
      </c>
      <c r="I842" s="301">
        <f>(F824+F826+F828+F831+F833+F835)*1.01*1.15/10</f>
        <v>102.07419963999999</v>
      </c>
    </row>
    <row r="843" spans="1:9">
      <c r="A843" s="486" t="s">
        <v>771</v>
      </c>
      <c r="B843" s="486" t="s">
        <v>776</v>
      </c>
      <c r="C843" s="487" t="s">
        <v>4</v>
      </c>
      <c r="D843" s="454"/>
      <c r="E843" s="450"/>
      <c r="F843" s="487" t="s">
        <v>785</v>
      </c>
      <c r="G843" s="450"/>
      <c r="H843" s="298"/>
      <c r="I843" s="298"/>
    </row>
    <row r="844" spans="1:9">
      <c r="A844" s="457"/>
      <c r="B844" s="457"/>
      <c r="C844" s="62" t="s">
        <v>5</v>
      </c>
      <c r="D844" s="62" t="s">
        <v>6</v>
      </c>
      <c r="E844" s="62" t="s">
        <v>336</v>
      </c>
      <c r="F844" s="62" t="s">
        <v>8</v>
      </c>
      <c r="G844" s="62" t="s">
        <v>789</v>
      </c>
      <c r="H844" s="298"/>
      <c r="I844" s="298"/>
    </row>
    <row r="845" spans="1:9">
      <c r="A845" s="617" t="s">
        <v>2226</v>
      </c>
      <c r="B845" s="454"/>
      <c r="C845" s="454"/>
      <c r="D845" s="454"/>
      <c r="E845" s="454"/>
      <c r="F845" s="454"/>
      <c r="G845" s="450"/>
      <c r="H845" s="298"/>
      <c r="I845" s="298"/>
    </row>
    <row r="846" spans="1:9">
      <c r="A846" s="65"/>
      <c r="B846" s="66" t="s">
        <v>795</v>
      </c>
      <c r="C846" s="66" t="s">
        <v>21</v>
      </c>
      <c r="D846" s="66" t="s">
        <v>798</v>
      </c>
      <c r="E846" s="67">
        <v>10</v>
      </c>
      <c r="F846" s="484"/>
      <c r="G846" s="450"/>
      <c r="H846" s="298"/>
      <c r="I846" s="298"/>
    </row>
    <row r="847" spans="1:9">
      <c r="A847" s="66" t="s">
        <v>800</v>
      </c>
      <c r="B847" s="484" t="s">
        <v>2075</v>
      </c>
      <c r="C847" s="454"/>
      <c r="D847" s="454"/>
      <c r="E847" s="454"/>
      <c r="F847" s="454"/>
      <c r="G847" s="450"/>
      <c r="H847" s="298"/>
      <c r="I847" s="298"/>
    </row>
    <row r="848" spans="1:9">
      <c r="A848" s="490" t="s">
        <v>802</v>
      </c>
      <c r="B848" s="454"/>
      <c r="C848" s="454"/>
      <c r="D848" s="454"/>
      <c r="E848" s="454"/>
      <c r="F848" s="450"/>
      <c r="G848" s="68" t="s">
        <v>803</v>
      </c>
      <c r="H848" s="298"/>
      <c r="I848" s="298"/>
    </row>
    <row r="849" spans="1:9">
      <c r="A849" s="491"/>
      <c r="B849" s="491" t="s">
        <v>1913</v>
      </c>
      <c r="C849" s="484" t="s">
        <v>2227</v>
      </c>
      <c r="D849" s="454"/>
      <c r="E849" s="450"/>
      <c r="F849" s="484"/>
      <c r="G849" s="450"/>
      <c r="H849" s="298"/>
      <c r="I849" s="298"/>
    </row>
    <row r="850" spans="1:9">
      <c r="A850" s="457"/>
      <c r="B850" s="457"/>
      <c r="C850" s="66" t="s">
        <v>21</v>
      </c>
      <c r="D850" s="67">
        <v>10.5</v>
      </c>
      <c r="E850" s="67">
        <v>95</v>
      </c>
      <c r="F850" s="67">
        <f>E850*D850</f>
        <v>997.5</v>
      </c>
      <c r="G850" s="66" t="s">
        <v>808</v>
      </c>
      <c r="H850" s="298"/>
      <c r="I850" s="298"/>
    </row>
    <row r="851" spans="1:9">
      <c r="A851" s="492" t="s">
        <v>30</v>
      </c>
      <c r="B851" s="454"/>
      <c r="C851" s="450"/>
      <c r="D851" s="67">
        <v>10</v>
      </c>
      <c r="E851" s="70" t="s">
        <v>21</v>
      </c>
      <c r="F851" s="67">
        <f>F850</f>
        <v>997.5</v>
      </c>
      <c r="G851" s="66"/>
      <c r="H851" s="298"/>
      <c r="I851" s="298"/>
    </row>
    <row r="852" spans="1:9">
      <c r="A852" s="492" t="s">
        <v>826</v>
      </c>
      <c r="B852" s="454"/>
      <c r="C852" s="450"/>
      <c r="D852" s="67">
        <v>1</v>
      </c>
      <c r="E852" s="70" t="s">
        <v>21</v>
      </c>
      <c r="F852" s="67">
        <f>F851/D851</f>
        <v>99.75</v>
      </c>
      <c r="G852" s="66"/>
      <c r="H852" s="298"/>
      <c r="I852" s="298"/>
    </row>
    <row r="853" spans="1:9">
      <c r="A853" s="493" t="s">
        <v>829</v>
      </c>
      <c r="B853" s="454"/>
      <c r="C853" s="454"/>
      <c r="D853" s="450"/>
      <c r="E853" s="67"/>
      <c r="F853" s="67">
        <f>F852*1%</f>
        <v>0.99750000000000005</v>
      </c>
      <c r="G853" s="66"/>
      <c r="H853" s="298"/>
      <c r="I853" s="298"/>
    </row>
    <row r="854" spans="1:9">
      <c r="A854" s="493" t="s">
        <v>30</v>
      </c>
      <c r="B854" s="454"/>
      <c r="C854" s="454"/>
      <c r="D854" s="450"/>
      <c r="E854" s="71"/>
      <c r="F854" s="67">
        <f>F852+F853</f>
        <v>100.7475</v>
      </c>
      <c r="G854" s="66"/>
      <c r="H854" s="298"/>
      <c r="I854" s="298"/>
    </row>
    <row r="855" spans="1:9">
      <c r="A855" s="493" t="s">
        <v>836</v>
      </c>
      <c r="B855" s="454"/>
      <c r="C855" s="454"/>
      <c r="D855" s="450"/>
      <c r="E855" s="67"/>
      <c r="F855" s="67">
        <f>F854*15%</f>
        <v>15.112124999999999</v>
      </c>
      <c r="G855" s="66"/>
      <c r="H855" s="298"/>
      <c r="I855" s="298"/>
    </row>
    <row r="856" spans="1:9">
      <c r="A856" s="493" t="s">
        <v>30</v>
      </c>
      <c r="B856" s="454"/>
      <c r="C856" s="454"/>
      <c r="D856" s="450"/>
      <c r="E856" s="71"/>
      <c r="F856" s="191">
        <f>ROUND(F854+F855,2)</f>
        <v>115.86</v>
      </c>
      <c r="G856" s="66"/>
      <c r="H856" s="298"/>
      <c r="I856" s="298"/>
    </row>
    <row r="857" spans="1:9">
      <c r="A857" s="490" t="s">
        <v>819</v>
      </c>
      <c r="B857" s="454"/>
      <c r="C857" s="454"/>
      <c r="D857" s="454"/>
      <c r="E857" s="454"/>
      <c r="F857" s="450"/>
      <c r="G857" s="68" t="s">
        <v>820</v>
      </c>
      <c r="H857" s="298"/>
      <c r="I857" s="298"/>
    </row>
    <row r="858" spans="1:9">
      <c r="A858" s="491">
        <v>116</v>
      </c>
      <c r="B858" s="491"/>
      <c r="C858" s="484" t="s">
        <v>527</v>
      </c>
      <c r="D858" s="454"/>
      <c r="E858" s="450"/>
      <c r="F858" s="484"/>
      <c r="G858" s="450"/>
      <c r="H858" s="298"/>
      <c r="I858" s="298"/>
    </row>
    <row r="859" spans="1:9">
      <c r="A859" s="457"/>
      <c r="B859" s="457"/>
      <c r="C859" s="66" t="s">
        <v>26</v>
      </c>
      <c r="D859" s="67">
        <v>0.32</v>
      </c>
      <c r="E859" s="67">
        <v>784</v>
      </c>
      <c r="F859" s="67">
        <f>E859*D859</f>
        <v>250.88</v>
      </c>
      <c r="G859" s="66" t="s">
        <v>822</v>
      </c>
      <c r="H859" s="298"/>
      <c r="I859" s="298"/>
    </row>
    <row r="860" spans="1:9">
      <c r="A860" s="491">
        <v>114</v>
      </c>
      <c r="B860" s="491"/>
      <c r="C860" s="484" t="s">
        <v>59</v>
      </c>
      <c r="D860" s="454"/>
      <c r="E860" s="450"/>
      <c r="F860" s="484"/>
      <c r="G860" s="450"/>
      <c r="H860" s="298"/>
      <c r="I860" s="298"/>
    </row>
    <row r="861" spans="1:9">
      <c r="A861" s="457"/>
      <c r="B861" s="457"/>
      <c r="C861" s="66" t="s">
        <v>26</v>
      </c>
      <c r="D861" s="67">
        <v>0.62</v>
      </c>
      <c r="E861" s="67">
        <v>645</v>
      </c>
      <c r="F861" s="67">
        <f>E861*D861</f>
        <v>399.9</v>
      </c>
      <c r="G861" s="66" t="s">
        <v>825</v>
      </c>
      <c r="H861" s="298"/>
      <c r="I861" s="298"/>
    </row>
    <row r="862" spans="1:9">
      <c r="A862" s="491">
        <v>100</v>
      </c>
      <c r="B862" s="491"/>
      <c r="C862" s="484" t="s">
        <v>1762</v>
      </c>
      <c r="D862" s="454"/>
      <c r="E862" s="450"/>
      <c r="F862" s="484"/>
      <c r="G862" s="450"/>
      <c r="H862" s="298"/>
      <c r="I862" s="298"/>
    </row>
    <row r="863" spans="1:9">
      <c r="A863" s="457"/>
      <c r="B863" s="457"/>
      <c r="C863" s="66" t="s">
        <v>26</v>
      </c>
      <c r="D863" s="67">
        <v>0.13</v>
      </c>
      <c r="E863" s="67">
        <v>714</v>
      </c>
      <c r="F863" s="67">
        <f>E863*D863</f>
        <v>92.820000000000007</v>
      </c>
      <c r="G863" s="66" t="s">
        <v>837</v>
      </c>
      <c r="H863" s="298"/>
      <c r="I863" s="298"/>
    </row>
    <row r="864" spans="1:9">
      <c r="A864" s="490" t="s">
        <v>847</v>
      </c>
      <c r="B864" s="454"/>
      <c r="C864" s="454"/>
      <c r="D864" s="454"/>
      <c r="E864" s="454"/>
      <c r="F864" s="450"/>
      <c r="G864" s="68" t="s">
        <v>820</v>
      </c>
      <c r="H864" s="298"/>
      <c r="I864" s="298"/>
    </row>
    <row r="865" spans="1:9">
      <c r="A865" s="491">
        <v>9999</v>
      </c>
      <c r="B865" s="491"/>
      <c r="C865" s="484" t="s">
        <v>2236</v>
      </c>
      <c r="D865" s="454"/>
      <c r="E865" s="450"/>
      <c r="F865" s="484"/>
      <c r="G865" s="450"/>
      <c r="H865" s="298"/>
      <c r="I865" s="298"/>
    </row>
    <row r="866" spans="1:9">
      <c r="A866" s="457"/>
      <c r="B866" s="457"/>
      <c r="C866" s="66" t="s">
        <v>62</v>
      </c>
      <c r="D866" s="67">
        <v>22.53</v>
      </c>
      <c r="E866" s="67">
        <v>2.12</v>
      </c>
      <c r="F866" s="67">
        <f>E866*D866</f>
        <v>47.763600000000004</v>
      </c>
      <c r="G866" s="66" t="s">
        <v>851</v>
      </c>
      <c r="H866" s="298"/>
      <c r="I866" s="298"/>
    </row>
    <row r="867" spans="1:9">
      <c r="A867" s="491">
        <v>9999</v>
      </c>
      <c r="B867" s="491"/>
      <c r="C867" s="484" t="s">
        <v>2237</v>
      </c>
      <c r="D867" s="454"/>
      <c r="E867" s="450"/>
      <c r="F867" s="484"/>
      <c r="G867" s="450"/>
      <c r="H867" s="298"/>
      <c r="I867" s="298"/>
    </row>
    <row r="868" spans="1:9">
      <c r="A868" s="457"/>
      <c r="B868" s="457"/>
      <c r="C868" s="66" t="s">
        <v>62</v>
      </c>
      <c r="D868" s="67">
        <v>10.27</v>
      </c>
      <c r="E868" s="67">
        <v>2.12</v>
      </c>
      <c r="F868" s="67">
        <f>E868*D868</f>
        <v>21.772400000000001</v>
      </c>
      <c r="G868" s="66" t="s">
        <v>854</v>
      </c>
      <c r="H868" s="298"/>
      <c r="I868" s="298"/>
    </row>
    <row r="869" spans="1:9">
      <c r="A869" s="491">
        <v>9999</v>
      </c>
      <c r="B869" s="491"/>
      <c r="C869" s="484" t="s">
        <v>1765</v>
      </c>
      <c r="D869" s="454"/>
      <c r="E869" s="450"/>
      <c r="F869" s="484"/>
      <c r="G869" s="450"/>
      <c r="H869" s="298"/>
      <c r="I869" s="298"/>
    </row>
    <row r="870" spans="1:9">
      <c r="A870" s="457"/>
      <c r="B870" s="457"/>
      <c r="C870" s="66" t="s">
        <v>62</v>
      </c>
      <c r="D870" s="67">
        <v>30.98</v>
      </c>
      <c r="E870" s="67">
        <v>2.12</v>
      </c>
      <c r="F870" s="67">
        <f>E870*D870</f>
        <v>65.677599999999998</v>
      </c>
      <c r="G870" s="66" t="s">
        <v>1768</v>
      </c>
      <c r="H870" s="298"/>
      <c r="I870" s="298"/>
    </row>
    <row r="871" spans="1:9">
      <c r="A871" s="492" t="s">
        <v>30</v>
      </c>
      <c r="B871" s="454"/>
      <c r="C871" s="450"/>
      <c r="D871" s="67">
        <v>10</v>
      </c>
      <c r="E871" s="70" t="s">
        <v>21</v>
      </c>
      <c r="F871" s="67">
        <f>F859+F861+F863+F866+F868+F870</f>
        <v>878.81359999999995</v>
      </c>
      <c r="G871" s="71"/>
      <c r="H871" s="298"/>
      <c r="I871" s="298"/>
    </row>
    <row r="872" spans="1:9">
      <c r="A872" s="492" t="s">
        <v>826</v>
      </c>
      <c r="B872" s="454"/>
      <c r="C872" s="450"/>
      <c r="D872" s="67">
        <v>1</v>
      </c>
      <c r="E872" s="70" t="s">
        <v>21</v>
      </c>
      <c r="F872" s="67">
        <f>F871/D871</f>
        <v>87.881360000000001</v>
      </c>
      <c r="G872" s="71"/>
      <c r="H872" s="298"/>
      <c r="I872" s="298"/>
    </row>
    <row r="873" spans="1:9">
      <c r="A873" s="493" t="s">
        <v>829</v>
      </c>
      <c r="B873" s="454"/>
      <c r="C873" s="454"/>
      <c r="D873" s="450"/>
      <c r="E873" s="67"/>
      <c r="F873" s="67">
        <f>F872*1%</f>
        <v>0.87881359999999997</v>
      </c>
      <c r="G873" s="71"/>
      <c r="H873" s="298"/>
      <c r="I873" s="298"/>
    </row>
    <row r="874" spans="1:9">
      <c r="A874" s="493" t="s">
        <v>30</v>
      </c>
      <c r="B874" s="454"/>
      <c r="C874" s="454"/>
      <c r="D874" s="450"/>
      <c r="E874" s="71"/>
      <c r="F874" s="67">
        <f>F872+F873</f>
        <v>88.760173600000002</v>
      </c>
      <c r="G874" s="71"/>
      <c r="H874" s="298"/>
      <c r="I874" s="298"/>
    </row>
    <row r="875" spans="1:9">
      <c r="A875" s="493" t="s">
        <v>836</v>
      </c>
      <c r="B875" s="454"/>
      <c r="C875" s="454"/>
      <c r="D875" s="450"/>
      <c r="E875" s="67"/>
      <c r="F875" s="67">
        <f>F874*15%</f>
        <v>13.31402604</v>
      </c>
      <c r="G875" s="71"/>
      <c r="H875" s="298"/>
      <c r="I875" s="298"/>
    </row>
    <row r="876" spans="1:9">
      <c r="A876" s="493" t="s">
        <v>30</v>
      </c>
      <c r="B876" s="454"/>
      <c r="C876" s="454"/>
      <c r="D876" s="450"/>
      <c r="E876" s="71"/>
      <c r="F876" s="191">
        <f>ROUND(F874+F875,2)</f>
        <v>102.07</v>
      </c>
      <c r="G876" s="71"/>
      <c r="H876" s="298"/>
      <c r="I876" s="298"/>
    </row>
    <row r="877" spans="1:9">
      <c r="A877" s="616" t="str">
        <f>CONCATENATE("Say ₹ ",F856," + ",F876," x Cost Index")</f>
        <v>Say ₹ 115.86 + 102.07 x Cost Index</v>
      </c>
      <c r="B877" s="454"/>
      <c r="C877" s="454"/>
      <c r="D877" s="454"/>
      <c r="E877" s="454"/>
      <c r="F877" s="450"/>
      <c r="G877" s="300" t="s">
        <v>1000</v>
      </c>
      <c r="H877" s="301">
        <f>F850*1.01*1.15/10</f>
        <v>115.85962499999998</v>
      </c>
      <c r="I877" s="301">
        <f>(F859+F861+F863+F866+F868+F870)*1.01*1.15/10</f>
        <v>102.07419963999999</v>
      </c>
    </row>
    <row r="878" spans="1:9">
      <c r="A878" s="486" t="s">
        <v>771</v>
      </c>
      <c r="B878" s="486" t="s">
        <v>776</v>
      </c>
      <c r="C878" s="487" t="s">
        <v>4</v>
      </c>
      <c r="D878" s="454"/>
      <c r="E878" s="450"/>
      <c r="F878" s="487" t="s">
        <v>785</v>
      </c>
      <c r="G878" s="450"/>
      <c r="H878" s="298"/>
      <c r="I878" s="298"/>
    </row>
    <row r="879" spans="1:9">
      <c r="A879" s="457"/>
      <c r="B879" s="457"/>
      <c r="C879" s="62" t="s">
        <v>5</v>
      </c>
      <c r="D879" s="62" t="s">
        <v>6</v>
      </c>
      <c r="E879" s="62" t="s">
        <v>336</v>
      </c>
      <c r="F879" s="62" t="s">
        <v>8</v>
      </c>
      <c r="G879" s="62" t="s">
        <v>789</v>
      </c>
      <c r="H879" s="298"/>
      <c r="I879" s="298"/>
    </row>
    <row r="880" spans="1:9">
      <c r="A880" s="617" t="s">
        <v>2243</v>
      </c>
      <c r="B880" s="454"/>
      <c r="C880" s="454"/>
      <c r="D880" s="454"/>
      <c r="E880" s="454"/>
      <c r="F880" s="454"/>
      <c r="G880" s="450"/>
      <c r="H880" s="298"/>
      <c r="I880" s="298"/>
    </row>
    <row r="881" spans="1:9">
      <c r="A881" s="65"/>
      <c r="B881" s="66" t="s">
        <v>795</v>
      </c>
      <c r="C881" s="66" t="s">
        <v>21</v>
      </c>
      <c r="D881" s="66" t="s">
        <v>798</v>
      </c>
      <c r="E881" s="67">
        <v>10</v>
      </c>
      <c r="F881" s="484"/>
      <c r="G881" s="450"/>
      <c r="H881" s="298"/>
      <c r="I881" s="298"/>
    </row>
    <row r="882" spans="1:9">
      <c r="A882" s="66" t="s">
        <v>800</v>
      </c>
      <c r="B882" s="484" t="s">
        <v>1757</v>
      </c>
      <c r="C882" s="454"/>
      <c r="D882" s="454"/>
      <c r="E882" s="454"/>
      <c r="F882" s="454"/>
      <c r="G882" s="450"/>
      <c r="H882" s="298"/>
      <c r="I882" s="298"/>
    </row>
    <row r="883" spans="1:9">
      <c r="A883" s="490" t="s">
        <v>802</v>
      </c>
      <c r="B883" s="454"/>
      <c r="C883" s="454"/>
      <c r="D883" s="454"/>
      <c r="E883" s="454"/>
      <c r="F883" s="450"/>
      <c r="G883" s="68" t="s">
        <v>803</v>
      </c>
      <c r="H883" s="298"/>
      <c r="I883" s="298"/>
    </row>
    <row r="884" spans="1:9">
      <c r="A884" s="491"/>
      <c r="B884" s="491" t="s">
        <v>1864</v>
      </c>
      <c r="C884" s="484" t="s">
        <v>2245</v>
      </c>
      <c r="D884" s="454"/>
      <c r="E884" s="450"/>
      <c r="F884" s="484"/>
      <c r="G884" s="450"/>
      <c r="H884" s="298"/>
      <c r="I884" s="298"/>
    </row>
    <row r="885" spans="1:9">
      <c r="A885" s="457"/>
      <c r="B885" s="457"/>
      <c r="C885" s="66" t="s">
        <v>21</v>
      </c>
      <c r="D885" s="67">
        <v>10.5</v>
      </c>
      <c r="E885" s="67">
        <v>211</v>
      </c>
      <c r="F885" s="67">
        <f>E885*D885</f>
        <v>2215.5</v>
      </c>
      <c r="G885" s="66" t="s">
        <v>808</v>
      </c>
      <c r="H885" s="298"/>
      <c r="I885" s="298"/>
    </row>
    <row r="886" spans="1:9">
      <c r="A886" s="492" t="s">
        <v>30</v>
      </c>
      <c r="B886" s="454"/>
      <c r="C886" s="450"/>
      <c r="D886" s="67">
        <v>10</v>
      </c>
      <c r="E886" s="70" t="s">
        <v>21</v>
      </c>
      <c r="F886" s="67">
        <f>F885</f>
        <v>2215.5</v>
      </c>
      <c r="G886" s="66"/>
      <c r="H886" s="298"/>
      <c r="I886" s="298"/>
    </row>
    <row r="887" spans="1:9">
      <c r="A887" s="492" t="s">
        <v>826</v>
      </c>
      <c r="B887" s="454"/>
      <c r="C887" s="450"/>
      <c r="D887" s="67">
        <v>1</v>
      </c>
      <c r="E887" s="70" t="s">
        <v>21</v>
      </c>
      <c r="F887" s="67">
        <f>F886/D886</f>
        <v>221.55</v>
      </c>
      <c r="G887" s="66"/>
      <c r="H887" s="298"/>
      <c r="I887" s="298"/>
    </row>
    <row r="888" spans="1:9">
      <c r="A888" s="493" t="s">
        <v>829</v>
      </c>
      <c r="B888" s="454"/>
      <c r="C888" s="454"/>
      <c r="D888" s="450"/>
      <c r="E888" s="67"/>
      <c r="F888" s="67">
        <f>F887*1%</f>
        <v>2.2155</v>
      </c>
      <c r="G888" s="66"/>
      <c r="H888" s="298"/>
      <c r="I888" s="298"/>
    </row>
    <row r="889" spans="1:9">
      <c r="A889" s="493" t="s">
        <v>30</v>
      </c>
      <c r="B889" s="454"/>
      <c r="C889" s="454"/>
      <c r="D889" s="450"/>
      <c r="E889" s="71"/>
      <c r="F889" s="67">
        <f>F887+F888</f>
        <v>223.7655</v>
      </c>
      <c r="G889" s="66"/>
      <c r="H889" s="298"/>
      <c r="I889" s="298"/>
    </row>
    <row r="890" spans="1:9">
      <c r="A890" s="493" t="s">
        <v>836</v>
      </c>
      <c r="B890" s="454"/>
      <c r="C890" s="454"/>
      <c r="D890" s="450"/>
      <c r="E890" s="67"/>
      <c r="F890" s="67">
        <f>F889*15%</f>
        <v>33.564824999999999</v>
      </c>
      <c r="G890" s="66"/>
      <c r="H890" s="298"/>
      <c r="I890" s="298"/>
    </row>
    <row r="891" spans="1:9">
      <c r="A891" s="493" t="s">
        <v>30</v>
      </c>
      <c r="B891" s="454"/>
      <c r="C891" s="454"/>
      <c r="D891" s="450"/>
      <c r="E891" s="71"/>
      <c r="F891" s="191">
        <f>ROUND(F889+F890,2)</f>
        <v>257.33</v>
      </c>
      <c r="G891" s="66"/>
      <c r="H891" s="298"/>
      <c r="I891" s="298"/>
    </row>
    <row r="892" spans="1:9">
      <c r="A892" s="490" t="s">
        <v>819</v>
      </c>
      <c r="B892" s="454"/>
      <c r="C892" s="454"/>
      <c r="D892" s="454"/>
      <c r="E892" s="454"/>
      <c r="F892" s="450"/>
      <c r="G892" s="68" t="s">
        <v>820</v>
      </c>
      <c r="H892" s="298"/>
      <c r="I892" s="298"/>
    </row>
    <row r="893" spans="1:9">
      <c r="A893" s="491">
        <v>116</v>
      </c>
      <c r="B893" s="491"/>
      <c r="C893" s="484" t="s">
        <v>527</v>
      </c>
      <c r="D893" s="454"/>
      <c r="E893" s="450"/>
      <c r="F893" s="484"/>
      <c r="G893" s="450"/>
      <c r="H893" s="298"/>
      <c r="I893" s="298"/>
    </row>
    <row r="894" spans="1:9">
      <c r="A894" s="457"/>
      <c r="B894" s="457"/>
      <c r="C894" s="66" t="s">
        <v>26</v>
      </c>
      <c r="D894" s="67">
        <v>0.32</v>
      </c>
      <c r="E894" s="67">
        <v>784</v>
      </c>
      <c r="F894" s="67">
        <f>E894*D894</f>
        <v>250.88</v>
      </c>
      <c r="G894" s="66" t="s">
        <v>822</v>
      </c>
      <c r="H894" s="298"/>
      <c r="I894" s="298"/>
    </row>
    <row r="895" spans="1:9">
      <c r="A895" s="491">
        <v>114</v>
      </c>
      <c r="B895" s="491"/>
      <c r="C895" s="484" t="s">
        <v>59</v>
      </c>
      <c r="D895" s="454"/>
      <c r="E895" s="450"/>
      <c r="F895" s="484"/>
      <c r="G895" s="450"/>
      <c r="H895" s="298"/>
      <c r="I895" s="298"/>
    </row>
    <row r="896" spans="1:9">
      <c r="A896" s="457"/>
      <c r="B896" s="457"/>
      <c r="C896" s="66" t="s">
        <v>26</v>
      </c>
      <c r="D896" s="67">
        <v>0.62</v>
      </c>
      <c r="E896" s="67">
        <v>645</v>
      </c>
      <c r="F896" s="67">
        <f>E896*D896</f>
        <v>399.9</v>
      </c>
      <c r="G896" s="66" t="s">
        <v>825</v>
      </c>
      <c r="H896" s="298"/>
      <c r="I896" s="298"/>
    </row>
    <row r="897" spans="1:9">
      <c r="A897" s="491">
        <v>100</v>
      </c>
      <c r="B897" s="491"/>
      <c r="C897" s="484" t="s">
        <v>1762</v>
      </c>
      <c r="D897" s="454"/>
      <c r="E897" s="450"/>
      <c r="F897" s="484"/>
      <c r="G897" s="450"/>
      <c r="H897" s="298"/>
      <c r="I897" s="298"/>
    </row>
    <row r="898" spans="1:9">
      <c r="A898" s="457"/>
      <c r="B898" s="457"/>
      <c r="C898" s="66" t="s">
        <v>26</v>
      </c>
      <c r="D898" s="67">
        <v>0.13</v>
      </c>
      <c r="E898" s="67">
        <v>714</v>
      </c>
      <c r="F898" s="67">
        <f>E898*D898</f>
        <v>92.820000000000007</v>
      </c>
      <c r="G898" s="66" t="s">
        <v>837</v>
      </c>
      <c r="H898" s="298"/>
      <c r="I898" s="298"/>
    </row>
    <row r="899" spans="1:9">
      <c r="A899" s="490" t="s">
        <v>847</v>
      </c>
      <c r="B899" s="454"/>
      <c r="C899" s="454"/>
      <c r="D899" s="454"/>
      <c r="E899" s="454"/>
      <c r="F899" s="450"/>
      <c r="G899" s="68" t="s">
        <v>820</v>
      </c>
      <c r="H899" s="298"/>
      <c r="I899" s="298"/>
    </row>
    <row r="900" spans="1:9">
      <c r="A900" s="491">
        <v>9999</v>
      </c>
      <c r="B900" s="491"/>
      <c r="C900" s="484" t="s">
        <v>1764</v>
      </c>
      <c r="D900" s="454"/>
      <c r="E900" s="450"/>
      <c r="F900" s="484"/>
      <c r="G900" s="450"/>
      <c r="H900" s="298"/>
      <c r="I900" s="298"/>
    </row>
    <row r="901" spans="1:9">
      <c r="A901" s="457"/>
      <c r="B901" s="457"/>
      <c r="C901" s="66" t="s">
        <v>62</v>
      </c>
      <c r="D901" s="67">
        <v>22.53</v>
      </c>
      <c r="E901" s="67">
        <v>2.12</v>
      </c>
      <c r="F901" s="67">
        <f>E901*D901</f>
        <v>47.763600000000004</v>
      </c>
      <c r="G901" s="66" t="s">
        <v>851</v>
      </c>
      <c r="H901" s="298"/>
      <c r="I901" s="298"/>
    </row>
    <row r="902" spans="1:9">
      <c r="A902" s="491">
        <v>9999</v>
      </c>
      <c r="B902" s="491"/>
      <c r="C902" s="484" t="s">
        <v>1736</v>
      </c>
      <c r="D902" s="454"/>
      <c r="E902" s="450"/>
      <c r="F902" s="484"/>
      <c r="G902" s="450"/>
      <c r="H902" s="298"/>
      <c r="I902" s="298"/>
    </row>
    <row r="903" spans="1:9">
      <c r="A903" s="457"/>
      <c r="B903" s="457"/>
      <c r="C903" s="66" t="s">
        <v>62</v>
      </c>
      <c r="D903" s="67">
        <v>10.27</v>
      </c>
      <c r="E903" s="67">
        <v>2.12</v>
      </c>
      <c r="F903" s="67">
        <f>E903*D903</f>
        <v>21.772400000000001</v>
      </c>
      <c r="G903" s="66" t="s">
        <v>854</v>
      </c>
      <c r="H903" s="298"/>
      <c r="I903" s="298"/>
    </row>
    <row r="904" spans="1:9">
      <c r="A904" s="491">
        <v>9999</v>
      </c>
      <c r="B904" s="491"/>
      <c r="C904" s="484" t="s">
        <v>1765</v>
      </c>
      <c r="D904" s="454"/>
      <c r="E904" s="450"/>
      <c r="F904" s="484"/>
      <c r="G904" s="450"/>
      <c r="H904" s="298"/>
      <c r="I904" s="298"/>
    </row>
    <row r="905" spans="1:9">
      <c r="A905" s="457"/>
      <c r="B905" s="457"/>
      <c r="C905" s="66" t="s">
        <v>62</v>
      </c>
      <c r="D905" s="67">
        <v>30.98</v>
      </c>
      <c r="E905" s="67">
        <v>2.12</v>
      </c>
      <c r="F905" s="67">
        <f>E905*D905</f>
        <v>65.677599999999998</v>
      </c>
      <c r="G905" s="66" t="s">
        <v>1768</v>
      </c>
      <c r="H905" s="298"/>
      <c r="I905" s="298"/>
    </row>
    <row r="906" spans="1:9">
      <c r="A906" s="492" t="s">
        <v>30</v>
      </c>
      <c r="B906" s="454"/>
      <c r="C906" s="450"/>
      <c r="D906" s="67">
        <v>10</v>
      </c>
      <c r="E906" s="70" t="s">
        <v>21</v>
      </c>
      <c r="F906" s="67">
        <f>F894+F896+F898+F901+F903+F905</f>
        <v>878.81359999999995</v>
      </c>
      <c r="G906" s="71"/>
      <c r="H906" s="298"/>
      <c r="I906" s="298"/>
    </row>
    <row r="907" spans="1:9">
      <c r="A907" s="492" t="s">
        <v>826</v>
      </c>
      <c r="B907" s="454"/>
      <c r="C907" s="450"/>
      <c r="D907" s="67">
        <v>1</v>
      </c>
      <c r="E907" s="70" t="s">
        <v>21</v>
      </c>
      <c r="F907" s="67">
        <f>F906/D906</f>
        <v>87.881360000000001</v>
      </c>
      <c r="G907" s="71"/>
      <c r="H907" s="298"/>
      <c r="I907" s="298"/>
    </row>
    <row r="908" spans="1:9">
      <c r="A908" s="493" t="s">
        <v>829</v>
      </c>
      <c r="B908" s="454"/>
      <c r="C908" s="454"/>
      <c r="D908" s="450"/>
      <c r="E908" s="67"/>
      <c r="F908" s="67">
        <f>F907*1%</f>
        <v>0.87881359999999997</v>
      </c>
      <c r="G908" s="71"/>
      <c r="H908" s="298"/>
      <c r="I908" s="298"/>
    </row>
    <row r="909" spans="1:9">
      <c r="A909" s="493" t="s">
        <v>30</v>
      </c>
      <c r="B909" s="454"/>
      <c r="C909" s="454"/>
      <c r="D909" s="450"/>
      <c r="E909" s="71"/>
      <c r="F909" s="67">
        <f>F907+F908</f>
        <v>88.760173600000002</v>
      </c>
      <c r="G909" s="71"/>
      <c r="H909" s="298"/>
      <c r="I909" s="298"/>
    </row>
    <row r="910" spans="1:9">
      <c r="A910" s="493" t="s">
        <v>836</v>
      </c>
      <c r="B910" s="454"/>
      <c r="C910" s="454"/>
      <c r="D910" s="450"/>
      <c r="E910" s="67"/>
      <c r="F910" s="67">
        <f>F909*15%</f>
        <v>13.31402604</v>
      </c>
      <c r="G910" s="71"/>
      <c r="H910" s="298"/>
      <c r="I910" s="298"/>
    </row>
    <row r="911" spans="1:9">
      <c r="A911" s="493" t="s">
        <v>30</v>
      </c>
      <c r="B911" s="454"/>
      <c r="C911" s="454"/>
      <c r="D911" s="450"/>
      <c r="E911" s="71"/>
      <c r="F911" s="191">
        <f>ROUND(F909+F910,2)</f>
        <v>102.07</v>
      </c>
      <c r="G911" s="71"/>
      <c r="H911" s="298"/>
      <c r="I911" s="298"/>
    </row>
    <row r="912" spans="1:9">
      <c r="A912" s="616" t="str">
        <f>CONCATENATE("Say ₹ ",F891," + ",F911," x Cost Index")</f>
        <v>Say ₹ 257.33 + 102.07 x Cost Index</v>
      </c>
      <c r="B912" s="454"/>
      <c r="C912" s="454"/>
      <c r="D912" s="454"/>
      <c r="E912" s="454"/>
      <c r="F912" s="450"/>
      <c r="G912" s="300" t="s">
        <v>1000</v>
      </c>
      <c r="H912" s="301">
        <f>F885*1.01*1.15/10</f>
        <v>257.33032500000002</v>
      </c>
      <c r="I912" s="301">
        <f>(F894+F896+F898+F901+F903+F905)*1.01*1.15/10</f>
        <v>102.07419963999999</v>
      </c>
    </row>
    <row r="913" spans="1:9">
      <c r="A913" s="486" t="s">
        <v>771</v>
      </c>
      <c r="B913" s="486" t="s">
        <v>776</v>
      </c>
      <c r="C913" s="487" t="s">
        <v>4</v>
      </c>
      <c r="D913" s="454"/>
      <c r="E913" s="450"/>
      <c r="F913" s="487" t="s">
        <v>785</v>
      </c>
      <c r="G913" s="450"/>
      <c r="H913" s="298"/>
      <c r="I913" s="298"/>
    </row>
    <row r="914" spans="1:9">
      <c r="A914" s="457"/>
      <c r="B914" s="457"/>
      <c r="C914" s="62" t="s">
        <v>5</v>
      </c>
      <c r="D914" s="62" t="s">
        <v>6</v>
      </c>
      <c r="E914" s="62" t="s">
        <v>336</v>
      </c>
      <c r="F914" s="62" t="s">
        <v>8</v>
      </c>
      <c r="G914" s="62" t="s">
        <v>789</v>
      </c>
      <c r="H914" s="298"/>
      <c r="I914" s="298"/>
    </row>
    <row r="915" spans="1:9">
      <c r="A915" s="617" t="s">
        <v>2364</v>
      </c>
      <c r="B915" s="454"/>
      <c r="C915" s="454"/>
      <c r="D915" s="454"/>
      <c r="E915" s="454"/>
      <c r="F915" s="454"/>
      <c r="G915" s="450"/>
      <c r="H915" s="298"/>
      <c r="I915" s="298"/>
    </row>
    <row r="916" spans="1:9">
      <c r="A916" s="65"/>
      <c r="B916" s="66" t="s">
        <v>795</v>
      </c>
      <c r="C916" s="66" t="s">
        <v>21</v>
      </c>
      <c r="D916" s="66" t="s">
        <v>798</v>
      </c>
      <c r="E916" s="67">
        <v>10</v>
      </c>
      <c r="F916" s="484"/>
      <c r="G916" s="450"/>
      <c r="H916" s="298"/>
      <c r="I916" s="298"/>
    </row>
    <row r="917" spans="1:9">
      <c r="A917" s="66" t="s">
        <v>800</v>
      </c>
      <c r="B917" s="484" t="s">
        <v>2075</v>
      </c>
      <c r="C917" s="454"/>
      <c r="D917" s="454"/>
      <c r="E917" s="454"/>
      <c r="F917" s="454"/>
      <c r="G917" s="450"/>
      <c r="H917" s="298"/>
      <c r="I917" s="298"/>
    </row>
    <row r="918" spans="1:9">
      <c r="A918" s="490" t="s">
        <v>802</v>
      </c>
      <c r="B918" s="454"/>
      <c r="C918" s="454"/>
      <c r="D918" s="454"/>
      <c r="E918" s="454"/>
      <c r="F918" s="450"/>
      <c r="G918" s="68" t="s">
        <v>803</v>
      </c>
      <c r="H918" s="298"/>
      <c r="I918" s="298"/>
    </row>
    <row r="919" spans="1:9">
      <c r="A919" s="491"/>
      <c r="B919" s="491" t="s">
        <v>571</v>
      </c>
      <c r="C919" s="484" t="s">
        <v>2367</v>
      </c>
      <c r="D919" s="454"/>
      <c r="E919" s="450"/>
      <c r="F919" s="484"/>
      <c r="G919" s="450"/>
      <c r="H919" s="298"/>
      <c r="I919" s="298"/>
    </row>
    <row r="920" spans="1:9">
      <c r="A920" s="457"/>
      <c r="B920" s="457"/>
      <c r="C920" s="66" t="s">
        <v>21</v>
      </c>
      <c r="D920" s="67">
        <v>10.5</v>
      </c>
      <c r="E920" s="67">
        <v>170</v>
      </c>
      <c r="F920" s="67">
        <f>E920*D920</f>
        <v>1785</v>
      </c>
      <c r="G920" s="66" t="s">
        <v>808</v>
      </c>
      <c r="H920" s="298"/>
      <c r="I920" s="298"/>
    </row>
    <row r="921" spans="1:9">
      <c r="A921" s="492" t="s">
        <v>30</v>
      </c>
      <c r="B921" s="454"/>
      <c r="C921" s="450"/>
      <c r="D921" s="67">
        <v>10</v>
      </c>
      <c r="E921" s="70" t="s">
        <v>21</v>
      </c>
      <c r="F921" s="67">
        <f>F920</f>
        <v>1785</v>
      </c>
      <c r="G921" s="66"/>
      <c r="H921" s="298"/>
      <c r="I921" s="298"/>
    </row>
    <row r="922" spans="1:9">
      <c r="A922" s="492" t="s">
        <v>826</v>
      </c>
      <c r="B922" s="454"/>
      <c r="C922" s="450"/>
      <c r="D922" s="67">
        <v>1</v>
      </c>
      <c r="E922" s="70" t="s">
        <v>21</v>
      </c>
      <c r="F922" s="67">
        <f>F921/D921</f>
        <v>178.5</v>
      </c>
      <c r="G922" s="66"/>
      <c r="H922" s="298"/>
      <c r="I922" s="298"/>
    </row>
    <row r="923" spans="1:9">
      <c r="A923" s="493" t="s">
        <v>829</v>
      </c>
      <c r="B923" s="454"/>
      <c r="C923" s="454"/>
      <c r="D923" s="450"/>
      <c r="E923" s="67"/>
      <c r="F923" s="67">
        <f>F922*1%</f>
        <v>1.7850000000000001</v>
      </c>
      <c r="G923" s="66"/>
      <c r="H923" s="298"/>
      <c r="I923" s="298"/>
    </row>
    <row r="924" spans="1:9">
      <c r="A924" s="493" t="s">
        <v>30</v>
      </c>
      <c r="B924" s="454"/>
      <c r="C924" s="454"/>
      <c r="D924" s="450"/>
      <c r="E924" s="71"/>
      <c r="F924" s="67">
        <f>F922+F923</f>
        <v>180.285</v>
      </c>
      <c r="G924" s="66"/>
      <c r="H924" s="298"/>
      <c r="I924" s="298"/>
    </row>
    <row r="925" spans="1:9">
      <c r="A925" s="493" t="s">
        <v>836</v>
      </c>
      <c r="B925" s="454"/>
      <c r="C925" s="454"/>
      <c r="D925" s="450"/>
      <c r="E925" s="67"/>
      <c r="F925" s="67">
        <f>F924*15%</f>
        <v>27.042749999999998</v>
      </c>
      <c r="G925" s="66"/>
      <c r="H925" s="298"/>
      <c r="I925" s="298"/>
    </row>
    <row r="926" spans="1:9">
      <c r="A926" s="493" t="s">
        <v>30</v>
      </c>
      <c r="B926" s="454"/>
      <c r="C926" s="454"/>
      <c r="D926" s="450"/>
      <c r="E926" s="71"/>
      <c r="F926" s="191">
        <f>ROUND(F924+F925,2)</f>
        <v>207.33</v>
      </c>
      <c r="G926" s="66"/>
      <c r="H926" s="298"/>
      <c r="I926" s="298"/>
    </row>
    <row r="927" spans="1:9">
      <c r="A927" s="490" t="s">
        <v>819</v>
      </c>
      <c r="B927" s="454"/>
      <c r="C927" s="454"/>
      <c r="D927" s="454"/>
      <c r="E927" s="454"/>
      <c r="F927" s="450"/>
      <c r="G927" s="68" t="s">
        <v>820</v>
      </c>
      <c r="H927" s="298"/>
      <c r="I927" s="298"/>
    </row>
    <row r="928" spans="1:9">
      <c r="A928" s="491">
        <v>116</v>
      </c>
      <c r="B928" s="491"/>
      <c r="C928" s="484" t="s">
        <v>527</v>
      </c>
      <c r="D928" s="454"/>
      <c r="E928" s="450"/>
      <c r="F928" s="484"/>
      <c r="G928" s="450"/>
      <c r="H928" s="298"/>
      <c r="I928" s="298"/>
    </row>
    <row r="929" spans="1:9">
      <c r="A929" s="457"/>
      <c r="B929" s="457"/>
      <c r="C929" s="66" t="s">
        <v>26</v>
      </c>
      <c r="D929" s="67">
        <v>0.32</v>
      </c>
      <c r="E929" s="67">
        <v>784</v>
      </c>
      <c r="F929" s="67">
        <f>E929*D929</f>
        <v>250.88</v>
      </c>
      <c r="G929" s="66" t="s">
        <v>822</v>
      </c>
      <c r="H929" s="298"/>
      <c r="I929" s="298"/>
    </row>
    <row r="930" spans="1:9">
      <c r="A930" s="491">
        <v>114</v>
      </c>
      <c r="B930" s="491"/>
      <c r="C930" s="484" t="s">
        <v>59</v>
      </c>
      <c r="D930" s="454"/>
      <c r="E930" s="450"/>
      <c r="F930" s="484"/>
      <c r="G930" s="450"/>
      <c r="H930" s="298"/>
      <c r="I930" s="298"/>
    </row>
    <row r="931" spans="1:9">
      <c r="A931" s="457"/>
      <c r="B931" s="457"/>
      <c r="C931" s="66" t="s">
        <v>26</v>
      </c>
      <c r="D931" s="67">
        <v>0.62</v>
      </c>
      <c r="E931" s="67">
        <v>645</v>
      </c>
      <c r="F931" s="67">
        <f>E931*D931</f>
        <v>399.9</v>
      </c>
      <c r="G931" s="66" t="s">
        <v>825</v>
      </c>
      <c r="H931" s="298"/>
      <c r="I931" s="298"/>
    </row>
    <row r="932" spans="1:9">
      <c r="A932" s="491">
        <v>100</v>
      </c>
      <c r="B932" s="491"/>
      <c r="C932" s="484" t="s">
        <v>1762</v>
      </c>
      <c r="D932" s="454"/>
      <c r="E932" s="450"/>
      <c r="F932" s="484"/>
      <c r="G932" s="450"/>
      <c r="H932" s="298"/>
      <c r="I932" s="298"/>
    </row>
    <row r="933" spans="1:9">
      <c r="A933" s="457"/>
      <c r="B933" s="457"/>
      <c r="C933" s="66" t="s">
        <v>26</v>
      </c>
      <c r="D933" s="67">
        <v>0.13</v>
      </c>
      <c r="E933" s="67">
        <v>714</v>
      </c>
      <c r="F933" s="67">
        <f>E933*D933</f>
        <v>92.820000000000007</v>
      </c>
      <c r="G933" s="66" t="s">
        <v>837</v>
      </c>
      <c r="H933" s="298"/>
      <c r="I933" s="298"/>
    </row>
    <row r="934" spans="1:9">
      <c r="A934" s="490" t="s">
        <v>847</v>
      </c>
      <c r="B934" s="454"/>
      <c r="C934" s="454"/>
      <c r="D934" s="454"/>
      <c r="E934" s="454"/>
      <c r="F934" s="450"/>
      <c r="G934" s="68" t="s">
        <v>820</v>
      </c>
      <c r="H934" s="298"/>
      <c r="I934" s="298"/>
    </row>
    <row r="935" spans="1:9">
      <c r="A935" s="491">
        <v>9999</v>
      </c>
      <c r="B935" s="491"/>
      <c r="C935" s="484" t="s">
        <v>1764</v>
      </c>
      <c r="D935" s="454"/>
      <c r="E935" s="450"/>
      <c r="F935" s="484"/>
      <c r="G935" s="450"/>
      <c r="H935" s="298"/>
      <c r="I935" s="298"/>
    </row>
    <row r="936" spans="1:9">
      <c r="A936" s="457"/>
      <c r="B936" s="457"/>
      <c r="C936" s="66" t="s">
        <v>62</v>
      </c>
      <c r="D936" s="67">
        <v>22.53</v>
      </c>
      <c r="E936" s="67">
        <v>2.12</v>
      </c>
      <c r="F936" s="67">
        <f>E936*D936</f>
        <v>47.763600000000004</v>
      </c>
      <c r="G936" s="66" t="s">
        <v>851</v>
      </c>
      <c r="H936" s="298"/>
      <c r="I936" s="298"/>
    </row>
    <row r="937" spans="1:9">
      <c r="A937" s="491">
        <v>9999</v>
      </c>
      <c r="B937" s="491"/>
      <c r="C937" s="484" t="s">
        <v>1624</v>
      </c>
      <c r="D937" s="454"/>
      <c r="E937" s="450"/>
      <c r="F937" s="484"/>
      <c r="G937" s="450"/>
      <c r="H937" s="298"/>
      <c r="I937" s="298"/>
    </row>
    <row r="938" spans="1:9">
      <c r="A938" s="457"/>
      <c r="B938" s="457"/>
      <c r="C938" s="66" t="s">
        <v>62</v>
      </c>
      <c r="D938" s="67">
        <v>10.27</v>
      </c>
      <c r="E938" s="67">
        <v>2.12</v>
      </c>
      <c r="F938" s="67">
        <f>E938*D938</f>
        <v>21.772400000000001</v>
      </c>
      <c r="G938" s="66" t="s">
        <v>854</v>
      </c>
      <c r="H938" s="298"/>
      <c r="I938" s="298"/>
    </row>
    <row r="939" spans="1:9">
      <c r="A939" s="491">
        <v>9999</v>
      </c>
      <c r="B939" s="491"/>
      <c r="C939" s="484" t="s">
        <v>1765</v>
      </c>
      <c r="D939" s="454"/>
      <c r="E939" s="450"/>
      <c r="F939" s="484"/>
      <c r="G939" s="450"/>
      <c r="H939" s="298"/>
      <c r="I939" s="298"/>
    </row>
    <row r="940" spans="1:9">
      <c r="A940" s="457"/>
      <c r="B940" s="457"/>
      <c r="C940" s="66" t="s">
        <v>62</v>
      </c>
      <c r="D940" s="67">
        <v>30.98</v>
      </c>
      <c r="E940" s="67">
        <v>2.12</v>
      </c>
      <c r="F940" s="67">
        <f>E940*D940</f>
        <v>65.677599999999998</v>
      </c>
      <c r="G940" s="66" t="s">
        <v>1768</v>
      </c>
      <c r="H940" s="298"/>
      <c r="I940" s="298"/>
    </row>
    <row r="941" spans="1:9">
      <c r="A941" s="492" t="s">
        <v>30</v>
      </c>
      <c r="B941" s="454"/>
      <c r="C941" s="450"/>
      <c r="D941" s="67">
        <v>10</v>
      </c>
      <c r="E941" s="70" t="s">
        <v>21</v>
      </c>
      <c r="F941" s="67">
        <f>F929+F931+F933+F936+F938+F940</f>
        <v>878.81359999999995</v>
      </c>
      <c r="G941" s="71"/>
      <c r="H941" s="298"/>
      <c r="I941" s="298"/>
    </row>
    <row r="942" spans="1:9">
      <c r="A942" s="492" t="s">
        <v>826</v>
      </c>
      <c r="B942" s="454"/>
      <c r="C942" s="450"/>
      <c r="D942" s="67">
        <v>1</v>
      </c>
      <c r="E942" s="70" t="s">
        <v>21</v>
      </c>
      <c r="F942" s="67">
        <f>F941/D941</f>
        <v>87.881360000000001</v>
      </c>
      <c r="G942" s="71"/>
      <c r="H942" s="298"/>
      <c r="I942" s="298"/>
    </row>
    <row r="943" spans="1:9">
      <c r="A943" s="493" t="s">
        <v>829</v>
      </c>
      <c r="B943" s="454"/>
      <c r="C943" s="454"/>
      <c r="D943" s="450"/>
      <c r="E943" s="67"/>
      <c r="F943" s="67">
        <f>F942*1%</f>
        <v>0.87881359999999997</v>
      </c>
      <c r="G943" s="71"/>
      <c r="H943" s="298"/>
      <c r="I943" s="298"/>
    </row>
    <row r="944" spans="1:9">
      <c r="A944" s="493" t="s">
        <v>30</v>
      </c>
      <c r="B944" s="454"/>
      <c r="C944" s="454"/>
      <c r="D944" s="450"/>
      <c r="E944" s="71"/>
      <c r="F944" s="67">
        <f>F942+F943</f>
        <v>88.760173600000002</v>
      </c>
      <c r="G944" s="71"/>
      <c r="H944" s="298"/>
      <c r="I944" s="298"/>
    </row>
    <row r="945" spans="1:9">
      <c r="A945" s="493" t="s">
        <v>836</v>
      </c>
      <c r="B945" s="454"/>
      <c r="C945" s="454"/>
      <c r="D945" s="450"/>
      <c r="E945" s="67"/>
      <c r="F945" s="67">
        <f>F944*15%</f>
        <v>13.31402604</v>
      </c>
      <c r="G945" s="71"/>
      <c r="H945" s="298"/>
      <c r="I945" s="298"/>
    </row>
    <row r="946" spans="1:9">
      <c r="A946" s="493" t="s">
        <v>30</v>
      </c>
      <c r="B946" s="454"/>
      <c r="C946" s="454"/>
      <c r="D946" s="450"/>
      <c r="E946" s="71"/>
      <c r="F946" s="191">
        <f>ROUND(F944+F945,2)</f>
        <v>102.07</v>
      </c>
      <c r="G946" s="71"/>
      <c r="H946" s="298"/>
      <c r="I946" s="298"/>
    </row>
    <row r="947" spans="1:9">
      <c r="A947" s="616" t="str">
        <f>CONCATENATE("Say ₹ ",F926," + ",F946," x Cost Index")</f>
        <v>Say ₹ 207.33 + 102.07 x Cost Index</v>
      </c>
      <c r="B947" s="454"/>
      <c r="C947" s="454"/>
      <c r="D947" s="454"/>
      <c r="E947" s="454"/>
      <c r="F947" s="450"/>
      <c r="G947" s="300" t="s">
        <v>1000</v>
      </c>
      <c r="H947" s="301">
        <f>F920*1.01*1.15/10</f>
        <v>207.32774999999998</v>
      </c>
      <c r="I947" s="301">
        <f>(F929+F931+F933+F936+F938+F940)*1.01*1.15/10</f>
        <v>102.07419963999999</v>
      </c>
    </row>
  </sheetData>
  <mergeCells count="1343">
    <mergeCell ref="A663:A664"/>
    <mergeCell ref="B663:B664"/>
    <mergeCell ref="C663:E663"/>
    <mergeCell ref="F663:G663"/>
    <mergeCell ref="A665:C665"/>
    <mergeCell ref="A666:C666"/>
    <mergeCell ref="A667:D667"/>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99:A400"/>
    <mergeCell ref="B399:B400"/>
    <mergeCell ref="C399:E399"/>
    <mergeCell ref="F399:G399"/>
    <mergeCell ref="A401:C401"/>
    <mergeCell ref="A402:C402"/>
    <mergeCell ref="A403:D403"/>
    <mergeCell ref="C414:E414"/>
    <mergeCell ref="F414:G41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64:A265"/>
    <mergeCell ref="B264:B265"/>
    <mergeCell ref="A266:A267"/>
    <mergeCell ref="B266:B267"/>
    <mergeCell ref="A268:A269"/>
    <mergeCell ref="B268:B269"/>
    <mergeCell ref="A271:A272"/>
    <mergeCell ref="B271:B272"/>
    <mergeCell ref="C271:E271"/>
    <mergeCell ref="F271:G271"/>
    <mergeCell ref="A273:C273"/>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280:A281"/>
    <mergeCell ref="B280:B281"/>
    <mergeCell ref="F280:G280"/>
    <mergeCell ref="C286:E286"/>
    <mergeCell ref="F286:G286"/>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255:A256"/>
    <mergeCell ref="A274:C274"/>
    <mergeCell ref="A275:D275"/>
    <mergeCell ref="A276:D276"/>
    <mergeCell ref="A277:D277"/>
    <mergeCell ref="A278:D278"/>
    <mergeCell ref="A279:F279"/>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C235:E235"/>
    <mergeCell ref="F235:G235"/>
    <mergeCell ref="A232:F232"/>
    <mergeCell ref="A233:A234"/>
    <mergeCell ref="B233:B234"/>
    <mergeCell ref="C233:E233"/>
    <mergeCell ref="F233:G233"/>
    <mergeCell ref="A235:A236"/>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6:A207"/>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B125:B126"/>
    <mergeCell ref="F125:G125"/>
    <mergeCell ref="C131:E131"/>
    <mergeCell ref="F131:G131"/>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836:C836"/>
    <mergeCell ref="A837:C837"/>
    <mergeCell ref="C865:E865"/>
    <mergeCell ref="F865:G865"/>
    <mergeCell ref="A862:A863"/>
    <mergeCell ref="B862:B863"/>
    <mergeCell ref="C862:E862"/>
    <mergeCell ref="F862:G862"/>
    <mergeCell ref="A864:F864"/>
    <mergeCell ref="A865:A866"/>
    <mergeCell ref="B865:B866"/>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C860:E860"/>
    <mergeCell ref="F860:G860"/>
    <mergeCell ref="A857:F857"/>
    <mergeCell ref="A858:A859"/>
    <mergeCell ref="B858:B859"/>
    <mergeCell ref="C858:E858"/>
    <mergeCell ref="F858:G858"/>
    <mergeCell ref="A860:A861"/>
    <mergeCell ref="B860:B861"/>
    <mergeCell ref="A790:A791"/>
    <mergeCell ref="B790:B791"/>
    <mergeCell ref="C790:E79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70"/>
  <sheetViews>
    <sheetView workbookViewId="0"/>
  </sheetViews>
  <sheetFormatPr defaultColWidth="14.453125" defaultRowHeight="15" customHeight="1"/>
  <cols>
    <col min="8" max="9" width="14.453125" hidden="1"/>
  </cols>
  <sheetData>
    <row r="1" spans="1:9">
      <c r="A1" s="486" t="s">
        <v>771</v>
      </c>
      <c r="B1" s="486" t="s">
        <v>776</v>
      </c>
      <c r="C1" s="487" t="s">
        <v>4</v>
      </c>
      <c r="D1" s="454"/>
      <c r="E1" s="450"/>
      <c r="F1" s="487" t="s">
        <v>785</v>
      </c>
      <c r="G1" s="450"/>
      <c r="H1" s="298"/>
      <c r="I1" s="298"/>
    </row>
    <row r="2" spans="1:9">
      <c r="A2" s="457"/>
      <c r="B2" s="457"/>
      <c r="C2" s="62" t="s">
        <v>5</v>
      </c>
      <c r="D2" s="62" t="s">
        <v>6</v>
      </c>
      <c r="E2" s="62" t="s">
        <v>336</v>
      </c>
      <c r="F2" s="62" t="s">
        <v>8</v>
      </c>
      <c r="G2" s="62" t="s">
        <v>789</v>
      </c>
      <c r="H2" s="298"/>
      <c r="I2" s="298"/>
    </row>
    <row r="3" spans="1:9">
      <c r="A3" s="617" t="s">
        <v>1756</v>
      </c>
      <c r="B3" s="454"/>
      <c r="C3" s="454"/>
      <c r="D3" s="454"/>
      <c r="E3" s="454"/>
      <c r="F3" s="454"/>
      <c r="G3" s="450"/>
      <c r="H3" s="298"/>
      <c r="I3" s="298"/>
    </row>
    <row r="4" spans="1:9">
      <c r="A4" s="65"/>
      <c r="B4" s="66" t="s">
        <v>795</v>
      </c>
      <c r="C4" s="66" t="s">
        <v>21</v>
      </c>
      <c r="D4" s="66" t="s">
        <v>798</v>
      </c>
      <c r="E4" s="67">
        <v>10</v>
      </c>
      <c r="F4" s="484"/>
      <c r="G4" s="450"/>
      <c r="H4" s="298"/>
      <c r="I4" s="298"/>
    </row>
    <row r="5" spans="1:9">
      <c r="A5" s="66" t="s">
        <v>800</v>
      </c>
      <c r="B5" s="484" t="s">
        <v>1757</v>
      </c>
      <c r="C5" s="454"/>
      <c r="D5" s="454"/>
      <c r="E5" s="454"/>
      <c r="F5" s="454"/>
      <c r="G5" s="450"/>
      <c r="H5" s="298"/>
      <c r="I5" s="298"/>
    </row>
    <row r="6" spans="1:9">
      <c r="A6" s="490" t="s">
        <v>802</v>
      </c>
      <c r="B6" s="454"/>
      <c r="C6" s="454"/>
      <c r="D6" s="454"/>
      <c r="E6" s="454"/>
      <c r="F6" s="450"/>
      <c r="G6" s="68" t="s">
        <v>803</v>
      </c>
      <c r="H6" s="298"/>
      <c r="I6" s="298"/>
    </row>
    <row r="7" spans="1:9">
      <c r="A7" s="491"/>
      <c r="B7" s="491" t="s">
        <v>19</v>
      </c>
      <c r="C7" s="484" t="s">
        <v>1761</v>
      </c>
      <c r="D7" s="454"/>
      <c r="E7" s="450"/>
      <c r="F7" s="484"/>
      <c r="G7" s="450"/>
      <c r="H7" s="298"/>
      <c r="I7" s="298"/>
    </row>
    <row r="8" spans="1:9">
      <c r="A8" s="457"/>
      <c r="B8" s="457"/>
      <c r="C8" s="66" t="s">
        <v>21</v>
      </c>
      <c r="D8" s="67">
        <v>10.5</v>
      </c>
      <c r="E8" s="283">
        <f t="array" ref="E8">IFERROR(INDEX(LMRRates,MATCH(B7,LMRCodes,0), ), )</f>
        <v>281</v>
      </c>
      <c r="F8" s="67">
        <f>E8*D8</f>
        <v>2950.5</v>
      </c>
      <c r="G8" s="66" t="s">
        <v>808</v>
      </c>
      <c r="H8" s="298"/>
      <c r="I8" s="298"/>
    </row>
    <row r="9" spans="1:9">
      <c r="A9" s="492" t="s">
        <v>30</v>
      </c>
      <c r="B9" s="454"/>
      <c r="C9" s="450"/>
      <c r="D9" s="67">
        <v>10</v>
      </c>
      <c r="E9" s="70" t="s">
        <v>21</v>
      </c>
      <c r="F9" s="67">
        <f>F8</f>
        <v>2950.5</v>
      </c>
      <c r="G9" s="66"/>
      <c r="H9" s="298"/>
      <c r="I9" s="298"/>
    </row>
    <row r="10" spans="1:9">
      <c r="A10" s="492" t="s">
        <v>826</v>
      </c>
      <c r="B10" s="454"/>
      <c r="C10" s="450"/>
      <c r="D10" s="67">
        <v>1</v>
      </c>
      <c r="E10" s="70" t="s">
        <v>21</v>
      </c>
      <c r="F10" s="67">
        <f>F9/D9</f>
        <v>295.05</v>
      </c>
      <c r="G10" s="66"/>
      <c r="H10" s="298"/>
      <c r="I10" s="298"/>
    </row>
    <row r="11" spans="1:9">
      <c r="A11" s="493" t="s">
        <v>829</v>
      </c>
      <c r="B11" s="454"/>
      <c r="C11" s="454"/>
      <c r="D11" s="450"/>
      <c r="E11" s="67"/>
      <c r="F11" s="67">
        <f>F10*1%</f>
        <v>2.9505000000000003</v>
      </c>
      <c r="G11" s="66"/>
      <c r="H11" s="298"/>
      <c r="I11" s="298"/>
    </row>
    <row r="12" spans="1:9">
      <c r="A12" s="493" t="s">
        <v>30</v>
      </c>
      <c r="B12" s="454"/>
      <c r="C12" s="454"/>
      <c r="D12" s="450"/>
      <c r="E12" s="71"/>
      <c r="F12" s="67">
        <f>F10+F11</f>
        <v>298.00049999999999</v>
      </c>
      <c r="G12" s="66"/>
      <c r="H12" s="298"/>
      <c r="I12" s="298"/>
    </row>
    <row r="13" spans="1:9">
      <c r="A13" s="493" t="s">
        <v>836</v>
      </c>
      <c r="B13" s="454"/>
      <c r="C13" s="454"/>
      <c r="D13" s="450"/>
      <c r="E13" s="67"/>
      <c r="F13" s="67">
        <f>F12*15%</f>
        <v>44.700074999999998</v>
      </c>
      <c r="G13" s="66"/>
      <c r="H13" s="298"/>
      <c r="I13" s="298"/>
    </row>
    <row r="14" spans="1:9">
      <c r="A14" s="493" t="s">
        <v>30</v>
      </c>
      <c r="B14" s="454"/>
      <c r="C14" s="454"/>
      <c r="D14" s="450"/>
      <c r="E14" s="71"/>
      <c r="F14" s="191">
        <f>ROUND(F12+F13,2)</f>
        <v>342.7</v>
      </c>
      <c r="G14" s="66"/>
      <c r="H14" s="298"/>
      <c r="I14" s="298"/>
    </row>
    <row r="15" spans="1:9">
      <c r="A15" s="490" t="s">
        <v>819</v>
      </c>
      <c r="B15" s="454"/>
      <c r="C15" s="454"/>
      <c r="D15" s="454"/>
      <c r="E15" s="454"/>
      <c r="F15" s="450"/>
      <c r="G15" s="68" t="s">
        <v>820</v>
      </c>
      <c r="H15" s="298"/>
      <c r="I15" s="298"/>
    </row>
    <row r="16" spans="1:9">
      <c r="A16" s="491">
        <v>116</v>
      </c>
      <c r="B16" s="491"/>
      <c r="C16" s="484" t="s">
        <v>527</v>
      </c>
      <c r="D16" s="454"/>
      <c r="E16" s="450"/>
      <c r="F16" s="484"/>
      <c r="G16" s="450"/>
      <c r="H16" s="298"/>
      <c r="I16" s="298"/>
    </row>
    <row r="17" spans="1:9">
      <c r="A17" s="457"/>
      <c r="B17" s="457"/>
      <c r="C17" s="66" t="s">
        <v>26</v>
      </c>
      <c r="D17" s="67">
        <v>0.35</v>
      </c>
      <c r="E17" s="67">
        <v>784</v>
      </c>
      <c r="F17" s="67">
        <f>E17*D17</f>
        <v>274.39999999999998</v>
      </c>
      <c r="G17" s="66" t="s">
        <v>822</v>
      </c>
      <c r="H17" s="298"/>
      <c r="I17" s="298"/>
    </row>
    <row r="18" spans="1:9">
      <c r="A18" s="491">
        <v>114</v>
      </c>
      <c r="B18" s="491"/>
      <c r="C18" s="484" t="s">
        <v>59</v>
      </c>
      <c r="D18" s="454"/>
      <c r="E18" s="450"/>
      <c r="F18" s="484"/>
      <c r="G18" s="450"/>
      <c r="H18" s="298"/>
      <c r="I18" s="298"/>
    </row>
    <row r="19" spans="1:9">
      <c r="A19" s="457"/>
      <c r="B19" s="457"/>
      <c r="C19" s="66" t="s">
        <v>26</v>
      </c>
      <c r="D19" s="67">
        <v>0.65</v>
      </c>
      <c r="E19" s="67">
        <v>645</v>
      </c>
      <c r="F19" s="67">
        <f>E19*D19</f>
        <v>419.25</v>
      </c>
      <c r="G19" s="66" t="s">
        <v>825</v>
      </c>
      <c r="H19" s="298"/>
      <c r="I19" s="298"/>
    </row>
    <row r="20" spans="1:9">
      <c r="A20" s="491">
        <v>100</v>
      </c>
      <c r="B20" s="491"/>
      <c r="C20" s="484" t="s">
        <v>1762</v>
      </c>
      <c r="D20" s="454"/>
      <c r="E20" s="450"/>
      <c r="F20" s="484"/>
      <c r="G20" s="450"/>
      <c r="H20" s="298"/>
      <c r="I20" s="298"/>
    </row>
    <row r="21" spans="1:9">
      <c r="A21" s="457"/>
      <c r="B21" s="457"/>
      <c r="C21" s="66" t="s">
        <v>26</v>
      </c>
      <c r="D21" s="67">
        <v>0.15</v>
      </c>
      <c r="E21" s="67">
        <v>714</v>
      </c>
      <c r="F21" s="67">
        <f>E21*D21</f>
        <v>107.1</v>
      </c>
      <c r="G21" s="66" t="s">
        <v>837</v>
      </c>
      <c r="H21" s="298"/>
      <c r="I21" s="298"/>
    </row>
    <row r="22" spans="1:9">
      <c r="A22" s="490" t="s">
        <v>847</v>
      </c>
      <c r="B22" s="454"/>
      <c r="C22" s="454"/>
      <c r="D22" s="454"/>
      <c r="E22" s="454"/>
      <c r="F22" s="450"/>
      <c r="G22" s="68" t="s">
        <v>820</v>
      </c>
      <c r="H22" s="298"/>
      <c r="I22" s="298"/>
    </row>
    <row r="23" spans="1:9">
      <c r="A23" s="491">
        <v>9999</v>
      </c>
      <c r="B23" s="491"/>
      <c r="C23" s="484" t="s">
        <v>1764</v>
      </c>
      <c r="D23" s="454"/>
      <c r="E23" s="450"/>
      <c r="F23" s="484"/>
      <c r="G23" s="450"/>
      <c r="H23" s="298"/>
      <c r="I23" s="298"/>
    </row>
    <row r="24" spans="1:9">
      <c r="A24" s="457"/>
      <c r="B24" s="457"/>
      <c r="C24" s="66" t="s">
        <v>62</v>
      </c>
      <c r="D24" s="67">
        <v>22.53</v>
      </c>
      <c r="E24" s="67">
        <v>2.12</v>
      </c>
      <c r="F24" s="67">
        <f>E24*D24</f>
        <v>47.763600000000004</v>
      </c>
      <c r="G24" s="66" t="s">
        <v>851</v>
      </c>
      <c r="H24" s="298"/>
      <c r="I24" s="298"/>
    </row>
    <row r="25" spans="1:9">
      <c r="A25" s="491">
        <v>9999</v>
      </c>
      <c r="B25" s="491"/>
      <c r="C25" s="484" t="s">
        <v>1736</v>
      </c>
      <c r="D25" s="454"/>
      <c r="E25" s="450"/>
      <c r="F25" s="484"/>
      <c r="G25" s="450"/>
      <c r="H25" s="298"/>
      <c r="I25" s="298"/>
    </row>
    <row r="26" spans="1:9">
      <c r="A26" s="457"/>
      <c r="B26" s="457"/>
      <c r="C26" s="66" t="s">
        <v>62</v>
      </c>
      <c r="D26" s="67">
        <v>10.27</v>
      </c>
      <c r="E26" s="67">
        <v>2.12</v>
      </c>
      <c r="F26" s="67">
        <f>E26*D26</f>
        <v>21.772400000000001</v>
      </c>
      <c r="G26" s="66" t="s">
        <v>854</v>
      </c>
      <c r="H26" s="298"/>
      <c r="I26" s="298"/>
    </row>
    <row r="27" spans="1:9">
      <c r="A27" s="491">
        <v>9999</v>
      </c>
      <c r="B27" s="491"/>
      <c r="C27" s="484" t="s">
        <v>1765</v>
      </c>
      <c r="D27" s="454"/>
      <c r="E27" s="450"/>
      <c r="F27" s="484"/>
      <c r="G27" s="450"/>
      <c r="H27" s="298"/>
      <c r="I27" s="298"/>
    </row>
    <row r="28" spans="1:9">
      <c r="A28" s="457"/>
      <c r="B28" s="457"/>
      <c r="C28" s="66" t="s">
        <v>62</v>
      </c>
      <c r="D28" s="67">
        <v>30.98</v>
      </c>
      <c r="E28" s="67">
        <v>2.12</v>
      </c>
      <c r="F28" s="67">
        <f>E28*D28</f>
        <v>65.677599999999998</v>
      </c>
      <c r="G28" s="66" t="s">
        <v>1768</v>
      </c>
      <c r="H28" s="298"/>
      <c r="I28" s="298"/>
    </row>
    <row r="29" spans="1:9">
      <c r="A29" s="492" t="s">
        <v>30</v>
      </c>
      <c r="B29" s="454"/>
      <c r="C29" s="450"/>
      <c r="D29" s="67">
        <v>10</v>
      </c>
      <c r="E29" s="70" t="s">
        <v>21</v>
      </c>
      <c r="F29" s="67">
        <f>F17+F19+F21+F24+F26+F28</f>
        <v>935.96359999999993</v>
      </c>
      <c r="G29" s="71"/>
      <c r="H29" s="298"/>
      <c r="I29" s="298"/>
    </row>
    <row r="30" spans="1:9">
      <c r="A30" s="492" t="s">
        <v>826</v>
      </c>
      <c r="B30" s="454"/>
      <c r="C30" s="450"/>
      <c r="D30" s="67">
        <v>1</v>
      </c>
      <c r="E30" s="70" t="s">
        <v>21</v>
      </c>
      <c r="F30" s="67">
        <f>F29/D29</f>
        <v>93.59635999999999</v>
      </c>
      <c r="G30" s="71"/>
      <c r="H30" s="298"/>
      <c r="I30" s="298"/>
    </row>
    <row r="31" spans="1:9">
      <c r="A31" s="493" t="s">
        <v>829</v>
      </c>
      <c r="B31" s="454"/>
      <c r="C31" s="454"/>
      <c r="D31" s="450"/>
      <c r="E31" s="67"/>
      <c r="F31" s="67">
        <f>F30*1%</f>
        <v>0.9359635999999999</v>
      </c>
      <c r="G31" s="71"/>
      <c r="H31" s="298"/>
      <c r="I31" s="298"/>
    </row>
    <row r="32" spans="1:9">
      <c r="A32" s="493" t="s">
        <v>30</v>
      </c>
      <c r="B32" s="454"/>
      <c r="C32" s="454"/>
      <c r="D32" s="450"/>
      <c r="E32" s="71"/>
      <c r="F32" s="67">
        <f>F30+F31</f>
        <v>94.532323599999984</v>
      </c>
      <c r="G32" s="71"/>
      <c r="H32" s="298"/>
      <c r="I32" s="298"/>
    </row>
    <row r="33" spans="1:9">
      <c r="A33" s="493" t="s">
        <v>836</v>
      </c>
      <c r="B33" s="454"/>
      <c r="C33" s="454"/>
      <c r="D33" s="450"/>
      <c r="E33" s="67"/>
      <c r="F33" s="67">
        <f>F32*15%</f>
        <v>14.179848539999997</v>
      </c>
      <c r="G33" s="71"/>
      <c r="H33" s="298"/>
      <c r="I33" s="298"/>
    </row>
    <row r="34" spans="1:9">
      <c r="A34" s="493" t="s">
        <v>30</v>
      </c>
      <c r="B34" s="454"/>
      <c r="C34" s="454"/>
      <c r="D34" s="450"/>
      <c r="E34" s="71"/>
      <c r="F34" s="191">
        <f>ROUND(F32+F33,2)</f>
        <v>108.71</v>
      </c>
      <c r="G34" s="71"/>
      <c r="H34" s="298"/>
      <c r="I34" s="298"/>
    </row>
    <row r="35" spans="1:9">
      <c r="A35" s="616" t="str">
        <f>CONCATENATE("Say ₹ ",F14," + ",F34," x Cost Index")</f>
        <v>Say ₹ 342.7 + 108.71 x Cost Index</v>
      </c>
      <c r="B35" s="454"/>
      <c r="C35" s="454"/>
      <c r="D35" s="454"/>
      <c r="E35" s="454"/>
      <c r="F35" s="450"/>
      <c r="G35" s="300" t="s">
        <v>1000</v>
      </c>
      <c r="H35" s="301">
        <f>F8*1.01*1.15/10</f>
        <v>342.70057499999996</v>
      </c>
      <c r="I35" s="301">
        <f>(F17+F19+F21+F24+F26+F28)*1.01*1.15/10</f>
        <v>108.71217213999998</v>
      </c>
    </row>
    <row r="36" spans="1:9">
      <c r="A36" s="486" t="s">
        <v>771</v>
      </c>
      <c r="B36" s="486" t="s">
        <v>776</v>
      </c>
      <c r="C36" s="487" t="s">
        <v>4</v>
      </c>
      <c r="D36" s="454"/>
      <c r="E36" s="450"/>
      <c r="F36" s="487" t="s">
        <v>785</v>
      </c>
      <c r="G36" s="450"/>
      <c r="H36" s="298"/>
      <c r="I36" s="298"/>
    </row>
    <row r="37" spans="1:9">
      <c r="A37" s="457"/>
      <c r="B37" s="457"/>
      <c r="C37" s="62" t="s">
        <v>5</v>
      </c>
      <c r="D37" s="62" t="s">
        <v>6</v>
      </c>
      <c r="E37" s="62" t="s">
        <v>336</v>
      </c>
      <c r="F37" s="62" t="s">
        <v>8</v>
      </c>
      <c r="G37" s="62" t="s">
        <v>789</v>
      </c>
      <c r="H37" s="298"/>
      <c r="I37" s="298"/>
    </row>
    <row r="38" spans="1:9">
      <c r="A38" s="617" t="s">
        <v>1771</v>
      </c>
      <c r="B38" s="454"/>
      <c r="C38" s="454"/>
      <c r="D38" s="454"/>
      <c r="E38" s="454"/>
      <c r="F38" s="454"/>
      <c r="G38" s="450"/>
      <c r="H38" s="298"/>
      <c r="I38" s="298"/>
    </row>
    <row r="39" spans="1:9">
      <c r="A39" s="65"/>
      <c r="B39" s="66" t="s">
        <v>795</v>
      </c>
      <c r="C39" s="66" t="s">
        <v>21</v>
      </c>
      <c r="D39" s="66" t="s">
        <v>798</v>
      </c>
      <c r="E39" s="67">
        <v>10</v>
      </c>
      <c r="F39" s="484"/>
      <c r="G39" s="450"/>
      <c r="H39" s="298"/>
      <c r="I39" s="298"/>
    </row>
    <row r="40" spans="1:9">
      <c r="A40" s="66" t="s">
        <v>800</v>
      </c>
      <c r="B40" s="484" t="s">
        <v>1757</v>
      </c>
      <c r="C40" s="454"/>
      <c r="D40" s="454"/>
      <c r="E40" s="454"/>
      <c r="F40" s="454"/>
      <c r="G40" s="450"/>
      <c r="H40" s="298"/>
      <c r="I40" s="298"/>
    </row>
    <row r="41" spans="1:9">
      <c r="A41" s="490" t="s">
        <v>802</v>
      </c>
      <c r="B41" s="454"/>
      <c r="C41" s="454"/>
      <c r="D41" s="454"/>
      <c r="E41" s="454"/>
      <c r="F41" s="450"/>
      <c r="G41" s="68" t="s">
        <v>803</v>
      </c>
      <c r="H41" s="298"/>
      <c r="I41" s="298"/>
    </row>
    <row r="42" spans="1:9">
      <c r="A42" s="491"/>
      <c r="B42" s="491" t="s">
        <v>1772</v>
      </c>
      <c r="C42" s="484" t="s">
        <v>1773</v>
      </c>
      <c r="D42" s="454"/>
      <c r="E42" s="450"/>
      <c r="F42" s="484"/>
      <c r="G42" s="450"/>
      <c r="H42" s="298"/>
      <c r="I42" s="298"/>
    </row>
    <row r="43" spans="1:9">
      <c r="A43" s="457"/>
      <c r="B43" s="457"/>
      <c r="C43" s="66" t="s">
        <v>21</v>
      </c>
      <c r="D43" s="67">
        <v>10.5</v>
      </c>
      <c r="E43" s="283">
        <f t="array" ref="E43">IFERROR(INDEX(LMRRates,MATCH(B42,LMRCodes,0), ), )</f>
        <v>128</v>
      </c>
      <c r="F43" s="67">
        <f>E43*D43</f>
        <v>1344</v>
      </c>
      <c r="G43" s="66" t="s">
        <v>808</v>
      </c>
      <c r="H43" s="298"/>
      <c r="I43" s="298"/>
    </row>
    <row r="44" spans="1:9">
      <c r="A44" s="492" t="s">
        <v>30</v>
      </c>
      <c r="B44" s="454"/>
      <c r="C44" s="450"/>
      <c r="D44" s="67">
        <v>10</v>
      </c>
      <c r="E44" s="70" t="s">
        <v>21</v>
      </c>
      <c r="F44" s="67">
        <f>F43</f>
        <v>1344</v>
      </c>
      <c r="G44" s="66"/>
      <c r="H44" s="298"/>
      <c r="I44" s="298"/>
    </row>
    <row r="45" spans="1:9">
      <c r="A45" s="492" t="s">
        <v>826</v>
      </c>
      <c r="B45" s="454"/>
      <c r="C45" s="450"/>
      <c r="D45" s="67">
        <v>1</v>
      </c>
      <c r="E45" s="70" t="s">
        <v>21</v>
      </c>
      <c r="F45" s="67">
        <f>F44/D44</f>
        <v>134.4</v>
      </c>
      <c r="G45" s="66"/>
      <c r="H45" s="298"/>
      <c r="I45" s="298"/>
    </row>
    <row r="46" spans="1:9">
      <c r="A46" s="493" t="s">
        <v>829</v>
      </c>
      <c r="B46" s="454"/>
      <c r="C46" s="454"/>
      <c r="D46" s="450"/>
      <c r="E46" s="67"/>
      <c r="F46" s="67">
        <f>F45*1%</f>
        <v>1.3440000000000001</v>
      </c>
      <c r="G46" s="66"/>
      <c r="H46" s="298"/>
      <c r="I46" s="298"/>
    </row>
    <row r="47" spans="1:9">
      <c r="A47" s="493" t="s">
        <v>30</v>
      </c>
      <c r="B47" s="454"/>
      <c r="C47" s="454"/>
      <c r="D47" s="450"/>
      <c r="E47" s="71"/>
      <c r="F47" s="67">
        <f>F45+F46</f>
        <v>135.744</v>
      </c>
      <c r="G47" s="66"/>
      <c r="H47" s="298"/>
      <c r="I47" s="298"/>
    </row>
    <row r="48" spans="1:9">
      <c r="A48" s="493" t="s">
        <v>836</v>
      </c>
      <c r="B48" s="454"/>
      <c r="C48" s="454"/>
      <c r="D48" s="450"/>
      <c r="E48" s="67"/>
      <c r="F48" s="67">
        <f>F47*15%</f>
        <v>20.361599999999999</v>
      </c>
      <c r="G48" s="66"/>
      <c r="H48" s="298"/>
      <c r="I48" s="298"/>
    </row>
    <row r="49" spans="1:9">
      <c r="A49" s="493" t="s">
        <v>30</v>
      </c>
      <c r="B49" s="454"/>
      <c r="C49" s="454"/>
      <c r="D49" s="450"/>
      <c r="E49" s="71"/>
      <c r="F49" s="191">
        <f>ROUND(F47+F48,2)</f>
        <v>156.11000000000001</v>
      </c>
      <c r="G49" s="66"/>
      <c r="H49" s="298"/>
      <c r="I49" s="298"/>
    </row>
    <row r="50" spans="1:9">
      <c r="A50" s="490" t="s">
        <v>819</v>
      </c>
      <c r="B50" s="454"/>
      <c r="C50" s="454"/>
      <c r="D50" s="454"/>
      <c r="E50" s="454"/>
      <c r="F50" s="450"/>
      <c r="G50" s="68" t="s">
        <v>820</v>
      </c>
      <c r="H50" s="298"/>
      <c r="I50" s="298"/>
    </row>
    <row r="51" spans="1:9">
      <c r="A51" s="491">
        <v>116</v>
      </c>
      <c r="B51" s="491"/>
      <c r="C51" s="484" t="s">
        <v>527</v>
      </c>
      <c r="D51" s="454"/>
      <c r="E51" s="450"/>
      <c r="F51" s="484"/>
      <c r="G51" s="450"/>
      <c r="H51" s="298"/>
      <c r="I51" s="298"/>
    </row>
    <row r="52" spans="1:9">
      <c r="A52" s="457"/>
      <c r="B52" s="457"/>
      <c r="C52" s="66" t="s">
        <v>26</v>
      </c>
      <c r="D52" s="67">
        <v>0.32</v>
      </c>
      <c r="E52" s="67">
        <v>784</v>
      </c>
      <c r="F52" s="67">
        <f>E52*D52</f>
        <v>250.88</v>
      </c>
      <c r="G52" s="66" t="s">
        <v>822</v>
      </c>
      <c r="H52" s="298"/>
      <c r="I52" s="298"/>
    </row>
    <row r="53" spans="1:9">
      <c r="A53" s="491">
        <v>114</v>
      </c>
      <c r="B53" s="491"/>
      <c r="C53" s="484" t="s">
        <v>59</v>
      </c>
      <c r="D53" s="454"/>
      <c r="E53" s="450"/>
      <c r="F53" s="484"/>
      <c r="G53" s="450"/>
      <c r="H53" s="298"/>
      <c r="I53" s="298"/>
    </row>
    <row r="54" spans="1:9">
      <c r="A54" s="457"/>
      <c r="B54" s="457"/>
      <c r="C54" s="66" t="s">
        <v>26</v>
      </c>
      <c r="D54" s="67">
        <v>0.62</v>
      </c>
      <c r="E54" s="67">
        <v>645</v>
      </c>
      <c r="F54" s="67">
        <f>E54*D54</f>
        <v>399.9</v>
      </c>
      <c r="G54" s="66" t="s">
        <v>825</v>
      </c>
      <c r="H54" s="298"/>
      <c r="I54" s="298"/>
    </row>
    <row r="55" spans="1:9">
      <c r="A55" s="491">
        <v>100</v>
      </c>
      <c r="B55" s="491"/>
      <c r="C55" s="484" t="s">
        <v>1762</v>
      </c>
      <c r="D55" s="454"/>
      <c r="E55" s="450"/>
      <c r="F55" s="484"/>
      <c r="G55" s="450"/>
      <c r="H55" s="298"/>
      <c r="I55" s="298"/>
    </row>
    <row r="56" spans="1:9">
      <c r="A56" s="457"/>
      <c r="B56" s="457"/>
      <c r="C56" s="66" t="s">
        <v>26</v>
      </c>
      <c r="D56" s="67">
        <v>0.13</v>
      </c>
      <c r="E56" s="67">
        <v>714</v>
      </c>
      <c r="F56" s="67">
        <f>E56*D56</f>
        <v>92.820000000000007</v>
      </c>
      <c r="G56" s="66" t="s">
        <v>837</v>
      </c>
      <c r="H56" s="298"/>
      <c r="I56" s="298"/>
    </row>
    <row r="57" spans="1:9">
      <c r="A57" s="490" t="s">
        <v>847</v>
      </c>
      <c r="B57" s="454"/>
      <c r="C57" s="454"/>
      <c r="D57" s="454"/>
      <c r="E57" s="454"/>
      <c r="F57" s="450"/>
      <c r="G57" s="68" t="s">
        <v>820</v>
      </c>
      <c r="H57" s="298"/>
      <c r="I57" s="298"/>
    </row>
    <row r="58" spans="1:9">
      <c r="A58" s="491">
        <v>9999</v>
      </c>
      <c r="B58" s="491"/>
      <c r="C58" s="484" t="s">
        <v>1764</v>
      </c>
      <c r="D58" s="454"/>
      <c r="E58" s="450"/>
      <c r="F58" s="484"/>
      <c r="G58" s="450"/>
      <c r="H58" s="298"/>
      <c r="I58" s="298"/>
    </row>
    <row r="59" spans="1:9">
      <c r="A59" s="457"/>
      <c r="B59" s="457"/>
      <c r="C59" s="66" t="s">
        <v>62</v>
      </c>
      <c r="D59" s="67">
        <v>22.53</v>
      </c>
      <c r="E59" s="67">
        <v>2.12</v>
      </c>
      <c r="F59" s="67">
        <f>E59*D59</f>
        <v>47.763600000000004</v>
      </c>
      <c r="G59" s="66" t="s">
        <v>851</v>
      </c>
      <c r="H59" s="298"/>
      <c r="I59" s="298"/>
    </row>
    <row r="60" spans="1:9">
      <c r="A60" s="491">
        <v>9999</v>
      </c>
      <c r="B60" s="491"/>
      <c r="C60" s="484" t="s">
        <v>1736</v>
      </c>
      <c r="D60" s="454"/>
      <c r="E60" s="450"/>
      <c r="F60" s="484"/>
      <c r="G60" s="450"/>
      <c r="H60" s="298"/>
      <c r="I60" s="298"/>
    </row>
    <row r="61" spans="1:9">
      <c r="A61" s="457"/>
      <c r="B61" s="457"/>
      <c r="C61" s="66" t="s">
        <v>62</v>
      </c>
      <c r="D61" s="67">
        <v>10.27</v>
      </c>
      <c r="E61" s="67">
        <v>2.12</v>
      </c>
      <c r="F61" s="67">
        <f>E61*D61</f>
        <v>21.772400000000001</v>
      </c>
      <c r="G61" s="66" t="s">
        <v>854</v>
      </c>
      <c r="H61" s="298"/>
      <c r="I61" s="298"/>
    </row>
    <row r="62" spans="1:9">
      <c r="A62" s="491">
        <v>9999</v>
      </c>
      <c r="B62" s="491"/>
      <c r="C62" s="484" t="s">
        <v>1765</v>
      </c>
      <c r="D62" s="454"/>
      <c r="E62" s="450"/>
      <c r="F62" s="484"/>
      <c r="G62" s="450"/>
      <c r="H62" s="298"/>
      <c r="I62" s="298"/>
    </row>
    <row r="63" spans="1:9">
      <c r="A63" s="457"/>
      <c r="B63" s="457"/>
      <c r="C63" s="66" t="s">
        <v>62</v>
      </c>
      <c r="D63" s="67">
        <v>30.98</v>
      </c>
      <c r="E63" s="67">
        <v>2.12</v>
      </c>
      <c r="F63" s="67">
        <f>E63*D63</f>
        <v>65.677599999999998</v>
      </c>
      <c r="G63" s="66" t="s">
        <v>1768</v>
      </c>
      <c r="H63" s="298"/>
      <c r="I63" s="298"/>
    </row>
    <row r="64" spans="1:9">
      <c r="A64" s="492" t="s">
        <v>30</v>
      </c>
      <c r="B64" s="454"/>
      <c r="C64" s="450"/>
      <c r="D64" s="67">
        <v>10</v>
      </c>
      <c r="E64" s="70" t="s">
        <v>21</v>
      </c>
      <c r="F64" s="67">
        <f>F52+F54+F56+F59+F61+F63</f>
        <v>878.81359999999995</v>
      </c>
      <c r="G64" s="71"/>
      <c r="H64" s="298"/>
      <c r="I64" s="298"/>
    </row>
    <row r="65" spans="1:9">
      <c r="A65" s="492" t="s">
        <v>826</v>
      </c>
      <c r="B65" s="454"/>
      <c r="C65" s="450"/>
      <c r="D65" s="67">
        <v>1</v>
      </c>
      <c r="E65" s="70" t="s">
        <v>21</v>
      </c>
      <c r="F65" s="67">
        <f>F64/D64</f>
        <v>87.881360000000001</v>
      </c>
      <c r="G65" s="71"/>
      <c r="H65" s="298"/>
      <c r="I65" s="298"/>
    </row>
    <row r="66" spans="1:9">
      <c r="A66" s="493" t="s">
        <v>829</v>
      </c>
      <c r="B66" s="454"/>
      <c r="C66" s="454"/>
      <c r="D66" s="450"/>
      <c r="E66" s="67"/>
      <c r="F66" s="67">
        <f>F65*1%</f>
        <v>0.87881359999999997</v>
      </c>
      <c r="G66" s="71"/>
      <c r="H66" s="298"/>
      <c r="I66" s="298"/>
    </row>
    <row r="67" spans="1:9">
      <c r="A67" s="493" t="s">
        <v>30</v>
      </c>
      <c r="B67" s="454"/>
      <c r="C67" s="454"/>
      <c r="D67" s="450"/>
      <c r="E67" s="71"/>
      <c r="F67" s="67">
        <f>F65+F66</f>
        <v>88.760173600000002</v>
      </c>
      <c r="G67" s="71"/>
      <c r="H67" s="298"/>
      <c r="I67" s="298"/>
    </row>
    <row r="68" spans="1:9">
      <c r="A68" s="493" t="s">
        <v>836</v>
      </c>
      <c r="B68" s="454"/>
      <c r="C68" s="454"/>
      <c r="D68" s="450"/>
      <c r="E68" s="67"/>
      <c r="F68" s="67">
        <f>F67*15%</f>
        <v>13.31402604</v>
      </c>
      <c r="G68" s="71"/>
      <c r="H68" s="298"/>
      <c r="I68" s="298"/>
    </row>
    <row r="69" spans="1:9">
      <c r="A69" s="493" t="s">
        <v>30</v>
      </c>
      <c r="B69" s="454"/>
      <c r="C69" s="454"/>
      <c r="D69" s="450"/>
      <c r="E69" s="71"/>
      <c r="F69" s="191">
        <f>ROUND(F67+F68,2)</f>
        <v>102.07</v>
      </c>
      <c r="G69" s="71"/>
      <c r="H69" s="298"/>
      <c r="I69" s="298"/>
    </row>
    <row r="70" spans="1:9">
      <c r="A70" s="616" t="str">
        <f>CONCATENATE("Say ₹ ",F49," + ",F69," x Cost Index")</f>
        <v>Say ₹ 156.11 + 102.07 x Cost Index</v>
      </c>
      <c r="B70" s="454"/>
      <c r="C70" s="454"/>
      <c r="D70" s="454"/>
      <c r="E70" s="454"/>
      <c r="F70" s="450"/>
      <c r="G70" s="300" t="s">
        <v>1000</v>
      </c>
      <c r="H70" s="301">
        <f>F43*1.01*1.15/10</f>
        <v>156.10560000000001</v>
      </c>
      <c r="I70" s="301">
        <f>(F52+F54+F56+F59+F61+F63)*1.01*1.15/10</f>
        <v>102.07419963999999</v>
      </c>
    </row>
  </sheetData>
  <mergeCells count="102">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 ref="A18:A19"/>
    <mergeCell ref="B18:B19"/>
    <mergeCell ref="C18:E18"/>
    <mergeCell ref="F18:G18"/>
    <mergeCell ref="A20:A21"/>
    <mergeCell ref="B20:B21"/>
    <mergeCell ref="F20:G20"/>
    <mergeCell ref="F25:G25"/>
    <mergeCell ref="F27:G27"/>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C58:E58"/>
    <mergeCell ref="F58:G58"/>
    <mergeCell ref="A55:A56"/>
    <mergeCell ref="B55:B56"/>
    <mergeCell ref="C55:E55"/>
    <mergeCell ref="F55:G55"/>
    <mergeCell ref="A57:F57"/>
    <mergeCell ref="A58:A59"/>
    <mergeCell ref="B58:B59"/>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A38:G38"/>
    <mergeCell ref="F39:G39"/>
    <mergeCell ref="B40:G40"/>
    <mergeCell ref="A41:F41"/>
    <mergeCell ref="A42:A43"/>
    <mergeCell ref="C42:E42"/>
    <mergeCell ref="F42:G42"/>
    <mergeCell ref="B42:B43"/>
    <mergeCell ref="A44:C44"/>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C20:E20"/>
    <mergeCell ref="A22:F22"/>
    <mergeCell ref="A23:A24"/>
    <mergeCell ref="B23:B24"/>
    <mergeCell ref="C23:E23"/>
    <mergeCell ref="F23:G23"/>
    <mergeCell ref="A25:A26"/>
    <mergeCell ref="B25:B26"/>
    <mergeCell ref="C25:E25"/>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265"/>
  <sheetViews>
    <sheetView workbookViewId="0"/>
  </sheetViews>
  <sheetFormatPr defaultColWidth="14.453125" defaultRowHeight="15" customHeight="1"/>
  <cols>
    <col min="1" max="1" width="7.81640625" customWidth="1"/>
    <col min="2" max="2" width="37.453125" customWidth="1"/>
    <col min="3" max="3" width="9.7265625" customWidth="1"/>
    <col min="4" max="4" width="11" customWidth="1"/>
    <col min="5" max="5" width="9.7265625" customWidth="1"/>
    <col min="6" max="6" width="23.26953125" customWidth="1"/>
  </cols>
  <sheetData>
    <row r="1" spans="1:6">
      <c r="A1" s="453" t="s">
        <v>1785</v>
      </c>
      <c r="B1" s="454"/>
      <c r="C1" s="454"/>
      <c r="D1" s="454"/>
      <c r="E1" s="454"/>
      <c r="F1" s="450"/>
    </row>
    <row r="2" spans="1:6">
      <c r="A2" s="318">
        <v>0</v>
      </c>
      <c r="B2" s="627" t="s">
        <v>1786</v>
      </c>
      <c r="C2" s="454"/>
      <c r="D2" s="454"/>
      <c r="E2" s="454"/>
      <c r="F2" s="450"/>
    </row>
    <row r="3" spans="1:6">
      <c r="A3" s="319" t="s">
        <v>3</v>
      </c>
      <c r="B3" s="319" t="s">
        <v>4</v>
      </c>
      <c r="C3" s="319" t="s">
        <v>5</v>
      </c>
      <c r="D3" s="319" t="s">
        <v>6</v>
      </c>
      <c r="E3" s="319" t="s">
        <v>7</v>
      </c>
      <c r="F3" s="319" t="s">
        <v>8</v>
      </c>
    </row>
    <row r="4" spans="1:6">
      <c r="A4" s="626"/>
      <c r="B4" s="100" t="s">
        <v>512</v>
      </c>
      <c r="C4" s="626"/>
      <c r="D4" s="626"/>
      <c r="E4" s="626"/>
      <c r="F4" s="626"/>
    </row>
    <row r="5" spans="1:6">
      <c r="A5" s="457"/>
      <c r="B5" s="100" t="s">
        <v>842</v>
      </c>
      <c r="C5" s="457"/>
      <c r="D5" s="457"/>
      <c r="E5" s="457"/>
      <c r="F5" s="457"/>
    </row>
    <row r="6" spans="1:6">
      <c r="A6" s="506" t="s">
        <v>1732</v>
      </c>
      <c r="B6" s="109" t="s">
        <v>1787</v>
      </c>
      <c r="C6" s="506" t="s">
        <v>21</v>
      </c>
      <c r="D6" s="506">
        <v>11.5</v>
      </c>
      <c r="E6" s="506">
        <v>30</v>
      </c>
      <c r="F6" s="628">
        <f>D6*E6</f>
        <v>345</v>
      </c>
    </row>
    <row r="7" spans="1:6">
      <c r="A7" s="457"/>
      <c r="B7" s="100" t="s">
        <v>958</v>
      </c>
      <c r="C7" s="457"/>
      <c r="D7" s="457"/>
      <c r="E7" s="457"/>
      <c r="F7" s="457"/>
    </row>
    <row r="8" spans="1:6">
      <c r="A8" s="100"/>
      <c r="B8" s="629" t="s">
        <v>28</v>
      </c>
      <c r="C8" s="454"/>
      <c r="D8" s="454"/>
      <c r="E8" s="450"/>
      <c r="F8" s="320">
        <f>F6*0.01</f>
        <v>3.45</v>
      </c>
    </row>
    <row r="9" spans="1:6">
      <c r="A9" s="100"/>
      <c r="B9" s="629" t="s">
        <v>30</v>
      </c>
      <c r="C9" s="454"/>
      <c r="D9" s="454"/>
      <c r="E9" s="450"/>
      <c r="F9" s="320">
        <f>SUM(F6:F8)</f>
        <v>348.45</v>
      </c>
    </row>
    <row r="10" spans="1:6">
      <c r="A10" s="100"/>
      <c r="B10" s="629" t="s">
        <v>36</v>
      </c>
      <c r="C10" s="454"/>
      <c r="D10" s="454"/>
      <c r="E10" s="450"/>
      <c r="F10" s="320">
        <f>F9*0.15</f>
        <v>52.267499999999998</v>
      </c>
    </row>
    <row r="11" spans="1:6">
      <c r="A11" s="100"/>
      <c r="B11" s="629" t="s">
        <v>30</v>
      </c>
      <c r="C11" s="454"/>
      <c r="D11" s="454"/>
      <c r="E11" s="450"/>
      <c r="F11" s="320">
        <f>SUM(F9:F10)</f>
        <v>400.71749999999997</v>
      </c>
    </row>
    <row r="12" spans="1:6">
      <c r="A12" s="100"/>
      <c r="B12" s="629" t="s">
        <v>539</v>
      </c>
      <c r="C12" s="454"/>
      <c r="D12" s="454"/>
      <c r="E12" s="450"/>
      <c r="F12" s="320">
        <f>F11</f>
        <v>400.71749999999997</v>
      </c>
    </row>
    <row r="13" spans="1:6">
      <c r="A13" s="100"/>
      <c r="B13" s="629" t="s">
        <v>54</v>
      </c>
      <c r="C13" s="454"/>
      <c r="D13" s="454"/>
      <c r="E13" s="450"/>
      <c r="F13" s="321">
        <f>ROUND(F12/10,2)</f>
        <v>40.07</v>
      </c>
    </row>
    <row r="14" spans="1:6">
      <c r="A14" s="102">
        <v>116</v>
      </c>
      <c r="B14" s="100" t="s">
        <v>527</v>
      </c>
      <c r="C14" s="102" t="s">
        <v>26</v>
      </c>
      <c r="D14" s="103">
        <v>0.08</v>
      </c>
      <c r="E14" s="103">
        <v>784</v>
      </c>
      <c r="F14" s="320">
        <f t="shared" ref="F14:F15" si="0">D14*E14</f>
        <v>62.72</v>
      </c>
    </row>
    <row r="15" spans="1:6">
      <c r="A15" s="102">
        <v>114</v>
      </c>
      <c r="B15" s="100" t="s">
        <v>59</v>
      </c>
      <c r="C15" s="102" t="s">
        <v>26</v>
      </c>
      <c r="D15" s="103">
        <v>0.16</v>
      </c>
      <c r="E15" s="103">
        <v>645</v>
      </c>
      <c r="F15" s="320">
        <f t="shared" si="0"/>
        <v>103.2</v>
      </c>
    </row>
    <row r="16" spans="1:6">
      <c r="A16" s="100"/>
      <c r="B16" s="629" t="s">
        <v>27</v>
      </c>
      <c r="C16" s="454"/>
      <c r="D16" s="454"/>
      <c r="E16" s="450"/>
      <c r="F16" s="320">
        <f>SUM(F14:F15)</f>
        <v>165.92000000000002</v>
      </c>
    </row>
    <row r="17" spans="1:6">
      <c r="A17" s="100"/>
      <c r="B17" s="629" t="s">
        <v>28</v>
      </c>
      <c r="C17" s="454"/>
      <c r="D17" s="454"/>
      <c r="E17" s="450"/>
      <c r="F17" s="320">
        <f>F16*0.01</f>
        <v>1.6592000000000002</v>
      </c>
    </row>
    <row r="18" spans="1:6">
      <c r="A18" s="100"/>
      <c r="B18" s="629" t="s">
        <v>30</v>
      </c>
      <c r="C18" s="454"/>
      <c r="D18" s="454"/>
      <c r="E18" s="450"/>
      <c r="F18" s="320">
        <f>SUM(F16:F17)</f>
        <v>167.57920000000001</v>
      </c>
    </row>
    <row r="19" spans="1:6">
      <c r="A19" s="100"/>
      <c r="B19" s="629" t="s">
        <v>36</v>
      </c>
      <c r="C19" s="454"/>
      <c r="D19" s="454"/>
      <c r="E19" s="450"/>
      <c r="F19" s="320">
        <f>F18*0.15</f>
        <v>25.136880000000001</v>
      </c>
    </row>
    <row r="20" spans="1:6">
      <c r="A20" s="100"/>
      <c r="B20" s="629" t="s">
        <v>30</v>
      </c>
      <c r="C20" s="454"/>
      <c r="D20" s="454"/>
      <c r="E20" s="450"/>
      <c r="F20" s="320">
        <f>SUM(F18:F19)</f>
        <v>192.71608000000001</v>
      </c>
    </row>
    <row r="21" spans="1:6">
      <c r="A21" s="100"/>
      <c r="B21" s="629" t="s">
        <v>539</v>
      </c>
      <c r="C21" s="454"/>
      <c r="D21" s="454"/>
      <c r="E21" s="450"/>
      <c r="F21" s="320">
        <f>F20</f>
        <v>192.71608000000001</v>
      </c>
    </row>
    <row r="22" spans="1:6">
      <c r="A22" s="100"/>
      <c r="B22" s="629" t="s">
        <v>54</v>
      </c>
      <c r="C22" s="454"/>
      <c r="D22" s="454"/>
      <c r="E22" s="450"/>
      <c r="F22" s="321">
        <f>ROUND(F21/10,2)</f>
        <v>19.27</v>
      </c>
    </row>
    <row r="23" spans="1:6">
      <c r="A23" s="586" t="str">
        <f>CONCATENATE("Say ₹ ",F13," + ",F22," x Cost Index")</f>
        <v>Say ₹ 40.07 + 19.27 x Cost Index</v>
      </c>
      <c r="B23" s="454"/>
      <c r="C23" s="454"/>
      <c r="D23" s="454"/>
      <c r="E23" s="454"/>
      <c r="F23" s="450"/>
    </row>
    <row r="24" spans="1:6">
      <c r="A24" s="159">
        <v>0</v>
      </c>
      <c r="B24" s="455" t="s">
        <v>1797</v>
      </c>
      <c r="C24" s="454"/>
      <c r="D24" s="454"/>
      <c r="E24" s="454"/>
      <c r="F24" s="450"/>
    </row>
    <row r="25" spans="1:6">
      <c r="A25" s="1" t="s">
        <v>3</v>
      </c>
      <c r="B25" s="1" t="s">
        <v>4</v>
      </c>
      <c r="C25" s="1" t="s">
        <v>5</v>
      </c>
      <c r="D25" s="1" t="s">
        <v>6</v>
      </c>
      <c r="E25" s="1" t="s">
        <v>7</v>
      </c>
      <c r="F25" s="1" t="s">
        <v>8</v>
      </c>
    </row>
    <row r="26" spans="1:6">
      <c r="A26" s="623"/>
      <c r="B26" s="4" t="s">
        <v>512</v>
      </c>
      <c r="C26" s="623"/>
      <c r="D26" s="623"/>
      <c r="E26" s="623"/>
      <c r="F26" s="623"/>
    </row>
    <row r="27" spans="1:6">
      <c r="A27" s="457"/>
      <c r="B27" s="4" t="s">
        <v>842</v>
      </c>
      <c r="C27" s="457"/>
      <c r="D27" s="457"/>
      <c r="E27" s="457"/>
      <c r="F27" s="457"/>
    </row>
    <row r="28" spans="1:6">
      <c r="A28" s="456" t="s">
        <v>1778</v>
      </c>
      <c r="B28" s="4" t="s">
        <v>1798</v>
      </c>
      <c r="C28" s="456" t="s">
        <v>21</v>
      </c>
      <c r="D28" s="456">
        <v>11.5</v>
      </c>
      <c r="E28" s="456">
        <v>48</v>
      </c>
      <c r="F28" s="625">
        <f>D28*E28</f>
        <v>552</v>
      </c>
    </row>
    <row r="29" spans="1:6">
      <c r="A29" s="457"/>
      <c r="B29" s="4" t="s">
        <v>958</v>
      </c>
      <c r="C29" s="457"/>
      <c r="D29" s="457"/>
      <c r="E29" s="457"/>
      <c r="F29" s="457"/>
    </row>
    <row r="30" spans="1:6">
      <c r="A30" s="4"/>
      <c r="B30" s="470" t="s">
        <v>28</v>
      </c>
      <c r="C30" s="454"/>
      <c r="D30" s="454"/>
      <c r="E30" s="450"/>
      <c r="F30" s="322">
        <f>F28*0.01</f>
        <v>5.5200000000000005</v>
      </c>
    </row>
    <row r="31" spans="1:6">
      <c r="A31" s="4"/>
      <c r="B31" s="470" t="s">
        <v>30</v>
      </c>
      <c r="C31" s="454"/>
      <c r="D31" s="454"/>
      <c r="E31" s="450"/>
      <c r="F31" s="322">
        <f>SUM(F28:F30)</f>
        <v>557.52</v>
      </c>
    </row>
    <row r="32" spans="1:6">
      <c r="A32" s="4"/>
      <c r="B32" s="470" t="s">
        <v>36</v>
      </c>
      <c r="C32" s="454"/>
      <c r="D32" s="454"/>
      <c r="E32" s="450"/>
      <c r="F32" s="322">
        <f>F31*0.15</f>
        <v>83.628</v>
      </c>
    </row>
    <row r="33" spans="1:6">
      <c r="A33" s="4"/>
      <c r="B33" s="470" t="s">
        <v>30</v>
      </c>
      <c r="C33" s="454"/>
      <c r="D33" s="454"/>
      <c r="E33" s="450"/>
      <c r="F33" s="322">
        <f>SUM(F31:F32)</f>
        <v>641.14800000000002</v>
      </c>
    </row>
    <row r="34" spans="1:6">
      <c r="A34" s="4"/>
      <c r="B34" s="470" t="s">
        <v>539</v>
      </c>
      <c r="C34" s="454"/>
      <c r="D34" s="454"/>
      <c r="E34" s="450"/>
      <c r="F34" s="322">
        <f>F33</f>
        <v>641.14800000000002</v>
      </c>
    </row>
    <row r="35" spans="1:6">
      <c r="A35" s="4"/>
      <c r="B35" s="470" t="s">
        <v>54</v>
      </c>
      <c r="C35" s="454"/>
      <c r="D35" s="454"/>
      <c r="E35" s="450"/>
      <c r="F35" s="323">
        <f>ROUND(F34/10,2)</f>
        <v>64.11</v>
      </c>
    </row>
    <row r="36" spans="1:6">
      <c r="A36" s="7">
        <v>116</v>
      </c>
      <c r="B36" s="4" t="s">
        <v>527</v>
      </c>
      <c r="C36" s="7" t="s">
        <v>26</v>
      </c>
      <c r="D36" s="7">
        <v>0.12</v>
      </c>
      <c r="E36" s="5">
        <v>784</v>
      </c>
      <c r="F36" s="322">
        <f t="shared" ref="F36:F37" si="1">D36*E36</f>
        <v>94.08</v>
      </c>
    </row>
    <row r="37" spans="1:6">
      <c r="A37" s="7">
        <v>114</v>
      </c>
      <c r="B37" s="4" t="s">
        <v>59</v>
      </c>
      <c r="C37" s="7" t="s">
        <v>26</v>
      </c>
      <c r="D37" s="7">
        <v>0.25</v>
      </c>
      <c r="E37" s="5">
        <v>645</v>
      </c>
      <c r="F37" s="322">
        <f t="shared" si="1"/>
        <v>161.25</v>
      </c>
    </row>
    <row r="38" spans="1:6">
      <c r="A38" s="4"/>
      <c r="B38" s="470" t="s">
        <v>27</v>
      </c>
      <c r="C38" s="454"/>
      <c r="D38" s="454"/>
      <c r="E38" s="450"/>
      <c r="F38" s="322">
        <f>SUM(F36:F37)</f>
        <v>255.32999999999998</v>
      </c>
    </row>
    <row r="39" spans="1:6">
      <c r="A39" s="4"/>
      <c r="B39" s="470" t="s">
        <v>28</v>
      </c>
      <c r="C39" s="454"/>
      <c r="D39" s="454"/>
      <c r="E39" s="450"/>
      <c r="F39" s="322">
        <f>F38*0.01</f>
        <v>2.5532999999999997</v>
      </c>
    </row>
    <row r="40" spans="1:6">
      <c r="A40" s="4"/>
      <c r="B40" s="470" t="s">
        <v>30</v>
      </c>
      <c r="C40" s="454"/>
      <c r="D40" s="454"/>
      <c r="E40" s="450"/>
      <c r="F40" s="322">
        <f>SUM(F38:F39)</f>
        <v>257.88329999999996</v>
      </c>
    </row>
    <row r="41" spans="1:6">
      <c r="A41" s="4"/>
      <c r="B41" s="470" t="s">
        <v>36</v>
      </c>
      <c r="C41" s="454"/>
      <c r="D41" s="454"/>
      <c r="E41" s="450"/>
      <c r="F41" s="322">
        <f>F40*0.15</f>
        <v>38.682494999999996</v>
      </c>
    </row>
    <row r="42" spans="1:6">
      <c r="A42" s="4"/>
      <c r="B42" s="470" t="s">
        <v>30</v>
      </c>
      <c r="C42" s="454"/>
      <c r="D42" s="454"/>
      <c r="E42" s="450"/>
      <c r="F42" s="322">
        <f>SUM(F40:F41)</f>
        <v>296.56579499999998</v>
      </c>
    </row>
    <row r="43" spans="1:6">
      <c r="A43" s="4"/>
      <c r="B43" s="470" t="s">
        <v>539</v>
      </c>
      <c r="C43" s="454"/>
      <c r="D43" s="454"/>
      <c r="E43" s="450"/>
      <c r="F43" s="322">
        <f>F42</f>
        <v>296.56579499999998</v>
      </c>
    </row>
    <row r="44" spans="1:6">
      <c r="A44" s="4"/>
      <c r="B44" s="470" t="s">
        <v>54</v>
      </c>
      <c r="C44" s="454"/>
      <c r="D44" s="454"/>
      <c r="E44" s="450"/>
      <c r="F44" s="323">
        <f>ROUND(F43/10,2)</f>
        <v>29.66</v>
      </c>
    </row>
    <row r="45" spans="1:6">
      <c r="A45" s="459" t="str">
        <f>CONCATENATE("Say ₹ ",F35," + ",F44," x Cost Index")</f>
        <v>Say ₹ 64.11 + 29.66 x Cost Index</v>
      </c>
      <c r="B45" s="454"/>
      <c r="C45" s="454"/>
      <c r="D45" s="454"/>
      <c r="E45" s="454"/>
      <c r="F45" s="450"/>
    </row>
    <row r="46" spans="1:6">
      <c r="A46" s="329">
        <v>0</v>
      </c>
      <c r="B46" s="618" t="s">
        <v>1802</v>
      </c>
      <c r="C46" s="454"/>
      <c r="D46" s="454"/>
      <c r="E46" s="454"/>
      <c r="F46" s="450"/>
    </row>
    <row r="47" spans="1:6">
      <c r="A47" s="330" t="s">
        <v>3</v>
      </c>
      <c r="B47" s="330" t="s">
        <v>4</v>
      </c>
      <c r="C47" s="330" t="s">
        <v>5</v>
      </c>
      <c r="D47" s="330" t="s">
        <v>6</v>
      </c>
      <c r="E47" s="330" t="s">
        <v>7</v>
      </c>
      <c r="F47" s="330" t="s">
        <v>8</v>
      </c>
    </row>
    <row r="48" spans="1:6">
      <c r="A48" s="620"/>
      <c r="B48" s="331" t="s">
        <v>512</v>
      </c>
      <c r="C48" s="620"/>
      <c r="D48" s="620"/>
      <c r="E48" s="620"/>
      <c r="F48" s="620"/>
    </row>
    <row r="49" spans="1:6">
      <c r="A49" s="457"/>
      <c r="B49" s="331" t="s">
        <v>842</v>
      </c>
      <c r="C49" s="457"/>
      <c r="D49" s="457"/>
      <c r="E49" s="457"/>
      <c r="F49" s="457"/>
    </row>
    <row r="50" spans="1:6">
      <c r="A50" s="619" t="s">
        <v>1793</v>
      </c>
      <c r="B50" s="331" t="s">
        <v>1803</v>
      </c>
      <c r="C50" s="619" t="s">
        <v>21</v>
      </c>
      <c r="D50" s="619">
        <v>11.5</v>
      </c>
      <c r="E50" s="619">
        <v>65</v>
      </c>
      <c r="F50" s="630">
        <f>D50*E50</f>
        <v>747.5</v>
      </c>
    </row>
    <row r="51" spans="1:6">
      <c r="A51" s="457"/>
      <c r="B51" s="331" t="s">
        <v>958</v>
      </c>
      <c r="C51" s="457"/>
      <c r="D51" s="457"/>
      <c r="E51" s="457"/>
      <c r="F51" s="457"/>
    </row>
    <row r="52" spans="1:6">
      <c r="A52" s="331"/>
      <c r="B52" s="622" t="s">
        <v>28</v>
      </c>
      <c r="C52" s="454"/>
      <c r="D52" s="454"/>
      <c r="E52" s="450"/>
      <c r="F52" s="333">
        <f>F50*0.01</f>
        <v>7.4750000000000005</v>
      </c>
    </row>
    <row r="53" spans="1:6">
      <c r="A53" s="331"/>
      <c r="B53" s="622" t="s">
        <v>30</v>
      </c>
      <c r="C53" s="454"/>
      <c r="D53" s="454"/>
      <c r="E53" s="450"/>
      <c r="F53" s="333">
        <f>SUM(F50:F52)</f>
        <v>754.97500000000002</v>
      </c>
    </row>
    <row r="54" spans="1:6">
      <c r="A54" s="331"/>
      <c r="B54" s="622" t="s">
        <v>36</v>
      </c>
      <c r="C54" s="454"/>
      <c r="D54" s="454"/>
      <c r="E54" s="450"/>
      <c r="F54" s="333">
        <f>F53*0.15</f>
        <v>113.24625</v>
      </c>
    </row>
    <row r="55" spans="1:6">
      <c r="A55" s="331"/>
      <c r="B55" s="622" t="s">
        <v>30</v>
      </c>
      <c r="C55" s="454"/>
      <c r="D55" s="454"/>
      <c r="E55" s="450"/>
      <c r="F55" s="333">
        <f>SUM(F53:F54)</f>
        <v>868.22125000000005</v>
      </c>
    </row>
    <row r="56" spans="1:6">
      <c r="A56" s="331"/>
      <c r="B56" s="622" t="s">
        <v>539</v>
      </c>
      <c r="C56" s="454"/>
      <c r="D56" s="454"/>
      <c r="E56" s="450"/>
      <c r="F56" s="333">
        <f>F55</f>
        <v>868.22125000000005</v>
      </c>
    </row>
    <row r="57" spans="1:6">
      <c r="A57" s="331"/>
      <c r="B57" s="622" t="s">
        <v>54</v>
      </c>
      <c r="C57" s="454"/>
      <c r="D57" s="454"/>
      <c r="E57" s="450"/>
      <c r="F57" s="334">
        <f>ROUND(F56/10,2)</f>
        <v>86.82</v>
      </c>
    </row>
    <row r="58" spans="1:6">
      <c r="A58" s="335">
        <v>116</v>
      </c>
      <c r="B58" s="331" t="s">
        <v>527</v>
      </c>
      <c r="C58" s="335" t="s">
        <v>26</v>
      </c>
      <c r="D58" s="335">
        <v>0.12</v>
      </c>
      <c r="E58" s="336">
        <v>784</v>
      </c>
      <c r="F58" s="333">
        <f t="shared" ref="F58:F59" si="2">D58*E58</f>
        <v>94.08</v>
      </c>
    </row>
    <row r="59" spans="1:6">
      <c r="A59" s="335">
        <v>114</v>
      </c>
      <c r="B59" s="331" t="s">
        <v>59</v>
      </c>
      <c r="C59" s="335" t="s">
        <v>26</v>
      </c>
      <c r="D59" s="335">
        <v>0.25</v>
      </c>
      <c r="E59" s="336">
        <v>645</v>
      </c>
      <c r="F59" s="333">
        <f t="shared" si="2"/>
        <v>161.25</v>
      </c>
    </row>
    <row r="60" spans="1:6">
      <c r="A60" s="331"/>
      <c r="B60" s="622" t="s">
        <v>27</v>
      </c>
      <c r="C60" s="454"/>
      <c r="D60" s="454"/>
      <c r="E60" s="450"/>
      <c r="F60" s="333">
        <f>SUM(F58:F59)</f>
        <v>255.32999999999998</v>
      </c>
    </row>
    <row r="61" spans="1:6">
      <c r="A61" s="331"/>
      <c r="B61" s="622" t="s">
        <v>28</v>
      </c>
      <c r="C61" s="454"/>
      <c r="D61" s="454"/>
      <c r="E61" s="450"/>
      <c r="F61" s="333">
        <f>F60*0.01</f>
        <v>2.5532999999999997</v>
      </c>
    </row>
    <row r="62" spans="1:6">
      <c r="A62" s="331"/>
      <c r="B62" s="622" t="s">
        <v>30</v>
      </c>
      <c r="C62" s="454"/>
      <c r="D62" s="454"/>
      <c r="E62" s="450"/>
      <c r="F62" s="333">
        <f>SUM(F60:F61)</f>
        <v>257.88329999999996</v>
      </c>
    </row>
    <row r="63" spans="1:6">
      <c r="A63" s="331"/>
      <c r="B63" s="622" t="s">
        <v>36</v>
      </c>
      <c r="C63" s="454"/>
      <c r="D63" s="454"/>
      <c r="E63" s="450"/>
      <c r="F63" s="333">
        <f>F62*0.15</f>
        <v>38.682494999999996</v>
      </c>
    </row>
    <row r="64" spans="1:6">
      <c r="A64" s="331"/>
      <c r="B64" s="622" t="s">
        <v>30</v>
      </c>
      <c r="C64" s="454"/>
      <c r="D64" s="454"/>
      <c r="E64" s="450"/>
      <c r="F64" s="333">
        <f>SUM(F62:F63)</f>
        <v>296.56579499999998</v>
      </c>
    </row>
    <row r="65" spans="1:6">
      <c r="A65" s="331"/>
      <c r="B65" s="622" t="s">
        <v>539</v>
      </c>
      <c r="C65" s="454"/>
      <c r="D65" s="454"/>
      <c r="E65" s="450"/>
      <c r="F65" s="333">
        <f>F64</f>
        <v>296.56579499999998</v>
      </c>
    </row>
    <row r="66" spans="1:6">
      <c r="A66" s="331"/>
      <c r="B66" s="622" t="s">
        <v>54</v>
      </c>
      <c r="C66" s="454"/>
      <c r="D66" s="454"/>
      <c r="E66" s="450"/>
      <c r="F66" s="334">
        <f>ROUND(F65/10,2)</f>
        <v>29.66</v>
      </c>
    </row>
    <row r="67" spans="1:6">
      <c r="A67" s="624" t="str">
        <f>CONCATENATE("Say ₹ ",F57," + ",F66," x Cost Index")</f>
        <v>Say ₹ 86.82 + 29.66 x Cost Index</v>
      </c>
      <c r="B67" s="454"/>
      <c r="C67" s="454"/>
      <c r="D67" s="454"/>
      <c r="E67" s="454"/>
      <c r="F67" s="450"/>
    </row>
    <row r="68" spans="1:6">
      <c r="A68" s="159">
        <v>0</v>
      </c>
      <c r="B68" s="455" t="s">
        <v>1809</v>
      </c>
      <c r="C68" s="454"/>
      <c r="D68" s="454"/>
      <c r="E68" s="454"/>
      <c r="F68" s="450"/>
    </row>
    <row r="69" spans="1:6">
      <c r="A69" s="1" t="s">
        <v>3</v>
      </c>
      <c r="B69" s="1" t="s">
        <v>4</v>
      </c>
      <c r="C69" s="1" t="s">
        <v>5</v>
      </c>
      <c r="D69" s="1" t="s">
        <v>6</v>
      </c>
      <c r="E69" s="1" t="s">
        <v>7</v>
      </c>
      <c r="F69" s="1" t="s">
        <v>8</v>
      </c>
    </row>
    <row r="70" spans="1:6">
      <c r="A70" s="623"/>
      <c r="B70" s="4" t="s">
        <v>512</v>
      </c>
      <c r="C70" s="623"/>
      <c r="D70" s="623"/>
      <c r="E70" s="623"/>
      <c r="F70" s="623"/>
    </row>
    <row r="71" spans="1:6">
      <c r="A71" s="457"/>
      <c r="B71" s="4" t="s">
        <v>842</v>
      </c>
      <c r="C71" s="457"/>
      <c r="D71" s="457"/>
      <c r="E71" s="457"/>
      <c r="F71" s="457"/>
    </row>
    <row r="72" spans="1:6">
      <c r="A72" s="456" t="s">
        <v>1810</v>
      </c>
      <c r="B72" s="4" t="s">
        <v>1811</v>
      </c>
      <c r="C72" s="456" t="s">
        <v>21</v>
      </c>
      <c r="D72" s="456">
        <v>11.5</v>
      </c>
      <c r="E72" s="456">
        <v>52</v>
      </c>
      <c r="F72" s="625">
        <f>D72*E72</f>
        <v>598</v>
      </c>
    </row>
    <row r="73" spans="1:6">
      <c r="A73" s="457"/>
      <c r="B73" s="4" t="s">
        <v>958</v>
      </c>
      <c r="C73" s="457"/>
      <c r="D73" s="457"/>
      <c r="E73" s="457"/>
      <c r="F73" s="457"/>
    </row>
    <row r="74" spans="1:6">
      <c r="A74" s="4"/>
      <c r="B74" s="470" t="s">
        <v>28</v>
      </c>
      <c r="C74" s="454"/>
      <c r="D74" s="454"/>
      <c r="E74" s="450"/>
      <c r="F74" s="322">
        <f>F72*0.01</f>
        <v>5.98</v>
      </c>
    </row>
    <row r="75" spans="1:6">
      <c r="A75" s="4"/>
      <c r="B75" s="470" t="s">
        <v>30</v>
      </c>
      <c r="C75" s="454"/>
      <c r="D75" s="454"/>
      <c r="E75" s="450"/>
      <c r="F75" s="322">
        <f>SUM(F72:F74)</f>
        <v>603.98</v>
      </c>
    </row>
    <row r="76" spans="1:6">
      <c r="A76" s="4"/>
      <c r="B76" s="470" t="s">
        <v>36</v>
      </c>
      <c r="C76" s="454"/>
      <c r="D76" s="454"/>
      <c r="E76" s="450"/>
      <c r="F76" s="322">
        <f>F75*0.15</f>
        <v>90.596999999999994</v>
      </c>
    </row>
    <row r="77" spans="1:6">
      <c r="A77" s="4"/>
      <c r="B77" s="470" t="s">
        <v>30</v>
      </c>
      <c r="C77" s="454"/>
      <c r="D77" s="454"/>
      <c r="E77" s="450"/>
      <c r="F77" s="322">
        <f>SUM(F75:F76)</f>
        <v>694.577</v>
      </c>
    </row>
    <row r="78" spans="1:6">
      <c r="A78" s="4"/>
      <c r="B78" s="470" t="s">
        <v>539</v>
      </c>
      <c r="C78" s="454"/>
      <c r="D78" s="454"/>
      <c r="E78" s="450"/>
      <c r="F78" s="322">
        <f>F77</f>
        <v>694.577</v>
      </c>
    </row>
    <row r="79" spans="1:6">
      <c r="A79" s="4"/>
      <c r="B79" s="470" t="s">
        <v>54</v>
      </c>
      <c r="C79" s="454"/>
      <c r="D79" s="454"/>
      <c r="E79" s="450"/>
      <c r="F79" s="323">
        <f>ROUND(F78/10,2)</f>
        <v>69.459999999999994</v>
      </c>
    </row>
    <row r="80" spans="1:6">
      <c r="A80" s="7">
        <v>116</v>
      </c>
      <c r="B80" s="4" t="s">
        <v>527</v>
      </c>
      <c r="C80" s="7" t="s">
        <v>26</v>
      </c>
      <c r="D80" s="7">
        <v>0.12</v>
      </c>
      <c r="E80" s="5">
        <v>784</v>
      </c>
      <c r="F80" s="322">
        <f t="shared" ref="F80:F81" si="3">D80*E80</f>
        <v>94.08</v>
      </c>
    </row>
    <row r="81" spans="1:6">
      <c r="A81" s="7">
        <v>114</v>
      </c>
      <c r="B81" s="4" t="s">
        <v>59</v>
      </c>
      <c r="C81" s="7" t="s">
        <v>26</v>
      </c>
      <c r="D81" s="7">
        <v>0.25</v>
      </c>
      <c r="E81" s="5">
        <v>645</v>
      </c>
      <c r="F81" s="322">
        <f t="shared" si="3"/>
        <v>161.25</v>
      </c>
    </row>
    <row r="82" spans="1:6">
      <c r="A82" s="4"/>
      <c r="B82" s="470" t="s">
        <v>27</v>
      </c>
      <c r="C82" s="454"/>
      <c r="D82" s="454"/>
      <c r="E82" s="450"/>
      <c r="F82" s="322">
        <f>SUM(F80:F81)</f>
        <v>255.32999999999998</v>
      </c>
    </row>
    <row r="83" spans="1:6">
      <c r="A83" s="4"/>
      <c r="B83" s="470" t="s">
        <v>28</v>
      </c>
      <c r="C83" s="454"/>
      <c r="D83" s="454"/>
      <c r="E83" s="450"/>
      <c r="F83" s="322">
        <f>F82*0.01</f>
        <v>2.5532999999999997</v>
      </c>
    </row>
    <row r="84" spans="1:6">
      <c r="A84" s="4"/>
      <c r="B84" s="470" t="s">
        <v>30</v>
      </c>
      <c r="C84" s="454"/>
      <c r="D84" s="454"/>
      <c r="E84" s="450"/>
      <c r="F84" s="322">
        <f>SUM(F82:F83)</f>
        <v>257.88329999999996</v>
      </c>
    </row>
    <row r="85" spans="1:6">
      <c r="A85" s="4"/>
      <c r="B85" s="470" t="s">
        <v>36</v>
      </c>
      <c r="C85" s="454"/>
      <c r="D85" s="454"/>
      <c r="E85" s="450"/>
      <c r="F85" s="322">
        <f>F84*0.15</f>
        <v>38.682494999999996</v>
      </c>
    </row>
    <row r="86" spans="1:6">
      <c r="A86" s="4"/>
      <c r="B86" s="470" t="s">
        <v>30</v>
      </c>
      <c r="C86" s="454"/>
      <c r="D86" s="454"/>
      <c r="E86" s="450"/>
      <c r="F86" s="322">
        <f>SUM(F84:F85)</f>
        <v>296.56579499999998</v>
      </c>
    </row>
    <row r="87" spans="1:6">
      <c r="A87" s="4"/>
      <c r="B87" s="470" t="s">
        <v>539</v>
      </c>
      <c r="C87" s="454"/>
      <c r="D87" s="454"/>
      <c r="E87" s="450"/>
      <c r="F87" s="322">
        <f>F86</f>
        <v>296.56579499999998</v>
      </c>
    </row>
    <row r="88" spans="1:6">
      <c r="A88" s="4"/>
      <c r="B88" s="470" t="s">
        <v>54</v>
      </c>
      <c r="C88" s="454"/>
      <c r="D88" s="454"/>
      <c r="E88" s="450"/>
      <c r="F88" s="323">
        <f>ROUND(F87/10,2)</f>
        <v>29.66</v>
      </c>
    </row>
    <row r="89" spans="1:6">
      <c r="A89" s="459" t="str">
        <f>CONCATENATE("Say ₹ ",F79," + ",F88," x Cost Index")</f>
        <v>Say ₹ 69.46 + 29.66 x Cost Index</v>
      </c>
      <c r="B89" s="454"/>
      <c r="C89" s="454"/>
      <c r="D89" s="454"/>
      <c r="E89" s="454"/>
      <c r="F89" s="450"/>
    </row>
    <row r="90" spans="1:6">
      <c r="A90" s="329">
        <v>0</v>
      </c>
      <c r="B90" s="618" t="s">
        <v>1814</v>
      </c>
      <c r="C90" s="454"/>
      <c r="D90" s="454"/>
      <c r="E90" s="454"/>
      <c r="F90" s="450"/>
    </row>
    <row r="91" spans="1:6">
      <c r="A91" s="330" t="s">
        <v>3</v>
      </c>
      <c r="B91" s="330" t="s">
        <v>4</v>
      </c>
      <c r="C91" s="330" t="s">
        <v>5</v>
      </c>
      <c r="D91" s="330" t="s">
        <v>6</v>
      </c>
      <c r="E91" s="330" t="s">
        <v>7</v>
      </c>
      <c r="F91" s="330" t="s">
        <v>8</v>
      </c>
    </row>
    <row r="92" spans="1:6">
      <c r="A92" s="620"/>
      <c r="B92" s="331" t="s">
        <v>512</v>
      </c>
      <c r="C92" s="620"/>
      <c r="D92" s="620"/>
      <c r="E92" s="620"/>
      <c r="F92" s="620"/>
    </row>
    <row r="93" spans="1:6">
      <c r="A93" s="457"/>
      <c r="B93" s="331" t="s">
        <v>842</v>
      </c>
      <c r="C93" s="457"/>
      <c r="D93" s="457"/>
      <c r="E93" s="457"/>
      <c r="F93" s="457"/>
    </row>
    <row r="94" spans="1:6">
      <c r="A94" s="619" t="s">
        <v>1816</v>
      </c>
      <c r="B94" s="331" t="s">
        <v>1817</v>
      </c>
      <c r="C94" s="619" t="s">
        <v>21</v>
      </c>
      <c r="D94" s="619">
        <v>11.5</v>
      </c>
      <c r="E94" s="619">
        <v>53</v>
      </c>
      <c r="F94" s="630">
        <f>D94*E94</f>
        <v>609.5</v>
      </c>
    </row>
    <row r="95" spans="1:6">
      <c r="A95" s="457"/>
      <c r="B95" s="331" t="s">
        <v>958</v>
      </c>
      <c r="C95" s="457"/>
      <c r="D95" s="457"/>
      <c r="E95" s="457"/>
      <c r="F95" s="457"/>
    </row>
    <row r="96" spans="1:6">
      <c r="A96" s="331"/>
      <c r="B96" s="622" t="s">
        <v>28</v>
      </c>
      <c r="C96" s="454"/>
      <c r="D96" s="454"/>
      <c r="E96" s="450"/>
      <c r="F96" s="333">
        <f>F94*0.01</f>
        <v>6.0949999999999998</v>
      </c>
    </row>
    <row r="97" spans="1:6">
      <c r="A97" s="331"/>
      <c r="B97" s="622" t="s">
        <v>30</v>
      </c>
      <c r="C97" s="454"/>
      <c r="D97" s="454"/>
      <c r="E97" s="450"/>
      <c r="F97" s="333">
        <f>SUM(F94:F96)</f>
        <v>615.59500000000003</v>
      </c>
    </row>
    <row r="98" spans="1:6">
      <c r="A98" s="331"/>
      <c r="B98" s="622" t="s">
        <v>36</v>
      </c>
      <c r="C98" s="454"/>
      <c r="D98" s="454"/>
      <c r="E98" s="450"/>
      <c r="F98" s="333">
        <f>F97*0.15</f>
        <v>92.339250000000007</v>
      </c>
    </row>
    <row r="99" spans="1:6">
      <c r="A99" s="331"/>
      <c r="B99" s="622" t="s">
        <v>30</v>
      </c>
      <c r="C99" s="454"/>
      <c r="D99" s="454"/>
      <c r="E99" s="450"/>
      <c r="F99" s="333">
        <f>SUM(F97:F98)</f>
        <v>707.93425000000002</v>
      </c>
    </row>
    <row r="100" spans="1:6">
      <c r="A100" s="331"/>
      <c r="B100" s="622" t="s">
        <v>539</v>
      </c>
      <c r="C100" s="454"/>
      <c r="D100" s="454"/>
      <c r="E100" s="450"/>
      <c r="F100" s="333">
        <f>F99</f>
        <v>707.93425000000002</v>
      </c>
    </row>
    <row r="101" spans="1:6">
      <c r="A101" s="331"/>
      <c r="B101" s="622" t="s">
        <v>54</v>
      </c>
      <c r="C101" s="454"/>
      <c r="D101" s="454"/>
      <c r="E101" s="450"/>
      <c r="F101" s="334">
        <f>ROUND(F100/10,2)</f>
        <v>70.790000000000006</v>
      </c>
    </row>
    <row r="102" spans="1:6">
      <c r="A102" s="335">
        <v>116</v>
      </c>
      <c r="B102" s="331" t="s">
        <v>527</v>
      </c>
      <c r="C102" s="335" t="s">
        <v>26</v>
      </c>
      <c r="D102" s="335">
        <v>0.12</v>
      </c>
      <c r="E102" s="336">
        <v>784</v>
      </c>
      <c r="F102" s="333">
        <f t="shared" ref="F102:F103" si="4">D102*E102</f>
        <v>94.08</v>
      </c>
    </row>
    <row r="103" spans="1:6">
      <c r="A103" s="335">
        <v>114</v>
      </c>
      <c r="B103" s="331" t="s">
        <v>59</v>
      </c>
      <c r="C103" s="335" t="s">
        <v>26</v>
      </c>
      <c r="D103" s="335">
        <v>0.25</v>
      </c>
      <c r="E103" s="336">
        <v>645</v>
      </c>
      <c r="F103" s="333">
        <f t="shared" si="4"/>
        <v>161.25</v>
      </c>
    </row>
    <row r="104" spans="1:6">
      <c r="A104" s="331"/>
      <c r="B104" s="622" t="s">
        <v>27</v>
      </c>
      <c r="C104" s="454"/>
      <c r="D104" s="454"/>
      <c r="E104" s="450"/>
      <c r="F104" s="333">
        <f>SUM(F102:F103)</f>
        <v>255.32999999999998</v>
      </c>
    </row>
    <row r="105" spans="1:6">
      <c r="A105" s="331"/>
      <c r="B105" s="622" t="s">
        <v>28</v>
      </c>
      <c r="C105" s="454"/>
      <c r="D105" s="454"/>
      <c r="E105" s="450"/>
      <c r="F105" s="333">
        <f>F104*0.01</f>
        <v>2.5532999999999997</v>
      </c>
    </row>
    <row r="106" spans="1:6">
      <c r="A106" s="331"/>
      <c r="B106" s="622" t="s">
        <v>30</v>
      </c>
      <c r="C106" s="454"/>
      <c r="D106" s="454"/>
      <c r="E106" s="450"/>
      <c r="F106" s="333">
        <f>SUM(F104:F105)</f>
        <v>257.88329999999996</v>
      </c>
    </row>
    <row r="107" spans="1:6">
      <c r="A107" s="331"/>
      <c r="B107" s="622" t="s">
        <v>36</v>
      </c>
      <c r="C107" s="454"/>
      <c r="D107" s="454"/>
      <c r="E107" s="450"/>
      <c r="F107" s="333">
        <f>F106*0.15</f>
        <v>38.682494999999996</v>
      </c>
    </row>
    <row r="108" spans="1:6">
      <c r="A108" s="331"/>
      <c r="B108" s="622" t="s">
        <v>30</v>
      </c>
      <c r="C108" s="454"/>
      <c r="D108" s="454"/>
      <c r="E108" s="450"/>
      <c r="F108" s="333">
        <f>SUM(F106:F107)</f>
        <v>296.56579499999998</v>
      </c>
    </row>
    <row r="109" spans="1:6">
      <c r="A109" s="331"/>
      <c r="B109" s="622" t="s">
        <v>539</v>
      </c>
      <c r="C109" s="454"/>
      <c r="D109" s="454"/>
      <c r="E109" s="450"/>
      <c r="F109" s="333">
        <f>F108</f>
        <v>296.56579499999998</v>
      </c>
    </row>
    <row r="110" spans="1:6">
      <c r="A110" s="331"/>
      <c r="B110" s="622" t="s">
        <v>54</v>
      </c>
      <c r="C110" s="454"/>
      <c r="D110" s="454"/>
      <c r="E110" s="450"/>
      <c r="F110" s="334">
        <f>ROUND(F109/10,2)</f>
        <v>29.66</v>
      </c>
    </row>
    <row r="111" spans="1:6">
      <c r="A111" s="624" t="str">
        <f>CONCATENATE("Say ₹ ",F101," + ",F110," x Cost Index")</f>
        <v>Say ₹ 70.79 + 29.66 x Cost Index</v>
      </c>
      <c r="B111" s="454"/>
      <c r="C111" s="454"/>
      <c r="D111" s="454"/>
      <c r="E111" s="454"/>
      <c r="F111" s="450"/>
    </row>
    <row r="112" spans="1:6">
      <c r="A112" s="159">
        <v>0</v>
      </c>
      <c r="B112" s="455" t="s">
        <v>1821</v>
      </c>
      <c r="C112" s="454"/>
      <c r="D112" s="454"/>
      <c r="E112" s="454"/>
      <c r="F112" s="450"/>
    </row>
    <row r="113" spans="1:6">
      <c r="A113" s="1" t="s">
        <v>3</v>
      </c>
      <c r="B113" s="1" t="s">
        <v>4</v>
      </c>
      <c r="C113" s="1" t="s">
        <v>5</v>
      </c>
      <c r="D113" s="1" t="s">
        <v>6</v>
      </c>
      <c r="E113" s="1" t="s">
        <v>7</v>
      </c>
      <c r="F113" s="1" t="s">
        <v>8</v>
      </c>
    </row>
    <row r="114" spans="1:6">
      <c r="A114" s="623"/>
      <c r="B114" s="4" t="s">
        <v>512</v>
      </c>
      <c r="C114" s="623"/>
      <c r="D114" s="623"/>
      <c r="E114" s="623"/>
      <c r="F114" s="623"/>
    </row>
    <row r="115" spans="1:6">
      <c r="A115" s="457"/>
      <c r="B115" s="4" t="s">
        <v>842</v>
      </c>
      <c r="C115" s="457"/>
      <c r="D115" s="457"/>
      <c r="E115" s="457"/>
      <c r="F115" s="457"/>
    </row>
    <row r="116" spans="1:6">
      <c r="A116" s="456" t="s">
        <v>1823</v>
      </c>
      <c r="B116" s="4" t="s">
        <v>1824</v>
      </c>
      <c r="C116" s="456" t="s">
        <v>21</v>
      </c>
      <c r="D116" s="456">
        <v>11.5</v>
      </c>
      <c r="E116" s="456">
        <v>84</v>
      </c>
      <c r="F116" s="625">
        <f>D116*E116</f>
        <v>966</v>
      </c>
    </row>
    <row r="117" spans="1:6">
      <c r="A117" s="457"/>
      <c r="B117" s="4" t="s">
        <v>958</v>
      </c>
      <c r="C117" s="457"/>
      <c r="D117" s="457"/>
      <c r="E117" s="457"/>
      <c r="F117" s="457"/>
    </row>
    <row r="118" spans="1:6">
      <c r="A118" s="4"/>
      <c r="B118" s="470" t="s">
        <v>28</v>
      </c>
      <c r="C118" s="454"/>
      <c r="D118" s="454"/>
      <c r="E118" s="450"/>
      <c r="F118" s="322">
        <f>F116*0.01</f>
        <v>9.66</v>
      </c>
    </row>
    <row r="119" spans="1:6">
      <c r="A119" s="4"/>
      <c r="B119" s="470" t="s">
        <v>30</v>
      </c>
      <c r="C119" s="454"/>
      <c r="D119" s="454"/>
      <c r="E119" s="450"/>
      <c r="F119" s="322">
        <f>SUM(F116:F118)</f>
        <v>975.66</v>
      </c>
    </row>
    <row r="120" spans="1:6">
      <c r="A120" s="4"/>
      <c r="B120" s="470" t="s">
        <v>36</v>
      </c>
      <c r="C120" s="454"/>
      <c r="D120" s="454"/>
      <c r="E120" s="450"/>
      <c r="F120" s="322">
        <f>F119*0.15</f>
        <v>146.34899999999999</v>
      </c>
    </row>
    <row r="121" spans="1:6">
      <c r="A121" s="4"/>
      <c r="B121" s="470" t="s">
        <v>30</v>
      </c>
      <c r="C121" s="454"/>
      <c r="D121" s="454"/>
      <c r="E121" s="450"/>
      <c r="F121" s="322">
        <f>SUM(F119:F120)</f>
        <v>1122.009</v>
      </c>
    </row>
    <row r="122" spans="1:6">
      <c r="A122" s="4"/>
      <c r="B122" s="470" t="s">
        <v>539</v>
      </c>
      <c r="C122" s="454"/>
      <c r="D122" s="454"/>
      <c r="E122" s="450"/>
      <c r="F122" s="322">
        <f>F121</f>
        <v>1122.009</v>
      </c>
    </row>
    <row r="123" spans="1:6">
      <c r="A123" s="4"/>
      <c r="B123" s="470" t="s">
        <v>54</v>
      </c>
      <c r="C123" s="454"/>
      <c r="D123" s="454"/>
      <c r="E123" s="450"/>
      <c r="F123" s="323">
        <f>ROUND(F122/10,2)</f>
        <v>112.2</v>
      </c>
    </row>
    <row r="124" spans="1:6">
      <c r="A124" s="7">
        <v>116</v>
      </c>
      <c r="B124" s="4" t="s">
        <v>527</v>
      </c>
      <c r="C124" s="7" t="s">
        <v>26</v>
      </c>
      <c r="D124" s="7">
        <v>0.12</v>
      </c>
      <c r="E124" s="5">
        <v>784</v>
      </c>
      <c r="F124" s="322">
        <f t="shared" ref="F124:F125" si="5">D124*E124</f>
        <v>94.08</v>
      </c>
    </row>
    <row r="125" spans="1:6">
      <c r="A125" s="7">
        <v>114</v>
      </c>
      <c r="B125" s="4" t="s">
        <v>59</v>
      </c>
      <c r="C125" s="7" t="s">
        <v>26</v>
      </c>
      <c r="D125" s="7">
        <v>0.25</v>
      </c>
      <c r="E125" s="5">
        <v>645</v>
      </c>
      <c r="F125" s="322">
        <f t="shared" si="5"/>
        <v>161.25</v>
      </c>
    </row>
    <row r="126" spans="1:6">
      <c r="A126" s="4"/>
      <c r="B126" s="470" t="s">
        <v>27</v>
      </c>
      <c r="C126" s="454"/>
      <c r="D126" s="454"/>
      <c r="E126" s="450"/>
      <c r="F126" s="322">
        <f>SUM(F124:F125)</f>
        <v>255.32999999999998</v>
      </c>
    </row>
    <row r="127" spans="1:6">
      <c r="A127" s="4"/>
      <c r="B127" s="470" t="s">
        <v>28</v>
      </c>
      <c r="C127" s="454"/>
      <c r="D127" s="454"/>
      <c r="E127" s="450"/>
      <c r="F127" s="322">
        <f>F126*0.01</f>
        <v>2.5532999999999997</v>
      </c>
    </row>
    <row r="128" spans="1:6">
      <c r="A128" s="4"/>
      <c r="B128" s="470" t="s">
        <v>30</v>
      </c>
      <c r="C128" s="454"/>
      <c r="D128" s="454"/>
      <c r="E128" s="450"/>
      <c r="F128" s="322">
        <f>SUM(F126:F127)</f>
        <v>257.88329999999996</v>
      </c>
    </row>
    <row r="129" spans="1:6">
      <c r="A129" s="4"/>
      <c r="B129" s="470" t="s">
        <v>36</v>
      </c>
      <c r="C129" s="454"/>
      <c r="D129" s="454"/>
      <c r="E129" s="450"/>
      <c r="F129" s="322">
        <f>F128*0.15</f>
        <v>38.682494999999996</v>
      </c>
    </row>
    <row r="130" spans="1:6">
      <c r="A130" s="4"/>
      <c r="B130" s="470" t="s">
        <v>30</v>
      </c>
      <c r="C130" s="454"/>
      <c r="D130" s="454"/>
      <c r="E130" s="450"/>
      <c r="F130" s="322">
        <f>SUM(F128:F129)</f>
        <v>296.56579499999998</v>
      </c>
    </row>
    <row r="131" spans="1:6">
      <c r="A131" s="4"/>
      <c r="B131" s="470" t="s">
        <v>539</v>
      </c>
      <c r="C131" s="454"/>
      <c r="D131" s="454"/>
      <c r="E131" s="450"/>
      <c r="F131" s="322">
        <f>F130</f>
        <v>296.56579499999998</v>
      </c>
    </row>
    <row r="132" spans="1:6">
      <c r="A132" s="4"/>
      <c r="B132" s="470" t="s">
        <v>54</v>
      </c>
      <c r="C132" s="454"/>
      <c r="D132" s="454"/>
      <c r="E132" s="450"/>
      <c r="F132" s="323">
        <f>ROUND(F131/10,2)</f>
        <v>29.66</v>
      </c>
    </row>
    <row r="133" spans="1:6">
      <c r="A133" s="459" t="str">
        <f>CONCATENATE("Say ₹ ",F123," + ",F132," x Cost Index")</f>
        <v>Say ₹ 112.2 + 29.66 x Cost Index</v>
      </c>
      <c r="B133" s="454"/>
      <c r="C133" s="454"/>
      <c r="D133" s="454"/>
      <c r="E133" s="454"/>
      <c r="F133" s="450"/>
    </row>
    <row r="134" spans="1:6">
      <c r="A134" s="329">
        <v>0</v>
      </c>
      <c r="B134" s="618" t="s">
        <v>1831</v>
      </c>
      <c r="C134" s="454"/>
      <c r="D134" s="454"/>
      <c r="E134" s="454"/>
      <c r="F134" s="450"/>
    </row>
    <row r="135" spans="1:6">
      <c r="A135" s="330" t="s">
        <v>3</v>
      </c>
      <c r="B135" s="330" t="s">
        <v>4</v>
      </c>
      <c r="C135" s="330" t="s">
        <v>5</v>
      </c>
      <c r="D135" s="330" t="s">
        <v>6</v>
      </c>
      <c r="E135" s="330" t="s">
        <v>7</v>
      </c>
      <c r="F135" s="330" t="s">
        <v>8</v>
      </c>
    </row>
    <row r="136" spans="1:6">
      <c r="A136" s="620"/>
      <c r="B136" s="331" t="s">
        <v>512</v>
      </c>
      <c r="C136" s="620"/>
      <c r="D136" s="620"/>
      <c r="E136" s="620"/>
      <c r="F136" s="620"/>
    </row>
    <row r="137" spans="1:6">
      <c r="A137" s="457"/>
      <c r="B137" s="331" t="s">
        <v>842</v>
      </c>
      <c r="C137" s="457"/>
      <c r="D137" s="457"/>
      <c r="E137" s="457"/>
      <c r="F137" s="457"/>
    </row>
    <row r="138" spans="1:6">
      <c r="A138" s="619" t="s">
        <v>1832</v>
      </c>
      <c r="B138" s="331" t="s">
        <v>1833</v>
      </c>
      <c r="C138" s="619" t="s">
        <v>21</v>
      </c>
      <c r="D138" s="619">
        <v>11.5</v>
      </c>
      <c r="E138" s="619">
        <v>60</v>
      </c>
      <c r="F138" s="621">
        <f>D138*E138</f>
        <v>690</v>
      </c>
    </row>
    <row r="139" spans="1:6">
      <c r="A139" s="457"/>
      <c r="B139" s="331" t="s">
        <v>958</v>
      </c>
      <c r="C139" s="457"/>
      <c r="D139" s="457"/>
      <c r="E139" s="457"/>
      <c r="F139" s="457"/>
    </row>
    <row r="140" spans="1:6">
      <c r="A140" s="331"/>
      <c r="B140" s="622" t="s">
        <v>28</v>
      </c>
      <c r="C140" s="454"/>
      <c r="D140" s="454"/>
      <c r="E140" s="450"/>
      <c r="F140" s="333">
        <f>F138*0.01</f>
        <v>6.9</v>
      </c>
    </row>
    <row r="141" spans="1:6">
      <c r="A141" s="331"/>
      <c r="B141" s="622" t="s">
        <v>30</v>
      </c>
      <c r="C141" s="454"/>
      <c r="D141" s="454"/>
      <c r="E141" s="450"/>
      <c r="F141" s="333">
        <f>SUM(F138:F140)</f>
        <v>696.9</v>
      </c>
    </row>
    <row r="142" spans="1:6">
      <c r="A142" s="331"/>
      <c r="B142" s="622" t="s">
        <v>36</v>
      </c>
      <c r="C142" s="454"/>
      <c r="D142" s="454"/>
      <c r="E142" s="450"/>
      <c r="F142" s="333">
        <f>F141*0.15</f>
        <v>104.535</v>
      </c>
    </row>
    <row r="143" spans="1:6">
      <c r="A143" s="331"/>
      <c r="B143" s="622" t="s">
        <v>30</v>
      </c>
      <c r="C143" s="454"/>
      <c r="D143" s="454"/>
      <c r="E143" s="450"/>
      <c r="F143" s="333">
        <f>SUM(F141:F142)</f>
        <v>801.43499999999995</v>
      </c>
    </row>
    <row r="144" spans="1:6">
      <c r="A144" s="331"/>
      <c r="B144" s="622" t="s">
        <v>539</v>
      </c>
      <c r="C144" s="454"/>
      <c r="D144" s="454"/>
      <c r="E144" s="450"/>
      <c r="F144" s="333">
        <f>F143</f>
        <v>801.43499999999995</v>
      </c>
    </row>
    <row r="145" spans="1:6">
      <c r="A145" s="331"/>
      <c r="B145" s="622" t="s">
        <v>54</v>
      </c>
      <c r="C145" s="454"/>
      <c r="D145" s="454"/>
      <c r="E145" s="450"/>
      <c r="F145" s="334">
        <f>ROUND(F144/10,2)</f>
        <v>80.14</v>
      </c>
    </row>
    <row r="146" spans="1:6">
      <c r="A146" s="335">
        <v>116</v>
      </c>
      <c r="B146" s="331" t="s">
        <v>527</v>
      </c>
      <c r="C146" s="335" t="s">
        <v>26</v>
      </c>
      <c r="D146" s="335">
        <v>0.12</v>
      </c>
      <c r="E146" s="336">
        <v>784</v>
      </c>
      <c r="F146" s="333">
        <f t="shared" ref="F146:F147" si="6">D146*E146</f>
        <v>94.08</v>
      </c>
    </row>
    <row r="147" spans="1:6">
      <c r="A147" s="335">
        <v>114</v>
      </c>
      <c r="B147" s="331" t="s">
        <v>59</v>
      </c>
      <c r="C147" s="335" t="s">
        <v>26</v>
      </c>
      <c r="D147" s="335">
        <v>0.25</v>
      </c>
      <c r="E147" s="336">
        <v>645</v>
      </c>
      <c r="F147" s="333">
        <f t="shared" si="6"/>
        <v>161.25</v>
      </c>
    </row>
    <row r="148" spans="1:6">
      <c r="A148" s="331"/>
      <c r="B148" s="622" t="s">
        <v>27</v>
      </c>
      <c r="C148" s="454"/>
      <c r="D148" s="454"/>
      <c r="E148" s="450"/>
      <c r="F148" s="333">
        <f>SUM(F146:F147)</f>
        <v>255.32999999999998</v>
      </c>
    </row>
    <row r="149" spans="1:6">
      <c r="A149" s="331"/>
      <c r="B149" s="622" t="s">
        <v>28</v>
      </c>
      <c r="C149" s="454"/>
      <c r="D149" s="454"/>
      <c r="E149" s="450"/>
      <c r="F149" s="333">
        <f>F148*0.01</f>
        <v>2.5532999999999997</v>
      </c>
    </row>
    <row r="150" spans="1:6">
      <c r="A150" s="331"/>
      <c r="B150" s="622" t="s">
        <v>30</v>
      </c>
      <c r="C150" s="454"/>
      <c r="D150" s="454"/>
      <c r="E150" s="450"/>
      <c r="F150" s="333">
        <f>SUM(F148:F149)</f>
        <v>257.88329999999996</v>
      </c>
    </row>
    <row r="151" spans="1:6">
      <c r="A151" s="331"/>
      <c r="B151" s="622" t="s">
        <v>36</v>
      </c>
      <c r="C151" s="454"/>
      <c r="D151" s="454"/>
      <c r="E151" s="450"/>
      <c r="F151" s="333">
        <f>F150*0.15</f>
        <v>38.682494999999996</v>
      </c>
    </row>
    <row r="152" spans="1:6">
      <c r="A152" s="331"/>
      <c r="B152" s="622" t="s">
        <v>30</v>
      </c>
      <c r="C152" s="454"/>
      <c r="D152" s="454"/>
      <c r="E152" s="450"/>
      <c r="F152" s="333">
        <f>SUM(F150:F151)</f>
        <v>296.56579499999998</v>
      </c>
    </row>
    <row r="153" spans="1:6">
      <c r="A153" s="331"/>
      <c r="B153" s="622" t="s">
        <v>539</v>
      </c>
      <c r="C153" s="454"/>
      <c r="D153" s="454"/>
      <c r="E153" s="450"/>
      <c r="F153" s="333">
        <f>F152</f>
        <v>296.56579499999998</v>
      </c>
    </row>
    <row r="154" spans="1:6">
      <c r="A154" s="331"/>
      <c r="B154" s="622" t="s">
        <v>54</v>
      </c>
      <c r="C154" s="454"/>
      <c r="D154" s="454"/>
      <c r="E154" s="450"/>
      <c r="F154" s="334">
        <f>ROUND(F153/10,2)</f>
        <v>29.66</v>
      </c>
    </row>
    <row r="155" spans="1:6">
      <c r="A155" s="624" t="str">
        <f>CONCATENATE("Say ₹ ",F145," + ",F154," x Cost Index")</f>
        <v>Say ₹ 80.14 + 29.66 x Cost Index</v>
      </c>
      <c r="B155" s="454"/>
      <c r="C155" s="454"/>
      <c r="D155" s="454"/>
      <c r="E155" s="454"/>
      <c r="F155" s="450"/>
    </row>
    <row r="156" spans="1:6">
      <c r="A156" s="159">
        <v>0</v>
      </c>
      <c r="B156" s="455" t="s">
        <v>1837</v>
      </c>
      <c r="C156" s="454"/>
      <c r="D156" s="454"/>
      <c r="E156" s="454"/>
      <c r="F156" s="450"/>
    </row>
    <row r="157" spans="1:6">
      <c r="A157" s="1" t="s">
        <v>3</v>
      </c>
      <c r="B157" s="1" t="s">
        <v>4</v>
      </c>
      <c r="C157" s="1" t="s">
        <v>5</v>
      </c>
      <c r="D157" s="1" t="s">
        <v>6</v>
      </c>
      <c r="E157" s="1" t="s">
        <v>7</v>
      </c>
      <c r="F157" s="1" t="s">
        <v>8</v>
      </c>
    </row>
    <row r="158" spans="1:6">
      <c r="A158" s="623"/>
      <c r="B158" s="4" t="s">
        <v>512</v>
      </c>
      <c r="C158" s="623"/>
      <c r="D158" s="623"/>
      <c r="E158" s="623"/>
      <c r="F158" s="623"/>
    </row>
    <row r="159" spans="1:6">
      <c r="A159" s="457"/>
      <c r="B159" s="4" t="s">
        <v>842</v>
      </c>
      <c r="C159" s="457"/>
      <c r="D159" s="457"/>
      <c r="E159" s="457"/>
      <c r="F159" s="457"/>
    </row>
    <row r="160" spans="1:6">
      <c r="A160" s="456" t="s">
        <v>1838</v>
      </c>
      <c r="B160" s="4" t="s">
        <v>1839</v>
      </c>
      <c r="C160" s="456" t="s">
        <v>21</v>
      </c>
      <c r="D160" s="456">
        <v>11.5</v>
      </c>
      <c r="E160" s="456">
        <v>90</v>
      </c>
      <c r="F160" s="625">
        <f>D160*E160</f>
        <v>1035</v>
      </c>
    </row>
    <row r="161" spans="1:6">
      <c r="A161" s="457"/>
      <c r="B161" s="4" t="s">
        <v>958</v>
      </c>
      <c r="C161" s="457"/>
      <c r="D161" s="457"/>
      <c r="E161" s="457"/>
      <c r="F161" s="457"/>
    </row>
    <row r="162" spans="1:6">
      <c r="A162" s="4"/>
      <c r="B162" s="470" t="s">
        <v>28</v>
      </c>
      <c r="C162" s="454"/>
      <c r="D162" s="454"/>
      <c r="E162" s="450"/>
      <c r="F162" s="322">
        <f>F160*0.01</f>
        <v>10.35</v>
      </c>
    </row>
    <row r="163" spans="1:6">
      <c r="A163" s="4"/>
      <c r="B163" s="470" t="s">
        <v>30</v>
      </c>
      <c r="C163" s="454"/>
      <c r="D163" s="454"/>
      <c r="E163" s="450"/>
      <c r="F163" s="322">
        <f>SUM(F160:F162)</f>
        <v>1045.3499999999999</v>
      </c>
    </row>
    <row r="164" spans="1:6">
      <c r="A164" s="4"/>
      <c r="B164" s="470" t="s">
        <v>36</v>
      </c>
      <c r="C164" s="454"/>
      <c r="D164" s="454"/>
      <c r="E164" s="450"/>
      <c r="F164" s="322">
        <f>F163*0.15</f>
        <v>156.80249999999998</v>
      </c>
    </row>
    <row r="165" spans="1:6">
      <c r="A165" s="4"/>
      <c r="B165" s="470" t="s">
        <v>30</v>
      </c>
      <c r="C165" s="454"/>
      <c r="D165" s="454"/>
      <c r="E165" s="450"/>
      <c r="F165" s="322">
        <f>SUM(F163:F164)</f>
        <v>1202.1524999999999</v>
      </c>
    </row>
    <row r="166" spans="1:6">
      <c r="A166" s="4"/>
      <c r="B166" s="470" t="s">
        <v>539</v>
      </c>
      <c r="C166" s="454"/>
      <c r="D166" s="454"/>
      <c r="E166" s="450"/>
      <c r="F166" s="322">
        <f>F165</f>
        <v>1202.1524999999999</v>
      </c>
    </row>
    <row r="167" spans="1:6">
      <c r="A167" s="4"/>
      <c r="B167" s="470" t="s">
        <v>54</v>
      </c>
      <c r="C167" s="454"/>
      <c r="D167" s="454"/>
      <c r="E167" s="450"/>
      <c r="F167" s="323">
        <f>ROUND(F166/10,2)</f>
        <v>120.22</v>
      </c>
    </row>
    <row r="168" spans="1:6">
      <c r="A168" s="7">
        <v>116</v>
      </c>
      <c r="B168" s="4" t="s">
        <v>527</v>
      </c>
      <c r="C168" s="7" t="s">
        <v>26</v>
      </c>
      <c r="D168" s="7">
        <v>0.12</v>
      </c>
      <c r="E168" s="5">
        <v>784</v>
      </c>
      <c r="F168" s="322">
        <f t="shared" ref="F168:F169" si="7">D168*E168</f>
        <v>94.08</v>
      </c>
    </row>
    <row r="169" spans="1:6">
      <c r="A169" s="7">
        <v>114</v>
      </c>
      <c r="B169" s="4" t="s">
        <v>59</v>
      </c>
      <c r="C169" s="7" t="s">
        <v>26</v>
      </c>
      <c r="D169" s="7">
        <v>0.25</v>
      </c>
      <c r="E169" s="5">
        <v>645</v>
      </c>
      <c r="F169" s="322">
        <f t="shared" si="7"/>
        <v>161.25</v>
      </c>
    </row>
    <row r="170" spans="1:6">
      <c r="A170" s="4"/>
      <c r="B170" s="470" t="s">
        <v>27</v>
      </c>
      <c r="C170" s="454"/>
      <c r="D170" s="454"/>
      <c r="E170" s="450"/>
      <c r="F170" s="322">
        <f>SUM(F168:F169)</f>
        <v>255.32999999999998</v>
      </c>
    </row>
    <row r="171" spans="1:6">
      <c r="A171" s="4"/>
      <c r="B171" s="470" t="s">
        <v>28</v>
      </c>
      <c r="C171" s="454"/>
      <c r="D171" s="454"/>
      <c r="E171" s="450"/>
      <c r="F171" s="322">
        <f>F170*0.01</f>
        <v>2.5532999999999997</v>
      </c>
    </row>
    <row r="172" spans="1:6">
      <c r="A172" s="4"/>
      <c r="B172" s="470" t="s">
        <v>30</v>
      </c>
      <c r="C172" s="454"/>
      <c r="D172" s="454"/>
      <c r="E172" s="450"/>
      <c r="F172" s="322">
        <f>SUM(F170:F171)</f>
        <v>257.88329999999996</v>
      </c>
    </row>
    <row r="173" spans="1:6">
      <c r="A173" s="4"/>
      <c r="B173" s="470" t="s">
        <v>36</v>
      </c>
      <c r="C173" s="454"/>
      <c r="D173" s="454"/>
      <c r="E173" s="450"/>
      <c r="F173" s="322">
        <f>F172*0.15</f>
        <v>38.682494999999996</v>
      </c>
    </row>
    <row r="174" spans="1:6">
      <c r="A174" s="4"/>
      <c r="B174" s="470" t="s">
        <v>30</v>
      </c>
      <c r="C174" s="454"/>
      <c r="D174" s="454"/>
      <c r="E174" s="450"/>
      <c r="F174" s="322">
        <f>SUM(F172:F173)</f>
        <v>296.56579499999998</v>
      </c>
    </row>
    <row r="175" spans="1:6">
      <c r="A175" s="4"/>
      <c r="B175" s="470" t="s">
        <v>539</v>
      </c>
      <c r="C175" s="454"/>
      <c r="D175" s="454"/>
      <c r="E175" s="450"/>
      <c r="F175" s="322">
        <f>F174</f>
        <v>296.56579499999998</v>
      </c>
    </row>
    <row r="176" spans="1:6">
      <c r="A176" s="4"/>
      <c r="B176" s="470" t="s">
        <v>54</v>
      </c>
      <c r="C176" s="454"/>
      <c r="D176" s="454"/>
      <c r="E176" s="450"/>
      <c r="F176" s="323">
        <f>ROUND(F175/10,2)</f>
        <v>29.66</v>
      </c>
    </row>
    <row r="177" spans="1:6">
      <c r="A177" s="459" t="str">
        <f>CONCATENATE("Say ₹ ",F167," + ",F176," x Cost Index")</f>
        <v>Say ₹ 120.22 + 29.66 x Cost Index</v>
      </c>
      <c r="B177" s="454"/>
      <c r="C177" s="454"/>
      <c r="D177" s="454"/>
      <c r="E177" s="454"/>
      <c r="F177" s="450"/>
    </row>
    <row r="178" spans="1:6">
      <c r="A178" s="329">
        <v>0</v>
      </c>
      <c r="B178" s="618" t="s">
        <v>1847</v>
      </c>
      <c r="C178" s="454"/>
      <c r="D178" s="454"/>
      <c r="E178" s="454"/>
      <c r="F178" s="450"/>
    </row>
    <row r="179" spans="1:6">
      <c r="A179" s="330" t="s">
        <v>3</v>
      </c>
      <c r="B179" s="330" t="s">
        <v>4</v>
      </c>
      <c r="C179" s="330" t="s">
        <v>5</v>
      </c>
      <c r="D179" s="330" t="s">
        <v>6</v>
      </c>
      <c r="E179" s="330" t="s">
        <v>7</v>
      </c>
      <c r="F179" s="330" t="s">
        <v>8</v>
      </c>
    </row>
    <row r="180" spans="1:6">
      <c r="A180" s="620"/>
      <c r="B180" s="331" t="s">
        <v>512</v>
      </c>
      <c r="C180" s="620"/>
      <c r="D180" s="620"/>
      <c r="E180" s="620"/>
      <c r="F180" s="620"/>
    </row>
    <row r="181" spans="1:6">
      <c r="A181" s="457"/>
      <c r="B181" s="331" t="s">
        <v>842</v>
      </c>
      <c r="C181" s="457"/>
      <c r="D181" s="457"/>
      <c r="E181" s="457"/>
      <c r="F181" s="457"/>
    </row>
    <row r="182" spans="1:6">
      <c r="A182" s="619" t="s">
        <v>1848</v>
      </c>
      <c r="B182" s="331" t="s">
        <v>1849</v>
      </c>
      <c r="C182" s="619" t="s">
        <v>21</v>
      </c>
      <c r="D182" s="619">
        <v>11.5</v>
      </c>
      <c r="E182" s="619">
        <v>118</v>
      </c>
      <c r="F182" s="621">
        <f>D182*E182</f>
        <v>1357</v>
      </c>
    </row>
    <row r="183" spans="1:6">
      <c r="A183" s="457"/>
      <c r="B183" s="331" t="s">
        <v>958</v>
      </c>
      <c r="C183" s="457"/>
      <c r="D183" s="457"/>
      <c r="E183" s="457"/>
      <c r="F183" s="457"/>
    </row>
    <row r="184" spans="1:6">
      <c r="A184" s="331"/>
      <c r="B184" s="622" t="s">
        <v>28</v>
      </c>
      <c r="C184" s="454"/>
      <c r="D184" s="454"/>
      <c r="E184" s="450"/>
      <c r="F184" s="333">
        <f>F182*0.01</f>
        <v>13.57</v>
      </c>
    </row>
    <row r="185" spans="1:6">
      <c r="A185" s="331"/>
      <c r="B185" s="622" t="s">
        <v>30</v>
      </c>
      <c r="C185" s="454"/>
      <c r="D185" s="454"/>
      <c r="E185" s="450"/>
      <c r="F185" s="333">
        <f>SUM(F182:F184)</f>
        <v>1370.57</v>
      </c>
    </row>
    <row r="186" spans="1:6">
      <c r="A186" s="331"/>
      <c r="B186" s="622" t="s">
        <v>36</v>
      </c>
      <c r="C186" s="454"/>
      <c r="D186" s="454"/>
      <c r="E186" s="450"/>
      <c r="F186" s="333">
        <f>F185*0.15</f>
        <v>205.5855</v>
      </c>
    </row>
    <row r="187" spans="1:6">
      <c r="A187" s="331"/>
      <c r="B187" s="622" t="s">
        <v>30</v>
      </c>
      <c r="C187" s="454"/>
      <c r="D187" s="454"/>
      <c r="E187" s="450"/>
      <c r="F187" s="333">
        <f>SUM(F185:F186)</f>
        <v>1576.1554999999998</v>
      </c>
    </row>
    <row r="188" spans="1:6">
      <c r="A188" s="331"/>
      <c r="B188" s="622" t="s">
        <v>539</v>
      </c>
      <c r="C188" s="454"/>
      <c r="D188" s="454"/>
      <c r="E188" s="450"/>
      <c r="F188" s="333">
        <f>F187</f>
        <v>1576.1554999999998</v>
      </c>
    </row>
    <row r="189" spans="1:6">
      <c r="A189" s="331"/>
      <c r="B189" s="622" t="s">
        <v>54</v>
      </c>
      <c r="C189" s="454"/>
      <c r="D189" s="454"/>
      <c r="E189" s="450"/>
      <c r="F189" s="334">
        <f>ROUND(F188/10,2)</f>
        <v>157.62</v>
      </c>
    </row>
    <row r="190" spans="1:6">
      <c r="A190" s="335">
        <v>116</v>
      </c>
      <c r="B190" s="331" t="s">
        <v>527</v>
      </c>
      <c r="C190" s="335" t="s">
        <v>26</v>
      </c>
      <c r="D190" s="335">
        <v>0.12</v>
      </c>
      <c r="E190" s="336">
        <v>784</v>
      </c>
      <c r="F190" s="333">
        <f t="shared" ref="F190:F191" si="8">D190*E190</f>
        <v>94.08</v>
      </c>
    </row>
    <row r="191" spans="1:6">
      <c r="A191" s="335">
        <v>114</v>
      </c>
      <c r="B191" s="331" t="s">
        <v>59</v>
      </c>
      <c r="C191" s="335" t="s">
        <v>26</v>
      </c>
      <c r="D191" s="335">
        <v>0.25</v>
      </c>
      <c r="E191" s="336">
        <v>645</v>
      </c>
      <c r="F191" s="333">
        <f t="shared" si="8"/>
        <v>161.25</v>
      </c>
    </row>
    <row r="192" spans="1:6">
      <c r="A192" s="331"/>
      <c r="B192" s="622" t="s">
        <v>27</v>
      </c>
      <c r="C192" s="454"/>
      <c r="D192" s="454"/>
      <c r="E192" s="450"/>
      <c r="F192" s="333">
        <f>SUM(F190:F191)</f>
        <v>255.32999999999998</v>
      </c>
    </row>
    <row r="193" spans="1:6">
      <c r="A193" s="331"/>
      <c r="B193" s="622" t="s">
        <v>28</v>
      </c>
      <c r="C193" s="454"/>
      <c r="D193" s="454"/>
      <c r="E193" s="450"/>
      <c r="F193" s="333">
        <f>F192*0.01</f>
        <v>2.5532999999999997</v>
      </c>
    </row>
    <row r="194" spans="1:6">
      <c r="A194" s="331"/>
      <c r="B194" s="622" t="s">
        <v>30</v>
      </c>
      <c r="C194" s="454"/>
      <c r="D194" s="454"/>
      <c r="E194" s="450"/>
      <c r="F194" s="333">
        <f>SUM(F192:F193)</f>
        <v>257.88329999999996</v>
      </c>
    </row>
    <row r="195" spans="1:6">
      <c r="A195" s="331"/>
      <c r="B195" s="622" t="s">
        <v>36</v>
      </c>
      <c r="C195" s="454"/>
      <c r="D195" s="454"/>
      <c r="E195" s="450"/>
      <c r="F195" s="333">
        <f>F194*0.15</f>
        <v>38.682494999999996</v>
      </c>
    </row>
    <row r="196" spans="1:6">
      <c r="A196" s="331"/>
      <c r="B196" s="622" t="s">
        <v>30</v>
      </c>
      <c r="C196" s="454"/>
      <c r="D196" s="454"/>
      <c r="E196" s="450"/>
      <c r="F196" s="333">
        <f>SUM(F194:F195)</f>
        <v>296.56579499999998</v>
      </c>
    </row>
    <row r="197" spans="1:6">
      <c r="A197" s="331"/>
      <c r="B197" s="622" t="s">
        <v>539</v>
      </c>
      <c r="C197" s="454"/>
      <c r="D197" s="454"/>
      <c r="E197" s="450"/>
      <c r="F197" s="333">
        <f>F196</f>
        <v>296.56579499999998</v>
      </c>
    </row>
    <row r="198" spans="1:6">
      <c r="A198" s="331"/>
      <c r="B198" s="622" t="s">
        <v>54</v>
      </c>
      <c r="C198" s="454"/>
      <c r="D198" s="454"/>
      <c r="E198" s="450"/>
      <c r="F198" s="334">
        <f>ROUND(F197/10,2)</f>
        <v>29.66</v>
      </c>
    </row>
    <row r="199" spans="1:6">
      <c r="A199" s="624" t="str">
        <f>CONCATENATE("Say ₹ ",F189," + ",F198," x Cost Index")</f>
        <v>Say ₹ 157.62 + 29.66 x Cost Index</v>
      </c>
      <c r="B199" s="454"/>
      <c r="C199" s="454"/>
      <c r="D199" s="454"/>
      <c r="E199" s="454"/>
      <c r="F199" s="450"/>
    </row>
    <row r="200" spans="1:6">
      <c r="A200" s="159">
        <v>0</v>
      </c>
      <c r="B200" s="455" t="s">
        <v>1853</v>
      </c>
      <c r="C200" s="454"/>
      <c r="D200" s="454"/>
      <c r="E200" s="454"/>
      <c r="F200" s="450"/>
    </row>
    <row r="201" spans="1:6">
      <c r="A201" s="1" t="s">
        <v>3</v>
      </c>
      <c r="B201" s="1" t="s">
        <v>4</v>
      </c>
      <c r="C201" s="1" t="s">
        <v>5</v>
      </c>
      <c r="D201" s="1" t="s">
        <v>6</v>
      </c>
      <c r="E201" s="1" t="s">
        <v>7</v>
      </c>
      <c r="F201" s="1" t="s">
        <v>8</v>
      </c>
    </row>
    <row r="202" spans="1:6">
      <c r="A202" s="623"/>
      <c r="B202" s="4" t="s">
        <v>512</v>
      </c>
      <c r="C202" s="623"/>
      <c r="D202" s="623"/>
      <c r="E202" s="623"/>
      <c r="F202" s="623"/>
    </row>
    <row r="203" spans="1:6">
      <c r="A203" s="457"/>
      <c r="B203" s="4" t="s">
        <v>842</v>
      </c>
      <c r="C203" s="457"/>
      <c r="D203" s="457"/>
      <c r="E203" s="457"/>
      <c r="F203" s="457"/>
    </row>
    <row r="204" spans="1:6">
      <c r="A204" s="456" t="s">
        <v>1854</v>
      </c>
      <c r="B204" s="4" t="s">
        <v>1855</v>
      </c>
      <c r="C204" s="456" t="s">
        <v>21</v>
      </c>
      <c r="D204" s="456">
        <v>11.5</v>
      </c>
      <c r="E204" s="456">
        <v>129</v>
      </c>
      <c r="F204" s="625">
        <f>D204*E204</f>
        <v>1483.5</v>
      </c>
    </row>
    <row r="205" spans="1:6">
      <c r="A205" s="457"/>
      <c r="B205" s="4" t="s">
        <v>958</v>
      </c>
      <c r="C205" s="457"/>
      <c r="D205" s="457"/>
      <c r="E205" s="457"/>
      <c r="F205" s="457"/>
    </row>
    <row r="206" spans="1:6">
      <c r="A206" s="4"/>
      <c r="B206" s="470" t="s">
        <v>28</v>
      </c>
      <c r="C206" s="454"/>
      <c r="D206" s="454"/>
      <c r="E206" s="450"/>
      <c r="F206" s="322">
        <f>F204*0.01</f>
        <v>14.835000000000001</v>
      </c>
    </row>
    <row r="207" spans="1:6">
      <c r="A207" s="4"/>
      <c r="B207" s="470" t="s">
        <v>30</v>
      </c>
      <c r="C207" s="454"/>
      <c r="D207" s="454"/>
      <c r="E207" s="450"/>
      <c r="F207" s="322">
        <f>SUM(F204:F206)</f>
        <v>1498.335</v>
      </c>
    </row>
    <row r="208" spans="1:6">
      <c r="A208" s="4"/>
      <c r="B208" s="470" t="s">
        <v>36</v>
      </c>
      <c r="C208" s="454"/>
      <c r="D208" s="454"/>
      <c r="E208" s="450"/>
      <c r="F208" s="322">
        <f>F207*0.15</f>
        <v>224.75024999999999</v>
      </c>
    </row>
    <row r="209" spans="1:6">
      <c r="A209" s="4"/>
      <c r="B209" s="470" t="s">
        <v>30</v>
      </c>
      <c r="C209" s="454"/>
      <c r="D209" s="454"/>
      <c r="E209" s="450"/>
      <c r="F209" s="322">
        <f>SUM(F207:F208)</f>
        <v>1723.0852500000001</v>
      </c>
    </row>
    <row r="210" spans="1:6">
      <c r="A210" s="4"/>
      <c r="B210" s="470" t="s">
        <v>539</v>
      </c>
      <c r="C210" s="454"/>
      <c r="D210" s="454"/>
      <c r="E210" s="450"/>
      <c r="F210" s="322">
        <f>F209</f>
        <v>1723.0852500000001</v>
      </c>
    </row>
    <row r="211" spans="1:6">
      <c r="A211" s="4"/>
      <c r="B211" s="470" t="s">
        <v>54</v>
      </c>
      <c r="C211" s="454"/>
      <c r="D211" s="454"/>
      <c r="E211" s="450"/>
      <c r="F211" s="323">
        <f>ROUND(F210/10,2)</f>
        <v>172.31</v>
      </c>
    </row>
    <row r="212" spans="1:6">
      <c r="A212" s="7">
        <v>116</v>
      </c>
      <c r="B212" s="4" t="s">
        <v>527</v>
      </c>
      <c r="C212" s="7" t="s">
        <v>26</v>
      </c>
      <c r="D212" s="7">
        <v>0.12</v>
      </c>
      <c r="E212" s="5">
        <v>784</v>
      </c>
      <c r="F212" s="322">
        <f t="shared" ref="F212:F213" si="9">D212*E212</f>
        <v>94.08</v>
      </c>
    </row>
    <row r="213" spans="1:6">
      <c r="A213" s="7">
        <v>114</v>
      </c>
      <c r="B213" s="4" t="s">
        <v>59</v>
      </c>
      <c r="C213" s="7" t="s">
        <v>26</v>
      </c>
      <c r="D213" s="7">
        <v>0.25</v>
      </c>
      <c r="E213" s="5">
        <v>645</v>
      </c>
      <c r="F213" s="322">
        <f t="shared" si="9"/>
        <v>161.25</v>
      </c>
    </row>
    <row r="214" spans="1:6">
      <c r="A214" s="4"/>
      <c r="B214" s="470" t="s">
        <v>27</v>
      </c>
      <c r="C214" s="454"/>
      <c r="D214" s="454"/>
      <c r="E214" s="450"/>
      <c r="F214" s="322">
        <f>SUM(F212:F213)</f>
        <v>255.32999999999998</v>
      </c>
    </row>
    <row r="215" spans="1:6">
      <c r="A215" s="4"/>
      <c r="B215" s="470" t="s">
        <v>28</v>
      </c>
      <c r="C215" s="454"/>
      <c r="D215" s="454"/>
      <c r="E215" s="450"/>
      <c r="F215" s="322">
        <f>F214*0.01</f>
        <v>2.5532999999999997</v>
      </c>
    </row>
    <row r="216" spans="1:6">
      <c r="A216" s="4"/>
      <c r="B216" s="470" t="s">
        <v>30</v>
      </c>
      <c r="C216" s="454"/>
      <c r="D216" s="454"/>
      <c r="E216" s="450"/>
      <c r="F216" s="322">
        <f>SUM(F214:F215)</f>
        <v>257.88329999999996</v>
      </c>
    </row>
    <row r="217" spans="1:6">
      <c r="A217" s="4"/>
      <c r="B217" s="470" t="s">
        <v>36</v>
      </c>
      <c r="C217" s="454"/>
      <c r="D217" s="454"/>
      <c r="E217" s="450"/>
      <c r="F217" s="322">
        <f>F216*0.15</f>
        <v>38.682494999999996</v>
      </c>
    </row>
    <row r="218" spans="1:6">
      <c r="A218" s="4"/>
      <c r="B218" s="470" t="s">
        <v>30</v>
      </c>
      <c r="C218" s="454"/>
      <c r="D218" s="454"/>
      <c r="E218" s="450"/>
      <c r="F218" s="322">
        <f>SUM(F216:F217)</f>
        <v>296.56579499999998</v>
      </c>
    </row>
    <row r="219" spans="1:6">
      <c r="A219" s="4"/>
      <c r="B219" s="470" t="s">
        <v>539</v>
      </c>
      <c r="C219" s="454"/>
      <c r="D219" s="454"/>
      <c r="E219" s="450"/>
      <c r="F219" s="322">
        <f>F218</f>
        <v>296.56579499999998</v>
      </c>
    </row>
    <row r="220" spans="1:6">
      <c r="A220" s="4"/>
      <c r="B220" s="470" t="s">
        <v>54</v>
      </c>
      <c r="C220" s="454"/>
      <c r="D220" s="454"/>
      <c r="E220" s="450"/>
      <c r="F220" s="323">
        <f>ROUND(F219/10,2)</f>
        <v>29.66</v>
      </c>
    </row>
    <row r="221" spans="1:6">
      <c r="A221" s="459" t="str">
        <f>CONCATENATE("Say ₹ ",F211," + ",F220," x Cost Index")</f>
        <v>Say ₹ 172.31 + 29.66 x Cost Index</v>
      </c>
      <c r="B221" s="454"/>
      <c r="C221" s="454"/>
      <c r="D221" s="454"/>
      <c r="E221" s="454"/>
      <c r="F221" s="450"/>
    </row>
    <row r="222" spans="1:6">
      <c r="A222" s="329">
        <v>0</v>
      </c>
      <c r="B222" s="618" t="s">
        <v>1863</v>
      </c>
      <c r="C222" s="454"/>
      <c r="D222" s="454"/>
      <c r="E222" s="454"/>
      <c r="F222" s="450"/>
    </row>
    <row r="223" spans="1:6">
      <c r="A223" s="330" t="s">
        <v>3</v>
      </c>
      <c r="B223" s="330" t="s">
        <v>4</v>
      </c>
      <c r="C223" s="330" t="s">
        <v>5</v>
      </c>
      <c r="D223" s="330" t="s">
        <v>6</v>
      </c>
      <c r="E223" s="330" t="s">
        <v>7</v>
      </c>
      <c r="F223" s="330" t="s">
        <v>8</v>
      </c>
    </row>
    <row r="224" spans="1:6">
      <c r="A224" s="620"/>
      <c r="B224" s="331" t="s">
        <v>512</v>
      </c>
      <c r="C224" s="620"/>
      <c r="D224" s="620"/>
      <c r="E224" s="620"/>
      <c r="F224" s="620"/>
    </row>
    <row r="225" spans="1:6">
      <c r="A225" s="457"/>
      <c r="B225" s="331" t="s">
        <v>842</v>
      </c>
      <c r="C225" s="457"/>
      <c r="D225" s="457"/>
      <c r="E225" s="457"/>
      <c r="F225" s="457"/>
    </row>
    <row r="226" spans="1:6">
      <c r="A226" s="619" t="s">
        <v>1864</v>
      </c>
      <c r="B226" s="331" t="s">
        <v>1865</v>
      </c>
      <c r="C226" s="619" t="s">
        <v>21</v>
      </c>
      <c r="D226" s="619">
        <v>11.5</v>
      </c>
      <c r="E226" s="619">
        <v>211</v>
      </c>
      <c r="F226" s="621">
        <f>D226*E226</f>
        <v>2426.5</v>
      </c>
    </row>
    <row r="227" spans="1:6">
      <c r="A227" s="457"/>
      <c r="B227" s="331" t="s">
        <v>958</v>
      </c>
      <c r="C227" s="457"/>
      <c r="D227" s="457"/>
      <c r="E227" s="457"/>
      <c r="F227" s="457"/>
    </row>
    <row r="228" spans="1:6">
      <c r="A228" s="331"/>
      <c r="B228" s="622" t="s">
        <v>28</v>
      </c>
      <c r="C228" s="454"/>
      <c r="D228" s="454"/>
      <c r="E228" s="450"/>
      <c r="F228" s="333">
        <f>F226*0.01</f>
        <v>24.265000000000001</v>
      </c>
    </row>
    <row r="229" spans="1:6">
      <c r="A229" s="331"/>
      <c r="B229" s="622" t="s">
        <v>30</v>
      </c>
      <c r="C229" s="454"/>
      <c r="D229" s="454"/>
      <c r="E229" s="450"/>
      <c r="F229" s="333">
        <f>SUM(F226:F228)</f>
        <v>2450.7649999999999</v>
      </c>
    </row>
    <row r="230" spans="1:6">
      <c r="A230" s="331"/>
      <c r="B230" s="622" t="s">
        <v>36</v>
      </c>
      <c r="C230" s="454"/>
      <c r="D230" s="454"/>
      <c r="E230" s="450"/>
      <c r="F230" s="333">
        <f>F229*0.15</f>
        <v>367.61474999999996</v>
      </c>
    </row>
    <row r="231" spans="1:6">
      <c r="A231" s="331"/>
      <c r="B231" s="622" t="s">
        <v>30</v>
      </c>
      <c r="C231" s="454"/>
      <c r="D231" s="454"/>
      <c r="E231" s="450"/>
      <c r="F231" s="333">
        <f>SUM(F229:F230)</f>
        <v>2818.3797500000001</v>
      </c>
    </row>
    <row r="232" spans="1:6">
      <c r="A232" s="331"/>
      <c r="B232" s="622" t="s">
        <v>539</v>
      </c>
      <c r="C232" s="454"/>
      <c r="D232" s="454"/>
      <c r="E232" s="450"/>
      <c r="F232" s="333">
        <f>F231</f>
        <v>2818.3797500000001</v>
      </c>
    </row>
    <row r="233" spans="1:6">
      <c r="A233" s="331"/>
      <c r="B233" s="622" t="s">
        <v>54</v>
      </c>
      <c r="C233" s="454"/>
      <c r="D233" s="454"/>
      <c r="E233" s="450"/>
      <c r="F233" s="334">
        <f>ROUND(F232/10,2)</f>
        <v>281.83999999999997</v>
      </c>
    </row>
    <row r="234" spans="1:6">
      <c r="A234" s="335">
        <v>116</v>
      </c>
      <c r="B234" s="331" t="s">
        <v>527</v>
      </c>
      <c r="C234" s="335" t="s">
        <v>26</v>
      </c>
      <c r="D234" s="335">
        <v>0.12</v>
      </c>
      <c r="E234" s="336">
        <v>784</v>
      </c>
      <c r="F234" s="333">
        <f t="shared" ref="F234:F235" si="10">D234*E234</f>
        <v>94.08</v>
      </c>
    </row>
    <row r="235" spans="1:6">
      <c r="A235" s="335">
        <v>114</v>
      </c>
      <c r="B235" s="331" t="s">
        <v>59</v>
      </c>
      <c r="C235" s="335" t="s">
        <v>26</v>
      </c>
      <c r="D235" s="335">
        <v>0.25</v>
      </c>
      <c r="E235" s="336">
        <v>645</v>
      </c>
      <c r="F235" s="333">
        <f t="shared" si="10"/>
        <v>161.25</v>
      </c>
    </row>
    <row r="236" spans="1:6">
      <c r="A236" s="331"/>
      <c r="B236" s="622" t="s">
        <v>27</v>
      </c>
      <c r="C236" s="454"/>
      <c r="D236" s="454"/>
      <c r="E236" s="450"/>
      <c r="F236" s="333">
        <f>SUM(F234:F235)</f>
        <v>255.32999999999998</v>
      </c>
    </row>
    <row r="237" spans="1:6">
      <c r="A237" s="331"/>
      <c r="B237" s="622" t="s">
        <v>28</v>
      </c>
      <c r="C237" s="454"/>
      <c r="D237" s="454"/>
      <c r="E237" s="450"/>
      <c r="F237" s="333">
        <f>F236*0.01</f>
        <v>2.5532999999999997</v>
      </c>
    </row>
    <row r="238" spans="1:6">
      <c r="A238" s="331"/>
      <c r="B238" s="622" t="s">
        <v>30</v>
      </c>
      <c r="C238" s="454"/>
      <c r="D238" s="454"/>
      <c r="E238" s="450"/>
      <c r="F238" s="333">
        <f>SUM(F236:F237)</f>
        <v>257.88329999999996</v>
      </c>
    </row>
    <row r="239" spans="1:6">
      <c r="A239" s="331"/>
      <c r="B239" s="622" t="s">
        <v>36</v>
      </c>
      <c r="C239" s="454"/>
      <c r="D239" s="454"/>
      <c r="E239" s="450"/>
      <c r="F239" s="333">
        <f>F238*0.15</f>
        <v>38.682494999999996</v>
      </c>
    </row>
    <row r="240" spans="1:6">
      <c r="A240" s="331"/>
      <c r="B240" s="622" t="s">
        <v>30</v>
      </c>
      <c r="C240" s="454"/>
      <c r="D240" s="454"/>
      <c r="E240" s="450"/>
      <c r="F240" s="333">
        <f>SUM(F238:F239)</f>
        <v>296.56579499999998</v>
      </c>
    </row>
    <row r="241" spans="1:6">
      <c r="A241" s="331"/>
      <c r="B241" s="622" t="s">
        <v>539</v>
      </c>
      <c r="C241" s="454"/>
      <c r="D241" s="454"/>
      <c r="E241" s="450"/>
      <c r="F241" s="333">
        <f>F240</f>
        <v>296.56579499999998</v>
      </c>
    </row>
    <row r="242" spans="1:6">
      <c r="A242" s="331"/>
      <c r="B242" s="622" t="s">
        <v>54</v>
      </c>
      <c r="C242" s="454"/>
      <c r="D242" s="454"/>
      <c r="E242" s="450"/>
      <c r="F242" s="334">
        <f>ROUND(F241/10,2)</f>
        <v>29.66</v>
      </c>
    </row>
    <row r="243" spans="1:6">
      <c r="A243" s="624" t="str">
        <f>CONCATENATE("Say ₹ ",F233," + ",F242," x Cost Index")</f>
        <v>Say ₹ 281.84 + 29.66 x Cost Index</v>
      </c>
      <c r="B243" s="454"/>
      <c r="C243" s="454"/>
      <c r="D243" s="454"/>
      <c r="E243" s="454"/>
      <c r="F243" s="450"/>
    </row>
    <row r="244" spans="1:6">
      <c r="A244" s="159">
        <v>0</v>
      </c>
      <c r="B244" s="455" t="s">
        <v>1867</v>
      </c>
      <c r="C244" s="454"/>
      <c r="D244" s="454"/>
      <c r="E244" s="454"/>
      <c r="F244" s="450"/>
    </row>
    <row r="245" spans="1:6">
      <c r="A245" s="1" t="s">
        <v>3</v>
      </c>
      <c r="B245" s="1" t="s">
        <v>4</v>
      </c>
      <c r="C245" s="1" t="s">
        <v>5</v>
      </c>
      <c r="D245" s="1" t="s">
        <v>6</v>
      </c>
      <c r="E245" s="1" t="s">
        <v>7</v>
      </c>
      <c r="F245" s="1" t="s">
        <v>8</v>
      </c>
    </row>
    <row r="246" spans="1:6">
      <c r="A246" s="623"/>
      <c r="B246" s="4" t="s">
        <v>512</v>
      </c>
      <c r="C246" s="623"/>
      <c r="D246" s="623"/>
      <c r="E246" s="623"/>
      <c r="F246" s="623"/>
    </row>
    <row r="247" spans="1:6">
      <c r="A247" s="457"/>
      <c r="B247" s="4" t="s">
        <v>842</v>
      </c>
      <c r="C247" s="457"/>
      <c r="D247" s="457"/>
      <c r="E247" s="457"/>
      <c r="F247" s="457"/>
    </row>
    <row r="248" spans="1:6">
      <c r="A248" s="456" t="s">
        <v>1870</v>
      </c>
      <c r="B248" s="4" t="s">
        <v>1871</v>
      </c>
      <c r="C248" s="456" t="s">
        <v>21</v>
      </c>
      <c r="D248" s="456">
        <v>11.5</v>
      </c>
      <c r="E248" s="456">
        <v>520</v>
      </c>
      <c r="F248" s="625">
        <f>D248*E248</f>
        <v>5980</v>
      </c>
    </row>
    <row r="249" spans="1:6">
      <c r="A249" s="457"/>
      <c r="B249" s="4" t="s">
        <v>958</v>
      </c>
      <c r="C249" s="457"/>
      <c r="D249" s="457"/>
      <c r="E249" s="457"/>
      <c r="F249" s="457"/>
    </row>
    <row r="250" spans="1:6">
      <c r="A250" s="4"/>
      <c r="B250" s="470" t="s">
        <v>28</v>
      </c>
      <c r="C250" s="454"/>
      <c r="D250" s="454"/>
      <c r="E250" s="450"/>
      <c r="F250" s="322">
        <f>F248*0.01</f>
        <v>59.800000000000004</v>
      </c>
    </row>
    <row r="251" spans="1:6">
      <c r="A251" s="4"/>
      <c r="B251" s="470" t="s">
        <v>30</v>
      </c>
      <c r="C251" s="454"/>
      <c r="D251" s="454"/>
      <c r="E251" s="450"/>
      <c r="F251" s="322">
        <f>SUM(F248:F250)</f>
        <v>6039.8</v>
      </c>
    </row>
    <row r="252" spans="1:6">
      <c r="A252" s="4"/>
      <c r="B252" s="470" t="s">
        <v>36</v>
      </c>
      <c r="C252" s="454"/>
      <c r="D252" s="454"/>
      <c r="E252" s="450"/>
      <c r="F252" s="322">
        <f>F251*0.15</f>
        <v>905.97</v>
      </c>
    </row>
    <row r="253" spans="1:6">
      <c r="A253" s="4"/>
      <c r="B253" s="470" t="s">
        <v>30</v>
      </c>
      <c r="C253" s="454"/>
      <c r="D253" s="454"/>
      <c r="E253" s="450"/>
      <c r="F253" s="322">
        <f>SUM(F251:F252)</f>
        <v>6945.77</v>
      </c>
    </row>
    <row r="254" spans="1:6">
      <c r="A254" s="4"/>
      <c r="B254" s="470" t="s">
        <v>539</v>
      </c>
      <c r="C254" s="454"/>
      <c r="D254" s="454"/>
      <c r="E254" s="450"/>
      <c r="F254" s="322">
        <f>F253</f>
        <v>6945.77</v>
      </c>
    </row>
    <row r="255" spans="1:6">
      <c r="A255" s="4"/>
      <c r="B255" s="470" t="s">
        <v>54</v>
      </c>
      <c r="C255" s="454"/>
      <c r="D255" s="454"/>
      <c r="E255" s="450"/>
      <c r="F255" s="323">
        <f>ROUND(F254/10,2)</f>
        <v>694.58</v>
      </c>
    </row>
    <row r="256" spans="1:6">
      <c r="A256" s="7">
        <v>116</v>
      </c>
      <c r="B256" s="4" t="s">
        <v>527</v>
      </c>
      <c r="C256" s="7" t="s">
        <v>26</v>
      </c>
      <c r="D256" s="7">
        <v>0.12</v>
      </c>
      <c r="E256" s="5">
        <v>784</v>
      </c>
      <c r="F256" s="322">
        <f t="shared" ref="F256:F257" si="11">D256*E256</f>
        <v>94.08</v>
      </c>
    </row>
    <row r="257" spans="1:6">
      <c r="A257" s="7">
        <v>114</v>
      </c>
      <c r="B257" s="4" t="s">
        <v>59</v>
      </c>
      <c r="C257" s="7" t="s">
        <v>26</v>
      </c>
      <c r="D257" s="7">
        <v>0.25</v>
      </c>
      <c r="E257" s="5">
        <v>645</v>
      </c>
      <c r="F257" s="322">
        <f t="shared" si="11"/>
        <v>161.25</v>
      </c>
    </row>
    <row r="258" spans="1:6">
      <c r="A258" s="4"/>
      <c r="B258" s="470" t="s">
        <v>27</v>
      </c>
      <c r="C258" s="454"/>
      <c r="D258" s="454"/>
      <c r="E258" s="450"/>
      <c r="F258" s="322">
        <f>SUM(F256:F257)</f>
        <v>255.32999999999998</v>
      </c>
    </row>
    <row r="259" spans="1:6">
      <c r="A259" s="4"/>
      <c r="B259" s="470" t="s">
        <v>28</v>
      </c>
      <c r="C259" s="454"/>
      <c r="D259" s="454"/>
      <c r="E259" s="450"/>
      <c r="F259" s="322">
        <f>F258*0.01</f>
        <v>2.5532999999999997</v>
      </c>
    </row>
    <row r="260" spans="1:6">
      <c r="A260" s="4"/>
      <c r="B260" s="470" t="s">
        <v>30</v>
      </c>
      <c r="C260" s="454"/>
      <c r="D260" s="454"/>
      <c r="E260" s="450"/>
      <c r="F260" s="322">
        <f>SUM(F258:F259)</f>
        <v>257.88329999999996</v>
      </c>
    </row>
    <row r="261" spans="1:6">
      <c r="A261" s="4"/>
      <c r="B261" s="470" t="s">
        <v>36</v>
      </c>
      <c r="C261" s="454"/>
      <c r="D261" s="454"/>
      <c r="E261" s="450"/>
      <c r="F261" s="322">
        <f>F260*0.15</f>
        <v>38.682494999999996</v>
      </c>
    </row>
    <row r="262" spans="1:6">
      <c r="A262" s="4"/>
      <c r="B262" s="470" t="s">
        <v>30</v>
      </c>
      <c r="C262" s="454"/>
      <c r="D262" s="454"/>
      <c r="E262" s="450"/>
      <c r="F262" s="322">
        <f>SUM(F260:F261)</f>
        <v>296.56579499999998</v>
      </c>
    </row>
    <row r="263" spans="1:6">
      <c r="A263" s="4"/>
      <c r="B263" s="470" t="s">
        <v>539</v>
      </c>
      <c r="C263" s="454"/>
      <c r="D263" s="454"/>
      <c r="E263" s="450"/>
      <c r="F263" s="322">
        <f>F262</f>
        <v>296.56579499999998</v>
      </c>
    </row>
    <row r="264" spans="1:6">
      <c r="A264" s="4"/>
      <c r="B264" s="470" t="s">
        <v>54</v>
      </c>
      <c r="C264" s="454"/>
      <c r="D264" s="454"/>
      <c r="E264" s="450"/>
      <c r="F264" s="323">
        <f>ROUND(F263/10,2)</f>
        <v>29.66</v>
      </c>
    </row>
    <row r="265" spans="1:6">
      <c r="A265" s="459" t="str">
        <f>CONCATENATE("Say ₹ ",F255," + ",F264," x Cost Index")</f>
        <v>Say ₹ 694.58 + 29.66 x Cost Index</v>
      </c>
      <c r="B265" s="454"/>
      <c r="C265" s="454"/>
      <c r="D265" s="454"/>
      <c r="E265" s="454"/>
      <c r="F265" s="450"/>
    </row>
  </sheetData>
  <mergeCells count="301">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 ref="B79:E79"/>
    <mergeCell ref="B82:E82"/>
    <mergeCell ref="B83:E83"/>
    <mergeCell ref="B84:E84"/>
    <mergeCell ref="B85:E85"/>
    <mergeCell ref="B86:E86"/>
    <mergeCell ref="B87:E87"/>
    <mergeCell ref="B88:E88"/>
    <mergeCell ref="B119:E119"/>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B107:E107"/>
    <mergeCell ref="B108:E108"/>
    <mergeCell ref="B109:E109"/>
    <mergeCell ref="B110:E110"/>
    <mergeCell ref="A111:F111"/>
    <mergeCell ref="B112:F112"/>
    <mergeCell ref="C114:C115"/>
    <mergeCell ref="D114:D115"/>
    <mergeCell ref="E114:E115"/>
    <mergeCell ref="F114:F115"/>
    <mergeCell ref="A114:A115"/>
    <mergeCell ref="B96:E96"/>
    <mergeCell ref="B97:E97"/>
    <mergeCell ref="B98:E98"/>
    <mergeCell ref="B99:E99"/>
    <mergeCell ref="B100:E100"/>
    <mergeCell ref="B101:E101"/>
    <mergeCell ref="B104:E104"/>
    <mergeCell ref="B105:E105"/>
    <mergeCell ref="B106:E106"/>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F72:F73"/>
    <mergeCell ref="B74:E74"/>
    <mergeCell ref="B75:E75"/>
    <mergeCell ref="B76:E76"/>
    <mergeCell ref="B77:E77"/>
    <mergeCell ref="B78:E78"/>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30:E30"/>
    <mergeCell ref="B31:E31"/>
    <mergeCell ref="B32:E32"/>
    <mergeCell ref="B33:E33"/>
    <mergeCell ref="B34:E34"/>
    <mergeCell ref="B35:E35"/>
    <mergeCell ref="B38:E38"/>
    <mergeCell ref="B39:E39"/>
    <mergeCell ref="B40:E40"/>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8:E8"/>
    <mergeCell ref="B9:E9"/>
    <mergeCell ref="B10:E10"/>
    <mergeCell ref="B11:E11"/>
    <mergeCell ref="B12:E12"/>
    <mergeCell ref="B13:E13"/>
    <mergeCell ref="B16:E16"/>
    <mergeCell ref="B17:E17"/>
    <mergeCell ref="B18:E18"/>
    <mergeCell ref="C4:C5"/>
    <mergeCell ref="C6:C7"/>
    <mergeCell ref="D6:D7"/>
    <mergeCell ref="E6:E7"/>
    <mergeCell ref="A1:F1"/>
    <mergeCell ref="B2:F2"/>
    <mergeCell ref="A4:A5"/>
    <mergeCell ref="D4:D5"/>
    <mergeCell ref="E4:E5"/>
    <mergeCell ref="F4:F5"/>
    <mergeCell ref="A6:A7"/>
    <mergeCell ref="F6:F7"/>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F204:F205"/>
    <mergeCell ref="B206:E206"/>
    <mergeCell ref="B207:E207"/>
    <mergeCell ref="B208:E208"/>
    <mergeCell ref="B209:E209"/>
    <mergeCell ref="B210:E210"/>
    <mergeCell ref="B211:E211"/>
    <mergeCell ref="B214:E214"/>
    <mergeCell ref="B215:E215"/>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B240:E240"/>
    <mergeCell ref="B241:E241"/>
    <mergeCell ref="B242:E242"/>
    <mergeCell ref="A243:F243"/>
    <mergeCell ref="B244:F244"/>
    <mergeCell ref="C246:C247"/>
    <mergeCell ref="D246:D247"/>
    <mergeCell ref="E246:E247"/>
    <mergeCell ref="F246:F247"/>
    <mergeCell ref="A246:A247"/>
    <mergeCell ref="B229:E229"/>
    <mergeCell ref="B230:E230"/>
    <mergeCell ref="B231:E231"/>
    <mergeCell ref="B232:E232"/>
    <mergeCell ref="B233:E233"/>
    <mergeCell ref="B236:E236"/>
    <mergeCell ref="B237:E237"/>
    <mergeCell ref="B238:E238"/>
    <mergeCell ref="B239:E239"/>
    <mergeCell ref="B184:E184"/>
    <mergeCell ref="B185:E185"/>
    <mergeCell ref="B186:E186"/>
    <mergeCell ref="B187:E187"/>
    <mergeCell ref="B188:E188"/>
    <mergeCell ref="B189:E189"/>
    <mergeCell ref="C224:C225"/>
    <mergeCell ref="C226:C227"/>
    <mergeCell ref="B228:E228"/>
    <mergeCell ref="B216:E216"/>
    <mergeCell ref="B217:E217"/>
    <mergeCell ref="B218:E218"/>
    <mergeCell ref="B219:E219"/>
    <mergeCell ref="B220:E220"/>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62:E162"/>
    <mergeCell ref="B163:E163"/>
    <mergeCell ref="B164:E164"/>
    <mergeCell ref="B165:E165"/>
    <mergeCell ref="B166:E166"/>
    <mergeCell ref="B167:E167"/>
    <mergeCell ref="B170:E170"/>
    <mergeCell ref="B171:E171"/>
    <mergeCell ref="B172:E172"/>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40:E140"/>
    <mergeCell ref="B141:E141"/>
    <mergeCell ref="B142:E142"/>
    <mergeCell ref="B143:E143"/>
    <mergeCell ref="B144:E144"/>
    <mergeCell ref="B145:E145"/>
    <mergeCell ref="B148:E148"/>
    <mergeCell ref="B149:E149"/>
    <mergeCell ref="B150:E150"/>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F88"/>
  <sheetViews>
    <sheetView workbookViewId="0"/>
  </sheetViews>
  <sheetFormatPr defaultColWidth="14.453125" defaultRowHeight="15" customHeight="1"/>
  <sheetData>
    <row r="1" spans="1:6">
      <c r="A1" s="330">
        <v>0</v>
      </c>
      <c r="B1" s="618" t="s">
        <v>1877</v>
      </c>
      <c r="C1" s="454"/>
      <c r="D1" s="454"/>
      <c r="E1" s="454"/>
      <c r="F1" s="450"/>
    </row>
    <row r="2" spans="1:6">
      <c r="A2" s="330" t="s">
        <v>3</v>
      </c>
      <c r="B2" s="330" t="s">
        <v>4</v>
      </c>
      <c r="C2" s="330" t="s">
        <v>5</v>
      </c>
      <c r="D2" s="330" t="s">
        <v>6</v>
      </c>
      <c r="E2" s="330" t="s">
        <v>7</v>
      </c>
      <c r="F2" s="330" t="s">
        <v>8</v>
      </c>
    </row>
    <row r="3" spans="1:6">
      <c r="A3" s="620"/>
      <c r="B3" s="331" t="s">
        <v>512</v>
      </c>
      <c r="C3" s="620"/>
      <c r="D3" s="620"/>
      <c r="E3" s="620"/>
      <c r="F3" s="620"/>
    </row>
    <row r="4" spans="1:6">
      <c r="A4" s="457"/>
      <c r="B4" s="331" t="s">
        <v>842</v>
      </c>
      <c r="C4" s="457"/>
      <c r="D4" s="457"/>
      <c r="E4" s="457"/>
      <c r="F4" s="457"/>
    </row>
    <row r="5" spans="1:6">
      <c r="A5" s="619" t="s">
        <v>19</v>
      </c>
      <c r="B5" s="342" t="s">
        <v>20</v>
      </c>
      <c r="C5" s="619" t="s">
        <v>21</v>
      </c>
      <c r="D5" s="619">
        <v>11.5</v>
      </c>
      <c r="E5" s="619">
        <f t="array" ref="E5">IFERROR(INDEX(LMRRates,MATCH(A5,LMRCodes,0), ), )</f>
        <v>281</v>
      </c>
      <c r="F5" s="621">
        <f>D5*E5</f>
        <v>3231.5</v>
      </c>
    </row>
    <row r="6" spans="1:6">
      <c r="A6" s="457"/>
      <c r="B6" s="331" t="s">
        <v>958</v>
      </c>
      <c r="C6" s="457"/>
      <c r="D6" s="457"/>
      <c r="E6" s="457"/>
      <c r="F6" s="457"/>
    </row>
    <row r="7" spans="1:6">
      <c r="A7" s="331"/>
      <c r="B7" s="622" t="s">
        <v>28</v>
      </c>
      <c r="C7" s="454"/>
      <c r="D7" s="454"/>
      <c r="E7" s="450"/>
      <c r="F7" s="333">
        <f>F5*0.01</f>
        <v>32.314999999999998</v>
      </c>
    </row>
    <row r="8" spans="1:6">
      <c r="A8" s="331"/>
      <c r="B8" s="622" t="s">
        <v>30</v>
      </c>
      <c r="C8" s="454"/>
      <c r="D8" s="454"/>
      <c r="E8" s="450"/>
      <c r="F8" s="333">
        <f>SUM(F5:F7)</f>
        <v>3263.8150000000001</v>
      </c>
    </row>
    <row r="9" spans="1:6">
      <c r="A9" s="331"/>
      <c r="B9" s="622" t="s">
        <v>36</v>
      </c>
      <c r="C9" s="454"/>
      <c r="D9" s="454"/>
      <c r="E9" s="450"/>
      <c r="F9" s="333">
        <f>F8*0.15</f>
        <v>489.57225</v>
      </c>
    </row>
    <row r="10" spans="1:6">
      <c r="A10" s="331"/>
      <c r="B10" s="622" t="s">
        <v>30</v>
      </c>
      <c r="C10" s="454"/>
      <c r="D10" s="454"/>
      <c r="E10" s="450"/>
      <c r="F10" s="333">
        <f>SUM(F8:F9)</f>
        <v>3753.3872500000002</v>
      </c>
    </row>
    <row r="11" spans="1:6">
      <c r="A11" s="331"/>
      <c r="B11" s="622" t="s">
        <v>539</v>
      </c>
      <c r="C11" s="454"/>
      <c r="D11" s="454"/>
      <c r="E11" s="450"/>
      <c r="F11" s="333">
        <f>F10</f>
        <v>3753.3872500000002</v>
      </c>
    </row>
    <row r="12" spans="1:6">
      <c r="A12" s="331"/>
      <c r="B12" s="622" t="s">
        <v>54</v>
      </c>
      <c r="C12" s="454"/>
      <c r="D12" s="454"/>
      <c r="E12" s="450"/>
      <c r="F12" s="334">
        <f>ROUND(F11/10,2)</f>
        <v>375.34</v>
      </c>
    </row>
    <row r="13" spans="1:6">
      <c r="A13" s="335">
        <v>116</v>
      </c>
      <c r="B13" s="331" t="s">
        <v>527</v>
      </c>
      <c r="C13" s="335" t="s">
        <v>26</v>
      </c>
      <c r="D13" s="336">
        <v>0.37</v>
      </c>
      <c r="E13" s="336">
        <v>784</v>
      </c>
      <c r="F13" s="333">
        <f t="shared" ref="F13:F14" si="0">D13*E13</f>
        <v>290.08</v>
      </c>
    </row>
    <row r="14" spans="1:6">
      <c r="A14" s="335">
        <v>114</v>
      </c>
      <c r="B14" s="331" t="s">
        <v>59</v>
      </c>
      <c r="C14" s="335" t="s">
        <v>26</v>
      </c>
      <c r="D14" s="336">
        <v>0.8</v>
      </c>
      <c r="E14" s="336">
        <v>645</v>
      </c>
      <c r="F14" s="333">
        <f t="shared" si="0"/>
        <v>516</v>
      </c>
    </row>
    <row r="15" spans="1:6">
      <c r="A15" s="331"/>
      <c r="B15" s="622" t="s">
        <v>27</v>
      </c>
      <c r="C15" s="454"/>
      <c r="D15" s="454"/>
      <c r="E15" s="450"/>
      <c r="F15" s="333">
        <f>SUM(F13:F14)</f>
        <v>806.07999999999993</v>
      </c>
    </row>
    <row r="16" spans="1:6">
      <c r="A16" s="331"/>
      <c r="B16" s="622" t="s">
        <v>28</v>
      </c>
      <c r="C16" s="454"/>
      <c r="D16" s="454"/>
      <c r="E16" s="450"/>
      <c r="F16" s="333">
        <f>F15*0.01</f>
        <v>8.0607999999999986</v>
      </c>
    </row>
    <row r="17" spans="1:6">
      <c r="A17" s="331"/>
      <c r="B17" s="622" t="s">
        <v>30</v>
      </c>
      <c r="C17" s="454"/>
      <c r="D17" s="454"/>
      <c r="E17" s="450"/>
      <c r="F17" s="333">
        <f>SUM(F15:F16)</f>
        <v>814.1407999999999</v>
      </c>
    </row>
    <row r="18" spans="1:6">
      <c r="A18" s="331"/>
      <c r="B18" s="622" t="s">
        <v>36</v>
      </c>
      <c r="C18" s="454"/>
      <c r="D18" s="454"/>
      <c r="E18" s="450"/>
      <c r="F18" s="333">
        <f>F17*0.15</f>
        <v>122.12111999999998</v>
      </c>
    </row>
    <row r="19" spans="1:6">
      <c r="A19" s="331"/>
      <c r="B19" s="622" t="s">
        <v>30</v>
      </c>
      <c r="C19" s="454"/>
      <c r="D19" s="454"/>
      <c r="E19" s="450"/>
      <c r="F19" s="333">
        <f>SUM(F17:F18)</f>
        <v>936.26191999999992</v>
      </c>
    </row>
    <row r="20" spans="1:6">
      <c r="A20" s="331"/>
      <c r="B20" s="622" t="s">
        <v>539</v>
      </c>
      <c r="C20" s="454"/>
      <c r="D20" s="454"/>
      <c r="E20" s="450"/>
      <c r="F20" s="333">
        <f>F19</f>
        <v>936.26191999999992</v>
      </c>
    </row>
    <row r="21" spans="1:6">
      <c r="A21" s="331"/>
      <c r="B21" s="622" t="s">
        <v>54</v>
      </c>
      <c r="C21" s="454"/>
      <c r="D21" s="454"/>
      <c r="E21" s="450"/>
      <c r="F21" s="334">
        <f>ROUND(F20/10,2)</f>
        <v>93.63</v>
      </c>
    </row>
    <row r="22" spans="1:6">
      <c r="A22" s="624" t="str">
        <f>CONCATENATE("Say ₹ ",F12," + ",F21," x Cost Index")</f>
        <v>Say ₹ 375.34 + 93.63 x Cost Index</v>
      </c>
      <c r="B22" s="454"/>
      <c r="C22" s="454"/>
      <c r="D22" s="454"/>
      <c r="E22" s="454"/>
      <c r="F22" s="450"/>
    </row>
    <row r="23" spans="1:6">
      <c r="A23" s="159">
        <v>0</v>
      </c>
      <c r="B23" s="455" t="s">
        <v>1882</v>
      </c>
      <c r="C23" s="454"/>
      <c r="D23" s="454"/>
      <c r="E23" s="454"/>
      <c r="F23" s="450"/>
    </row>
    <row r="24" spans="1:6">
      <c r="A24" s="1" t="s">
        <v>3</v>
      </c>
      <c r="B24" s="1" t="s">
        <v>4</v>
      </c>
      <c r="C24" s="1" t="s">
        <v>5</v>
      </c>
      <c r="D24" s="1" t="s">
        <v>6</v>
      </c>
      <c r="E24" s="1" t="s">
        <v>7</v>
      </c>
      <c r="F24" s="1" t="s">
        <v>8</v>
      </c>
    </row>
    <row r="25" spans="1:6">
      <c r="A25" s="623"/>
      <c r="B25" s="4" t="s">
        <v>512</v>
      </c>
      <c r="C25" s="623"/>
      <c r="D25" s="623"/>
      <c r="E25" s="623"/>
      <c r="F25" s="623"/>
    </row>
    <row r="26" spans="1:6">
      <c r="A26" s="457"/>
      <c r="B26" s="4" t="s">
        <v>842</v>
      </c>
      <c r="C26" s="457"/>
      <c r="D26" s="457"/>
      <c r="E26" s="457"/>
      <c r="F26" s="457"/>
    </row>
    <row r="27" spans="1:6">
      <c r="A27" s="456" t="s">
        <v>1887</v>
      </c>
      <c r="B27" s="3" t="s">
        <v>1889</v>
      </c>
      <c r="C27" s="456" t="s">
        <v>21</v>
      </c>
      <c r="D27" s="456">
        <v>11.5</v>
      </c>
      <c r="E27" s="456">
        <f t="array" ref="E27">IFERROR(INDEX(LMRRates,MATCH(A27,LMRCodes,0), ), )</f>
        <v>97</v>
      </c>
      <c r="F27" s="625">
        <f>D27*E27</f>
        <v>1115.5</v>
      </c>
    </row>
    <row r="28" spans="1:6">
      <c r="A28" s="457"/>
      <c r="B28" s="4" t="s">
        <v>958</v>
      </c>
      <c r="C28" s="457"/>
      <c r="D28" s="457"/>
      <c r="E28" s="457"/>
      <c r="F28" s="457"/>
    </row>
    <row r="29" spans="1:6">
      <c r="A29" s="4"/>
      <c r="B29" s="470" t="s">
        <v>28</v>
      </c>
      <c r="C29" s="454"/>
      <c r="D29" s="454"/>
      <c r="E29" s="450"/>
      <c r="F29" s="322">
        <f>F27*0.01</f>
        <v>11.154999999999999</v>
      </c>
    </row>
    <row r="30" spans="1:6">
      <c r="A30" s="4"/>
      <c r="B30" s="470" t="s">
        <v>30</v>
      </c>
      <c r="C30" s="454"/>
      <c r="D30" s="454"/>
      <c r="E30" s="450"/>
      <c r="F30" s="322">
        <f>SUM(F27:F29)</f>
        <v>1126.655</v>
      </c>
    </row>
    <row r="31" spans="1:6">
      <c r="A31" s="4"/>
      <c r="B31" s="470" t="s">
        <v>36</v>
      </c>
      <c r="C31" s="454"/>
      <c r="D31" s="454"/>
      <c r="E31" s="450"/>
      <c r="F31" s="322">
        <f>F30*0.15</f>
        <v>168.99824999999998</v>
      </c>
    </row>
    <row r="32" spans="1:6">
      <c r="A32" s="4"/>
      <c r="B32" s="470" t="s">
        <v>30</v>
      </c>
      <c r="C32" s="454"/>
      <c r="D32" s="454"/>
      <c r="E32" s="450"/>
      <c r="F32" s="322">
        <f>SUM(F30:F31)</f>
        <v>1295.6532499999998</v>
      </c>
    </row>
    <row r="33" spans="1:6">
      <c r="A33" s="4"/>
      <c r="B33" s="470" t="s">
        <v>539</v>
      </c>
      <c r="C33" s="454"/>
      <c r="D33" s="454"/>
      <c r="E33" s="450"/>
      <c r="F33" s="322">
        <f>F32</f>
        <v>1295.6532499999998</v>
      </c>
    </row>
    <row r="34" spans="1:6">
      <c r="A34" s="4"/>
      <c r="B34" s="470" t="s">
        <v>54</v>
      </c>
      <c r="C34" s="454"/>
      <c r="D34" s="454"/>
      <c r="E34" s="450"/>
      <c r="F34" s="323">
        <f>ROUND(F33/10,2)</f>
        <v>129.57</v>
      </c>
    </row>
    <row r="35" spans="1:6">
      <c r="A35" s="7">
        <v>116</v>
      </c>
      <c r="B35" s="4" t="s">
        <v>527</v>
      </c>
      <c r="C35" s="7" t="s">
        <v>26</v>
      </c>
      <c r="D35" s="5">
        <v>0.25</v>
      </c>
      <c r="E35" s="5">
        <v>784</v>
      </c>
      <c r="F35" s="322">
        <f t="shared" ref="F35:F36" si="1">D35*E35</f>
        <v>196</v>
      </c>
    </row>
    <row r="36" spans="1:6">
      <c r="A36" s="7">
        <v>114</v>
      </c>
      <c r="B36" s="4" t="s">
        <v>59</v>
      </c>
      <c r="C36" s="7" t="s">
        <v>26</v>
      </c>
      <c r="D36" s="5">
        <v>0.66</v>
      </c>
      <c r="E36" s="5">
        <v>645</v>
      </c>
      <c r="F36" s="322">
        <f t="shared" si="1"/>
        <v>425.70000000000005</v>
      </c>
    </row>
    <row r="37" spans="1:6">
      <c r="A37" s="4"/>
      <c r="B37" s="470" t="s">
        <v>27</v>
      </c>
      <c r="C37" s="454"/>
      <c r="D37" s="454"/>
      <c r="E37" s="450"/>
      <c r="F37" s="322">
        <f>SUM(F35:F36)</f>
        <v>621.70000000000005</v>
      </c>
    </row>
    <row r="38" spans="1:6">
      <c r="A38" s="4"/>
      <c r="B38" s="470" t="s">
        <v>28</v>
      </c>
      <c r="C38" s="454"/>
      <c r="D38" s="454"/>
      <c r="E38" s="450"/>
      <c r="F38" s="322">
        <f>F37*0.01</f>
        <v>6.2170000000000005</v>
      </c>
    </row>
    <row r="39" spans="1:6">
      <c r="A39" s="4"/>
      <c r="B39" s="470" t="s">
        <v>30</v>
      </c>
      <c r="C39" s="454"/>
      <c r="D39" s="454"/>
      <c r="E39" s="450"/>
      <c r="F39" s="322">
        <f>SUM(F37:F38)</f>
        <v>627.91700000000003</v>
      </c>
    </row>
    <row r="40" spans="1:6">
      <c r="A40" s="4"/>
      <c r="B40" s="470" t="s">
        <v>36</v>
      </c>
      <c r="C40" s="454"/>
      <c r="D40" s="454"/>
      <c r="E40" s="450"/>
      <c r="F40" s="322">
        <f>F39*0.15</f>
        <v>94.187550000000002</v>
      </c>
    </row>
    <row r="41" spans="1:6">
      <c r="A41" s="4"/>
      <c r="B41" s="470" t="s">
        <v>30</v>
      </c>
      <c r="C41" s="454"/>
      <c r="D41" s="454"/>
      <c r="E41" s="450"/>
      <c r="F41" s="322">
        <f>SUM(F39:F40)</f>
        <v>722.10455000000002</v>
      </c>
    </row>
    <row r="42" spans="1:6">
      <c r="A42" s="4"/>
      <c r="B42" s="470" t="s">
        <v>539</v>
      </c>
      <c r="C42" s="454"/>
      <c r="D42" s="454"/>
      <c r="E42" s="450"/>
      <c r="F42" s="322">
        <f>F41</f>
        <v>722.10455000000002</v>
      </c>
    </row>
    <row r="43" spans="1:6">
      <c r="A43" s="4"/>
      <c r="B43" s="470" t="s">
        <v>54</v>
      </c>
      <c r="C43" s="454"/>
      <c r="D43" s="454"/>
      <c r="E43" s="450"/>
      <c r="F43" s="323">
        <f>ROUND(F42/10,2)</f>
        <v>72.209999999999994</v>
      </c>
    </row>
    <row r="44" spans="1:6">
      <c r="A44" s="459" t="str">
        <f>CONCATENATE("Say ₹ ",F34," + ",F43," x Cost Index")</f>
        <v>Say ₹ 129.57 + 72.21 x Cost Index</v>
      </c>
      <c r="B44" s="454"/>
      <c r="C44" s="454"/>
      <c r="D44" s="454"/>
      <c r="E44" s="454"/>
      <c r="F44" s="450"/>
    </row>
    <row r="45" spans="1:6">
      <c r="A45" s="329">
        <v>0</v>
      </c>
      <c r="B45" s="618" t="s">
        <v>1895</v>
      </c>
      <c r="C45" s="454"/>
      <c r="D45" s="454"/>
      <c r="E45" s="454"/>
      <c r="F45" s="450"/>
    </row>
    <row r="46" spans="1:6">
      <c r="A46" s="330" t="s">
        <v>3</v>
      </c>
      <c r="B46" s="330" t="s">
        <v>4</v>
      </c>
      <c r="C46" s="330" t="s">
        <v>5</v>
      </c>
      <c r="D46" s="330" t="s">
        <v>6</v>
      </c>
      <c r="E46" s="330" t="s">
        <v>7</v>
      </c>
      <c r="F46" s="330" t="s">
        <v>8</v>
      </c>
    </row>
    <row r="47" spans="1:6">
      <c r="A47" s="620"/>
      <c r="B47" s="331" t="s">
        <v>512</v>
      </c>
      <c r="C47" s="620"/>
      <c r="D47" s="620"/>
      <c r="E47" s="620"/>
      <c r="F47" s="620"/>
    </row>
    <row r="48" spans="1:6">
      <c r="A48" s="457"/>
      <c r="B48" s="331" t="s">
        <v>842</v>
      </c>
      <c r="C48" s="457"/>
      <c r="D48" s="457"/>
      <c r="E48" s="457"/>
      <c r="F48" s="457"/>
    </row>
    <row r="49" spans="1:6">
      <c r="A49" s="619" t="s">
        <v>1897</v>
      </c>
      <c r="B49" s="342" t="s">
        <v>1898</v>
      </c>
      <c r="C49" s="619" t="s">
        <v>21</v>
      </c>
      <c r="D49" s="619">
        <v>11.5</v>
      </c>
      <c r="E49" s="619">
        <f t="array" ref="E49">IFERROR(INDEX(LMRRates,MATCH(A49,LMRCodes,0), ), )</f>
        <v>195</v>
      </c>
      <c r="F49" s="621">
        <f>D49*E49</f>
        <v>2242.5</v>
      </c>
    </row>
    <row r="50" spans="1:6">
      <c r="A50" s="457"/>
      <c r="B50" s="331" t="s">
        <v>958</v>
      </c>
      <c r="C50" s="457"/>
      <c r="D50" s="457"/>
      <c r="E50" s="457"/>
      <c r="F50" s="457"/>
    </row>
    <row r="51" spans="1:6">
      <c r="A51" s="331"/>
      <c r="B51" s="622" t="s">
        <v>28</v>
      </c>
      <c r="C51" s="454"/>
      <c r="D51" s="454"/>
      <c r="E51" s="450"/>
      <c r="F51" s="333">
        <f>F49*0.01</f>
        <v>22.425000000000001</v>
      </c>
    </row>
    <row r="52" spans="1:6">
      <c r="A52" s="331"/>
      <c r="B52" s="622" t="s">
        <v>30</v>
      </c>
      <c r="C52" s="454"/>
      <c r="D52" s="454"/>
      <c r="E52" s="450"/>
      <c r="F52" s="333">
        <f>SUM(F49:F51)</f>
        <v>2264.9250000000002</v>
      </c>
    </row>
    <row r="53" spans="1:6">
      <c r="A53" s="331"/>
      <c r="B53" s="622" t="s">
        <v>36</v>
      </c>
      <c r="C53" s="454"/>
      <c r="D53" s="454"/>
      <c r="E53" s="450"/>
      <c r="F53" s="333">
        <f>F52*0.15</f>
        <v>339.73875000000004</v>
      </c>
    </row>
    <row r="54" spans="1:6">
      <c r="A54" s="331"/>
      <c r="B54" s="622" t="s">
        <v>30</v>
      </c>
      <c r="C54" s="454"/>
      <c r="D54" s="454"/>
      <c r="E54" s="450"/>
      <c r="F54" s="333">
        <f>SUM(F52:F53)</f>
        <v>2604.6637500000002</v>
      </c>
    </row>
    <row r="55" spans="1:6">
      <c r="A55" s="331"/>
      <c r="B55" s="622" t="s">
        <v>539</v>
      </c>
      <c r="C55" s="454"/>
      <c r="D55" s="454"/>
      <c r="E55" s="450"/>
      <c r="F55" s="333">
        <f>F54</f>
        <v>2604.6637500000002</v>
      </c>
    </row>
    <row r="56" spans="1:6">
      <c r="A56" s="331"/>
      <c r="B56" s="622" t="s">
        <v>54</v>
      </c>
      <c r="C56" s="454"/>
      <c r="D56" s="454"/>
      <c r="E56" s="450"/>
      <c r="F56" s="334">
        <f>ROUND(F55/10,2)</f>
        <v>260.47000000000003</v>
      </c>
    </row>
    <row r="57" spans="1:6">
      <c r="A57" s="335">
        <v>116</v>
      </c>
      <c r="B57" s="331" t="s">
        <v>527</v>
      </c>
      <c r="C57" s="335" t="s">
        <v>26</v>
      </c>
      <c r="D57" s="336">
        <v>0.37</v>
      </c>
      <c r="E57" s="336">
        <v>784</v>
      </c>
      <c r="F57" s="333">
        <f t="shared" ref="F57:F58" si="2">D57*E57</f>
        <v>290.08</v>
      </c>
    </row>
    <row r="58" spans="1:6">
      <c r="A58" s="335">
        <v>114</v>
      </c>
      <c r="B58" s="331" t="s">
        <v>59</v>
      </c>
      <c r="C58" s="335" t="s">
        <v>26</v>
      </c>
      <c r="D58" s="336">
        <v>0.8</v>
      </c>
      <c r="E58" s="336">
        <v>645</v>
      </c>
      <c r="F58" s="333">
        <f t="shared" si="2"/>
        <v>516</v>
      </c>
    </row>
    <row r="59" spans="1:6">
      <c r="A59" s="331"/>
      <c r="B59" s="622" t="s">
        <v>27</v>
      </c>
      <c r="C59" s="454"/>
      <c r="D59" s="454"/>
      <c r="E59" s="450"/>
      <c r="F59" s="333">
        <f>SUM(F57:F58)</f>
        <v>806.07999999999993</v>
      </c>
    </row>
    <row r="60" spans="1:6">
      <c r="A60" s="331"/>
      <c r="B60" s="622" t="s">
        <v>28</v>
      </c>
      <c r="C60" s="454"/>
      <c r="D60" s="454"/>
      <c r="E60" s="450"/>
      <c r="F60" s="333">
        <f>F59*0.01</f>
        <v>8.0607999999999986</v>
      </c>
    </row>
    <row r="61" spans="1:6">
      <c r="A61" s="331"/>
      <c r="B61" s="622" t="s">
        <v>30</v>
      </c>
      <c r="C61" s="454"/>
      <c r="D61" s="454"/>
      <c r="E61" s="450"/>
      <c r="F61" s="333">
        <f>SUM(F59:F60)</f>
        <v>814.1407999999999</v>
      </c>
    </row>
    <row r="62" spans="1:6">
      <c r="A62" s="331"/>
      <c r="B62" s="622" t="s">
        <v>36</v>
      </c>
      <c r="C62" s="454"/>
      <c r="D62" s="454"/>
      <c r="E62" s="450"/>
      <c r="F62" s="333">
        <f>F61*0.15</f>
        <v>122.12111999999998</v>
      </c>
    </row>
    <row r="63" spans="1:6">
      <c r="A63" s="331"/>
      <c r="B63" s="622" t="s">
        <v>30</v>
      </c>
      <c r="C63" s="454"/>
      <c r="D63" s="454"/>
      <c r="E63" s="450"/>
      <c r="F63" s="333">
        <f>SUM(F61:F62)</f>
        <v>936.26191999999992</v>
      </c>
    </row>
    <row r="64" spans="1:6">
      <c r="A64" s="331"/>
      <c r="B64" s="622" t="s">
        <v>539</v>
      </c>
      <c r="C64" s="454"/>
      <c r="D64" s="454"/>
      <c r="E64" s="450"/>
      <c r="F64" s="333">
        <f>F63</f>
        <v>936.26191999999992</v>
      </c>
    </row>
    <row r="65" spans="1:6">
      <c r="A65" s="331"/>
      <c r="B65" s="622" t="s">
        <v>54</v>
      </c>
      <c r="C65" s="454"/>
      <c r="D65" s="454"/>
      <c r="E65" s="450"/>
      <c r="F65" s="334">
        <f>ROUND(F64/10,2)</f>
        <v>93.63</v>
      </c>
    </row>
    <row r="66" spans="1:6">
      <c r="A66" s="624" t="str">
        <f>CONCATENATE("Say ₹ ",F56," + ",F65," x Cost Index")</f>
        <v>Say ₹ 260.47 + 93.63 x Cost Index</v>
      </c>
      <c r="B66" s="454"/>
      <c r="C66" s="454"/>
      <c r="D66" s="454"/>
      <c r="E66" s="454"/>
      <c r="F66" s="450"/>
    </row>
    <row r="67" spans="1:6">
      <c r="A67" s="159">
        <v>0</v>
      </c>
      <c r="B67" s="455" t="s">
        <v>1907</v>
      </c>
      <c r="C67" s="454"/>
      <c r="D67" s="454"/>
      <c r="E67" s="454"/>
      <c r="F67" s="450"/>
    </row>
    <row r="68" spans="1:6">
      <c r="A68" s="1" t="s">
        <v>3</v>
      </c>
      <c r="B68" s="1" t="s">
        <v>4</v>
      </c>
      <c r="C68" s="1" t="s">
        <v>5</v>
      </c>
      <c r="D68" s="1" t="s">
        <v>6</v>
      </c>
      <c r="E68" s="1" t="s">
        <v>7</v>
      </c>
      <c r="F68" s="1" t="s">
        <v>8</v>
      </c>
    </row>
    <row r="69" spans="1:6">
      <c r="A69" s="623"/>
      <c r="B69" s="4" t="s">
        <v>512</v>
      </c>
      <c r="C69" s="623"/>
      <c r="D69" s="623"/>
      <c r="E69" s="623"/>
      <c r="F69" s="623"/>
    </row>
    <row r="70" spans="1:6">
      <c r="A70" s="457"/>
      <c r="B70" s="4" t="s">
        <v>842</v>
      </c>
      <c r="C70" s="457"/>
      <c r="D70" s="457"/>
      <c r="E70" s="457"/>
      <c r="F70" s="457"/>
    </row>
    <row r="71" spans="1:6">
      <c r="A71" s="456" t="s">
        <v>1772</v>
      </c>
      <c r="B71" s="3" t="s">
        <v>1908</v>
      </c>
      <c r="C71" s="456" t="s">
        <v>21</v>
      </c>
      <c r="D71" s="456">
        <v>11.5</v>
      </c>
      <c r="E71" s="456">
        <f t="array" ref="E71">IFERROR(INDEX(LMRRates,MATCH(A71,LMRCodes,0), ), )</f>
        <v>128</v>
      </c>
      <c r="F71" s="625">
        <f>D71*E71</f>
        <v>1472</v>
      </c>
    </row>
    <row r="72" spans="1:6">
      <c r="A72" s="457"/>
      <c r="B72" s="4" t="s">
        <v>958</v>
      </c>
      <c r="C72" s="457"/>
      <c r="D72" s="457"/>
      <c r="E72" s="457"/>
      <c r="F72" s="457"/>
    </row>
    <row r="73" spans="1:6">
      <c r="A73" s="4"/>
      <c r="B73" s="470" t="s">
        <v>28</v>
      </c>
      <c r="C73" s="454"/>
      <c r="D73" s="454"/>
      <c r="E73" s="450"/>
      <c r="F73" s="322">
        <f>F71*0.01</f>
        <v>14.72</v>
      </c>
    </row>
    <row r="74" spans="1:6">
      <c r="A74" s="4"/>
      <c r="B74" s="470" t="s">
        <v>30</v>
      </c>
      <c r="C74" s="454"/>
      <c r="D74" s="454"/>
      <c r="E74" s="450"/>
      <c r="F74" s="322">
        <f>SUM(F71:F73)</f>
        <v>1486.72</v>
      </c>
    </row>
    <row r="75" spans="1:6">
      <c r="A75" s="4"/>
      <c r="B75" s="470" t="s">
        <v>36</v>
      </c>
      <c r="C75" s="454"/>
      <c r="D75" s="454"/>
      <c r="E75" s="450"/>
      <c r="F75" s="322">
        <f>F74*0.15</f>
        <v>223.00800000000001</v>
      </c>
    </row>
    <row r="76" spans="1:6">
      <c r="A76" s="4"/>
      <c r="B76" s="470" t="s">
        <v>30</v>
      </c>
      <c r="C76" s="454"/>
      <c r="D76" s="454"/>
      <c r="E76" s="450"/>
      <c r="F76" s="322">
        <f>SUM(F74:F75)</f>
        <v>1709.7280000000001</v>
      </c>
    </row>
    <row r="77" spans="1:6">
      <c r="A77" s="4"/>
      <c r="B77" s="470" t="s">
        <v>539</v>
      </c>
      <c r="C77" s="454"/>
      <c r="D77" s="454"/>
      <c r="E77" s="450"/>
      <c r="F77" s="322">
        <f>F76</f>
        <v>1709.7280000000001</v>
      </c>
    </row>
    <row r="78" spans="1:6">
      <c r="A78" s="4"/>
      <c r="B78" s="470" t="s">
        <v>54</v>
      </c>
      <c r="C78" s="454"/>
      <c r="D78" s="454"/>
      <c r="E78" s="450"/>
      <c r="F78" s="323">
        <f>ROUND(F77/10,2)</f>
        <v>170.97</v>
      </c>
    </row>
    <row r="79" spans="1:6">
      <c r="A79" s="7">
        <v>116</v>
      </c>
      <c r="B79" s="4" t="s">
        <v>527</v>
      </c>
      <c r="C79" s="7" t="s">
        <v>26</v>
      </c>
      <c r="D79" s="5">
        <v>0.37</v>
      </c>
      <c r="E79" s="5">
        <v>784</v>
      </c>
      <c r="F79" s="322">
        <f t="shared" ref="F79:F80" si="3">D79*E79</f>
        <v>290.08</v>
      </c>
    </row>
    <row r="80" spans="1:6">
      <c r="A80" s="7">
        <v>114</v>
      </c>
      <c r="B80" s="4" t="s">
        <v>59</v>
      </c>
      <c r="C80" s="7" t="s">
        <v>26</v>
      </c>
      <c r="D80" s="5">
        <v>0.8</v>
      </c>
      <c r="E80" s="5">
        <v>645</v>
      </c>
      <c r="F80" s="322">
        <f t="shared" si="3"/>
        <v>516</v>
      </c>
    </row>
    <row r="81" spans="1:6">
      <c r="A81" s="4"/>
      <c r="B81" s="470" t="s">
        <v>27</v>
      </c>
      <c r="C81" s="454"/>
      <c r="D81" s="454"/>
      <c r="E81" s="450"/>
      <c r="F81" s="322">
        <f>SUM(F79:F80)</f>
        <v>806.07999999999993</v>
      </c>
    </row>
    <row r="82" spans="1:6">
      <c r="A82" s="4"/>
      <c r="B82" s="470" t="s">
        <v>28</v>
      </c>
      <c r="C82" s="454"/>
      <c r="D82" s="454"/>
      <c r="E82" s="450"/>
      <c r="F82" s="322">
        <f>F81*0.01</f>
        <v>8.0607999999999986</v>
      </c>
    </row>
    <row r="83" spans="1:6">
      <c r="A83" s="4"/>
      <c r="B83" s="470" t="s">
        <v>30</v>
      </c>
      <c r="C83" s="454"/>
      <c r="D83" s="454"/>
      <c r="E83" s="450"/>
      <c r="F83" s="322">
        <f>SUM(F81:F82)</f>
        <v>814.1407999999999</v>
      </c>
    </row>
    <row r="84" spans="1:6">
      <c r="A84" s="4"/>
      <c r="B84" s="470" t="s">
        <v>36</v>
      </c>
      <c r="C84" s="454"/>
      <c r="D84" s="454"/>
      <c r="E84" s="450"/>
      <c r="F84" s="322">
        <f>F83*0.15</f>
        <v>122.12111999999998</v>
      </c>
    </row>
    <row r="85" spans="1:6">
      <c r="A85" s="4"/>
      <c r="B85" s="470" t="s">
        <v>30</v>
      </c>
      <c r="C85" s="454"/>
      <c r="D85" s="454"/>
      <c r="E85" s="450"/>
      <c r="F85" s="322">
        <f>SUM(F83:F84)</f>
        <v>936.26191999999992</v>
      </c>
    </row>
    <row r="86" spans="1:6">
      <c r="A86" s="4"/>
      <c r="B86" s="470" t="s">
        <v>539</v>
      </c>
      <c r="C86" s="454"/>
      <c r="D86" s="454"/>
      <c r="E86" s="450"/>
      <c r="F86" s="322">
        <f>F85</f>
        <v>936.26191999999992</v>
      </c>
    </row>
    <row r="87" spans="1:6">
      <c r="A87" s="4"/>
      <c r="B87" s="470" t="s">
        <v>54</v>
      </c>
      <c r="C87" s="454"/>
      <c r="D87" s="454"/>
      <c r="E87" s="450"/>
      <c r="F87" s="323">
        <f>ROUND(F86/10,2)</f>
        <v>93.63</v>
      </c>
    </row>
    <row r="88" spans="1:6">
      <c r="A88" s="459" t="str">
        <f>CONCATENATE("Say ₹ ",F78," + ",F87," x Cost Index")</f>
        <v>Say ₹ 170.97 + 93.63 x Cost Index</v>
      </c>
      <c r="B88" s="454"/>
      <c r="C88" s="454"/>
      <c r="D88" s="454"/>
      <c r="E88" s="454"/>
      <c r="F88" s="450"/>
    </row>
  </sheetData>
  <mergeCells count="100">
    <mergeCell ref="B87:E87"/>
    <mergeCell ref="A88:F88"/>
    <mergeCell ref="B62:E62"/>
    <mergeCell ref="B63:E63"/>
    <mergeCell ref="B64:E64"/>
    <mergeCell ref="B65:E65"/>
    <mergeCell ref="A66:F66"/>
    <mergeCell ref="B55:E55"/>
    <mergeCell ref="B56:E56"/>
    <mergeCell ref="B59:E59"/>
    <mergeCell ref="B60:E60"/>
    <mergeCell ref="B61:E61"/>
    <mergeCell ref="A49:A50"/>
    <mergeCell ref="B51:E51"/>
    <mergeCell ref="B52:E52"/>
    <mergeCell ref="B53:E53"/>
    <mergeCell ref="B54:E54"/>
    <mergeCell ref="B45:F45"/>
    <mergeCell ref="A47:A48"/>
    <mergeCell ref="C47:C48"/>
    <mergeCell ref="D47:D48"/>
    <mergeCell ref="E47:E48"/>
    <mergeCell ref="F47:F48"/>
    <mergeCell ref="B82:E82"/>
    <mergeCell ref="B83:E83"/>
    <mergeCell ref="B84:E84"/>
    <mergeCell ref="B85:E85"/>
    <mergeCell ref="B86:E86"/>
    <mergeCell ref="B75:E75"/>
    <mergeCell ref="B76:E76"/>
    <mergeCell ref="B77:E77"/>
    <mergeCell ref="B78:E78"/>
    <mergeCell ref="B81:E81"/>
    <mergeCell ref="A71:A72"/>
    <mergeCell ref="C71:C72"/>
    <mergeCell ref="D71:D72"/>
    <mergeCell ref="B73:E73"/>
    <mergeCell ref="B74:E74"/>
    <mergeCell ref="A69:A70"/>
    <mergeCell ref="C69:C70"/>
    <mergeCell ref="D69:D70"/>
    <mergeCell ref="E69:E70"/>
    <mergeCell ref="F69:F70"/>
    <mergeCell ref="B34:E34"/>
    <mergeCell ref="B37:E37"/>
    <mergeCell ref="E71:E72"/>
    <mergeCell ref="F71:F72"/>
    <mergeCell ref="B67:F67"/>
    <mergeCell ref="B38:E38"/>
    <mergeCell ref="B39:E39"/>
    <mergeCell ref="B40:E40"/>
    <mergeCell ref="B41:E41"/>
    <mergeCell ref="B42:E42"/>
    <mergeCell ref="B43:E43"/>
    <mergeCell ref="A44:F44"/>
    <mergeCell ref="C49:C50"/>
    <mergeCell ref="D49:D50"/>
    <mergeCell ref="E49:E50"/>
    <mergeCell ref="F49:F50"/>
    <mergeCell ref="B29:E29"/>
    <mergeCell ref="B30:E30"/>
    <mergeCell ref="B31:E31"/>
    <mergeCell ref="B32:E32"/>
    <mergeCell ref="B33:E33"/>
    <mergeCell ref="B18:E18"/>
    <mergeCell ref="B19:E19"/>
    <mergeCell ref="B20:E20"/>
    <mergeCell ref="B21:E21"/>
    <mergeCell ref="A22:F22"/>
    <mergeCell ref="B11:E11"/>
    <mergeCell ref="B12:E12"/>
    <mergeCell ref="B15:E15"/>
    <mergeCell ref="B16:E16"/>
    <mergeCell ref="B17:E17"/>
    <mergeCell ref="A5:A6"/>
    <mergeCell ref="B7:E7"/>
    <mergeCell ref="B8:E8"/>
    <mergeCell ref="B9:E9"/>
    <mergeCell ref="B10:E10"/>
    <mergeCell ref="A3:A4"/>
    <mergeCell ref="C3:C4"/>
    <mergeCell ref="D3:D4"/>
    <mergeCell ref="E3:E4"/>
    <mergeCell ref="F3:F4"/>
    <mergeCell ref="C5:C6"/>
    <mergeCell ref="D5:D6"/>
    <mergeCell ref="E5:E6"/>
    <mergeCell ref="F5:F6"/>
    <mergeCell ref="B1:F1"/>
    <mergeCell ref="E27:E28"/>
    <mergeCell ref="F27:F28"/>
    <mergeCell ref="B23:F23"/>
    <mergeCell ref="A25:A26"/>
    <mergeCell ref="C25:C26"/>
    <mergeCell ref="D25:D26"/>
    <mergeCell ref="E25:E26"/>
    <mergeCell ref="F25:F26"/>
    <mergeCell ref="A27:A28"/>
    <mergeCell ref="C27:C28"/>
    <mergeCell ref="D27:D28"/>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pageSetUpPr fitToPage="1"/>
  </sheetPr>
  <dimension ref="A1:I570"/>
  <sheetViews>
    <sheetView workbookViewId="0"/>
  </sheetViews>
  <sheetFormatPr defaultColWidth="14.453125" defaultRowHeight="15" customHeight="1"/>
  <cols>
    <col min="8" max="8" width="13.7265625" hidden="1" customWidth="1"/>
    <col min="9" max="9" width="14.81640625" hidden="1" customWidth="1"/>
  </cols>
  <sheetData>
    <row r="1" spans="1:9">
      <c r="A1" s="486" t="s">
        <v>771</v>
      </c>
      <c r="B1" s="486" t="s">
        <v>776</v>
      </c>
      <c r="C1" s="487" t="s">
        <v>4</v>
      </c>
      <c r="D1" s="454"/>
      <c r="E1" s="450"/>
      <c r="F1" s="487" t="s">
        <v>785</v>
      </c>
      <c r="G1" s="450"/>
      <c r="H1" s="346"/>
      <c r="I1" s="346"/>
    </row>
    <row r="2" spans="1:9">
      <c r="A2" s="457"/>
      <c r="B2" s="457"/>
      <c r="C2" s="62" t="s">
        <v>5</v>
      </c>
      <c r="D2" s="62" t="s">
        <v>6</v>
      </c>
      <c r="E2" s="62" t="s">
        <v>336</v>
      </c>
      <c r="F2" s="62" t="s">
        <v>8</v>
      </c>
      <c r="G2" s="62" t="s">
        <v>789</v>
      </c>
      <c r="H2" s="346"/>
      <c r="I2" s="346"/>
    </row>
    <row r="3" spans="1:9">
      <c r="A3" s="489" t="s">
        <v>1918</v>
      </c>
      <c r="B3" s="454"/>
      <c r="C3" s="454"/>
      <c r="D3" s="454"/>
      <c r="E3" s="454"/>
      <c r="F3" s="454"/>
      <c r="G3" s="450"/>
      <c r="H3" s="347"/>
      <c r="I3" s="347"/>
    </row>
    <row r="4" spans="1:9" ht="30">
      <c r="A4" s="65"/>
      <c r="B4" s="66" t="s">
        <v>795</v>
      </c>
      <c r="C4" s="66" t="s">
        <v>21</v>
      </c>
      <c r="D4" s="66" t="s">
        <v>798</v>
      </c>
      <c r="E4" s="67">
        <v>10</v>
      </c>
      <c r="F4" s="484"/>
      <c r="G4" s="450"/>
      <c r="H4" s="348"/>
      <c r="I4" s="348"/>
    </row>
    <row r="5" spans="1:9" ht="30">
      <c r="A5" s="66" t="s">
        <v>800</v>
      </c>
      <c r="B5" s="484" t="s">
        <v>1920</v>
      </c>
      <c r="C5" s="454"/>
      <c r="D5" s="454"/>
      <c r="E5" s="454"/>
      <c r="F5" s="454"/>
      <c r="G5" s="450"/>
      <c r="H5" s="349"/>
      <c r="I5" s="349"/>
    </row>
    <row r="6" spans="1:9">
      <c r="A6" s="490" t="s">
        <v>802</v>
      </c>
      <c r="B6" s="454"/>
      <c r="C6" s="454"/>
      <c r="D6" s="454"/>
      <c r="E6" s="454"/>
      <c r="F6" s="450"/>
      <c r="G6" s="68" t="s">
        <v>803</v>
      </c>
      <c r="H6" s="350"/>
      <c r="I6" s="350"/>
    </row>
    <row r="7" spans="1:9">
      <c r="A7" s="491"/>
      <c r="B7" s="491" t="s">
        <v>1694</v>
      </c>
      <c r="C7" s="484" t="s">
        <v>1923</v>
      </c>
      <c r="D7" s="454"/>
      <c r="E7" s="450"/>
      <c r="F7" s="484"/>
      <c r="G7" s="450"/>
      <c r="H7" s="348"/>
      <c r="I7" s="348"/>
    </row>
    <row r="8" spans="1:9">
      <c r="A8" s="457"/>
      <c r="B8" s="457"/>
      <c r="C8" s="66" t="s">
        <v>21</v>
      </c>
      <c r="D8" s="67">
        <v>11.5</v>
      </c>
      <c r="E8" s="67">
        <v>38</v>
      </c>
      <c r="F8" s="67">
        <f>E8*D8</f>
        <v>437</v>
      </c>
      <c r="G8" s="66" t="s">
        <v>808</v>
      </c>
      <c r="H8" s="351"/>
      <c r="I8" s="351"/>
    </row>
    <row r="9" spans="1:9">
      <c r="A9" s="492" t="s">
        <v>1105</v>
      </c>
      <c r="B9" s="454"/>
      <c r="C9" s="450"/>
      <c r="D9" s="67">
        <v>10</v>
      </c>
      <c r="E9" s="70" t="s">
        <v>21</v>
      </c>
      <c r="F9" s="67">
        <f>F8</f>
        <v>437</v>
      </c>
      <c r="G9" s="71"/>
      <c r="H9" s="350"/>
      <c r="I9" s="350"/>
    </row>
    <row r="10" spans="1:9">
      <c r="A10" s="492" t="s">
        <v>826</v>
      </c>
      <c r="B10" s="454"/>
      <c r="C10" s="450"/>
      <c r="D10" s="67">
        <v>1</v>
      </c>
      <c r="E10" s="70" t="s">
        <v>21</v>
      </c>
      <c r="F10" s="67">
        <f>F9/10</f>
        <v>43.7</v>
      </c>
      <c r="G10" s="71"/>
      <c r="H10" s="350"/>
      <c r="I10" s="350"/>
    </row>
    <row r="11" spans="1:9">
      <c r="A11" s="493" t="s">
        <v>829</v>
      </c>
      <c r="B11" s="454"/>
      <c r="C11" s="454"/>
      <c r="D11" s="450"/>
      <c r="E11" s="67"/>
      <c r="F11" s="67">
        <f>F10*1%</f>
        <v>0.43700000000000006</v>
      </c>
      <c r="G11" s="71"/>
      <c r="H11" s="350"/>
      <c r="I11" s="350"/>
    </row>
    <row r="12" spans="1:9">
      <c r="A12" s="493" t="s">
        <v>30</v>
      </c>
      <c r="B12" s="454"/>
      <c r="C12" s="454"/>
      <c r="D12" s="450"/>
      <c r="E12" s="71"/>
      <c r="F12" s="67">
        <f>F10+F11</f>
        <v>44.137</v>
      </c>
      <c r="G12" s="71"/>
      <c r="H12" s="350"/>
      <c r="I12" s="350"/>
    </row>
    <row r="13" spans="1:9">
      <c r="A13" s="493" t="s">
        <v>836</v>
      </c>
      <c r="B13" s="454"/>
      <c r="C13" s="454"/>
      <c r="D13" s="450"/>
      <c r="E13" s="67"/>
      <c r="F13" s="67">
        <f>F12*15%</f>
        <v>6.6205499999999997</v>
      </c>
      <c r="G13" s="71"/>
      <c r="H13" s="350"/>
      <c r="I13" s="350"/>
    </row>
    <row r="14" spans="1:9">
      <c r="A14" s="493" t="s">
        <v>30</v>
      </c>
      <c r="B14" s="454"/>
      <c r="C14" s="454"/>
      <c r="D14" s="450"/>
      <c r="E14" s="71"/>
      <c r="F14" s="191">
        <f>ROUND(F12+F13,2)</f>
        <v>50.76</v>
      </c>
      <c r="G14" s="71"/>
      <c r="H14" s="350"/>
      <c r="I14" s="350"/>
    </row>
    <row r="15" spans="1:9">
      <c r="A15" s="490" t="s">
        <v>819</v>
      </c>
      <c r="B15" s="454"/>
      <c r="C15" s="454"/>
      <c r="D15" s="454"/>
      <c r="E15" s="454"/>
      <c r="F15" s="450"/>
      <c r="G15" s="68" t="s">
        <v>820</v>
      </c>
      <c r="H15" s="350"/>
      <c r="I15" s="350"/>
    </row>
    <row r="16" spans="1:9">
      <c r="A16" s="491">
        <v>116</v>
      </c>
      <c r="B16" s="491"/>
      <c r="C16" s="484" t="s">
        <v>527</v>
      </c>
      <c r="D16" s="454"/>
      <c r="E16" s="450"/>
      <c r="F16" s="484"/>
      <c r="G16" s="450"/>
      <c r="H16" s="348"/>
      <c r="I16" s="348"/>
    </row>
    <row r="17" spans="1:9">
      <c r="A17" s="457"/>
      <c r="B17" s="457"/>
      <c r="C17" s="66" t="s">
        <v>26</v>
      </c>
      <c r="D17" s="67">
        <v>0.08</v>
      </c>
      <c r="E17" s="67">
        <v>784</v>
      </c>
      <c r="F17" s="67">
        <f>D17*E17</f>
        <v>62.72</v>
      </c>
      <c r="G17" s="66" t="s">
        <v>822</v>
      </c>
      <c r="H17" s="351"/>
      <c r="I17" s="351"/>
    </row>
    <row r="18" spans="1:9">
      <c r="A18" s="491">
        <v>114</v>
      </c>
      <c r="B18" s="491"/>
      <c r="C18" s="484" t="s">
        <v>1925</v>
      </c>
      <c r="D18" s="454"/>
      <c r="E18" s="450"/>
      <c r="F18" s="484"/>
      <c r="G18" s="450"/>
      <c r="H18" s="348"/>
      <c r="I18" s="348"/>
    </row>
    <row r="19" spans="1:9">
      <c r="A19" s="457"/>
      <c r="B19" s="457"/>
      <c r="C19" s="66" t="s">
        <v>26</v>
      </c>
      <c r="D19" s="67">
        <v>0.16</v>
      </c>
      <c r="E19" s="67">
        <v>645</v>
      </c>
      <c r="F19" s="67">
        <f>E19*D19</f>
        <v>103.2</v>
      </c>
      <c r="G19" s="66" t="s">
        <v>825</v>
      </c>
      <c r="H19" s="351"/>
      <c r="I19" s="351"/>
    </row>
    <row r="20" spans="1:9">
      <c r="A20" s="491">
        <v>114</v>
      </c>
      <c r="B20" s="491"/>
      <c r="C20" s="484" t="s">
        <v>59</v>
      </c>
      <c r="D20" s="454"/>
      <c r="E20" s="450"/>
      <c r="F20" s="484"/>
      <c r="G20" s="450"/>
      <c r="H20" s="348"/>
      <c r="I20" s="348"/>
    </row>
    <row r="21" spans="1:9">
      <c r="A21" s="457"/>
      <c r="B21" s="457"/>
      <c r="C21" s="66" t="s">
        <v>26</v>
      </c>
      <c r="D21" s="67">
        <v>0.66</v>
      </c>
      <c r="E21" s="67">
        <v>645</v>
      </c>
      <c r="F21" s="67">
        <f>D21*E21</f>
        <v>425.70000000000005</v>
      </c>
      <c r="G21" s="66" t="s">
        <v>837</v>
      </c>
      <c r="H21" s="351"/>
      <c r="I21" s="351"/>
    </row>
    <row r="22" spans="1:9">
      <c r="A22" s="491">
        <v>115</v>
      </c>
      <c r="B22" s="491"/>
      <c r="C22" s="484" t="s">
        <v>25</v>
      </c>
      <c r="D22" s="454"/>
      <c r="E22" s="450"/>
      <c r="F22" s="484"/>
      <c r="G22" s="450"/>
      <c r="H22" s="348"/>
      <c r="I22" s="348"/>
    </row>
    <row r="23" spans="1:9">
      <c r="A23" s="457"/>
      <c r="B23" s="457"/>
      <c r="C23" s="66" t="s">
        <v>26</v>
      </c>
      <c r="D23" s="67">
        <v>0.66</v>
      </c>
      <c r="E23" s="67">
        <v>645</v>
      </c>
      <c r="F23" s="67">
        <f>D23*E23</f>
        <v>425.70000000000005</v>
      </c>
      <c r="G23" s="66" t="s">
        <v>1927</v>
      </c>
      <c r="H23" s="351"/>
      <c r="I23" s="351"/>
    </row>
    <row r="24" spans="1:9">
      <c r="A24" s="492" t="s">
        <v>1928</v>
      </c>
      <c r="B24" s="454"/>
      <c r="C24" s="450"/>
      <c r="D24" s="67">
        <v>10</v>
      </c>
      <c r="E24" s="70" t="s">
        <v>21</v>
      </c>
      <c r="F24" s="67">
        <f>F23+F21+F19+F17</f>
        <v>1017.3200000000002</v>
      </c>
      <c r="G24" s="71"/>
      <c r="H24" s="348"/>
      <c r="I24" s="348"/>
    </row>
    <row r="25" spans="1:9">
      <c r="A25" s="492" t="s">
        <v>826</v>
      </c>
      <c r="B25" s="454"/>
      <c r="C25" s="450"/>
      <c r="D25" s="67">
        <v>1</v>
      </c>
      <c r="E25" s="70" t="s">
        <v>21</v>
      </c>
      <c r="F25" s="67">
        <f>F24/10</f>
        <v>101.73200000000001</v>
      </c>
      <c r="G25" s="71"/>
      <c r="H25" s="348"/>
      <c r="I25" s="348"/>
    </row>
    <row r="26" spans="1:9">
      <c r="A26" s="493" t="s">
        <v>829</v>
      </c>
      <c r="B26" s="454"/>
      <c r="C26" s="454"/>
      <c r="D26" s="450"/>
      <c r="E26" s="67"/>
      <c r="F26" s="67">
        <f>F25*1%</f>
        <v>1.0173200000000002</v>
      </c>
      <c r="G26" s="71"/>
      <c r="H26" s="348"/>
      <c r="I26" s="348"/>
    </row>
    <row r="27" spans="1:9">
      <c r="A27" s="493" t="s">
        <v>30</v>
      </c>
      <c r="B27" s="454"/>
      <c r="C27" s="454"/>
      <c r="D27" s="450"/>
      <c r="E27" s="71"/>
      <c r="F27" s="67">
        <f>F25+F26</f>
        <v>102.74932000000001</v>
      </c>
      <c r="G27" s="71"/>
      <c r="H27" s="348"/>
      <c r="I27" s="348"/>
    </row>
    <row r="28" spans="1:9">
      <c r="A28" s="493" t="s">
        <v>836</v>
      </c>
      <c r="B28" s="454"/>
      <c r="C28" s="454"/>
      <c r="D28" s="450"/>
      <c r="E28" s="67"/>
      <c r="F28" s="67">
        <f>F27*15%</f>
        <v>15.412398000000001</v>
      </c>
      <c r="G28" s="71"/>
      <c r="H28" s="348"/>
      <c r="I28" s="348"/>
    </row>
    <row r="29" spans="1:9">
      <c r="A29" s="493" t="s">
        <v>30</v>
      </c>
      <c r="B29" s="454"/>
      <c r="C29" s="454"/>
      <c r="D29" s="450"/>
      <c r="E29" s="71"/>
      <c r="F29" s="191">
        <f>ROUND(F27+F28,2)</f>
        <v>118.16</v>
      </c>
      <c r="G29" s="71"/>
      <c r="H29" s="348"/>
      <c r="I29" s="348"/>
    </row>
    <row r="30" spans="1:9" ht="27" customHeight="1">
      <c r="A30" s="594" t="str">
        <f>CONCATENATE("Say ₹ ",F14," + ",F29," x Cost Index")</f>
        <v>Say ₹ 50.76 + 118.16 x Cost Index</v>
      </c>
      <c r="B30" s="454"/>
      <c r="C30" s="454"/>
      <c r="D30" s="454"/>
      <c r="E30" s="454"/>
      <c r="F30" s="454"/>
      <c r="G30" s="450"/>
      <c r="H30" s="229">
        <f>((F8*1.01*1.15)/10)</f>
        <v>50.757549999999995</v>
      </c>
      <c r="I30" s="229">
        <f>((SUM(F17,F19,F21,F23)*1.01*1.15)/10)</f>
        <v>118.16171799999999</v>
      </c>
    </row>
    <row r="31" spans="1:9">
      <c r="A31" s="486" t="s">
        <v>771</v>
      </c>
      <c r="B31" s="486" t="s">
        <v>776</v>
      </c>
      <c r="C31" s="487" t="s">
        <v>4</v>
      </c>
      <c r="D31" s="454"/>
      <c r="E31" s="450"/>
      <c r="F31" s="487" t="s">
        <v>785</v>
      </c>
      <c r="G31" s="450"/>
      <c r="H31" s="346"/>
      <c r="I31" s="346"/>
    </row>
    <row r="32" spans="1:9">
      <c r="A32" s="457"/>
      <c r="B32" s="457"/>
      <c r="C32" s="62" t="s">
        <v>5</v>
      </c>
      <c r="D32" s="62" t="s">
        <v>6</v>
      </c>
      <c r="E32" s="62" t="s">
        <v>336</v>
      </c>
      <c r="F32" s="62" t="s">
        <v>8</v>
      </c>
      <c r="G32" s="62" t="s">
        <v>789</v>
      </c>
      <c r="H32" s="346"/>
      <c r="I32" s="346"/>
    </row>
    <row r="33" spans="1:9">
      <c r="A33" s="489" t="s">
        <v>1932</v>
      </c>
      <c r="B33" s="454"/>
      <c r="C33" s="454"/>
      <c r="D33" s="454"/>
      <c r="E33" s="454"/>
      <c r="F33" s="454"/>
      <c r="G33" s="450"/>
      <c r="H33" s="347"/>
      <c r="I33" s="347"/>
    </row>
    <row r="34" spans="1:9" ht="30">
      <c r="A34" s="65"/>
      <c r="B34" s="66" t="s">
        <v>795</v>
      </c>
      <c r="C34" s="66" t="s">
        <v>21</v>
      </c>
      <c r="D34" s="66" t="s">
        <v>798</v>
      </c>
      <c r="E34" s="67">
        <v>10</v>
      </c>
      <c r="F34" s="484"/>
      <c r="G34" s="450"/>
      <c r="H34" s="348"/>
      <c r="I34" s="348"/>
    </row>
    <row r="35" spans="1:9" ht="30">
      <c r="A35" s="66" t="s">
        <v>800</v>
      </c>
      <c r="B35" s="484" t="s">
        <v>1933</v>
      </c>
      <c r="C35" s="454"/>
      <c r="D35" s="454"/>
      <c r="E35" s="454"/>
      <c r="F35" s="454"/>
      <c r="G35" s="450"/>
      <c r="H35" s="349"/>
      <c r="I35" s="349"/>
    </row>
    <row r="36" spans="1:9">
      <c r="A36" s="490" t="s">
        <v>802</v>
      </c>
      <c r="B36" s="454"/>
      <c r="C36" s="454"/>
      <c r="D36" s="454"/>
      <c r="E36" s="454"/>
      <c r="F36" s="450"/>
      <c r="G36" s="68" t="s">
        <v>803</v>
      </c>
      <c r="H36" s="350"/>
      <c r="I36" s="350"/>
    </row>
    <row r="37" spans="1:9">
      <c r="A37" s="491"/>
      <c r="B37" s="491" t="s">
        <v>1704</v>
      </c>
      <c r="C37" s="484" t="s">
        <v>1934</v>
      </c>
      <c r="D37" s="454"/>
      <c r="E37" s="450"/>
      <c r="F37" s="484"/>
      <c r="G37" s="450"/>
      <c r="H37" s="348"/>
      <c r="I37" s="348"/>
    </row>
    <row r="38" spans="1:9">
      <c r="A38" s="457"/>
      <c r="B38" s="457"/>
      <c r="C38" s="66" t="s">
        <v>21</v>
      </c>
      <c r="D38" s="67">
        <v>11.5</v>
      </c>
      <c r="E38" s="67">
        <v>27</v>
      </c>
      <c r="F38" s="67">
        <f>E38*D38</f>
        <v>310.5</v>
      </c>
      <c r="G38" s="66" t="s">
        <v>808</v>
      </c>
      <c r="H38" s="351"/>
      <c r="I38" s="351"/>
    </row>
    <row r="39" spans="1:9">
      <c r="A39" s="492" t="s">
        <v>1105</v>
      </c>
      <c r="B39" s="454"/>
      <c r="C39" s="450"/>
      <c r="D39" s="67">
        <v>10</v>
      </c>
      <c r="E39" s="70" t="s">
        <v>21</v>
      </c>
      <c r="F39" s="67">
        <f>F38</f>
        <v>310.5</v>
      </c>
      <c r="G39" s="71"/>
      <c r="H39" s="350"/>
      <c r="I39" s="350"/>
    </row>
    <row r="40" spans="1:9">
      <c r="A40" s="492" t="s">
        <v>826</v>
      </c>
      <c r="B40" s="454"/>
      <c r="C40" s="450"/>
      <c r="D40" s="67">
        <v>1</v>
      </c>
      <c r="E40" s="70" t="s">
        <v>21</v>
      </c>
      <c r="F40" s="67">
        <f>F39/10</f>
        <v>31.05</v>
      </c>
      <c r="G40" s="71"/>
      <c r="H40" s="350"/>
      <c r="I40" s="350"/>
    </row>
    <row r="41" spans="1:9">
      <c r="A41" s="493" t="s">
        <v>829</v>
      </c>
      <c r="B41" s="454"/>
      <c r="C41" s="454"/>
      <c r="D41" s="450"/>
      <c r="E41" s="67"/>
      <c r="F41" s="67">
        <f>F40*1%</f>
        <v>0.3105</v>
      </c>
      <c r="G41" s="71"/>
      <c r="H41" s="350"/>
      <c r="I41" s="350"/>
    </row>
    <row r="42" spans="1:9">
      <c r="A42" s="493" t="s">
        <v>30</v>
      </c>
      <c r="B42" s="454"/>
      <c r="C42" s="454"/>
      <c r="D42" s="450"/>
      <c r="E42" s="71"/>
      <c r="F42" s="67">
        <f>F40+F41</f>
        <v>31.360500000000002</v>
      </c>
      <c r="G42" s="71"/>
      <c r="H42" s="350"/>
      <c r="I42" s="350"/>
    </row>
    <row r="43" spans="1:9">
      <c r="A43" s="493" t="s">
        <v>836</v>
      </c>
      <c r="B43" s="454"/>
      <c r="C43" s="454"/>
      <c r="D43" s="450"/>
      <c r="E43" s="67"/>
      <c r="F43" s="67">
        <f>F42*15%</f>
        <v>4.7040750000000005</v>
      </c>
      <c r="G43" s="71"/>
      <c r="H43" s="350"/>
      <c r="I43" s="350"/>
    </row>
    <row r="44" spans="1:9">
      <c r="A44" s="493" t="s">
        <v>30</v>
      </c>
      <c r="B44" s="454"/>
      <c r="C44" s="454"/>
      <c r="D44" s="450"/>
      <c r="E44" s="71"/>
      <c r="F44" s="191">
        <f>ROUND(F42+F43,2)</f>
        <v>36.06</v>
      </c>
      <c r="G44" s="71"/>
      <c r="H44" s="350"/>
      <c r="I44" s="350"/>
    </row>
    <row r="45" spans="1:9">
      <c r="A45" s="490" t="s">
        <v>819</v>
      </c>
      <c r="B45" s="454"/>
      <c r="C45" s="454"/>
      <c r="D45" s="454"/>
      <c r="E45" s="454"/>
      <c r="F45" s="450"/>
      <c r="G45" s="68" t="s">
        <v>820</v>
      </c>
      <c r="H45" s="350"/>
      <c r="I45" s="350"/>
    </row>
    <row r="46" spans="1:9">
      <c r="A46" s="491">
        <v>116</v>
      </c>
      <c r="B46" s="491"/>
      <c r="C46" s="484" t="s">
        <v>527</v>
      </c>
      <c r="D46" s="454"/>
      <c r="E46" s="450"/>
      <c r="F46" s="484"/>
      <c r="G46" s="450"/>
      <c r="H46" s="348"/>
      <c r="I46" s="348"/>
    </row>
    <row r="47" spans="1:9">
      <c r="A47" s="457"/>
      <c r="B47" s="457"/>
      <c r="C47" s="66" t="s">
        <v>26</v>
      </c>
      <c r="D47" s="67">
        <v>0.08</v>
      </c>
      <c r="E47" s="67">
        <v>784</v>
      </c>
      <c r="F47" s="67">
        <f>E47*D47</f>
        <v>62.72</v>
      </c>
      <c r="G47" s="66" t="s">
        <v>822</v>
      </c>
      <c r="H47" s="351"/>
      <c r="I47" s="351"/>
    </row>
    <row r="48" spans="1:9">
      <c r="A48" s="491">
        <v>114</v>
      </c>
      <c r="B48" s="491"/>
      <c r="C48" s="484" t="s">
        <v>1936</v>
      </c>
      <c r="D48" s="454"/>
      <c r="E48" s="450"/>
      <c r="F48" s="484"/>
      <c r="G48" s="450"/>
      <c r="H48" s="348"/>
      <c r="I48" s="348"/>
    </row>
    <row r="49" spans="1:9">
      <c r="A49" s="457"/>
      <c r="B49" s="457"/>
      <c r="C49" s="66" t="s">
        <v>26</v>
      </c>
      <c r="D49" s="67">
        <v>0.16</v>
      </c>
      <c r="E49" s="67">
        <v>645</v>
      </c>
      <c r="F49" s="67">
        <f>E49*D49</f>
        <v>103.2</v>
      </c>
      <c r="G49" s="66" t="s">
        <v>825</v>
      </c>
      <c r="H49" s="351"/>
      <c r="I49" s="351"/>
    </row>
    <row r="50" spans="1:9">
      <c r="A50" s="491">
        <v>114</v>
      </c>
      <c r="B50" s="491"/>
      <c r="C50" s="484" t="s">
        <v>59</v>
      </c>
      <c r="D50" s="454"/>
      <c r="E50" s="450"/>
      <c r="F50" s="484"/>
      <c r="G50" s="450"/>
      <c r="H50" s="348"/>
      <c r="I50" s="348"/>
    </row>
    <row r="51" spans="1:9">
      <c r="A51" s="457"/>
      <c r="B51" s="457"/>
      <c r="C51" s="66" t="s">
        <v>26</v>
      </c>
      <c r="D51" s="67">
        <v>0.66</v>
      </c>
      <c r="E51" s="67">
        <v>645</v>
      </c>
      <c r="F51" s="67">
        <f>D51*E51</f>
        <v>425.70000000000005</v>
      </c>
      <c r="G51" s="66" t="s">
        <v>837</v>
      </c>
      <c r="H51" s="351"/>
      <c r="I51" s="351"/>
    </row>
    <row r="52" spans="1:9">
      <c r="A52" s="491">
        <v>115</v>
      </c>
      <c r="B52" s="491"/>
      <c r="C52" s="484" t="s">
        <v>25</v>
      </c>
      <c r="D52" s="454"/>
      <c r="E52" s="450"/>
      <c r="F52" s="484"/>
      <c r="G52" s="450"/>
      <c r="H52" s="348"/>
      <c r="I52" s="348"/>
    </row>
    <row r="53" spans="1:9">
      <c r="A53" s="457"/>
      <c r="B53" s="457"/>
      <c r="C53" s="66" t="s">
        <v>26</v>
      </c>
      <c r="D53" s="67">
        <v>0.66</v>
      </c>
      <c r="E53" s="67">
        <v>645</v>
      </c>
      <c r="F53" s="67">
        <f>D53*E53</f>
        <v>425.70000000000005</v>
      </c>
      <c r="G53" s="66" t="s">
        <v>1927</v>
      </c>
      <c r="H53" s="351"/>
      <c r="I53" s="351"/>
    </row>
    <row r="54" spans="1:9">
      <c r="A54" s="492" t="s">
        <v>1928</v>
      </c>
      <c r="B54" s="454"/>
      <c r="C54" s="450"/>
      <c r="D54" s="67">
        <v>10</v>
      </c>
      <c r="E54" s="70" t="s">
        <v>21</v>
      </c>
      <c r="F54" s="67">
        <f>F53+F51+F49+F47</f>
        <v>1017.3200000000002</v>
      </c>
      <c r="G54" s="71"/>
      <c r="H54" s="348"/>
      <c r="I54" s="348"/>
    </row>
    <row r="55" spans="1:9">
      <c r="A55" s="492" t="s">
        <v>826</v>
      </c>
      <c r="B55" s="454"/>
      <c r="C55" s="450"/>
      <c r="D55" s="67">
        <v>1</v>
      </c>
      <c r="E55" s="70" t="s">
        <v>21</v>
      </c>
      <c r="F55" s="67">
        <f>F54/10</f>
        <v>101.73200000000001</v>
      </c>
      <c r="G55" s="71"/>
      <c r="H55" s="348"/>
      <c r="I55" s="348"/>
    </row>
    <row r="56" spans="1:9">
      <c r="A56" s="493" t="s">
        <v>829</v>
      </c>
      <c r="B56" s="454"/>
      <c r="C56" s="454"/>
      <c r="D56" s="450"/>
      <c r="E56" s="67"/>
      <c r="F56" s="67">
        <f>F55*1%</f>
        <v>1.0173200000000002</v>
      </c>
      <c r="G56" s="71"/>
      <c r="H56" s="348"/>
      <c r="I56" s="348"/>
    </row>
    <row r="57" spans="1:9">
      <c r="A57" s="493" t="s">
        <v>30</v>
      </c>
      <c r="B57" s="454"/>
      <c r="C57" s="454"/>
      <c r="D57" s="450"/>
      <c r="E57" s="71"/>
      <c r="F57" s="67">
        <f>F55+F56</f>
        <v>102.74932000000001</v>
      </c>
      <c r="G57" s="71"/>
      <c r="H57" s="348"/>
      <c r="I57" s="348"/>
    </row>
    <row r="58" spans="1:9">
      <c r="A58" s="493" t="s">
        <v>836</v>
      </c>
      <c r="B58" s="454"/>
      <c r="C58" s="454"/>
      <c r="D58" s="450"/>
      <c r="E58" s="67"/>
      <c r="F58" s="67">
        <f>F57*15%</f>
        <v>15.412398000000001</v>
      </c>
      <c r="G58" s="71"/>
      <c r="H58" s="348"/>
      <c r="I58" s="348"/>
    </row>
    <row r="59" spans="1:9">
      <c r="A59" s="493" t="s">
        <v>30</v>
      </c>
      <c r="B59" s="454"/>
      <c r="C59" s="454"/>
      <c r="D59" s="450"/>
      <c r="E59" s="71"/>
      <c r="F59" s="191">
        <f>ROUND(F57+F58,2)</f>
        <v>118.16</v>
      </c>
      <c r="G59" s="71"/>
      <c r="H59" s="348"/>
      <c r="I59" s="348"/>
    </row>
    <row r="60" spans="1:9" ht="27" customHeight="1">
      <c r="A60" s="594" t="str">
        <f>CONCATENATE("Say ₹ ",F44," + ",F59," x Cost Index")</f>
        <v>Say ₹ 36.06 + 118.16 x Cost Index</v>
      </c>
      <c r="B60" s="454"/>
      <c r="C60" s="454"/>
      <c r="D60" s="454"/>
      <c r="E60" s="454"/>
      <c r="F60" s="454"/>
      <c r="G60" s="450"/>
      <c r="H60" s="229">
        <f>((F38*1.01*1.15)/10)</f>
        <v>36.064575000000005</v>
      </c>
      <c r="I60" s="229">
        <f>((SUM(F47,F49,F51,F53)*1.01*1.15)/10)</f>
        <v>118.16171799999999</v>
      </c>
    </row>
    <row r="61" spans="1:9">
      <c r="A61" s="486" t="s">
        <v>771</v>
      </c>
      <c r="B61" s="486" t="s">
        <v>776</v>
      </c>
      <c r="C61" s="487" t="s">
        <v>4</v>
      </c>
      <c r="D61" s="454"/>
      <c r="E61" s="450"/>
      <c r="F61" s="487" t="s">
        <v>785</v>
      </c>
      <c r="G61" s="450"/>
      <c r="H61" s="346"/>
      <c r="I61" s="346"/>
    </row>
    <row r="62" spans="1:9">
      <c r="A62" s="457"/>
      <c r="B62" s="457"/>
      <c r="C62" s="62" t="s">
        <v>5</v>
      </c>
      <c r="D62" s="62" t="s">
        <v>6</v>
      </c>
      <c r="E62" s="62" t="s">
        <v>336</v>
      </c>
      <c r="F62" s="62" t="s">
        <v>8</v>
      </c>
      <c r="G62" s="62" t="s">
        <v>789</v>
      </c>
      <c r="H62" s="346"/>
      <c r="I62" s="346"/>
    </row>
    <row r="63" spans="1:9">
      <c r="A63" s="489" t="s">
        <v>1992</v>
      </c>
      <c r="B63" s="454"/>
      <c r="C63" s="454"/>
      <c r="D63" s="454"/>
      <c r="E63" s="454"/>
      <c r="F63" s="454"/>
      <c r="G63" s="450"/>
      <c r="H63" s="347"/>
      <c r="I63" s="347"/>
    </row>
    <row r="64" spans="1:9" ht="30">
      <c r="A64" s="65"/>
      <c r="B64" s="66" t="s">
        <v>795</v>
      </c>
      <c r="C64" s="66" t="s">
        <v>21</v>
      </c>
      <c r="D64" s="66" t="s">
        <v>798</v>
      </c>
      <c r="E64" s="67">
        <v>10</v>
      </c>
      <c r="F64" s="484"/>
      <c r="G64" s="450"/>
      <c r="H64" s="348"/>
      <c r="I64" s="348"/>
    </row>
    <row r="65" spans="1:9" ht="30">
      <c r="A65" s="66" t="s">
        <v>800</v>
      </c>
      <c r="B65" s="484" t="s">
        <v>1757</v>
      </c>
      <c r="C65" s="454"/>
      <c r="D65" s="454"/>
      <c r="E65" s="454"/>
      <c r="F65" s="454"/>
      <c r="G65" s="450"/>
      <c r="H65" s="349"/>
      <c r="I65" s="349"/>
    </row>
    <row r="66" spans="1:9">
      <c r="A66" s="490" t="s">
        <v>802</v>
      </c>
      <c r="B66" s="454"/>
      <c r="C66" s="454"/>
      <c r="D66" s="454"/>
      <c r="E66" s="454"/>
      <c r="F66" s="450"/>
      <c r="G66" s="68" t="s">
        <v>803</v>
      </c>
      <c r="H66" s="350"/>
      <c r="I66" s="350"/>
    </row>
    <row r="67" spans="1:9">
      <c r="A67" s="491"/>
      <c r="B67" s="491" t="s">
        <v>1714</v>
      </c>
      <c r="C67" s="484" t="s">
        <v>1994</v>
      </c>
      <c r="D67" s="454"/>
      <c r="E67" s="450"/>
      <c r="F67" s="484"/>
      <c r="G67" s="450"/>
      <c r="H67" s="348"/>
      <c r="I67" s="348"/>
    </row>
    <row r="68" spans="1:9">
      <c r="A68" s="457"/>
      <c r="B68" s="457"/>
      <c r="C68" s="66" t="s">
        <v>21</v>
      </c>
      <c r="D68" s="67">
        <v>11.5</v>
      </c>
      <c r="E68" s="67">
        <v>40.5</v>
      </c>
      <c r="F68" s="67">
        <f>E68*D68</f>
        <v>465.75</v>
      </c>
      <c r="G68" s="66" t="s">
        <v>808</v>
      </c>
      <c r="H68" s="351"/>
      <c r="I68" s="351"/>
    </row>
    <row r="69" spans="1:9">
      <c r="A69" s="492" t="s">
        <v>1105</v>
      </c>
      <c r="B69" s="454"/>
      <c r="C69" s="450"/>
      <c r="D69" s="67">
        <v>10</v>
      </c>
      <c r="E69" s="70" t="s">
        <v>21</v>
      </c>
      <c r="F69" s="67">
        <f>F68</f>
        <v>465.75</v>
      </c>
      <c r="G69" s="71"/>
      <c r="H69" s="183"/>
      <c r="I69" s="183"/>
    </row>
    <row r="70" spans="1:9">
      <c r="A70" s="492" t="s">
        <v>826</v>
      </c>
      <c r="B70" s="454"/>
      <c r="C70" s="450"/>
      <c r="D70" s="67">
        <v>1</v>
      </c>
      <c r="E70" s="70" t="s">
        <v>21</v>
      </c>
      <c r="F70" s="67">
        <f>F69/10</f>
        <v>46.575000000000003</v>
      </c>
      <c r="G70" s="71"/>
      <c r="H70" s="183"/>
      <c r="I70" s="183"/>
    </row>
    <row r="71" spans="1:9">
      <c r="A71" s="493" t="s">
        <v>829</v>
      </c>
      <c r="B71" s="454"/>
      <c r="C71" s="454"/>
      <c r="D71" s="450"/>
      <c r="E71" s="67"/>
      <c r="F71" s="67">
        <f>F70*1%</f>
        <v>0.46575000000000005</v>
      </c>
      <c r="G71" s="71"/>
      <c r="H71" s="183"/>
      <c r="I71" s="183"/>
    </row>
    <row r="72" spans="1:9">
      <c r="A72" s="493" t="s">
        <v>30</v>
      </c>
      <c r="B72" s="454"/>
      <c r="C72" s="454"/>
      <c r="D72" s="450"/>
      <c r="E72" s="71"/>
      <c r="F72" s="67">
        <f>F70+F71</f>
        <v>47.040750000000003</v>
      </c>
      <c r="G72" s="71"/>
      <c r="H72" s="183"/>
      <c r="I72" s="183"/>
    </row>
    <row r="73" spans="1:9">
      <c r="A73" s="493" t="s">
        <v>836</v>
      </c>
      <c r="B73" s="454"/>
      <c r="C73" s="454"/>
      <c r="D73" s="450"/>
      <c r="E73" s="67"/>
      <c r="F73" s="67">
        <f>F72*15%</f>
        <v>7.0561125000000002</v>
      </c>
      <c r="G73" s="71"/>
      <c r="H73" s="183"/>
      <c r="I73" s="183"/>
    </row>
    <row r="74" spans="1:9">
      <c r="A74" s="493" t="s">
        <v>30</v>
      </c>
      <c r="B74" s="454"/>
      <c r="C74" s="454"/>
      <c r="D74" s="450"/>
      <c r="E74" s="71"/>
      <c r="F74" s="191">
        <f>ROUND(F72+F73,2)</f>
        <v>54.1</v>
      </c>
      <c r="G74" s="71"/>
      <c r="H74" s="183"/>
      <c r="I74" s="183"/>
    </row>
    <row r="75" spans="1:9">
      <c r="A75" s="490" t="s">
        <v>819</v>
      </c>
      <c r="B75" s="454"/>
      <c r="C75" s="454"/>
      <c r="D75" s="454"/>
      <c r="E75" s="454"/>
      <c r="F75" s="450"/>
      <c r="G75" s="68" t="s">
        <v>820</v>
      </c>
      <c r="H75" s="350"/>
      <c r="I75" s="350"/>
    </row>
    <row r="76" spans="1:9">
      <c r="A76" s="491">
        <v>116</v>
      </c>
      <c r="B76" s="491"/>
      <c r="C76" s="484" t="s">
        <v>527</v>
      </c>
      <c r="D76" s="454"/>
      <c r="E76" s="450"/>
      <c r="F76" s="484"/>
      <c r="G76" s="450"/>
      <c r="H76" s="348"/>
      <c r="I76" s="348"/>
    </row>
    <row r="77" spans="1:9">
      <c r="A77" s="457"/>
      <c r="B77" s="457"/>
      <c r="C77" s="66" t="s">
        <v>26</v>
      </c>
      <c r="D77" s="67">
        <v>0.08</v>
      </c>
      <c r="E77" s="67">
        <v>784</v>
      </c>
      <c r="F77" s="67">
        <f>E77*D77</f>
        <v>62.72</v>
      </c>
      <c r="G77" s="66" t="s">
        <v>822</v>
      </c>
      <c r="H77" s="351"/>
      <c r="I77" s="351"/>
    </row>
    <row r="78" spans="1:9">
      <c r="A78" s="491">
        <v>114</v>
      </c>
      <c r="B78" s="491"/>
      <c r="C78" s="484" t="s">
        <v>1936</v>
      </c>
      <c r="D78" s="454"/>
      <c r="E78" s="450"/>
      <c r="F78" s="484"/>
      <c r="G78" s="450"/>
      <c r="H78" s="348"/>
      <c r="I78" s="348"/>
    </row>
    <row r="79" spans="1:9">
      <c r="A79" s="457"/>
      <c r="B79" s="457"/>
      <c r="C79" s="66" t="s">
        <v>26</v>
      </c>
      <c r="D79" s="67">
        <v>0.16</v>
      </c>
      <c r="E79" s="67">
        <v>645</v>
      </c>
      <c r="F79" s="67">
        <f>E79*D79</f>
        <v>103.2</v>
      </c>
      <c r="G79" s="66" t="s">
        <v>825</v>
      </c>
      <c r="H79" s="351"/>
      <c r="I79" s="351"/>
    </row>
    <row r="80" spans="1:9">
      <c r="A80" s="491">
        <v>114</v>
      </c>
      <c r="B80" s="491"/>
      <c r="C80" s="484" t="s">
        <v>59</v>
      </c>
      <c r="D80" s="454"/>
      <c r="E80" s="450"/>
      <c r="F80" s="484"/>
      <c r="G80" s="450"/>
      <c r="H80" s="348"/>
      <c r="I80" s="348"/>
    </row>
    <row r="81" spans="1:9">
      <c r="A81" s="457"/>
      <c r="B81" s="457"/>
      <c r="C81" s="66" t="s">
        <v>26</v>
      </c>
      <c r="D81" s="67">
        <v>0.66</v>
      </c>
      <c r="E81" s="67">
        <v>645</v>
      </c>
      <c r="F81" s="67">
        <f>D81*E81</f>
        <v>425.70000000000005</v>
      </c>
      <c r="G81" s="66" t="s">
        <v>837</v>
      </c>
      <c r="H81" s="351"/>
      <c r="I81" s="351"/>
    </row>
    <row r="82" spans="1:9">
      <c r="A82" s="491">
        <v>115</v>
      </c>
      <c r="B82" s="491"/>
      <c r="C82" s="484" t="s">
        <v>25</v>
      </c>
      <c r="D82" s="454"/>
      <c r="E82" s="450"/>
      <c r="F82" s="484"/>
      <c r="G82" s="450"/>
      <c r="H82" s="348"/>
      <c r="I82" s="348"/>
    </row>
    <row r="83" spans="1:9">
      <c r="A83" s="457"/>
      <c r="B83" s="457"/>
      <c r="C83" s="66" t="s">
        <v>26</v>
      </c>
      <c r="D83" s="67">
        <v>0.66</v>
      </c>
      <c r="E83" s="67">
        <v>645</v>
      </c>
      <c r="F83" s="67">
        <f>D83*E83</f>
        <v>425.70000000000005</v>
      </c>
      <c r="G83" s="66" t="s">
        <v>1927</v>
      </c>
      <c r="H83" s="351"/>
      <c r="I83" s="351"/>
    </row>
    <row r="84" spans="1:9">
      <c r="A84" s="492" t="s">
        <v>1928</v>
      </c>
      <c r="B84" s="454"/>
      <c r="C84" s="450"/>
      <c r="D84" s="67">
        <v>10</v>
      </c>
      <c r="E84" s="70" t="s">
        <v>21</v>
      </c>
      <c r="F84" s="67">
        <f>F83+F81+F79+F77</f>
        <v>1017.3200000000002</v>
      </c>
      <c r="G84" s="71"/>
      <c r="H84" s="348"/>
      <c r="I84" s="348"/>
    </row>
    <row r="85" spans="1:9">
      <c r="A85" s="492" t="s">
        <v>826</v>
      </c>
      <c r="B85" s="454"/>
      <c r="C85" s="450"/>
      <c r="D85" s="67">
        <v>1</v>
      </c>
      <c r="E85" s="70" t="s">
        <v>21</v>
      </c>
      <c r="F85" s="67">
        <f>F84/10</f>
        <v>101.73200000000001</v>
      </c>
      <c r="G85" s="71"/>
      <c r="H85" s="348"/>
      <c r="I85" s="348"/>
    </row>
    <row r="86" spans="1:9">
      <c r="A86" s="493" t="s">
        <v>829</v>
      </c>
      <c r="B86" s="454"/>
      <c r="C86" s="454"/>
      <c r="D86" s="450"/>
      <c r="E86" s="67"/>
      <c r="F86" s="67">
        <f>F85*1%</f>
        <v>1.0173200000000002</v>
      </c>
      <c r="G86" s="71"/>
      <c r="H86" s="348"/>
      <c r="I86" s="348"/>
    </row>
    <row r="87" spans="1:9">
      <c r="A87" s="493" t="s">
        <v>30</v>
      </c>
      <c r="B87" s="454"/>
      <c r="C87" s="454"/>
      <c r="D87" s="450"/>
      <c r="E87" s="71"/>
      <c r="F87" s="67">
        <f>F85+F86</f>
        <v>102.74932000000001</v>
      </c>
      <c r="G87" s="71"/>
      <c r="H87" s="348"/>
      <c r="I87" s="348"/>
    </row>
    <row r="88" spans="1:9">
      <c r="A88" s="493" t="s">
        <v>836</v>
      </c>
      <c r="B88" s="454"/>
      <c r="C88" s="454"/>
      <c r="D88" s="450"/>
      <c r="E88" s="67"/>
      <c r="F88" s="67">
        <f>F87*15%</f>
        <v>15.412398000000001</v>
      </c>
      <c r="G88" s="71"/>
      <c r="H88" s="348"/>
      <c r="I88" s="348"/>
    </row>
    <row r="89" spans="1:9">
      <c r="A89" s="493" t="s">
        <v>30</v>
      </c>
      <c r="B89" s="454"/>
      <c r="C89" s="454"/>
      <c r="D89" s="450"/>
      <c r="E89" s="71"/>
      <c r="F89" s="191">
        <f>ROUND(F87+F88,2)</f>
        <v>118.16</v>
      </c>
      <c r="G89" s="71"/>
      <c r="H89" s="348"/>
      <c r="I89" s="348"/>
    </row>
    <row r="90" spans="1:9">
      <c r="A90" s="594" t="str">
        <f>CONCATENATE("Say ₹ ",F74," + ",F89," x Cost Index")</f>
        <v>Say ₹ 54.1 + 118.16 x Cost Index</v>
      </c>
      <c r="B90" s="454"/>
      <c r="C90" s="454"/>
      <c r="D90" s="454"/>
      <c r="E90" s="454"/>
      <c r="F90" s="454"/>
      <c r="G90" s="450"/>
      <c r="H90" s="229">
        <f>((F68*1.01*1.15)/10)</f>
        <v>54.0968625</v>
      </c>
      <c r="I90" s="229">
        <f>((SUM(F77,F79,F81,F83)*1.01*1.15)/10)</f>
        <v>118.16171799999999</v>
      </c>
    </row>
    <row r="91" spans="1:9">
      <c r="A91" s="486" t="s">
        <v>771</v>
      </c>
      <c r="B91" s="486" t="s">
        <v>776</v>
      </c>
      <c r="C91" s="487" t="s">
        <v>4</v>
      </c>
      <c r="D91" s="454"/>
      <c r="E91" s="450"/>
      <c r="F91" s="487" t="s">
        <v>785</v>
      </c>
      <c r="G91" s="450"/>
      <c r="H91" s="346"/>
      <c r="I91" s="346"/>
    </row>
    <row r="92" spans="1:9">
      <c r="A92" s="457"/>
      <c r="B92" s="457"/>
      <c r="C92" s="62" t="s">
        <v>5</v>
      </c>
      <c r="D92" s="62" t="s">
        <v>6</v>
      </c>
      <c r="E92" s="62" t="s">
        <v>336</v>
      </c>
      <c r="F92" s="62" t="s">
        <v>8</v>
      </c>
      <c r="G92" s="62" t="s">
        <v>789</v>
      </c>
      <c r="H92" s="346"/>
      <c r="I92" s="346"/>
    </row>
    <row r="93" spans="1:9">
      <c r="A93" s="489" t="s">
        <v>2009</v>
      </c>
      <c r="B93" s="454"/>
      <c r="C93" s="454"/>
      <c r="D93" s="454"/>
      <c r="E93" s="454"/>
      <c r="F93" s="454"/>
      <c r="G93" s="450"/>
      <c r="H93" s="347"/>
      <c r="I93" s="347"/>
    </row>
    <row r="94" spans="1:9" ht="30">
      <c r="A94" s="65"/>
      <c r="B94" s="66" t="s">
        <v>795</v>
      </c>
      <c r="C94" s="66" t="s">
        <v>21</v>
      </c>
      <c r="D94" s="66" t="s">
        <v>798</v>
      </c>
      <c r="E94" s="67">
        <v>10</v>
      </c>
      <c r="F94" s="484"/>
      <c r="G94" s="450"/>
      <c r="H94" s="348"/>
      <c r="I94" s="348"/>
    </row>
    <row r="95" spans="1:9" ht="30">
      <c r="A95" s="66" t="s">
        <v>800</v>
      </c>
      <c r="B95" s="484" t="s">
        <v>1693</v>
      </c>
      <c r="C95" s="454"/>
      <c r="D95" s="454"/>
      <c r="E95" s="454"/>
      <c r="F95" s="454"/>
      <c r="G95" s="450"/>
      <c r="H95" s="349"/>
      <c r="I95" s="349"/>
    </row>
    <row r="96" spans="1:9">
      <c r="A96" s="490" t="s">
        <v>802</v>
      </c>
      <c r="B96" s="454"/>
      <c r="C96" s="454"/>
      <c r="D96" s="454"/>
      <c r="E96" s="454"/>
      <c r="F96" s="450"/>
      <c r="G96" s="68" t="s">
        <v>803</v>
      </c>
      <c r="H96" s="350"/>
      <c r="I96" s="350"/>
    </row>
    <row r="97" spans="1:9">
      <c r="A97" s="491"/>
      <c r="B97" s="491" t="s">
        <v>1732</v>
      </c>
      <c r="C97" s="484" t="s">
        <v>2011</v>
      </c>
      <c r="D97" s="454"/>
      <c r="E97" s="450"/>
      <c r="F97" s="484"/>
      <c r="G97" s="450"/>
      <c r="H97" s="348"/>
      <c r="I97" s="348"/>
    </row>
    <row r="98" spans="1:9">
      <c r="A98" s="457"/>
      <c r="B98" s="457"/>
      <c r="C98" s="66" t="s">
        <v>21</v>
      </c>
      <c r="D98" s="67">
        <v>11.5</v>
      </c>
      <c r="E98" s="67">
        <v>30</v>
      </c>
      <c r="F98" s="67">
        <f>E98*D98</f>
        <v>345</v>
      </c>
      <c r="G98" s="66" t="s">
        <v>808</v>
      </c>
      <c r="H98" s="351"/>
      <c r="I98" s="351"/>
    </row>
    <row r="99" spans="1:9">
      <c r="A99" s="492" t="s">
        <v>1105</v>
      </c>
      <c r="B99" s="454"/>
      <c r="C99" s="450"/>
      <c r="D99" s="67">
        <v>10</v>
      </c>
      <c r="E99" s="70" t="s">
        <v>21</v>
      </c>
      <c r="F99" s="67">
        <f>F98</f>
        <v>345</v>
      </c>
      <c r="G99" s="303"/>
      <c r="H99" s="183"/>
      <c r="I99" s="183"/>
    </row>
    <row r="100" spans="1:9">
      <c r="A100" s="492" t="s">
        <v>826</v>
      </c>
      <c r="B100" s="454"/>
      <c r="C100" s="450"/>
      <c r="D100" s="67">
        <v>1</v>
      </c>
      <c r="E100" s="70" t="s">
        <v>21</v>
      </c>
      <c r="F100" s="67">
        <f>F99/10</f>
        <v>34.5</v>
      </c>
      <c r="G100" s="303"/>
      <c r="H100" s="183"/>
      <c r="I100" s="183"/>
    </row>
    <row r="101" spans="1:9">
      <c r="A101" s="493" t="s">
        <v>829</v>
      </c>
      <c r="B101" s="454"/>
      <c r="C101" s="454"/>
      <c r="D101" s="450"/>
      <c r="E101" s="67"/>
      <c r="F101" s="67">
        <f>F100*1%</f>
        <v>0.34500000000000003</v>
      </c>
      <c r="G101" s="303"/>
      <c r="H101" s="183"/>
      <c r="I101" s="183"/>
    </row>
    <row r="102" spans="1:9">
      <c r="A102" s="493" t="s">
        <v>30</v>
      </c>
      <c r="B102" s="454"/>
      <c r="C102" s="454"/>
      <c r="D102" s="450"/>
      <c r="E102" s="71"/>
      <c r="F102" s="67">
        <f>F100+F101</f>
        <v>34.844999999999999</v>
      </c>
      <c r="G102" s="303"/>
      <c r="H102" s="183"/>
      <c r="I102" s="183"/>
    </row>
    <row r="103" spans="1:9">
      <c r="A103" s="493" t="s">
        <v>836</v>
      </c>
      <c r="B103" s="454"/>
      <c r="C103" s="454"/>
      <c r="D103" s="450"/>
      <c r="E103" s="67"/>
      <c r="F103" s="67">
        <f>F102*15%</f>
        <v>5.22675</v>
      </c>
      <c r="G103" s="303"/>
      <c r="H103" s="183"/>
      <c r="I103" s="183"/>
    </row>
    <row r="104" spans="1:9">
      <c r="A104" s="493" t="s">
        <v>30</v>
      </c>
      <c r="B104" s="454"/>
      <c r="C104" s="454"/>
      <c r="D104" s="450"/>
      <c r="E104" s="71"/>
      <c r="F104" s="191">
        <f>ROUND(F102+F103,2)</f>
        <v>40.07</v>
      </c>
      <c r="G104" s="303"/>
      <c r="H104" s="183"/>
      <c r="I104" s="183"/>
    </row>
    <row r="105" spans="1:9">
      <c r="A105" s="490" t="s">
        <v>819</v>
      </c>
      <c r="B105" s="454"/>
      <c r="C105" s="454"/>
      <c r="D105" s="454"/>
      <c r="E105" s="454"/>
      <c r="F105" s="450"/>
      <c r="G105" s="68" t="s">
        <v>820</v>
      </c>
      <c r="H105" s="350"/>
      <c r="I105" s="350"/>
    </row>
    <row r="106" spans="1:9">
      <c r="A106" s="491">
        <v>116</v>
      </c>
      <c r="B106" s="491"/>
      <c r="C106" s="484" t="s">
        <v>527</v>
      </c>
      <c r="D106" s="454"/>
      <c r="E106" s="450"/>
      <c r="F106" s="484"/>
      <c r="G106" s="450"/>
      <c r="H106" s="348"/>
      <c r="I106" s="348"/>
    </row>
    <row r="107" spans="1:9">
      <c r="A107" s="457"/>
      <c r="B107" s="457"/>
      <c r="C107" s="66" t="s">
        <v>26</v>
      </c>
      <c r="D107" s="67">
        <v>0.08</v>
      </c>
      <c r="E107" s="67">
        <v>784</v>
      </c>
      <c r="F107" s="67">
        <f>E107*D107</f>
        <v>62.72</v>
      </c>
      <c r="G107" s="66" t="s">
        <v>822</v>
      </c>
      <c r="H107" s="351"/>
      <c r="I107" s="351"/>
    </row>
    <row r="108" spans="1:9">
      <c r="A108" s="491">
        <v>114</v>
      </c>
      <c r="B108" s="491"/>
      <c r="C108" s="484" t="s">
        <v>1936</v>
      </c>
      <c r="D108" s="454"/>
      <c r="E108" s="450"/>
      <c r="F108" s="484"/>
      <c r="G108" s="450"/>
      <c r="H108" s="348"/>
      <c r="I108" s="348"/>
    </row>
    <row r="109" spans="1:9">
      <c r="A109" s="457"/>
      <c r="B109" s="457"/>
      <c r="C109" s="66" t="s">
        <v>26</v>
      </c>
      <c r="D109" s="67">
        <v>0.16</v>
      </c>
      <c r="E109" s="67">
        <v>645</v>
      </c>
      <c r="F109" s="67">
        <f>E109*D109</f>
        <v>103.2</v>
      </c>
      <c r="G109" s="66" t="s">
        <v>825</v>
      </c>
      <c r="H109" s="351"/>
      <c r="I109" s="351"/>
    </row>
    <row r="110" spans="1:9">
      <c r="A110" s="491">
        <v>114</v>
      </c>
      <c r="B110" s="491"/>
      <c r="C110" s="484" t="s">
        <v>59</v>
      </c>
      <c r="D110" s="454"/>
      <c r="E110" s="450"/>
      <c r="F110" s="484"/>
      <c r="G110" s="450"/>
      <c r="H110" s="348"/>
      <c r="I110" s="348"/>
    </row>
    <row r="111" spans="1:9">
      <c r="A111" s="457"/>
      <c r="B111" s="457"/>
      <c r="C111" s="66" t="s">
        <v>26</v>
      </c>
      <c r="D111" s="67">
        <v>0.66</v>
      </c>
      <c r="E111" s="67">
        <v>645</v>
      </c>
      <c r="F111" s="67">
        <f>D111*E111</f>
        <v>425.70000000000005</v>
      </c>
      <c r="G111" s="66" t="s">
        <v>837</v>
      </c>
      <c r="H111" s="351"/>
      <c r="I111" s="351"/>
    </row>
    <row r="112" spans="1:9">
      <c r="A112" s="491">
        <v>115</v>
      </c>
      <c r="B112" s="491"/>
      <c r="C112" s="484" t="s">
        <v>25</v>
      </c>
      <c r="D112" s="454"/>
      <c r="E112" s="450"/>
      <c r="F112" s="484"/>
      <c r="G112" s="450"/>
      <c r="H112" s="348"/>
      <c r="I112" s="348"/>
    </row>
    <row r="113" spans="1:9">
      <c r="A113" s="457"/>
      <c r="B113" s="457"/>
      <c r="C113" s="66" t="s">
        <v>26</v>
      </c>
      <c r="D113" s="67">
        <v>0.66</v>
      </c>
      <c r="E113" s="67">
        <v>645</v>
      </c>
      <c r="F113" s="67">
        <f>D113*E113</f>
        <v>425.70000000000005</v>
      </c>
      <c r="G113" s="66" t="s">
        <v>1927</v>
      </c>
      <c r="H113" s="351"/>
      <c r="I113" s="351"/>
    </row>
    <row r="114" spans="1:9">
      <c r="A114" s="492" t="s">
        <v>1928</v>
      </c>
      <c r="B114" s="454"/>
      <c r="C114" s="450"/>
      <c r="D114" s="67">
        <v>10</v>
      </c>
      <c r="E114" s="70" t="s">
        <v>21</v>
      </c>
      <c r="F114" s="67">
        <f>F113+F111+F109+F107</f>
        <v>1017.3200000000002</v>
      </c>
      <c r="G114" s="71"/>
      <c r="H114" s="348"/>
      <c r="I114" s="348"/>
    </row>
    <row r="115" spans="1:9">
      <c r="A115" s="492" t="s">
        <v>826</v>
      </c>
      <c r="B115" s="454"/>
      <c r="C115" s="450"/>
      <c r="D115" s="67">
        <v>1</v>
      </c>
      <c r="E115" s="70" t="s">
        <v>21</v>
      </c>
      <c r="F115" s="67">
        <f>F114/10</f>
        <v>101.73200000000001</v>
      </c>
      <c r="G115" s="71"/>
      <c r="H115" s="348"/>
      <c r="I115" s="348"/>
    </row>
    <row r="116" spans="1:9">
      <c r="A116" s="493" t="s">
        <v>829</v>
      </c>
      <c r="B116" s="454"/>
      <c r="C116" s="454"/>
      <c r="D116" s="450"/>
      <c r="E116" s="67"/>
      <c r="F116" s="67">
        <f>F115*1%</f>
        <v>1.0173200000000002</v>
      </c>
      <c r="G116" s="71"/>
      <c r="H116" s="348"/>
      <c r="I116" s="348"/>
    </row>
    <row r="117" spans="1:9">
      <c r="A117" s="493" t="s">
        <v>30</v>
      </c>
      <c r="B117" s="454"/>
      <c r="C117" s="454"/>
      <c r="D117" s="450"/>
      <c r="E117" s="71"/>
      <c r="F117" s="67">
        <f>F115+F116</f>
        <v>102.74932000000001</v>
      </c>
      <c r="G117" s="71"/>
      <c r="H117" s="348"/>
      <c r="I117" s="348"/>
    </row>
    <row r="118" spans="1:9">
      <c r="A118" s="493" t="s">
        <v>836</v>
      </c>
      <c r="B118" s="454"/>
      <c r="C118" s="454"/>
      <c r="D118" s="450"/>
      <c r="E118" s="67"/>
      <c r="F118" s="67">
        <f>F117*15%</f>
        <v>15.412398000000001</v>
      </c>
      <c r="G118" s="71"/>
      <c r="H118" s="348"/>
      <c r="I118" s="348"/>
    </row>
    <row r="119" spans="1:9">
      <c r="A119" s="493" t="s">
        <v>30</v>
      </c>
      <c r="B119" s="454"/>
      <c r="C119" s="454"/>
      <c r="D119" s="450"/>
      <c r="E119" s="71"/>
      <c r="F119" s="191">
        <f>ROUND(F117+F118,2)</f>
        <v>118.16</v>
      </c>
      <c r="G119" s="71"/>
      <c r="H119" s="348"/>
      <c r="I119" s="348"/>
    </row>
    <row r="120" spans="1:9">
      <c r="A120" s="594" t="str">
        <f>CONCATENATE("Say ₹ ",F104," + ",F119," x Cost Index")</f>
        <v>Say ₹ 40.07 + 118.16 x Cost Index</v>
      </c>
      <c r="B120" s="454"/>
      <c r="C120" s="454"/>
      <c r="D120" s="454"/>
      <c r="E120" s="454"/>
      <c r="F120" s="454"/>
      <c r="G120" s="450"/>
      <c r="H120" s="229">
        <f>((F98*1.01*1.15)/10)</f>
        <v>40.071749999999994</v>
      </c>
      <c r="I120" s="229">
        <f>((SUM(F107,F109,F111,F113)*1.01*1.15)/10)</f>
        <v>118.16171799999999</v>
      </c>
    </row>
    <row r="121" spans="1:9">
      <c r="A121" s="486" t="s">
        <v>771</v>
      </c>
      <c r="B121" s="486" t="s">
        <v>776</v>
      </c>
      <c r="C121" s="487" t="s">
        <v>4</v>
      </c>
      <c r="D121" s="454"/>
      <c r="E121" s="450"/>
      <c r="F121" s="487" t="s">
        <v>785</v>
      </c>
      <c r="G121" s="450"/>
      <c r="H121" s="346"/>
      <c r="I121" s="346"/>
    </row>
    <row r="122" spans="1:9">
      <c r="A122" s="457"/>
      <c r="B122" s="457"/>
      <c r="C122" s="62" t="s">
        <v>5</v>
      </c>
      <c r="D122" s="62" t="s">
        <v>6</v>
      </c>
      <c r="E122" s="62" t="s">
        <v>336</v>
      </c>
      <c r="F122" s="62" t="s">
        <v>8</v>
      </c>
      <c r="G122" s="62" t="s">
        <v>789</v>
      </c>
      <c r="H122" s="346"/>
      <c r="I122" s="346"/>
    </row>
    <row r="123" spans="1:9">
      <c r="A123" s="489" t="s">
        <v>2017</v>
      </c>
      <c r="B123" s="454"/>
      <c r="C123" s="454"/>
      <c r="D123" s="454"/>
      <c r="E123" s="454"/>
      <c r="F123" s="454"/>
      <c r="G123" s="450"/>
      <c r="H123" s="347"/>
      <c r="I123" s="347"/>
    </row>
    <row r="124" spans="1:9" ht="30">
      <c r="A124" s="65"/>
      <c r="B124" s="66" t="s">
        <v>795</v>
      </c>
      <c r="C124" s="66" t="s">
        <v>21</v>
      </c>
      <c r="D124" s="66" t="s">
        <v>798</v>
      </c>
      <c r="E124" s="67">
        <v>10</v>
      </c>
      <c r="F124" s="484"/>
      <c r="G124" s="450"/>
      <c r="H124" s="348"/>
      <c r="I124" s="348"/>
    </row>
    <row r="125" spans="1:9" ht="30">
      <c r="A125" s="66" t="s">
        <v>800</v>
      </c>
      <c r="B125" s="484" t="s">
        <v>1693</v>
      </c>
      <c r="C125" s="454"/>
      <c r="D125" s="454"/>
      <c r="E125" s="454"/>
      <c r="F125" s="454"/>
      <c r="G125" s="450"/>
      <c r="H125" s="349"/>
      <c r="I125" s="349"/>
    </row>
    <row r="126" spans="1:9">
      <c r="A126" s="490" t="s">
        <v>802</v>
      </c>
      <c r="B126" s="454"/>
      <c r="C126" s="454"/>
      <c r="D126" s="454"/>
      <c r="E126" s="454"/>
      <c r="F126" s="450"/>
      <c r="G126" s="68" t="s">
        <v>803</v>
      </c>
      <c r="H126" s="350"/>
      <c r="I126" s="350"/>
    </row>
    <row r="127" spans="1:9">
      <c r="A127" s="491"/>
      <c r="B127" s="491" t="s">
        <v>1753</v>
      </c>
      <c r="C127" s="484" t="s">
        <v>2018</v>
      </c>
      <c r="D127" s="454"/>
      <c r="E127" s="450"/>
      <c r="F127" s="484"/>
      <c r="G127" s="450"/>
      <c r="H127" s="348"/>
      <c r="I127" s="348"/>
    </row>
    <row r="128" spans="1:9">
      <c r="A128" s="457"/>
      <c r="B128" s="457"/>
      <c r="C128" s="66" t="s">
        <v>21</v>
      </c>
      <c r="D128" s="67">
        <v>11.5</v>
      </c>
      <c r="E128" s="67">
        <v>61</v>
      </c>
      <c r="F128" s="67">
        <f>E128*D128</f>
        <v>701.5</v>
      </c>
      <c r="G128" s="66" t="s">
        <v>808</v>
      </c>
      <c r="H128" s="351"/>
      <c r="I128" s="351"/>
    </row>
    <row r="129" spans="1:9">
      <c r="A129" s="492" t="s">
        <v>1105</v>
      </c>
      <c r="B129" s="454"/>
      <c r="C129" s="450"/>
      <c r="D129" s="67">
        <v>10</v>
      </c>
      <c r="E129" s="70" t="s">
        <v>21</v>
      </c>
      <c r="F129" s="67">
        <f>F128</f>
        <v>701.5</v>
      </c>
      <c r="G129" s="303"/>
      <c r="H129" s="183"/>
      <c r="I129" s="183"/>
    </row>
    <row r="130" spans="1:9">
      <c r="A130" s="492" t="s">
        <v>826</v>
      </c>
      <c r="B130" s="454"/>
      <c r="C130" s="450"/>
      <c r="D130" s="67">
        <v>1</v>
      </c>
      <c r="E130" s="70" t="s">
        <v>21</v>
      </c>
      <c r="F130" s="67">
        <f>F129/10</f>
        <v>70.150000000000006</v>
      </c>
      <c r="G130" s="303"/>
      <c r="H130" s="183"/>
      <c r="I130" s="183"/>
    </row>
    <row r="131" spans="1:9">
      <c r="A131" s="493" t="s">
        <v>829</v>
      </c>
      <c r="B131" s="454"/>
      <c r="C131" s="454"/>
      <c r="D131" s="450"/>
      <c r="E131" s="67"/>
      <c r="F131" s="67">
        <f>F130*1%</f>
        <v>0.70150000000000012</v>
      </c>
      <c r="G131" s="303"/>
      <c r="H131" s="183"/>
      <c r="I131" s="183"/>
    </row>
    <row r="132" spans="1:9">
      <c r="A132" s="493" t="s">
        <v>30</v>
      </c>
      <c r="B132" s="454"/>
      <c r="C132" s="454"/>
      <c r="D132" s="450"/>
      <c r="E132" s="71"/>
      <c r="F132" s="67">
        <f>F130+F131</f>
        <v>70.851500000000001</v>
      </c>
      <c r="G132" s="303"/>
      <c r="H132" s="183"/>
      <c r="I132" s="183"/>
    </row>
    <row r="133" spans="1:9">
      <c r="A133" s="493" t="s">
        <v>836</v>
      </c>
      <c r="B133" s="454"/>
      <c r="C133" s="454"/>
      <c r="D133" s="450"/>
      <c r="E133" s="67"/>
      <c r="F133" s="67">
        <f>F132*15%</f>
        <v>10.627725</v>
      </c>
      <c r="G133" s="303"/>
      <c r="H133" s="183"/>
      <c r="I133" s="183"/>
    </row>
    <row r="134" spans="1:9">
      <c r="A134" s="493" t="s">
        <v>30</v>
      </c>
      <c r="B134" s="454"/>
      <c r="C134" s="454"/>
      <c r="D134" s="450"/>
      <c r="E134" s="71"/>
      <c r="F134" s="191">
        <f>ROUND(F132+F133,2)</f>
        <v>81.48</v>
      </c>
      <c r="G134" s="303"/>
      <c r="H134" s="183"/>
      <c r="I134" s="183"/>
    </row>
    <row r="135" spans="1:9">
      <c r="A135" s="490" t="s">
        <v>819</v>
      </c>
      <c r="B135" s="454"/>
      <c r="C135" s="454"/>
      <c r="D135" s="454"/>
      <c r="E135" s="454"/>
      <c r="F135" s="450"/>
      <c r="G135" s="68" t="s">
        <v>820</v>
      </c>
      <c r="H135" s="350"/>
      <c r="I135" s="350"/>
    </row>
    <row r="136" spans="1:9">
      <c r="A136" s="491">
        <v>116</v>
      </c>
      <c r="B136" s="491"/>
      <c r="C136" s="484" t="s">
        <v>527</v>
      </c>
      <c r="D136" s="454"/>
      <c r="E136" s="450"/>
      <c r="F136" s="484"/>
      <c r="G136" s="450"/>
      <c r="H136" s="348"/>
      <c r="I136" s="348"/>
    </row>
    <row r="137" spans="1:9">
      <c r="A137" s="457"/>
      <c r="B137" s="457"/>
      <c r="C137" s="66" t="s">
        <v>26</v>
      </c>
      <c r="D137" s="67">
        <v>0.12</v>
      </c>
      <c r="E137" s="67">
        <v>784</v>
      </c>
      <c r="F137" s="67">
        <f>E137*D137</f>
        <v>94.08</v>
      </c>
      <c r="G137" s="66" t="s">
        <v>822</v>
      </c>
      <c r="H137" s="351"/>
      <c r="I137" s="351"/>
    </row>
    <row r="138" spans="1:9">
      <c r="A138" s="491">
        <v>114</v>
      </c>
      <c r="B138" s="491"/>
      <c r="C138" s="484" t="s">
        <v>1936</v>
      </c>
      <c r="D138" s="454"/>
      <c r="E138" s="450"/>
      <c r="F138" s="484"/>
      <c r="G138" s="450"/>
      <c r="H138" s="348"/>
      <c r="I138" s="348"/>
    </row>
    <row r="139" spans="1:9">
      <c r="A139" s="457"/>
      <c r="B139" s="457"/>
      <c r="C139" s="66" t="s">
        <v>26</v>
      </c>
      <c r="D139" s="67">
        <v>0.25</v>
      </c>
      <c r="E139" s="67">
        <v>645</v>
      </c>
      <c r="F139" s="67">
        <f>E139*D139</f>
        <v>161.25</v>
      </c>
      <c r="G139" s="66" t="s">
        <v>825</v>
      </c>
      <c r="H139" s="351"/>
      <c r="I139" s="351"/>
    </row>
    <row r="140" spans="1:9">
      <c r="A140" s="491">
        <v>114</v>
      </c>
      <c r="B140" s="491"/>
      <c r="C140" s="484" t="s">
        <v>59</v>
      </c>
      <c r="D140" s="454"/>
      <c r="E140" s="450"/>
      <c r="F140" s="484"/>
      <c r="G140" s="450"/>
      <c r="H140" s="348"/>
      <c r="I140" s="348"/>
    </row>
    <row r="141" spans="1:9">
      <c r="A141" s="457"/>
      <c r="B141" s="457"/>
      <c r="C141" s="66" t="s">
        <v>26</v>
      </c>
      <c r="D141" s="67">
        <v>0.66</v>
      </c>
      <c r="E141" s="67">
        <v>645</v>
      </c>
      <c r="F141" s="67">
        <f>D141*E141</f>
        <v>425.70000000000005</v>
      </c>
      <c r="G141" s="66" t="s">
        <v>837</v>
      </c>
      <c r="H141" s="351"/>
      <c r="I141" s="351"/>
    </row>
    <row r="142" spans="1:9">
      <c r="A142" s="491">
        <v>115</v>
      </c>
      <c r="B142" s="491"/>
      <c r="C142" s="484" t="s">
        <v>25</v>
      </c>
      <c r="D142" s="454"/>
      <c r="E142" s="450"/>
      <c r="F142" s="484"/>
      <c r="G142" s="450"/>
      <c r="H142" s="348"/>
      <c r="I142" s="348"/>
    </row>
    <row r="143" spans="1:9">
      <c r="A143" s="457"/>
      <c r="B143" s="457"/>
      <c r="C143" s="66" t="s">
        <v>26</v>
      </c>
      <c r="D143" s="67">
        <v>0.66</v>
      </c>
      <c r="E143" s="67">
        <v>645</v>
      </c>
      <c r="F143" s="67">
        <f>D143*E143</f>
        <v>425.70000000000005</v>
      </c>
      <c r="G143" s="66" t="s">
        <v>1927</v>
      </c>
      <c r="H143" s="351"/>
      <c r="I143" s="351"/>
    </row>
    <row r="144" spans="1:9">
      <c r="A144" s="492" t="s">
        <v>1928</v>
      </c>
      <c r="B144" s="454"/>
      <c r="C144" s="450"/>
      <c r="D144" s="67">
        <v>10</v>
      </c>
      <c r="E144" s="70" t="s">
        <v>21</v>
      </c>
      <c r="F144" s="67">
        <f>F143+F141+F139+F137</f>
        <v>1106.73</v>
      </c>
      <c r="G144" s="71"/>
      <c r="H144" s="348"/>
      <c r="I144" s="348"/>
    </row>
    <row r="145" spans="1:9">
      <c r="A145" s="492" t="s">
        <v>826</v>
      </c>
      <c r="B145" s="454"/>
      <c r="C145" s="450"/>
      <c r="D145" s="67">
        <v>1</v>
      </c>
      <c r="E145" s="70" t="s">
        <v>21</v>
      </c>
      <c r="F145" s="67">
        <f>F144/10</f>
        <v>110.673</v>
      </c>
      <c r="G145" s="71"/>
      <c r="H145" s="348"/>
      <c r="I145" s="348"/>
    </row>
    <row r="146" spans="1:9">
      <c r="A146" s="493" t="s">
        <v>829</v>
      </c>
      <c r="B146" s="454"/>
      <c r="C146" s="454"/>
      <c r="D146" s="450"/>
      <c r="E146" s="67"/>
      <c r="F146" s="67">
        <f>F145*1%</f>
        <v>1.10673</v>
      </c>
      <c r="G146" s="71"/>
      <c r="H146" s="348"/>
      <c r="I146" s="348"/>
    </row>
    <row r="147" spans="1:9">
      <c r="A147" s="493" t="s">
        <v>30</v>
      </c>
      <c r="B147" s="454"/>
      <c r="C147" s="454"/>
      <c r="D147" s="450"/>
      <c r="E147" s="71"/>
      <c r="F147" s="67">
        <f>F145+F146</f>
        <v>111.77973</v>
      </c>
      <c r="G147" s="71"/>
      <c r="H147" s="348"/>
      <c r="I147" s="348"/>
    </row>
    <row r="148" spans="1:9">
      <c r="A148" s="493" t="s">
        <v>836</v>
      </c>
      <c r="B148" s="454"/>
      <c r="C148" s="454"/>
      <c r="D148" s="450"/>
      <c r="E148" s="67"/>
      <c r="F148" s="67">
        <f>F147*15%</f>
        <v>16.766959499999999</v>
      </c>
      <c r="G148" s="71"/>
      <c r="H148" s="348"/>
      <c r="I148" s="348"/>
    </row>
    <row r="149" spans="1:9">
      <c r="A149" s="493" t="s">
        <v>30</v>
      </c>
      <c r="B149" s="454"/>
      <c r="C149" s="454"/>
      <c r="D149" s="450"/>
      <c r="E149" s="71"/>
      <c r="F149" s="191">
        <f>ROUND(F147+F148,2)</f>
        <v>128.55000000000001</v>
      </c>
      <c r="G149" s="71"/>
      <c r="H149" s="348"/>
      <c r="I149" s="348"/>
    </row>
    <row r="150" spans="1:9">
      <c r="A150" s="594" t="str">
        <f>CONCATENATE("Say ₹ ",F134," + ",F149," x Cost Index")</f>
        <v>Say ₹ 81.48 + 128.55 x Cost Index</v>
      </c>
      <c r="B150" s="454"/>
      <c r="C150" s="454"/>
      <c r="D150" s="454"/>
      <c r="E150" s="454"/>
      <c r="F150" s="454"/>
      <c r="G150" s="450"/>
      <c r="H150" s="229">
        <f>((F128*1.01*1.15)/10)</f>
        <v>81.479225</v>
      </c>
      <c r="I150" s="229">
        <f>((SUM(F137,F139,F141,F143)*1.01*1.15)/10)</f>
        <v>128.54668949999999</v>
      </c>
    </row>
    <row r="151" spans="1:9">
      <c r="A151" s="486" t="s">
        <v>771</v>
      </c>
      <c r="B151" s="486" t="s">
        <v>776</v>
      </c>
      <c r="C151" s="487" t="s">
        <v>4</v>
      </c>
      <c r="D151" s="454"/>
      <c r="E151" s="450"/>
      <c r="F151" s="487" t="s">
        <v>785</v>
      </c>
      <c r="G151" s="450"/>
      <c r="H151" s="346"/>
      <c r="I151" s="346"/>
    </row>
    <row r="152" spans="1:9">
      <c r="A152" s="457"/>
      <c r="B152" s="457"/>
      <c r="C152" s="62" t="s">
        <v>5</v>
      </c>
      <c r="D152" s="62" t="s">
        <v>6</v>
      </c>
      <c r="E152" s="62" t="s">
        <v>336</v>
      </c>
      <c r="F152" s="62" t="s">
        <v>8</v>
      </c>
      <c r="G152" s="62" t="s">
        <v>789</v>
      </c>
      <c r="H152" s="346"/>
      <c r="I152" s="346"/>
    </row>
    <row r="153" spans="1:9">
      <c r="A153" s="489" t="s">
        <v>2023</v>
      </c>
      <c r="B153" s="454"/>
      <c r="C153" s="454"/>
      <c r="D153" s="454"/>
      <c r="E153" s="454"/>
      <c r="F153" s="454"/>
      <c r="G153" s="450"/>
      <c r="H153" s="347"/>
      <c r="I153" s="347"/>
    </row>
    <row r="154" spans="1:9" ht="30">
      <c r="A154" s="65"/>
      <c r="B154" s="66" t="s">
        <v>795</v>
      </c>
      <c r="C154" s="66" t="s">
        <v>21</v>
      </c>
      <c r="D154" s="66" t="s">
        <v>798</v>
      </c>
      <c r="E154" s="67">
        <v>10</v>
      </c>
      <c r="F154" s="484"/>
      <c r="G154" s="450"/>
      <c r="H154" s="348"/>
      <c r="I154" s="348"/>
    </row>
    <row r="155" spans="1:9" ht="30">
      <c r="A155" s="66" t="s">
        <v>800</v>
      </c>
      <c r="B155" s="484" t="s">
        <v>512</v>
      </c>
      <c r="C155" s="454"/>
      <c r="D155" s="454"/>
      <c r="E155" s="454"/>
      <c r="F155" s="454"/>
      <c r="G155" s="450"/>
      <c r="H155" s="349"/>
      <c r="I155" s="349"/>
    </row>
    <row r="156" spans="1:9">
      <c r="A156" s="490" t="s">
        <v>802</v>
      </c>
      <c r="B156" s="454"/>
      <c r="C156" s="454"/>
      <c r="D156" s="454"/>
      <c r="E156" s="454"/>
      <c r="F156" s="450"/>
      <c r="G156" s="68" t="s">
        <v>803</v>
      </c>
      <c r="H156" s="350"/>
      <c r="I156" s="350"/>
    </row>
    <row r="157" spans="1:9">
      <c r="A157" s="491"/>
      <c r="B157" s="491" t="s">
        <v>1778</v>
      </c>
      <c r="C157" s="484" t="s">
        <v>2024</v>
      </c>
      <c r="D157" s="454"/>
      <c r="E157" s="450"/>
      <c r="F157" s="484"/>
      <c r="G157" s="450"/>
      <c r="H157" s="348"/>
      <c r="I157" s="348"/>
    </row>
    <row r="158" spans="1:9">
      <c r="A158" s="457"/>
      <c r="B158" s="457"/>
      <c r="C158" s="66" t="s">
        <v>21</v>
      </c>
      <c r="D158" s="67">
        <v>11.5</v>
      </c>
      <c r="E158" s="67">
        <v>48</v>
      </c>
      <c r="F158" s="67">
        <f>E158*D158</f>
        <v>552</v>
      </c>
      <c r="G158" s="66" t="s">
        <v>808</v>
      </c>
      <c r="H158" s="351"/>
      <c r="I158" s="351"/>
    </row>
    <row r="159" spans="1:9">
      <c r="A159" s="492" t="s">
        <v>1105</v>
      </c>
      <c r="B159" s="454"/>
      <c r="C159" s="450"/>
      <c r="D159" s="67">
        <v>10</v>
      </c>
      <c r="E159" s="70" t="s">
        <v>21</v>
      </c>
      <c r="F159" s="67">
        <f>F158</f>
        <v>552</v>
      </c>
      <c r="G159" s="303"/>
      <c r="H159" s="183"/>
      <c r="I159" s="183"/>
    </row>
    <row r="160" spans="1:9">
      <c r="A160" s="492" t="s">
        <v>826</v>
      </c>
      <c r="B160" s="454"/>
      <c r="C160" s="450"/>
      <c r="D160" s="67">
        <v>1</v>
      </c>
      <c r="E160" s="70" t="s">
        <v>21</v>
      </c>
      <c r="F160" s="67">
        <f>F159/10</f>
        <v>55.2</v>
      </c>
      <c r="G160" s="303"/>
      <c r="H160" s="183"/>
      <c r="I160" s="183"/>
    </row>
    <row r="161" spans="1:9">
      <c r="A161" s="493" t="s">
        <v>829</v>
      </c>
      <c r="B161" s="454"/>
      <c r="C161" s="454"/>
      <c r="D161" s="450"/>
      <c r="E161" s="67"/>
      <c r="F161" s="67">
        <f>F160*1%</f>
        <v>0.55200000000000005</v>
      </c>
      <c r="G161" s="303"/>
      <c r="H161" s="183"/>
      <c r="I161" s="183"/>
    </row>
    <row r="162" spans="1:9">
      <c r="A162" s="493" t="s">
        <v>30</v>
      </c>
      <c r="B162" s="454"/>
      <c r="C162" s="454"/>
      <c r="D162" s="450"/>
      <c r="E162" s="71"/>
      <c r="F162" s="67">
        <f>F160+F161</f>
        <v>55.752000000000002</v>
      </c>
      <c r="G162" s="303"/>
      <c r="H162" s="183"/>
      <c r="I162" s="183"/>
    </row>
    <row r="163" spans="1:9">
      <c r="A163" s="493" t="s">
        <v>836</v>
      </c>
      <c r="B163" s="454"/>
      <c r="C163" s="454"/>
      <c r="D163" s="450"/>
      <c r="E163" s="67"/>
      <c r="F163" s="67">
        <f>F162*15%</f>
        <v>8.3628</v>
      </c>
      <c r="G163" s="303"/>
      <c r="H163" s="183"/>
      <c r="I163" s="183"/>
    </row>
    <row r="164" spans="1:9">
      <c r="A164" s="493" t="s">
        <v>30</v>
      </c>
      <c r="B164" s="454"/>
      <c r="C164" s="454"/>
      <c r="D164" s="450"/>
      <c r="E164" s="71"/>
      <c r="F164" s="191">
        <f>ROUND(F162+F163,2)</f>
        <v>64.11</v>
      </c>
      <c r="G164" s="303"/>
      <c r="H164" s="183"/>
      <c r="I164" s="183"/>
    </row>
    <row r="165" spans="1:9">
      <c r="A165" s="490" t="s">
        <v>819</v>
      </c>
      <c r="B165" s="454"/>
      <c r="C165" s="454"/>
      <c r="D165" s="454"/>
      <c r="E165" s="454"/>
      <c r="F165" s="450"/>
      <c r="G165" s="68" t="s">
        <v>820</v>
      </c>
      <c r="H165" s="350"/>
      <c r="I165" s="350"/>
    </row>
    <row r="166" spans="1:9">
      <c r="A166" s="491">
        <v>116</v>
      </c>
      <c r="B166" s="491"/>
      <c r="C166" s="484" t="s">
        <v>527</v>
      </c>
      <c r="D166" s="454"/>
      <c r="E166" s="450"/>
      <c r="F166" s="484"/>
      <c r="G166" s="450"/>
      <c r="H166" s="348"/>
      <c r="I166" s="348"/>
    </row>
    <row r="167" spans="1:9">
      <c r="A167" s="457"/>
      <c r="B167" s="457"/>
      <c r="C167" s="66" t="s">
        <v>26</v>
      </c>
      <c r="D167" s="67">
        <v>0.12</v>
      </c>
      <c r="E167" s="67">
        <v>784</v>
      </c>
      <c r="F167" s="67">
        <f>E167*D167</f>
        <v>94.08</v>
      </c>
      <c r="G167" s="66" t="s">
        <v>822</v>
      </c>
      <c r="H167" s="351"/>
      <c r="I167" s="351"/>
    </row>
    <row r="168" spans="1:9">
      <c r="A168" s="491">
        <v>114</v>
      </c>
      <c r="B168" s="491"/>
      <c r="C168" s="484" t="s">
        <v>1925</v>
      </c>
      <c r="D168" s="454"/>
      <c r="E168" s="450"/>
      <c r="F168" s="484"/>
      <c r="G168" s="450"/>
      <c r="H168" s="348"/>
      <c r="I168" s="348"/>
    </row>
    <row r="169" spans="1:9">
      <c r="A169" s="457"/>
      <c r="B169" s="457"/>
      <c r="C169" s="66" t="s">
        <v>26</v>
      </c>
      <c r="D169" s="67">
        <v>0.25</v>
      </c>
      <c r="E169" s="67">
        <v>645</v>
      </c>
      <c r="F169" s="67">
        <f>E169*D169</f>
        <v>161.25</v>
      </c>
      <c r="G169" s="66" t="s">
        <v>825</v>
      </c>
      <c r="H169" s="351"/>
      <c r="I169" s="351"/>
    </row>
    <row r="170" spans="1:9">
      <c r="A170" s="491">
        <v>114</v>
      </c>
      <c r="B170" s="491"/>
      <c r="C170" s="484" t="s">
        <v>59</v>
      </c>
      <c r="D170" s="454"/>
      <c r="E170" s="450"/>
      <c r="F170" s="484"/>
      <c r="G170" s="450"/>
      <c r="H170" s="348"/>
      <c r="I170" s="348"/>
    </row>
    <row r="171" spans="1:9">
      <c r="A171" s="457"/>
      <c r="B171" s="457"/>
      <c r="C171" s="66" t="s">
        <v>26</v>
      </c>
      <c r="D171" s="67">
        <v>0.66</v>
      </c>
      <c r="E171" s="67">
        <v>645</v>
      </c>
      <c r="F171" s="67">
        <f>D171*E171</f>
        <v>425.70000000000005</v>
      </c>
      <c r="G171" s="66" t="s">
        <v>837</v>
      </c>
      <c r="H171" s="351"/>
      <c r="I171" s="351"/>
    </row>
    <row r="172" spans="1:9">
      <c r="A172" s="491">
        <v>115</v>
      </c>
      <c r="B172" s="491"/>
      <c r="C172" s="484" t="s">
        <v>25</v>
      </c>
      <c r="D172" s="454"/>
      <c r="E172" s="450"/>
      <c r="F172" s="484"/>
      <c r="G172" s="450"/>
      <c r="H172" s="348"/>
      <c r="I172" s="348"/>
    </row>
    <row r="173" spans="1:9">
      <c r="A173" s="457"/>
      <c r="B173" s="457"/>
      <c r="C173" s="66" t="s">
        <v>26</v>
      </c>
      <c r="D173" s="67">
        <v>0.66</v>
      </c>
      <c r="E173" s="67">
        <v>645</v>
      </c>
      <c r="F173" s="67">
        <f>D173*E173</f>
        <v>425.70000000000005</v>
      </c>
      <c r="G173" s="66" t="s">
        <v>1927</v>
      </c>
      <c r="H173" s="351"/>
      <c r="I173" s="351"/>
    </row>
    <row r="174" spans="1:9">
      <c r="A174" s="492" t="s">
        <v>1928</v>
      </c>
      <c r="B174" s="454"/>
      <c r="C174" s="450"/>
      <c r="D174" s="67">
        <v>10</v>
      </c>
      <c r="E174" s="70" t="s">
        <v>21</v>
      </c>
      <c r="F174" s="67">
        <f>F173+F171+F169+F167</f>
        <v>1106.73</v>
      </c>
      <c r="G174" s="71"/>
      <c r="H174" s="348"/>
      <c r="I174" s="348"/>
    </row>
    <row r="175" spans="1:9">
      <c r="A175" s="492" t="s">
        <v>826</v>
      </c>
      <c r="B175" s="454"/>
      <c r="C175" s="450"/>
      <c r="D175" s="67">
        <v>1</v>
      </c>
      <c r="E175" s="70" t="s">
        <v>21</v>
      </c>
      <c r="F175" s="67">
        <f>F174/10</f>
        <v>110.673</v>
      </c>
      <c r="G175" s="71"/>
      <c r="H175" s="348"/>
      <c r="I175" s="348"/>
    </row>
    <row r="176" spans="1:9">
      <c r="A176" s="493" t="s">
        <v>829</v>
      </c>
      <c r="B176" s="454"/>
      <c r="C176" s="454"/>
      <c r="D176" s="450"/>
      <c r="E176" s="67"/>
      <c r="F176" s="67">
        <f>F175*1%</f>
        <v>1.10673</v>
      </c>
      <c r="G176" s="71"/>
      <c r="H176" s="348"/>
      <c r="I176" s="348"/>
    </row>
    <row r="177" spans="1:9">
      <c r="A177" s="493" t="s">
        <v>30</v>
      </c>
      <c r="B177" s="454"/>
      <c r="C177" s="454"/>
      <c r="D177" s="450"/>
      <c r="E177" s="71"/>
      <c r="F177" s="67">
        <f>F175+F176</f>
        <v>111.77973</v>
      </c>
      <c r="G177" s="71"/>
      <c r="H177" s="348"/>
      <c r="I177" s="348"/>
    </row>
    <row r="178" spans="1:9">
      <c r="A178" s="493" t="s">
        <v>836</v>
      </c>
      <c r="B178" s="454"/>
      <c r="C178" s="454"/>
      <c r="D178" s="450"/>
      <c r="E178" s="67"/>
      <c r="F178" s="67">
        <f>F177*15%</f>
        <v>16.766959499999999</v>
      </c>
      <c r="G178" s="71"/>
      <c r="H178" s="348"/>
      <c r="I178" s="348"/>
    </row>
    <row r="179" spans="1:9">
      <c r="A179" s="493" t="s">
        <v>30</v>
      </c>
      <c r="B179" s="454"/>
      <c r="C179" s="454"/>
      <c r="D179" s="450"/>
      <c r="E179" s="71"/>
      <c r="F179" s="191">
        <f>ROUND(F177+F178,2)</f>
        <v>128.55000000000001</v>
      </c>
      <c r="G179" s="71"/>
      <c r="H179" s="348"/>
      <c r="I179" s="348"/>
    </row>
    <row r="180" spans="1:9">
      <c r="A180" s="594" t="str">
        <f>CONCATENATE("Say ₹ ",F164," + ",F179," x Cost Index")</f>
        <v>Say ₹ 64.11 + 128.55 x Cost Index</v>
      </c>
      <c r="B180" s="454"/>
      <c r="C180" s="454"/>
      <c r="D180" s="454"/>
      <c r="E180" s="454"/>
      <c r="F180" s="454"/>
      <c r="G180" s="450"/>
      <c r="H180" s="229">
        <f>((F158*1.01*1.15)/10)</f>
        <v>64.114799999999988</v>
      </c>
      <c r="I180" s="229">
        <f>((SUM(F167,F169,F171,F173)*1.01*1.15)/10)</f>
        <v>128.54668949999999</v>
      </c>
    </row>
    <row r="181" spans="1:9">
      <c r="A181" s="486" t="s">
        <v>771</v>
      </c>
      <c r="B181" s="486" t="s">
        <v>776</v>
      </c>
      <c r="C181" s="487" t="s">
        <v>4</v>
      </c>
      <c r="D181" s="454"/>
      <c r="E181" s="450"/>
      <c r="F181" s="487" t="s">
        <v>785</v>
      </c>
      <c r="G181" s="450"/>
      <c r="H181" s="346"/>
      <c r="I181" s="346"/>
    </row>
    <row r="182" spans="1:9">
      <c r="A182" s="457"/>
      <c r="B182" s="457"/>
      <c r="C182" s="62" t="s">
        <v>5</v>
      </c>
      <c r="D182" s="62" t="s">
        <v>6</v>
      </c>
      <c r="E182" s="62" t="s">
        <v>336</v>
      </c>
      <c r="F182" s="62" t="s">
        <v>8</v>
      </c>
      <c r="G182" s="62" t="s">
        <v>789</v>
      </c>
      <c r="H182" s="346"/>
      <c r="I182" s="346"/>
    </row>
    <row r="183" spans="1:9">
      <c r="A183" s="489" t="s">
        <v>2058</v>
      </c>
      <c r="B183" s="454"/>
      <c r="C183" s="454"/>
      <c r="D183" s="454"/>
      <c r="E183" s="454"/>
      <c r="F183" s="454"/>
      <c r="G183" s="450"/>
      <c r="H183" s="347"/>
      <c r="I183" s="347"/>
    </row>
    <row r="184" spans="1:9" ht="30">
      <c r="A184" s="65"/>
      <c r="B184" s="66" t="s">
        <v>795</v>
      </c>
      <c r="C184" s="66" t="s">
        <v>21</v>
      </c>
      <c r="D184" s="66" t="s">
        <v>798</v>
      </c>
      <c r="E184" s="67">
        <v>10</v>
      </c>
      <c r="F184" s="484"/>
      <c r="G184" s="450"/>
      <c r="H184" s="348"/>
      <c r="I184" s="348"/>
    </row>
    <row r="185" spans="1:9" ht="30">
      <c r="A185" s="66" t="s">
        <v>800</v>
      </c>
      <c r="B185" s="484" t="s">
        <v>2060</v>
      </c>
      <c r="C185" s="454"/>
      <c r="D185" s="454"/>
      <c r="E185" s="454"/>
      <c r="F185" s="454"/>
      <c r="G185" s="450"/>
      <c r="H185" s="349"/>
      <c r="I185" s="349"/>
    </row>
    <row r="186" spans="1:9">
      <c r="A186" s="490" t="s">
        <v>802</v>
      </c>
      <c r="B186" s="454"/>
      <c r="C186" s="454"/>
      <c r="D186" s="454"/>
      <c r="E186" s="454"/>
      <c r="F186" s="450"/>
      <c r="G186" s="68" t="s">
        <v>803</v>
      </c>
      <c r="H186" s="350"/>
      <c r="I186" s="350"/>
    </row>
    <row r="187" spans="1:9">
      <c r="A187" s="491"/>
      <c r="B187" s="491" t="s">
        <v>1793</v>
      </c>
      <c r="C187" s="484" t="s">
        <v>2062</v>
      </c>
      <c r="D187" s="454"/>
      <c r="E187" s="450"/>
      <c r="F187" s="484"/>
      <c r="G187" s="450"/>
      <c r="H187" s="348"/>
      <c r="I187" s="348"/>
    </row>
    <row r="188" spans="1:9">
      <c r="A188" s="457"/>
      <c r="B188" s="457"/>
      <c r="C188" s="66" t="s">
        <v>21</v>
      </c>
      <c r="D188" s="67">
        <v>11.5</v>
      </c>
      <c r="E188" s="67">
        <v>65</v>
      </c>
      <c r="F188" s="67">
        <f>D188*E188</f>
        <v>747.5</v>
      </c>
      <c r="G188" s="66" t="s">
        <v>808</v>
      </c>
      <c r="H188" s="351"/>
      <c r="I188" s="351"/>
    </row>
    <row r="189" spans="1:9">
      <c r="A189" s="492" t="s">
        <v>1105</v>
      </c>
      <c r="B189" s="454"/>
      <c r="C189" s="450"/>
      <c r="D189" s="67">
        <v>10</v>
      </c>
      <c r="E189" s="70" t="s">
        <v>21</v>
      </c>
      <c r="F189" s="67">
        <f>F188</f>
        <v>747.5</v>
      </c>
      <c r="G189" s="303"/>
      <c r="H189" s="183"/>
      <c r="I189" s="183"/>
    </row>
    <row r="190" spans="1:9">
      <c r="A190" s="492" t="s">
        <v>826</v>
      </c>
      <c r="B190" s="454"/>
      <c r="C190" s="450"/>
      <c r="D190" s="67">
        <v>1</v>
      </c>
      <c r="E190" s="70" t="s">
        <v>21</v>
      </c>
      <c r="F190" s="67">
        <f>F189/10</f>
        <v>74.75</v>
      </c>
      <c r="G190" s="303"/>
      <c r="H190" s="183"/>
      <c r="I190" s="183"/>
    </row>
    <row r="191" spans="1:9">
      <c r="A191" s="493" t="s">
        <v>829</v>
      </c>
      <c r="B191" s="454"/>
      <c r="C191" s="454"/>
      <c r="D191" s="450"/>
      <c r="E191" s="67"/>
      <c r="F191" s="67">
        <f>F190*1%</f>
        <v>0.74750000000000005</v>
      </c>
      <c r="G191" s="303"/>
      <c r="H191" s="183"/>
      <c r="I191" s="183"/>
    </row>
    <row r="192" spans="1:9">
      <c r="A192" s="493" t="s">
        <v>30</v>
      </c>
      <c r="B192" s="454"/>
      <c r="C192" s="454"/>
      <c r="D192" s="450"/>
      <c r="E192" s="71"/>
      <c r="F192" s="67">
        <f>F190+F191</f>
        <v>75.497500000000002</v>
      </c>
      <c r="G192" s="303"/>
      <c r="H192" s="183"/>
      <c r="I192" s="183"/>
    </row>
    <row r="193" spans="1:9">
      <c r="A193" s="493" t="s">
        <v>836</v>
      </c>
      <c r="B193" s="454"/>
      <c r="C193" s="454"/>
      <c r="D193" s="450"/>
      <c r="E193" s="67"/>
      <c r="F193" s="67">
        <f>F192*15%</f>
        <v>11.324624999999999</v>
      </c>
      <c r="G193" s="303"/>
      <c r="H193" s="183"/>
      <c r="I193" s="183"/>
    </row>
    <row r="194" spans="1:9">
      <c r="A194" s="493" t="s">
        <v>30</v>
      </c>
      <c r="B194" s="454"/>
      <c r="C194" s="454"/>
      <c r="D194" s="450"/>
      <c r="E194" s="71"/>
      <c r="F194" s="191">
        <f>ROUND(F192+F193,2)</f>
        <v>86.82</v>
      </c>
      <c r="G194" s="303"/>
      <c r="H194" s="183"/>
      <c r="I194" s="183"/>
    </row>
    <row r="195" spans="1:9">
      <c r="A195" s="490" t="s">
        <v>819</v>
      </c>
      <c r="B195" s="454"/>
      <c r="C195" s="454"/>
      <c r="D195" s="454"/>
      <c r="E195" s="454"/>
      <c r="F195" s="450"/>
      <c r="G195" s="68" t="s">
        <v>820</v>
      </c>
      <c r="H195" s="350"/>
      <c r="I195" s="350"/>
    </row>
    <row r="196" spans="1:9">
      <c r="A196" s="491">
        <v>116</v>
      </c>
      <c r="B196" s="491"/>
      <c r="C196" s="484" t="s">
        <v>527</v>
      </c>
      <c r="D196" s="454"/>
      <c r="E196" s="450"/>
      <c r="F196" s="484"/>
      <c r="G196" s="450"/>
      <c r="H196" s="348"/>
      <c r="I196" s="348"/>
    </row>
    <row r="197" spans="1:9">
      <c r="A197" s="457"/>
      <c r="B197" s="457"/>
      <c r="C197" s="66" t="s">
        <v>26</v>
      </c>
      <c r="D197" s="67">
        <v>0.12</v>
      </c>
      <c r="E197" s="67">
        <v>784</v>
      </c>
      <c r="F197" s="67">
        <f>E197*D197</f>
        <v>94.08</v>
      </c>
      <c r="G197" s="66" t="s">
        <v>822</v>
      </c>
      <c r="H197" s="351"/>
      <c r="I197" s="351"/>
    </row>
    <row r="198" spans="1:9">
      <c r="A198" s="491">
        <v>114</v>
      </c>
      <c r="B198" s="491"/>
      <c r="C198" s="484" t="s">
        <v>1936</v>
      </c>
      <c r="D198" s="454"/>
      <c r="E198" s="450"/>
      <c r="F198" s="484"/>
      <c r="G198" s="450"/>
      <c r="H198" s="348"/>
      <c r="I198" s="348"/>
    </row>
    <row r="199" spans="1:9">
      <c r="A199" s="457"/>
      <c r="B199" s="457"/>
      <c r="C199" s="66" t="s">
        <v>26</v>
      </c>
      <c r="D199" s="67">
        <v>0.25</v>
      </c>
      <c r="E199" s="67">
        <v>645</v>
      </c>
      <c r="F199" s="67">
        <f>E199*D199</f>
        <v>161.25</v>
      </c>
      <c r="G199" s="66" t="s">
        <v>825</v>
      </c>
      <c r="H199" s="351"/>
      <c r="I199" s="351"/>
    </row>
    <row r="200" spans="1:9">
      <c r="A200" s="491">
        <v>114</v>
      </c>
      <c r="B200" s="491"/>
      <c r="C200" s="484" t="s">
        <v>59</v>
      </c>
      <c r="D200" s="454"/>
      <c r="E200" s="450"/>
      <c r="F200" s="484"/>
      <c r="G200" s="450"/>
      <c r="H200" s="348"/>
      <c r="I200" s="348"/>
    </row>
    <row r="201" spans="1:9">
      <c r="A201" s="457"/>
      <c r="B201" s="457"/>
      <c r="C201" s="66" t="s">
        <v>26</v>
      </c>
      <c r="D201" s="67">
        <v>0.66</v>
      </c>
      <c r="E201" s="67">
        <v>645</v>
      </c>
      <c r="F201" s="67">
        <f>D201*E201</f>
        <v>425.70000000000005</v>
      </c>
      <c r="G201" s="66" t="s">
        <v>837</v>
      </c>
      <c r="H201" s="351"/>
      <c r="I201" s="351"/>
    </row>
    <row r="202" spans="1:9">
      <c r="A202" s="491">
        <v>115</v>
      </c>
      <c r="B202" s="491"/>
      <c r="C202" s="484" t="s">
        <v>25</v>
      </c>
      <c r="D202" s="454"/>
      <c r="E202" s="450"/>
      <c r="F202" s="484"/>
      <c r="G202" s="450"/>
      <c r="H202" s="348"/>
      <c r="I202" s="348"/>
    </row>
    <row r="203" spans="1:9">
      <c r="A203" s="457"/>
      <c r="B203" s="457"/>
      <c r="C203" s="66" t="s">
        <v>26</v>
      </c>
      <c r="D203" s="67">
        <v>0.66</v>
      </c>
      <c r="E203" s="67">
        <v>645</v>
      </c>
      <c r="F203" s="67">
        <f>D203*E203</f>
        <v>425.70000000000005</v>
      </c>
      <c r="G203" s="66" t="s">
        <v>1927</v>
      </c>
      <c r="H203" s="351"/>
      <c r="I203" s="351"/>
    </row>
    <row r="204" spans="1:9">
      <c r="A204" s="492" t="s">
        <v>1928</v>
      </c>
      <c r="B204" s="454"/>
      <c r="C204" s="450"/>
      <c r="D204" s="67">
        <v>10</v>
      </c>
      <c r="E204" s="70" t="s">
        <v>21</v>
      </c>
      <c r="F204" s="67">
        <f>F203+F201+F199+F197</f>
        <v>1106.73</v>
      </c>
      <c r="G204" s="71"/>
      <c r="H204" s="348"/>
      <c r="I204" s="348"/>
    </row>
    <row r="205" spans="1:9">
      <c r="A205" s="492" t="s">
        <v>826</v>
      </c>
      <c r="B205" s="454"/>
      <c r="C205" s="450"/>
      <c r="D205" s="67">
        <v>1</v>
      </c>
      <c r="E205" s="70" t="s">
        <v>21</v>
      </c>
      <c r="F205" s="67">
        <f>F204/10</f>
        <v>110.673</v>
      </c>
      <c r="G205" s="71"/>
      <c r="H205" s="348"/>
      <c r="I205" s="348"/>
    </row>
    <row r="206" spans="1:9">
      <c r="A206" s="493" t="s">
        <v>829</v>
      </c>
      <c r="B206" s="454"/>
      <c r="C206" s="454"/>
      <c r="D206" s="450"/>
      <c r="E206" s="67"/>
      <c r="F206" s="67">
        <f>F205*1%</f>
        <v>1.10673</v>
      </c>
      <c r="G206" s="71"/>
      <c r="H206" s="348"/>
      <c r="I206" s="348"/>
    </row>
    <row r="207" spans="1:9">
      <c r="A207" s="493" t="s">
        <v>30</v>
      </c>
      <c r="B207" s="454"/>
      <c r="C207" s="454"/>
      <c r="D207" s="450"/>
      <c r="E207" s="71"/>
      <c r="F207" s="67">
        <f>F205+F206</f>
        <v>111.77973</v>
      </c>
      <c r="G207" s="71"/>
      <c r="H207" s="348"/>
      <c r="I207" s="348"/>
    </row>
    <row r="208" spans="1:9">
      <c r="A208" s="493" t="s">
        <v>836</v>
      </c>
      <c r="B208" s="454"/>
      <c r="C208" s="454"/>
      <c r="D208" s="450"/>
      <c r="E208" s="67"/>
      <c r="F208" s="67">
        <f>F207*15%</f>
        <v>16.766959499999999</v>
      </c>
      <c r="G208" s="71"/>
      <c r="H208" s="348"/>
      <c r="I208" s="348"/>
    </row>
    <row r="209" spans="1:9">
      <c r="A209" s="493" t="s">
        <v>30</v>
      </c>
      <c r="B209" s="454"/>
      <c r="C209" s="454"/>
      <c r="D209" s="450"/>
      <c r="E209" s="71"/>
      <c r="F209" s="191">
        <f>ROUND(F207+F208,2)</f>
        <v>128.55000000000001</v>
      </c>
      <c r="G209" s="71"/>
      <c r="H209" s="348"/>
      <c r="I209" s="348"/>
    </row>
    <row r="210" spans="1:9">
      <c r="A210" s="594" t="str">
        <f>CONCATENATE("Say ₹ ",F194," + ",F209," x Cost Index")</f>
        <v>Say ₹ 86.82 + 128.55 x Cost Index</v>
      </c>
      <c r="B210" s="454"/>
      <c r="C210" s="454"/>
      <c r="D210" s="454"/>
      <c r="E210" s="454"/>
      <c r="F210" s="454"/>
      <c r="G210" s="450"/>
      <c r="H210" s="229">
        <f>((F188*1.01*1.15)/10)</f>
        <v>86.822125</v>
      </c>
      <c r="I210" s="229">
        <f>((SUM(F197,F199,F201,F203)*1.01*1.15)/10)</f>
        <v>128.54668949999999</v>
      </c>
    </row>
    <row r="211" spans="1:9">
      <c r="A211" s="486" t="s">
        <v>771</v>
      </c>
      <c r="B211" s="486" t="s">
        <v>776</v>
      </c>
      <c r="C211" s="487" t="s">
        <v>4</v>
      </c>
      <c r="D211" s="454"/>
      <c r="E211" s="450"/>
      <c r="F211" s="487" t="s">
        <v>785</v>
      </c>
      <c r="G211" s="450"/>
      <c r="H211" s="346"/>
      <c r="I211" s="346"/>
    </row>
    <row r="212" spans="1:9">
      <c r="A212" s="457"/>
      <c r="B212" s="457"/>
      <c r="C212" s="62" t="s">
        <v>5</v>
      </c>
      <c r="D212" s="62" t="s">
        <v>6</v>
      </c>
      <c r="E212" s="62" t="s">
        <v>336</v>
      </c>
      <c r="F212" s="62" t="s">
        <v>8</v>
      </c>
      <c r="G212" s="62" t="s">
        <v>789</v>
      </c>
      <c r="H212" s="346"/>
      <c r="I212" s="346"/>
    </row>
    <row r="213" spans="1:9">
      <c r="A213" s="489" t="s">
        <v>2073</v>
      </c>
      <c r="B213" s="454"/>
      <c r="C213" s="454"/>
      <c r="D213" s="454"/>
      <c r="E213" s="454"/>
      <c r="F213" s="454"/>
      <c r="G213" s="450"/>
      <c r="H213" s="347"/>
      <c r="I213" s="347"/>
    </row>
    <row r="214" spans="1:9" ht="30">
      <c r="A214" s="65"/>
      <c r="B214" s="66" t="s">
        <v>795</v>
      </c>
      <c r="C214" s="66" t="s">
        <v>21</v>
      </c>
      <c r="D214" s="66" t="s">
        <v>798</v>
      </c>
      <c r="E214" s="67">
        <v>10</v>
      </c>
      <c r="F214" s="484"/>
      <c r="G214" s="450"/>
      <c r="H214" s="348"/>
      <c r="I214" s="348"/>
    </row>
    <row r="215" spans="1:9" ht="30">
      <c r="A215" s="66" t="s">
        <v>800</v>
      </c>
      <c r="B215" s="484" t="s">
        <v>2075</v>
      </c>
      <c r="C215" s="454"/>
      <c r="D215" s="454"/>
      <c r="E215" s="454"/>
      <c r="F215" s="454"/>
      <c r="G215" s="450"/>
      <c r="H215" s="349"/>
      <c r="I215" s="349"/>
    </row>
    <row r="216" spans="1:9">
      <c r="A216" s="490" t="s">
        <v>802</v>
      </c>
      <c r="B216" s="454"/>
      <c r="C216" s="454"/>
      <c r="D216" s="454"/>
      <c r="E216" s="454"/>
      <c r="F216" s="450"/>
      <c r="G216" s="68" t="s">
        <v>803</v>
      </c>
      <c r="H216" s="350"/>
      <c r="I216" s="350"/>
    </row>
    <row r="217" spans="1:9">
      <c r="A217" s="491"/>
      <c r="B217" s="491" t="s">
        <v>1810</v>
      </c>
      <c r="C217" s="484" t="s">
        <v>2076</v>
      </c>
      <c r="D217" s="454"/>
      <c r="E217" s="450"/>
      <c r="F217" s="484"/>
      <c r="G217" s="450"/>
      <c r="H217" s="348"/>
      <c r="I217" s="348"/>
    </row>
    <row r="218" spans="1:9">
      <c r="A218" s="457"/>
      <c r="B218" s="457"/>
      <c r="C218" s="66" t="s">
        <v>21</v>
      </c>
      <c r="D218" s="67">
        <v>11.5</v>
      </c>
      <c r="E218" s="67">
        <v>52</v>
      </c>
      <c r="F218" s="67">
        <f>E218*D218</f>
        <v>598</v>
      </c>
      <c r="G218" s="66" t="s">
        <v>808</v>
      </c>
      <c r="H218" s="351"/>
      <c r="I218" s="351"/>
    </row>
    <row r="219" spans="1:9">
      <c r="A219" s="492" t="s">
        <v>1105</v>
      </c>
      <c r="B219" s="454"/>
      <c r="C219" s="450"/>
      <c r="D219" s="67">
        <v>10</v>
      </c>
      <c r="E219" s="70" t="s">
        <v>21</v>
      </c>
      <c r="F219" s="67">
        <f>F218</f>
        <v>598</v>
      </c>
      <c r="G219" s="303"/>
      <c r="H219" s="183"/>
      <c r="I219" s="183"/>
    </row>
    <row r="220" spans="1:9">
      <c r="A220" s="492" t="s">
        <v>826</v>
      </c>
      <c r="B220" s="454"/>
      <c r="C220" s="450"/>
      <c r="D220" s="67">
        <v>1</v>
      </c>
      <c r="E220" s="70" t="s">
        <v>21</v>
      </c>
      <c r="F220" s="67">
        <f>F219/10</f>
        <v>59.8</v>
      </c>
      <c r="G220" s="303"/>
      <c r="H220" s="183"/>
      <c r="I220" s="183"/>
    </row>
    <row r="221" spans="1:9">
      <c r="A221" s="493" t="s">
        <v>829</v>
      </c>
      <c r="B221" s="454"/>
      <c r="C221" s="454"/>
      <c r="D221" s="450"/>
      <c r="E221" s="67"/>
      <c r="F221" s="67">
        <f>F220*1%</f>
        <v>0.59799999999999998</v>
      </c>
      <c r="G221" s="303"/>
      <c r="H221" s="183"/>
      <c r="I221" s="183"/>
    </row>
    <row r="222" spans="1:9">
      <c r="A222" s="493" t="s">
        <v>30</v>
      </c>
      <c r="B222" s="454"/>
      <c r="C222" s="454"/>
      <c r="D222" s="450"/>
      <c r="E222" s="71"/>
      <c r="F222" s="67">
        <f>F220+F221</f>
        <v>60.397999999999996</v>
      </c>
      <c r="G222" s="303"/>
      <c r="H222" s="183"/>
      <c r="I222" s="183"/>
    </row>
    <row r="223" spans="1:9">
      <c r="A223" s="493" t="s">
        <v>836</v>
      </c>
      <c r="B223" s="454"/>
      <c r="C223" s="454"/>
      <c r="D223" s="450"/>
      <c r="E223" s="67"/>
      <c r="F223" s="67">
        <f>F222*15%</f>
        <v>9.0596999999999994</v>
      </c>
      <c r="G223" s="303"/>
      <c r="H223" s="183"/>
      <c r="I223" s="183"/>
    </row>
    <row r="224" spans="1:9">
      <c r="A224" s="493" t="s">
        <v>30</v>
      </c>
      <c r="B224" s="454"/>
      <c r="C224" s="454"/>
      <c r="D224" s="450"/>
      <c r="E224" s="71"/>
      <c r="F224" s="191">
        <f>ROUND(F222+F223,2)</f>
        <v>69.459999999999994</v>
      </c>
      <c r="G224" s="303"/>
      <c r="H224" s="183"/>
      <c r="I224" s="183"/>
    </row>
    <row r="225" spans="1:9">
      <c r="A225" s="490" t="s">
        <v>819</v>
      </c>
      <c r="B225" s="454"/>
      <c r="C225" s="454"/>
      <c r="D225" s="454"/>
      <c r="E225" s="454"/>
      <c r="F225" s="450"/>
      <c r="G225" s="68" t="s">
        <v>820</v>
      </c>
      <c r="H225" s="350"/>
      <c r="I225" s="350"/>
    </row>
    <row r="226" spans="1:9">
      <c r="A226" s="491">
        <v>116</v>
      </c>
      <c r="B226" s="491"/>
      <c r="C226" s="484" t="s">
        <v>527</v>
      </c>
      <c r="D226" s="454"/>
      <c r="E226" s="450"/>
      <c r="F226" s="484"/>
      <c r="G226" s="450"/>
      <c r="H226" s="348"/>
      <c r="I226" s="348"/>
    </row>
    <row r="227" spans="1:9">
      <c r="A227" s="457"/>
      <c r="B227" s="457"/>
      <c r="C227" s="66" t="s">
        <v>26</v>
      </c>
      <c r="D227" s="67">
        <v>0.12</v>
      </c>
      <c r="E227" s="67">
        <v>784</v>
      </c>
      <c r="F227" s="67">
        <f>E227*D227</f>
        <v>94.08</v>
      </c>
      <c r="G227" s="66" t="s">
        <v>822</v>
      </c>
      <c r="H227" s="351"/>
      <c r="I227" s="351"/>
    </row>
    <row r="228" spans="1:9">
      <c r="A228" s="491">
        <v>114</v>
      </c>
      <c r="B228" s="491"/>
      <c r="C228" s="484" t="s">
        <v>1936</v>
      </c>
      <c r="D228" s="454"/>
      <c r="E228" s="450"/>
      <c r="F228" s="484"/>
      <c r="G228" s="450"/>
      <c r="H228" s="348"/>
      <c r="I228" s="348"/>
    </row>
    <row r="229" spans="1:9">
      <c r="A229" s="457"/>
      <c r="B229" s="457"/>
      <c r="C229" s="66" t="s">
        <v>26</v>
      </c>
      <c r="D229" s="67">
        <v>0.25</v>
      </c>
      <c r="E229" s="67">
        <v>645</v>
      </c>
      <c r="F229" s="67">
        <f>E229*D229</f>
        <v>161.25</v>
      </c>
      <c r="G229" s="66" t="s">
        <v>825</v>
      </c>
      <c r="H229" s="351"/>
      <c r="I229" s="351"/>
    </row>
    <row r="230" spans="1:9">
      <c r="A230" s="491">
        <v>114</v>
      </c>
      <c r="B230" s="491"/>
      <c r="C230" s="484" t="s">
        <v>59</v>
      </c>
      <c r="D230" s="454"/>
      <c r="E230" s="450"/>
      <c r="F230" s="484"/>
      <c r="G230" s="450"/>
      <c r="H230" s="348"/>
      <c r="I230" s="348"/>
    </row>
    <row r="231" spans="1:9">
      <c r="A231" s="457"/>
      <c r="B231" s="457"/>
      <c r="C231" s="66" t="s">
        <v>26</v>
      </c>
      <c r="D231" s="67">
        <v>0.66</v>
      </c>
      <c r="E231" s="67">
        <v>645</v>
      </c>
      <c r="F231" s="67">
        <f>D231*E231</f>
        <v>425.70000000000005</v>
      </c>
      <c r="G231" s="66" t="s">
        <v>837</v>
      </c>
      <c r="H231" s="351"/>
      <c r="I231" s="351"/>
    </row>
    <row r="232" spans="1:9">
      <c r="A232" s="491">
        <v>115</v>
      </c>
      <c r="B232" s="491"/>
      <c r="C232" s="484" t="s">
        <v>25</v>
      </c>
      <c r="D232" s="454"/>
      <c r="E232" s="450"/>
      <c r="F232" s="484"/>
      <c r="G232" s="450"/>
      <c r="H232" s="348"/>
      <c r="I232" s="348"/>
    </row>
    <row r="233" spans="1:9">
      <c r="A233" s="457"/>
      <c r="B233" s="457"/>
      <c r="C233" s="66" t="s">
        <v>26</v>
      </c>
      <c r="D233" s="67">
        <v>0.66</v>
      </c>
      <c r="E233" s="67">
        <v>645</v>
      </c>
      <c r="F233" s="67">
        <f>D233*E233</f>
        <v>425.70000000000005</v>
      </c>
      <c r="G233" s="66" t="s">
        <v>1927</v>
      </c>
      <c r="H233" s="351"/>
      <c r="I233" s="351"/>
    </row>
    <row r="234" spans="1:9">
      <c r="A234" s="492" t="s">
        <v>1928</v>
      </c>
      <c r="B234" s="454"/>
      <c r="C234" s="450"/>
      <c r="D234" s="67">
        <v>10</v>
      </c>
      <c r="E234" s="70" t="s">
        <v>21</v>
      </c>
      <c r="F234" s="67">
        <f>F233+F231+F229+F227</f>
        <v>1106.73</v>
      </c>
      <c r="G234" s="71"/>
      <c r="H234" s="348"/>
      <c r="I234" s="348"/>
    </row>
    <row r="235" spans="1:9">
      <c r="A235" s="492" t="s">
        <v>826</v>
      </c>
      <c r="B235" s="454"/>
      <c r="C235" s="450"/>
      <c r="D235" s="67">
        <v>1</v>
      </c>
      <c r="E235" s="70" t="s">
        <v>21</v>
      </c>
      <c r="F235" s="67">
        <f>F234/10</f>
        <v>110.673</v>
      </c>
      <c r="G235" s="71"/>
      <c r="H235" s="348"/>
      <c r="I235" s="348"/>
    </row>
    <row r="236" spans="1:9">
      <c r="A236" s="493" t="s">
        <v>829</v>
      </c>
      <c r="B236" s="454"/>
      <c r="C236" s="454"/>
      <c r="D236" s="450"/>
      <c r="E236" s="67"/>
      <c r="F236" s="67">
        <f>F235*1%</f>
        <v>1.10673</v>
      </c>
      <c r="G236" s="71"/>
      <c r="H236" s="348"/>
      <c r="I236" s="348"/>
    </row>
    <row r="237" spans="1:9">
      <c r="A237" s="493" t="s">
        <v>30</v>
      </c>
      <c r="B237" s="454"/>
      <c r="C237" s="454"/>
      <c r="D237" s="450"/>
      <c r="E237" s="71"/>
      <c r="F237" s="67">
        <f>F235+F236</f>
        <v>111.77973</v>
      </c>
      <c r="G237" s="71"/>
      <c r="H237" s="348"/>
      <c r="I237" s="348"/>
    </row>
    <row r="238" spans="1:9">
      <c r="A238" s="493" t="s">
        <v>836</v>
      </c>
      <c r="B238" s="454"/>
      <c r="C238" s="454"/>
      <c r="D238" s="450"/>
      <c r="E238" s="67"/>
      <c r="F238" s="67">
        <f>F237*15%</f>
        <v>16.766959499999999</v>
      </c>
      <c r="G238" s="71"/>
      <c r="H238" s="348"/>
      <c r="I238" s="348"/>
    </row>
    <row r="239" spans="1:9">
      <c r="A239" s="493" t="s">
        <v>30</v>
      </c>
      <c r="B239" s="454"/>
      <c r="C239" s="454"/>
      <c r="D239" s="450"/>
      <c r="E239" s="71"/>
      <c r="F239" s="191">
        <f>ROUND(F237+F238,2)</f>
        <v>128.55000000000001</v>
      </c>
      <c r="G239" s="71"/>
      <c r="H239" s="348"/>
      <c r="I239" s="348"/>
    </row>
    <row r="240" spans="1:9">
      <c r="A240" s="594" t="str">
        <f>CONCATENATE("Say ₹ ",F224," + ",F239," x Cost Index")</f>
        <v>Say ₹ 69.46 + 128.55 x Cost Index</v>
      </c>
      <c r="B240" s="454"/>
      <c r="C240" s="454"/>
      <c r="D240" s="454"/>
      <c r="E240" s="454"/>
      <c r="F240" s="454"/>
      <c r="G240" s="450"/>
      <c r="H240" s="229">
        <f>((F218*1.01*1.15)/10)</f>
        <v>69.457700000000003</v>
      </c>
      <c r="I240" s="229">
        <f>((SUM(F227,F229,F231,F233)*1.01*1.15)/10)</f>
        <v>128.54668949999999</v>
      </c>
    </row>
    <row r="241" spans="1:9">
      <c r="A241" s="486" t="s">
        <v>771</v>
      </c>
      <c r="B241" s="486" t="s">
        <v>776</v>
      </c>
      <c r="C241" s="487" t="s">
        <v>4</v>
      </c>
      <c r="D241" s="454"/>
      <c r="E241" s="450"/>
      <c r="F241" s="487" t="s">
        <v>785</v>
      </c>
      <c r="G241" s="450"/>
      <c r="H241" s="346"/>
      <c r="I241" s="346"/>
    </row>
    <row r="242" spans="1:9">
      <c r="A242" s="457"/>
      <c r="B242" s="457"/>
      <c r="C242" s="62" t="s">
        <v>5</v>
      </c>
      <c r="D242" s="62" t="s">
        <v>6</v>
      </c>
      <c r="E242" s="62" t="s">
        <v>336</v>
      </c>
      <c r="F242" s="62" t="s">
        <v>8</v>
      </c>
      <c r="G242" s="62" t="s">
        <v>789</v>
      </c>
      <c r="H242" s="346"/>
      <c r="I242" s="346"/>
    </row>
    <row r="243" spans="1:9">
      <c r="A243" s="489" t="s">
        <v>2083</v>
      </c>
      <c r="B243" s="454"/>
      <c r="C243" s="454"/>
      <c r="D243" s="454"/>
      <c r="E243" s="454"/>
      <c r="F243" s="454"/>
      <c r="G243" s="450"/>
      <c r="H243" s="347"/>
      <c r="I243" s="347"/>
    </row>
    <row r="244" spans="1:9" ht="30">
      <c r="A244" s="65"/>
      <c r="B244" s="66" t="s">
        <v>795</v>
      </c>
      <c r="C244" s="66" t="s">
        <v>21</v>
      </c>
      <c r="D244" s="66" t="s">
        <v>798</v>
      </c>
      <c r="E244" s="67">
        <v>10</v>
      </c>
      <c r="F244" s="484"/>
      <c r="G244" s="450"/>
      <c r="H244" s="348"/>
      <c r="I244" s="348"/>
    </row>
    <row r="245" spans="1:9" ht="30">
      <c r="A245" s="66" t="s">
        <v>800</v>
      </c>
      <c r="B245" s="484" t="s">
        <v>2075</v>
      </c>
      <c r="C245" s="454"/>
      <c r="D245" s="454"/>
      <c r="E245" s="454"/>
      <c r="F245" s="454"/>
      <c r="G245" s="450"/>
      <c r="H245" s="349"/>
      <c r="I245" s="349"/>
    </row>
    <row r="246" spans="1:9">
      <c r="A246" s="490" t="s">
        <v>802</v>
      </c>
      <c r="B246" s="454"/>
      <c r="C246" s="454"/>
      <c r="D246" s="454"/>
      <c r="E246" s="454"/>
      <c r="F246" s="450"/>
      <c r="G246" s="68" t="s">
        <v>803</v>
      </c>
      <c r="H246" s="350"/>
      <c r="I246" s="350"/>
    </row>
    <row r="247" spans="1:9">
      <c r="A247" s="491"/>
      <c r="B247" s="491" t="s">
        <v>1823</v>
      </c>
      <c r="C247" s="484" t="s">
        <v>2085</v>
      </c>
      <c r="D247" s="454"/>
      <c r="E247" s="450"/>
      <c r="F247" s="484"/>
      <c r="G247" s="450"/>
      <c r="H247" s="348"/>
      <c r="I247" s="348"/>
    </row>
    <row r="248" spans="1:9">
      <c r="A248" s="457"/>
      <c r="B248" s="457"/>
      <c r="C248" s="66" t="s">
        <v>21</v>
      </c>
      <c r="D248" s="67">
        <v>11.5</v>
      </c>
      <c r="E248" s="67">
        <v>84</v>
      </c>
      <c r="F248" s="67">
        <f>E248*D248</f>
        <v>966</v>
      </c>
      <c r="G248" s="66" t="s">
        <v>808</v>
      </c>
      <c r="H248" s="351"/>
      <c r="I248" s="351"/>
    </row>
    <row r="249" spans="1:9">
      <c r="A249" s="492" t="s">
        <v>1105</v>
      </c>
      <c r="B249" s="454"/>
      <c r="C249" s="450"/>
      <c r="D249" s="67">
        <v>10</v>
      </c>
      <c r="E249" s="70" t="s">
        <v>21</v>
      </c>
      <c r="F249" s="67">
        <f>F248</f>
        <v>966</v>
      </c>
      <c r="G249" s="303"/>
      <c r="H249" s="183"/>
      <c r="I249" s="183"/>
    </row>
    <row r="250" spans="1:9">
      <c r="A250" s="492" t="s">
        <v>826</v>
      </c>
      <c r="B250" s="454"/>
      <c r="C250" s="450"/>
      <c r="D250" s="67">
        <v>1</v>
      </c>
      <c r="E250" s="70" t="s">
        <v>21</v>
      </c>
      <c r="F250" s="67">
        <f>F249/10</f>
        <v>96.6</v>
      </c>
      <c r="G250" s="303"/>
      <c r="H250" s="183"/>
      <c r="I250" s="183"/>
    </row>
    <row r="251" spans="1:9">
      <c r="A251" s="493" t="s">
        <v>829</v>
      </c>
      <c r="B251" s="454"/>
      <c r="C251" s="454"/>
      <c r="D251" s="450"/>
      <c r="E251" s="67"/>
      <c r="F251" s="67">
        <f>F250*1%</f>
        <v>0.96599999999999997</v>
      </c>
      <c r="G251" s="303"/>
      <c r="H251" s="183"/>
      <c r="I251" s="183"/>
    </row>
    <row r="252" spans="1:9">
      <c r="A252" s="493" t="s">
        <v>30</v>
      </c>
      <c r="B252" s="454"/>
      <c r="C252" s="454"/>
      <c r="D252" s="450"/>
      <c r="E252" s="71"/>
      <c r="F252" s="67">
        <f>F250+F251</f>
        <v>97.565999999999988</v>
      </c>
      <c r="G252" s="303"/>
      <c r="H252" s="183"/>
      <c r="I252" s="183"/>
    </row>
    <row r="253" spans="1:9">
      <c r="A253" s="493" t="s">
        <v>836</v>
      </c>
      <c r="B253" s="454"/>
      <c r="C253" s="454"/>
      <c r="D253" s="450"/>
      <c r="E253" s="67"/>
      <c r="F253" s="67">
        <f>F252*15%</f>
        <v>14.634899999999998</v>
      </c>
      <c r="G253" s="303"/>
      <c r="H253" s="183"/>
      <c r="I253" s="183"/>
    </row>
    <row r="254" spans="1:9">
      <c r="A254" s="493" t="s">
        <v>30</v>
      </c>
      <c r="B254" s="454"/>
      <c r="C254" s="454"/>
      <c r="D254" s="450"/>
      <c r="E254" s="71"/>
      <c r="F254" s="191">
        <f>ROUND(F252+F253,2)</f>
        <v>112.2</v>
      </c>
      <c r="G254" s="303"/>
      <c r="H254" s="183"/>
      <c r="I254" s="183"/>
    </row>
    <row r="255" spans="1:9">
      <c r="A255" s="490" t="s">
        <v>819</v>
      </c>
      <c r="B255" s="454"/>
      <c r="C255" s="454"/>
      <c r="D255" s="454"/>
      <c r="E255" s="454"/>
      <c r="F255" s="450"/>
      <c r="G255" s="68" t="s">
        <v>820</v>
      </c>
      <c r="H255" s="350"/>
      <c r="I255" s="350"/>
    </row>
    <row r="256" spans="1:9">
      <c r="A256" s="491">
        <v>116</v>
      </c>
      <c r="B256" s="491"/>
      <c r="C256" s="484" t="s">
        <v>527</v>
      </c>
      <c r="D256" s="454"/>
      <c r="E256" s="450"/>
      <c r="F256" s="484"/>
      <c r="G256" s="450"/>
      <c r="H256" s="348"/>
      <c r="I256" s="348"/>
    </row>
    <row r="257" spans="1:9">
      <c r="A257" s="457"/>
      <c r="B257" s="457"/>
      <c r="C257" s="66" t="s">
        <v>26</v>
      </c>
      <c r="D257" s="67">
        <v>0.16</v>
      </c>
      <c r="E257" s="67">
        <v>784</v>
      </c>
      <c r="F257" s="67">
        <f>E257*D257</f>
        <v>125.44</v>
      </c>
      <c r="G257" s="66" t="s">
        <v>822</v>
      </c>
      <c r="H257" s="351"/>
      <c r="I257" s="351"/>
    </row>
    <row r="258" spans="1:9">
      <c r="A258" s="491">
        <v>114</v>
      </c>
      <c r="B258" s="491"/>
      <c r="C258" s="484" t="s">
        <v>1936</v>
      </c>
      <c r="D258" s="454"/>
      <c r="E258" s="450"/>
      <c r="F258" s="484"/>
      <c r="G258" s="450"/>
      <c r="H258" s="348"/>
      <c r="I258" s="348"/>
    </row>
    <row r="259" spans="1:9">
      <c r="A259" s="457"/>
      <c r="B259" s="457"/>
      <c r="C259" s="66" t="s">
        <v>26</v>
      </c>
      <c r="D259" s="67">
        <v>0.33</v>
      </c>
      <c r="E259" s="67">
        <v>645</v>
      </c>
      <c r="F259" s="67">
        <f>E259*D259</f>
        <v>212.85000000000002</v>
      </c>
      <c r="G259" s="66" t="s">
        <v>825</v>
      </c>
      <c r="H259" s="351"/>
      <c r="I259" s="351"/>
    </row>
    <row r="260" spans="1:9">
      <c r="A260" s="491">
        <v>114</v>
      </c>
      <c r="B260" s="491"/>
      <c r="C260" s="484" t="s">
        <v>59</v>
      </c>
      <c r="D260" s="454"/>
      <c r="E260" s="450"/>
      <c r="F260" s="484"/>
      <c r="G260" s="450"/>
      <c r="H260" s="348"/>
      <c r="I260" s="348"/>
    </row>
    <row r="261" spans="1:9">
      <c r="A261" s="457"/>
      <c r="B261" s="457"/>
      <c r="C261" s="66" t="s">
        <v>26</v>
      </c>
      <c r="D261" s="67">
        <v>0.66</v>
      </c>
      <c r="E261" s="67">
        <v>645</v>
      </c>
      <c r="F261" s="67">
        <f>D261*E261</f>
        <v>425.70000000000005</v>
      </c>
      <c r="G261" s="66" t="s">
        <v>837</v>
      </c>
      <c r="H261" s="351"/>
      <c r="I261" s="351"/>
    </row>
    <row r="262" spans="1:9">
      <c r="A262" s="491">
        <v>115</v>
      </c>
      <c r="B262" s="491"/>
      <c r="C262" s="484" t="s">
        <v>25</v>
      </c>
      <c r="D262" s="454"/>
      <c r="E262" s="450"/>
      <c r="F262" s="484"/>
      <c r="G262" s="450"/>
      <c r="H262" s="348"/>
      <c r="I262" s="348"/>
    </row>
    <row r="263" spans="1:9">
      <c r="A263" s="457"/>
      <c r="B263" s="457"/>
      <c r="C263" s="66" t="s">
        <v>26</v>
      </c>
      <c r="D263" s="67">
        <v>0.66</v>
      </c>
      <c r="E263" s="67">
        <v>645</v>
      </c>
      <c r="F263" s="67">
        <f>D263*E263</f>
        <v>425.70000000000005</v>
      </c>
      <c r="G263" s="66" t="s">
        <v>1927</v>
      </c>
      <c r="H263" s="351"/>
      <c r="I263" s="351"/>
    </row>
    <row r="264" spans="1:9">
      <c r="A264" s="492" t="s">
        <v>1928</v>
      </c>
      <c r="B264" s="454"/>
      <c r="C264" s="450"/>
      <c r="D264" s="67">
        <v>10</v>
      </c>
      <c r="E264" s="70" t="s">
        <v>21</v>
      </c>
      <c r="F264" s="67">
        <f>F263+F261+F259+F257</f>
        <v>1189.69</v>
      </c>
      <c r="G264" s="71"/>
      <c r="H264" s="348"/>
      <c r="I264" s="348"/>
    </row>
    <row r="265" spans="1:9">
      <c r="A265" s="492" t="s">
        <v>826</v>
      </c>
      <c r="B265" s="454"/>
      <c r="C265" s="450"/>
      <c r="D265" s="67">
        <v>1</v>
      </c>
      <c r="E265" s="70" t="s">
        <v>21</v>
      </c>
      <c r="F265" s="67">
        <f>F264/10</f>
        <v>118.96900000000001</v>
      </c>
      <c r="G265" s="71"/>
      <c r="H265" s="348"/>
      <c r="I265" s="348"/>
    </row>
    <row r="266" spans="1:9">
      <c r="A266" s="493" t="s">
        <v>829</v>
      </c>
      <c r="B266" s="454"/>
      <c r="C266" s="454"/>
      <c r="D266" s="450"/>
      <c r="E266" s="67"/>
      <c r="F266" s="67">
        <f>F265*1%</f>
        <v>1.1896900000000001</v>
      </c>
      <c r="G266" s="71"/>
      <c r="H266" s="348"/>
      <c r="I266" s="348"/>
    </row>
    <row r="267" spans="1:9">
      <c r="A267" s="493" t="s">
        <v>30</v>
      </c>
      <c r="B267" s="454"/>
      <c r="C267" s="454"/>
      <c r="D267" s="450"/>
      <c r="E267" s="71"/>
      <c r="F267" s="67">
        <f>F265+F266</f>
        <v>120.15869000000001</v>
      </c>
      <c r="G267" s="71"/>
      <c r="H267" s="348"/>
      <c r="I267" s="348"/>
    </row>
    <row r="268" spans="1:9">
      <c r="A268" s="493" t="s">
        <v>836</v>
      </c>
      <c r="B268" s="454"/>
      <c r="C268" s="454"/>
      <c r="D268" s="450"/>
      <c r="E268" s="67"/>
      <c r="F268" s="67">
        <f>F267*15%</f>
        <v>18.0238035</v>
      </c>
      <c r="G268" s="71"/>
      <c r="H268" s="348"/>
      <c r="I268" s="348"/>
    </row>
    <row r="269" spans="1:9">
      <c r="A269" s="493" t="s">
        <v>30</v>
      </c>
      <c r="B269" s="454"/>
      <c r="C269" s="454"/>
      <c r="D269" s="450"/>
      <c r="E269" s="71"/>
      <c r="F269" s="191">
        <f>ROUND(F267+F268,2)</f>
        <v>138.18</v>
      </c>
      <c r="G269" s="71"/>
      <c r="H269" s="348"/>
      <c r="I269" s="348"/>
    </row>
    <row r="270" spans="1:9">
      <c r="A270" s="594" t="str">
        <f>CONCATENATE("Say ₹ ",F254," + ",F269," x Cost Index")</f>
        <v>Say ₹ 112.2 + 138.18 x Cost Index</v>
      </c>
      <c r="B270" s="454"/>
      <c r="C270" s="454"/>
      <c r="D270" s="454"/>
      <c r="E270" s="454"/>
      <c r="F270" s="454"/>
      <c r="G270" s="450"/>
      <c r="H270" s="229">
        <f>((F248*1.01*1.15)/10)</f>
        <v>112.20089999999998</v>
      </c>
      <c r="I270" s="229">
        <f>((SUM(F257,F259,F261,F263)*1.01*1.15)/10)</f>
        <v>138.18249349999999</v>
      </c>
    </row>
    <row r="271" spans="1:9">
      <c r="A271" s="486" t="s">
        <v>771</v>
      </c>
      <c r="B271" s="486" t="s">
        <v>776</v>
      </c>
      <c r="C271" s="487" t="s">
        <v>4</v>
      </c>
      <c r="D271" s="454"/>
      <c r="E271" s="450"/>
      <c r="F271" s="487" t="s">
        <v>785</v>
      </c>
      <c r="G271" s="450"/>
      <c r="H271" s="346"/>
      <c r="I271" s="346"/>
    </row>
    <row r="272" spans="1:9">
      <c r="A272" s="457"/>
      <c r="B272" s="457"/>
      <c r="C272" s="62" t="s">
        <v>5</v>
      </c>
      <c r="D272" s="62" t="s">
        <v>6</v>
      </c>
      <c r="E272" s="62" t="s">
        <v>336</v>
      </c>
      <c r="F272" s="62" t="s">
        <v>8</v>
      </c>
      <c r="G272" s="62" t="s">
        <v>789</v>
      </c>
      <c r="H272" s="346"/>
      <c r="I272" s="346"/>
    </row>
    <row r="273" spans="1:9">
      <c r="A273" s="489" t="s">
        <v>2095</v>
      </c>
      <c r="B273" s="454"/>
      <c r="C273" s="454"/>
      <c r="D273" s="454"/>
      <c r="E273" s="454"/>
      <c r="F273" s="454"/>
      <c r="G273" s="450"/>
      <c r="H273" s="347"/>
      <c r="I273" s="347"/>
    </row>
    <row r="274" spans="1:9" ht="30">
      <c r="A274" s="65"/>
      <c r="B274" s="66" t="s">
        <v>795</v>
      </c>
      <c r="C274" s="66" t="s">
        <v>21</v>
      </c>
      <c r="D274" s="66" t="s">
        <v>798</v>
      </c>
      <c r="E274" s="67">
        <v>10</v>
      </c>
      <c r="F274" s="484"/>
      <c r="G274" s="450"/>
      <c r="H274" s="348"/>
      <c r="I274" s="348"/>
    </row>
    <row r="275" spans="1:9" ht="30">
      <c r="A275" s="66" t="s">
        <v>800</v>
      </c>
      <c r="B275" s="484" t="s">
        <v>2075</v>
      </c>
      <c r="C275" s="454"/>
      <c r="D275" s="454"/>
      <c r="E275" s="454"/>
      <c r="F275" s="454"/>
      <c r="G275" s="450"/>
      <c r="H275" s="349"/>
      <c r="I275" s="349"/>
    </row>
    <row r="276" spans="1:9">
      <c r="A276" s="490" t="s">
        <v>802</v>
      </c>
      <c r="B276" s="454"/>
      <c r="C276" s="454"/>
      <c r="D276" s="454"/>
      <c r="E276" s="454"/>
      <c r="F276" s="450"/>
      <c r="G276" s="68" t="s">
        <v>803</v>
      </c>
      <c r="H276" s="350"/>
      <c r="I276" s="350"/>
    </row>
    <row r="277" spans="1:9">
      <c r="A277" s="491"/>
      <c r="B277" s="491" t="s">
        <v>1816</v>
      </c>
      <c r="C277" s="484" t="s">
        <v>2096</v>
      </c>
      <c r="D277" s="454"/>
      <c r="E277" s="450"/>
      <c r="F277" s="484"/>
      <c r="G277" s="450"/>
      <c r="H277" s="348"/>
      <c r="I277" s="348"/>
    </row>
    <row r="278" spans="1:9">
      <c r="A278" s="457"/>
      <c r="B278" s="457"/>
      <c r="C278" s="66" t="s">
        <v>21</v>
      </c>
      <c r="D278" s="67">
        <v>11.5</v>
      </c>
      <c r="E278" s="67">
        <v>53</v>
      </c>
      <c r="F278" s="67">
        <f>E278*D278</f>
        <v>609.5</v>
      </c>
      <c r="G278" s="66" t="s">
        <v>808</v>
      </c>
      <c r="H278" s="351"/>
      <c r="I278" s="351"/>
    </row>
    <row r="279" spans="1:9">
      <c r="A279" s="492" t="s">
        <v>1105</v>
      </c>
      <c r="B279" s="454"/>
      <c r="C279" s="450"/>
      <c r="D279" s="67">
        <v>10</v>
      </c>
      <c r="E279" s="70" t="s">
        <v>21</v>
      </c>
      <c r="F279" s="67">
        <f>F278</f>
        <v>609.5</v>
      </c>
      <c r="G279" s="303"/>
      <c r="H279" s="183"/>
      <c r="I279" s="183"/>
    </row>
    <row r="280" spans="1:9">
      <c r="A280" s="492" t="s">
        <v>826</v>
      </c>
      <c r="B280" s="454"/>
      <c r="C280" s="450"/>
      <c r="D280" s="67">
        <v>1</v>
      </c>
      <c r="E280" s="70" t="s">
        <v>21</v>
      </c>
      <c r="F280" s="67">
        <f>F279/10</f>
        <v>60.95</v>
      </c>
      <c r="G280" s="303"/>
      <c r="H280" s="183"/>
      <c r="I280" s="183"/>
    </row>
    <row r="281" spans="1:9">
      <c r="A281" s="493" t="s">
        <v>829</v>
      </c>
      <c r="B281" s="454"/>
      <c r="C281" s="454"/>
      <c r="D281" s="450"/>
      <c r="E281" s="67"/>
      <c r="F281" s="67">
        <f>F280*1%</f>
        <v>0.60950000000000004</v>
      </c>
      <c r="G281" s="303"/>
      <c r="H281" s="183"/>
      <c r="I281" s="183"/>
    </row>
    <row r="282" spans="1:9">
      <c r="A282" s="493" t="s">
        <v>30</v>
      </c>
      <c r="B282" s="454"/>
      <c r="C282" s="454"/>
      <c r="D282" s="450"/>
      <c r="E282" s="71"/>
      <c r="F282" s="67">
        <f>F280+F281</f>
        <v>61.5595</v>
      </c>
      <c r="G282" s="303"/>
      <c r="H282" s="183"/>
      <c r="I282" s="183"/>
    </row>
    <row r="283" spans="1:9">
      <c r="A283" s="493" t="s">
        <v>836</v>
      </c>
      <c r="B283" s="454"/>
      <c r="C283" s="454"/>
      <c r="D283" s="450"/>
      <c r="E283" s="67"/>
      <c r="F283" s="67">
        <f>F282*15%</f>
        <v>9.2339249999999993</v>
      </c>
      <c r="G283" s="303"/>
      <c r="H283" s="183"/>
      <c r="I283" s="183"/>
    </row>
    <row r="284" spans="1:9">
      <c r="A284" s="493" t="s">
        <v>30</v>
      </c>
      <c r="B284" s="454"/>
      <c r="C284" s="454"/>
      <c r="D284" s="450"/>
      <c r="E284" s="71"/>
      <c r="F284" s="191">
        <f>ROUND(F282+F283,2)</f>
        <v>70.790000000000006</v>
      </c>
      <c r="G284" s="303"/>
      <c r="H284" s="183"/>
      <c r="I284" s="183"/>
    </row>
    <row r="285" spans="1:9">
      <c r="A285" s="490" t="s">
        <v>819</v>
      </c>
      <c r="B285" s="454"/>
      <c r="C285" s="454"/>
      <c r="D285" s="454"/>
      <c r="E285" s="454"/>
      <c r="F285" s="450"/>
      <c r="G285" s="68" t="s">
        <v>820</v>
      </c>
      <c r="H285" s="350"/>
      <c r="I285" s="350"/>
    </row>
    <row r="286" spans="1:9">
      <c r="A286" s="491">
        <v>116</v>
      </c>
      <c r="B286" s="491"/>
      <c r="C286" s="484" t="s">
        <v>527</v>
      </c>
      <c r="D286" s="454"/>
      <c r="E286" s="450"/>
      <c r="F286" s="484"/>
      <c r="G286" s="450"/>
      <c r="H286" s="348"/>
      <c r="I286" s="348"/>
    </row>
    <row r="287" spans="1:9">
      <c r="A287" s="457"/>
      <c r="B287" s="457"/>
      <c r="C287" s="66" t="s">
        <v>26</v>
      </c>
      <c r="D287" s="67">
        <v>0.16</v>
      </c>
      <c r="E287" s="67">
        <v>784</v>
      </c>
      <c r="F287" s="67">
        <f>E287*D287</f>
        <v>125.44</v>
      </c>
      <c r="G287" s="66" t="s">
        <v>822</v>
      </c>
      <c r="H287" s="351"/>
      <c r="I287" s="351"/>
    </row>
    <row r="288" spans="1:9">
      <c r="A288" s="491">
        <v>114</v>
      </c>
      <c r="B288" s="491"/>
      <c r="C288" s="484" t="s">
        <v>1936</v>
      </c>
      <c r="D288" s="454"/>
      <c r="E288" s="450"/>
      <c r="F288" s="484"/>
      <c r="G288" s="450"/>
      <c r="H288" s="348"/>
      <c r="I288" s="348"/>
    </row>
    <row r="289" spans="1:9">
      <c r="A289" s="457"/>
      <c r="B289" s="457"/>
      <c r="C289" s="66" t="s">
        <v>26</v>
      </c>
      <c r="D289" s="67">
        <v>0.33</v>
      </c>
      <c r="E289" s="67">
        <v>645</v>
      </c>
      <c r="F289" s="67">
        <f>E289*D289</f>
        <v>212.85000000000002</v>
      </c>
      <c r="G289" s="66" t="s">
        <v>825</v>
      </c>
      <c r="H289" s="351"/>
      <c r="I289" s="351"/>
    </row>
    <row r="290" spans="1:9">
      <c r="A290" s="491">
        <v>114</v>
      </c>
      <c r="B290" s="491"/>
      <c r="C290" s="484" t="s">
        <v>59</v>
      </c>
      <c r="D290" s="454"/>
      <c r="E290" s="450"/>
      <c r="F290" s="484"/>
      <c r="G290" s="450"/>
      <c r="H290" s="348"/>
      <c r="I290" s="348"/>
    </row>
    <row r="291" spans="1:9">
      <c r="A291" s="457"/>
      <c r="B291" s="457"/>
      <c r="C291" s="66" t="s">
        <v>26</v>
      </c>
      <c r="D291" s="67">
        <v>0.66</v>
      </c>
      <c r="E291" s="67">
        <v>645</v>
      </c>
      <c r="F291" s="67">
        <f>D291*E291</f>
        <v>425.70000000000005</v>
      </c>
      <c r="G291" s="66" t="s">
        <v>837</v>
      </c>
      <c r="H291" s="351"/>
      <c r="I291" s="351"/>
    </row>
    <row r="292" spans="1:9">
      <c r="A292" s="491">
        <v>115</v>
      </c>
      <c r="B292" s="491"/>
      <c r="C292" s="484" t="s">
        <v>25</v>
      </c>
      <c r="D292" s="454"/>
      <c r="E292" s="450"/>
      <c r="F292" s="484"/>
      <c r="G292" s="450"/>
      <c r="H292" s="348"/>
      <c r="I292" s="348"/>
    </row>
    <row r="293" spans="1:9">
      <c r="A293" s="457"/>
      <c r="B293" s="457"/>
      <c r="C293" s="66" t="s">
        <v>26</v>
      </c>
      <c r="D293" s="67">
        <v>0.66</v>
      </c>
      <c r="E293" s="67">
        <v>645</v>
      </c>
      <c r="F293" s="67">
        <f>D293*E293</f>
        <v>425.70000000000005</v>
      </c>
      <c r="G293" s="66" t="s">
        <v>1927</v>
      </c>
      <c r="H293" s="351"/>
      <c r="I293" s="351"/>
    </row>
    <row r="294" spans="1:9">
      <c r="A294" s="492" t="s">
        <v>1928</v>
      </c>
      <c r="B294" s="454"/>
      <c r="C294" s="450"/>
      <c r="D294" s="67">
        <v>10</v>
      </c>
      <c r="E294" s="70" t="s">
        <v>21</v>
      </c>
      <c r="F294" s="67">
        <f>F293+F291+F289+F287</f>
        <v>1189.69</v>
      </c>
      <c r="G294" s="71"/>
      <c r="H294" s="348"/>
      <c r="I294" s="348"/>
    </row>
    <row r="295" spans="1:9">
      <c r="A295" s="492" t="s">
        <v>826</v>
      </c>
      <c r="B295" s="454"/>
      <c r="C295" s="450"/>
      <c r="D295" s="67">
        <v>1</v>
      </c>
      <c r="E295" s="70" t="s">
        <v>21</v>
      </c>
      <c r="F295" s="67">
        <f>F294/10</f>
        <v>118.96900000000001</v>
      </c>
      <c r="G295" s="71"/>
      <c r="H295" s="348"/>
      <c r="I295" s="348"/>
    </row>
    <row r="296" spans="1:9">
      <c r="A296" s="493" t="s">
        <v>829</v>
      </c>
      <c r="B296" s="454"/>
      <c r="C296" s="454"/>
      <c r="D296" s="450"/>
      <c r="E296" s="67"/>
      <c r="F296" s="67">
        <f>F295*1%</f>
        <v>1.1896900000000001</v>
      </c>
      <c r="G296" s="71"/>
      <c r="H296" s="348"/>
      <c r="I296" s="348"/>
    </row>
    <row r="297" spans="1:9">
      <c r="A297" s="493" t="s">
        <v>30</v>
      </c>
      <c r="B297" s="454"/>
      <c r="C297" s="454"/>
      <c r="D297" s="450"/>
      <c r="E297" s="71"/>
      <c r="F297" s="67">
        <f>F295+F296</f>
        <v>120.15869000000001</v>
      </c>
      <c r="G297" s="71"/>
      <c r="H297" s="348"/>
      <c r="I297" s="348"/>
    </row>
    <row r="298" spans="1:9">
      <c r="A298" s="493" t="s">
        <v>836</v>
      </c>
      <c r="B298" s="454"/>
      <c r="C298" s="454"/>
      <c r="D298" s="450"/>
      <c r="E298" s="67"/>
      <c r="F298" s="67">
        <f>F297*15%</f>
        <v>18.0238035</v>
      </c>
      <c r="G298" s="71"/>
      <c r="H298" s="348"/>
      <c r="I298" s="348"/>
    </row>
    <row r="299" spans="1:9">
      <c r="A299" s="493" t="s">
        <v>30</v>
      </c>
      <c r="B299" s="454"/>
      <c r="C299" s="454"/>
      <c r="D299" s="450"/>
      <c r="E299" s="71"/>
      <c r="F299" s="191">
        <f>ROUND(F297+F298,2)</f>
        <v>138.18</v>
      </c>
      <c r="G299" s="71"/>
      <c r="H299" s="348"/>
      <c r="I299" s="348"/>
    </row>
    <row r="300" spans="1:9">
      <c r="A300" s="594" t="str">
        <f>CONCATENATE("Say ₹ ",F284," + ",F299," x Cost Index")</f>
        <v>Say ₹ 70.79 + 138.18 x Cost Index</v>
      </c>
      <c r="B300" s="454"/>
      <c r="C300" s="454"/>
      <c r="D300" s="454"/>
      <c r="E300" s="454"/>
      <c r="F300" s="454"/>
      <c r="G300" s="450"/>
      <c r="H300" s="229">
        <f>((F278*1.01*1.15)/10)</f>
        <v>70.793424999999999</v>
      </c>
      <c r="I300" s="229">
        <f>((SUM(F287,F289,F291,F293)*1.01*1.15)/10)</f>
        <v>138.18249349999999</v>
      </c>
    </row>
    <row r="301" spans="1:9">
      <c r="A301" s="486" t="s">
        <v>771</v>
      </c>
      <c r="B301" s="486" t="s">
        <v>776</v>
      </c>
      <c r="C301" s="487" t="s">
        <v>4</v>
      </c>
      <c r="D301" s="454"/>
      <c r="E301" s="450"/>
      <c r="F301" s="487" t="s">
        <v>785</v>
      </c>
      <c r="G301" s="450"/>
      <c r="H301" s="346"/>
      <c r="I301" s="346"/>
    </row>
    <row r="302" spans="1:9">
      <c r="A302" s="457"/>
      <c r="B302" s="457"/>
      <c r="C302" s="62" t="s">
        <v>5</v>
      </c>
      <c r="D302" s="62" t="s">
        <v>6</v>
      </c>
      <c r="E302" s="62" t="s">
        <v>336</v>
      </c>
      <c r="F302" s="62" t="s">
        <v>8</v>
      </c>
      <c r="G302" s="62" t="s">
        <v>789</v>
      </c>
      <c r="H302" s="346"/>
      <c r="I302" s="346"/>
    </row>
    <row r="303" spans="1:9">
      <c r="A303" s="617" t="s">
        <v>2104</v>
      </c>
      <c r="B303" s="454"/>
      <c r="C303" s="454"/>
      <c r="D303" s="454"/>
      <c r="E303" s="454"/>
      <c r="F303" s="454"/>
      <c r="G303" s="450"/>
      <c r="H303" s="378"/>
      <c r="I303" s="378"/>
    </row>
    <row r="304" spans="1:9" ht="30">
      <c r="A304" s="302"/>
      <c r="B304" s="303" t="s">
        <v>795</v>
      </c>
      <c r="C304" s="303" t="s">
        <v>21</v>
      </c>
      <c r="D304" s="303" t="s">
        <v>798</v>
      </c>
      <c r="E304" s="299">
        <v>10</v>
      </c>
      <c r="F304" s="610"/>
      <c r="G304" s="450"/>
      <c r="H304" s="379"/>
      <c r="I304" s="379"/>
    </row>
    <row r="305" spans="1:9" ht="30">
      <c r="A305" s="303" t="s">
        <v>800</v>
      </c>
      <c r="B305" s="610" t="s">
        <v>1757</v>
      </c>
      <c r="C305" s="454"/>
      <c r="D305" s="454"/>
      <c r="E305" s="454"/>
      <c r="F305" s="454"/>
      <c r="G305" s="450"/>
      <c r="H305" s="380"/>
      <c r="I305" s="380"/>
    </row>
    <row r="306" spans="1:9">
      <c r="A306" s="490" t="s">
        <v>802</v>
      </c>
      <c r="B306" s="454"/>
      <c r="C306" s="454"/>
      <c r="D306" s="454"/>
      <c r="E306" s="454"/>
      <c r="F306" s="450"/>
      <c r="G306" s="68" t="s">
        <v>803</v>
      </c>
      <c r="H306" s="350"/>
      <c r="I306" s="350"/>
    </row>
    <row r="307" spans="1:9">
      <c r="A307" s="611"/>
      <c r="B307" s="611" t="s">
        <v>1838</v>
      </c>
      <c r="C307" s="610" t="s">
        <v>2105</v>
      </c>
      <c r="D307" s="454"/>
      <c r="E307" s="450"/>
      <c r="F307" s="610"/>
      <c r="G307" s="450"/>
      <c r="H307" s="379"/>
      <c r="I307" s="379"/>
    </row>
    <row r="308" spans="1:9">
      <c r="A308" s="457"/>
      <c r="B308" s="457"/>
      <c r="C308" s="303" t="s">
        <v>21</v>
      </c>
      <c r="D308" s="299">
        <v>11.5</v>
      </c>
      <c r="E308" s="299">
        <v>90</v>
      </c>
      <c r="F308" s="299">
        <f>E308*D308</f>
        <v>1035</v>
      </c>
      <c r="G308" s="303" t="s">
        <v>808</v>
      </c>
      <c r="H308" s="183"/>
      <c r="I308" s="183"/>
    </row>
    <row r="309" spans="1:9">
      <c r="A309" s="492" t="s">
        <v>1105</v>
      </c>
      <c r="B309" s="454"/>
      <c r="C309" s="450"/>
      <c r="D309" s="67">
        <v>10</v>
      </c>
      <c r="E309" s="70" t="s">
        <v>21</v>
      </c>
      <c r="F309" s="67">
        <f>F308</f>
        <v>1035</v>
      </c>
      <c r="G309" s="303"/>
      <c r="H309" s="183"/>
      <c r="I309" s="183"/>
    </row>
    <row r="310" spans="1:9">
      <c r="A310" s="492" t="s">
        <v>826</v>
      </c>
      <c r="B310" s="454"/>
      <c r="C310" s="450"/>
      <c r="D310" s="67">
        <v>1</v>
      </c>
      <c r="E310" s="70" t="s">
        <v>21</v>
      </c>
      <c r="F310" s="67">
        <f>F309/10</f>
        <v>103.5</v>
      </c>
      <c r="G310" s="303"/>
      <c r="H310" s="183"/>
      <c r="I310" s="183"/>
    </row>
    <row r="311" spans="1:9">
      <c r="A311" s="493" t="s">
        <v>829</v>
      </c>
      <c r="B311" s="454"/>
      <c r="C311" s="454"/>
      <c r="D311" s="450"/>
      <c r="E311" s="67"/>
      <c r="F311" s="67">
        <f>F310*1%</f>
        <v>1.0349999999999999</v>
      </c>
      <c r="G311" s="303"/>
      <c r="H311" s="183"/>
      <c r="I311" s="183"/>
    </row>
    <row r="312" spans="1:9">
      <c r="A312" s="493" t="s">
        <v>30</v>
      </c>
      <c r="B312" s="454"/>
      <c r="C312" s="454"/>
      <c r="D312" s="450"/>
      <c r="E312" s="71"/>
      <c r="F312" s="67">
        <f>F310+F311</f>
        <v>104.535</v>
      </c>
      <c r="G312" s="303"/>
      <c r="H312" s="183"/>
      <c r="I312" s="183"/>
    </row>
    <row r="313" spans="1:9">
      <c r="A313" s="493" t="s">
        <v>836</v>
      </c>
      <c r="B313" s="454"/>
      <c r="C313" s="454"/>
      <c r="D313" s="450"/>
      <c r="E313" s="67"/>
      <c r="F313" s="67">
        <f>F312*15%</f>
        <v>15.680249999999999</v>
      </c>
      <c r="G313" s="303"/>
      <c r="H313" s="183"/>
      <c r="I313" s="183"/>
    </row>
    <row r="314" spans="1:9">
      <c r="A314" s="493" t="s">
        <v>30</v>
      </c>
      <c r="B314" s="454"/>
      <c r="C314" s="454"/>
      <c r="D314" s="450"/>
      <c r="E314" s="71"/>
      <c r="F314" s="191">
        <f>ROUND(F312+F313,2)</f>
        <v>120.22</v>
      </c>
      <c r="G314" s="303"/>
      <c r="H314" s="183"/>
      <c r="I314" s="183"/>
    </row>
    <row r="315" spans="1:9">
      <c r="A315" s="490" t="s">
        <v>819</v>
      </c>
      <c r="B315" s="454"/>
      <c r="C315" s="454"/>
      <c r="D315" s="454"/>
      <c r="E315" s="454"/>
      <c r="F315" s="450"/>
      <c r="G315" s="68" t="s">
        <v>820</v>
      </c>
      <c r="H315" s="350"/>
      <c r="I315" s="350"/>
    </row>
    <row r="316" spans="1:9">
      <c r="A316" s="611">
        <v>116</v>
      </c>
      <c r="B316" s="611"/>
      <c r="C316" s="610" t="s">
        <v>527</v>
      </c>
      <c r="D316" s="454"/>
      <c r="E316" s="450"/>
      <c r="F316" s="610"/>
      <c r="G316" s="450"/>
      <c r="H316" s="379"/>
      <c r="I316" s="379"/>
    </row>
    <row r="317" spans="1:9">
      <c r="A317" s="457"/>
      <c r="B317" s="457"/>
      <c r="C317" s="303" t="s">
        <v>26</v>
      </c>
      <c r="D317" s="299">
        <v>0.16</v>
      </c>
      <c r="E317" s="299">
        <v>784</v>
      </c>
      <c r="F317" s="67">
        <f>E317*D317</f>
        <v>125.44</v>
      </c>
      <c r="G317" s="66" t="s">
        <v>822</v>
      </c>
      <c r="H317" s="183"/>
      <c r="I317" s="183"/>
    </row>
    <row r="318" spans="1:9">
      <c r="A318" s="611">
        <v>114</v>
      </c>
      <c r="B318" s="611"/>
      <c r="C318" s="610" t="s">
        <v>1936</v>
      </c>
      <c r="D318" s="454"/>
      <c r="E318" s="450"/>
      <c r="F318" s="484"/>
      <c r="G318" s="450"/>
      <c r="H318" s="379"/>
      <c r="I318" s="379"/>
    </row>
    <row r="319" spans="1:9">
      <c r="A319" s="457"/>
      <c r="B319" s="457"/>
      <c r="C319" s="303" t="s">
        <v>26</v>
      </c>
      <c r="D319" s="299">
        <v>0.33</v>
      </c>
      <c r="E319" s="299">
        <v>645</v>
      </c>
      <c r="F319" s="67">
        <f>E319*D319</f>
        <v>212.85000000000002</v>
      </c>
      <c r="G319" s="66" t="s">
        <v>825</v>
      </c>
      <c r="H319" s="183"/>
      <c r="I319" s="183"/>
    </row>
    <row r="320" spans="1:9">
      <c r="A320" s="611">
        <v>114</v>
      </c>
      <c r="B320" s="611"/>
      <c r="C320" s="610" t="s">
        <v>59</v>
      </c>
      <c r="D320" s="454"/>
      <c r="E320" s="450"/>
      <c r="F320" s="484"/>
      <c r="G320" s="450"/>
      <c r="H320" s="379"/>
      <c r="I320" s="379"/>
    </row>
    <row r="321" spans="1:9">
      <c r="A321" s="457"/>
      <c r="B321" s="457"/>
      <c r="C321" s="303" t="s">
        <v>26</v>
      </c>
      <c r="D321" s="299">
        <v>0.66</v>
      </c>
      <c r="E321" s="299">
        <v>645</v>
      </c>
      <c r="F321" s="67">
        <f>D321*E321</f>
        <v>425.70000000000005</v>
      </c>
      <c r="G321" s="66" t="s">
        <v>837</v>
      </c>
      <c r="H321" s="183"/>
      <c r="I321" s="183"/>
    </row>
    <row r="322" spans="1:9">
      <c r="A322" s="611">
        <v>115</v>
      </c>
      <c r="B322" s="611"/>
      <c r="C322" s="610" t="s">
        <v>25</v>
      </c>
      <c r="D322" s="454"/>
      <c r="E322" s="450"/>
      <c r="F322" s="484"/>
      <c r="G322" s="450"/>
      <c r="H322" s="379"/>
      <c r="I322" s="379"/>
    </row>
    <row r="323" spans="1:9">
      <c r="A323" s="457"/>
      <c r="B323" s="457"/>
      <c r="C323" s="303" t="s">
        <v>26</v>
      </c>
      <c r="D323" s="299">
        <v>0.66</v>
      </c>
      <c r="E323" s="299">
        <v>645</v>
      </c>
      <c r="F323" s="67">
        <f>D323*E323</f>
        <v>425.70000000000005</v>
      </c>
      <c r="G323" s="66" t="s">
        <v>1927</v>
      </c>
      <c r="H323" s="183"/>
      <c r="I323" s="183"/>
    </row>
    <row r="324" spans="1:9">
      <c r="A324" s="492" t="s">
        <v>1928</v>
      </c>
      <c r="B324" s="454"/>
      <c r="C324" s="450"/>
      <c r="D324" s="67">
        <v>10</v>
      </c>
      <c r="E324" s="70" t="s">
        <v>21</v>
      </c>
      <c r="F324" s="67">
        <f>F323+F321+F319+F317</f>
        <v>1189.69</v>
      </c>
      <c r="G324" s="71"/>
      <c r="H324" s="379"/>
      <c r="I324" s="379"/>
    </row>
    <row r="325" spans="1:9">
      <c r="A325" s="492" t="s">
        <v>826</v>
      </c>
      <c r="B325" s="454"/>
      <c r="C325" s="450"/>
      <c r="D325" s="67">
        <v>1</v>
      </c>
      <c r="E325" s="70" t="s">
        <v>21</v>
      </c>
      <c r="F325" s="67">
        <f>F324/10</f>
        <v>118.96900000000001</v>
      </c>
      <c r="G325" s="71"/>
      <c r="H325" s="379"/>
      <c r="I325" s="379"/>
    </row>
    <row r="326" spans="1:9">
      <c r="A326" s="493" t="s">
        <v>829</v>
      </c>
      <c r="B326" s="454"/>
      <c r="C326" s="454"/>
      <c r="D326" s="450"/>
      <c r="E326" s="67"/>
      <c r="F326" s="67">
        <f>F325*1%</f>
        <v>1.1896900000000001</v>
      </c>
      <c r="G326" s="71"/>
      <c r="H326" s="379"/>
      <c r="I326" s="379"/>
    </row>
    <row r="327" spans="1:9">
      <c r="A327" s="493" t="s">
        <v>30</v>
      </c>
      <c r="B327" s="454"/>
      <c r="C327" s="454"/>
      <c r="D327" s="450"/>
      <c r="E327" s="71"/>
      <c r="F327" s="67">
        <f>F325+F326</f>
        <v>120.15869000000001</v>
      </c>
      <c r="G327" s="71"/>
      <c r="H327" s="379"/>
      <c r="I327" s="379"/>
    </row>
    <row r="328" spans="1:9">
      <c r="A328" s="493" t="s">
        <v>836</v>
      </c>
      <c r="B328" s="454"/>
      <c r="C328" s="454"/>
      <c r="D328" s="450"/>
      <c r="E328" s="67"/>
      <c r="F328" s="67">
        <f>F327*15%</f>
        <v>18.0238035</v>
      </c>
      <c r="G328" s="71"/>
      <c r="H328" s="379"/>
      <c r="I328" s="379"/>
    </row>
    <row r="329" spans="1:9">
      <c r="A329" s="493" t="s">
        <v>30</v>
      </c>
      <c r="B329" s="454"/>
      <c r="C329" s="454"/>
      <c r="D329" s="450"/>
      <c r="E329" s="71"/>
      <c r="F329" s="191">
        <f>ROUND(F327+F328,2)</f>
        <v>138.18</v>
      </c>
      <c r="G329" s="71"/>
      <c r="H329" s="379"/>
      <c r="I329" s="379"/>
    </row>
    <row r="330" spans="1:9">
      <c r="A330" s="594" t="str">
        <f>CONCATENATE("Say ₹ ",F314," + ",F329," x Cost Index")</f>
        <v>Say ₹ 120.22 + 138.18 x Cost Index</v>
      </c>
      <c r="B330" s="454"/>
      <c r="C330" s="454"/>
      <c r="D330" s="454"/>
      <c r="E330" s="454"/>
      <c r="F330" s="454"/>
      <c r="G330" s="450"/>
      <c r="H330" s="229">
        <f>((F308*1.01*1.15)/10)</f>
        <v>120.21524999999997</v>
      </c>
      <c r="I330" s="229">
        <f>((SUM(F317,F319,F321,F323)*1.01*1.15)/10)</f>
        <v>138.18249349999999</v>
      </c>
    </row>
    <row r="331" spans="1:9">
      <c r="A331" s="486" t="s">
        <v>771</v>
      </c>
      <c r="B331" s="486" t="s">
        <v>776</v>
      </c>
      <c r="C331" s="487" t="s">
        <v>4</v>
      </c>
      <c r="D331" s="454"/>
      <c r="E331" s="450"/>
      <c r="F331" s="487" t="s">
        <v>785</v>
      </c>
      <c r="G331" s="450"/>
      <c r="H331" s="346"/>
      <c r="I331" s="346"/>
    </row>
    <row r="332" spans="1:9">
      <c r="A332" s="457"/>
      <c r="B332" s="457"/>
      <c r="C332" s="62" t="s">
        <v>5</v>
      </c>
      <c r="D332" s="62" t="s">
        <v>6</v>
      </c>
      <c r="E332" s="62" t="s">
        <v>336</v>
      </c>
      <c r="F332" s="62" t="s">
        <v>8</v>
      </c>
      <c r="G332" s="62" t="s">
        <v>789</v>
      </c>
      <c r="H332" s="346"/>
      <c r="I332" s="346"/>
    </row>
    <row r="333" spans="1:9">
      <c r="A333" s="489" t="s">
        <v>2113</v>
      </c>
      <c r="B333" s="454"/>
      <c r="C333" s="454"/>
      <c r="D333" s="454"/>
      <c r="E333" s="454"/>
      <c r="F333" s="454"/>
      <c r="G333" s="450"/>
      <c r="H333" s="347"/>
      <c r="I333" s="347"/>
    </row>
    <row r="334" spans="1:9" ht="30">
      <c r="A334" s="65"/>
      <c r="B334" s="66" t="s">
        <v>795</v>
      </c>
      <c r="C334" s="66" t="s">
        <v>21</v>
      </c>
      <c r="D334" s="66" t="s">
        <v>798</v>
      </c>
      <c r="E334" s="67">
        <v>10</v>
      </c>
      <c r="F334" s="484"/>
      <c r="G334" s="450"/>
      <c r="H334" s="348"/>
      <c r="I334" s="348"/>
    </row>
    <row r="335" spans="1:9" ht="30">
      <c r="A335" s="66" t="s">
        <v>800</v>
      </c>
      <c r="B335" s="484" t="s">
        <v>1693</v>
      </c>
      <c r="C335" s="454"/>
      <c r="D335" s="454"/>
      <c r="E335" s="454"/>
      <c r="F335" s="454"/>
      <c r="G335" s="450"/>
      <c r="H335" s="349"/>
      <c r="I335" s="349"/>
    </row>
    <row r="336" spans="1:9">
      <c r="A336" s="490" t="s">
        <v>802</v>
      </c>
      <c r="B336" s="454"/>
      <c r="C336" s="454"/>
      <c r="D336" s="454"/>
      <c r="E336" s="454"/>
      <c r="F336" s="450"/>
      <c r="G336" s="68" t="s">
        <v>803</v>
      </c>
      <c r="H336" s="350"/>
      <c r="I336" s="350"/>
    </row>
    <row r="337" spans="1:9">
      <c r="A337" s="491"/>
      <c r="B337" s="491" t="s">
        <v>1832</v>
      </c>
      <c r="C337" s="484" t="s">
        <v>2114</v>
      </c>
      <c r="D337" s="454"/>
      <c r="E337" s="450"/>
      <c r="F337" s="484"/>
      <c r="G337" s="450"/>
      <c r="H337" s="348"/>
      <c r="I337" s="348"/>
    </row>
    <row r="338" spans="1:9">
      <c r="A338" s="457"/>
      <c r="B338" s="457"/>
      <c r="C338" s="66" t="s">
        <v>21</v>
      </c>
      <c r="D338" s="67">
        <v>11.5</v>
      </c>
      <c r="E338" s="67">
        <v>60</v>
      </c>
      <c r="F338" s="67">
        <f>E338*D338</f>
        <v>690</v>
      </c>
      <c r="G338" s="66" t="s">
        <v>808</v>
      </c>
      <c r="H338" s="351"/>
      <c r="I338" s="351"/>
    </row>
    <row r="339" spans="1:9">
      <c r="A339" s="492" t="s">
        <v>1105</v>
      </c>
      <c r="B339" s="454"/>
      <c r="C339" s="450"/>
      <c r="D339" s="67">
        <v>10</v>
      </c>
      <c r="E339" s="70" t="s">
        <v>21</v>
      </c>
      <c r="F339" s="67">
        <f>F338</f>
        <v>690</v>
      </c>
      <c r="G339" s="303"/>
      <c r="H339" s="350"/>
      <c r="I339" s="350"/>
    </row>
    <row r="340" spans="1:9">
      <c r="A340" s="492" t="s">
        <v>826</v>
      </c>
      <c r="B340" s="454"/>
      <c r="C340" s="450"/>
      <c r="D340" s="67">
        <v>1</v>
      </c>
      <c r="E340" s="70" t="s">
        <v>21</v>
      </c>
      <c r="F340" s="67">
        <f>F339/10</f>
        <v>69</v>
      </c>
      <c r="G340" s="303"/>
      <c r="H340" s="350"/>
      <c r="I340" s="350"/>
    </row>
    <row r="341" spans="1:9">
      <c r="A341" s="493" t="s">
        <v>829</v>
      </c>
      <c r="B341" s="454"/>
      <c r="C341" s="454"/>
      <c r="D341" s="450"/>
      <c r="E341" s="67"/>
      <c r="F341" s="67">
        <f>F340*1%</f>
        <v>0.69000000000000006</v>
      </c>
      <c r="G341" s="303"/>
      <c r="H341" s="350"/>
      <c r="I341" s="350"/>
    </row>
    <row r="342" spans="1:9">
      <c r="A342" s="493" t="s">
        <v>30</v>
      </c>
      <c r="B342" s="454"/>
      <c r="C342" s="454"/>
      <c r="D342" s="450"/>
      <c r="E342" s="71"/>
      <c r="F342" s="67">
        <f>F340+F341</f>
        <v>69.69</v>
      </c>
      <c r="G342" s="303"/>
      <c r="H342" s="350"/>
      <c r="I342" s="350"/>
    </row>
    <row r="343" spans="1:9">
      <c r="A343" s="493" t="s">
        <v>836</v>
      </c>
      <c r="B343" s="454"/>
      <c r="C343" s="454"/>
      <c r="D343" s="450"/>
      <c r="E343" s="67"/>
      <c r="F343" s="67">
        <f>F342*15%</f>
        <v>10.4535</v>
      </c>
      <c r="G343" s="303"/>
      <c r="H343" s="350"/>
      <c r="I343" s="350"/>
    </row>
    <row r="344" spans="1:9">
      <c r="A344" s="493" t="s">
        <v>30</v>
      </c>
      <c r="B344" s="454"/>
      <c r="C344" s="454"/>
      <c r="D344" s="450"/>
      <c r="E344" s="71"/>
      <c r="F344" s="191">
        <f>ROUND(F342+F343,2)</f>
        <v>80.14</v>
      </c>
      <c r="G344" s="303"/>
      <c r="H344" s="350"/>
      <c r="I344" s="350"/>
    </row>
    <row r="345" spans="1:9">
      <c r="A345" s="490" t="s">
        <v>819</v>
      </c>
      <c r="B345" s="454"/>
      <c r="C345" s="454"/>
      <c r="D345" s="454"/>
      <c r="E345" s="454"/>
      <c r="F345" s="450"/>
      <c r="G345" s="68" t="s">
        <v>820</v>
      </c>
      <c r="H345" s="350"/>
      <c r="I345" s="350"/>
    </row>
    <row r="346" spans="1:9">
      <c r="A346" s="491">
        <v>116</v>
      </c>
      <c r="B346" s="491"/>
      <c r="C346" s="484" t="s">
        <v>527</v>
      </c>
      <c r="D346" s="454"/>
      <c r="E346" s="450"/>
      <c r="F346" s="484"/>
      <c r="G346" s="450"/>
      <c r="H346" s="348"/>
      <c r="I346" s="348"/>
    </row>
    <row r="347" spans="1:9">
      <c r="A347" s="457"/>
      <c r="B347" s="457"/>
      <c r="C347" s="66" t="s">
        <v>26</v>
      </c>
      <c r="D347" s="67">
        <v>0.16</v>
      </c>
      <c r="E347" s="67">
        <v>784</v>
      </c>
      <c r="F347" s="67">
        <f>E347*D347</f>
        <v>125.44</v>
      </c>
      <c r="G347" s="66" t="s">
        <v>822</v>
      </c>
      <c r="H347" s="351"/>
      <c r="I347" s="351"/>
    </row>
    <row r="348" spans="1:9">
      <c r="A348" s="491">
        <v>114</v>
      </c>
      <c r="B348" s="491"/>
      <c r="C348" s="484" t="s">
        <v>1936</v>
      </c>
      <c r="D348" s="454"/>
      <c r="E348" s="450"/>
      <c r="F348" s="484"/>
      <c r="G348" s="450"/>
      <c r="H348" s="348"/>
      <c r="I348" s="348"/>
    </row>
    <row r="349" spans="1:9">
      <c r="A349" s="457"/>
      <c r="B349" s="457"/>
      <c r="C349" s="66" t="s">
        <v>26</v>
      </c>
      <c r="D349" s="67">
        <v>0.33</v>
      </c>
      <c r="E349" s="67">
        <v>645</v>
      </c>
      <c r="F349" s="67">
        <f>E349*D349</f>
        <v>212.85000000000002</v>
      </c>
      <c r="G349" s="66" t="s">
        <v>825</v>
      </c>
      <c r="H349" s="351"/>
      <c r="I349" s="351"/>
    </row>
    <row r="350" spans="1:9">
      <c r="A350" s="491">
        <v>114</v>
      </c>
      <c r="B350" s="491"/>
      <c r="C350" s="484" t="s">
        <v>59</v>
      </c>
      <c r="D350" s="454"/>
      <c r="E350" s="450"/>
      <c r="F350" s="484"/>
      <c r="G350" s="450"/>
      <c r="H350" s="348"/>
      <c r="I350" s="348"/>
    </row>
    <row r="351" spans="1:9">
      <c r="A351" s="457"/>
      <c r="B351" s="457"/>
      <c r="C351" s="66" t="s">
        <v>26</v>
      </c>
      <c r="D351" s="67">
        <v>0.66</v>
      </c>
      <c r="E351" s="67">
        <v>645</v>
      </c>
      <c r="F351" s="67">
        <f>D351*E351</f>
        <v>425.70000000000005</v>
      </c>
      <c r="G351" s="66" t="s">
        <v>837</v>
      </c>
      <c r="H351" s="351"/>
      <c r="I351" s="351"/>
    </row>
    <row r="352" spans="1:9">
      <c r="A352" s="491">
        <v>115</v>
      </c>
      <c r="B352" s="491"/>
      <c r="C352" s="484" t="s">
        <v>25</v>
      </c>
      <c r="D352" s="454"/>
      <c r="E352" s="450"/>
      <c r="F352" s="484"/>
      <c r="G352" s="450"/>
      <c r="H352" s="348"/>
      <c r="I352" s="348"/>
    </row>
    <row r="353" spans="1:9">
      <c r="A353" s="457"/>
      <c r="B353" s="457"/>
      <c r="C353" s="66" t="s">
        <v>26</v>
      </c>
      <c r="D353" s="67">
        <v>0.66</v>
      </c>
      <c r="E353" s="67">
        <v>645</v>
      </c>
      <c r="F353" s="67">
        <f>D353*E353</f>
        <v>425.70000000000005</v>
      </c>
      <c r="G353" s="66" t="s">
        <v>1927</v>
      </c>
      <c r="H353" s="351"/>
      <c r="I353" s="351"/>
    </row>
    <row r="354" spans="1:9">
      <c r="A354" s="492" t="s">
        <v>1928</v>
      </c>
      <c r="B354" s="454"/>
      <c r="C354" s="450"/>
      <c r="D354" s="67">
        <v>10</v>
      </c>
      <c r="E354" s="70" t="s">
        <v>21</v>
      </c>
      <c r="F354" s="67">
        <f>F353+F351+F349+F347</f>
        <v>1189.69</v>
      </c>
      <c r="G354" s="71"/>
      <c r="H354" s="348"/>
      <c r="I354" s="348"/>
    </row>
    <row r="355" spans="1:9">
      <c r="A355" s="492" t="s">
        <v>826</v>
      </c>
      <c r="B355" s="454"/>
      <c r="C355" s="450"/>
      <c r="D355" s="67">
        <v>1</v>
      </c>
      <c r="E355" s="70" t="s">
        <v>21</v>
      </c>
      <c r="F355" s="67">
        <f>F354/10</f>
        <v>118.96900000000001</v>
      </c>
      <c r="G355" s="71"/>
      <c r="H355" s="348"/>
      <c r="I355" s="348"/>
    </row>
    <row r="356" spans="1:9">
      <c r="A356" s="493" t="s">
        <v>829</v>
      </c>
      <c r="B356" s="454"/>
      <c r="C356" s="454"/>
      <c r="D356" s="450"/>
      <c r="E356" s="67"/>
      <c r="F356" s="67">
        <f>F355*1%</f>
        <v>1.1896900000000001</v>
      </c>
      <c r="G356" s="71"/>
      <c r="H356" s="348"/>
      <c r="I356" s="348"/>
    </row>
    <row r="357" spans="1:9">
      <c r="A357" s="493" t="s">
        <v>30</v>
      </c>
      <c r="B357" s="454"/>
      <c r="C357" s="454"/>
      <c r="D357" s="450"/>
      <c r="E357" s="71"/>
      <c r="F357" s="67">
        <f>F355+F356</f>
        <v>120.15869000000001</v>
      </c>
      <c r="G357" s="71"/>
      <c r="H357" s="348"/>
      <c r="I357" s="348"/>
    </row>
    <row r="358" spans="1:9">
      <c r="A358" s="493" t="s">
        <v>836</v>
      </c>
      <c r="B358" s="454"/>
      <c r="C358" s="454"/>
      <c r="D358" s="450"/>
      <c r="E358" s="67"/>
      <c r="F358" s="67">
        <f>F357*15%</f>
        <v>18.0238035</v>
      </c>
      <c r="G358" s="71"/>
      <c r="H358" s="348"/>
      <c r="I358" s="348"/>
    </row>
    <row r="359" spans="1:9">
      <c r="A359" s="493" t="s">
        <v>30</v>
      </c>
      <c r="B359" s="454"/>
      <c r="C359" s="454"/>
      <c r="D359" s="450"/>
      <c r="E359" s="71"/>
      <c r="F359" s="191">
        <f>ROUND(F357+F358,2)</f>
        <v>138.18</v>
      </c>
      <c r="G359" s="71"/>
      <c r="H359" s="348"/>
      <c r="I359" s="348"/>
    </row>
    <row r="360" spans="1:9">
      <c r="A360" s="594" t="str">
        <f>CONCATENATE("Say ₹ ",F344," + ",F359," x Cost Index")</f>
        <v>Say ₹ 80.14 + 138.18 x Cost Index</v>
      </c>
      <c r="B360" s="454"/>
      <c r="C360" s="454"/>
      <c r="D360" s="454"/>
      <c r="E360" s="454"/>
      <c r="F360" s="454"/>
      <c r="G360" s="450"/>
      <c r="H360" s="229">
        <f>((F338*1.01*1.15)/10)</f>
        <v>80.143499999999989</v>
      </c>
      <c r="I360" s="229">
        <f>((SUM(F347,F349,F351,F353)*1.01*1.15)/10)</f>
        <v>138.18249349999999</v>
      </c>
    </row>
    <row r="361" spans="1:9">
      <c r="A361" s="486" t="s">
        <v>771</v>
      </c>
      <c r="B361" s="486" t="s">
        <v>776</v>
      </c>
      <c r="C361" s="487" t="s">
        <v>4</v>
      </c>
      <c r="D361" s="454"/>
      <c r="E361" s="450"/>
      <c r="F361" s="487" t="s">
        <v>785</v>
      </c>
      <c r="G361" s="450"/>
      <c r="H361" s="346"/>
      <c r="I361" s="346"/>
    </row>
    <row r="362" spans="1:9">
      <c r="A362" s="457"/>
      <c r="B362" s="457"/>
      <c r="C362" s="62" t="s">
        <v>5</v>
      </c>
      <c r="D362" s="62" t="s">
        <v>6</v>
      </c>
      <c r="E362" s="62" t="s">
        <v>336</v>
      </c>
      <c r="F362" s="62" t="s">
        <v>8</v>
      </c>
      <c r="G362" s="62" t="s">
        <v>789</v>
      </c>
      <c r="H362" s="346"/>
      <c r="I362" s="346"/>
    </row>
    <row r="363" spans="1:9">
      <c r="A363" s="489" t="s">
        <v>2123</v>
      </c>
      <c r="B363" s="454"/>
      <c r="C363" s="454"/>
      <c r="D363" s="454"/>
      <c r="E363" s="454"/>
      <c r="F363" s="454"/>
      <c r="G363" s="450"/>
      <c r="H363" s="347"/>
      <c r="I363" s="347"/>
    </row>
    <row r="364" spans="1:9" ht="30">
      <c r="A364" s="65"/>
      <c r="B364" s="66" t="s">
        <v>795</v>
      </c>
      <c r="C364" s="66" t="s">
        <v>21</v>
      </c>
      <c r="D364" s="66" t="s">
        <v>798</v>
      </c>
      <c r="E364" s="67">
        <v>10</v>
      </c>
      <c r="F364" s="484"/>
      <c r="G364" s="450"/>
      <c r="H364" s="348"/>
      <c r="I364" s="348"/>
    </row>
    <row r="365" spans="1:9" ht="30">
      <c r="A365" s="66" t="s">
        <v>800</v>
      </c>
      <c r="B365" s="484" t="s">
        <v>512</v>
      </c>
      <c r="C365" s="454"/>
      <c r="D365" s="454"/>
      <c r="E365" s="454"/>
      <c r="F365" s="454"/>
      <c r="G365" s="450"/>
      <c r="H365" s="349"/>
      <c r="I365" s="349"/>
    </row>
    <row r="366" spans="1:9">
      <c r="A366" s="490" t="s">
        <v>802</v>
      </c>
      <c r="B366" s="454"/>
      <c r="C366" s="454"/>
      <c r="D366" s="454"/>
      <c r="E366" s="454"/>
      <c r="F366" s="450"/>
      <c r="G366" s="68" t="s">
        <v>803</v>
      </c>
      <c r="H366" s="350"/>
      <c r="I366" s="350"/>
    </row>
    <row r="367" spans="1:9">
      <c r="A367" s="491"/>
      <c r="B367" s="491" t="s">
        <v>1848</v>
      </c>
      <c r="C367" s="484" t="s">
        <v>2125</v>
      </c>
      <c r="D367" s="454"/>
      <c r="E367" s="450"/>
      <c r="F367" s="484"/>
      <c r="G367" s="450"/>
      <c r="H367" s="348"/>
      <c r="I367" s="348"/>
    </row>
    <row r="368" spans="1:9">
      <c r="A368" s="457"/>
      <c r="B368" s="457"/>
      <c r="C368" s="66" t="s">
        <v>21</v>
      </c>
      <c r="D368" s="67">
        <v>10.5</v>
      </c>
      <c r="E368" s="67">
        <v>118</v>
      </c>
      <c r="F368" s="67">
        <f>E368*D368</f>
        <v>1239</v>
      </c>
      <c r="G368" s="66" t="s">
        <v>808</v>
      </c>
      <c r="H368" s="351"/>
      <c r="I368" s="351"/>
    </row>
    <row r="369" spans="1:9">
      <c r="A369" s="492" t="s">
        <v>1105</v>
      </c>
      <c r="B369" s="454"/>
      <c r="C369" s="450"/>
      <c r="D369" s="67">
        <v>10</v>
      </c>
      <c r="E369" s="70" t="s">
        <v>21</v>
      </c>
      <c r="F369" s="67">
        <f>F368</f>
        <v>1239</v>
      </c>
      <c r="G369" s="303"/>
      <c r="H369" s="183"/>
      <c r="I369" s="183"/>
    </row>
    <row r="370" spans="1:9">
      <c r="A370" s="492" t="s">
        <v>826</v>
      </c>
      <c r="B370" s="454"/>
      <c r="C370" s="450"/>
      <c r="D370" s="67">
        <v>1</v>
      </c>
      <c r="E370" s="70" t="s">
        <v>21</v>
      </c>
      <c r="F370" s="67">
        <f>F369/10</f>
        <v>123.9</v>
      </c>
      <c r="G370" s="303"/>
      <c r="H370" s="183"/>
      <c r="I370" s="183"/>
    </row>
    <row r="371" spans="1:9">
      <c r="A371" s="493" t="s">
        <v>829</v>
      </c>
      <c r="B371" s="454"/>
      <c r="C371" s="454"/>
      <c r="D371" s="450"/>
      <c r="E371" s="67"/>
      <c r="F371" s="67">
        <f>F370*1%</f>
        <v>1.2390000000000001</v>
      </c>
      <c r="G371" s="303"/>
      <c r="H371" s="183"/>
      <c r="I371" s="183"/>
    </row>
    <row r="372" spans="1:9">
      <c r="A372" s="493" t="s">
        <v>30</v>
      </c>
      <c r="B372" s="454"/>
      <c r="C372" s="454"/>
      <c r="D372" s="450"/>
      <c r="E372" s="71"/>
      <c r="F372" s="67">
        <f>F370+F371</f>
        <v>125.13900000000001</v>
      </c>
      <c r="G372" s="303"/>
      <c r="H372" s="183"/>
      <c r="I372" s="183"/>
    </row>
    <row r="373" spans="1:9">
      <c r="A373" s="493" t="s">
        <v>836</v>
      </c>
      <c r="B373" s="454"/>
      <c r="C373" s="454"/>
      <c r="D373" s="450"/>
      <c r="E373" s="67"/>
      <c r="F373" s="67">
        <f>F372*15%</f>
        <v>18.770849999999999</v>
      </c>
      <c r="G373" s="303"/>
      <c r="H373" s="183"/>
      <c r="I373" s="183"/>
    </row>
    <row r="374" spans="1:9">
      <c r="A374" s="493" t="s">
        <v>30</v>
      </c>
      <c r="B374" s="454"/>
      <c r="C374" s="454"/>
      <c r="D374" s="450"/>
      <c r="E374" s="71"/>
      <c r="F374" s="191">
        <f>ROUND(F372+F373,2)</f>
        <v>143.91</v>
      </c>
      <c r="G374" s="303"/>
      <c r="H374" s="183"/>
      <c r="I374" s="183"/>
    </row>
    <row r="375" spans="1:9">
      <c r="A375" s="490" t="s">
        <v>819</v>
      </c>
      <c r="B375" s="454"/>
      <c r="C375" s="454"/>
      <c r="D375" s="454"/>
      <c r="E375" s="454"/>
      <c r="F375" s="450"/>
      <c r="G375" s="68" t="s">
        <v>820</v>
      </c>
      <c r="H375" s="350"/>
      <c r="I375" s="350"/>
    </row>
    <row r="376" spans="1:9">
      <c r="A376" s="491">
        <v>116</v>
      </c>
      <c r="B376" s="491"/>
      <c r="C376" s="484" t="s">
        <v>527</v>
      </c>
      <c r="D376" s="454"/>
      <c r="E376" s="450"/>
      <c r="F376" s="484"/>
      <c r="G376" s="450"/>
      <c r="H376" s="348"/>
      <c r="I376" s="348"/>
    </row>
    <row r="377" spans="1:9">
      <c r="A377" s="457"/>
      <c r="B377" s="457"/>
      <c r="C377" s="66" t="s">
        <v>26</v>
      </c>
      <c r="D377" s="67">
        <v>0.25</v>
      </c>
      <c r="E377" s="67">
        <v>784</v>
      </c>
      <c r="F377" s="67">
        <f>E377*D377</f>
        <v>196</v>
      </c>
      <c r="G377" s="66" t="s">
        <v>822</v>
      </c>
      <c r="H377" s="351"/>
      <c r="I377" s="351"/>
    </row>
    <row r="378" spans="1:9">
      <c r="A378" s="491">
        <v>114</v>
      </c>
      <c r="B378" s="491"/>
      <c r="C378" s="484" t="s">
        <v>1936</v>
      </c>
      <c r="D378" s="454"/>
      <c r="E378" s="450"/>
      <c r="F378" s="484"/>
      <c r="G378" s="450"/>
      <c r="H378" s="348"/>
      <c r="I378" s="348"/>
    </row>
    <row r="379" spans="1:9">
      <c r="A379" s="457"/>
      <c r="B379" s="457"/>
      <c r="C379" s="66" t="s">
        <v>26</v>
      </c>
      <c r="D379" s="67">
        <v>0.66</v>
      </c>
      <c r="E379" s="67">
        <v>645</v>
      </c>
      <c r="F379" s="67">
        <f>E379*D379</f>
        <v>425.70000000000005</v>
      </c>
      <c r="G379" s="66" t="s">
        <v>825</v>
      </c>
      <c r="H379" s="351"/>
      <c r="I379" s="351"/>
    </row>
    <row r="380" spans="1:9">
      <c r="A380" s="491">
        <v>114</v>
      </c>
      <c r="B380" s="491"/>
      <c r="C380" s="484" t="s">
        <v>59</v>
      </c>
      <c r="D380" s="454"/>
      <c r="E380" s="450"/>
      <c r="F380" s="484"/>
      <c r="G380" s="450"/>
      <c r="H380" s="348"/>
      <c r="I380" s="348"/>
    </row>
    <row r="381" spans="1:9">
      <c r="A381" s="457"/>
      <c r="B381" s="457"/>
      <c r="C381" s="66" t="s">
        <v>26</v>
      </c>
      <c r="D381" s="67">
        <v>0.66</v>
      </c>
      <c r="E381" s="67">
        <v>645</v>
      </c>
      <c r="F381" s="67">
        <f>D381*E381</f>
        <v>425.70000000000005</v>
      </c>
      <c r="G381" s="66" t="s">
        <v>837</v>
      </c>
      <c r="H381" s="351"/>
      <c r="I381" s="351"/>
    </row>
    <row r="382" spans="1:9">
      <c r="A382" s="491">
        <v>115</v>
      </c>
      <c r="B382" s="491"/>
      <c r="C382" s="484" t="s">
        <v>25</v>
      </c>
      <c r="D382" s="454"/>
      <c r="E382" s="450"/>
      <c r="F382" s="484"/>
      <c r="G382" s="450"/>
      <c r="H382" s="348"/>
      <c r="I382" s="348"/>
    </row>
    <row r="383" spans="1:9">
      <c r="A383" s="457"/>
      <c r="B383" s="457"/>
      <c r="C383" s="66" t="s">
        <v>26</v>
      </c>
      <c r="D383" s="67">
        <v>0.66</v>
      </c>
      <c r="E383" s="67">
        <v>645</v>
      </c>
      <c r="F383" s="67">
        <f>D383*E383</f>
        <v>425.70000000000005</v>
      </c>
      <c r="G383" s="66" t="s">
        <v>1927</v>
      </c>
      <c r="H383" s="351"/>
      <c r="I383" s="351"/>
    </row>
    <row r="384" spans="1:9">
      <c r="A384" s="492" t="s">
        <v>1928</v>
      </c>
      <c r="B384" s="454"/>
      <c r="C384" s="450"/>
      <c r="D384" s="67">
        <v>10</v>
      </c>
      <c r="E384" s="70" t="s">
        <v>21</v>
      </c>
      <c r="F384" s="67">
        <f>F383+F381+F379+F377</f>
        <v>1473.1000000000001</v>
      </c>
      <c r="G384" s="71"/>
      <c r="H384" s="348"/>
      <c r="I384" s="348"/>
    </row>
    <row r="385" spans="1:9">
      <c r="A385" s="492" t="s">
        <v>826</v>
      </c>
      <c r="B385" s="454"/>
      <c r="C385" s="450"/>
      <c r="D385" s="67">
        <v>1</v>
      </c>
      <c r="E385" s="70" t="s">
        <v>21</v>
      </c>
      <c r="F385" s="67">
        <f>F384/10</f>
        <v>147.31</v>
      </c>
      <c r="G385" s="71"/>
      <c r="H385" s="348"/>
      <c r="I385" s="348"/>
    </row>
    <row r="386" spans="1:9">
      <c r="A386" s="493" t="s">
        <v>829</v>
      </c>
      <c r="B386" s="454"/>
      <c r="C386" s="454"/>
      <c r="D386" s="450"/>
      <c r="E386" s="67"/>
      <c r="F386" s="67">
        <f>F385*1%</f>
        <v>1.4731000000000001</v>
      </c>
      <c r="G386" s="71"/>
      <c r="H386" s="348"/>
      <c r="I386" s="348"/>
    </row>
    <row r="387" spans="1:9">
      <c r="A387" s="493" t="s">
        <v>30</v>
      </c>
      <c r="B387" s="454"/>
      <c r="C387" s="454"/>
      <c r="D387" s="450"/>
      <c r="E387" s="71"/>
      <c r="F387" s="67">
        <f>F385+F386</f>
        <v>148.78309999999999</v>
      </c>
      <c r="G387" s="71"/>
      <c r="H387" s="348"/>
      <c r="I387" s="348"/>
    </row>
    <row r="388" spans="1:9">
      <c r="A388" s="493" t="s">
        <v>836</v>
      </c>
      <c r="B388" s="454"/>
      <c r="C388" s="454"/>
      <c r="D388" s="450"/>
      <c r="E388" s="67"/>
      <c r="F388" s="67">
        <f>F387*15%</f>
        <v>22.317464999999999</v>
      </c>
      <c r="G388" s="71"/>
      <c r="H388" s="348"/>
      <c r="I388" s="348"/>
    </row>
    <row r="389" spans="1:9">
      <c r="A389" s="493" t="s">
        <v>30</v>
      </c>
      <c r="B389" s="454"/>
      <c r="C389" s="454"/>
      <c r="D389" s="450"/>
      <c r="E389" s="71"/>
      <c r="F389" s="191">
        <f>ROUND(F387+F388,2)</f>
        <v>171.1</v>
      </c>
      <c r="G389" s="71"/>
      <c r="H389" s="348"/>
      <c r="I389" s="348"/>
    </row>
    <row r="390" spans="1:9">
      <c r="A390" s="594" t="str">
        <f>CONCATENATE("Say ₹ ",F374," + ",F389," x Cost Index")</f>
        <v>Say ₹ 143.91 + 171.1 x Cost Index</v>
      </c>
      <c r="B390" s="454"/>
      <c r="C390" s="454"/>
      <c r="D390" s="454"/>
      <c r="E390" s="454"/>
      <c r="F390" s="454"/>
      <c r="G390" s="450"/>
      <c r="H390" s="229">
        <f>((F368*1.01*1.15)/10)</f>
        <v>143.90985000000001</v>
      </c>
      <c r="I390" s="229">
        <f>((SUM(F377,F379,F381,F383)*1.01*1.15)/10)</f>
        <v>171.10056500000002</v>
      </c>
    </row>
    <row r="391" spans="1:9">
      <c r="A391" s="486" t="s">
        <v>771</v>
      </c>
      <c r="B391" s="486" t="s">
        <v>776</v>
      </c>
      <c r="C391" s="487" t="s">
        <v>4</v>
      </c>
      <c r="D391" s="454"/>
      <c r="E391" s="450"/>
      <c r="F391" s="487" t="s">
        <v>785</v>
      </c>
      <c r="G391" s="450"/>
      <c r="H391" s="346"/>
      <c r="I391" s="346"/>
    </row>
    <row r="392" spans="1:9">
      <c r="A392" s="457"/>
      <c r="B392" s="457"/>
      <c r="C392" s="62" t="s">
        <v>5</v>
      </c>
      <c r="D392" s="62" t="s">
        <v>6</v>
      </c>
      <c r="E392" s="62" t="s">
        <v>336</v>
      </c>
      <c r="F392" s="62" t="s">
        <v>8</v>
      </c>
      <c r="G392" s="62" t="s">
        <v>789</v>
      </c>
      <c r="H392" s="346"/>
      <c r="I392" s="346"/>
    </row>
    <row r="393" spans="1:9">
      <c r="A393" s="489" t="s">
        <v>2156</v>
      </c>
      <c r="B393" s="454"/>
      <c r="C393" s="454"/>
      <c r="D393" s="454"/>
      <c r="E393" s="454"/>
      <c r="F393" s="454"/>
      <c r="G393" s="450"/>
      <c r="H393" s="347"/>
      <c r="I393" s="347"/>
    </row>
    <row r="394" spans="1:9" ht="30">
      <c r="A394" s="65"/>
      <c r="B394" s="66" t="s">
        <v>795</v>
      </c>
      <c r="C394" s="66" t="s">
        <v>21</v>
      </c>
      <c r="D394" s="66" t="s">
        <v>798</v>
      </c>
      <c r="E394" s="67">
        <v>10</v>
      </c>
      <c r="F394" s="484"/>
      <c r="G394" s="450"/>
      <c r="H394" s="348"/>
      <c r="I394" s="348"/>
    </row>
    <row r="395" spans="1:9" ht="30">
      <c r="A395" s="66" t="s">
        <v>800</v>
      </c>
      <c r="B395" s="484" t="s">
        <v>1757</v>
      </c>
      <c r="C395" s="454"/>
      <c r="D395" s="454"/>
      <c r="E395" s="454"/>
      <c r="F395" s="454"/>
      <c r="G395" s="450"/>
      <c r="H395" s="349"/>
      <c r="I395" s="349"/>
    </row>
    <row r="396" spans="1:9">
      <c r="A396" s="490" t="s">
        <v>802</v>
      </c>
      <c r="B396" s="454"/>
      <c r="C396" s="454"/>
      <c r="D396" s="454"/>
      <c r="E396" s="454"/>
      <c r="F396" s="450"/>
      <c r="G396" s="68" t="s">
        <v>803</v>
      </c>
      <c r="H396" s="350"/>
      <c r="I396" s="350"/>
    </row>
    <row r="397" spans="1:9">
      <c r="A397" s="491"/>
      <c r="B397" s="491" t="s">
        <v>1893</v>
      </c>
      <c r="C397" s="484" t="s">
        <v>2159</v>
      </c>
      <c r="D397" s="454"/>
      <c r="E397" s="450"/>
      <c r="F397" s="484"/>
      <c r="G397" s="450"/>
      <c r="H397" s="348"/>
      <c r="I397" s="348"/>
    </row>
    <row r="398" spans="1:9">
      <c r="A398" s="457"/>
      <c r="B398" s="457"/>
      <c r="C398" s="66" t="s">
        <v>21</v>
      </c>
      <c r="D398" s="67">
        <v>10.5</v>
      </c>
      <c r="E398" s="67">
        <v>83</v>
      </c>
      <c r="F398" s="67">
        <f>E398*D398</f>
        <v>871.5</v>
      </c>
      <c r="G398" s="66" t="s">
        <v>808</v>
      </c>
      <c r="H398" s="351"/>
      <c r="I398" s="351"/>
    </row>
    <row r="399" spans="1:9">
      <c r="A399" s="492" t="s">
        <v>1105</v>
      </c>
      <c r="B399" s="454"/>
      <c r="C399" s="450"/>
      <c r="D399" s="67">
        <v>10</v>
      </c>
      <c r="E399" s="70" t="s">
        <v>21</v>
      </c>
      <c r="F399" s="67">
        <f>F398</f>
        <v>871.5</v>
      </c>
      <c r="G399" s="303"/>
      <c r="H399" s="183"/>
      <c r="I399" s="183"/>
    </row>
    <row r="400" spans="1:9">
      <c r="A400" s="492" t="s">
        <v>826</v>
      </c>
      <c r="B400" s="454"/>
      <c r="C400" s="450"/>
      <c r="D400" s="67">
        <v>1</v>
      </c>
      <c r="E400" s="70" t="s">
        <v>21</v>
      </c>
      <c r="F400" s="67">
        <f>F399/10</f>
        <v>87.15</v>
      </c>
      <c r="G400" s="303"/>
      <c r="H400" s="183"/>
      <c r="I400" s="183"/>
    </row>
    <row r="401" spans="1:9">
      <c r="A401" s="493" t="s">
        <v>829</v>
      </c>
      <c r="B401" s="454"/>
      <c r="C401" s="454"/>
      <c r="D401" s="450"/>
      <c r="E401" s="67"/>
      <c r="F401" s="67">
        <f>F400*1%</f>
        <v>0.87150000000000005</v>
      </c>
      <c r="G401" s="303"/>
      <c r="H401" s="183"/>
      <c r="I401" s="183"/>
    </row>
    <row r="402" spans="1:9">
      <c r="A402" s="493" t="s">
        <v>30</v>
      </c>
      <c r="B402" s="454"/>
      <c r="C402" s="454"/>
      <c r="D402" s="450"/>
      <c r="E402" s="71"/>
      <c r="F402" s="67">
        <f>F400+F401</f>
        <v>88.021500000000003</v>
      </c>
      <c r="G402" s="303"/>
      <c r="H402" s="183"/>
      <c r="I402" s="183"/>
    </row>
    <row r="403" spans="1:9">
      <c r="A403" s="493" t="s">
        <v>836</v>
      </c>
      <c r="B403" s="454"/>
      <c r="C403" s="454"/>
      <c r="D403" s="450"/>
      <c r="E403" s="67"/>
      <c r="F403" s="67">
        <f>F402*15%</f>
        <v>13.203225</v>
      </c>
      <c r="G403" s="303"/>
      <c r="H403" s="183"/>
      <c r="I403" s="183"/>
    </row>
    <row r="404" spans="1:9">
      <c r="A404" s="493" t="s">
        <v>30</v>
      </c>
      <c r="B404" s="454"/>
      <c r="C404" s="454"/>
      <c r="D404" s="450"/>
      <c r="E404" s="71"/>
      <c r="F404" s="191">
        <f>ROUND(F402+F403,2)</f>
        <v>101.22</v>
      </c>
      <c r="G404" s="303"/>
      <c r="H404" s="183"/>
      <c r="I404" s="183"/>
    </row>
    <row r="405" spans="1:9">
      <c r="A405" s="490" t="s">
        <v>819</v>
      </c>
      <c r="B405" s="454"/>
      <c r="C405" s="454"/>
      <c r="D405" s="454"/>
      <c r="E405" s="454"/>
      <c r="F405" s="450"/>
      <c r="G405" s="68" t="s">
        <v>820</v>
      </c>
      <c r="H405" s="350"/>
      <c r="I405" s="350"/>
    </row>
    <row r="406" spans="1:9">
      <c r="A406" s="491">
        <v>116</v>
      </c>
      <c r="B406" s="491"/>
      <c r="C406" s="484" t="s">
        <v>527</v>
      </c>
      <c r="D406" s="454"/>
      <c r="E406" s="450"/>
      <c r="F406" s="484"/>
      <c r="G406" s="450"/>
      <c r="H406" s="348"/>
      <c r="I406" s="348"/>
    </row>
    <row r="407" spans="1:9">
      <c r="A407" s="457"/>
      <c r="B407" s="457"/>
      <c r="C407" s="66" t="s">
        <v>26</v>
      </c>
      <c r="D407" s="67">
        <v>0.25</v>
      </c>
      <c r="E407" s="67">
        <v>784</v>
      </c>
      <c r="F407" s="67">
        <f>E407*D407</f>
        <v>196</v>
      </c>
      <c r="G407" s="66" t="s">
        <v>822</v>
      </c>
      <c r="H407" s="351"/>
      <c r="I407" s="351"/>
    </row>
    <row r="408" spans="1:9">
      <c r="A408" s="491">
        <v>114</v>
      </c>
      <c r="B408" s="491"/>
      <c r="C408" s="484" t="s">
        <v>59</v>
      </c>
      <c r="D408" s="454"/>
      <c r="E408" s="450"/>
      <c r="F408" s="484"/>
      <c r="G408" s="450"/>
      <c r="H408" s="348"/>
      <c r="I408" s="348"/>
    </row>
    <row r="409" spans="1:9">
      <c r="A409" s="457"/>
      <c r="B409" s="457"/>
      <c r="C409" s="66" t="s">
        <v>26</v>
      </c>
      <c r="D409" s="67">
        <v>0.66</v>
      </c>
      <c r="E409" s="67">
        <v>645</v>
      </c>
      <c r="F409" s="67">
        <f>E409*D409</f>
        <v>425.70000000000005</v>
      </c>
      <c r="G409" s="66" t="s">
        <v>825</v>
      </c>
      <c r="H409" s="351"/>
      <c r="I409" s="351"/>
    </row>
    <row r="410" spans="1:9">
      <c r="A410" s="491">
        <v>114</v>
      </c>
      <c r="B410" s="491"/>
      <c r="C410" s="484" t="s">
        <v>59</v>
      </c>
      <c r="D410" s="454"/>
      <c r="E410" s="450"/>
      <c r="F410" s="484"/>
      <c r="G410" s="450"/>
      <c r="H410" s="348"/>
      <c r="I410" s="348"/>
    </row>
    <row r="411" spans="1:9">
      <c r="A411" s="457"/>
      <c r="B411" s="457"/>
      <c r="C411" s="66" t="s">
        <v>26</v>
      </c>
      <c r="D411" s="67">
        <v>0.66</v>
      </c>
      <c r="E411" s="67">
        <v>645</v>
      </c>
      <c r="F411" s="67">
        <f>D411*E411</f>
        <v>425.70000000000005</v>
      </c>
      <c r="G411" s="66" t="s">
        <v>837</v>
      </c>
      <c r="H411" s="351"/>
      <c r="I411" s="351"/>
    </row>
    <row r="412" spans="1:9">
      <c r="A412" s="491">
        <v>115</v>
      </c>
      <c r="B412" s="491"/>
      <c r="C412" s="484" t="s">
        <v>25</v>
      </c>
      <c r="D412" s="454"/>
      <c r="E412" s="450"/>
      <c r="F412" s="484"/>
      <c r="G412" s="450"/>
      <c r="H412" s="348"/>
      <c r="I412" s="348"/>
    </row>
    <row r="413" spans="1:9">
      <c r="A413" s="457"/>
      <c r="B413" s="457"/>
      <c r="C413" s="66" t="s">
        <v>26</v>
      </c>
      <c r="D413" s="67">
        <v>0.66</v>
      </c>
      <c r="E413" s="67">
        <v>645</v>
      </c>
      <c r="F413" s="67">
        <f>D413*E413</f>
        <v>425.70000000000005</v>
      </c>
      <c r="G413" s="66" t="s">
        <v>1927</v>
      </c>
      <c r="H413" s="351"/>
      <c r="I413" s="351"/>
    </row>
    <row r="414" spans="1:9">
      <c r="A414" s="492" t="s">
        <v>1928</v>
      </c>
      <c r="B414" s="454"/>
      <c r="C414" s="450"/>
      <c r="D414" s="67">
        <v>10</v>
      </c>
      <c r="E414" s="70" t="s">
        <v>21</v>
      </c>
      <c r="F414" s="67">
        <f>F413+F411+F409+F407</f>
        <v>1473.1000000000001</v>
      </c>
      <c r="G414" s="71"/>
      <c r="H414" s="348"/>
      <c r="I414" s="348"/>
    </row>
    <row r="415" spans="1:9">
      <c r="A415" s="492" t="s">
        <v>826</v>
      </c>
      <c r="B415" s="454"/>
      <c r="C415" s="450"/>
      <c r="D415" s="67">
        <v>1</v>
      </c>
      <c r="E415" s="70" t="s">
        <v>21</v>
      </c>
      <c r="F415" s="67">
        <f>F414/10</f>
        <v>147.31</v>
      </c>
      <c r="G415" s="71"/>
      <c r="H415" s="348"/>
      <c r="I415" s="348"/>
    </row>
    <row r="416" spans="1:9">
      <c r="A416" s="493" t="s">
        <v>829</v>
      </c>
      <c r="B416" s="454"/>
      <c r="C416" s="454"/>
      <c r="D416" s="450"/>
      <c r="E416" s="67"/>
      <c r="F416" s="67">
        <f>F415*1%</f>
        <v>1.4731000000000001</v>
      </c>
      <c r="G416" s="71"/>
      <c r="H416" s="348"/>
      <c r="I416" s="348"/>
    </row>
    <row r="417" spans="1:9">
      <c r="A417" s="493" t="s">
        <v>30</v>
      </c>
      <c r="B417" s="454"/>
      <c r="C417" s="454"/>
      <c r="D417" s="450"/>
      <c r="E417" s="71"/>
      <c r="F417" s="67">
        <f>F415+F416</f>
        <v>148.78309999999999</v>
      </c>
      <c r="G417" s="71"/>
      <c r="H417" s="348"/>
      <c r="I417" s="348"/>
    </row>
    <row r="418" spans="1:9">
      <c r="A418" s="493" t="s">
        <v>836</v>
      </c>
      <c r="B418" s="454"/>
      <c r="C418" s="454"/>
      <c r="D418" s="450"/>
      <c r="E418" s="67"/>
      <c r="F418" s="67">
        <f>F417*15%</f>
        <v>22.317464999999999</v>
      </c>
      <c r="G418" s="71"/>
      <c r="H418" s="348"/>
      <c r="I418" s="348"/>
    </row>
    <row r="419" spans="1:9">
      <c r="A419" s="493" t="s">
        <v>30</v>
      </c>
      <c r="B419" s="454"/>
      <c r="C419" s="454"/>
      <c r="D419" s="450"/>
      <c r="E419" s="71"/>
      <c r="F419" s="191">
        <f>ROUND(F417+F418,2)</f>
        <v>171.1</v>
      </c>
      <c r="G419" s="71"/>
      <c r="H419" s="348"/>
      <c r="I419" s="348"/>
    </row>
    <row r="420" spans="1:9">
      <c r="A420" s="594" t="str">
        <f>CONCATENATE("Say ₹ ",F404," + ",F419," x Cost Index")</f>
        <v>Say ₹ 101.22 + 171.1 x Cost Index</v>
      </c>
      <c r="B420" s="454"/>
      <c r="C420" s="454"/>
      <c r="D420" s="454"/>
      <c r="E420" s="454"/>
      <c r="F420" s="454"/>
      <c r="G420" s="450"/>
      <c r="H420" s="229">
        <f>((F398*1.01*1.15)/10)</f>
        <v>101.22472500000001</v>
      </c>
      <c r="I420" s="229">
        <f>((SUM(F407,F409,F411,F413)*1.01*1.15)/10)</f>
        <v>171.10056500000002</v>
      </c>
    </row>
    <row r="421" spans="1:9">
      <c r="A421" s="486" t="s">
        <v>771</v>
      </c>
      <c r="B421" s="486" t="s">
        <v>776</v>
      </c>
      <c r="C421" s="487" t="s">
        <v>4</v>
      </c>
      <c r="D421" s="454"/>
      <c r="E421" s="450"/>
      <c r="F421" s="487" t="s">
        <v>785</v>
      </c>
      <c r="G421" s="450"/>
      <c r="H421" s="346"/>
      <c r="I421" s="346"/>
    </row>
    <row r="422" spans="1:9">
      <c r="A422" s="457"/>
      <c r="B422" s="457"/>
      <c r="C422" s="62" t="s">
        <v>5</v>
      </c>
      <c r="D422" s="62" t="s">
        <v>6</v>
      </c>
      <c r="E422" s="62" t="s">
        <v>336</v>
      </c>
      <c r="F422" s="62" t="s">
        <v>8</v>
      </c>
      <c r="G422" s="62" t="s">
        <v>789</v>
      </c>
      <c r="H422" s="346"/>
      <c r="I422" s="346"/>
    </row>
    <row r="423" spans="1:9">
      <c r="A423" s="489" t="s">
        <v>2200</v>
      </c>
      <c r="B423" s="454"/>
      <c r="C423" s="454"/>
      <c r="D423" s="454"/>
      <c r="E423" s="454"/>
      <c r="F423" s="454"/>
      <c r="G423" s="450"/>
      <c r="H423" s="347"/>
      <c r="I423" s="347"/>
    </row>
    <row r="424" spans="1:9" ht="30">
      <c r="A424" s="65"/>
      <c r="B424" s="66" t="s">
        <v>795</v>
      </c>
      <c r="C424" s="66" t="s">
        <v>21</v>
      </c>
      <c r="D424" s="66" t="s">
        <v>798</v>
      </c>
      <c r="E424" s="67">
        <v>10</v>
      </c>
      <c r="F424" s="484"/>
      <c r="G424" s="450"/>
      <c r="H424" s="348"/>
      <c r="I424" s="348"/>
    </row>
    <row r="425" spans="1:9" ht="30">
      <c r="A425" s="66" t="s">
        <v>800</v>
      </c>
      <c r="B425" s="484" t="s">
        <v>1757</v>
      </c>
      <c r="C425" s="454"/>
      <c r="D425" s="454"/>
      <c r="E425" s="454"/>
      <c r="F425" s="454"/>
      <c r="G425" s="450"/>
      <c r="H425" s="349"/>
      <c r="I425" s="349"/>
    </row>
    <row r="426" spans="1:9">
      <c r="A426" s="490" t="s">
        <v>802</v>
      </c>
      <c r="B426" s="454"/>
      <c r="C426" s="454"/>
      <c r="D426" s="454"/>
      <c r="E426" s="454"/>
      <c r="F426" s="450"/>
      <c r="G426" s="68" t="s">
        <v>803</v>
      </c>
      <c r="H426" s="350"/>
      <c r="I426" s="350"/>
    </row>
    <row r="427" spans="1:9">
      <c r="A427" s="491"/>
      <c r="B427" s="491" t="s">
        <v>1854</v>
      </c>
      <c r="C427" s="484" t="s">
        <v>2202</v>
      </c>
      <c r="D427" s="454"/>
      <c r="E427" s="450"/>
      <c r="F427" s="484"/>
      <c r="G427" s="450"/>
      <c r="H427" s="348"/>
      <c r="I427" s="348"/>
    </row>
    <row r="428" spans="1:9">
      <c r="A428" s="457"/>
      <c r="B428" s="457"/>
      <c r="C428" s="66" t="s">
        <v>21</v>
      </c>
      <c r="D428" s="67">
        <v>10.5</v>
      </c>
      <c r="E428" s="67">
        <v>129</v>
      </c>
      <c r="F428" s="67">
        <f>E428*D428</f>
        <v>1354.5</v>
      </c>
      <c r="G428" s="66" t="s">
        <v>808</v>
      </c>
      <c r="H428" s="351"/>
      <c r="I428" s="351"/>
    </row>
    <row r="429" spans="1:9">
      <c r="A429" s="492" t="s">
        <v>1105</v>
      </c>
      <c r="B429" s="454"/>
      <c r="C429" s="450"/>
      <c r="D429" s="67">
        <v>10</v>
      </c>
      <c r="E429" s="70" t="s">
        <v>21</v>
      </c>
      <c r="F429" s="67">
        <f>F428</f>
        <v>1354.5</v>
      </c>
      <c r="G429" s="303"/>
      <c r="H429" s="183"/>
      <c r="I429" s="183"/>
    </row>
    <row r="430" spans="1:9">
      <c r="A430" s="492" t="s">
        <v>826</v>
      </c>
      <c r="B430" s="454"/>
      <c r="C430" s="450"/>
      <c r="D430" s="67">
        <v>1</v>
      </c>
      <c r="E430" s="70" t="s">
        <v>21</v>
      </c>
      <c r="F430" s="67">
        <f>F429/10</f>
        <v>135.44999999999999</v>
      </c>
      <c r="G430" s="303"/>
      <c r="H430" s="183"/>
      <c r="I430" s="183"/>
    </row>
    <row r="431" spans="1:9">
      <c r="A431" s="493" t="s">
        <v>829</v>
      </c>
      <c r="B431" s="454"/>
      <c r="C431" s="454"/>
      <c r="D431" s="450"/>
      <c r="E431" s="67"/>
      <c r="F431" s="67">
        <f>F430*1%</f>
        <v>1.3544999999999998</v>
      </c>
      <c r="G431" s="303"/>
      <c r="H431" s="183"/>
      <c r="I431" s="183"/>
    </row>
    <row r="432" spans="1:9">
      <c r="A432" s="493" t="s">
        <v>30</v>
      </c>
      <c r="B432" s="454"/>
      <c r="C432" s="454"/>
      <c r="D432" s="450"/>
      <c r="E432" s="71"/>
      <c r="F432" s="67">
        <f>F430+F431</f>
        <v>136.80449999999999</v>
      </c>
      <c r="G432" s="303"/>
      <c r="H432" s="183"/>
      <c r="I432" s="183"/>
    </row>
    <row r="433" spans="1:9">
      <c r="A433" s="493" t="s">
        <v>836</v>
      </c>
      <c r="B433" s="454"/>
      <c r="C433" s="454"/>
      <c r="D433" s="450"/>
      <c r="E433" s="67"/>
      <c r="F433" s="67">
        <f>F432*15%</f>
        <v>20.520674999999997</v>
      </c>
      <c r="G433" s="303"/>
      <c r="H433" s="183"/>
      <c r="I433" s="183"/>
    </row>
    <row r="434" spans="1:9">
      <c r="A434" s="493" t="s">
        <v>30</v>
      </c>
      <c r="B434" s="454"/>
      <c r="C434" s="454"/>
      <c r="D434" s="450"/>
      <c r="E434" s="71"/>
      <c r="F434" s="191">
        <f>ROUND(F432+F433,2)</f>
        <v>157.33000000000001</v>
      </c>
      <c r="G434" s="303"/>
      <c r="H434" s="183"/>
      <c r="I434" s="183"/>
    </row>
    <row r="435" spans="1:9">
      <c r="A435" s="490" t="s">
        <v>819</v>
      </c>
      <c r="B435" s="454"/>
      <c r="C435" s="454"/>
      <c r="D435" s="454"/>
      <c r="E435" s="454"/>
      <c r="F435" s="450"/>
      <c r="G435" s="68" t="s">
        <v>820</v>
      </c>
      <c r="H435" s="350"/>
      <c r="I435" s="350"/>
    </row>
    <row r="436" spans="1:9">
      <c r="A436" s="491">
        <v>116</v>
      </c>
      <c r="B436" s="491"/>
      <c r="C436" s="484" t="s">
        <v>527</v>
      </c>
      <c r="D436" s="454"/>
      <c r="E436" s="450"/>
      <c r="F436" s="484"/>
      <c r="G436" s="450"/>
      <c r="H436" s="348"/>
      <c r="I436" s="348"/>
    </row>
    <row r="437" spans="1:9">
      <c r="A437" s="457"/>
      <c r="B437" s="457"/>
      <c r="C437" s="66" t="s">
        <v>26</v>
      </c>
      <c r="D437" s="67">
        <v>0.25</v>
      </c>
      <c r="E437" s="67">
        <v>784</v>
      </c>
      <c r="F437" s="67">
        <f>E437*D437</f>
        <v>196</v>
      </c>
      <c r="G437" s="66" t="s">
        <v>822</v>
      </c>
      <c r="H437" s="351"/>
      <c r="I437" s="351"/>
    </row>
    <row r="438" spans="1:9">
      <c r="A438" s="491">
        <v>114</v>
      </c>
      <c r="B438" s="491"/>
      <c r="C438" s="484" t="s">
        <v>1936</v>
      </c>
      <c r="D438" s="454"/>
      <c r="E438" s="450"/>
      <c r="F438" s="484"/>
      <c r="G438" s="450"/>
      <c r="H438" s="348"/>
      <c r="I438" s="348"/>
    </row>
    <row r="439" spans="1:9">
      <c r="A439" s="457"/>
      <c r="B439" s="457"/>
      <c r="C439" s="66" t="s">
        <v>26</v>
      </c>
      <c r="D439" s="67">
        <v>0.66</v>
      </c>
      <c r="E439" s="67">
        <v>645</v>
      </c>
      <c r="F439" s="67">
        <f>E439*D439</f>
        <v>425.70000000000005</v>
      </c>
      <c r="G439" s="66" t="s">
        <v>825</v>
      </c>
      <c r="H439" s="351"/>
      <c r="I439" s="351"/>
    </row>
    <row r="440" spans="1:9">
      <c r="A440" s="491">
        <v>114</v>
      </c>
      <c r="B440" s="491"/>
      <c r="C440" s="484" t="s">
        <v>59</v>
      </c>
      <c r="D440" s="454"/>
      <c r="E440" s="450"/>
      <c r="F440" s="484"/>
      <c r="G440" s="450"/>
      <c r="H440" s="348"/>
      <c r="I440" s="348"/>
    </row>
    <row r="441" spans="1:9">
      <c r="A441" s="457"/>
      <c r="B441" s="457"/>
      <c r="C441" s="66" t="s">
        <v>26</v>
      </c>
      <c r="D441" s="67">
        <v>0.66</v>
      </c>
      <c r="E441" s="67">
        <v>645</v>
      </c>
      <c r="F441" s="67">
        <f>D441*E441</f>
        <v>425.70000000000005</v>
      </c>
      <c r="G441" s="66" t="s">
        <v>837</v>
      </c>
      <c r="H441" s="351"/>
      <c r="I441" s="351"/>
    </row>
    <row r="442" spans="1:9">
      <c r="A442" s="491">
        <v>115</v>
      </c>
      <c r="B442" s="491"/>
      <c r="C442" s="484" t="s">
        <v>25</v>
      </c>
      <c r="D442" s="454"/>
      <c r="E442" s="450"/>
      <c r="F442" s="484"/>
      <c r="G442" s="450"/>
      <c r="H442" s="348"/>
      <c r="I442" s="348"/>
    </row>
    <row r="443" spans="1:9">
      <c r="A443" s="457"/>
      <c r="B443" s="457"/>
      <c r="C443" s="66" t="s">
        <v>26</v>
      </c>
      <c r="D443" s="67">
        <v>0.66</v>
      </c>
      <c r="E443" s="67">
        <v>645</v>
      </c>
      <c r="F443" s="67">
        <f>D443*E443</f>
        <v>425.70000000000005</v>
      </c>
      <c r="G443" s="66" t="s">
        <v>1927</v>
      </c>
      <c r="H443" s="351"/>
      <c r="I443" s="351"/>
    </row>
    <row r="444" spans="1:9">
      <c r="A444" s="492" t="s">
        <v>1928</v>
      </c>
      <c r="B444" s="454"/>
      <c r="C444" s="450"/>
      <c r="D444" s="67">
        <v>10</v>
      </c>
      <c r="E444" s="70" t="s">
        <v>21</v>
      </c>
      <c r="F444" s="67">
        <f>F443+F441+F439+F437</f>
        <v>1473.1000000000001</v>
      </c>
      <c r="G444" s="71"/>
      <c r="H444" s="348"/>
      <c r="I444" s="348"/>
    </row>
    <row r="445" spans="1:9">
      <c r="A445" s="492" t="s">
        <v>826</v>
      </c>
      <c r="B445" s="454"/>
      <c r="C445" s="450"/>
      <c r="D445" s="67">
        <v>1</v>
      </c>
      <c r="E445" s="70" t="s">
        <v>21</v>
      </c>
      <c r="F445" s="67">
        <f>F444/10</f>
        <v>147.31</v>
      </c>
      <c r="G445" s="71"/>
      <c r="H445" s="348"/>
      <c r="I445" s="348"/>
    </row>
    <row r="446" spans="1:9">
      <c r="A446" s="493" t="s">
        <v>829</v>
      </c>
      <c r="B446" s="454"/>
      <c r="C446" s="454"/>
      <c r="D446" s="450"/>
      <c r="E446" s="67"/>
      <c r="F446" s="67">
        <f>F445*1%</f>
        <v>1.4731000000000001</v>
      </c>
      <c r="G446" s="71"/>
      <c r="H446" s="348"/>
      <c r="I446" s="348"/>
    </row>
    <row r="447" spans="1:9">
      <c r="A447" s="493" t="s">
        <v>30</v>
      </c>
      <c r="B447" s="454"/>
      <c r="C447" s="454"/>
      <c r="D447" s="450"/>
      <c r="E447" s="71"/>
      <c r="F447" s="67">
        <f>F445+F446</f>
        <v>148.78309999999999</v>
      </c>
      <c r="G447" s="71"/>
      <c r="H447" s="348"/>
      <c r="I447" s="348"/>
    </row>
    <row r="448" spans="1:9">
      <c r="A448" s="493" t="s">
        <v>836</v>
      </c>
      <c r="B448" s="454"/>
      <c r="C448" s="454"/>
      <c r="D448" s="450"/>
      <c r="E448" s="67"/>
      <c r="F448" s="67">
        <f>F447*15%</f>
        <v>22.317464999999999</v>
      </c>
      <c r="G448" s="71"/>
      <c r="H448" s="348"/>
      <c r="I448" s="348"/>
    </row>
    <row r="449" spans="1:9">
      <c r="A449" s="493" t="s">
        <v>30</v>
      </c>
      <c r="B449" s="454"/>
      <c r="C449" s="454"/>
      <c r="D449" s="450"/>
      <c r="E449" s="71"/>
      <c r="F449" s="191">
        <f>ROUND(F447+F448,2)</f>
        <v>171.1</v>
      </c>
      <c r="G449" s="71"/>
      <c r="H449" s="348"/>
      <c r="I449" s="348"/>
    </row>
    <row r="450" spans="1:9">
      <c r="A450" s="594" t="str">
        <f>CONCATENATE("Say ₹ ",F434," + ",F449," x Cost Index")</f>
        <v>Say ₹ 157.33 + 171.1 x Cost Index</v>
      </c>
      <c r="B450" s="454"/>
      <c r="C450" s="454"/>
      <c r="D450" s="454"/>
      <c r="E450" s="454"/>
      <c r="F450" s="454"/>
      <c r="G450" s="450"/>
      <c r="H450" s="229">
        <f>((F428*1.01*1.15)/10)</f>
        <v>157.325175</v>
      </c>
      <c r="I450" s="229">
        <f>((SUM(F437,F439,F441,F443)*1.01*1.15)/10)</f>
        <v>171.10056500000002</v>
      </c>
    </row>
    <row r="451" spans="1:9">
      <c r="A451" s="486" t="s">
        <v>771</v>
      </c>
      <c r="B451" s="486" t="s">
        <v>776</v>
      </c>
      <c r="C451" s="487" t="s">
        <v>4</v>
      </c>
      <c r="D451" s="454"/>
      <c r="E451" s="450"/>
      <c r="F451" s="487" t="s">
        <v>785</v>
      </c>
      <c r="G451" s="450"/>
      <c r="H451" s="346"/>
      <c r="I451" s="346"/>
    </row>
    <row r="452" spans="1:9">
      <c r="A452" s="457"/>
      <c r="B452" s="457"/>
      <c r="C452" s="62" t="s">
        <v>5</v>
      </c>
      <c r="D452" s="62" t="s">
        <v>6</v>
      </c>
      <c r="E452" s="62" t="s">
        <v>336</v>
      </c>
      <c r="F452" s="62" t="s">
        <v>8</v>
      </c>
      <c r="G452" s="62" t="s">
        <v>789</v>
      </c>
      <c r="H452" s="346"/>
      <c r="I452" s="346"/>
    </row>
    <row r="453" spans="1:9">
      <c r="A453" s="489" t="s">
        <v>2218</v>
      </c>
      <c r="B453" s="454"/>
      <c r="C453" s="454"/>
      <c r="D453" s="454"/>
      <c r="E453" s="454"/>
      <c r="F453" s="454"/>
      <c r="G453" s="450"/>
      <c r="H453" s="347"/>
      <c r="I453" s="347"/>
    </row>
    <row r="454" spans="1:9" ht="30">
      <c r="A454" s="65"/>
      <c r="B454" s="66" t="s">
        <v>795</v>
      </c>
      <c r="C454" s="66" t="s">
        <v>21</v>
      </c>
      <c r="D454" s="66" t="s">
        <v>798</v>
      </c>
      <c r="E454" s="67">
        <v>10</v>
      </c>
      <c r="F454" s="484"/>
      <c r="G454" s="450"/>
      <c r="H454" s="348"/>
      <c r="I454" s="348"/>
    </row>
    <row r="455" spans="1:9" ht="30">
      <c r="A455" s="66" t="s">
        <v>800</v>
      </c>
      <c r="B455" s="484" t="s">
        <v>512</v>
      </c>
      <c r="C455" s="454"/>
      <c r="D455" s="454"/>
      <c r="E455" s="454"/>
      <c r="F455" s="454"/>
      <c r="G455" s="450"/>
      <c r="H455" s="349"/>
      <c r="I455" s="349"/>
    </row>
    <row r="456" spans="1:9">
      <c r="A456" s="490" t="s">
        <v>802</v>
      </c>
      <c r="B456" s="454"/>
      <c r="C456" s="454"/>
      <c r="D456" s="454"/>
      <c r="E456" s="454"/>
      <c r="F456" s="450"/>
      <c r="G456" s="68" t="s">
        <v>803</v>
      </c>
      <c r="H456" s="350"/>
      <c r="I456" s="350"/>
    </row>
    <row r="457" spans="1:9">
      <c r="A457" s="491"/>
      <c r="B457" s="491" t="s">
        <v>1913</v>
      </c>
      <c r="C457" s="484" t="s">
        <v>2219</v>
      </c>
      <c r="D457" s="454"/>
      <c r="E457" s="450"/>
      <c r="F457" s="484"/>
      <c r="G457" s="450"/>
      <c r="H457" s="348"/>
      <c r="I457" s="348"/>
    </row>
    <row r="458" spans="1:9">
      <c r="A458" s="457"/>
      <c r="B458" s="457"/>
      <c r="C458" s="66" t="s">
        <v>21</v>
      </c>
      <c r="D458" s="67">
        <v>10.5</v>
      </c>
      <c r="E458" s="67">
        <v>95</v>
      </c>
      <c r="F458" s="67">
        <f>E458*D458</f>
        <v>997.5</v>
      </c>
      <c r="G458" s="66" t="s">
        <v>808</v>
      </c>
      <c r="H458" s="351"/>
      <c r="I458" s="351"/>
    </row>
    <row r="459" spans="1:9">
      <c r="A459" s="492" t="s">
        <v>1105</v>
      </c>
      <c r="B459" s="454"/>
      <c r="C459" s="450"/>
      <c r="D459" s="67">
        <v>10</v>
      </c>
      <c r="E459" s="70" t="s">
        <v>21</v>
      </c>
      <c r="F459" s="67">
        <f>F458</f>
        <v>997.5</v>
      </c>
      <c r="G459" s="303"/>
      <c r="H459" s="183"/>
      <c r="I459" s="183"/>
    </row>
    <row r="460" spans="1:9">
      <c r="A460" s="492" t="s">
        <v>826</v>
      </c>
      <c r="B460" s="454"/>
      <c r="C460" s="450"/>
      <c r="D460" s="67">
        <v>1</v>
      </c>
      <c r="E460" s="70" t="s">
        <v>21</v>
      </c>
      <c r="F460" s="67">
        <f>F459/10</f>
        <v>99.75</v>
      </c>
      <c r="G460" s="303"/>
      <c r="H460" s="183"/>
      <c r="I460" s="183"/>
    </row>
    <row r="461" spans="1:9">
      <c r="A461" s="493" t="s">
        <v>829</v>
      </c>
      <c r="B461" s="454"/>
      <c r="C461" s="454"/>
      <c r="D461" s="450"/>
      <c r="E461" s="67"/>
      <c r="F461" s="67">
        <f>F460*1%</f>
        <v>0.99750000000000005</v>
      </c>
      <c r="G461" s="303"/>
      <c r="H461" s="183"/>
      <c r="I461" s="183"/>
    </row>
    <row r="462" spans="1:9">
      <c r="A462" s="493" t="s">
        <v>30</v>
      </c>
      <c r="B462" s="454"/>
      <c r="C462" s="454"/>
      <c r="D462" s="450"/>
      <c r="E462" s="71"/>
      <c r="F462" s="67">
        <f>F460+F461</f>
        <v>100.7475</v>
      </c>
      <c r="G462" s="303"/>
      <c r="H462" s="183"/>
      <c r="I462" s="183"/>
    </row>
    <row r="463" spans="1:9">
      <c r="A463" s="493" t="s">
        <v>836</v>
      </c>
      <c r="B463" s="454"/>
      <c r="C463" s="454"/>
      <c r="D463" s="450"/>
      <c r="E463" s="67"/>
      <c r="F463" s="67">
        <f>F462*15%</f>
        <v>15.112124999999999</v>
      </c>
      <c r="G463" s="303"/>
      <c r="H463" s="183"/>
      <c r="I463" s="183"/>
    </row>
    <row r="464" spans="1:9">
      <c r="A464" s="493" t="s">
        <v>30</v>
      </c>
      <c r="B464" s="454"/>
      <c r="C464" s="454"/>
      <c r="D464" s="450"/>
      <c r="E464" s="71"/>
      <c r="F464" s="191">
        <f>ROUND(F462+F463,2)</f>
        <v>115.86</v>
      </c>
      <c r="G464" s="303"/>
      <c r="H464" s="183"/>
      <c r="I464" s="183"/>
    </row>
    <row r="465" spans="1:9">
      <c r="A465" s="490" t="s">
        <v>819</v>
      </c>
      <c r="B465" s="454"/>
      <c r="C465" s="454"/>
      <c r="D465" s="454"/>
      <c r="E465" s="454"/>
      <c r="F465" s="450"/>
      <c r="G465" s="68" t="s">
        <v>820</v>
      </c>
      <c r="H465" s="350"/>
      <c r="I465" s="350"/>
    </row>
    <row r="466" spans="1:9">
      <c r="A466" s="491">
        <v>116</v>
      </c>
      <c r="B466" s="491"/>
      <c r="C466" s="484" t="s">
        <v>527</v>
      </c>
      <c r="D466" s="454"/>
      <c r="E466" s="450"/>
      <c r="F466" s="484"/>
      <c r="G466" s="450"/>
      <c r="H466" s="348"/>
      <c r="I466" s="348"/>
    </row>
    <row r="467" spans="1:9">
      <c r="A467" s="457"/>
      <c r="B467" s="457"/>
      <c r="C467" s="66" t="s">
        <v>26</v>
      </c>
      <c r="D467" s="67">
        <v>0.25</v>
      </c>
      <c r="E467" s="67">
        <v>784</v>
      </c>
      <c r="F467" s="67">
        <f>E467*D467</f>
        <v>196</v>
      </c>
      <c r="G467" s="66" t="s">
        <v>822</v>
      </c>
      <c r="H467" s="351"/>
      <c r="I467" s="351"/>
    </row>
    <row r="468" spans="1:9">
      <c r="A468" s="491">
        <v>114</v>
      </c>
      <c r="B468" s="491"/>
      <c r="C468" s="484" t="s">
        <v>1936</v>
      </c>
      <c r="D468" s="454"/>
      <c r="E468" s="450"/>
      <c r="F468" s="484"/>
      <c r="G468" s="450"/>
      <c r="H468" s="348"/>
      <c r="I468" s="348"/>
    </row>
    <row r="469" spans="1:9">
      <c r="A469" s="457"/>
      <c r="B469" s="457"/>
      <c r="C469" s="66" t="s">
        <v>26</v>
      </c>
      <c r="D469" s="67">
        <v>0.66</v>
      </c>
      <c r="E469" s="67">
        <v>645</v>
      </c>
      <c r="F469" s="67">
        <f>E469*D469</f>
        <v>425.70000000000005</v>
      </c>
      <c r="G469" s="66" t="s">
        <v>825</v>
      </c>
      <c r="H469" s="351"/>
      <c r="I469" s="351"/>
    </row>
    <row r="470" spans="1:9">
      <c r="A470" s="491">
        <v>114</v>
      </c>
      <c r="B470" s="491"/>
      <c r="C470" s="484" t="s">
        <v>59</v>
      </c>
      <c r="D470" s="454"/>
      <c r="E470" s="450"/>
      <c r="F470" s="484"/>
      <c r="G470" s="450"/>
      <c r="H470" s="348"/>
      <c r="I470" s="348"/>
    </row>
    <row r="471" spans="1:9">
      <c r="A471" s="457"/>
      <c r="B471" s="457"/>
      <c r="C471" s="66" t="s">
        <v>26</v>
      </c>
      <c r="D471" s="67">
        <v>0.66</v>
      </c>
      <c r="E471" s="67">
        <v>645</v>
      </c>
      <c r="F471" s="67">
        <f>D471*E471</f>
        <v>425.70000000000005</v>
      </c>
      <c r="G471" s="66" t="s">
        <v>837</v>
      </c>
      <c r="H471" s="351"/>
      <c r="I471" s="351"/>
    </row>
    <row r="472" spans="1:9">
      <c r="A472" s="491">
        <v>115</v>
      </c>
      <c r="B472" s="491"/>
      <c r="C472" s="484" t="s">
        <v>25</v>
      </c>
      <c r="D472" s="454"/>
      <c r="E472" s="450"/>
      <c r="F472" s="484"/>
      <c r="G472" s="450"/>
      <c r="H472" s="348"/>
      <c r="I472" s="348"/>
    </row>
    <row r="473" spans="1:9">
      <c r="A473" s="457"/>
      <c r="B473" s="457"/>
      <c r="C473" s="66" t="s">
        <v>26</v>
      </c>
      <c r="D473" s="67">
        <v>0.66</v>
      </c>
      <c r="E473" s="67">
        <v>645</v>
      </c>
      <c r="F473" s="67">
        <f>D473*E473</f>
        <v>425.70000000000005</v>
      </c>
      <c r="G473" s="66" t="s">
        <v>1927</v>
      </c>
      <c r="H473" s="351"/>
      <c r="I473" s="351"/>
    </row>
    <row r="474" spans="1:9">
      <c r="A474" s="492" t="s">
        <v>1928</v>
      </c>
      <c r="B474" s="454"/>
      <c r="C474" s="450"/>
      <c r="D474" s="67">
        <v>10</v>
      </c>
      <c r="E474" s="70" t="s">
        <v>21</v>
      </c>
      <c r="F474" s="67">
        <f>F473+F471+F469+F467</f>
        <v>1473.1000000000001</v>
      </c>
      <c r="G474" s="71"/>
      <c r="H474" s="348"/>
      <c r="I474" s="348"/>
    </row>
    <row r="475" spans="1:9">
      <c r="A475" s="492" t="s">
        <v>826</v>
      </c>
      <c r="B475" s="454"/>
      <c r="C475" s="450"/>
      <c r="D475" s="67">
        <v>1</v>
      </c>
      <c r="E475" s="70" t="s">
        <v>21</v>
      </c>
      <c r="F475" s="67">
        <f>F474/10</f>
        <v>147.31</v>
      </c>
      <c r="G475" s="71"/>
      <c r="H475" s="348"/>
      <c r="I475" s="348"/>
    </row>
    <row r="476" spans="1:9">
      <c r="A476" s="493" t="s">
        <v>829</v>
      </c>
      <c r="B476" s="454"/>
      <c r="C476" s="454"/>
      <c r="D476" s="450"/>
      <c r="E476" s="67"/>
      <c r="F476" s="67">
        <f>F475*1%</f>
        <v>1.4731000000000001</v>
      </c>
      <c r="G476" s="71"/>
      <c r="H476" s="348"/>
      <c r="I476" s="348"/>
    </row>
    <row r="477" spans="1:9">
      <c r="A477" s="493" t="s">
        <v>30</v>
      </c>
      <c r="B477" s="454"/>
      <c r="C477" s="454"/>
      <c r="D477" s="450"/>
      <c r="E477" s="71"/>
      <c r="F477" s="67">
        <f>F475+F476</f>
        <v>148.78309999999999</v>
      </c>
      <c r="G477" s="71"/>
      <c r="H477" s="348"/>
      <c r="I477" s="348"/>
    </row>
    <row r="478" spans="1:9">
      <c r="A478" s="493" t="s">
        <v>836</v>
      </c>
      <c r="B478" s="454"/>
      <c r="C478" s="454"/>
      <c r="D478" s="450"/>
      <c r="E478" s="67"/>
      <c r="F478" s="67">
        <f>F477*15%</f>
        <v>22.317464999999999</v>
      </c>
      <c r="G478" s="71"/>
      <c r="H478" s="348"/>
      <c r="I478" s="348"/>
    </row>
    <row r="479" spans="1:9">
      <c r="A479" s="493" t="s">
        <v>30</v>
      </c>
      <c r="B479" s="454"/>
      <c r="C479" s="454"/>
      <c r="D479" s="450"/>
      <c r="E479" s="71"/>
      <c r="F479" s="191">
        <f>ROUND(F477+F478,2)</f>
        <v>171.1</v>
      </c>
      <c r="G479" s="71"/>
      <c r="H479" s="348"/>
      <c r="I479" s="348"/>
    </row>
    <row r="480" spans="1:9">
      <c r="A480" s="594" t="str">
        <f>CONCATENATE("Say ₹ ",F464," + ",F479," x Cost Index")</f>
        <v>Say ₹ 115.86 + 171.1 x Cost Index</v>
      </c>
      <c r="B480" s="454"/>
      <c r="C480" s="454"/>
      <c r="D480" s="454"/>
      <c r="E480" s="454"/>
      <c r="F480" s="454"/>
      <c r="G480" s="450"/>
      <c r="H480" s="229">
        <f>((F458*1.01*1.15)/10)</f>
        <v>115.85962499999998</v>
      </c>
      <c r="I480" s="229">
        <f>((SUM(F467,F469,F471,F473)*1.01*1.15)/10)</f>
        <v>171.10056500000002</v>
      </c>
    </row>
    <row r="481" spans="1:9">
      <c r="A481" s="486" t="s">
        <v>771</v>
      </c>
      <c r="B481" s="486" t="s">
        <v>776</v>
      </c>
      <c r="C481" s="487" t="s">
        <v>4</v>
      </c>
      <c r="D481" s="454"/>
      <c r="E481" s="450"/>
      <c r="F481" s="487" t="s">
        <v>785</v>
      </c>
      <c r="G481" s="450"/>
      <c r="H481" s="346"/>
      <c r="I481" s="346"/>
    </row>
    <row r="482" spans="1:9">
      <c r="A482" s="457"/>
      <c r="B482" s="457"/>
      <c r="C482" s="62" t="s">
        <v>5</v>
      </c>
      <c r="D482" s="62" t="s">
        <v>6</v>
      </c>
      <c r="E482" s="62" t="s">
        <v>336</v>
      </c>
      <c r="F482" s="62" t="s">
        <v>8</v>
      </c>
      <c r="G482" s="62" t="s">
        <v>789</v>
      </c>
      <c r="H482" s="346"/>
      <c r="I482" s="346"/>
    </row>
    <row r="483" spans="1:9">
      <c r="A483" s="489" t="s">
        <v>2228</v>
      </c>
      <c r="B483" s="454"/>
      <c r="C483" s="454"/>
      <c r="D483" s="454"/>
      <c r="E483" s="454"/>
      <c r="F483" s="454"/>
      <c r="G483" s="450"/>
      <c r="H483" s="347"/>
      <c r="I483" s="347"/>
    </row>
    <row r="484" spans="1:9" ht="30">
      <c r="A484" s="65"/>
      <c r="B484" s="66" t="s">
        <v>795</v>
      </c>
      <c r="C484" s="66" t="s">
        <v>21</v>
      </c>
      <c r="D484" s="66" t="s">
        <v>798</v>
      </c>
      <c r="E484" s="67">
        <v>10</v>
      </c>
      <c r="F484" s="484"/>
      <c r="G484" s="450"/>
      <c r="H484" s="348"/>
      <c r="I484" s="348"/>
    </row>
    <row r="485" spans="1:9" ht="30">
      <c r="A485" s="66" t="s">
        <v>800</v>
      </c>
      <c r="B485" s="484" t="s">
        <v>2229</v>
      </c>
      <c r="C485" s="454"/>
      <c r="D485" s="454"/>
      <c r="E485" s="454"/>
      <c r="F485" s="454"/>
      <c r="G485" s="450"/>
      <c r="H485" s="349"/>
      <c r="I485" s="349"/>
    </row>
    <row r="486" spans="1:9">
      <c r="A486" s="490" t="s">
        <v>802</v>
      </c>
      <c r="B486" s="454"/>
      <c r="C486" s="454"/>
      <c r="D486" s="454"/>
      <c r="E486" s="454"/>
      <c r="F486" s="450"/>
      <c r="G486" s="68" t="s">
        <v>803</v>
      </c>
      <c r="H486" s="350"/>
      <c r="I486" s="350"/>
    </row>
    <row r="487" spans="1:9">
      <c r="A487" s="491"/>
      <c r="B487" s="491" t="s">
        <v>1864</v>
      </c>
      <c r="C487" s="484" t="s">
        <v>2232</v>
      </c>
      <c r="D487" s="454"/>
      <c r="E487" s="450"/>
      <c r="F487" s="484"/>
      <c r="G487" s="450"/>
      <c r="H487" s="348"/>
      <c r="I487" s="348"/>
    </row>
    <row r="488" spans="1:9">
      <c r="A488" s="457"/>
      <c r="B488" s="457"/>
      <c r="C488" s="66" t="s">
        <v>21</v>
      </c>
      <c r="D488" s="67">
        <v>10.5</v>
      </c>
      <c r="E488" s="67">
        <v>211</v>
      </c>
      <c r="F488" s="67">
        <f>E488*D488</f>
        <v>2215.5</v>
      </c>
      <c r="G488" s="66" t="s">
        <v>808</v>
      </c>
      <c r="H488" s="351"/>
      <c r="I488" s="351"/>
    </row>
    <row r="489" spans="1:9">
      <c r="A489" s="492" t="s">
        <v>1105</v>
      </c>
      <c r="B489" s="454"/>
      <c r="C489" s="450"/>
      <c r="D489" s="67">
        <v>10</v>
      </c>
      <c r="E489" s="70" t="s">
        <v>21</v>
      </c>
      <c r="F489" s="67">
        <f>F488</f>
        <v>2215.5</v>
      </c>
      <c r="G489" s="303"/>
      <c r="H489" s="183"/>
      <c r="I489" s="183"/>
    </row>
    <row r="490" spans="1:9">
      <c r="A490" s="492" t="s">
        <v>826</v>
      </c>
      <c r="B490" s="454"/>
      <c r="C490" s="450"/>
      <c r="D490" s="67">
        <v>1</v>
      </c>
      <c r="E490" s="70" t="s">
        <v>21</v>
      </c>
      <c r="F490" s="67">
        <f>F489/10</f>
        <v>221.55</v>
      </c>
      <c r="G490" s="303"/>
      <c r="H490" s="183"/>
      <c r="I490" s="183"/>
    </row>
    <row r="491" spans="1:9">
      <c r="A491" s="493" t="s">
        <v>829</v>
      </c>
      <c r="B491" s="454"/>
      <c r="C491" s="454"/>
      <c r="D491" s="450"/>
      <c r="E491" s="67"/>
      <c r="F491" s="67">
        <f>F490*1%</f>
        <v>2.2155</v>
      </c>
      <c r="G491" s="303"/>
      <c r="H491" s="183"/>
      <c r="I491" s="183"/>
    </row>
    <row r="492" spans="1:9">
      <c r="A492" s="493" t="s">
        <v>30</v>
      </c>
      <c r="B492" s="454"/>
      <c r="C492" s="454"/>
      <c r="D492" s="450"/>
      <c r="E492" s="71"/>
      <c r="F492" s="67">
        <f>F490+F491</f>
        <v>223.7655</v>
      </c>
      <c r="G492" s="303"/>
      <c r="H492" s="183"/>
      <c r="I492" s="183"/>
    </row>
    <row r="493" spans="1:9">
      <c r="A493" s="493" t="s">
        <v>836</v>
      </c>
      <c r="B493" s="454"/>
      <c r="C493" s="454"/>
      <c r="D493" s="450"/>
      <c r="E493" s="67"/>
      <c r="F493" s="67">
        <f>F492*15%</f>
        <v>33.564824999999999</v>
      </c>
      <c r="G493" s="303"/>
      <c r="H493" s="183"/>
      <c r="I493" s="183"/>
    </row>
    <row r="494" spans="1:9">
      <c r="A494" s="493" t="s">
        <v>30</v>
      </c>
      <c r="B494" s="454"/>
      <c r="C494" s="454"/>
      <c r="D494" s="450"/>
      <c r="E494" s="71"/>
      <c r="F494" s="191">
        <f>ROUND(F492+F493,2)</f>
        <v>257.33</v>
      </c>
      <c r="G494" s="303"/>
      <c r="H494" s="183"/>
      <c r="I494" s="183"/>
    </row>
    <row r="495" spans="1:9">
      <c r="A495" s="490" t="s">
        <v>819</v>
      </c>
      <c r="B495" s="454"/>
      <c r="C495" s="454"/>
      <c r="D495" s="454"/>
      <c r="E495" s="454"/>
      <c r="F495" s="450"/>
      <c r="G495" s="68" t="s">
        <v>820</v>
      </c>
      <c r="H495" s="350"/>
      <c r="I495" s="350"/>
    </row>
    <row r="496" spans="1:9">
      <c r="A496" s="491">
        <v>116</v>
      </c>
      <c r="B496" s="491"/>
      <c r="C496" s="484" t="s">
        <v>527</v>
      </c>
      <c r="D496" s="454"/>
      <c r="E496" s="450"/>
      <c r="F496" s="484"/>
      <c r="G496" s="450"/>
      <c r="H496" s="348"/>
      <c r="I496" s="348"/>
    </row>
    <row r="497" spans="1:9">
      <c r="A497" s="457"/>
      <c r="B497" s="457"/>
      <c r="C497" s="66" t="s">
        <v>26</v>
      </c>
      <c r="D497" s="67">
        <v>0.37</v>
      </c>
      <c r="E497" s="67">
        <v>784</v>
      </c>
      <c r="F497" s="67">
        <f>E497*D497</f>
        <v>290.08</v>
      </c>
      <c r="G497" s="66" t="s">
        <v>822</v>
      </c>
      <c r="H497" s="351"/>
      <c r="I497" s="351"/>
    </row>
    <row r="498" spans="1:9">
      <c r="A498" s="491">
        <v>114</v>
      </c>
      <c r="B498" s="491"/>
      <c r="C498" s="484" t="s">
        <v>1936</v>
      </c>
      <c r="D498" s="454"/>
      <c r="E498" s="450"/>
      <c r="F498" s="484"/>
      <c r="G498" s="450"/>
      <c r="H498" s="348"/>
      <c r="I498" s="348"/>
    </row>
    <row r="499" spans="1:9">
      <c r="A499" s="457"/>
      <c r="B499" s="457"/>
      <c r="C499" s="66" t="s">
        <v>26</v>
      </c>
      <c r="D499" s="67">
        <v>0.97</v>
      </c>
      <c r="E499" s="67">
        <v>645</v>
      </c>
      <c r="F499" s="67">
        <f>E499*D499</f>
        <v>625.65</v>
      </c>
      <c r="G499" s="66" t="s">
        <v>825</v>
      </c>
      <c r="H499" s="351"/>
      <c r="I499" s="351"/>
    </row>
    <row r="500" spans="1:9">
      <c r="A500" s="491">
        <v>114</v>
      </c>
      <c r="B500" s="491"/>
      <c r="C500" s="484" t="s">
        <v>59</v>
      </c>
      <c r="D500" s="454"/>
      <c r="E500" s="450"/>
      <c r="F500" s="484"/>
      <c r="G500" s="450"/>
      <c r="H500" s="348"/>
      <c r="I500" s="348"/>
    </row>
    <row r="501" spans="1:9">
      <c r="A501" s="457"/>
      <c r="B501" s="457"/>
      <c r="C501" s="66" t="s">
        <v>26</v>
      </c>
      <c r="D501" s="67">
        <v>0.8</v>
      </c>
      <c r="E501" s="67">
        <v>645</v>
      </c>
      <c r="F501" s="67">
        <f>D501*E501</f>
        <v>516</v>
      </c>
      <c r="G501" s="66" t="s">
        <v>837</v>
      </c>
      <c r="H501" s="351"/>
      <c r="I501" s="351"/>
    </row>
    <row r="502" spans="1:9">
      <c r="A502" s="491">
        <v>115</v>
      </c>
      <c r="B502" s="491"/>
      <c r="C502" s="484" t="s">
        <v>25</v>
      </c>
      <c r="D502" s="454"/>
      <c r="E502" s="450"/>
      <c r="F502" s="484"/>
      <c r="G502" s="450"/>
      <c r="H502" s="348"/>
      <c r="I502" s="348"/>
    </row>
    <row r="503" spans="1:9">
      <c r="A503" s="457"/>
      <c r="B503" s="457"/>
      <c r="C503" s="66" t="s">
        <v>26</v>
      </c>
      <c r="D503" s="67">
        <v>0.8</v>
      </c>
      <c r="E503" s="67">
        <v>645</v>
      </c>
      <c r="F503" s="67">
        <f>D503*E503</f>
        <v>516</v>
      </c>
      <c r="G503" s="66" t="s">
        <v>1927</v>
      </c>
      <c r="H503" s="351"/>
      <c r="I503" s="351"/>
    </row>
    <row r="504" spans="1:9">
      <c r="A504" s="492" t="s">
        <v>1928</v>
      </c>
      <c r="B504" s="454"/>
      <c r="C504" s="450"/>
      <c r="D504" s="67">
        <v>10</v>
      </c>
      <c r="E504" s="70" t="s">
        <v>21</v>
      </c>
      <c r="F504" s="67">
        <f>F503+F501+F499+F497</f>
        <v>1947.73</v>
      </c>
      <c r="G504" s="71"/>
      <c r="H504" s="348"/>
      <c r="I504" s="348"/>
    </row>
    <row r="505" spans="1:9">
      <c r="A505" s="492" t="s">
        <v>826</v>
      </c>
      <c r="B505" s="454"/>
      <c r="C505" s="450"/>
      <c r="D505" s="67">
        <v>1</v>
      </c>
      <c r="E505" s="70" t="s">
        <v>21</v>
      </c>
      <c r="F505" s="67">
        <f>F504/10</f>
        <v>194.773</v>
      </c>
      <c r="G505" s="71"/>
      <c r="H505" s="348"/>
      <c r="I505" s="348"/>
    </row>
    <row r="506" spans="1:9">
      <c r="A506" s="493" t="s">
        <v>829</v>
      </c>
      <c r="B506" s="454"/>
      <c r="C506" s="454"/>
      <c r="D506" s="450"/>
      <c r="E506" s="67"/>
      <c r="F506" s="67">
        <f>F505*1%</f>
        <v>1.94773</v>
      </c>
      <c r="G506" s="71"/>
      <c r="H506" s="348"/>
      <c r="I506" s="348"/>
    </row>
    <row r="507" spans="1:9">
      <c r="A507" s="493" t="s">
        <v>30</v>
      </c>
      <c r="B507" s="454"/>
      <c r="C507" s="454"/>
      <c r="D507" s="450"/>
      <c r="E507" s="71"/>
      <c r="F507" s="67">
        <f>F505+F506</f>
        <v>196.72073</v>
      </c>
      <c r="G507" s="71"/>
      <c r="H507" s="348"/>
      <c r="I507" s="348"/>
    </row>
    <row r="508" spans="1:9">
      <c r="A508" s="493" t="s">
        <v>836</v>
      </c>
      <c r="B508" s="454"/>
      <c r="C508" s="454"/>
      <c r="D508" s="450"/>
      <c r="E508" s="67"/>
      <c r="F508" s="67">
        <f>F507*15%</f>
        <v>29.5081095</v>
      </c>
      <c r="G508" s="71"/>
      <c r="H508" s="348"/>
      <c r="I508" s="348"/>
    </row>
    <row r="509" spans="1:9">
      <c r="A509" s="493" t="s">
        <v>30</v>
      </c>
      <c r="B509" s="454"/>
      <c r="C509" s="454"/>
      <c r="D509" s="450"/>
      <c r="E509" s="71"/>
      <c r="F509" s="191">
        <f>ROUND(F507+F508,2)</f>
        <v>226.23</v>
      </c>
      <c r="G509" s="71"/>
      <c r="H509" s="348"/>
      <c r="I509" s="348"/>
    </row>
    <row r="510" spans="1:9">
      <c r="A510" s="594" t="str">
        <f>CONCATENATE("Say ₹ ",F494," + ",F509," x Cost Index")</f>
        <v>Say ₹ 257.33 + 226.23 x Cost Index</v>
      </c>
      <c r="B510" s="454"/>
      <c r="C510" s="454"/>
      <c r="D510" s="454"/>
      <c r="E510" s="454"/>
      <c r="F510" s="454"/>
      <c r="G510" s="450"/>
      <c r="H510" s="229">
        <f>((F488*1.01*1.15)/10)</f>
        <v>257.33032500000002</v>
      </c>
      <c r="I510" s="229">
        <f>((SUM(F497,F499,F501,F503)*1.01*1.15)/10)</f>
        <v>226.22883949999999</v>
      </c>
    </row>
    <row r="511" spans="1:9">
      <c r="A511" s="486" t="s">
        <v>771</v>
      </c>
      <c r="B511" s="486" t="s">
        <v>776</v>
      </c>
      <c r="C511" s="487" t="s">
        <v>4</v>
      </c>
      <c r="D511" s="454"/>
      <c r="E511" s="450"/>
      <c r="F511" s="487" t="s">
        <v>785</v>
      </c>
      <c r="G511" s="450"/>
      <c r="H511" s="346"/>
      <c r="I511" s="346"/>
    </row>
    <row r="512" spans="1:9">
      <c r="A512" s="457"/>
      <c r="B512" s="457"/>
      <c r="C512" s="62" t="s">
        <v>5</v>
      </c>
      <c r="D512" s="62" t="s">
        <v>6</v>
      </c>
      <c r="E512" s="62" t="s">
        <v>336</v>
      </c>
      <c r="F512" s="62" t="s">
        <v>8</v>
      </c>
      <c r="G512" s="62" t="s">
        <v>789</v>
      </c>
      <c r="H512" s="346"/>
      <c r="I512" s="346"/>
    </row>
    <row r="513" spans="1:9">
      <c r="A513" s="489" t="s">
        <v>2242</v>
      </c>
      <c r="B513" s="454"/>
      <c r="C513" s="454"/>
      <c r="D513" s="454"/>
      <c r="E513" s="454"/>
      <c r="F513" s="454"/>
      <c r="G513" s="450"/>
      <c r="H513" s="347"/>
      <c r="I513" s="347"/>
    </row>
    <row r="514" spans="1:9" ht="30">
      <c r="A514" s="65"/>
      <c r="B514" s="66" t="s">
        <v>795</v>
      </c>
      <c r="C514" s="66" t="s">
        <v>21</v>
      </c>
      <c r="D514" s="66" t="s">
        <v>798</v>
      </c>
      <c r="E514" s="67">
        <v>10</v>
      </c>
      <c r="F514" s="484"/>
      <c r="G514" s="450"/>
      <c r="H514" s="348"/>
      <c r="I514" s="348"/>
    </row>
    <row r="515" spans="1:9" ht="30">
      <c r="A515" s="66" t="s">
        <v>800</v>
      </c>
      <c r="B515" s="484" t="s">
        <v>1757</v>
      </c>
      <c r="C515" s="454"/>
      <c r="D515" s="454"/>
      <c r="E515" s="454"/>
      <c r="F515" s="454"/>
      <c r="G515" s="450"/>
      <c r="H515" s="349"/>
      <c r="I515" s="349"/>
    </row>
    <row r="516" spans="1:9">
      <c r="A516" s="490" t="s">
        <v>802</v>
      </c>
      <c r="B516" s="454"/>
      <c r="C516" s="454"/>
      <c r="D516" s="454"/>
      <c r="E516" s="454"/>
      <c r="F516" s="450"/>
      <c r="G516" s="68" t="s">
        <v>803</v>
      </c>
      <c r="H516" s="350"/>
      <c r="I516" s="350"/>
    </row>
    <row r="517" spans="1:9">
      <c r="A517" s="491"/>
      <c r="B517" s="491" t="s">
        <v>571</v>
      </c>
      <c r="C517" s="484" t="s">
        <v>2244</v>
      </c>
      <c r="D517" s="454"/>
      <c r="E517" s="450"/>
      <c r="F517" s="484"/>
      <c r="G517" s="450"/>
      <c r="H517" s="348"/>
      <c r="I517" s="348"/>
    </row>
    <row r="518" spans="1:9">
      <c r="A518" s="457"/>
      <c r="B518" s="457"/>
      <c r="C518" s="66" t="s">
        <v>21</v>
      </c>
      <c r="D518" s="67">
        <v>10.5</v>
      </c>
      <c r="E518" s="67">
        <v>170</v>
      </c>
      <c r="F518" s="67">
        <f>E518*D518</f>
        <v>1785</v>
      </c>
      <c r="G518" s="66" t="s">
        <v>808</v>
      </c>
      <c r="H518" s="351"/>
      <c r="I518" s="351"/>
    </row>
    <row r="519" spans="1:9">
      <c r="A519" s="492" t="s">
        <v>1105</v>
      </c>
      <c r="B519" s="454"/>
      <c r="C519" s="450"/>
      <c r="D519" s="67">
        <v>10</v>
      </c>
      <c r="E519" s="70" t="s">
        <v>21</v>
      </c>
      <c r="F519" s="67">
        <f>F518</f>
        <v>1785</v>
      </c>
      <c r="G519" s="303"/>
      <c r="H519" s="183"/>
      <c r="I519" s="183"/>
    </row>
    <row r="520" spans="1:9">
      <c r="A520" s="492" t="s">
        <v>826</v>
      </c>
      <c r="B520" s="454"/>
      <c r="C520" s="450"/>
      <c r="D520" s="67">
        <v>1</v>
      </c>
      <c r="E520" s="70" t="s">
        <v>21</v>
      </c>
      <c r="F520" s="67">
        <f>F519/10</f>
        <v>178.5</v>
      </c>
      <c r="G520" s="303"/>
      <c r="H520" s="183"/>
      <c r="I520" s="183"/>
    </row>
    <row r="521" spans="1:9">
      <c r="A521" s="493" t="s">
        <v>829</v>
      </c>
      <c r="B521" s="454"/>
      <c r="C521" s="454"/>
      <c r="D521" s="450"/>
      <c r="E521" s="67"/>
      <c r="F521" s="67">
        <f>F520*1%</f>
        <v>1.7850000000000001</v>
      </c>
      <c r="G521" s="303"/>
      <c r="H521" s="183"/>
      <c r="I521" s="183"/>
    </row>
    <row r="522" spans="1:9">
      <c r="A522" s="493" t="s">
        <v>30</v>
      </c>
      <c r="B522" s="454"/>
      <c r="C522" s="454"/>
      <c r="D522" s="450"/>
      <c r="E522" s="71"/>
      <c r="F522" s="67">
        <f>F520+F521</f>
        <v>180.285</v>
      </c>
      <c r="G522" s="303"/>
      <c r="H522" s="183"/>
      <c r="I522" s="183"/>
    </row>
    <row r="523" spans="1:9">
      <c r="A523" s="493" t="s">
        <v>836</v>
      </c>
      <c r="B523" s="454"/>
      <c r="C523" s="454"/>
      <c r="D523" s="450"/>
      <c r="E523" s="67"/>
      <c r="F523" s="67">
        <f>F522*15%</f>
        <v>27.042749999999998</v>
      </c>
      <c r="G523" s="303"/>
      <c r="H523" s="183"/>
      <c r="I523" s="183"/>
    </row>
    <row r="524" spans="1:9">
      <c r="A524" s="493" t="s">
        <v>30</v>
      </c>
      <c r="B524" s="454"/>
      <c r="C524" s="454"/>
      <c r="D524" s="450"/>
      <c r="E524" s="71"/>
      <c r="F524" s="191">
        <f>ROUND(F522+F523,2)</f>
        <v>207.33</v>
      </c>
      <c r="G524" s="303"/>
      <c r="H524" s="183"/>
      <c r="I524" s="183"/>
    </row>
    <row r="525" spans="1:9">
      <c r="A525" s="490" t="s">
        <v>819</v>
      </c>
      <c r="B525" s="454"/>
      <c r="C525" s="454"/>
      <c r="D525" s="454"/>
      <c r="E525" s="454"/>
      <c r="F525" s="450"/>
      <c r="G525" s="68" t="s">
        <v>820</v>
      </c>
      <c r="H525" s="350"/>
      <c r="I525" s="350"/>
    </row>
    <row r="526" spans="1:9">
      <c r="A526" s="491">
        <v>116</v>
      </c>
      <c r="B526" s="491"/>
      <c r="C526" s="484" t="s">
        <v>527</v>
      </c>
      <c r="D526" s="454"/>
      <c r="E526" s="450"/>
      <c r="F526" s="484"/>
      <c r="G526" s="450"/>
      <c r="H526" s="348"/>
      <c r="I526" s="348"/>
    </row>
    <row r="527" spans="1:9">
      <c r="A527" s="457"/>
      <c r="B527" s="457"/>
      <c r="C527" s="66" t="s">
        <v>26</v>
      </c>
      <c r="D527" s="67">
        <v>0.37</v>
      </c>
      <c r="E527" s="67">
        <v>784</v>
      </c>
      <c r="F527" s="67">
        <f>E527*D527</f>
        <v>290.08</v>
      </c>
      <c r="G527" s="66" t="s">
        <v>822</v>
      </c>
      <c r="H527" s="351"/>
      <c r="I527" s="351"/>
    </row>
    <row r="528" spans="1:9">
      <c r="A528" s="491">
        <v>114</v>
      </c>
      <c r="B528" s="491"/>
      <c r="C528" s="484" t="s">
        <v>1936</v>
      </c>
      <c r="D528" s="454"/>
      <c r="E528" s="450"/>
      <c r="F528" s="484"/>
      <c r="G528" s="450"/>
      <c r="H528" s="348"/>
      <c r="I528" s="348"/>
    </row>
    <row r="529" spans="1:9">
      <c r="A529" s="457"/>
      <c r="B529" s="457"/>
      <c r="C529" s="66" t="s">
        <v>26</v>
      </c>
      <c r="D529" s="67">
        <v>0.97</v>
      </c>
      <c r="E529" s="67">
        <v>645</v>
      </c>
      <c r="F529" s="67">
        <f>E529*D529</f>
        <v>625.65</v>
      </c>
      <c r="G529" s="66" t="s">
        <v>825</v>
      </c>
      <c r="H529" s="351"/>
      <c r="I529" s="351"/>
    </row>
    <row r="530" spans="1:9">
      <c r="A530" s="491">
        <v>114</v>
      </c>
      <c r="B530" s="491"/>
      <c r="C530" s="484" t="s">
        <v>59</v>
      </c>
      <c r="D530" s="454"/>
      <c r="E530" s="450"/>
      <c r="F530" s="484"/>
      <c r="G530" s="450"/>
      <c r="H530" s="348"/>
      <c r="I530" s="348"/>
    </row>
    <row r="531" spans="1:9">
      <c r="A531" s="457"/>
      <c r="B531" s="457"/>
      <c r="C531" s="66" t="s">
        <v>26</v>
      </c>
      <c r="D531" s="67">
        <v>0.8</v>
      </c>
      <c r="E531" s="67">
        <v>645</v>
      </c>
      <c r="F531" s="67">
        <f>D531*E531</f>
        <v>516</v>
      </c>
      <c r="G531" s="66" t="s">
        <v>837</v>
      </c>
      <c r="H531" s="351"/>
      <c r="I531" s="351"/>
    </row>
    <row r="532" spans="1:9">
      <c r="A532" s="491">
        <v>115</v>
      </c>
      <c r="B532" s="491"/>
      <c r="C532" s="484" t="s">
        <v>25</v>
      </c>
      <c r="D532" s="454"/>
      <c r="E532" s="450"/>
      <c r="F532" s="484"/>
      <c r="G532" s="450"/>
      <c r="H532" s="348"/>
      <c r="I532" s="348"/>
    </row>
    <row r="533" spans="1:9">
      <c r="A533" s="457"/>
      <c r="B533" s="457"/>
      <c r="C533" s="66" t="s">
        <v>26</v>
      </c>
      <c r="D533" s="67">
        <v>0.8</v>
      </c>
      <c r="E533" s="67">
        <v>645</v>
      </c>
      <c r="F533" s="67">
        <f>D533*E533</f>
        <v>516</v>
      </c>
      <c r="G533" s="66" t="s">
        <v>1927</v>
      </c>
      <c r="H533" s="351"/>
      <c r="I533" s="351"/>
    </row>
    <row r="534" spans="1:9">
      <c r="A534" s="492" t="s">
        <v>1928</v>
      </c>
      <c r="B534" s="454"/>
      <c r="C534" s="450"/>
      <c r="D534" s="67">
        <v>10</v>
      </c>
      <c r="E534" s="70" t="s">
        <v>21</v>
      </c>
      <c r="F534" s="67">
        <f>F533+F531+F529+F527</f>
        <v>1947.73</v>
      </c>
      <c r="G534" s="71"/>
      <c r="H534" s="348"/>
      <c r="I534" s="348"/>
    </row>
    <row r="535" spans="1:9">
      <c r="A535" s="492" t="s">
        <v>826</v>
      </c>
      <c r="B535" s="454"/>
      <c r="C535" s="450"/>
      <c r="D535" s="67">
        <v>1</v>
      </c>
      <c r="E535" s="70" t="s">
        <v>21</v>
      </c>
      <c r="F535" s="67">
        <f>F534/10</f>
        <v>194.773</v>
      </c>
      <c r="G535" s="71"/>
      <c r="H535" s="348"/>
      <c r="I535" s="348"/>
    </row>
    <row r="536" spans="1:9">
      <c r="A536" s="493" t="s">
        <v>829</v>
      </c>
      <c r="B536" s="454"/>
      <c r="C536" s="454"/>
      <c r="D536" s="450"/>
      <c r="E536" s="67"/>
      <c r="F536" s="67">
        <f>F535*1%</f>
        <v>1.94773</v>
      </c>
      <c r="G536" s="71"/>
      <c r="H536" s="348"/>
      <c r="I536" s="348"/>
    </row>
    <row r="537" spans="1:9">
      <c r="A537" s="493" t="s">
        <v>30</v>
      </c>
      <c r="B537" s="454"/>
      <c r="C537" s="454"/>
      <c r="D537" s="450"/>
      <c r="E537" s="71"/>
      <c r="F537" s="67">
        <f>F535+F536</f>
        <v>196.72073</v>
      </c>
      <c r="G537" s="71"/>
      <c r="H537" s="348"/>
      <c r="I537" s="348"/>
    </row>
    <row r="538" spans="1:9">
      <c r="A538" s="493" t="s">
        <v>836</v>
      </c>
      <c r="B538" s="454"/>
      <c r="C538" s="454"/>
      <c r="D538" s="450"/>
      <c r="E538" s="67"/>
      <c r="F538" s="67">
        <f>F537*15%</f>
        <v>29.5081095</v>
      </c>
      <c r="G538" s="71"/>
      <c r="H538" s="348"/>
      <c r="I538" s="348"/>
    </row>
    <row r="539" spans="1:9">
      <c r="A539" s="493" t="s">
        <v>30</v>
      </c>
      <c r="B539" s="454"/>
      <c r="C539" s="454"/>
      <c r="D539" s="450"/>
      <c r="E539" s="71"/>
      <c r="F539" s="191">
        <f>ROUND(F537+F538,2)</f>
        <v>226.23</v>
      </c>
      <c r="G539" s="71"/>
      <c r="H539" s="348"/>
      <c r="I539" s="348"/>
    </row>
    <row r="540" spans="1:9">
      <c r="A540" s="594" t="str">
        <f>CONCATENATE("Say ₹ ",F524," + ",F539," x Cost Index")</f>
        <v>Say ₹ 207.33 + 226.23 x Cost Index</v>
      </c>
      <c r="B540" s="454"/>
      <c r="C540" s="454"/>
      <c r="D540" s="454"/>
      <c r="E540" s="454"/>
      <c r="F540" s="454"/>
      <c r="G540" s="450"/>
      <c r="H540" s="229">
        <f>((F518*1.01*1.15)/10)</f>
        <v>207.32774999999998</v>
      </c>
      <c r="I540" s="229">
        <f>((SUM(F527,F529,F531,F533)*1.01*1.15)/10)</f>
        <v>226.22883949999999</v>
      </c>
    </row>
    <row r="541" spans="1:9">
      <c r="A541" s="486" t="s">
        <v>771</v>
      </c>
      <c r="B541" s="486" t="s">
        <v>776</v>
      </c>
      <c r="C541" s="487" t="s">
        <v>4</v>
      </c>
      <c r="D541" s="454"/>
      <c r="E541" s="450"/>
      <c r="F541" s="487" t="s">
        <v>785</v>
      </c>
      <c r="G541" s="450"/>
      <c r="H541" s="346"/>
      <c r="I541" s="346"/>
    </row>
    <row r="542" spans="1:9">
      <c r="A542" s="457"/>
      <c r="B542" s="457"/>
      <c r="C542" s="62" t="s">
        <v>5</v>
      </c>
      <c r="D542" s="62" t="s">
        <v>6</v>
      </c>
      <c r="E542" s="62" t="s">
        <v>336</v>
      </c>
      <c r="F542" s="62" t="s">
        <v>8</v>
      </c>
      <c r="G542" s="62" t="s">
        <v>789</v>
      </c>
      <c r="H542" s="346"/>
      <c r="I542" s="346"/>
    </row>
    <row r="543" spans="1:9">
      <c r="A543" s="489" t="s">
        <v>2338</v>
      </c>
      <c r="B543" s="454"/>
      <c r="C543" s="454"/>
      <c r="D543" s="454"/>
      <c r="E543" s="454"/>
      <c r="F543" s="454"/>
      <c r="G543" s="450"/>
      <c r="H543" s="347"/>
      <c r="I543" s="347"/>
    </row>
    <row r="544" spans="1:9" ht="30">
      <c r="A544" s="65"/>
      <c r="B544" s="66" t="s">
        <v>795</v>
      </c>
      <c r="C544" s="66" t="s">
        <v>21</v>
      </c>
      <c r="D544" s="66" t="s">
        <v>798</v>
      </c>
      <c r="E544" s="67">
        <v>10</v>
      </c>
      <c r="F544" s="484"/>
      <c r="G544" s="450"/>
      <c r="H544" s="348"/>
      <c r="I544" s="348"/>
    </row>
    <row r="545" spans="1:9" ht="30">
      <c r="A545" s="66" t="s">
        <v>800</v>
      </c>
      <c r="B545" s="484" t="s">
        <v>1757</v>
      </c>
      <c r="C545" s="454"/>
      <c r="D545" s="454"/>
      <c r="E545" s="454"/>
      <c r="F545" s="454"/>
      <c r="G545" s="450"/>
      <c r="H545" s="349"/>
      <c r="I545" s="349"/>
    </row>
    <row r="546" spans="1:9">
      <c r="A546" s="490" t="s">
        <v>802</v>
      </c>
      <c r="B546" s="454"/>
      <c r="C546" s="454"/>
      <c r="D546" s="454"/>
      <c r="E546" s="454"/>
      <c r="F546" s="450"/>
      <c r="G546" s="68" t="s">
        <v>803</v>
      </c>
      <c r="H546" s="350"/>
      <c r="I546" s="350"/>
    </row>
    <row r="547" spans="1:9">
      <c r="A547" s="491"/>
      <c r="B547" s="491" t="s">
        <v>1870</v>
      </c>
      <c r="C547" s="484" t="s">
        <v>2343</v>
      </c>
      <c r="D547" s="454"/>
      <c r="E547" s="450"/>
      <c r="F547" s="484"/>
      <c r="G547" s="450"/>
      <c r="H547" s="348"/>
      <c r="I547" s="348"/>
    </row>
    <row r="548" spans="1:9">
      <c r="A548" s="457"/>
      <c r="B548" s="457"/>
      <c r="C548" s="66" t="s">
        <v>21</v>
      </c>
      <c r="D548" s="67">
        <v>10.5</v>
      </c>
      <c r="E548" s="67">
        <v>520</v>
      </c>
      <c r="F548" s="67">
        <f>E548*D548</f>
        <v>5460</v>
      </c>
      <c r="G548" s="66" t="s">
        <v>808</v>
      </c>
      <c r="H548" s="351"/>
      <c r="I548" s="351"/>
    </row>
    <row r="549" spans="1:9">
      <c r="A549" s="492" t="s">
        <v>1105</v>
      </c>
      <c r="B549" s="454"/>
      <c r="C549" s="450"/>
      <c r="D549" s="67">
        <v>10</v>
      </c>
      <c r="E549" s="70" t="s">
        <v>21</v>
      </c>
      <c r="F549" s="67">
        <f>F548</f>
        <v>5460</v>
      </c>
      <c r="G549" s="303"/>
      <c r="H549" s="183"/>
      <c r="I549" s="183"/>
    </row>
    <row r="550" spans="1:9">
      <c r="A550" s="492" t="s">
        <v>826</v>
      </c>
      <c r="B550" s="454"/>
      <c r="C550" s="450"/>
      <c r="D550" s="67">
        <v>1</v>
      </c>
      <c r="E550" s="70" t="s">
        <v>21</v>
      </c>
      <c r="F550" s="67">
        <f>F549/10</f>
        <v>546</v>
      </c>
      <c r="G550" s="303"/>
      <c r="H550" s="183"/>
      <c r="I550" s="183"/>
    </row>
    <row r="551" spans="1:9">
      <c r="A551" s="493" t="s">
        <v>829</v>
      </c>
      <c r="B551" s="454"/>
      <c r="C551" s="454"/>
      <c r="D551" s="450"/>
      <c r="E551" s="67"/>
      <c r="F551" s="67">
        <f>F550*1%</f>
        <v>5.46</v>
      </c>
      <c r="G551" s="303"/>
      <c r="H551" s="183"/>
      <c r="I551" s="183"/>
    </row>
    <row r="552" spans="1:9">
      <c r="A552" s="493" t="s">
        <v>30</v>
      </c>
      <c r="B552" s="454"/>
      <c r="C552" s="454"/>
      <c r="D552" s="450"/>
      <c r="E552" s="71"/>
      <c r="F552" s="67">
        <f>F550+F551</f>
        <v>551.46</v>
      </c>
      <c r="G552" s="303"/>
      <c r="H552" s="183"/>
      <c r="I552" s="183"/>
    </row>
    <row r="553" spans="1:9">
      <c r="A553" s="493" t="s">
        <v>836</v>
      </c>
      <c r="B553" s="454"/>
      <c r="C553" s="454"/>
      <c r="D553" s="450"/>
      <c r="E553" s="67"/>
      <c r="F553" s="67">
        <f>F552*15%</f>
        <v>82.719000000000008</v>
      </c>
      <c r="G553" s="303"/>
      <c r="H553" s="183"/>
      <c r="I553" s="183"/>
    </row>
    <row r="554" spans="1:9">
      <c r="A554" s="493" t="s">
        <v>30</v>
      </c>
      <c r="B554" s="454"/>
      <c r="C554" s="454"/>
      <c r="D554" s="450"/>
      <c r="E554" s="71"/>
      <c r="F554" s="191">
        <f>ROUND(F552+F553,2)</f>
        <v>634.17999999999995</v>
      </c>
      <c r="G554" s="303"/>
      <c r="H554" s="183"/>
      <c r="I554" s="183"/>
    </row>
    <row r="555" spans="1:9">
      <c r="A555" s="490" t="s">
        <v>819</v>
      </c>
      <c r="B555" s="454"/>
      <c r="C555" s="454"/>
      <c r="D555" s="454"/>
      <c r="E555" s="454"/>
      <c r="F555" s="450"/>
      <c r="G555" s="68" t="s">
        <v>820</v>
      </c>
      <c r="H555" s="350"/>
      <c r="I555" s="350"/>
    </row>
    <row r="556" spans="1:9">
      <c r="A556" s="491">
        <v>116</v>
      </c>
      <c r="B556" s="491"/>
      <c r="C556" s="484" t="s">
        <v>527</v>
      </c>
      <c r="D556" s="454"/>
      <c r="E556" s="450"/>
      <c r="F556" s="484"/>
      <c r="G556" s="450"/>
      <c r="H556" s="348"/>
      <c r="I556" s="348"/>
    </row>
    <row r="557" spans="1:9">
      <c r="A557" s="457"/>
      <c r="B557" s="457"/>
      <c r="C557" s="66" t="s">
        <v>26</v>
      </c>
      <c r="D557" s="67">
        <v>0.37</v>
      </c>
      <c r="E557" s="67">
        <v>784</v>
      </c>
      <c r="F557" s="67">
        <f>E557*D557</f>
        <v>290.08</v>
      </c>
      <c r="G557" s="66" t="s">
        <v>822</v>
      </c>
      <c r="H557" s="351"/>
      <c r="I557" s="351"/>
    </row>
    <row r="558" spans="1:9">
      <c r="A558" s="491">
        <v>114</v>
      </c>
      <c r="B558" s="491"/>
      <c r="C558" s="484" t="s">
        <v>1925</v>
      </c>
      <c r="D558" s="454"/>
      <c r="E558" s="450"/>
      <c r="F558" s="484"/>
      <c r="G558" s="450"/>
      <c r="H558" s="348"/>
      <c r="I558" s="348"/>
    </row>
    <row r="559" spans="1:9">
      <c r="A559" s="457"/>
      <c r="B559" s="457"/>
      <c r="C559" s="66" t="s">
        <v>26</v>
      </c>
      <c r="D559" s="67">
        <v>0.97</v>
      </c>
      <c r="E559" s="67">
        <v>645</v>
      </c>
      <c r="F559" s="67">
        <f>E559*D559</f>
        <v>625.65</v>
      </c>
      <c r="G559" s="66" t="s">
        <v>825</v>
      </c>
      <c r="H559" s="351"/>
      <c r="I559" s="351"/>
    </row>
    <row r="560" spans="1:9">
      <c r="A560" s="491">
        <v>114</v>
      </c>
      <c r="B560" s="491"/>
      <c r="C560" s="484" t="s">
        <v>59</v>
      </c>
      <c r="D560" s="454"/>
      <c r="E560" s="450"/>
      <c r="F560" s="484"/>
      <c r="G560" s="450"/>
      <c r="H560" s="348"/>
      <c r="I560" s="348"/>
    </row>
    <row r="561" spans="1:9">
      <c r="A561" s="457"/>
      <c r="B561" s="457"/>
      <c r="C561" s="66" t="s">
        <v>26</v>
      </c>
      <c r="D561" s="67">
        <v>0.8</v>
      </c>
      <c r="E561" s="67">
        <v>645</v>
      </c>
      <c r="F561" s="67">
        <f>D561*E561</f>
        <v>516</v>
      </c>
      <c r="G561" s="66" t="s">
        <v>837</v>
      </c>
      <c r="H561" s="351"/>
      <c r="I561" s="351"/>
    </row>
    <row r="562" spans="1:9">
      <c r="A562" s="491">
        <v>115</v>
      </c>
      <c r="B562" s="491"/>
      <c r="C562" s="484" t="s">
        <v>25</v>
      </c>
      <c r="D562" s="454"/>
      <c r="E562" s="450"/>
      <c r="F562" s="484"/>
      <c r="G562" s="450"/>
      <c r="H562" s="348"/>
      <c r="I562" s="348"/>
    </row>
    <row r="563" spans="1:9">
      <c r="A563" s="457"/>
      <c r="B563" s="457"/>
      <c r="C563" s="66" t="s">
        <v>26</v>
      </c>
      <c r="D563" s="67">
        <v>0.8</v>
      </c>
      <c r="E563" s="67">
        <v>645</v>
      </c>
      <c r="F563" s="67">
        <f>D563*E563</f>
        <v>516</v>
      </c>
      <c r="G563" s="66" t="s">
        <v>1927</v>
      </c>
      <c r="H563" s="351"/>
      <c r="I563" s="351"/>
    </row>
    <row r="564" spans="1:9">
      <c r="A564" s="492" t="s">
        <v>1928</v>
      </c>
      <c r="B564" s="454"/>
      <c r="C564" s="450"/>
      <c r="D564" s="67">
        <v>10</v>
      </c>
      <c r="E564" s="70" t="s">
        <v>21</v>
      </c>
      <c r="F564" s="67">
        <f>F563+F561+F559+F557</f>
        <v>1947.73</v>
      </c>
      <c r="G564" s="71"/>
      <c r="H564" s="348"/>
      <c r="I564" s="348"/>
    </row>
    <row r="565" spans="1:9">
      <c r="A565" s="492" t="s">
        <v>826</v>
      </c>
      <c r="B565" s="454"/>
      <c r="C565" s="450"/>
      <c r="D565" s="67">
        <v>1</v>
      </c>
      <c r="E565" s="70" t="s">
        <v>21</v>
      </c>
      <c r="F565" s="67">
        <f>F564/10</f>
        <v>194.773</v>
      </c>
      <c r="G565" s="71"/>
      <c r="H565" s="348"/>
      <c r="I565" s="348"/>
    </row>
    <row r="566" spans="1:9">
      <c r="A566" s="493" t="s">
        <v>829</v>
      </c>
      <c r="B566" s="454"/>
      <c r="C566" s="454"/>
      <c r="D566" s="450"/>
      <c r="E566" s="67"/>
      <c r="F566" s="67">
        <f>F565*1%</f>
        <v>1.94773</v>
      </c>
      <c r="G566" s="71"/>
      <c r="H566" s="348"/>
      <c r="I566" s="348"/>
    </row>
    <row r="567" spans="1:9">
      <c r="A567" s="493" t="s">
        <v>30</v>
      </c>
      <c r="B567" s="454"/>
      <c r="C567" s="454"/>
      <c r="D567" s="450"/>
      <c r="E567" s="71"/>
      <c r="F567" s="67">
        <f>F565+F566</f>
        <v>196.72073</v>
      </c>
      <c r="G567" s="71"/>
      <c r="H567" s="348"/>
      <c r="I567" s="348"/>
    </row>
    <row r="568" spans="1:9">
      <c r="A568" s="493" t="s">
        <v>836</v>
      </c>
      <c r="B568" s="454"/>
      <c r="C568" s="454"/>
      <c r="D568" s="450"/>
      <c r="E568" s="67"/>
      <c r="F568" s="67">
        <f>F567*15%</f>
        <v>29.5081095</v>
      </c>
      <c r="G568" s="71"/>
      <c r="H568" s="348"/>
      <c r="I568" s="348"/>
    </row>
    <row r="569" spans="1:9">
      <c r="A569" s="493" t="s">
        <v>30</v>
      </c>
      <c r="B569" s="454"/>
      <c r="C569" s="454"/>
      <c r="D569" s="450"/>
      <c r="E569" s="71"/>
      <c r="F569" s="191">
        <f>ROUND(F567+F568,2)</f>
        <v>226.23</v>
      </c>
      <c r="G569" s="71"/>
      <c r="H569" s="348"/>
      <c r="I569" s="348"/>
    </row>
    <row r="570" spans="1:9">
      <c r="A570" s="594" t="str">
        <f>CONCATENATE("Say ₹ ",F554," + ",F569," x Cost Index")</f>
        <v>Say ₹ 634.18 + 226.23 x Cost Index</v>
      </c>
      <c r="B570" s="454"/>
      <c r="C570" s="454"/>
      <c r="D570" s="454"/>
      <c r="E570" s="454"/>
      <c r="F570" s="454"/>
      <c r="G570" s="450"/>
      <c r="H570" s="229">
        <f>((F548*1.01*1.15)/10)</f>
        <v>634.17899999999997</v>
      </c>
      <c r="I570" s="229">
        <f>((SUM(F557,F559,F561,F563)*1.01*1.15)/10)</f>
        <v>226.22883949999999</v>
      </c>
    </row>
  </sheetData>
  <mergeCells count="7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 ref="C397:E397"/>
    <mergeCell ref="F397:G397"/>
    <mergeCell ref="F391:G391"/>
    <mergeCell ref="A393:G393"/>
    <mergeCell ref="F394:G394"/>
    <mergeCell ref="B395:G395"/>
    <mergeCell ref="A396:F396"/>
    <mergeCell ref="A397:A398"/>
    <mergeCell ref="B397:B398"/>
    <mergeCell ref="A389:D389"/>
    <mergeCell ref="A391:A392"/>
    <mergeCell ref="B391:B392"/>
    <mergeCell ref="C391:E391"/>
    <mergeCell ref="B382:B383"/>
    <mergeCell ref="A384:C384"/>
    <mergeCell ref="A385:C385"/>
    <mergeCell ref="A386:D386"/>
    <mergeCell ref="A387:D387"/>
    <mergeCell ref="A388:D388"/>
    <mergeCell ref="A390:G390"/>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C367:E367"/>
    <mergeCell ref="F367:G367"/>
    <mergeCell ref="F361:G361"/>
    <mergeCell ref="A363:G363"/>
    <mergeCell ref="F364:G364"/>
    <mergeCell ref="B365:G365"/>
    <mergeCell ref="A366:F366"/>
    <mergeCell ref="A367:A368"/>
    <mergeCell ref="B367:B368"/>
    <mergeCell ref="A359:D359"/>
    <mergeCell ref="A361:A362"/>
    <mergeCell ref="B361:B362"/>
    <mergeCell ref="C361:E361"/>
    <mergeCell ref="B352:B353"/>
    <mergeCell ref="A354:C354"/>
    <mergeCell ref="A355:C355"/>
    <mergeCell ref="A356:D356"/>
    <mergeCell ref="A357:D357"/>
    <mergeCell ref="A358:D358"/>
    <mergeCell ref="A360:G360"/>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C337:E337"/>
    <mergeCell ref="F337:G337"/>
    <mergeCell ref="F331:G331"/>
    <mergeCell ref="A333:G333"/>
    <mergeCell ref="F334:G334"/>
    <mergeCell ref="B335:G335"/>
    <mergeCell ref="A336:F336"/>
    <mergeCell ref="A337:A338"/>
    <mergeCell ref="B337:B338"/>
    <mergeCell ref="A329:D329"/>
    <mergeCell ref="A331:A332"/>
    <mergeCell ref="B331:B332"/>
    <mergeCell ref="C331:E331"/>
    <mergeCell ref="B322:B323"/>
    <mergeCell ref="A324:C324"/>
    <mergeCell ref="A325:C325"/>
    <mergeCell ref="A326:D326"/>
    <mergeCell ref="A327:D327"/>
    <mergeCell ref="A328:D328"/>
    <mergeCell ref="A330:G330"/>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C307:E307"/>
    <mergeCell ref="F307:G307"/>
    <mergeCell ref="F301:G301"/>
    <mergeCell ref="A303:G303"/>
    <mergeCell ref="F304:G304"/>
    <mergeCell ref="B305:G305"/>
    <mergeCell ref="A306:F306"/>
    <mergeCell ref="A307:A308"/>
    <mergeCell ref="B307:B308"/>
    <mergeCell ref="A299:D299"/>
    <mergeCell ref="A301:A302"/>
    <mergeCell ref="B301:B302"/>
    <mergeCell ref="C301:E301"/>
    <mergeCell ref="B292:B293"/>
    <mergeCell ref="A294:C294"/>
    <mergeCell ref="A295:C295"/>
    <mergeCell ref="A296:D296"/>
    <mergeCell ref="A297:D297"/>
    <mergeCell ref="A298:D298"/>
    <mergeCell ref="A300:G300"/>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C277:E277"/>
    <mergeCell ref="F277:G277"/>
    <mergeCell ref="F271:G271"/>
    <mergeCell ref="A273:G273"/>
    <mergeCell ref="F274:G274"/>
    <mergeCell ref="B275:G275"/>
    <mergeCell ref="A276:F276"/>
    <mergeCell ref="A277:A278"/>
    <mergeCell ref="B277:B278"/>
    <mergeCell ref="A269:D269"/>
    <mergeCell ref="A271:A272"/>
    <mergeCell ref="B271:B272"/>
    <mergeCell ref="C271:E271"/>
    <mergeCell ref="B262:B263"/>
    <mergeCell ref="A264:C264"/>
    <mergeCell ref="A265:C265"/>
    <mergeCell ref="A266:D266"/>
    <mergeCell ref="A267:D267"/>
    <mergeCell ref="A268:D268"/>
    <mergeCell ref="A270:G270"/>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C247:E247"/>
    <mergeCell ref="F247:G247"/>
    <mergeCell ref="F241:G241"/>
    <mergeCell ref="A243:G243"/>
    <mergeCell ref="F244:G244"/>
    <mergeCell ref="B245:G245"/>
    <mergeCell ref="A246:F246"/>
    <mergeCell ref="A247:A248"/>
    <mergeCell ref="B247:B248"/>
    <mergeCell ref="A239:D239"/>
    <mergeCell ref="A241:A242"/>
    <mergeCell ref="B241:B242"/>
    <mergeCell ref="C241:E241"/>
    <mergeCell ref="B232:B233"/>
    <mergeCell ref="A234:C234"/>
    <mergeCell ref="A235:C235"/>
    <mergeCell ref="A236:D236"/>
    <mergeCell ref="A237:D237"/>
    <mergeCell ref="A238:D238"/>
    <mergeCell ref="A240:G240"/>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C217:E217"/>
    <mergeCell ref="F217:G217"/>
    <mergeCell ref="F211:G211"/>
    <mergeCell ref="A213:G213"/>
    <mergeCell ref="F214:G214"/>
    <mergeCell ref="B215:G215"/>
    <mergeCell ref="A216:F216"/>
    <mergeCell ref="A217:A218"/>
    <mergeCell ref="B217:B218"/>
    <mergeCell ref="A209:D209"/>
    <mergeCell ref="A211:A212"/>
    <mergeCell ref="B211:B212"/>
    <mergeCell ref="C211:E211"/>
    <mergeCell ref="B202:B203"/>
    <mergeCell ref="A204:C204"/>
    <mergeCell ref="A205:C205"/>
    <mergeCell ref="A206:D206"/>
    <mergeCell ref="A207:D207"/>
    <mergeCell ref="A208:D208"/>
    <mergeCell ref="A210:G210"/>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C517:E517"/>
    <mergeCell ref="F517:G517"/>
    <mergeCell ref="F511:G511"/>
    <mergeCell ref="A513:G513"/>
    <mergeCell ref="F514:G514"/>
    <mergeCell ref="B515:G515"/>
    <mergeCell ref="A516:F516"/>
    <mergeCell ref="A517:A518"/>
    <mergeCell ref="B517:B518"/>
    <mergeCell ref="A509:D509"/>
    <mergeCell ref="A511:A512"/>
    <mergeCell ref="B511:B512"/>
    <mergeCell ref="C511:E511"/>
    <mergeCell ref="B502:B503"/>
    <mergeCell ref="A504:C504"/>
    <mergeCell ref="A505:C505"/>
    <mergeCell ref="A506:D506"/>
    <mergeCell ref="A507:D507"/>
    <mergeCell ref="A508:D508"/>
    <mergeCell ref="A510:G510"/>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C547:E547"/>
    <mergeCell ref="F547:G547"/>
    <mergeCell ref="F541:G541"/>
    <mergeCell ref="A543:G543"/>
    <mergeCell ref="F544:G544"/>
    <mergeCell ref="B545:G545"/>
    <mergeCell ref="A546:F546"/>
    <mergeCell ref="A547:A548"/>
    <mergeCell ref="B547:B548"/>
    <mergeCell ref="A539:D539"/>
    <mergeCell ref="A541:A542"/>
    <mergeCell ref="B541:B542"/>
    <mergeCell ref="C541:E541"/>
    <mergeCell ref="B532:B533"/>
    <mergeCell ref="A534:C534"/>
    <mergeCell ref="A535:C535"/>
    <mergeCell ref="A536:D536"/>
    <mergeCell ref="A537:D537"/>
    <mergeCell ref="A538:D538"/>
    <mergeCell ref="A540:G540"/>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C487:E487"/>
    <mergeCell ref="F487:G487"/>
    <mergeCell ref="F481:G481"/>
    <mergeCell ref="A483:G483"/>
    <mergeCell ref="F484:G484"/>
    <mergeCell ref="B485:G485"/>
    <mergeCell ref="A486:F486"/>
    <mergeCell ref="A487:A488"/>
    <mergeCell ref="B487:B488"/>
    <mergeCell ref="A479:D479"/>
    <mergeCell ref="A481:A482"/>
    <mergeCell ref="B481:B482"/>
    <mergeCell ref="C481:E481"/>
    <mergeCell ref="B472:B473"/>
    <mergeCell ref="A474:C474"/>
    <mergeCell ref="A475:C475"/>
    <mergeCell ref="A476:D476"/>
    <mergeCell ref="A477:D477"/>
    <mergeCell ref="A478:D478"/>
    <mergeCell ref="A480:G480"/>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C457:E457"/>
    <mergeCell ref="F457:G457"/>
    <mergeCell ref="F451:G451"/>
    <mergeCell ref="A453:G453"/>
    <mergeCell ref="F454:G454"/>
    <mergeCell ref="B455:G455"/>
    <mergeCell ref="A456:F456"/>
    <mergeCell ref="A457:A458"/>
    <mergeCell ref="B457:B458"/>
    <mergeCell ref="A449:D449"/>
    <mergeCell ref="A451:A452"/>
    <mergeCell ref="B451:B452"/>
    <mergeCell ref="C451:E451"/>
    <mergeCell ref="B442:B443"/>
    <mergeCell ref="A444:C444"/>
    <mergeCell ref="A445:C445"/>
    <mergeCell ref="A446:D446"/>
    <mergeCell ref="A447:D447"/>
    <mergeCell ref="A448:D448"/>
    <mergeCell ref="A450:G450"/>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C427:E427"/>
    <mergeCell ref="F427:G427"/>
    <mergeCell ref="F421:G421"/>
    <mergeCell ref="A423:G423"/>
    <mergeCell ref="F424:G424"/>
    <mergeCell ref="B425:G425"/>
    <mergeCell ref="A426:F426"/>
    <mergeCell ref="A427:A428"/>
    <mergeCell ref="B427:B428"/>
    <mergeCell ref="A419:D419"/>
    <mergeCell ref="A421:A422"/>
    <mergeCell ref="B421:B422"/>
    <mergeCell ref="C421:E421"/>
    <mergeCell ref="B412:B413"/>
    <mergeCell ref="A414:C414"/>
    <mergeCell ref="A415:C415"/>
    <mergeCell ref="A416:D416"/>
    <mergeCell ref="A417:D417"/>
    <mergeCell ref="A418:D418"/>
    <mergeCell ref="A420:G420"/>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C187:E187"/>
    <mergeCell ref="F187:G187"/>
    <mergeCell ref="F181:G181"/>
    <mergeCell ref="A183:G183"/>
    <mergeCell ref="F184:G184"/>
    <mergeCell ref="B185:G185"/>
    <mergeCell ref="A186:F186"/>
    <mergeCell ref="A187:A188"/>
    <mergeCell ref="B187:B188"/>
    <mergeCell ref="A179:D179"/>
    <mergeCell ref="A181:A182"/>
    <mergeCell ref="B181:B182"/>
    <mergeCell ref="C181:E181"/>
    <mergeCell ref="B172:B173"/>
    <mergeCell ref="A174:C174"/>
    <mergeCell ref="A175:C175"/>
    <mergeCell ref="A176:D176"/>
    <mergeCell ref="A177:D177"/>
    <mergeCell ref="A178:D178"/>
    <mergeCell ref="A180:G180"/>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C157:E157"/>
    <mergeCell ref="F157:G157"/>
    <mergeCell ref="F151:G151"/>
    <mergeCell ref="A153:G153"/>
    <mergeCell ref="F154:G154"/>
    <mergeCell ref="B155:G155"/>
    <mergeCell ref="A156:F156"/>
    <mergeCell ref="A157:A158"/>
    <mergeCell ref="B157:B158"/>
    <mergeCell ref="A149:D149"/>
    <mergeCell ref="A151:A152"/>
    <mergeCell ref="B151:B152"/>
    <mergeCell ref="C151:E151"/>
    <mergeCell ref="B142:B143"/>
    <mergeCell ref="A144:C144"/>
    <mergeCell ref="A145:C145"/>
    <mergeCell ref="A146:D146"/>
    <mergeCell ref="A147:D147"/>
    <mergeCell ref="A148:D148"/>
    <mergeCell ref="A150:G150"/>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C127:E127"/>
    <mergeCell ref="F127:G127"/>
    <mergeCell ref="F121:G121"/>
    <mergeCell ref="A123:G123"/>
    <mergeCell ref="F124:G124"/>
    <mergeCell ref="B125:G125"/>
    <mergeCell ref="A126:F126"/>
    <mergeCell ref="A127:A128"/>
    <mergeCell ref="B127:B128"/>
    <mergeCell ref="A119:D119"/>
    <mergeCell ref="A121:A122"/>
    <mergeCell ref="B121:B122"/>
    <mergeCell ref="C121:E121"/>
    <mergeCell ref="B112:B113"/>
    <mergeCell ref="A114:C114"/>
    <mergeCell ref="A115:C115"/>
    <mergeCell ref="A116:D116"/>
    <mergeCell ref="A117:D117"/>
    <mergeCell ref="A118:D118"/>
    <mergeCell ref="A120:G120"/>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C97:E97"/>
    <mergeCell ref="F97:G97"/>
    <mergeCell ref="F91:G91"/>
    <mergeCell ref="A93:G93"/>
    <mergeCell ref="F94:G94"/>
    <mergeCell ref="B95:G95"/>
    <mergeCell ref="A96:F96"/>
    <mergeCell ref="A97:A98"/>
    <mergeCell ref="B97:B98"/>
    <mergeCell ref="A89:D89"/>
    <mergeCell ref="A91:A92"/>
    <mergeCell ref="B91:B92"/>
    <mergeCell ref="C91:E91"/>
    <mergeCell ref="B82:B83"/>
    <mergeCell ref="A84:C84"/>
    <mergeCell ref="A85:C85"/>
    <mergeCell ref="A86:D86"/>
    <mergeCell ref="A87:D87"/>
    <mergeCell ref="A88:D88"/>
    <mergeCell ref="A90:G90"/>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C67:E67"/>
    <mergeCell ref="F67:G67"/>
    <mergeCell ref="F61:G61"/>
    <mergeCell ref="A63:G63"/>
    <mergeCell ref="F64:G64"/>
    <mergeCell ref="B65:G65"/>
    <mergeCell ref="A66:F66"/>
    <mergeCell ref="A67:A68"/>
    <mergeCell ref="B67:B68"/>
    <mergeCell ref="A54:C54"/>
    <mergeCell ref="B61:B62"/>
    <mergeCell ref="C61:E61"/>
    <mergeCell ref="A55:C55"/>
    <mergeCell ref="A56:D56"/>
    <mergeCell ref="A57:D57"/>
    <mergeCell ref="A58:D58"/>
    <mergeCell ref="A59:D59"/>
    <mergeCell ref="A60:G60"/>
    <mergeCell ref="A61:A62"/>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B35:G35"/>
    <mergeCell ref="A36:F36"/>
    <mergeCell ref="A37:A38"/>
    <mergeCell ref="B37:B38"/>
    <mergeCell ref="C37:E37"/>
    <mergeCell ref="F37:G37"/>
    <mergeCell ref="A39:C39"/>
    <mergeCell ref="B46:B47"/>
    <mergeCell ref="C46:E46"/>
    <mergeCell ref="F46:G46"/>
    <mergeCell ref="A24:C24"/>
    <mergeCell ref="A25:C25"/>
    <mergeCell ref="A26:D26"/>
    <mergeCell ref="A27:D27"/>
    <mergeCell ref="F31:G31"/>
    <mergeCell ref="F34:G34"/>
    <mergeCell ref="A28:D28"/>
    <mergeCell ref="A29:D29"/>
    <mergeCell ref="A30:G30"/>
    <mergeCell ref="A31:A32"/>
    <mergeCell ref="B31:B32"/>
    <mergeCell ref="C31:E31"/>
    <mergeCell ref="A33:G33"/>
    <mergeCell ref="C22:E22"/>
    <mergeCell ref="F22:G22"/>
    <mergeCell ref="A18:A19"/>
    <mergeCell ref="B18:B19"/>
    <mergeCell ref="C18:E18"/>
    <mergeCell ref="F18:G18"/>
    <mergeCell ref="B20:B21"/>
    <mergeCell ref="C20:E20"/>
    <mergeCell ref="F20:G20"/>
    <mergeCell ref="A20:A21"/>
    <mergeCell ref="A22:A23"/>
    <mergeCell ref="B22:B23"/>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01"/>
  <sheetViews>
    <sheetView workbookViewId="0"/>
  </sheetViews>
  <sheetFormatPr defaultColWidth="14.453125" defaultRowHeight="15" customHeight="1"/>
  <cols>
    <col min="1" max="1" width="7.81640625" customWidth="1"/>
    <col min="2" max="2" width="37.453125" customWidth="1"/>
    <col min="3" max="3" width="7.7265625" customWidth="1"/>
    <col min="4" max="4" width="11.08984375" customWidth="1"/>
    <col min="5" max="5" width="8" customWidth="1"/>
    <col min="6" max="6" width="14.7265625" customWidth="1"/>
  </cols>
  <sheetData>
    <row r="1" spans="1:6">
      <c r="A1" s="453" t="s">
        <v>1930</v>
      </c>
      <c r="B1" s="454"/>
      <c r="C1" s="454"/>
      <c r="D1" s="454"/>
      <c r="E1" s="454"/>
      <c r="F1" s="450"/>
    </row>
    <row r="2" spans="1:6">
      <c r="A2" s="98">
        <v>0</v>
      </c>
      <c r="B2" s="504" t="s">
        <v>1931</v>
      </c>
      <c r="C2" s="499"/>
      <c r="D2" s="499"/>
      <c r="E2" s="499"/>
      <c r="F2" s="500"/>
    </row>
    <row r="3" spans="1:6">
      <c r="A3" s="98" t="s">
        <v>3</v>
      </c>
      <c r="B3" s="98" t="s">
        <v>4</v>
      </c>
      <c r="C3" s="98" t="s">
        <v>5</v>
      </c>
      <c r="D3" s="98" t="s">
        <v>6</v>
      </c>
      <c r="E3" s="98" t="s">
        <v>7</v>
      </c>
      <c r="F3" s="98" t="s">
        <v>8</v>
      </c>
    </row>
    <row r="4" spans="1:6">
      <c r="A4" s="505"/>
      <c r="B4" s="106" t="s">
        <v>512</v>
      </c>
      <c r="C4" s="505"/>
      <c r="D4" s="505"/>
      <c r="E4" s="505"/>
      <c r="F4" s="505"/>
    </row>
    <row r="5" spans="1:6">
      <c r="A5" s="496"/>
      <c r="B5" s="106" t="s">
        <v>842</v>
      </c>
      <c r="C5" s="496"/>
      <c r="D5" s="496"/>
      <c r="E5" s="496"/>
      <c r="F5" s="496"/>
    </row>
    <row r="6" spans="1:6">
      <c r="A6" s="507" t="s">
        <v>19</v>
      </c>
      <c r="B6" s="111" t="s">
        <v>20</v>
      </c>
      <c r="C6" s="507" t="s">
        <v>21</v>
      </c>
      <c r="D6" s="507">
        <v>11.5</v>
      </c>
      <c r="E6" s="507">
        <f t="array" ref="E6">IFERROR(INDEX(LMRRates,MATCH(A6,LMRCodes,0), ), )</f>
        <v>281</v>
      </c>
      <c r="F6" s="508">
        <f>D6*E6</f>
        <v>3231.5</v>
      </c>
    </row>
    <row r="7" spans="1:6">
      <c r="A7" s="496"/>
      <c r="B7" s="106" t="s">
        <v>958</v>
      </c>
      <c r="C7" s="496"/>
      <c r="D7" s="496"/>
      <c r="E7" s="496"/>
      <c r="F7" s="496"/>
    </row>
    <row r="8" spans="1:6">
      <c r="A8" s="118"/>
      <c r="B8" s="509" t="s">
        <v>28</v>
      </c>
      <c r="C8" s="499"/>
      <c r="D8" s="499"/>
      <c r="E8" s="500"/>
      <c r="F8" s="121">
        <f>F6*0.01</f>
        <v>32.314999999999998</v>
      </c>
    </row>
    <row r="9" spans="1:6">
      <c r="A9" s="118"/>
      <c r="B9" s="509" t="s">
        <v>30</v>
      </c>
      <c r="C9" s="499"/>
      <c r="D9" s="499"/>
      <c r="E9" s="500"/>
      <c r="F9" s="121">
        <f>SUM(F6:F8)</f>
        <v>3263.8150000000001</v>
      </c>
    </row>
    <row r="10" spans="1:6">
      <c r="A10" s="118"/>
      <c r="B10" s="509" t="s">
        <v>36</v>
      </c>
      <c r="C10" s="499"/>
      <c r="D10" s="499"/>
      <c r="E10" s="500"/>
      <c r="F10" s="121">
        <f>F9*0.15</f>
        <v>489.57225</v>
      </c>
    </row>
    <row r="11" spans="1:6">
      <c r="A11" s="118"/>
      <c r="B11" s="509" t="s">
        <v>30</v>
      </c>
      <c r="C11" s="499"/>
      <c r="D11" s="499"/>
      <c r="E11" s="500"/>
      <c r="F11" s="121">
        <f>SUM(F9:F10)</f>
        <v>3753.3872500000002</v>
      </c>
    </row>
    <row r="12" spans="1:6">
      <c r="A12" s="118"/>
      <c r="B12" s="509" t="s">
        <v>539</v>
      </c>
      <c r="C12" s="499"/>
      <c r="D12" s="499"/>
      <c r="E12" s="500"/>
      <c r="F12" s="121">
        <f>F11</f>
        <v>3753.3872500000002</v>
      </c>
    </row>
    <row r="13" spans="1:6">
      <c r="A13" s="118"/>
      <c r="B13" s="509" t="s">
        <v>54</v>
      </c>
      <c r="C13" s="499"/>
      <c r="D13" s="499"/>
      <c r="E13" s="500"/>
      <c r="F13" s="321">
        <f>ROUND(F12/10,2)</f>
        <v>375.34</v>
      </c>
    </row>
    <row r="14" spans="1:6">
      <c r="A14" s="118">
        <v>116</v>
      </c>
      <c r="B14" s="106" t="s">
        <v>527</v>
      </c>
      <c r="C14" s="118" t="s">
        <v>26</v>
      </c>
      <c r="D14" s="129">
        <v>0.37</v>
      </c>
      <c r="E14" s="129">
        <v>784</v>
      </c>
      <c r="F14" s="121">
        <f t="shared" ref="F14:F15" si="0">D14*E14</f>
        <v>290.08</v>
      </c>
    </row>
    <row r="15" spans="1:6">
      <c r="A15" s="507">
        <v>114</v>
      </c>
      <c r="B15" s="106" t="s">
        <v>59</v>
      </c>
      <c r="C15" s="507" t="s">
        <v>26</v>
      </c>
      <c r="D15" s="507">
        <v>0.97</v>
      </c>
      <c r="E15" s="507">
        <v>645</v>
      </c>
      <c r="F15" s="631">
        <f t="shared" si="0"/>
        <v>625.65</v>
      </c>
    </row>
    <row r="16" spans="1:6">
      <c r="A16" s="496"/>
      <c r="B16" s="106" t="s">
        <v>1935</v>
      </c>
      <c r="C16" s="496"/>
      <c r="D16" s="496"/>
      <c r="E16" s="496"/>
      <c r="F16" s="496"/>
    </row>
    <row r="17" spans="1:6">
      <c r="A17" s="112">
        <v>114</v>
      </c>
      <c r="B17" s="105" t="s">
        <v>59</v>
      </c>
      <c r="C17" s="112" t="s">
        <v>26</v>
      </c>
      <c r="D17" s="113">
        <v>0.8</v>
      </c>
      <c r="E17" s="113">
        <v>645</v>
      </c>
      <c r="F17" s="352">
        <f t="shared" ref="F17:F18" si="1">D17*E17</f>
        <v>516</v>
      </c>
    </row>
    <row r="18" spans="1:6">
      <c r="A18" s="353">
        <v>115</v>
      </c>
      <c r="B18" s="354" t="s">
        <v>25</v>
      </c>
      <c r="C18" s="353" t="s">
        <v>26</v>
      </c>
      <c r="D18" s="355">
        <v>0.8</v>
      </c>
      <c r="E18" s="355">
        <v>645</v>
      </c>
      <c r="F18" s="356">
        <f t="shared" si="1"/>
        <v>516</v>
      </c>
    </row>
    <row r="19" spans="1:6">
      <c r="A19" s="354"/>
      <c r="B19" s="629" t="s">
        <v>27</v>
      </c>
      <c r="C19" s="454"/>
      <c r="D19" s="454"/>
      <c r="E19" s="450"/>
      <c r="F19" s="356">
        <f>SUM(F14:F18)</f>
        <v>1947.73</v>
      </c>
    </row>
    <row r="20" spans="1:6">
      <c r="A20" s="354"/>
      <c r="B20" s="629" t="s">
        <v>28</v>
      </c>
      <c r="C20" s="454"/>
      <c r="D20" s="454"/>
      <c r="E20" s="450"/>
      <c r="F20" s="356">
        <f>F19*0.01</f>
        <v>19.4773</v>
      </c>
    </row>
    <row r="21" spans="1:6">
      <c r="A21" s="354"/>
      <c r="B21" s="629" t="s">
        <v>30</v>
      </c>
      <c r="C21" s="454"/>
      <c r="D21" s="454"/>
      <c r="E21" s="450"/>
      <c r="F21" s="356">
        <f>SUM(F19:F20)</f>
        <v>1967.2073</v>
      </c>
    </row>
    <row r="22" spans="1:6">
      <c r="A22" s="354"/>
      <c r="B22" s="629" t="s">
        <v>36</v>
      </c>
      <c r="C22" s="454"/>
      <c r="D22" s="454"/>
      <c r="E22" s="450"/>
      <c r="F22" s="356">
        <f>F21*0.15</f>
        <v>295.081095</v>
      </c>
    </row>
    <row r="23" spans="1:6">
      <c r="A23" s="354"/>
      <c r="B23" s="629" t="s">
        <v>30</v>
      </c>
      <c r="C23" s="454"/>
      <c r="D23" s="454"/>
      <c r="E23" s="450"/>
      <c r="F23" s="356">
        <f>SUM(F21:F22)</f>
        <v>2262.288395</v>
      </c>
    </row>
    <row r="24" spans="1:6">
      <c r="A24" s="354"/>
      <c r="B24" s="629" t="s">
        <v>539</v>
      </c>
      <c r="C24" s="454"/>
      <c r="D24" s="454"/>
      <c r="E24" s="450"/>
      <c r="F24" s="356">
        <f>F23</f>
        <v>2262.288395</v>
      </c>
    </row>
    <row r="25" spans="1:6">
      <c r="A25" s="354"/>
      <c r="B25" s="629" t="s">
        <v>54</v>
      </c>
      <c r="C25" s="454"/>
      <c r="D25" s="454"/>
      <c r="E25" s="450"/>
      <c r="F25" s="321">
        <f>ROUND(F24/10,2)</f>
        <v>226.23</v>
      </c>
    </row>
    <row r="26" spans="1:6">
      <c r="A26" s="586" t="str">
        <f>CONCATENATE("Say ₹ ",F13," + ",F25," x Cost Index")</f>
        <v>Say ₹ 375.34 + 226.23 x Cost Index</v>
      </c>
      <c r="B26" s="454"/>
      <c r="C26" s="454"/>
      <c r="D26" s="454"/>
      <c r="E26" s="454"/>
      <c r="F26" s="450"/>
    </row>
    <row r="27" spans="1:6">
      <c r="A27" s="73">
        <v>0</v>
      </c>
      <c r="B27" s="498" t="s">
        <v>1989</v>
      </c>
      <c r="C27" s="499"/>
      <c r="D27" s="499"/>
      <c r="E27" s="499"/>
      <c r="F27" s="500"/>
    </row>
    <row r="28" spans="1:6">
      <c r="A28" s="73" t="s">
        <v>3</v>
      </c>
      <c r="B28" s="73" t="s">
        <v>4</v>
      </c>
      <c r="C28" s="73" t="s">
        <v>5</v>
      </c>
      <c r="D28" s="73" t="s">
        <v>6</v>
      </c>
      <c r="E28" s="73" t="s">
        <v>7</v>
      </c>
      <c r="F28" s="73" t="s">
        <v>8</v>
      </c>
    </row>
    <row r="29" spans="1:6">
      <c r="A29" s="495"/>
      <c r="B29" s="75" t="s">
        <v>512</v>
      </c>
      <c r="C29" s="495"/>
      <c r="D29" s="495"/>
      <c r="E29" s="495"/>
      <c r="F29" s="495"/>
    </row>
    <row r="30" spans="1:6">
      <c r="A30" s="496"/>
      <c r="B30" s="75" t="s">
        <v>842</v>
      </c>
      <c r="C30" s="496"/>
      <c r="D30" s="496"/>
      <c r="E30" s="496"/>
      <c r="F30" s="496"/>
    </row>
    <row r="31" spans="1:6">
      <c r="A31" s="497" t="s">
        <v>1887</v>
      </c>
      <c r="B31" s="76" t="s">
        <v>1889</v>
      </c>
      <c r="C31" s="497" t="s">
        <v>21</v>
      </c>
      <c r="D31" s="497">
        <v>11.5</v>
      </c>
      <c r="E31" s="497">
        <f t="array" ref="E31">IFERROR(INDEX(LMRRates,MATCH(A31,LMRCodes,0), ), )</f>
        <v>97</v>
      </c>
      <c r="F31" s="501">
        <f>D31*E31</f>
        <v>1115.5</v>
      </c>
    </row>
    <row r="32" spans="1:6">
      <c r="A32" s="496"/>
      <c r="B32" s="75" t="s">
        <v>958</v>
      </c>
      <c r="C32" s="496"/>
      <c r="D32" s="496"/>
      <c r="E32" s="496"/>
      <c r="F32" s="496"/>
    </row>
    <row r="33" spans="1:6">
      <c r="A33" s="80"/>
      <c r="B33" s="502" t="s">
        <v>28</v>
      </c>
      <c r="C33" s="499"/>
      <c r="D33" s="499"/>
      <c r="E33" s="500"/>
      <c r="F33" s="83">
        <f>F31*0.01</f>
        <v>11.154999999999999</v>
      </c>
    </row>
    <row r="34" spans="1:6">
      <c r="A34" s="80"/>
      <c r="B34" s="502" t="s">
        <v>30</v>
      </c>
      <c r="C34" s="499"/>
      <c r="D34" s="499"/>
      <c r="E34" s="500"/>
      <c r="F34" s="83">
        <f>SUM(F31:F33)</f>
        <v>1126.655</v>
      </c>
    </row>
    <row r="35" spans="1:6">
      <c r="A35" s="80"/>
      <c r="B35" s="502" t="s">
        <v>36</v>
      </c>
      <c r="C35" s="499"/>
      <c r="D35" s="499"/>
      <c r="E35" s="500"/>
      <c r="F35" s="83">
        <f>F34*0.15</f>
        <v>168.99824999999998</v>
      </c>
    </row>
    <row r="36" spans="1:6">
      <c r="A36" s="80"/>
      <c r="B36" s="502" t="s">
        <v>30</v>
      </c>
      <c r="C36" s="499"/>
      <c r="D36" s="499"/>
      <c r="E36" s="500"/>
      <c r="F36" s="83">
        <f>SUM(F34:F35)</f>
        <v>1295.6532499999998</v>
      </c>
    </row>
    <row r="37" spans="1:6">
      <c r="A37" s="80"/>
      <c r="B37" s="502" t="s">
        <v>539</v>
      </c>
      <c r="C37" s="499"/>
      <c r="D37" s="499"/>
      <c r="E37" s="500"/>
      <c r="F37" s="83">
        <f>F36</f>
        <v>1295.6532499999998</v>
      </c>
    </row>
    <row r="38" spans="1:6">
      <c r="A38" s="80"/>
      <c r="B38" s="502" t="s">
        <v>54</v>
      </c>
      <c r="C38" s="499"/>
      <c r="D38" s="499"/>
      <c r="E38" s="500"/>
      <c r="F38" s="323">
        <f>ROUND(F37/10,2)</f>
        <v>129.57</v>
      </c>
    </row>
    <row r="39" spans="1:6">
      <c r="A39" s="80">
        <v>116</v>
      </c>
      <c r="B39" s="75" t="s">
        <v>527</v>
      </c>
      <c r="C39" s="80" t="s">
        <v>26</v>
      </c>
      <c r="D39" s="85">
        <v>0.25</v>
      </c>
      <c r="E39" s="85">
        <v>784</v>
      </c>
      <c r="F39" s="83">
        <f t="shared" ref="F39:F40" si="2">D39*E39</f>
        <v>196</v>
      </c>
    </row>
    <row r="40" spans="1:6">
      <c r="A40" s="497">
        <v>114</v>
      </c>
      <c r="B40" s="75" t="s">
        <v>59</v>
      </c>
      <c r="C40" s="497" t="s">
        <v>26</v>
      </c>
      <c r="D40" s="497">
        <v>0.66</v>
      </c>
      <c r="E40" s="497">
        <v>645</v>
      </c>
      <c r="F40" s="632">
        <f t="shared" si="2"/>
        <v>425.70000000000005</v>
      </c>
    </row>
    <row r="41" spans="1:6">
      <c r="A41" s="496"/>
      <c r="B41" s="75" t="s">
        <v>1935</v>
      </c>
      <c r="C41" s="496"/>
      <c r="D41" s="496"/>
      <c r="E41" s="496"/>
      <c r="F41" s="496"/>
    </row>
    <row r="42" spans="1:6">
      <c r="A42" s="77">
        <v>114</v>
      </c>
      <c r="B42" s="74" t="s">
        <v>59</v>
      </c>
      <c r="C42" s="77" t="s">
        <v>26</v>
      </c>
      <c r="D42" s="77">
        <v>0.66</v>
      </c>
      <c r="E42" s="78">
        <v>645</v>
      </c>
      <c r="F42" s="364">
        <f t="shared" ref="F42:F43" si="3">D42*E42</f>
        <v>425.70000000000005</v>
      </c>
    </row>
    <row r="43" spans="1:6">
      <c r="A43" s="365">
        <v>115</v>
      </c>
      <c r="B43" s="366" t="s">
        <v>25</v>
      </c>
      <c r="C43" s="365" t="s">
        <v>26</v>
      </c>
      <c r="D43" s="365">
        <v>0.66</v>
      </c>
      <c r="E43" s="367">
        <v>645</v>
      </c>
      <c r="F43" s="368">
        <f t="shared" si="3"/>
        <v>425.70000000000005</v>
      </c>
    </row>
    <row r="44" spans="1:6">
      <c r="A44" s="366"/>
      <c r="B44" s="470" t="s">
        <v>27</v>
      </c>
      <c r="C44" s="454"/>
      <c r="D44" s="454"/>
      <c r="E44" s="450"/>
      <c r="F44" s="368">
        <f>SUM(F39:F43)</f>
        <v>1473.1000000000001</v>
      </c>
    </row>
    <row r="45" spans="1:6">
      <c r="A45" s="366"/>
      <c r="B45" s="470" t="s">
        <v>28</v>
      </c>
      <c r="C45" s="454"/>
      <c r="D45" s="454"/>
      <c r="E45" s="450"/>
      <c r="F45" s="368">
        <f>F44*0.01</f>
        <v>14.731000000000002</v>
      </c>
    </row>
    <row r="46" spans="1:6">
      <c r="A46" s="366"/>
      <c r="B46" s="470" t="s">
        <v>30</v>
      </c>
      <c r="C46" s="454"/>
      <c r="D46" s="454"/>
      <c r="E46" s="450"/>
      <c r="F46" s="368">
        <f>SUM(F44:F45)</f>
        <v>1487.8310000000001</v>
      </c>
    </row>
    <row r="47" spans="1:6">
      <c r="A47" s="366"/>
      <c r="B47" s="470" t="s">
        <v>36</v>
      </c>
      <c r="C47" s="454"/>
      <c r="D47" s="454"/>
      <c r="E47" s="450"/>
      <c r="F47" s="368">
        <f>F46*0.15</f>
        <v>223.17465000000001</v>
      </c>
    </row>
    <row r="48" spans="1:6">
      <c r="A48" s="366"/>
      <c r="B48" s="470" t="s">
        <v>30</v>
      </c>
      <c r="C48" s="454"/>
      <c r="D48" s="454"/>
      <c r="E48" s="450"/>
      <c r="F48" s="368">
        <f>SUM(F46:F47)</f>
        <v>1711.0056500000001</v>
      </c>
    </row>
    <row r="49" spans="1:6">
      <c r="A49" s="366"/>
      <c r="B49" s="470" t="s">
        <v>539</v>
      </c>
      <c r="C49" s="454"/>
      <c r="D49" s="454"/>
      <c r="E49" s="450"/>
      <c r="F49" s="368">
        <f>F48</f>
        <v>1711.0056500000001</v>
      </c>
    </row>
    <row r="50" spans="1:6">
      <c r="A50" s="366"/>
      <c r="B50" s="470" t="s">
        <v>54</v>
      </c>
      <c r="C50" s="454"/>
      <c r="D50" s="454"/>
      <c r="E50" s="450"/>
      <c r="F50" s="323">
        <f>ROUND(F49/10,2)</f>
        <v>171.1</v>
      </c>
    </row>
    <row r="51" spans="1:6">
      <c r="A51" s="459" t="str">
        <f>CONCATENATE("Say ₹ ",F38," + ",F50," x Cost Index")</f>
        <v>Say ₹ 129.57 + 171.1 x Cost Index</v>
      </c>
      <c r="B51" s="454"/>
      <c r="C51" s="454"/>
      <c r="D51" s="454"/>
      <c r="E51" s="454"/>
      <c r="F51" s="450"/>
    </row>
    <row r="52" spans="1:6">
      <c r="A52" s="98">
        <v>0</v>
      </c>
      <c r="B52" s="504" t="s">
        <v>2005</v>
      </c>
      <c r="C52" s="499"/>
      <c r="D52" s="499"/>
      <c r="E52" s="499"/>
      <c r="F52" s="500"/>
    </row>
    <row r="53" spans="1:6">
      <c r="A53" s="98" t="s">
        <v>3</v>
      </c>
      <c r="B53" s="98" t="s">
        <v>4</v>
      </c>
      <c r="C53" s="98" t="s">
        <v>5</v>
      </c>
      <c r="D53" s="98" t="s">
        <v>6</v>
      </c>
      <c r="E53" s="98" t="s">
        <v>7</v>
      </c>
      <c r="F53" s="98" t="s">
        <v>8</v>
      </c>
    </row>
    <row r="54" spans="1:6">
      <c r="A54" s="505"/>
      <c r="B54" s="106" t="s">
        <v>512</v>
      </c>
      <c r="C54" s="505"/>
      <c r="D54" s="505"/>
      <c r="E54" s="505"/>
      <c r="F54" s="505"/>
    </row>
    <row r="55" spans="1:6">
      <c r="A55" s="496"/>
      <c r="B55" s="106" t="s">
        <v>842</v>
      </c>
      <c r="C55" s="496"/>
      <c r="D55" s="496"/>
      <c r="E55" s="496"/>
      <c r="F55" s="496"/>
    </row>
    <row r="56" spans="1:6">
      <c r="A56" s="507" t="s">
        <v>1897</v>
      </c>
      <c r="B56" s="111" t="s">
        <v>2008</v>
      </c>
      <c r="C56" s="507" t="s">
        <v>21</v>
      </c>
      <c r="D56" s="507">
        <v>11.5</v>
      </c>
      <c r="E56" s="507">
        <f t="array" ref="E56">IFERROR(INDEX(LMRRates,MATCH(A56,LMRCodes,0), ), )</f>
        <v>195</v>
      </c>
      <c r="F56" s="508">
        <f>D56*E56</f>
        <v>2242.5</v>
      </c>
    </row>
    <row r="57" spans="1:6">
      <c r="A57" s="496"/>
      <c r="B57" s="106" t="s">
        <v>958</v>
      </c>
      <c r="C57" s="496"/>
      <c r="D57" s="496"/>
      <c r="E57" s="496"/>
      <c r="F57" s="496"/>
    </row>
    <row r="58" spans="1:6">
      <c r="A58" s="118"/>
      <c r="B58" s="509" t="s">
        <v>28</v>
      </c>
      <c r="C58" s="499"/>
      <c r="D58" s="499"/>
      <c r="E58" s="500"/>
      <c r="F58" s="121">
        <f>F56*0.01</f>
        <v>22.425000000000001</v>
      </c>
    </row>
    <row r="59" spans="1:6">
      <c r="A59" s="118"/>
      <c r="B59" s="509" t="s">
        <v>30</v>
      </c>
      <c r="C59" s="499"/>
      <c r="D59" s="499"/>
      <c r="E59" s="500"/>
      <c r="F59" s="121">
        <f>SUM(F56:F58)</f>
        <v>2264.9250000000002</v>
      </c>
    </row>
    <row r="60" spans="1:6">
      <c r="A60" s="118"/>
      <c r="B60" s="509" t="s">
        <v>36</v>
      </c>
      <c r="C60" s="499"/>
      <c r="D60" s="499"/>
      <c r="E60" s="500"/>
      <c r="F60" s="121">
        <f>F59*0.15</f>
        <v>339.73875000000004</v>
      </c>
    </row>
    <row r="61" spans="1:6">
      <c r="A61" s="118"/>
      <c r="B61" s="509" t="s">
        <v>30</v>
      </c>
      <c r="C61" s="499"/>
      <c r="D61" s="499"/>
      <c r="E61" s="500"/>
      <c r="F61" s="121">
        <f>SUM(F59:F60)</f>
        <v>2604.6637500000002</v>
      </c>
    </row>
    <row r="62" spans="1:6">
      <c r="A62" s="118"/>
      <c r="B62" s="509" t="s">
        <v>539</v>
      </c>
      <c r="C62" s="499"/>
      <c r="D62" s="499"/>
      <c r="E62" s="500"/>
      <c r="F62" s="121">
        <f>F61</f>
        <v>2604.6637500000002</v>
      </c>
    </row>
    <row r="63" spans="1:6">
      <c r="A63" s="118"/>
      <c r="B63" s="509" t="s">
        <v>54</v>
      </c>
      <c r="C63" s="499"/>
      <c r="D63" s="499"/>
      <c r="E63" s="500"/>
      <c r="F63" s="321">
        <f>ROUND(F62/10,2)</f>
        <v>260.47000000000003</v>
      </c>
    </row>
    <row r="64" spans="1:6">
      <c r="A64" s="118">
        <v>116</v>
      </c>
      <c r="B64" s="106" t="s">
        <v>527</v>
      </c>
      <c r="C64" s="118" t="s">
        <v>26</v>
      </c>
      <c r="D64" s="129">
        <v>0.37</v>
      </c>
      <c r="E64" s="129">
        <v>784</v>
      </c>
      <c r="F64" s="121">
        <f t="shared" ref="F64:F65" si="4">D64*E64</f>
        <v>290.08</v>
      </c>
    </row>
    <row r="65" spans="1:6">
      <c r="A65" s="507">
        <v>114</v>
      </c>
      <c r="B65" s="106" t="s">
        <v>59</v>
      </c>
      <c r="C65" s="507" t="s">
        <v>26</v>
      </c>
      <c r="D65" s="507">
        <v>0.97</v>
      </c>
      <c r="E65" s="507">
        <v>645</v>
      </c>
      <c r="F65" s="631">
        <f t="shared" si="4"/>
        <v>625.65</v>
      </c>
    </row>
    <row r="66" spans="1:6">
      <c r="A66" s="496"/>
      <c r="B66" s="106" t="s">
        <v>1935</v>
      </c>
      <c r="C66" s="496"/>
      <c r="D66" s="496"/>
      <c r="E66" s="496"/>
      <c r="F66" s="496"/>
    </row>
    <row r="67" spans="1:6">
      <c r="A67" s="112">
        <v>114</v>
      </c>
      <c r="B67" s="105" t="s">
        <v>59</v>
      </c>
      <c r="C67" s="112" t="s">
        <v>26</v>
      </c>
      <c r="D67" s="113">
        <v>0.8</v>
      </c>
      <c r="E67" s="113">
        <v>645</v>
      </c>
      <c r="F67" s="352">
        <f t="shared" ref="F67:F68" si="5">D67*E67</f>
        <v>516</v>
      </c>
    </row>
    <row r="68" spans="1:6">
      <c r="A68" s="353">
        <v>115</v>
      </c>
      <c r="B68" s="354" t="s">
        <v>25</v>
      </c>
      <c r="C68" s="353" t="s">
        <v>26</v>
      </c>
      <c r="D68" s="355">
        <v>0.8</v>
      </c>
      <c r="E68" s="355">
        <v>645</v>
      </c>
      <c r="F68" s="356">
        <f t="shared" si="5"/>
        <v>516</v>
      </c>
    </row>
    <row r="69" spans="1:6">
      <c r="A69" s="354"/>
      <c r="B69" s="629" t="s">
        <v>27</v>
      </c>
      <c r="C69" s="454"/>
      <c r="D69" s="454"/>
      <c r="E69" s="450"/>
      <c r="F69" s="356">
        <f>SUM(F64:F68)</f>
        <v>1947.73</v>
      </c>
    </row>
    <row r="70" spans="1:6">
      <c r="A70" s="354"/>
      <c r="B70" s="629" t="s">
        <v>28</v>
      </c>
      <c r="C70" s="454"/>
      <c r="D70" s="454"/>
      <c r="E70" s="450"/>
      <c r="F70" s="356">
        <f>F69*0.01</f>
        <v>19.4773</v>
      </c>
    </row>
    <row r="71" spans="1:6">
      <c r="A71" s="354"/>
      <c r="B71" s="629" t="s">
        <v>30</v>
      </c>
      <c r="C71" s="454"/>
      <c r="D71" s="454"/>
      <c r="E71" s="450"/>
      <c r="F71" s="356">
        <f>SUM(F69:F70)</f>
        <v>1967.2073</v>
      </c>
    </row>
    <row r="72" spans="1:6">
      <c r="A72" s="354"/>
      <c r="B72" s="629" t="s">
        <v>36</v>
      </c>
      <c r="C72" s="454"/>
      <c r="D72" s="454"/>
      <c r="E72" s="450"/>
      <c r="F72" s="356">
        <f>F71*0.15</f>
        <v>295.081095</v>
      </c>
    </row>
    <row r="73" spans="1:6">
      <c r="A73" s="354"/>
      <c r="B73" s="629" t="s">
        <v>30</v>
      </c>
      <c r="C73" s="454"/>
      <c r="D73" s="454"/>
      <c r="E73" s="450"/>
      <c r="F73" s="356">
        <f>SUM(F71:F72)</f>
        <v>2262.288395</v>
      </c>
    </row>
    <row r="74" spans="1:6">
      <c r="A74" s="354"/>
      <c r="B74" s="629" t="s">
        <v>539</v>
      </c>
      <c r="C74" s="454"/>
      <c r="D74" s="454"/>
      <c r="E74" s="450"/>
      <c r="F74" s="356">
        <f>F73</f>
        <v>2262.288395</v>
      </c>
    </row>
    <row r="75" spans="1:6">
      <c r="A75" s="354"/>
      <c r="B75" s="629" t="s">
        <v>54</v>
      </c>
      <c r="C75" s="454"/>
      <c r="D75" s="454"/>
      <c r="E75" s="450"/>
      <c r="F75" s="321">
        <f>ROUND(F74/10,2)</f>
        <v>226.23</v>
      </c>
    </row>
    <row r="76" spans="1:6">
      <c r="A76" s="586" t="str">
        <f>CONCATENATE("Say ₹ ",F63," + ",F75," x Cost Index")</f>
        <v>Say ₹ 260.47 + 226.23 x Cost Index</v>
      </c>
      <c r="B76" s="454"/>
      <c r="C76" s="454"/>
      <c r="D76" s="454"/>
      <c r="E76" s="454"/>
      <c r="F76" s="450"/>
    </row>
    <row r="77" spans="1:6">
      <c r="A77" s="73">
        <v>0</v>
      </c>
      <c r="B77" s="498" t="s">
        <v>2014</v>
      </c>
      <c r="C77" s="499"/>
      <c r="D77" s="499"/>
      <c r="E77" s="499"/>
      <c r="F77" s="500"/>
    </row>
    <row r="78" spans="1:6">
      <c r="A78" s="73" t="s">
        <v>3</v>
      </c>
      <c r="B78" s="73" t="s">
        <v>4</v>
      </c>
      <c r="C78" s="73" t="s">
        <v>5</v>
      </c>
      <c r="D78" s="73" t="s">
        <v>6</v>
      </c>
      <c r="E78" s="73" t="s">
        <v>7</v>
      </c>
      <c r="F78" s="73" t="s">
        <v>8</v>
      </c>
    </row>
    <row r="79" spans="1:6">
      <c r="A79" s="495"/>
      <c r="B79" s="75" t="s">
        <v>512</v>
      </c>
      <c r="C79" s="495"/>
      <c r="D79" s="495"/>
      <c r="E79" s="495"/>
      <c r="F79" s="495"/>
    </row>
    <row r="80" spans="1:6">
      <c r="A80" s="496"/>
      <c r="B80" s="75" t="s">
        <v>842</v>
      </c>
      <c r="C80" s="496"/>
      <c r="D80" s="496"/>
      <c r="E80" s="496"/>
      <c r="F80" s="496"/>
    </row>
    <row r="81" spans="1:6">
      <c r="A81" s="497" t="s">
        <v>1772</v>
      </c>
      <c r="B81" s="76" t="s">
        <v>2015</v>
      </c>
      <c r="C81" s="497" t="s">
        <v>21</v>
      </c>
      <c r="D81" s="497">
        <v>11.5</v>
      </c>
      <c r="E81" s="497">
        <f t="array" ref="E81">IFERROR(INDEX(LMRRates,MATCH(A81,LMRCodes,0), ), )</f>
        <v>128</v>
      </c>
      <c r="F81" s="501">
        <f>D81*E81</f>
        <v>1472</v>
      </c>
    </row>
    <row r="82" spans="1:6">
      <c r="A82" s="496"/>
      <c r="B82" s="75" t="s">
        <v>958</v>
      </c>
      <c r="C82" s="496"/>
      <c r="D82" s="496"/>
      <c r="E82" s="496"/>
      <c r="F82" s="496"/>
    </row>
    <row r="83" spans="1:6">
      <c r="A83" s="80"/>
      <c r="B83" s="502" t="s">
        <v>28</v>
      </c>
      <c r="C83" s="499"/>
      <c r="D83" s="499"/>
      <c r="E83" s="500"/>
      <c r="F83" s="83">
        <f>F81*0.01</f>
        <v>14.72</v>
      </c>
    </row>
    <row r="84" spans="1:6">
      <c r="A84" s="80"/>
      <c r="B84" s="502" t="s">
        <v>30</v>
      </c>
      <c r="C84" s="499"/>
      <c r="D84" s="499"/>
      <c r="E84" s="500"/>
      <c r="F84" s="83">
        <f>SUM(F81:F83)</f>
        <v>1486.72</v>
      </c>
    </row>
    <row r="85" spans="1:6">
      <c r="A85" s="80"/>
      <c r="B85" s="502" t="s">
        <v>36</v>
      </c>
      <c r="C85" s="499"/>
      <c r="D85" s="499"/>
      <c r="E85" s="500"/>
      <c r="F85" s="83">
        <f>F84*0.15</f>
        <v>223.00800000000001</v>
      </c>
    </row>
    <row r="86" spans="1:6">
      <c r="A86" s="80"/>
      <c r="B86" s="502" t="s">
        <v>30</v>
      </c>
      <c r="C86" s="499"/>
      <c r="D86" s="499"/>
      <c r="E86" s="500"/>
      <c r="F86" s="83">
        <f>SUM(F84:F85)</f>
        <v>1709.7280000000001</v>
      </c>
    </row>
    <row r="87" spans="1:6">
      <c r="A87" s="80"/>
      <c r="B87" s="502" t="s">
        <v>539</v>
      </c>
      <c r="C87" s="499"/>
      <c r="D87" s="499"/>
      <c r="E87" s="500"/>
      <c r="F87" s="83">
        <f>F86</f>
        <v>1709.7280000000001</v>
      </c>
    </row>
    <row r="88" spans="1:6">
      <c r="A88" s="80"/>
      <c r="B88" s="502" t="s">
        <v>54</v>
      </c>
      <c r="C88" s="499"/>
      <c r="D88" s="499"/>
      <c r="E88" s="500"/>
      <c r="F88" s="323">
        <f>ROUND(F87/10,2)</f>
        <v>170.97</v>
      </c>
    </row>
    <row r="89" spans="1:6">
      <c r="A89" s="80">
        <v>116</v>
      </c>
      <c r="B89" s="75" t="s">
        <v>527</v>
      </c>
      <c r="C89" s="80" t="s">
        <v>26</v>
      </c>
      <c r="D89" s="85">
        <v>0.37</v>
      </c>
      <c r="E89" s="85">
        <v>784</v>
      </c>
      <c r="F89" s="83">
        <f t="shared" ref="F89:F90" si="6">D89*E89</f>
        <v>290.08</v>
      </c>
    </row>
    <row r="90" spans="1:6">
      <c r="A90" s="497">
        <v>114</v>
      </c>
      <c r="B90" s="75" t="s">
        <v>59</v>
      </c>
      <c r="C90" s="497" t="s">
        <v>26</v>
      </c>
      <c r="D90" s="497">
        <v>0.97</v>
      </c>
      <c r="E90" s="497">
        <v>645</v>
      </c>
      <c r="F90" s="632">
        <f t="shared" si="6"/>
        <v>625.65</v>
      </c>
    </row>
    <row r="91" spans="1:6">
      <c r="A91" s="496"/>
      <c r="B91" s="75" t="s">
        <v>1935</v>
      </c>
      <c r="C91" s="496"/>
      <c r="D91" s="496"/>
      <c r="E91" s="496"/>
      <c r="F91" s="496"/>
    </row>
    <row r="92" spans="1:6">
      <c r="A92" s="77">
        <v>114</v>
      </c>
      <c r="B92" s="74" t="s">
        <v>59</v>
      </c>
      <c r="C92" s="77" t="s">
        <v>26</v>
      </c>
      <c r="D92" s="78">
        <v>0.8</v>
      </c>
      <c r="E92" s="78">
        <v>645</v>
      </c>
      <c r="F92" s="364">
        <f t="shared" ref="F92:F93" si="7">D92*E92</f>
        <v>516</v>
      </c>
    </row>
    <row r="93" spans="1:6">
      <c r="A93" s="365">
        <v>115</v>
      </c>
      <c r="B93" s="366" t="s">
        <v>25</v>
      </c>
      <c r="C93" s="365" t="s">
        <v>26</v>
      </c>
      <c r="D93" s="367">
        <v>0.8</v>
      </c>
      <c r="E93" s="367">
        <v>645</v>
      </c>
      <c r="F93" s="368">
        <f t="shared" si="7"/>
        <v>516</v>
      </c>
    </row>
    <row r="94" spans="1:6">
      <c r="A94" s="366"/>
      <c r="B94" s="470" t="s">
        <v>27</v>
      </c>
      <c r="C94" s="454"/>
      <c r="D94" s="454"/>
      <c r="E94" s="450"/>
      <c r="F94" s="368">
        <f>SUM(F89:F93)</f>
        <v>1947.73</v>
      </c>
    </row>
    <row r="95" spans="1:6">
      <c r="A95" s="366"/>
      <c r="B95" s="470" t="s">
        <v>28</v>
      </c>
      <c r="C95" s="454"/>
      <c r="D95" s="454"/>
      <c r="E95" s="450"/>
      <c r="F95" s="368">
        <f>F94*0.01</f>
        <v>19.4773</v>
      </c>
    </row>
    <row r="96" spans="1:6">
      <c r="A96" s="366"/>
      <c r="B96" s="470" t="s">
        <v>30</v>
      </c>
      <c r="C96" s="454"/>
      <c r="D96" s="454"/>
      <c r="E96" s="450"/>
      <c r="F96" s="368">
        <f>SUM(F94:F95)</f>
        <v>1967.2073</v>
      </c>
    </row>
    <row r="97" spans="1:6">
      <c r="A97" s="366"/>
      <c r="B97" s="470" t="s">
        <v>36</v>
      </c>
      <c r="C97" s="454"/>
      <c r="D97" s="454"/>
      <c r="E97" s="450"/>
      <c r="F97" s="368">
        <f>F96*0.15</f>
        <v>295.081095</v>
      </c>
    </row>
    <row r="98" spans="1:6">
      <c r="A98" s="366"/>
      <c r="B98" s="470" t="s">
        <v>30</v>
      </c>
      <c r="C98" s="454"/>
      <c r="D98" s="454"/>
      <c r="E98" s="450"/>
      <c r="F98" s="368">
        <f>SUM(F96:F97)</f>
        <v>2262.288395</v>
      </c>
    </row>
    <row r="99" spans="1:6">
      <c r="A99" s="366"/>
      <c r="B99" s="470" t="s">
        <v>539</v>
      </c>
      <c r="C99" s="454"/>
      <c r="D99" s="454"/>
      <c r="E99" s="450"/>
      <c r="F99" s="368">
        <f>F98</f>
        <v>2262.288395</v>
      </c>
    </row>
    <row r="100" spans="1:6">
      <c r="A100" s="366"/>
      <c r="B100" s="470" t="s">
        <v>54</v>
      </c>
      <c r="C100" s="454"/>
      <c r="D100" s="454"/>
      <c r="E100" s="450"/>
      <c r="F100" s="323">
        <f>ROUND(F99/10,2)</f>
        <v>226.23</v>
      </c>
    </row>
    <row r="101" spans="1:6">
      <c r="A101" s="459" t="str">
        <f>CONCATENATE("Say ₹ ",F88," + ",F100," x Cost Index")</f>
        <v>Say ₹ 170.97 + 226.23 x Cost Index</v>
      </c>
      <c r="B101" s="454"/>
      <c r="C101" s="454"/>
      <c r="D101" s="454"/>
      <c r="E101" s="454"/>
      <c r="F101" s="450"/>
    </row>
  </sheetData>
  <mergeCells count="121">
    <mergeCell ref="B58:E58"/>
    <mergeCell ref="B59:E59"/>
    <mergeCell ref="B60:E60"/>
    <mergeCell ref="B61:E61"/>
    <mergeCell ref="B62:E62"/>
    <mergeCell ref="B63:E63"/>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C40:C41"/>
    <mergeCell ref="D40:D41"/>
    <mergeCell ref="E40:E41"/>
    <mergeCell ref="F40:F41"/>
    <mergeCell ref="B44:E44"/>
    <mergeCell ref="B45:E45"/>
    <mergeCell ref="B46:E46"/>
    <mergeCell ref="B47:E47"/>
    <mergeCell ref="B48:E48"/>
    <mergeCell ref="B99:E99"/>
    <mergeCell ref="B100:E100"/>
    <mergeCell ref="A101:F101"/>
    <mergeCell ref="A90:A91"/>
    <mergeCell ref="C90:C91"/>
    <mergeCell ref="D90:D91"/>
    <mergeCell ref="E90:E91"/>
    <mergeCell ref="F90:F91"/>
    <mergeCell ref="B94:E94"/>
    <mergeCell ref="B95:E95"/>
    <mergeCell ref="B83:E83"/>
    <mergeCell ref="B84:E84"/>
    <mergeCell ref="B85:E85"/>
    <mergeCell ref="B86:E86"/>
    <mergeCell ref="B87:E87"/>
    <mergeCell ref="B88:E88"/>
    <mergeCell ref="B96:E96"/>
    <mergeCell ref="B97:E97"/>
    <mergeCell ref="B98:E98"/>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27:F27"/>
    <mergeCell ref="D31:D32"/>
    <mergeCell ref="E31:E32"/>
    <mergeCell ref="A65:A66"/>
    <mergeCell ref="C65:C66"/>
    <mergeCell ref="D65:D66"/>
    <mergeCell ref="E65:E66"/>
    <mergeCell ref="F65:F66"/>
    <mergeCell ref="B69:E69"/>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F15:F16"/>
    <mergeCell ref="B19:E19"/>
    <mergeCell ref="B20:E20"/>
    <mergeCell ref="B21:E21"/>
    <mergeCell ref="B22:E22"/>
    <mergeCell ref="B23:E23"/>
    <mergeCell ref="B24:E24"/>
    <mergeCell ref="B25:E25"/>
    <mergeCell ref="A26:F26"/>
    <mergeCell ref="B8:E8"/>
    <mergeCell ref="B9:E9"/>
    <mergeCell ref="B10:E10"/>
    <mergeCell ref="B11:E11"/>
    <mergeCell ref="B12:E12"/>
    <mergeCell ref="B13:E13"/>
    <mergeCell ref="A15:A16"/>
    <mergeCell ref="C15:C16"/>
    <mergeCell ref="D15:D16"/>
    <mergeCell ref="E15:E16"/>
    <mergeCell ref="C4:C5"/>
    <mergeCell ref="C6:C7"/>
    <mergeCell ref="D6:D7"/>
    <mergeCell ref="E6:E7"/>
    <mergeCell ref="A1:F1"/>
    <mergeCell ref="B2:F2"/>
    <mergeCell ref="A4:A5"/>
    <mergeCell ref="D4:D5"/>
    <mergeCell ref="E4:E5"/>
    <mergeCell ref="F4:F5"/>
    <mergeCell ref="A6:A7"/>
    <mergeCell ref="F6:F7"/>
  </mergeCell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2"/>
  <sheetViews>
    <sheetView workbookViewId="0"/>
  </sheetViews>
  <sheetFormatPr defaultColWidth="14.453125" defaultRowHeight="15" customHeight="1"/>
  <cols>
    <col min="2" max="2" width="87.54296875" customWidth="1"/>
  </cols>
  <sheetData>
    <row r="1" spans="1:4">
      <c r="A1" s="11" t="s">
        <v>332</v>
      </c>
      <c r="B1" s="11" t="s">
        <v>335</v>
      </c>
      <c r="C1" s="11" t="s">
        <v>336</v>
      </c>
      <c r="D1" s="11" t="s">
        <v>5</v>
      </c>
    </row>
    <row r="2" spans="1:4">
      <c r="A2" s="13">
        <v>14.72</v>
      </c>
      <c r="B2" s="14" t="s">
        <v>1938</v>
      </c>
      <c r="C2" s="13">
        <v>247.41</v>
      </c>
      <c r="D2" s="13" t="s">
        <v>328</v>
      </c>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27"/>
  <sheetViews>
    <sheetView workbookViewId="0">
      <selection activeCell="E8" sqref="E8"/>
    </sheetView>
  </sheetViews>
  <sheetFormatPr defaultColWidth="14.453125" defaultRowHeight="15" customHeight="1"/>
  <cols>
    <col min="1" max="1" width="6.08984375" customWidth="1"/>
    <col min="2" max="2" width="97" customWidth="1"/>
    <col min="3" max="3" width="14.54296875" customWidth="1"/>
    <col min="4" max="4" width="7.08984375" customWidth="1"/>
  </cols>
  <sheetData>
    <row r="1" spans="1:4">
      <c r="A1" s="357" t="s">
        <v>1939</v>
      </c>
      <c r="B1" s="358" t="s">
        <v>31</v>
      </c>
      <c r="C1" s="358" t="s">
        <v>5</v>
      </c>
      <c r="D1" s="359" t="s">
        <v>7</v>
      </c>
    </row>
    <row r="2" spans="1:4">
      <c r="A2" s="360" t="s">
        <v>1940</v>
      </c>
      <c r="B2" s="361" t="s">
        <v>1941</v>
      </c>
      <c r="C2" s="360" t="s">
        <v>684</v>
      </c>
      <c r="D2" s="362">
        <v>585</v>
      </c>
    </row>
    <row r="3" spans="1:4">
      <c r="A3" s="360" t="s">
        <v>1942</v>
      </c>
      <c r="B3" s="361" t="s">
        <v>1943</v>
      </c>
      <c r="C3" s="360" t="s">
        <v>684</v>
      </c>
      <c r="D3" s="362">
        <v>1935</v>
      </c>
    </row>
    <row r="4" spans="1:4">
      <c r="A4" s="360" t="s">
        <v>1944</v>
      </c>
      <c r="B4" s="361" t="s">
        <v>1945</v>
      </c>
      <c r="C4" s="360" t="s">
        <v>684</v>
      </c>
      <c r="D4" s="362">
        <v>3860</v>
      </c>
    </row>
    <row r="5" spans="1:4">
      <c r="A5" s="360" t="s">
        <v>1946</v>
      </c>
      <c r="B5" s="363" t="s">
        <v>1947</v>
      </c>
      <c r="C5" s="362" t="s">
        <v>46</v>
      </c>
      <c r="D5" s="362">
        <v>14475</v>
      </c>
    </row>
    <row r="6" spans="1:4">
      <c r="A6" s="360" t="s">
        <v>1948</v>
      </c>
      <c r="B6" s="363" t="s">
        <v>1949</v>
      </c>
      <c r="C6" s="362" t="s">
        <v>481</v>
      </c>
      <c r="D6" s="362">
        <v>390</v>
      </c>
    </row>
    <row r="7" spans="1:4">
      <c r="A7" s="360" t="s">
        <v>1950</v>
      </c>
      <c r="B7" s="363" t="s">
        <v>1951</v>
      </c>
      <c r="C7" s="362" t="s">
        <v>481</v>
      </c>
      <c r="D7" s="362">
        <v>665</v>
      </c>
    </row>
    <row r="8" spans="1:4">
      <c r="A8" s="360" t="s">
        <v>1952</v>
      </c>
      <c r="B8" s="363" t="s">
        <v>1953</v>
      </c>
      <c r="C8" s="362" t="s">
        <v>481</v>
      </c>
      <c r="D8" s="362">
        <v>2315</v>
      </c>
    </row>
    <row r="9" spans="1:4">
      <c r="A9" s="360" t="s">
        <v>1954</v>
      </c>
      <c r="B9" s="363" t="s">
        <v>1955</v>
      </c>
      <c r="C9" s="362" t="s">
        <v>481</v>
      </c>
      <c r="D9" s="362">
        <v>2980</v>
      </c>
    </row>
    <row r="10" spans="1:4">
      <c r="A10" s="360" t="s">
        <v>1956</v>
      </c>
      <c r="B10" s="363" t="s">
        <v>1957</v>
      </c>
      <c r="C10" s="362" t="s">
        <v>481</v>
      </c>
      <c r="D10" s="362">
        <v>255</v>
      </c>
    </row>
    <row r="11" spans="1:4">
      <c r="A11" s="360" t="s">
        <v>1958</v>
      </c>
      <c r="B11" s="363" t="s">
        <v>1959</v>
      </c>
      <c r="C11" s="362" t="s">
        <v>46</v>
      </c>
      <c r="D11" s="362">
        <v>5790</v>
      </c>
    </row>
    <row r="12" spans="1:4">
      <c r="A12" s="360" t="s">
        <v>1960</v>
      </c>
      <c r="B12" s="363" t="s">
        <v>1961</v>
      </c>
      <c r="C12" s="362" t="s">
        <v>46</v>
      </c>
      <c r="D12" s="362">
        <v>15435</v>
      </c>
    </row>
    <row r="13" spans="1:4">
      <c r="A13" s="360" t="s">
        <v>1962</v>
      </c>
      <c r="B13" s="363" t="s">
        <v>1963</v>
      </c>
      <c r="C13" s="362" t="s">
        <v>46</v>
      </c>
      <c r="D13" s="362">
        <v>2870</v>
      </c>
    </row>
    <row r="14" spans="1:4">
      <c r="A14" s="360" t="s">
        <v>1964</v>
      </c>
      <c r="B14" s="363" t="s">
        <v>1965</v>
      </c>
      <c r="C14" s="362" t="s">
        <v>1502</v>
      </c>
      <c r="D14" s="362">
        <v>445</v>
      </c>
    </row>
    <row r="15" spans="1:4">
      <c r="A15" s="360" t="s">
        <v>1966</v>
      </c>
      <c r="B15" s="363" t="s">
        <v>1967</v>
      </c>
      <c r="C15" s="362" t="s">
        <v>1502</v>
      </c>
      <c r="D15" s="362">
        <v>1105</v>
      </c>
    </row>
    <row r="16" spans="1:4">
      <c r="A16" s="360" t="s">
        <v>1968</v>
      </c>
      <c r="B16" s="363" t="s">
        <v>1969</v>
      </c>
      <c r="C16" s="362" t="s">
        <v>1502</v>
      </c>
      <c r="D16" s="362">
        <v>670</v>
      </c>
    </row>
    <row r="17" spans="1:4">
      <c r="A17" s="360" t="s">
        <v>1970</v>
      </c>
      <c r="B17" s="363" t="s">
        <v>1971</v>
      </c>
      <c r="C17" s="362" t="s">
        <v>1502</v>
      </c>
      <c r="D17" s="362">
        <v>1330</v>
      </c>
    </row>
    <row r="18" spans="1:4">
      <c r="A18" s="360" t="s">
        <v>1972</v>
      </c>
      <c r="B18" s="363" t="s">
        <v>1973</v>
      </c>
      <c r="C18" s="362" t="s">
        <v>481</v>
      </c>
      <c r="D18" s="362">
        <f>D6/2</f>
        <v>195</v>
      </c>
    </row>
    <row r="19" spans="1:4">
      <c r="A19" s="360" t="s">
        <v>1974</v>
      </c>
      <c r="B19" s="363" t="s">
        <v>1975</v>
      </c>
      <c r="C19" s="362" t="s">
        <v>481</v>
      </c>
      <c r="D19" s="362">
        <v>1985</v>
      </c>
    </row>
    <row r="20" spans="1:4">
      <c r="A20" s="360" t="s">
        <v>1976</v>
      </c>
      <c r="B20" s="363" t="s">
        <v>1520</v>
      </c>
      <c r="C20" s="362" t="s">
        <v>1519</v>
      </c>
      <c r="D20" s="362">
        <v>7490</v>
      </c>
    </row>
    <row r="21" spans="1:4">
      <c r="A21" s="360" t="s">
        <v>1977</v>
      </c>
      <c r="B21" s="363" t="s">
        <v>1978</v>
      </c>
      <c r="C21" s="362" t="s">
        <v>481</v>
      </c>
      <c r="D21" s="362">
        <f>D19/2</f>
        <v>992.5</v>
      </c>
    </row>
    <row r="22" spans="1:4">
      <c r="A22" s="360" t="s">
        <v>1979</v>
      </c>
      <c r="B22" s="363" t="s">
        <v>1980</v>
      </c>
      <c r="C22" s="362" t="s">
        <v>481</v>
      </c>
      <c r="D22" s="362">
        <f t="shared" ref="D22:D24" si="0">D7/2</f>
        <v>332.5</v>
      </c>
    </row>
    <row r="23" spans="1:4">
      <c r="A23" s="360" t="s">
        <v>1981</v>
      </c>
      <c r="B23" s="363" t="s">
        <v>1982</v>
      </c>
      <c r="C23" s="362" t="s">
        <v>481</v>
      </c>
      <c r="D23" s="362">
        <f t="shared" si="0"/>
        <v>1157.5</v>
      </c>
    </row>
    <row r="24" spans="1:4">
      <c r="A24" s="360" t="s">
        <v>1983</v>
      </c>
      <c r="B24" s="363" t="s">
        <v>1984</v>
      </c>
      <c r="C24" s="362" t="s">
        <v>481</v>
      </c>
      <c r="D24" s="362">
        <f t="shared" si="0"/>
        <v>1490</v>
      </c>
    </row>
    <row r="25" spans="1:4">
      <c r="A25" s="360" t="s">
        <v>1985</v>
      </c>
      <c r="B25" s="363" t="s">
        <v>1986</v>
      </c>
      <c r="C25" s="362" t="s">
        <v>1502</v>
      </c>
      <c r="D25" s="362">
        <v>1105</v>
      </c>
    </row>
    <row r="26" spans="1:4">
      <c r="A26" s="360" t="s">
        <v>1987</v>
      </c>
      <c r="B26" s="363" t="s">
        <v>1988</v>
      </c>
      <c r="C26" s="362" t="s">
        <v>1502</v>
      </c>
      <c r="D26" s="362">
        <v>1330</v>
      </c>
    </row>
    <row r="27" spans="1:4">
      <c r="A27" s="360" t="s">
        <v>1990</v>
      </c>
      <c r="B27" s="363" t="s">
        <v>1991</v>
      </c>
      <c r="C27" s="362" t="s">
        <v>46</v>
      </c>
      <c r="D27" s="362">
        <v>1200</v>
      </c>
    </row>
  </sheetData>
  <pageMargins left="0.70833333333333304" right="0.31527777777777799" top="0.55138888888888904" bottom="0.35416666666666702" header="0" footer="0"/>
  <pageSetup paperSize="9" orientation="portrait"/>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pageSetUpPr fitToPage="1"/>
  </sheetPr>
  <dimension ref="A1:I232"/>
  <sheetViews>
    <sheetView workbookViewId="0"/>
  </sheetViews>
  <sheetFormatPr defaultColWidth="14.453125" defaultRowHeight="15" customHeight="1"/>
  <cols>
    <col min="8" max="9" width="14.453125" hidden="1"/>
  </cols>
  <sheetData>
    <row r="1" spans="1:9">
      <c r="A1" s="571" t="s">
        <v>771</v>
      </c>
      <c r="B1" s="571" t="s">
        <v>776</v>
      </c>
      <c r="C1" s="572" t="s">
        <v>4</v>
      </c>
      <c r="D1" s="454"/>
      <c r="E1" s="450"/>
      <c r="F1" s="572" t="s">
        <v>785</v>
      </c>
      <c r="G1" s="450"/>
      <c r="H1" s="229"/>
      <c r="I1" s="229"/>
    </row>
    <row r="2" spans="1:9">
      <c r="A2" s="457"/>
      <c r="B2" s="457"/>
      <c r="C2" s="216" t="s">
        <v>5</v>
      </c>
      <c r="D2" s="216" t="s">
        <v>6</v>
      </c>
      <c r="E2" s="216" t="s">
        <v>336</v>
      </c>
      <c r="F2" s="216" t="s">
        <v>8</v>
      </c>
      <c r="G2" s="216" t="s">
        <v>789</v>
      </c>
      <c r="H2" s="229"/>
      <c r="I2" s="229"/>
    </row>
    <row r="3" spans="1:9">
      <c r="A3" s="573" t="s">
        <v>1995</v>
      </c>
      <c r="B3" s="454"/>
      <c r="C3" s="454"/>
      <c r="D3" s="454"/>
      <c r="E3" s="454"/>
      <c r="F3" s="454"/>
      <c r="G3" s="450"/>
      <c r="H3" s="229"/>
      <c r="I3" s="229"/>
    </row>
    <row r="4" spans="1:9">
      <c r="A4" s="217"/>
      <c r="B4" s="217" t="s">
        <v>795</v>
      </c>
      <c r="C4" s="217" t="s">
        <v>21</v>
      </c>
      <c r="D4" s="217" t="s">
        <v>798</v>
      </c>
      <c r="E4" s="217">
        <v>100</v>
      </c>
      <c r="F4" s="217"/>
      <c r="G4" s="217"/>
      <c r="H4" s="229"/>
      <c r="I4" s="229"/>
    </row>
    <row r="5" spans="1:9">
      <c r="A5" s="217" t="s">
        <v>800</v>
      </c>
      <c r="B5" s="574" t="s">
        <v>1996</v>
      </c>
      <c r="C5" s="454"/>
      <c r="D5" s="454"/>
      <c r="E5" s="454"/>
      <c r="F5" s="454"/>
      <c r="G5" s="450"/>
      <c r="H5" s="229"/>
      <c r="I5" s="229"/>
    </row>
    <row r="6" spans="1:9">
      <c r="A6" s="574" t="s">
        <v>1171</v>
      </c>
      <c r="B6" s="454"/>
      <c r="C6" s="454"/>
      <c r="D6" s="454"/>
      <c r="E6" s="454"/>
      <c r="F6" s="454"/>
      <c r="G6" s="450"/>
      <c r="H6" s="229"/>
      <c r="I6" s="229"/>
    </row>
    <row r="7" spans="1:9">
      <c r="A7" s="577"/>
      <c r="B7" s="577" t="s">
        <v>1997</v>
      </c>
      <c r="C7" s="576" t="s">
        <v>1998</v>
      </c>
      <c r="D7" s="454"/>
      <c r="E7" s="450"/>
      <c r="F7" s="576"/>
      <c r="G7" s="450"/>
      <c r="H7" s="229"/>
      <c r="I7" s="229"/>
    </row>
    <row r="8" spans="1:9">
      <c r="A8" s="457"/>
      <c r="B8" s="457"/>
      <c r="C8" s="219" t="s">
        <v>21</v>
      </c>
      <c r="D8" s="219">
        <v>100</v>
      </c>
      <c r="E8" s="219">
        <v>40.68</v>
      </c>
      <c r="F8" s="219">
        <f>D8*E8</f>
        <v>4068</v>
      </c>
      <c r="G8" s="219" t="s">
        <v>808</v>
      </c>
      <c r="H8" s="229"/>
      <c r="I8" s="229"/>
    </row>
    <row r="9" spans="1:9">
      <c r="A9" s="577" t="s">
        <v>1181</v>
      </c>
      <c r="B9" s="577"/>
      <c r="C9" s="576" t="s">
        <v>1999</v>
      </c>
      <c r="D9" s="454"/>
      <c r="E9" s="450"/>
      <c r="F9" s="576"/>
      <c r="G9" s="450"/>
      <c r="H9" s="229"/>
      <c r="I9" s="229"/>
    </row>
    <row r="10" spans="1:9">
      <c r="A10" s="457"/>
      <c r="B10" s="457"/>
      <c r="C10" s="219" t="s">
        <v>62</v>
      </c>
      <c r="D10" s="221"/>
      <c r="E10" s="221"/>
      <c r="F10" s="219">
        <f>F8*5%</f>
        <v>203.4</v>
      </c>
      <c r="G10" s="219" t="s">
        <v>1184</v>
      </c>
      <c r="H10" s="229"/>
      <c r="I10" s="229"/>
    </row>
    <row r="11" spans="1:9">
      <c r="A11" s="577"/>
      <c r="B11" s="577" t="s">
        <v>2000</v>
      </c>
      <c r="C11" s="576" t="s">
        <v>2001</v>
      </c>
      <c r="D11" s="454"/>
      <c r="E11" s="450"/>
      <c r="F11" s="576"/>
      <c r="G11" s="450"/>
      <c r="H11" s="229"/>
      <c r="I11" s="229"/>
    </row>
    <row r="12" spans="1:9">
      <c r="A12" s="457"/>
      <c r="B12" s="457"/>
      <c r="C12" s="219" t="s">
        <v>26</v>
      </c>
      <c r="D12" s="219">
        <v>1</v>
      </c>
      <c r="E12" s="219">
        <v>600</v>
      </c>
      <c r="F12" s="219">
        <f>D12*E12</f>
        <v>600</v>
      </c>
      <c r="G12" s="219" t="s">
        <v>825</v>
      </c>
      <c r="H12" s="229"/>
      <c r="I12" s="229"/>
    </row>
    <row r="13" spans="1:9">
      <c r="A13" s="577" t="s">
        <v>1181</v>
      </c>
      <c r="B13" s="577"/>
      <c r="C13" s="575" t="s">
        <v>2002</v>
      </c>
      <c r="D13" s="454"/>
      <c r="E13" s="450"/>
      <c r="F13" s="576"/>
      <c r="G13" s="450"/>
      <c r="H13" s="229"/>
      <c r="I13" s="229"/>
    </row>
    <row r="14" spans="1:9">
      <c r="A14" s="457"/>
      <c r="B14" s="457"/>
      <c r="C14" s="219" t="s">
        <v>62</v>
      </c>
      <c r="D14" s="221"/>
      <c r="E14" s="221"/>
      <c r="F14" s="219">
        <f>(F8+F10+F12)*2%</f>
        <v>97.427999999999997</v>
      </c>
      <c r="G14" s="219" t="s">
        <v>1218</v>
      </c>
      <c r="H14" s="229"/>
      <c r="I14" s="229"/>
    </row>
    <row r="15" spans="1:9">
      <c r="A15" s="574" t="s">
        <v>30</v>
      </c>
      <c r="B15" s="454"/>
      <c r="C15" s="450"/>
      <c r="D15" s="222">
        <v>100</v>
      </c>
      <c r="E15" s="222" t="s">
        <v>21</v>
      </c>
      <c r="F15" s="222">
        <f>F8+F10+F12+F14</f>
        <v>4968.8279999999995</v>
      </c>
      <c r="G15" s="217"/>
      <c r="H15" s="229"/>
      <c r="I15" s="229"/>
    </row>
    <row r="16" spans="1:9">
      <c r="A16" s="574" t="s">
        <v>826</v>
      </c>
      <c r="B16" s="454"/>
      <c r="C16" s="450"/>
      <c r="D16" s="222">
        <v>1</v>
      </c>
      <c r="E16" s="222" t="s">
        <v>21</v>
      </c>
      <c r="F16" s="222">
        <f>F15/D15</f>
        <v>49.688279999999992</v>
      </c>
      <c r="G16" s="217"/>
      <c r="H16" s="229"/>
      <c r="I16" s="229"/>
    </row>
    <row r="17" spans="1:9">
      <c r="A17" s="574" t="s">
        <v>1187</v>
      </c>
      <c r="B17" s="454"/>
      <c r="C17" s="454"/>
      <c r="D17" s="450"/>
      <c r="E17" s="224">
        <f>F8*1.05*1.02/100</f>
        <v>43.568280000000001</v>
      </c>
      <c r="F17" s="222">
        <f>E17*1%</f>
        <v>0.43568280000000004</v>
      </c>
      <c r="G17" s="217"/>
      <c r="H17" s="229"/>
      <c r="I17" s="229"/>
    </row>
    <row r="18" spans="1:9">
      <c r="A18" s="574" t="s">
        <v>30</v>
      </c>
      <c r="B18" s="454"/>
      <c r="C18" s="454"/>
      <c r="D18" s="450"/>
      <c r="E18" s="217"/>
      <c r="F18" s="222">
        <f>F16+F17</f>
        <v>50.123962799999994</v>
      </c>
      <c r="G18" s="217"/>
      <c r="H18" s="229"/>
      <c r="I18" s="229"/>
    </row>
    <row r="19" spans="1:9">
      <c r="A19" s="574" t="s">
        <v>836</v>
      </c>
      <c r="B19" s="454"/>
      <c r="C19" s="454"/>
      <c r="D19" s="450"/>
      <c r="E19" s="222">
        <f>F18</f>
        <v>50.123962799999994</v>
      </c>
      <c r="F19" s="222">
        <f>E19*15%</f>
        <v>7.5185944199999986</v>
      </c>
      <c r="G19" s="217"/>
      <c r="H19" s="229"/>
      <c r="I19" s="229"/>
    </row>
    <row r="20" spans="1:9">
      <c r="A20" s="578" t="s">
        <v>30</v>
      </c>
      <c r="B20" s="454"/>
      <c r="C20" s="454"/>
      <c r="D20" s="450"/>
      <c r="E20" s="225"/>
      <c r="F20" s="226">
        <f>ROUND(F18+F19,2)</f>
        <v>57.64</v>
      </c>
      <c r="G20" s="217"/>
      <c r="H20" s="229"/>
      <c r="I20" s="229"/>
    </row>
    <row r="21" spans="1:9">
      <c r="A21" s="577">
        <v>1001</v>
      </c>
      <c r="B21" s="577"/>
      <c r="C21" s="576" t="s">
        <v>1493</v>
      </c>
      <c r="D21" s="454"/>
      <c r="E21" s="450"/>
      <c r="F21" s="576"/>
      <c r="G21" s="450"/>
      <c r="H21" s="229"/>
      <c r="I21" s="229"/>
    </row>
    <row r="22" spans="1:9">
      <c r="A22" s="457"/>
      <c r="B22" s="457"/>
      <c r="C22" s="219" t="s">
        <v>26</v>
      </c>
      <c r="D22" s="219">
        <v>1</v>
      </c>
      <c r="E22" s="219">
        <v>806</v>
      </c>
      <c r="F22" s="219">
        <f>E22*D22</f>
        <v>806</v>
      </c>
      <c r="G22" s="219" t="s">
        <v>822</v>
      </c>
      <c r="H22" s="229"/>
      <c r="I22" s="229"/>
    </row>
    <row r="23" spans="1:9">
      <c r="A23" s="577" t="s">
        <v>1181</v>
      </c>
      <c r="B23" s="577"/>
      <c r="C23" s="575" t="s">
        <v>2006</v>
      </c>
      <c r="D23" s="454"/>
      <c r="E23" s="450"/>
      <c r="F23" s="576"/>
      <c r="G23" s="450"/>
      <c r="H23" s="229"/>
      <c r="I23" s="229"/>
    </row>
    <row r="24" spans="1:9">
      <c r="A24" s="457"/>
      <c r="B24" s="457"/>
      <c r="C24" s="219" t="s">
        <v>62</v>
      </c>
      <c r="D24" s="221"/>
      <c r="E24" s="221"/>
      <c r="F24" s="219">
        <f>F22*2%</f>
        <v>16.12</v>
      </c>
      <c r="G24" s="219" t="s">
        <v>2007</v>
      </c>
      <c r="H24" s="229"/>
      <c r="I24" s="229"/>
    </row>
    <row r="25" spans="1:9">
      <c r="A25" s="574" t="s">
        <v>30</v>
      </c>
      <c r="B25" s="454"/>
      <c r="C25" s="450"/>
      <c r="D25" s="222">
        <v>100</v>
      </c>
      <c r="E25" s="222" t="s">
        <v>21</v>
      </c>
      <c r="F25" s="222">
        <f>F22+F24</f>
        <v>822.12</v>
      </c>
      <c r="G25" s="225"/>
      <c r="H25" s="229"/>
      <c r="I25" s="229"/>
    </row>
    <row r="26" spans="1:9">
      <c r="A26" s="574" t="s">
        <v>826</v>
      </c>
      <c r="B26" s="454"/>
      <c r="C26" s="450"/>
      <c r="D26" s="222">
        <v>1</v>
      </c>
      <c r="E26" s="222" t="s">
        <v>21</v>
      </c>
      <c r="F26" s="222">
        <f>F25/D25</f>
        <v>8.2211999999999996</v>
      </c>
      <c r="G26" s="225"/>
      <c r="H26" s="229"/>
      <c r="I26" s="229"/>
    </row>
    <row r="27" spans="1:9">
      <c r="A27" s="574" t="s">
        <v>836</v>
      </c>
      <c r="B27" s="454"/>
      <c r="C27" s="454"/>
      <c r="D27" s="450"/>
      <c r="E27" s="222">
        <f>F26</f>
        <v>8.2211999999999996</v>
      </c>
      <c r="F27" s="222">
        <f>E27*15%</f>
        <v>1.2331799999999999</v>
      </c>
      <c r="G27" s="225"/>
      <c r="H27" s="229"/>
      <c r="I27" s="229"/>
    </row>
    <row r="28" spans="1:9">
      <c r="A28" s="578" t="s">
        <v>30</v>
      </c>
      <c r="B28" s="454"/>
      <c r="C28" s="454"/>
      <c r="D28" s="450"/>
      <c r="E28" s="225"/>
      <c r="F28" s="226">
        <f>ROUND(F26+F27,2)</f>
        <v>9.4499999999999993</v>
      </c>
      <c r="G28" s="217"/>
      <c r="H28" s="229"/>
      <c r="I28" s="229">
        <f>F28+F20</f>
        <v>67.09</v>
      </c>
    </row>
    <row r="29" spans="1:9">
      <c r="A29" s="633" t="str">
        <f>CONCATENATE("Say ₹ ",F20," + ",F28," x Cost Index")</f>
        <v>Say ₹ 57.64 + 9.45 x Cost Index</v>
      </c>
      <c r="B29" s="454"/>
      <c r="C29" s="454"/>
      <c r="D29" s="454"/>
      <c r="E29" s="454"/>
      <c r="F29" s="450"/>
      <c r="G29" s="226" t="s">
        <v>1000</v>
      </c>
      <c r="H29" s="229">
        <f>(((F8*1.05*1.01)+F12)*1.02*1.15)/100</f>
        <v>57.642557220000008</v>
      </c>
      <c r="I29" s="229">
        <f>(F22*1.02*1.15)/100</f>
        <v>9.4543800000000005</v>
      </c>
    </row>
    <row r="30" spans="1:9">
      <c r="A30" s="571" t="s">
        <v>771</v>
      </c>
      <c r="B30" s="571" t="s">
        <v>776</v>
      </c>
      <c r="C30" s="572" t="s">
        <v>4</v>
      </c>
      <c r="D30" s="454"/>
      <c r="E30" s="450"/>
      <c r="F30" s="572" t="s">
        <v>785</v>
      </c>
      <c r="G30" s="450"/>
      <c r="H30" s="229"/>
      <c r="I30" s="229"/>
    </row>
    <row r="31" spans="1:9">
      <c r="A31" s="457"/>
      <c r="B31" s="457"/>
      <c r="C31" s="216" t="s">
        <v>5</v>
      </c>
      <c r="D31" s="216" t="s">
        <v>6</v>
      </c>
      <c r="E31" s="216" t="s">
        <v>336</v>
      </c>
      <c r="F31" s="216" t="s">
        <v>8</v>
      </c>
      <c r="G31" s="216" t="s">
        <v>789</v>
      </c>
      <c r="H31" s="229"/>
      <c r="I31" s="229"/>
    </row>
    <row r="32" spans="1:9">
      <c r="A32" s="573" t="s">
        <v>2010</v>
      </c>
      <c r="B32" s="454"/>
      <c r="C32" s="454"/>
      <c r="D32" s="454"/>
      <c r="E32" s="454"/>
      <c r="F32" s="454"/>
      <c r="G32" s="450"/>
      <c r="H32" s="229"/>
      <c r="I32" s="229"/>
    </row>
    <row r="33" spans="1:9">
      <c r="A33" s="217"/>
      <c r="B33" s="217" t="s">
        <v>795</v>
      </c>
      <c r="C33" s="217" t="s">
        <v>21</v>
      </c>
      <c r="D33" s="217" t="s">
        <v>798</v>
      </c>
      <c r="E33" s="217">
        <v>100</v>
      </c>
      <c r="F33" s="217"/>
      <c r="G33" s="217"/>
      <c r="H33" s="229"/>
      <c r="I33" s="229"/>
    </row>
    <row r="34" spans="1:9">
      <c r="A34" s="217" t="s">
        <v>800</v>
      </c>
      <c r="B34" s="574" t="s">
        <v>1996</v>
      </c>
      <c r="C34" s="454"/>
      <c r="D34" s="454"/>
      <c r="E34" s="454"/>
      <c r="F34" s="454"/>
      <c r="G34" s="450"/>
      <c r="H34" s="229"/>
      <c r="I34" s="229"/>
    </row>
    <row r="35" spans="1:9">
      <c r="A35" s="574" t="s">
        <v>1171</v>
      </c>
      <c r="B35" s="454"/>
      <c r="C35" s="454"/>
      <c r="D35" s="454"/>
      <c r="E35" s="454"/>
      <c r="F35" s="454"/>
      <c r="G35" s="450"/>
      <c r="H35" s="229"/>
      <c r="I35" s="229"/>
    </row>
    <row r="36" spans="1:9">
      <c r="A36" s="577"/>
      <c r="B36" s="577" t="s">
        <v>2012</v>
      </c>
      <c r="C36" s="576" t="s">
        <v>2013</v>
      </c>
      <c r="D36" s="454"/>
      <c r="E36" s="450"/>
      <c r="F36" s="576"/>
      <c r="G36" s="450"/>
      <c r="H36" s="229"/>
      <c r="I36" s="229"/>
    </row>
    <row r="37" spans="1:9">
      <c r="A37" s="457"/>
      <c r="B37" s="457"/>
      <c r="C37" s="219" t="s">
        <v>21</v>
      </c>
      <c r="D37" s="219">
        <v>100</v>
      </c>
      <c r="E37" s="219">
        <v>63.56</v>
      </c>
      <c r="F37" s="219">
        <f>D37*E37</f>
        <v>6356</v>
      </c>
      <c r="G37" s="219" t="s">
        <v>808</v>
      </c>
      <c r="H37" s="229"/>
      <c r="I37" s="229"/>
    </row>
    <row r="38" spans="1:9">
      <c r="A38" s="577" t="s">
        <v>1181</v>
      </c>
      <c r="B38" s="577"/>
      <c r="C38" s="576" t="s">
        <v>1999</v>
      </c>
      <c r="D38" s="454"/>
      <c r="E38" s="450"/>
      <c r="F38" s="576"/>
      <c r="G38" s="450"/>
      <c r="H38" s="229"/>
      <c r="I38" s="229"/>
    </row>
    <row r="39" spans="1:9">
      <c r="A39" s="457"/>
      <c r="B39" s="457"/>
      <c r="C39" s="219" t="s">
        <v>62</v>
      </c>
      <c r="D39" s="221"/>
      <c r="E39" s="221"/>
      <c r="F39" s="219">
        <f>F37*5%</f>
        <v>317.8</v>
      </c>
      <c r="G39" s="219" t="s">
        <v>1184</v>
      </c>
      <c r="H39" s="229"/>
      <c r="I39" s="229"/>
    </row>
    <row r="40" spans="1:9">
      <c r="A40" s="577"/>
      <c r="B40" s="577" t="s">
        <v>2000</v>
      </c>
      <c r="C40" s="576" t="s">
        <v>2001</v>
      </c>
      <c r="D40" s="454"/>
      <c r="E40" s="450"/>
      <c r="F40" s="576"/>
      <c r="G40" s="450"/>
      <c r="H40" s="229"/>
      <c r="I40" s="229"/>
    </row>
    <row r="41" spans="1:9">
      <c r="A41" s="457"/>
      <c r="B41" s="457"/>
      <c r="C41" s="219" t="s">
        <v>26</v>
      </c>
      <c r="D41" s="219">
        <v>1</v>
      </c>
      <c r="E41" s="219">
        <v>600</v>
      </c>
      <c r="F41" s="219">
        <f>D41*E41</f>
        <v>600</v>
      </c>
      <c r="G41" s="219" t="s">
        <v>825</v>
      </c>
      <c r="H41" s="229"/>
      <c r="I41" s="229"/>
    </row>
    <row r="42" spans="1:9">
      <c r="A42" s="577" t="s">
        <v>1181</v>
      </c>
      <c r="B42" s="577"/>
      <c r="C42" s="575" t="s">
        <v>2002</v>
      </c>
      <c r="D42" s="454"/>
      <c r="E42" s="450"/>
      <c r="F42" s="576"/>
      <c r="G42" s="450"/>
      <c r="H42" s="229"/>
      <c r="I42" s="229"/>
    </row>
    <row r="43" spans="1:9">
      <c r="A43" s="457"/>
      <c r="B43" s="457"/>
      <c r="C43" s="219" t="s">
        <v>62</v>
      </c>
      <c r="D43" s="221"/>
      <c r="E43" s="221"/>
      <c r="F43" s="219">
        <f>(F37+F39+F41)*2%</f>
        <v>145.476</v>
      </c>
      <c r="G43" s="219" t="s">
        <v>1218</v>
      </c>
      <c r="H43" s="229"/>
      <c r="I43" s="229"/>
    </row>
    <row r="44" spans="1:9">
      <c r="A44" s="574" t="s">
        <v>30</v>
      </c>
      <c r="B44" s="454"/>
      <c r="C44" s="450"/>
      <c r="D44" s="222">
        <v>100</v>
      </c>
      <c r="E44" s="222" t="s">
        <v>21</v>
      </c>
      <c r="F44" s="222">
        <f>F37+F39+F41+F43</f>
        <v>7419.2759999999998</v>
      </c>
      <c r="G44" s="217"/>
      <c r="H44" s="229"/>
      <c r="I44" s="229"/>
    </row>
    <row r="45" spans="1:9">
      <c r="A45" s="574" t="s">
        <v>826</v>
      </c>
      <c r="B45" s="454"/>
      <c r="C45" s="450"/>
      <c r="D45" s="222">
        <v>1</v>
      </c>
      <c r="E45" s="222" t="s">
        <v>21</v>
      </c>
      <c r="F45" s="222">
        <f>F44/D44</f>
        <v>74.192759999999993</v>
      </c>
      <c r="G45" s="217"/>
      <c r="H45" s="229"/>
      <c r="I45" s="229"/>
    </row>
    <row r="46" spans="1:9">
      <c r="A46" s="574" t="s">
        <v>1187</v>
      </c>
      <c r="B46" s="454"/>
      <c r="C46" s="454"/>
      <c r="D46" s="450"/>
      <c r="E46" s="224">
        <f>F37*1.05*1.02/100</f>
        <v>68.072760000000002</v>
      </c>
      <c r="F46" s="222">
        <f>E46*1%</f>
        <v>0.68072759999999999</v>
      </c>
      <c r="G46" s="217"/>
      <c r="H46" s="229"/>
      <c r="I46" s="229"/>
    </row>
    <row r="47" spans="1:9">
      <c r="A47" s="574" t="s">
        <v>30</v>
      </c>
      <c r="B47" s="454"/>
      <c r="C47" s="454"/>
      <c r="D47" s="450"/>
      <c r="E47" s="217"/>
      <c r="F47" s="222">
        <f>F45+F46</f>
        <v>74.87348759999999</v>
      </c>
      <c r="G47" s="217"/>
      <c r="H47" s="229"/>
      <c r="I47" s="229"/>
    </row>
    <row r="48" spans="1:9">
      <c r="A48" s="574" t="s">
        <v>836</v>
      </c>
      <c r="B48" s="454"/>
      <c r="C48" s="454"/>
      <c r="D48" s="450"/>
      <c r="E48" s="222">
        <f>F47</f>
        <v>74.87348759999999</v>
      </c>
      <c r="F48" s="222">
        <f>E48*15%</f>
        <v>11.231023139999998</v>
      </c>
      <c r="G48" s="217"/>
      <c r="H48" s="229"/>
      <c r="I48" s="229"/>
    </row>
    <row r="49" spans="1:9">
      <c r="A49" s="578" t="s">
        <v>30</v>
      </c>
      <c r="B49" s="454"/>
      <c r="C49" s="454"/>
      <c r="D49" s="450"/>
      <c r="E49" s="225"/>
      <c r="F49" s="226">
        <f>ROUND(F47+F48,2)</f>
        <v>86.1</v>
      </c>
      <c r="G49" s="217"/>
      <c r="H49" s="229"/>
      <c r="I49" s="229"/>
    </row>
    <row r="50" spans="1:9">
      <c r="A50" s="577">
        <v>1001</v>
      </c>
      <c r="B50" s="577"/>
      <c r="C50" s="576" t="s">
        <v>1493</v>
      </c>
      <c r="D50" s="454"/>
      <c r="E50" s="450"/>
      <c r="F50" s="576"/>
      <c r="G50" s="450"/>
      <c r="H50" s="229"/>
      <c r="I50" s="229"/>
    </row>
    <row r="51" spans="1:9">
      <c r="A51" s="457"/>
      <c r="B51" s="457"/>
      <c r="C51" s="219" t="s">
        <v>26</v>
      </c>
      <c r="D51" s="219">
        <v>1</v>
      </c>
      <c r="E51" s="219">
        <v>806</v>
      </c>
      <c r="F51" s="219">
        <f>E51*D51</f>
        <v>806</v>
      </c>
      <c r="G51" s="219" t="s">
        <v>822</v>
      </c>
      <c r="H51" s="229"/>
      <c r="I51" s="229"/>
    </row>
    <row r="52" spans="1:9">
      <c r="A52" s="577" t="s">
        <v>1181</v>
      </c>
      <c r="B52" s="577"/>
      <c r="C52" s="575" t="s">
        <v>2006</v>
      </c>
      <c r="D52" s="454"/>
      <c r="E52" s="450"/>
      <c r="F52" s="576"/>
      <c r="G52" s="450"/>
      <c r="H52" s="229"/>
      <c r="I52" s="229"/>
    </row>
    <row r="53" spans="1:9">
      <c r="A53" s="457"/>
      <c r="B53" s="457"/>
      <c r="C53" s="219" t="s">
        <v>62</v>
      </c>
      <c r="D53" s="221"/>
      <c r="E53" s="221"/>
      <c r="F53" s="219">
        <f>F51*2%</f>
        <v>16.12</v>
      </c>
      <c r="G53" s="219" t="s">
        <v>2007</v>
      </c>
      <c r="H53" s="229"/>
      <c r="I53" s="229"/>
    </row>
    <row r="54" spans="1:9">
      <c r="A54" s="574" t="s">
        <v>30</v>
      </c>
      <c r="B54" s="454"/>
      <c r="C54" s="450"/>
      <c r="D54" s="222">
        <v>100</v>
      </c>
      <c r="E54" s="222" t="s">
        <v>21</v>
      </c>
      <c r="F54" s="222">
        <f>F51+F53</f>
        <v>822.12</v>
      </c>
      <c r="G54" s="225"/>
      <c r="H54" s="229"/>
      <c r="I54" s="229"/>
    </row>
    <row r="55" spans="1:9">
      <c r="A55" s="574" t="s">
        <v>826</v>
      </c>
      <c r="B55" s="454"/>
      <c r="C55" s="450"/>
      <c r="D55" s="222">
        <v>1</v>
      </c>
      <c r="E55" s="222" t="s">
        <v>21</v>
      </c>
      <c r="F55" s="222">
        <f>F54/D54</f>
        <v>8.2211999999999996</v>
      </c>
      <c r="G55" s="225"/>
      <c r="H55" s="229"/>
      <c r="I55" s="229"/>
    </row>
    <row r="56" spans="1:9">
      <c r="A56" s="574" t="s">
        <v>836</v>
      </c>
      <c r="B56" s="454"/>
      <c r="C56" s="454"/>
      <c r="D56" s="450"/>
      <c r="E56" s="222">
        <f>F55</f>
        <v>8.2211999999999996</v>
      </c>
      <c r="F56" s="222">
        <f>E56*15%</f>
        <v>1.2331799999999999</v>
      </c>
      <c r="G56" s="225"/>
      <c r="H56" s="229"/>
      <c r="I56" s="229"/>
    </row>
    <row r="57" spans="1:9">
      <c r="A57" s="578" t="s">
        <v>30</v>
      </c>
      <c r="B57" s="454"/>
      <c r="C57" s="454"/>
      <c r="D57" s="450"/>
      <c r="E57" s="225"/>
      <c r="F57" s="226">
        <f>ROUND(F55+F56,2)</f>
        <v>9.4499999999999993</v>
      </c>
      <c r="G57" s="217"/>
      <c r="H57" s="229"/>
      <c r="I57" s="229">
        <f>F57+F49</f>
        <v>95.55</v>
      </c>
    </row>
    <row r="58" spans="1:9">
      <c r="A58" s="633" t="str">
        <f>CONCATENATE("Say ₹ ",F49," + ",F57," x Cost Index")</f>
        <v>Say ₹ 86.1 + 9.45 x Cost Index</v>
      </c>
      <c r="B58" s="454"/>
      <c r="C58" s="454"/>
      <c r="D58" s="454"/>
      <c r="E58" s="454"/>
      <c r="F58" s="450"/>
      <c r="G58" s="226" t="s">
        <v>1000</v>
      </c>
      <c r="H58" s="229">
        <f>(((F37*1.05*1.01)+F41)*1.02*1.15)/100</f>
        <v>86.104510740000009</v>
      </c>
      <c r="I58" s="229">
        <f>(F51*1.02*1.15)/100</f>
        <v>9.4543800000000005</v>
      </c>
    </row>
    <row r="59" spans="1:9">
      <c r="A59" s="571" t="s">
        <v>771</v>
      </c>
      <c r="B59" s="571" t="s">
        <v>776</v>
      </c>
      <c r="C59" s="572" t="s">
        <v>4</v>
      </c>
      <c r="D59" s="454"/>
      <c r="E59" s="450"/>
      <c r="F59" s="572" t="s">
        <v>785</v>
      </c>
      <c r="G59" s="450"/>
      <c r="H59" s="229"/>
      <c r="I59" s="229"/>
    </row>
    <row r="60" spans="1:9">
      <c r="A60" s="457"/>
      <c r="B60" s="457"/>
      <c r="C60" s="216" t="s">
        <v>5</v>
      </c>
      <c r="D60" s="216" t="s">
        <v>6</v>
      </c>
      <c r="E60" s="216" t="s">
        <v>336</v>
      </c>
      <c r="F60" s="216" t="s">
        <v>8</v>
      </c>
      <c r="G60" s="216" t="s">
        <v>789</v>
      </c>
      <c r="H60" s="229"/>
      <c r="I60" s="229"/>
    </row>
    <row r="61" spans="1:9">
      <c r="A61" s="573" t="s">
        <v>2019</v>
      </c>
      <c r="B61" s="454"/>
      <c r="C61" s="454"/>
      <c r="D61" s="454"/>
      <c r="E61" s="454"/>
      <c r="F61" s="454"/>
      <c r="G61" s="450"/>
      <c r="H61" s="229"/>
      <c r="I61" s="229"/>
    </row>
    <row r="62" spans="1:9">
      <c r="A62" s="217"/>
      <c r="B62" s="217" t="s">
        <v>795</v>
      </c>
      <c r="C62" s="217" t="s">
        <v>21</v>
      </c>
      <c r="D62" s="217" t="s">
        <v>798</v>
      </c>
      <c r="E62" s="217">
        <v>100</v>
      </c>
      <c r="F62" s="217"/>
      <c r="G62" s="217"/>
      <c r="H62" s="229"/>
      <c r="I62" s="229"/>
    </row>
    <row r="63" spans="1:9">
      <c r="A63" s="217" t="s">
        <v>800</v>
      </c>
      <c r="B63" s="574" t="s">
        <v>1996</v>
      </c>
      <c r="C63" s="454"/>
      <c r="D63" s="454"/>
      <c r="E63" s="454"/>
      <c r="F63" s="454"/>
      <c r="G63" s="450"/>
      <c r="H63" s="229"/>
      <c r="I63" s="229"/>
    </row>
    <row r="64" spans="1:9">
      <c r="A64" s="574" t="s">
        <v>1171</v>
      </c>
      <c r="B64" s="454"/>
      <c r="C64" s="454"/>
      <c r="D64" s="454"/>
      <c r="E64" s="454"/>
      <c r="F64" s="454"/>
      <c r="G64" s="450"/>
      <c r="H64" s="229"/>
      <c r="I64" s="229"/>
    </row>
    <row r="65" spans="1:9">
      <c r="A65" s="577"/>
      <c r="B65" s="577" t="s">
        <v>2020</v>
      </c>
      <c r="C65" s="576" t="s">
        <v>2021</v>
      </c>
      <c r="D65" s="454"/>
      <c r="E65" s="450"/>
      <c r="F65" s="576"/>
      <c r="G65" s="450"/>
      <c r="H65" s="229"/>
      <c r="I65" s="229"/>
    </row>
    <row r="66" spans="1:9">
      <c r="A66" s="457"/>
      <c r="B66" s="457"/>
      <c r="C66" s="219" t="s">
        <v>21</v>
      </c>
      <c r="D66" s="219">
        <v>100</v>
      </c>
      <c r="E66" s="219">
        <v>93.22</v>
      </c>
      <c r="F66" s="219">
        <f>D66*E66</f>
        <v>9322</v>
      </c>
      <c r="G66" s="219" t="s">
        <v>808</v>
      </c>
      <c r="H66" s="229"/>
      <c r="I66" s="229"/>
    </row>
    <row r="67" spans="1:9">
      <c r="A67" s="577" t="s">
        <v>1181</v>
      </c>
      <c r="B67" s="577"/>
      <c r="C67" s="576" t="s">
        <v>1999</v>
      </c>
      <c r="D67" s="454"/>
      <c r="E67" s="450"/>
      <c r="F67" s="576"/>
      <c r="G67" s="450"/>
      <c r="H67" s="229"/>
      <c r="I67" s="229"/>
    </row>
    <row r="68" spans="1:9">
      <c r="A68" s="457"/>
      <c r="B68" s="457"/>
      <c r="C68" s="219" t="s">
        <v>62</v>
      </c>
      <c r="D68" s="221"/>
      <c r="E68" s="221"/>
      <c r="F68" s="219">
        <f>F66*5%</f>
        <v>466.1</v>
      </c>
      <c r="G68" s="219" t="s">
        <v>1184</v>
      </c>
      <c r="H68" s="229"/>
      <c r="I68" s="229"/>
    </row>
    <row r="69" spans="1:9">
      <c r="A69" s="577"/>
      <c r="B69" s="577" t="s">
        <v>2000</v>
      </c>
      <c r="C69" s="576" t="s">
        <v>2001</v>
      </c>
      <c r="D69" s="454"/>
      <c r="E69" s="450"/>
      <c r="F69" s="576"/>
      <c r="G69" s="450"/>
      <c r="H69" s="229"/>
      <c r="I69" s="229"/>
    </row>
    <row r="70" spans="1:9">
      <c r="A70" s="457"/>
      <c r="B70" s="457"/>
      <c r="C70" s="219" t="s">
        <v>26</v>
      </c>
      <c r="D70" s="219">
        <v>1</v>
      </c>
      <c r="E70" s="219">
        <v>600</v>
      </c>
      <c r="F70" s="219">
        <f>D70*E70</f>
        <v>600</v>
      </c>
      <c r="G70" s="219" t="s">
        <v>825</v>
      </c>
      <c r="H70" s="229"/>
      <c r="I70" s="229"/>
    </row>
    <row r="71" spans="1:9">
      <c r="A71" s="577" t="s">
        <v>1181</v>
      </c>
      <c r="B71" s="577"/>
      <c r="C71" s="575" t="s">
        <v>2002</v>
      </c>
      <c r="D71" s="454"/>
      <c r="E71" s="450"/>
      <c r="F71" s="576"/>
      <c r="G71" s="450"/>
      <c r="H71" s="229"/>
      <c r="I71" s="229"/>
    </row>
    <row r="72" spans="1:9">
      <c r="A72" s="457"/>
      <c r="B72" s="457"/>
      <c r="C72" s="219" t="s">
        <v>62</v>
      </c>
      <c r="D72" s="221"/>
      <c r="E72" s="221"/>
      <c r="F72" s="219">
        <f>(F66+F68+F70)*2%</f>
        <v>207.762</v>
      </c>
      <c r="G72" s="219" t="s">
        <v>1218</v>
      </c>
      <c r="H72" s="229"/>
      <c r="I72" s="229"/>
    </row>
    <row r="73" spans="1:9">
      <c r="A73" s="574" t="s">
        <v>30</v>
      </c>
      <c r="B73" s="454"/>
      <c r="C73" s="450"/>
      <c r="D73" s="222">
        <v>100</v>
      </c>
      <c r="E73" s="222" t="s">
        <v>21</v>
      </c>
      <c r="F73" s="222">
        <f>F66+F68+F70+F72</f>
        <v>10595.862000000001</v>
      </c>
      <c r="G73" s="217"/>
      <c r="H73" s="229"/>
      <c r="I73" s="229"/>
    </row>
    <row r="74" spans="1:9">
      <c r="A74" s="574" t="s">
        <v>826</v>
      </c>
      <c r="B74" s="454"/>
      <c r="C74" s="450"/>
      <c r="D74" s="222">
        <v>1</v>
      </c>
      <c r="E74" s="222" t="s">
        <v>21</v>
      </c>
      <c r="F74" s="222">
        <f>F73/D73</f>
        <v>105.95862000000001</v>
      </c>
      <c r="G74" s="217"/>
      <c r="H74" s="229"/>
      <c r="I74" s="229"/>
    </row>
    <row r="75" spans="1:9">
      <c r="A75" s="574" t="s">
        <v>1187</v>
      </c>
      <c r="B75" s="454"/>
      <c r="C75" s="454"/>
      <c r="D75" s="450"/>
      <c r="E75" s="224">
        <f>F66*1.05*1.02/100</f>
        <v>99.838620000000006</v>
      </c>
      <c r="F75" s="222">
        <f>E75*1%</f>
        <v>0.99838620000000011</v>
      </c>
      <c r="G75" s="217"/>
      <c r="H75" s="229"/>
      <c r="I75" s="229"/>
    </row>
    <row r="76" spans="1:9">
      <c r="A76" s="574" t="s">
        <v>30</v>
      </c>
      <c r="B76" s="454"/>
      <c r="C76" s="454"/>
      <c r="D76" s="450"/>
      <c r="E76" s="217"/>
      <c r="F76" s="222">
        <f>F74+F75</f>
        <v>106.95700620000001</v>
      </c>
      <c r="G76" s="217"/>
      <c r="H76" s="229"/>
      <c r="I76" s="229"/>
    </row>
    <row r="77" spans="1:9">
      <c r="A77" s="574" t="s">
        <v>836</v>
      </c>
      <c r="B77" s="454"/>
      <c r="C77" s="454"/>
      <c r="D77" s="450"/>
      <c r="E77" s="222">
        <f>F76</f>
        <v>106.95700620000001</v>
      </c>
      <c r="F77" s="222">
        <f>E77*15%</f>
        <v>16.043550930000002</v>
      </c>
      <c r="G77" s="217"/>
      <c r="H77" s="229"/>
      <c r="I77" s="229"/>
    </row>
    <row r="78" spans="1:9">
      <c r="A78" s="578" t="s">
        <v>30</v>
      </c>
      <c r="B78" s="454"/>
      <c r="C78" s="454"/>
      <c r="D78" s="450"/>
      <c r="E78" s="225"/>
      <c r="F78" s="226">
        <f>ROUND(F76+F77,2)</f>
        <v>123</v>
      </c>
      <c r="G78" s="217"/>
      <c r="H78" s="229"/>
      <c r="I78" s="229"/>
    </row>
    <row r="79" spans="1:9">
      <c r="A79" s="577">
        <v>1001</v>
      </c>
      <c r="B79" s="577"/>
      <c r="C79" s="576" t="s">
        <v>1493</v>
      </c>
      <c r="D79" s="454"/>
      <c r="E79" s="450"/>
      <c r="F79" s="576"/>
      <c r="G79" s="450"/>
      <c r="H79" s="229"/>
      <c r="I79" s="229"/>
    </row>
    <row r="80" spans="1:9">
      <c r="A80" s="457"/>
      <c r="B80" s="457"/>
      <c r="C80" s="219" t="s">
        <v>26</v>
      </c>
      <c r="D80" s="219">
        <v>1</v>
      </c>
      <c r="E80" s="219">
        <v>806</v>
      </c>
      <c r="F80" s="219">
        <f>E80*D80</f>
        <v>806</v>
      </c>
      <c r="G80" s="219" t="s">
        <v>822</v>
      </c>
      <c r="H80" s="229"/>
      <c r="I80" s="229"/>
    </row>
    <row r="81" spans="1:9">
      <c r="A81" s="577" t="s">
        <v>1181</v>
      </c>
      <c r="B81" s="577"/>
      <c r="C81" s="575" t="s">
        <v>2006</v>
      </c>
      <c r="D81" s="454"/>
      <c r="E81" s="450"/>
      <c r="F81" s="576"/>
      <c r="G81" s="450"/>
      <c r="H81" s="229"/>
      <c r="I81" s="229"/>
    </row>
    <row r="82" spans="1:9">
      <c r="A82" s="457"/>
      <c r="B82" s="457"/>
      <c r="C82" s="219" t="s">
        <v>62</v>
      </c>
      <c r="D82" s="221"/>
      <c r="E82" s="221"/>
      <c r="F82" s="219">
        <f>F80*2%</f>
        <v>16.12</v>
      </c>
      <c r="G82" s="219" t="s">
        <v>2007</v>
      </c>
      <c r="H82" s="229">
        <f>F82+F72</f>
        <v>223.88200000000001</v>
      </c>
      <c r="I82" s="229"/>
    </row>
    <row r="83" spans="1:9">
      <c r="A83" s="574" t="s">
        <v>30</v>
      </c>
      <c r="B83" s="454"/>
      <c r="C83" s="450"/>
      <c r="D83" s="222">
        <v>100</v>
      </c>
      <c r="E83" s="222" t="s">
        <v>21</v>
      </c>
      <c r="F83" s="222">
        <f>F80+F82</f>
        <v>822.12</v>
      </c>
      <c r="G83" s="225"/>
      <c r="H83" s="229"/>
      <c r="I83" s="229"/>
    </row>
    <row r="84" spans="1:9">
      <c r="A84" s="574" t="s">
        <v>826</v>
      </c>
      <c r="B84" s="454"/>
      <c r="C84" s="450"/>
      <c r="D84" s="222">
        <v>1</v>
      </c>
      <c r="E84" s="222" t="s">
        <v>21</v>
      </c>
      <c r="F84" s="222">
        <f>F83/D83</f>
        <v>8.2211999999999996</v>
      </c>
      <c r="G84" s="225"/>
      <c r="H84" s="229"/>
      <c r="I84" s="229"/>
    </row>
    <row r="85" spans="1:9">
      <c r="A85" s="574" t="s">
        <v>836</v>
      </c>
      <c r="B85" s="454"/>
      <c r="C85" s="454"/>
      <c r="D85" s="450"/>
      <c r="E85" s="222">
        <f>F84</f>
        <v>8.2211999999999996</v>
      </c>
      <c r="F85" s="222">
        <f>E85*15%</f>
        <v>1.2331799999999999</v>
      </c>
      <c r="G85" s="225"/>
      <c r="H85" s="229"/>
      <c r="I85" s="229"/>
    </row>
    <row r="86" spans="1:9">
      <c r="A86" s="578" t="s">
        <v>30</v>
      </c>
      <c r="B86" s="454"/>
      <c r="C86" s="454"/>
      <c r="D86" s="450"/>
      <c r="E86" s="225"/>
      <c r="F86" s="226">
        <f>ROUND(F84+F85,2)</f>
        <v>9.4499999999999993</v>
      </c>
      <c r="G86" s="217"/>
      <c r="H86" s="229"/>
      <c r="I86" s="229">
        <f>F86+F78</f>
        <v>132.44999999999999</v>
      </c>
    </row>
    <row r="87" spans="1:9">
      <c r="A87" s="633" t="str">
        <f>CONCATENATE("Say ₹ ",F78," + ",F86," x Cost Index")</f>
        <v>Say ₹ 123 + 9.45 x Cost Index</v>
      </c>
      <c r="B87" s="454"/>
      <c r="C87" s="454"/>
      <c r="D87" s="454"/>
      <c r="E87" s="454"/>
      <c r="F87" s="450"/>
      <c r="G87" s="226" t="s">
        <v>1000</v>
      </c>
      <c r="H87" s="229">
        <f>(((F66*1.05*1.01)+F70)*1.02*1.15)/100</f>
        <v>123.00055712999998</v>
      </c>
      <c r="I87" s="229">
        <f>(F80*1.02*1.15)/100</f>
        <v>9.4543800000000005</v>
      </c>
    </row>
    <row r="88" spans="1:9">
      <c r="A88" s="571" t="s">
        <v>771</v>
      </c>
      <c r="B88" s="571" t="s">
        <v>776</v>
      </c>
      <c r="C88" s="572" t="s">
        <v>4</v>
      </c>
      <c r="D88" s="454"/>
      <c r="E88" s="450"/>
      <c r="F88" s="572" t="s">
        <v>785</v>
      </c>
      <c r="G88" s="450"/>
      <c r="H88" s="229"/>
      <c r="I88" s="229"/>
    </row>
    <row r="89" spans="1:9">
      <c r="A89" s="457"/>
      <c r="B89" s="457"/>
      <c r="C89" s="216" t="s">
        <v>5</v>
      </c>
      <c r="D89" s="216" t="s">
        <v>6</v>
      </c>
      <c r="E89" s="216" t="s">
        <v>336</v>
      </c>
      <c r="F89" s="216" t="s">
        <v>8</v>
      </c>
      <c r="G89" s="216" t="s">
        <v>789</v>
      </c>
      <c r="H89" s="229"/>
      <c r="I89" s="229"/>
    </row>
    <row r="90" spans="1:9">
      <c r="A90" s="573" t="s">
        <v>2046</v>
      </c>
      <c r="B90" s="454"/>
      <c r="C90" s="454"/>
      <c r="D90" s="454"/>
      <c r="E90" s="454"/>
      <c r="F90" s="454"/>
      <c r="G90" s="450"/>
      <c r="H90" s="229"/>
      <c r="I90" s="229"/>
    </row>
    <row r="91" spans="1:9">
      <c r="A91" s="217"/>
      <c r="B91" s="217" t="s">
        <v>795</v>
      </c>
      <c r="C91" s="217" t="s">
        <v>21</v>
      </c>
      <c r="D91" s="217" t="s">
        <v>798</v>
      </c>
      <c r="E91" s="217">
        <v>100</v>
      </c>
      <c r="F91" s="217"/>
      <c r="G91" s="217"/>
      <c r="H91" s="229"/>
      <c r="I91" s="229"/>
    </row>
    <row r="92" spans="1:9">
      <c r="A92" s="217" t="s">
        <v>800</v>
      </c>
      <c r="B92" s="574" t="s">
        <v>1996</v>
      </c>
      <c r="C92" s="454"/>
      <c r="D92" s="454"/>
      <c r="E92" s="454"/>
      <c r="F92" s="454"/>
      <c r="G92" s="450"/>
      <c r="H92" s="229"/>
      <c r="I92" s="229"/>
    </row>
    <row r="93" spans="1:9">
      <c r="A93" s="574" t="s">
        <v>1171</v>
      </c>
      <c r="B93" s="454"/>
      <c r="C93" s="454"/>
      <c r="D93" s="454"/>
      <c r="E93" s="454"/>
      <c r="F93" s="454"/>
      <c r="G93" s="450"/>
      <c r="H93" s="229"/>
      <c r="I93" s="229"/>
    </row>
    <row r="94" spans="1:9">
      <c r="A94" s="577"/>
      <c r="B94" s="577" t="s">
        <v>2048</v>
      </c>
      <c r="C94" s="576" t="s">
        <v>2049</v>
      </c>
      <c r="D94" s="454"/>
      <c r="E94" s="450"/>
      <c r="F94" s="576"/>
      <c r="G94" s="450"/>
      <c r="H94" s="229"/>
      <c r="I94" s="229"/>
    </row>
    <row r="95" spans="1:9">
      <c r="A95" s="457"/>
      <c r="B95" s="457"/>
      <c r="C95" s="219" t="s">
        <v>21</v>
      </c>
      <c r="D95" s="219">
        <v>100</v>
      </c>
      <c r="E95" s="219">
        <v>137.29</v>
      </c>
      <c r="F95" s="219">
        <f>D95*E95</f>
        <v>13729</v>
      </c>
      <c r="G95" s="219" t="s">
        <v>808</v>
      </c>
      <c r="H95" s="229"/>
      <c r="I95" s="229"/>
    </row>
    <row r="96" spans="1:9">
      <c r="A96" s="577" t="s">
        <v>1181</v>
      </c>
      <c r="B96" s="577"/>
      <c r="C96" s="576" t="s">
        <v>1999</v>
      </c>
      <c r="D96" s="454"/>
      <c r="E96" s="450"/>
      <c r="F96" s="576"/>
      <c r="G96" s="450"/>
      <c r="H96" s="229"/>
      <c r="I96" s="229"/>
    </row>
    <row r="97" spans="1:9">
      <c r="A97" s="457"/>
      <c r="B97" s="457"/>
      <c r="C97" s="219" t="s">
        <v>62</v>
      </c>
      <c r="D97" s="221"/>
      <c r="E97" s="221"/>
      <c r="F97" s="219">
        <f>F95*5%</f>
        <v>686.45</v>
      </c>
      <c r="G97" s="219" t="s">
        <v>1184</v>
      </c>
      <c r="H97" s="229"/>
      <c r="I97" s="229"/>
    </row>
    <row r="98" spans="1:9">
      <c r="A98" s="577"/>
      <c r="B98" s="577" t="s">
        <v>2000</v>
      </c>
      <c r="C98" s="576" t="s">
        <v>2001</v>
      </c>
      <c r="D98" s="454"/>
      <c r="E98" s="450"/>
      <c r="F98" s="576"/>
      <c r="G98" s="450"/>
      <c r="H98" s="229"/>
      <c r="I98" s="229"/>
    </row>
    <row r="99" spans="1:9">
      <c r="A99" s="457"/>
      <c r="B99" s="457"/>
      <c r="C99" s="219" t="s">
        <v>26</v>
      </c>
      <c r="D99" s="219">
        <v>1</v>
      </c>
      <c r="E99" s="219">
        <v>600</v>
      </c>
      <c r="F99" s="219">
        <f>D99*E99</f>
        <v>600</v>
      </c>
      <c r="G99" s="219" t="s">
        <v>825</v>
      </c>
      <c r="H99" s="229"/>
      <c r="I99" s="229"/>
    </row>
    <row r="100" spans="1:9">
      <c r="A100" s="577" t="s">
        <v>1181</v>
      </c>
      <c r="B100" s="577"/>
      <c r="C100" s="575" t="s">
        <v>2002</v>
      </c>
      <c r="D100" s="454"/>
      <c r="E100" s="450"/>
      <c r="F100" s="576"/>
      <c r="G100" s="450"/>
      <c r="H100" s="229"/>
      <c r="I100" s="229"/>
    </row>
    <row r="101" spans="1:9">
      <c r="A101" s="457"/>
      <c r="B101" s="457"/>
      <c r="C101" s="219" t="s">
        <v>62</v>
      </c>
      <c r="D101" s="221"/>
      <c r="E101" s="221"/>
      <c r="F101" s="219">
        <f>(F95+F97+F99)*2%</f>
        <v>300.30900000000003</v>
      </c>
      <c r="G101" s="219" t="s">
        <v>1218</v>
      </c>
      <c r="H101" s="229"/>
      <c r="I101" s="229"/>
    </row>
    <row r="102" spans="1:9">
      <c r="A102" s="574" t="s">
        <v>30</v>
      </c>
      <c r="B102" s="454"/>
      <c r="C102" s="450"/>
      <c r="D102" s="222">
        <v>100</v>
      </c>
      <c r="E102" s="222" t="s">
        <v>21</v>
      </c>
      <c r="F102" s="222">
        <f>F95+F97+F99+F101</f>
        <v>15315.759</v>
      </c>
      <c r="G102" s="217"/>
      <c r="H102" s="229"/>
      <c r="I102" s="229"/>
    </row>
    <row r="103" spans="1:9">
      <c r="A103" s="574" t="s">
        <v>826</v>
      </c>
      <c r="B103" s="454"/>
      <c r="C103" s="450"/>
      <c r="D103" s="222">
        <v>1</v>
      </c>
      <c r="E103" s="222" t="s">
        <v>21</v>
      </c>
      <c r="F103" s="222">
        <f>F102/D102</f>
        <v>153.15759</v>
      </c>
      <c r="G103" s="217"/>
      <c r="H103" s="229"/>
      <c r="I103" s="229"/>
    </row>
    <row r="104" spans="1:9">
      <c r="A104" s="574" t="s">
        <v>1187</v>
      </c>
      <c r="B104" s="454"/>
      <c r="C104" s="454"/>
      <c r="D104" s="450"/>
      <c r="E104" s="224">
        <f>F95*1.05*1.02/100</f>
        <v>147.03759000000002</v>
      </c>
      <c r="F104" s="222">
        <f>E104*1%</f>
        <v>1.4703759000000003</v>
      </c>
      <c r="G104" s="217"/>
      <c r="H104" s="229"/>
      <c r="I104" s="229"/>
    </row>
    <row r="105" spans="1:9">
      <c r="A105" s="574" t="s">
        <v>30</v>
      </c>
      <c r="B105" s="454"/>
      <c r="C105" s="454"/>
      <c r="D105" s="450"/>
      <c r="E105" s="217"/>
      <c r="F105" s="222">
        <f>F103+F104</f>
        <v>154.62796589999999</v>
      </c>
      <c r="G105" s="217"/>
      <c r="H105" s="229"/>
      <c r="I105" s="229"/>
    </row>
    <row r="106" spans="1:9">
      <c r="A106" s="574" t="s">
        <v>836</v>
      </c>
      <c r="B106" s="454"/>
      <c r="C106" s="454"/>
      <c r="D106" s="450"/>
      <c r="E106" s="222">
        <f>F105</f>
        <v>154.62796589999999</v>
      </c>
      <c r="F106" s="222">
        <f>E106*15%</f>
        <v>23.194194884999998</v>
      </c>
      <c r="G106" s="217"/>
      <c r="H106" s="229"/>
      <c r="I106" s="229"/>
    </row>
    <row r="107" spans="1:9">
      <c r="A107" s="578" t="s">
        <v>30</v>
      </c>
      <c r="B107" s="454"/>
      <c r="C107" s="454"/>
      <c r="D107" s="450"/>
      <c r="E107" s="225"/>
      <c r="F107" s="226">
        <f>ROUND(F105+F106,2)</f>
        <v>177.82</v>
      </c>
      <c r="G107" s="217"/>
      <c r="H107" s="229"/>
      <c r="I107" s="229"/>
    </row>
    <row r="108" spans="1:9">
      <c r="A108" s="577">
        <v>1001</v>
      </c>
      <c r="B108" s="577"/>
      <c r="C108" s="576" t="s">
        <v>1493</v>
      </c>
      <c r="D108" s="454"/>
      <c r="E108" s="450"/>
      <c r="F108" s="576"/>
      <c r="G108" s="450"/>
      <c r="H108" s="229"/>
      <c r="I108" s="229"/>
    </row>
    <row r="109" spans="1:9">
      <c r="A109" s="457"/>
      <c r="B109" s="457"/>
      <c r="C109" s="219" t="s">
        <v>26</v>
      </c>
      <c r="D109" s="219">
        <v>1</v>
      </c>
      <c r="E109" s="219">
        <v>806</v>
      </c>
      <c r="F109" s="219">
        <f>E109*D109</f>
        <v>806</v>
      </c>
      <c r="G109" s="219" t="s">
        <v>822</v>
      </c>
      <c r="H109" s="229"/>
      <c r="I109" s="229"/>
    </row>
    <row r="110" spans="1:9">
      <c r="A110" s="577" t="s">
        <v>1181</v>
      </c>
      <c r="B110" s="577"/>
      <c r="C110" s="575" t="s">
        <v>2006</v>
      </c>
      <c r="D110" s="454"/>
      <c r="E110" s="450"/>
      <c r="F110" s="576"/>
      <c r="G110" s="450"/>
      <c r="H110" s="229"/>
      <c r="I110" s="229"/>
    </row>
    <row r="111" spans="1:9">
      <c r="A111" s="457"/>
      <c r="B111" s="457"/>
      <c r="C111" s="219" t="s">
        <v>62</v>
      </c>
      <c r="D111" s="221"/>
      <c r="E111" s="221"/>
      <c r="F111" s="219">
        <f>F109*2%</f>
        <v>16.12</v>
      </c>
      <c r="G111" s="219" t="s">
        <v>2007</v>
      </c>
      <c r="H111" s="229">
        <f>F111+F101</f>
        <v>316.42900000000003</v>
      </c>
      <c r="I111" s="229"/>
    </row>
    <row r="112" spans="1:9">
      <c r="A112" s="574" t="s">
        <v>30</v>
      </c>
      <c r="B112" s="454"/>
      <c r="C112" s="450"/>
      <c r="D112" s="222">
        <v>100</v>
      </c>
      <c r="E112" s="222" t="s">
        <v>21</v>
      </c>
      <c r="F112" s="222">
        <f>F109+F111</f>
        <v>822.12</v>
      </c>
      <c r="G112" s="225"/>
      <c r="H112" s="229"/>
      <c r="I112" s="229"/>
    </row>
    <row r="113" spans="1:9">
      <c r="A113" s="574" t="s">
        <v>826</v>
      </c>
      <c r="B113" s="454"/>
      <c r="C113" s="450"/>
      <c r="D113" s="222">
        <v>1</v>
      </c>
      <c r="E113" s="222" t="s">
        <v>21</v>
      </c>
      <c r="F113" s="222">
        <f>F112/D112</f>
        <v>8.2211999999999996</v>
      </c>
      <c r="G113" s="225"/>
      <c r="H113" s="229"/>
      <c r="I113" s="229"/>
    </row>
    <row r="114" spans="1:9">
      <c r="A114" s="574" t="s">
        <v>836</v>
      </c>
      <c r="B114" s="454"/>
      <c r="C114" s="454"/>
      <c r="D114" s="450"/>
      <c r="E114" s="222">
        <f>F113</f>
        <v>8.2211999999999996</v>
      </c>
      <c r="F114" s="222">
        <f>E114*15%</f>
        <v>1.2331799999999999</v>
      </c>
      <c r="G114" s="225"/>
      <c r="H114" s="229"/>
      <c r="I114" s="229"/>
    </row>
    <row r="115" spans="1:9">
      <c r="A115" s="578" t="s">
        <v>30</v>
      </c>
      <c r="B115" s="454"/>
      <c r="C115" s="454"/>
      <c r="D115" s="450"/>
      <c r="E115" s="225"/>
      <c r="F115" s="226">
        <f>ROUND(F113+F114,2)</f>
        <v>9.4499999999999993</v>
      </c>
      <c r="G115" s="217"/>
      <c r="H115" s="229"/>
      <c r="I115" s="229">
        <f>F115+F107</f>
        <v>187.26999999999998</v>
      </c>
    </row>
    <row r="116" spans="1:9">
      <c r="A116" s="633" t="str">
        <f>CONCATENATE("Say ₹ ",F107," + ",F115," x Cost Index")</f>
        <v>Say ₹ 177.82 + 9.45 x Cost Index</v>
      </c>
      <c r="B116" s="454"/>
      <c r="C116" s="454"/>
      <c r="D116" s="454"/>
      <c r="E116" s="454"/>
      <c r="F116" s="450"/>
      <c r="G116" s="226" t="s">
        <v>1000</v>
      </c>
      <c r="H116" s="229">
        <f>(((F95*1.05*1.01)+F99)*1.02*1.15)/100</f>
        <v>177.82216078500002</v>
      </c>
      <c r="I116" s="229">
        <f>(F109*1.02*1.15)/100</f>
        <v>9.4543800000000005</v>
      </c>
    </row>
    <row r="117" spans="1:9">
      <c r="A117" s="571" t="s">
        <v>771</v>
      </c>
      <c r="B117" s="571" t="s">
        <v>776</v>
      </c>
      <c r="C117" s="572" t="s">
        <v>4</v>
      </c>
      <c r="D117" s="454"/>
      <c r="E117" s="450"/>
      <c r="F117" s="572" t="s">
        <v>785</v>
      </c>
      <c r="G117" s="450"/>
      <c r="H117" s="229"/>
      <c r="I117" s="229"/>
    </row>
    <row r="118" spans="1:9">
      <c r="A118" s="457"/>
      <c r="B118" s="457"/>
      <c r="C118" s="216" t="s">
        <v>5</v>
      </c>
      <c r="D118" s="216" t="s">
        <v>6</v>
      </c>
      <c r="E118" s="216" t="s">
        <v>336</v>
      </c>
      <c r="F118" s="216" t="s">
        <v>8</v>
      </c>
      <c r="G118" s="216" t="s">
        <v>789</v>
      </c>
      <c r="H118" s="229"/>
      <c r="I118" s="229"/>
    </row>
    <row r="119" spans="1:9">
      <c r="A119" s="573" t="s">
        <v>2067</v>
      </c>
      <c r="B119" s="454"/>
      <c r="C119" s="454"/>
      <c r="D119" s="454"/>
      <c r="E119" s="454"/>
      <c r="F119" s="454"/>
      <c r="G119" s="450"/>
      <c r="H119" s="229"/>
      <c r="I119" s="229"/>
    </row>
    <row r="120" spans="1:9">
      <c r="A120" s="217"/>
      <c r="B120" s="217" t="s">
        <v>795</v>
      </c>
      <c r="C120" s="217" t="s">
        <v>21</v>
      </c>
      <c r="D120" s="217" t="s">
        <v>798</v>
      </c>
      <c r="E120" s="217">
        <v>100</v>
      </c>
      <c r="F120" s="217"/>
      <c r="G120" s="217"/>
      <c r="H120" s="229"/>
      <c r="I120" s="229"/>
    </row>
    <row r="121" spans="1:9">
      <c r="A121" s="217" t="s">
        <v>800</v>
      </c>
      <c r="B121" s="574" t="s">
        <v>1996</v>
      </c>
      <c r="C121" s="454"/>
      <c r="D121" s="454"/>
      <c r="E121" s="454"/>
      <c r="F121" s="454"/>
      <c r="G121" s="450"/>
      <c r="H121" s="229"/>
      <c r="I121" s="229"/>
    </row>
    <row r="122" spans="1:9">
      <c r="A122" s="574" t="s">
        <v>1171</v>
      </c>
      <c r="B122" s="454"/>
      <c r="C122" s="454"/>
      <c r="D122" s="454"/>
      <c r="E122" s="454"/>
      <c r="F122" s="454"/>
      <c r="G122" s="450"/>
      <c r="H122" s="229"/>
      <c r="I122" s="229"/>
    </row>
    <row r="123" spans="1:9">
      <c r="A123" s="577"/>
      <c r="B123" s="577" t="s">
        <v>2068</v>
      </c>
      <c r="C123" s="576" t="s">
        <v>2069</v>
      </c>
      <c r="D123" s="454"/>
      <c r="E123" s="450"/>
      <c r="F123" s="576"/>
      <c r="G123" s="450"/>
      <c r="H123" s="229"/>
      <c r="I123" s="229"/>
    </row>
    <row r="124" spans="1:9">
      <c r="A124" s="457"/>
      <c r="B124" s="457"/>
      <c r="C124" s="219" t="s">
        <v>21</v>
      </c>
      <c r="D124" s="219">
        <v>100</v>
      </c>
      <c r="E124" s="219">
        <v>227.97</v>
      </c>
      <c r="F124" s="219">
        <f>D124*E124</f>
        <v>22797</v>
      </c>
      <c r="G124" s="219" t="s">
        <v>808</v>
      </c>
      <c r="H124" s="229"/>
      <c r="I124" s="229"/>
    </row>
    <row r="125" spans="1:9">
      <c r="A125" s="577" t="s">
        <v>1181</v>
      </c>
      <c r="B125" s="577"/>
      <c r="C125" s="576" t="s">
        <v>1999</v>
      </c>
      <c r="D125" s="454"/>
      <c r="E125" s="450"/>
      <c r="F125" s="576"/>
      <c r="G125" s="450"/>
      <c r="H125" s="229"/>
      <c r="I125" s="229"/>
    </row>
    <row r="126" spans="1:9">
      <c r="A126" s="457"/>
      <c r="B126" s="457"/>
      <c r="C126" s="219" t="s">
        <v>62</v>
      </c>
      <c r="D126" s="221"/>
      <c r="E126" s="221"/>
      <c r="F126" s="219">
        <f>F124*5%</f>
        <v>1139.8500000000001</v>
      </c>
      <c r="G126" s="219" t="s">
        <v>1184</v>
      </c>
      <c r="H126" s="229"/>
      <c r="I126" s="229"/>
    </row>
    <row r="127" spans="1:9">
      <c r="A127" s="577"/>
      <c r="B127" s="577" t="s">
        <v>2000</v>
      </c>
      <c r="C127" s="576" t="s">
        <v>2001</v>
      </c>
      <c r="D127" s="454"/>
      <c r="E127" s="450"/>
      <c r="F127" s="576"/>
      <c r="G127" s="450"/>
      <c r="H127" s="229"/>
      <c r="I127" s="229"/>
    </row>
    <row r="128" spans="1:9">
      <c r="A128" s="457"/>
      <c r="B128" s="457"/>
      <c r="C128" s="219" t="s">
        <v>26</v>
      </c>
      <c r="D128" s="219">
        <v>1</v>
      </c>
      <c r="E128" s="219">
        <v>600</v>
      </c>
      <c r="F128" s="219">
        <f>D128*E128</f>
        <v>600</v>
      </c>
      <c r="G128" s="219" t="s">
        <v>825</v>
      </c>
      <c r="H128" s="229"/>
      <c r="I128" s="229"/>
    </row>
    <row r="129" spans="1:9">
      <c r="A129" s="577" t="s">
        <v>1181</v>
      </c>
      <c r="B129" s="577"/>
      <c r="C129" s="575" t="s">
        <v>2002</v>
      </c>
      <c r="D129" s="454"/>
      <c r="E129" s="450"/>
      <c r="F129" s="576"/>
      <c r="G129" s="450"/>
      <c r="H129" s="229"/>
      <c r="I129" s="229"/>
    </row>
    <row r="130" spans="1:9">
      <c r="A130" s="457"/>
      <c r="B130" s="457"/>
      <c r="C130" s="219" t="s">
        <v>62</v>
      </c>
      <c r="D130" s="221"/>
      <c r="E130" s="221"/>
      <c r="F130" s="219">
        <f>(F124+F126+F128)*2%</f>
        <v>490.73699999999997</v>
      </c>
      <c r="G130" s="219" t="s">
        <v>1218</v>
      </c>
      <c r="H130" s="229"/>
      <c r="I130" s="229"/>
    </row>
    <row r="131" spans="1:9">
      <c r="A131" s="574" t="s">
        <v>30</v>
      </c>
      <c r="B131" s="454"/>
      <c r="C131" s="450"/>
      <c r="D131" s="222">
        <v>100</v>
      </c>
      <c r="E131" s="222" t="s">
        <v>21</v>
      </c>
      <c r="F131" s="222">
        <f>F124+F126+F128+F130</f>
        <v>25027.587</v>
      </c>
      <c r="G131" s="217"/>
      <c r="H131" s="229"/>
      <c r="I131" s="229"/>
    </row>
    <row r="132" spans="1:9">
      <c r="A132" s="574" t="s">
        <v>826</v>
      </c>
      <c r="B132" s="454"/>
      <c r="C132" s="450"/>
      <c r="D132" s="222">
        <v>1</v>
      </c>
      <c r="E132" s="222" t="s">
        <v>21</v>
      </c>
      <c r="F132" s="222">
        <f>F131/D131</f>
        <v>250.27587</v>
      </c>
      <c r="G132" s="217"/>
      <c r="H132" s="229"/>
      <c r="I132" s="229"/>
    </row>
    <row r="133" spans="1:9">
      <c r="A133" s="574" t="s">
        <v>1187</v>
      </c>
      <c r="B133" s="454"/>
      <c r="C133" s="454"/>
      <c r="D133" s="450"/>
      <c r="E133" s="224">
        <f>F124*1.05*1.02/100</f>
        <v>244.15587000000002</v>
      </c>
      <c r="F133" s="222">
        <f>E133*1%</f>
        <v>2.4415587000000003</v>
      </c>
      <c r="G133" s="217"/>
      <c r="H133" s="229"/>
      <c r="I133" s="229"/>
    </row>
    <row r="134" spans="1:9">
      <c r="A134" s="574" t="s">
        <v>30</v>
      </c>
      <c r="B134" s="454"/>
      <c r="C134" s="454"/>
      <c r="D134" s="450"/>
      <c r="E134" s="217"/>
      <c r="F134" s="222">
        <f>F132+F133</f>
        <v>252.7174287</v>
      </c>
      <c r="G134" s="217"/>
      <c r="H134" s="229"/>
      <c r="I134" s="229"/>
    </row>
    <row r="135" spans="1:9">
      <c r="A135" s="574" t="s">
        <v>836</v>
      </c>
      <c r="B135" s="454"/>
      <c r="C135" s="454"/>
      <c r="D135" s="450"/>
      <c r="E135" s="222">
        <f>F134</f>
        <v>252.7174287</v>
      </c>
      <c r="F135" s="222">
        <f>E135*15%</f>
        <v>37.907614304999996</v>
      </c>
      <c r="G135" s="217"/>
      <c r="H135" s="229"/>
      <c r="I135" s="229"/>
    </row>
    <row r="136" spans="1:9">
      <c r="A136" s="578" t="s">
        <v>30</v>
      </c>
      <c r="B136" s="454"/>
      <c r="C136" s="454"/>
      <c r="D136" s="450"/>
      <c r="E136" s="225"/>
      <c r="F136" s="226">
        <f>ROUND(F134+F135,2)</f>
        <v>290.63</v>
      </c>
      <c r="G136" s="217"/>
      <c r="H136" s="229"/>
      <c r="I136" s="229"/>
    </row>
    <row r="137" spans="1:9">
      <c r="A137" s="577">
        <v>1001</v>
      </c>
      <c r="B137" s="577"/>
      <c r="C137" s="576" t="s">
        <v>1493</v>
      </c>
      <c r="D137" s="454"/>
      <c r="E137" s="450"/>
      <c r="F137" s="576"/>
      <c r="G137" s="450"/>
      <c r="H137" s="229"/>
      <c r="I137" s="229"/>
    </row>
    <row r="138" spans="1:9">
      <c r="A138" s="457"/>
      <c r="B138" s="457"/>
      <c r="C138" s="219" t="s">
        <v>26</v>
      </c>
      <c r="D138" s="219">
        <v>1</v>
      </c>
      <c r="E138" s="219">
        <v>806</v>
      </c>
      <c r="F138" s="219">
        <f>E138*D138</f>
        <v>806</v>
      </c>
      <c r="G138" s="219" t="s">
        <v>822</v>
      </c>
      <c r="H138" s="229"/>
      <c r="I138" s="229"/>
    </row>
    <row r="139" spans="1:9">
      <c r="A139" s="577" t="s">
        <v>1181</v>
      </c>
      <c r="B139" s="577"/>
      <c r="C139" s="575" t="s">
        <v>2006</v>
      </c>
      <c r="D139" s="454"/>
      <c r="E139" s="450"/>
      <c r="F139" s="576"/>
      <c r="G139" s="450"/>
      <c r="H139" s="229"/>
      <c r="I139" s="229"/>
    </row>
    <row r="140" spans="1:9">
      <c r="A140" s="457"/>
      <c r="B140" s="457"/>
      <c r="C140" s="219" t="s">
        <v>62</v>
      </c>
      <c r="D140" s="221"/>
      <c r="E140" s="221"/>
      <c r="F140" s="219">
        <f>F138*2%</f>
        <v>16.12</v>
      </c>
      <c r="G140" s="219" t="s">
        <v>2007</v>
      </c>
      <c r="H140" s="229">
        <f>F140+F130</f>
        <v>506.85699999999997</v>
      </c>
      <c r="I140" s="229"/>
    </row>
    <row r="141" spans="1:9">
      <c r="A141" s="574" t="s">
        <v>30</v>
      </c>
      <c r="B141" s="454"/>
      <c r="C141" s="450"/>
      <c r="D141" s="222">
        <v>100</v>
      </c>
      <c r="E141" s="222" t="s">
        <v>21</v>
      </c>
      <c r="F141" s="222">
        <f>F138+F140</f>
        <v>822.12</v>
      </c>
      <c r="G141" s="225"/>
      <c r="H141" s="229"/>
      <c r="I141" s="229"/>
    </row>
    <row r="142" spans="1:9">
      <c r="A142" s="574" t="s">
        <v>826</v>
      </c>
      <c r="B142" s="454"/>
      <c r="C142" s="450"/>
      <c r="D142" s="222">
        <v>1</v>
      </c>
      <c r="E142" s="222" t="s">
        <v>21</v>
      </c>
      <c r="F142" s="222">
        <f>F141/D141</f>
        <v>8.2211999999999996</v>
      </c>
      <c r="G142" s="225"/>
      <c r="H142" s="229"/>
      <c r="I142" s="229"/>
    </row>
    <row r="143" spans="1:9">
      <c r="A143" s="574" t="s">
        <v>836</v>
      </c>
      <c r="B143" s="454"/>
      <c r="C143" s="454"/>
      <c r="D143" s="450"/>
      <c r="E143" s="222">
        <f>F142</f>
        <v>8.2211999999999996</v>
      </c>
      <c r="F143" s="222">
        <f>E143*15%</f>
        <v>1.2331799999999999</v>
      </c>
      <c r="G143" s="225"/>
      <c r="H143" s="229"/>
      <c r="I143" s="229"/>
    </row>
    <row r="144" spans="1:9">
      <c r="A144" s="578" t="s">
        <v>30</v>
      </c>
      <c r="B144" s="454"/>
      <c r="C144" s="454"/>
      <c r="D144" s="450"/>
      <c r="E144" s="225"/>
      <c r="F144" s="226">
        <f>ROUND(F142+F143,2)</f>
        <v>9.4499999999999993</v>
      </c>
      <c r="G144" s="217"/>
      <c r="H144" s="229"/>
      <c r="I144" s="229">
        <f>F144+F136</f>
        <v>300.08</v>
      </c>
    </row>
    <row r="145" spans="1:9">
      <c r="A145" s="633" t="str">
        <f>CONCATENATE("Say ₹ ",F136," + ",F144," x Cost Index")</f>
        <v>Say ₹ 290.63 + 9.45 x Cost Index</v>
      </c>
      <c r="B145" s="454"/>
      <c r="C145" s="454"/>
      <c r="D145" s="454"/>
      <c r="E145" s="454"/>
      <c r="F145" s="450"/>
      <c r="G145" s="226" t="s">
        <v>1000</v>
      </c>
      <c r="H145" s="229">
        <f>(((F124*1.05*1.01)+F128)*1.02*1.15)/100</f>
        <v>290.62504300500001</v>
      </c>
      <c r="I145" s="229">
        <f>(F138*1.02*1.15)/100</f>
        <v>9.4543800000000005</v>
      </c>
    </row>
    <row r="146" spans="1:9">
      <c r="A146" s="571" t="s">
        <v>771</v>
      </c>
      <c r="B146" s="571" t="s">
        <v>776</v>
      </c>
      <c r="C146" s="572" t="s">
        <v>4</v>
      </c>
      <c r="D146" s="454"/>
      <c r="E146" s="450"/>
      <c r="F146" s="572" t="s">
        <v>785</v>
      </c>
      <c r="G146" s="450"/>
      <c r="H146" s="229"/>
      <c r="I146" s="229"/>
    </row>
    <row r="147" spans="1:9">
      <c r="A147" s="457"/>
      <c r="B147" s="457"/>
      <c r="C147" s="216" t="s">
        <v>5</v>
      </c>
      <c r="D147" s="216" t="s">
        <v>6</v>
      </c>
      <c r="E147" s="216" t="s">
        <v>336</v>
      </c>
      <c r="F147" s="216" t="s">
        <v>8</v>
      </c>
      <c r="G147" s="216" t="s">
        <v>789</v>
      </c>
      <c r="H147" s="229"/>
      <c r="I147" s="229"/>
    </row>
    <row r="148" spans="1:9">
      <c r="A148" s="573" t="s">
        <v>2080</v>
      </c>
      <c r="B148" s="454"/>
      <c r="C148" s="454"/>
      <c r="D148" s="454"/>
      <c r="E148" s="454"/>
      <c r="F148" s="454"/>
      <c r="G148" s="450"/>
      <c r="H148" s="229"/>
      <c r="I148" s="229"/>
    </row>
    <row r="149" spans="1:9">
      <c r="A149" s="217"/>
      <c r="B149" s="217" t="s">
        <v>795</v>
      </c>
      <c r="C149" s="217" t="s">
        <v>21</v>
      </c>
      <c r="D149" s="217" t="s">
        <v>798</v>
      </c>
      <c r="E149" s="217">
        <v>100</v>
      </c>
      <c r="F149" s="217"/>
      <c r="G149" s="217"/>
      <c r="H149" s="229"/>
      <c r="I149" s="229"/>
    </row>
    <row r="150" spans="1:9">
      <c r="A150" s="217" t="s">
        <v>800</v>
      </c>
      <c r="B150" s="574" t="s">
        <v>1996</v>
      </c>
      <c r="C150" s="454"/>
      <c r="D150" s="454"/>
      <c r="E150" s="454"/>
      <c r="F150" s="454"/>
      <c r="G150" s="450"/>
      <c r="H150" s="229"/>
      <c r="I150" s="229"/>
    </row>
    <row r="151" spans="1:9">
      <c r="A151" s="574" t="s">
        <v>1171</v>
      </c>
      <c r="B151" s="454"/>
      <c r="C151" s="454"/>
      <c r="D151" s="454"/>
      <c r="E151" s="454"/>
      <c r="F151" s="454"/>
      <c r="G151" s="450"/>
      <c r="H151" s="229"/>
      <c r="I151" s="229"/>
    </row>
    <row r="152" spans="1:9">
      <c r="A152" s="577"/>
      <c r="B152" s="577" t="s">
        <v>2081</v>
      </c>
      <c r="C152" s="576" t="s">
        <v>2082</v>
      </c>
      <c r="D152" s="454"/>
      <c r="E152" s="450"/>
      <c r="F152" s="576"/>
      <c r="G152" s="450"/>
      <c r="H152" s="229"/>
      <c r="I152" s="229"/>
    </row>
    <row r="153" spans="1:9">
      <c r="A153" s="457"/>
      <c r="B153" s="457"/>
      <c r="C153" s="219" t="s">
        <v>21</v>
      </c>
      <c r="D153" s="219">
        <v>100</v>
      </c>
      <c r="E153" s="219">
        <v>366.1</v>
      </c>
      <c r="F153" s="219">
        <f>D153*E153</f>
        <v>36610</v>
      </c>
      <c r="G153" s="219" t="s">
        <v>808</v>
      </c>
      <c r="H153" s="229"/>
      <c r="I153" s="229"/>
    </row>
    <row r="154" spans="1:9">
      <c r="A154" s="577" t="s">
        <v>1181</v>
      </c>
      <c r="B154" s="577"/>
      <c r="C154" s="576" t="s">
        <v>1999</v>
      </c>
      <c r="D154" s="454"/>
      <c r="E154" s="450"/>
      <c r="F154" s="576"/>
      <c r="G154" s="450"/>
      <c r="H154" s="229"/>
      <c r="I154" s="229"/>
    </row>
    <row r="155" spans="1:9">
      <c r="A155" s="457"/>
      <c r="B155" s="457"/>
      <c r="C155" s="219" t="s">
        <v>62</v>
      </c>
      <c r="D155" s="221"/>
      <c r="E155" s="221"/>
      <c r="F155" s="219">
        <f>F153*5%</f>
        <v>1830.5</v>
      </c>
      <c r="G155" s="219" t="s">
        <v>1184</v>
      </c>
      <c r="H155" s="229"/>
      <c r="I155" s="229"/>
    </row>
    <row r="156" spans="1:9">
      <c r="A156" s="577"/>
      <c r="B156" s="577" t="s">
        <v>2000</v>
      </c>
      <c r="C156" s="576" t="s">
        <v>2001</v>
      </c>
      <c r="D156" s="454"/>
      <c r="E156" s="450"/>
      <c r="F156" s="576"/>
      <c r="G156" s="450"/>
      <c r="H156" s="229"/>
      <c r="I156" s="229"/>
    </row>
    <row r="157" spans="1:9">
      <c r="A157" s="457"/>
      <c r="B157" s="457"/>
      <c r="C157" s="219" t="s">
        <v>26</v>
      </c>
      <c r="D157" s="219">
        <v>1.5</v>
      </c>
      <c r="E157" s="219">
        <v>600</v>
      </c>
      <c r="F157" s="219">
        <f>D157*E157</f>
        <v>900</v>
      </c>
      <c r="G157" s="219" t="s">
        <v>825</v>
      </c>
      <c r="H157" s="229"/>
      <c r="I157" s="229"/>
    </row>
    <row r="158" spans="1:9">
      <c r="A158" s="577" t="s">
        <v>1181</v>
      </c>
      <c r="B158" s="577"/>
      <c r="C158" s="575" t="s">
        <v>2002</v>
      </c>
      <c r="D158" s="454"/>
      <c r="E158" s="450"/>
      <c r="F158" s="576"/>
      <c r="G158" s="450"/>
      <c r="H158" s="229"/>
      <c r="I158" s="229"/>
    </row>
    <row r="159" spans="1:9">
      <c r="A159" s="457"/>
      <c r="B159" s="457"/>
      <c r="C159" s="219" t="s">
        <v>62</v>
      </c>
      <c r="D159" s="221"/>
      <c r="E159" s="221"/>
      <c r="F159" s="219">
        <f>(F153+F155+F157)*2%</f>
        <v>786.81000000000006</v>
      </c>
      <c r="G159" s="219" t="s">
        <v>1218</v>
      </c>
      <c r="H159" s="229"/>
      <c r="I159" s="229"/>
    </row>
    <row r="160" spans="1:9">
      <c r="A160" s="574" t="s">
        <v>30</v>
      </c>
      <c r="B160" s="454"/>
      <c r="C160" s="450"/>
      <c r="D160" s="222">
        <v>100</v>
      </c>
      <c r="E160" s="222" t="s">
        <v>21</v>
      </c>
      <c r="F160" s="222">
        <f>F153+F155+F157+F159</f>
        <v>40127.31</v>
      </c>
      <c r="G160" s="217"/>
      <c r="H160" s="229"/>
      <c r="I160" s="229"/>
    </row>
    <row r="161" spans="1:9">
      <c r="A161" s="574" t="s">
        <v>826</v>
      </c>
      <c r="B161" s="454"/>
      <c r="C161" s="450"/>
      <c r="D161" s="222">
        <v>1</v>
      </c>
      <c r="E161" s="222" t="s">
        <v>21</v>
      </c>
      <c r="F161" s="222">
        <f>F160/D160</f>
        <v>401.2731</v>
      </c>
      <c r="G161" s="217"/>
      <c r="H161" s="229"/>
      <c r="I161" s="229"/>
    </row>
    <row r="162" spans="1:9">
      <c r="A162" s="574" t="s">
        <v>1187</v>
      </c>
      <c r="B162" s="454"/>
      <c r="C162" s="454"/>
      <c r="D162" s="450"/>
      <c r="E162" s="224">
        <f>F153*1.05*1.02/100</f>
        <v>392.09309999999999</v>
      </c>
      <c r="F162" s="222">
        <f>E162*1%</f>
        <v>3.9209309999999999</v>
      </c>
      <c r="G162" s="217"/>
      <c r="H162" s="229"/>
      <c r="I162" s="229"/>
    </row>
    <row r="163" spans="1:9">
      <c r="A163" s="574" t="s">
        <v>30</v>
      </c>
      <c r="B163" s="454"/>
      <c r="C163" s="454"/>
      <c r="D163" s="450"/>
      <c r="E163" s="217"/>
      <c r="F163" s="222">
        <f>F161+F162</f>
        <v>405.194031</v>
      </c>
      <c r="G163" s="217"/>
      <c r="H163" s="229"/>
      <c r="I163" s="229"/>
    </row>
    <row r="164" spans="1:9">
      <c r="A164" s="574" t="s">
        <v>836</v>
      </c>
      <c r="B164" s="454"/>
      <c r="C164" s="454"/>
      <c r="D164" s="450"/>
      <c r="E164" s="222">
        <f>F163</f>
        <v>405.194031</v>
      </c>
      <c r="F164" s="222">
        <f>E164*15%</f>
        <v>60.779104649999994</v>
      </c>
      <c r="G164" s="217"/>
      <c r="H164" s="229"/>
      <c r="I164" s="229"/>
    </row>
    <row r="165" spans="1:9">
      <c r="A165" s="578" t="s">
        <v>30</v>
      </c>
      <c r="B165" s="454"/>
      <c r="C165" s="454"/>
      <c r="D165" s="450"/>
      <c r="E165" s="225"/>
      <c r="F165" s="226">
        <f>ROUND(F163+F164,2)</f>
        <v>465.97</v>
      </c>
      <c r="G165" s="217"/>
      <c r="H165" s="229"/>
      <c r="I165" s="229"/>
    </row>
    <row r="166" spans="1:9">
      <c r="A166" s="577">
        <v>1001</v>
      </c>
      <c r="B166" s="577"/>
      <c r="C166" s="576" t="s">
        <v>1493</v>
      </c>
      <c r="D166" s="454"/>
      <c r="E166" s="450"/>
      <c r="F166" s="576"/>
      <c r="G166" s="450"/>
      <c r="H166" s="229"/>
      <c r="I166" s="229"/>
    </row>
    <row r="167" spans="1:9">
      <c r="A167" s="457"/>
      <c r="B167" s="457"/>
      <c r="C167" s="219" t="s">
        <v>26</v>
      </c>
      <c r="D167" s="219">
        <v>1.5</v>
      </c>
      <c r="E167" s="219">
        <v>806</v>
      </c>
      <c r="F167" s="219">
        <f>E167*D167</f>
        <v>1209</v>
      </c>
      <c r="G167" s="219" t="s">
        <v>822</v>
      </c>
      <c r="H167" s="229"/>
      <c r="I167" s="229"/>
    </row>
    <row r="168" spans="1:9">
      <c r="A168" s="577" t="s">
        <v>1181</v>
      </c>
      <c r="B168" s="577"/>
      <c r="C168" s="575" t="s">
        <v>2006</v>
      </c>
      <c r="D168" s="454"/>
      <c r="E168" s="450"/>
      <c r="F168" s="576"/>
      <c r="G168" s="450"/>
      <c r="H168" s="229"/>
      <c r="I168" s="229"/>
    </row>
    <row r="169" spans="1:9">
      <c r="A169" s="457"/>
      <c r="B169" s="457"/>
      <c r="C169" s="219" t="s">
        <v>62</v>
      </c>
      <c r="D169" s="221"/>
      <c r="E169" s="221"/>
      <c r="F169" s="219">
        <f>F167*2%</f>
        <v>24.18</v>
      </c>
      <c r="G169" s="219" t="s">
        <v>2007</v>
      </c>
      <c r="H169" s="229">
        <f>F169+F159</f>
        <v>810.99</v>
      </c>
      <c r="I169" s="229"/>
    </row>
    <row r="170" spans="1:9">
      <c r="A170" s="574" t="s">
        <v>30</v>
      </c>
      <c r="B170" s="454"/>
      <c r="C170" s="450"/>
      <c r="D170" s="222">
        <v>100</v>
      </c>
      <c r="E170" s="222" t="s">
        <v>21</v>
      </c>
      <c r="F170" s="222">
        <f>F167+F169</f>
        <v>1233.18</v>
      </c>
      <c r="G170" s="225"/>
      <c r="H170" s="229"/>
      <c r="I170" s="229"/>
    </row>
    <row r="171" spans="1:9">
      <c r="A171" s="574" t="s">
        <v>826</v>
      </c>
      <c r="B171" s="454"/>
      <c r="C171" s="450"/>
      <c r="D171" s="222">
        <v>1</v>
      </c>
      <c r="E171" s="222" t="s">
        <v>21</v>
      </c>
      <c r="F171" s="222">
        <f>F170/D170</f>
        <v>12.331800000000001</v>
      </c>
      <c r="G171" s="225"/>
      <c r="H171" s="229"/>
      <c r="I171" s="229"/>
    </row>
    <row r="172" spans="1:9">
      <c r="A172" s="574" t="s">
        <v>836</v>
      </c>
      <c r="B172" s="454"/>
      <c r="C172" s="454"/>
      <c r="D172" s="450"/>
      <c r="E172" s="222">
        <f>F171</f>
        <v>12.331800000000001</v>
      </c>
      <c r="F172" s="222">
        <f>E172*15%</f>
        <v>1.8497700000000001</v>
      </c>
      <c r="G172" s="225"/>
      <c r="H172" s="229"/>
      <c r="I172" s="229"/>
    </row>
    <row r="173" spans="1:9">
      <c r="A173" s="578" t="s">
        <v>30</v>
      </c>
      <c r="B173" s="454"/>
      <c r="C173" s="454"/>
      <c r="D173" s="450"/>
      <c r="E173" s="225"/>
      <c r="F173" s="226">
        <f>ROUND(F171+F172,2)</f>
        <v>14.18</v>
      </c>
      <c r="G173" s="217"/>
      <c r="H173" s="229"/>
      <c r="I173" s="229">
        <f>F173+F165</f>
        <v>480.15000000000003</v>
      </c>
    </row>
    <row r="174" spans="1:9">
      <c r="A174" s="633" t="str">
        <f>CONCATENATE("Say ₹ ",F165," + ",F173," x Cost Index")</f>
        <v>Say ₹ 465.97 + 14.18 x Cost Index</v>
      </c>
      <c r="B174" s="454"/>
      <c r="C174" s="454"/>
      <c r="D174" s="454"/>
      <c r="E174" s="454"/>
      <c r="F174" s="450"/>
      <c r="G174" s="226" t="s">
        <v>1000</v>
      </c>
      <c r="H174" s="229">
        <f>(((F153*1.05*1.01)+F157)*1.02*1.15)/100</f>
        <v>465.9731356499999</v>
      </c>
      <c r="I174" s="229">
        <f>(F167*1.02*1.15)/100</f>
        <v>14.181569999999999</v>
      </c>
    </row>
    <row r="175" spans="1:9">
      <c r="A175" s="571" t="s">
        <v>771</v>
      </c>
      <c r="B175" s="571" t="s">
        <v>776</v>
      </c>
      <c r="C175" s="572" t="s">
        <v>4</v>
      </c>
      <c r="D175" s="454"/>
      <c r="E175" s="450"/>
      <c r="F175" s="572" t="s">
        <v>785</v>
      </c>
      <c r="G175" s="450"/>
      <c r="H175" s="229"/>
      <c r="I175" s="229"/>
    </row>
    <row r="176" spans="1:9">
      <c r="A176" s="457"/>
      <c r="B176" s="457"/>
      <c r="C176" s="216" t="s">
        <v>5</v>
      </c>
      <c r="D176" s="216" t="s">
        <v>6</v>
      </c>
      <c r="E176" s="216" t="s">
        <v>336</v>
      </c>
      <c r="F176" s="216" t="s">
        <v>8</v>
      </c>
      <c r="G176" s="216" t="s">
        <v>789</v>
      </c>
      <c r="H176" s="229"/>
      <c r="I176" s="229"/>
    </row>
    <row r="177" spans="1:9">
      <c r="A177" s="573" t="s">
        <v>2089</v>
      </c>
      <c r="B177" s="454"/>
      <c r="C177" s="454"/>
      <c r="D177" s="454"/>
      <c r="E177" s="454"/>
      <c r="F177" s="454"/>
      <c r="G177" s="450"/>
      <c r="H177" s="229"/>
      <c r="I177" s="229"/>
    </row>
    <row r="178" spans="1:9">
      <c r="A178" s="217"/>
      <c r="B178" s="217" t="s">
        <v>795</v>
      </c>
      <c r="C178" s="217" t="s">
        <v>21</v>
      </c>
      <c r="D178" s="217" t="s">
        <v>798</v>
      </c>
      <c r="E178" s="217">
        <v>100</v>
      </c>
      <c r="F178" s="217"/>
      <c r="G178" s="217"/>
      <c r="H178" s="229"/>
      <c r="I178" s="229"/>
    </row>
    <row r="179" spans="1:9">
      <c r="A179" s="217" t="s">
        <v>800</v>
      </c>
      <c r="B179" s="574" t="s">
        <v>1996</v>
      </c>
      <c r="C179" s="454"/>
      <c r="D179" s="454"/>
      <c r="E179" s="454"/>
      <c r="F179" s="454"/>
      <c r="G179" s="450"/>
      <c r="H179" s="229"/>
      <c r="I179" s="229"/>
    </row>
    <row r="180" spans="1:9">
      <c r="A180" s="574" t="s">
        <v>1171</v>
      </c>
      <c r="B180" s="454"/>
      <c r="C180" s="454"/>
      <c r="D180" s="454"/>
      <c r="E180" s="454"/>
      <c r="F180" s="454"/>
      <c r="G180" s="450"/>
      <c r="H180" s="229"/>
      <c r="I180" s="229"/>
    </row>
    <row r="181" spans="1:9">
      <c r="A181" s="577"/>
      <c r="B181" s="577" t="s">
        <v>2090</v>
      </c>
      <c r="C181" s="576" t="s">
        <v>2091</v>
      </c>
      <c r="D181" s="454"/>
      <c r="E181" s="450"/>
      <c r="F181" s="576"/>
      <c r="G181" s="450"/>
      <c r="H181" s="229"/>
      <c r="I181" s="229"/>
    </row>
    <row r="182" spans="1:9">
      <c r="A182" s="457"/>
      <c r="B182" s="457"/>
      <c r="C182" s="219" t="s">
        <v>21</v>
      </c>
      <c r="D182" s="219">
        <v>100</v>
      </c>
      <c r="E182" s="219">
        <v>628.80999999999995</v>
      </c>
      <c r="F182" s="219">
        <f>D182*E182</f>
        <v>62880.999999999993</v>
      </c>
      <c r="G182" s="219" t="s">
        <v>808</v>
      </c>
      <c r="H182" s="229"/>
      <c r="I182" s="229"/>
    </row>
    <row r="183" spans="1:9">
      <c r="A183" s="577" t="s">
        <v>1181</v>
      </c>
      <c r="B183" s="577"/>
      <c r="C183" s="576" t="s">
        <v>1999</v>
      </c>
      <c r="D183" s="454"/>
      <c r="E183" s="450"/>
      <c r="F183" s="576"/>
      <c r="G183" s="450"/>
      <c r="H183" s="229"/>
      <c r="I183" s="229"/>
    </row>
    <row r="184" spans="1:9">
      <c r="A184" s="457"/>
      <c r="B184" s="457"/>
      <c r="C184" s="219" t="s">
        <v>62</v>
      </c>
      <c r="D184" s="221"/>
      <c r="E184" s="221"/>
      <c r="F184" s="219">
        <f>F182*5%</f>
        <v>3144.0499999999997</v>
      </c>
      <c r="G184" s="219" t="s">
        <v>1184</v>
      </c>
      <c r="H184" s="229"/>
      <c r="I184" s="229"/>
    </row>
    <row r="185" spans="1:9">
      <c r="A185" s="577"/>
      <c r="B185" s="577" t="s">
        <v>2000</v>
      </c>
      <c r="C185" s="576" t="s">
        <v>2001</v>
      </c>
      <c r="D185" s="454"/>
      <c r="E185" s="450"/>
      <c r="F185" s="576"/>
      <c r="G185" s="450"/>
      <c r="H185" s="229"/>
      <c r="I185" s="229"/>
    </row>
    <row r="186" spans="1:9">
      <c r="A186" s="457"/>
      <c r="B186" s="457"/>
      <c r="C186" s="219" t="s">
        <v>26</v>
      </c>
      <c r="D186" s="219">
        <v>1.5</v>
      </c>
      <c r="E186" s="219">
        <v>600</v>
      </c>
      <c r="F186" s="219">
        <f>D186*E186</f>
        <v>900</v>
      </c>
      <c r="G186" s="219" t="s">
        <v>825</v>
      </c>
      <c r="H186" s="229"/>
      <c r="I186" s="229"/>
    </row>
    <row r="187" spans="1:9">
      <c r="A187" s="577" t="s">
        <v>1181</v>
      </c>
      <c r="B187" s="577"/>
      <c r="C187" s="575" t="s">
        <v>2002</v>
      </c>
      <c r="D187" s="454"/>
      <c r="E187" s="450"/>
      <c r="F187" s="576"/>
      <c r="G187" s="450"/>
      <c r="H187" s="229"/>
      <c r="I187" s="229"/>
    </row>
    <row r="188" spans="1:9">
      <c r="A188" s="457"/>
      <c r="B188" s="457"/>
      <c r="C188" s="219" t="s">
        <v>62</v>
      </c>
      <c r="D188" s="221"/>
      <c r="E188" s="221"/>
      <c r="F188" s="219">
        <f>(F182+F184+F186)*2%</f>
        <v>1338.5009999999997</v>
      </c>
      <c r="G188" s="219" t="s">
        <v>1218</v>
      </c>
      <c r="H188" s="229"/>
      <c r="I188" s="229"/>
    </row>
    <row r="189" spans="1:9">
      <c r="A189" s="574" t="s">
        <v>30</v>
      </c>
      <c r="B189" s="454"/>
      <c r="C189" s="450"/>
      <c r="D189" s="222">
        <v>100</v>
      </c>
      <c r="E189" s="222" t="s">
        <v>21</v>
      </c>
      <c r="F189" s="222">
        <f>F182+F184+F186+F188</f>
        <v>68263.550999999992</v>
      </c>
      <c r="G189" s="217"/>
      <c r="H189" s="229"/>
      <c r="I189" s="229"/>
    </row>
    <row r="190" spans="1:9">
      <c r="A190" s="574" t="s">
        <v>826</v>
      </c>
      <c r="B190" s="454"/>
      <c r="C190" s="450"/>
      <c r="D190" s="222">
        <v>1</v>
      </c>
      <c r="E190" s="222" t="s">
        <v>21</v>
      </c>
      <c r="F190" s="222">
        <f>F189/D189</f>
        <v>682.63550999999995</v>
      </c>
      <c r="G190" s="217"/>
      <c r="H190" s="229"/>
      <c r="I190" s="229"/>
    </row>
    <row r="191" spans="1:9">
      <c r="A191" s="574" t="s">
        <v>1187</v>
      </c>
      <c r="B191" s="454"/>
      <c r="C191" s="454"/>
      <c r="D191" s="450"/>
      <c r="E191" s="224">
        <f>F182*1.05*1.02/100</f>
        <v>673.45550999999989</v>
      </c>
      <c r="F191" s="222">
        <f>E191*1%</f>
        <v>6.7345550999999988</v>
      </c>
      <c r="G191" s="217"/>
      <c r="H191" s="229"/>
      <c r="I191" s="229"/>
    </row>
    <row r="192" spans="1:9">
      <c r="A192" s="574" t="s">
        <v>30</v>
      </c>
      <c r="B192" s="454"/>
      <c r="C192" s="454"/>
      <c r="D192" s="450"/>
      <c r="E192" s="217"/>
      <c r="F192" s="222">
        <f>F190+F191</f>
        <v>689.37006509999992</v>
      </c>
      <c r="G192" s="217"/>
      <c r="H192" s="229"/>
      <c r="I192" s="229"/>
    </row>
    <row r="193" spans="1:9">
      <c r="A193" s="574" t="s">
        <v>836</v>
      </c>
      <c r="B193" s="454"/>
      <c r="C193" s="454"/>
      <c r="D193" s="450"/>
      <c r="E193" s="222">
        <f>F192</f>
        <v>689.37006509999992</v>
      </c>
      <c r="F193" s="222">
        <f>E193*15%</f>
        <v>103.40550976499999</v>
      </c>
      <c r="G193" s="217"/>
      <c r="H193" s="229"/>
      <c r="I193" s="229"/>
    </row>
    <row r="194" spans="1:9">
      <c r="A194" s="578" t="s">
        <v>30</v>
      </c>
      <c r="B194" s="454"/>
      <c r="C194" s="454"/>
      <c r="D194" s="450"/>
      <c r="E194" s="225"/>
      <c r="F194" s="226">
        <f>ROUND(F192+F193,2)</f>
        <v>792.78</v>
      </c>
      <c r="G194" s="217"/>
      <c r="H194" s="229"/>
      <c r="I194" s="229"/>
    </row>
    <row r="195" spans="1:9">
      <c r="A195" s="577">
        <v>1001</v>
      </c>
      <c r="B195" s="577"/>
      <c r="C195" s="576" t="s">
        <v>1493</v>
      </c>
      <c r="D195" s="454"/>
      <c r="E195" s="450"/>
      <c r="F195" s="576"/>
      <c r="G195" s="450"/>
      <c r="H195" s="229"/>
      <c r="I195" s="229"/>
    </row>
    <row r="196" spans="1:9">
      <c r="A196" s="457"/>
      <c r="B196" s="457"/>
      <c r="C196" s="219" t="s">
        <v>26</v>
      </c>
      <c r="D196" s="219">
        <v>1.5</v>
      </c>
      <c r="E196" s="219">
        <v>806</v>
      </c>
      <c r="F196" s="219">
        <f>E196*D196</f>
        <v>1209</v>
      </c>
      <c r="G196" s="219" t="s">
        <v>822</v>
      </c>
      <c r="H196" s="229"/>
      <c r="I196" s="229"/>
    </row>
    <row r="197" spans="1:9">
      <c r="A197" s="577" t="s">
        <v>1181</v>
      </c>
      <c r="B197" s="577"/>
      <c r="C197" s="575" t="s">
        <v>2006</v>
      </c>
      <c r="D197" s="454"/>
      <c r="E197" s="450"/>
      <c r="F197" s="576"/>
      <c r="G197" s="450"/>
      <c r="H197" s="229"/>
      <c r="I197" s="229"/>
    </row>
    <row r="198" spans="1:9">
      <c r="A198" s="457"/>
      <c r="B198" s="457"/>
      <c r="C198" s="219" t="s">
        <v>62</v>
      </c>
      <c r="D198" s="221"/>
      <c r="E198" s="221"/>
      <c r="F198" s="219">
        <f>F196*2%</f>
        <v>24.18</v>
      </c>
      <c r="G198" s="219" t="s">
        <v>2007</v>
      </c>
      <c r="H198" s="229">
        <f>F198+F188</f>
        <v>1362.6809999999998</v>
      </c>
      <c r="I198" s="229"/>
    </row>
    <row r="199" spans="1:9">
      <c r="A199" s="574" t="s">
        <v>30</v>
      </c>
      <c r="B199" s="454"/>
      <c r="C199" s="450"/>
      <c r="D199" s="222">
        <v>100</v>
      </c>
      <c r="E199" s="222" t="s">
        <v>21</v>
      </c>
      <c r="F199" s="222">
        <f>F196+F198</f>
        <v>1233.18</v>
      </c>
      <c r="G199" s="225"/>
      <c r="H199" s="229"/>
      <c r="I199" s="229"/>
    </row>
    <row r="200" spans="1:9">
      <c r="A200" s="574" t="s">
        <v>826</v>
      </c>
      <c r="B200" s="454"/>
      <c r="C200" s="450"/>
      <c r="D200" s="222">
        <v>1</v>
      </c>
      <c r="E200" s="222" t="s">
        <v>21</v>
      </c>
      <c r="F200" s="222">
        <f>F199/D199</f>
        <v>12.331800000000001</v>
      </c>
      <c r="G200" s="225"/>
      <c r="H200" s="229"/>
      <c r="I200" s="229"/>
    </row>
    <row r="201" spans="1:9">
      <c r="A201" s="574" t="s">
        <v>836</v>
      </c>
      <c r="B201" s="454"/>
      <c r="C201" s="454"/>
      <c r="D201" s="450"/>
      <c r="E201" s="222">
        <f>F200</f>
        <v>12.331800000000001</v>
      </c>
      <c r="F201" s="222">
        <f>E201*15%</f>
        <v>1.8497700000000001</v>
      </c>
      <c r="G201" s="225"/>
      <c r="H201" s="229"/>
      <c r="I201" s="229"/>
    </row>
    <row r="202" spans="1:9">
      <c r="A202" s="578" t="s">
        <v>30</v>
      </c>
      <c r="B202" s="454"/>
      <c r="C202" s="454"/>
      <c r="D202" s="450"/>
      <c r="E202" s="225"/>
      <c r="F202" s="226">
        <f>ROUND(F200+F201,2)</f>
        <v>14.18</v>
      </c>
      <c r="G202" s="217"/>
      <c r="H202" s="229"/>
      <c r="I202" s="229">
        <f>F202+F194</f>
        <v>806.95999999999992</v>
      </c>
    </row>
    <row r="203" spans="1:9">
      <c r="A203" s="633" t="str">
        <f>CONCATENATE("Say ₹ ",F194," + ",F202," x Cost Index")</f>
        <v>Say ₹ 792.78 + 14.18 x Cost Index</v>
      </c>
      <c r="B203" s="454"/>
      <c r="C203" s="454"/>
      <c r="D203" s="454"/>
      <c r="E203" s="454"/>
      <c r="F203" s="450"/>
      <c r="G203" s="226" t="s">
        <v>1000</v>
      </c>
      <c r="H203" s="229">
        <f>(((F182*1.05*1.01)+F186)*1.02*1.15)/100</f>
        <v>792.77557486499961</v>
      </c>
      <c r="I203" s="229">
        <f>(F196*1.02*1.15)/100</f>
        <v>14.181569999999999</v>
      </c>
    </row>
    <row r="204" spans="1:9">
      <c r="A204" s="571" t="s">
        <v>771</v>
      </c>
      <c r="B204" s="571" t="s">
        <v>776</v>
      </c>
      <c r="C204" s="572" t="s">
        <v>4</v>
      </c>
      <c r="D204" s="454"/>
      <c r="E204" s="450"/>
      <c r="F204" s="572" t="s">
        <v>785</v>
      </c>
      <c r="G204" s="450"/>
      <c r="H204" s="229"/>
      <c r="I204" s="229"/>
    </row>
    <row r="205" spans="1:9">
      <c r="A205" s="457"/>
      <c r="B205" s="457"/>
      <c r="C205" s="216" t="s">
        <v>5</v>
      </c>
      <c r="D205" s="216" t="s">
        <v>6</v>
      </c>
      <c r="E205" s="216" t="s">
        <v>336</v>
      </c>
      <c r="F205" s="216" t="s">
        <v>8</v>
      </c>
      <c r="G205" s="216" t="s">
        <v>789</v>
      </c>
      <c r="H205" s="229"/>
      <c r="I205" s="229"/>
    </row>
    <row r="206" spans="1:9">
      <c r="A206" s="573" t="s">
        <v>2098</v>
      </c>
      <c r="B206" s="454"/>
      <c r="C206" s="454"/>
      <c r="D206" s="454"/>
      <c r="E206" s="454"/>
      <c r="F206" s="454"/>
      <c r="G206" s="450"/>
      <c r="H206" s="229"/>
      <c r="I206" s="229"/>
    </row>
    <row r="207" spans="1:9">
      <c r="A207" s="217"/>
      <c r="B207" s="217" t="s">
        <v>795</v>
      </c>
      <c r="C207" s="217" t="s">
        <v>21</v>
      </c>
      <c r="D207" s="217" t="s">
        <v>798</v>
      </c>
      <c r="E207" s="217">
        <v>100</v>
      </c>
      <c r="F207" s="217"/>
      <c r="G207" s="217"/>
      <c r="H207" s="229"/>
      <c r="I207" s="229"/>
    </row>
    <row r="208" spans="1:9">
      <c r="A208" s="217" t="s">
        <v>800</v>
      </c>
      <c r="B208" s="574" t="s">
        <v>1996</v>
      </c>
      <c r="C208" s="454"/>
      <c r="D208" s="454"/>
      <c r="E208" s="454"/>
      <c r="F208" s="454"/>
      <c r="G208" s="450"/>
      <c r="H208" s="229"/>
      <c r="I208" s="229"/>
    </row>
    <row r="209" spans="1:9">
      <c r="A209" s="574" t="s">
        <v>1171</v>
      </c>
      <c r="B209" s="454"/>
      <c r="C209" s="454"/>
      <c r="D209" s="454"/>
      <c r="E209" s="454"/>
      <c r="F209" s="454"/>
      <c r="G209" s="450"/>
      <c r="H209" s="229"/>
      <c r="I209" s="229"/>
    </row>
    <row r="210" spans="1:9">
      <c r="A210" s="577"/>
      <c r="B210" s="577" t="s">
        <v>2099</v>
      </c>
      <c r="C210" s="576" t="s">
        <v>2100</v>
      </c>
      <c r="D210" s="454"/>
      <c r="E210" s="450"/>
      <c r="F210" s="576"/>
      <c r="G210" s="450"/>
      <c r="H210" s="229"/>
      <c r="I210" s="229"/>
    </row>
    <row r="211" spans="1:9">
      <c r="A211" s="457"/>
      <c r="B211" s="457"/>
      <c r="C211" s="219" t="s">
        <v>21</v>
      </c>
      <c r="D211" s="219">
        <v>100</v>
      </c>
      <c r="E211" s="219">
        <v>907.63</v>
      </c>
      <c r="F211" s="219">
        <f>D211*E211</f>
        <v>90763</v>
      </c>
      <c r="G211" s="219" t="s">
        <v>808</v>
      </c>
      <c r="H211" s="229"/>
      <c r="I211" s="229"/>
    </row>
    <row r="212" spans="1:9">
      <c r="A212" s="577" t="s">
        <v>1181</v>
      </c>
      <c r="B212" s="577"/>
      <c r="C212" s="576" t="s">
        <v>1999</v>
      </c>
      <c r="D212" s="454"/>
      <c r="E212" s="450"/>
      <c r="F212" s="576"/>
      <c r="G212" s="450"/>
      <c r="H212" s="229"/>
      <c r="I212" s="229"/>
    </row>
    <row r="213" spans="1:9">
      <c r="A213" s="457"/>
      <c r="B213" s="457"/>
      <c r="C213" s="219" t="s">
        <v>62</v>
      </c>
      <c r="D213" s="221"/>
      <c r="E213" s="221"/>
      <c r="F213" s="219">
        <f>F211*5%</f>
        <v>4538.1500000000005</v>
      </c>
      <c r="G213" s="219" t="s">
        <v>1184</v>
      </c>
      <c r="H213" s="229"/>
      <c r="I213" s="229"/>
    </row>
    <row r="214" spans="1:9">
      <c r="A214" s="577"/>
      <c r="B214" s="577" t="s">
        <v>2000</v>
      </c>
      <c r="C214" s="576" t="s">
        <v>2001</v>
      </c>
      <c r="D214" s="454"/>
      <c r="E214" s="450"/>
      <c r="F214" s="576"/>
      <c r="G214" s="450"/>
      <c r="H214" s="229"/>
      <c r="I214" s="229"/>
    </row>
    <row r="215" spans="1:9">
      <c r="A215" s="457"/>
      <c r="B215" s="457"/>
      <c r="C215" s="219" t="s">
        <v>26</v>
      </c>
      <c r="D215" s="219">
        <v>2</v>
      </c>
      <c r="E215" s="219">
        <v>600</v>
      </c>
      <c r="F215" s="219">
        <f>D215*E215</f>
        <v>1200</v>
      </c>
      <c r="G215" s="219" t="s">
        <v>825</v>
      </c>
      <c r="H215" s="229"/>
      <c r="I215" s="229"/>
    </row>
    <row r="216" spans="1:9">
      <c r="A216" s="577" t="s">
        <v>1181</v>
      </c>
      <c r="B216" s="577"/>
      <c r="C216" s="575" t="s">
        <v>2002</v>
      </c>
      <c r="D216" s="454"/>
      <c r="E216" s="450"/>
      <c r="F216" s="576"/>
      <c r="G216" s="450"/>
      <c r="H216" s="229"/>
      <c r="I216" s="229"/>
    </row>
    <row r="217" spans="1:9">
      <c r="A217" s="457"/>
      <c r="B217" s="457"/>
      <c r="C217" s="219" t="s">
        <v>62</v>
      </c>
      <c r="D217" s="221"/>
      <c r="E217" s="221"/>
      <c r="F217" s="219">
        <f>(F211+F213+F215)*2%</f>
        <v>1930.0229999999999</v>
      </c>
      <c r="G217" s="219" t="s">
        <v>1218</v>
      </c>
      <c r="H217" s="229"/>
      <c r="I217" s="229"/>
    </row>
    <row r="218" spans="1:9">
      <c r="A218" s="574" t="s">
        <v>30</v>
      </c>
      <c r="B218" s="454"/>
      <c r="C218" s="450"/>
      <c r="D218" s="222">
        <v>100</v>
      </c>
      <c r="E218" s="222" t="s">
        <v>21</v>
      </c>
      <c r="F218" s="222">
        <f>F211+F213+F215+F217</f>
        <v>98431.172999999995</v>
      </c>
      <c r="G218" s="217"/>
      <c r="H218" s="229"/>
      <c r="I218" s="229"/>
    </row>
    <row r="219" spans="1:9">
      <c r="A219" s="574" t="s">
        <v>826</v>
      </c>
      <c r="B219" s="454"/>
      <c r="C219" s="450"/>
      <c r="D219" s="222">
        <v>1</v>
      </c>
      <c r="E219" s="222" t="s">
        <v>21</v>
      </c>
      <c r="F219" s="222">
        <f>F218/D218</f>
        <v>984.3117299999999</v>
      </c>
      <c r="G219" s="217"/>
      <c r="H219" s="229"/>
      <c r="I219" s="229"/>
    </row>
    <row r="220" spans="1:9">
      <c r="A220" s="574" t="s">
        <v>1187</v>
      </c>
      <c r="B220" s="454"/>
      <c r="C220" s="454"/>
      <c r="D220" s="450"/>
      <c r="E220" s="224">
        <f>F211*1.05*1.02/100</f>
        <v>972.07173000000012</v>
      </c>
      <c r="F220" s="222">
        <f>E220*1%</f>
        <v>9.7207173000000022</v>
      </c>
      <c r="G220" s="217"/>
      <c r="H220" s="229"/>
      <c r="I220" s="229"/>
    </row>
    <row r="221" spans="1:9">
      <c r="A221" s="574" t="s">
        <v>30</v>
      </c>
      <c r="B221" s="454"/>
      <c r="C221" s="454"/>
      <c r="D221" s="450"/>
      <c r="E221" s="217"/>
      <c r="F221" s="222">
        <f>F219+F220</f>
        <v>994.03244729999994</v>
      </c>
      <c r="G221" s="217"/>
      <c r="H221" s="229"/>
      <c r="I221" s="229"/>
    </row>
    <row r="222" spans="1:9">
      <c r="A222" s="574" t="s">
        <v>836</v>
      </c>
      <c r="B222" s="454"/>
      <c r="C222" s="454"/>
      <c r="D222" s="450"/>
      <c r="E222" s="222">
        <f>F221</f>
        <v>994.03244729999994</v>
      </c>
      <c r="F222" s="222">
        <f>E222*15%</f>
        <v>149.10486709499997</v>
      </c>
      <c r="G222" s="217"/>
      <c r="H222" s="229"/>
      <c r="I222" s="229"/>
    </row>
    <row r="223" spans="1:9">
      <c r="A223" s="578" t="s">
        <v>30</v>
      </c>
      <c r="B223" s="454"/>
      <c r="C223" s="454"/>
      <c r="D223" s="450"/>
      <c r="E223" s="225"/>
      <c r="F223" s="226">
        <f>ROUND(F221+F222,2)</f>
        <v>1143.1400000000001</v>
      </c>
      <c r="G223" s="217"/>
      <c r="H223" s="229"/>
      <c r="I223" s="229"/>
    </row>
    <row r="224" spans="1:9">
      <c r="A224" s="577">
        <v>1001</v>
      </c>
      <c r="B224" s="577"/>
      <c r="C224" s="576" t="s">
        <v>1493</v>
      </c>
      <c r="D224" s="454"/>
      <c r="E224" s="450"/>
      <c r="F224" s="576"/>
      <c r="G224" s="450"/>
      <c r="H224" s="229"/>
      <c r="I224" s="229"/>
    </row>
    <row r="225" spans="1:9">
      <c r="A225" s="457"/>
      <c r="B225" s="457"/>
      <c r="C225" s="219" t="s">
        <v>26</v>
      </c>
      <c r="D225" s="219">
        <v>2</v>
      </c>
      <c r="E225" s="219">
        <v>806</v>
      </c>
      <c r="F225" s="219">
        <f>E225*D225</f>
        <v>1612</v>
      </c>
      <c r="G225" s="219" t="s">
        <v>822</v>
      </c>
      <c r="H225" s="229"/>
      <c r="I225" s="229"/>
    </row>
    <row r="226" spans="1:9">
      <c r="A226" s="577" t="s">
        <v>1181</v>
      </c>
      <c r="B226" s="577"/>
      <c r="C226" s="575" t="s">
        <v>2006</v>
      </c>
      <c r="D226" s="454"/>
      <c r="E226" s="450"/>
      <c r="F226" s="576"/>
      <c r="G226" s="450"/>
      <c r="H226" s="229"/>
      <c r="I226" s="229"/>
    </row>
    <row r="227" spans="1:9">
      <c r="A227" s="457"/>
      <c r="B227" s="457"/>
      <c r="C227" s="219" t="s">
        <v>62</v>
      </c>
      <c r="D227" s="221"/>
      <c r="E227" s="221"/>
      <c r="F227" s="219">
        <f>F225*2%</f>
        <v>32.24</v>
      </c>
      <c r="G227" s="219" t="s">
        <v>2007</v>
      </c>
      <c r="H227" s="229">
        <f>F227+F217</f>
        <v>1962.2629999999999</v>
      </c>
      <c r="I227" s="229"/>
    </row>
    <row r="228" spans="1:9">
      <c r="A228" s="574" t="s">
        <v>30</v>
      </c>
      <c r="B228" s="454"/>
      <c r="C228" s="450"/>
      <c r="D228" s="222">
        <v>100</v>
      </c>
      <c r="E228" s="222" t="s">
        <v>21</v>
      </c>
      <c r="F228" s="222">
        <f>F225+F227</f>
        <v>1644.24</v>
      </c>
      <c r="G228" s="225"/>
      <c r="H228" s="229"/>
      <c r="I228" s="229"/>
    </row>
    <row r="229" spans="1:9">
      <c r="A229" s="574" t="s">
        <v>826</v>
      </c>
      <c r="B229" s="454"/>
      <c r="C229" s="450"/>
      <c r="D229" s="222">
        <v>1</v>
      </c>
      <c r="E229" s="222" t="s">
        <v>21</v>
      </c>
      <c r="F229" s="222">
        <f>F228/D228</f>
        <v>16.442399999999999</v>
      </c>
      <c r="G229" s="225"/>
      <c r="H229" s="229"/>
      <c r="I229" s="229"/>
    </row>
    <row r="230" spans="1:9">
      <c r="A230" s="574" t="s">
        <v>836</v>
      </c>
      <c r="B230" s="454"/>
      <c r="C230" s="454"/>
      <c r="D230" s="450"/>
      <c r="E230" s="222">
        <f>F229</f>
        <v>16.442399999999999</v>
      </c>
      <c r="F230" s="222">
        <f>E230*15%</f>
        <v>2.4663599999999999</v>
      </c>
      <c r="G230" s="225"/>
      <c r="H230" s="229"/>
      <c r="I230" s="229"/>
    </row>
    <row r="231" spans="1:9">
      <c r="A231" s="578" t="s">
        <v>30</v>
      </c>
      <c r="B231" s="454"/>
      <c r="C231" s="454"/>
      <c r="D231" s="450"/>
      <c r="E231" s="225"/>
      <c r="F231" s="226">
        <f>ROUND(F229+F230,2)</f>
        <v>18.91</v>
      </c>
      <c r="G231" s="217"/>
      <c r="H231" s="229"/>
      <c r="I231" s="229">
        <f>F231+F223</f>
        <v>1162.0500000000002</v>
      </c>
    </row>
    <row r="232" spans="1:9">
      <c r="A232" s="633" t="str">
        <f>CONCATENATE("Say ₹ ",F223," + ",F231," x Cost Index")</f>
        <v>Say ₹ 1143.14 + 18.91 x Cost Index</v>
      </c>
      <c r="B232" s="454"/>
      <c r="C232" s="454"/>
      <c r="D232" s="454"/>
      <c r="E232" s="454"/>
      <c r="F232" s="450"/>
      <c r="G232" s="226" t="s">
        <v>1000</v>
      </c>
      <c r="H232" s="229">
        <f>(((F211*1.05*1.01)+F215)*1.02*1.15)/100</f>
        <v>1143.1373143950002</v>
      </c>
      <c r="I232" s="229">
        <f>(F225*1.02*1.15)/100</f>
        <v>18.908760000000001</v>
      </c>
    </row>
  </sheetData>
  <mergeCells count="336">
    <mergeCell ref="A131:C131"/>
    <mergeCell ref="A132:C132"/>
    <mergeCell ref="A133:D133"/>
    <mergeCell ref="A134:D134"/>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F108:G108"/>
    <mergeCell ref="F110:G110"/>
    <mergeCell ref="A110:A111"/>
    <mergeCell ref="A112:C112"/>
    <mergeCell ref="A113:C113"/>
    <mergeCell ref="A114:D114"/>
    <mergeCell ref="A115:D115"/>
    <mergeCell ref="A116:F116"/>
    <mergeCell ref="A117:A118"/>
    <mergeCell ref="A102:C102"/>
    <mergeCell ref="A103:C103"/>
    <mergeCell ref="A104:D104"/>
    <mergeCell ref="A105:D105"/>
    <mergeCell ref="B110:B111"/>
    <mergeCell ref="C110:E110"/>
    <mergeCell ref="A106:D106"/>
    <mergeCell ref="A107:D107"/>
    <mergeCell ref="A108:A109"/>
    <mergeCell ref="B108:B109"/>
    <mergeCell ref="C108:E108"/>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F79:G79"/>
    <mergeCell ref="F81:G81"/>
    <mergeCell ref="A81:A82"/>
    <mergeCell ref="A83:C83"/>
    <mergeCell ref="A84:C84"/>
    <mergeCell ref="A85:D85"/>
    <mergeCell ref="A86:D86"/>
    <mergeCell ref="A87:F87"/>
    <mergeCell ref="A88:A89"/>
    <mergeCell ref="A73:C73"/>
    <mergeCell ref="A74:C74"/>
    <mergeCell ref="A75:D75"/>
    <mergeCell ref="A76:D76"/>
    <mergeCell ref="B81:B82"/>
    <mergeCell ref="C81:E81"/>
    <mergeCell ref="A77:D77"/>
    <mergeCell ref="A78:D78"/>
    <mergeCell ref="A79:A80"/>
    <mergeCell ref="B79:B80"/>
    <mergeCell ref="C79:E79"/>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F50:G50"/>
    <mergeCell ref="F52:G52"/>
    <mergeCell ref="A52:A53"/>
    <mergeCell ref="A54:C54"/>
    <mergeCell ref="A55:C55"/>
    <mergeCell ref="A56:D56"/>
    <mergeCell ref="A57:D57"/>
    <mergeCell ref="A58:F58"/>
    <mergeCell ref="A59:A60"/>
    <mergeCell ref="A44:C44"/>
    <mergeCell ref="A45:C45"/>
    <mergeCell ref="A46:D46"/>
    <mergeCell ref="A47:D47"/>
    <mergeCell ref="B52:B53"/>
    <mergeCell ref="C52:E52"/>
    <mergeCell ref="A48:D48"/>
    <mergeCell ref="A49:D49"/>
    <mergeCell ref="A50:A51"/>
    <mergeCell ref="B50:B51"/>
    <mergeCell ref="C50:E50"/>
    <mergeCell ref="A15:C15"/>
    <mergeCell ref="A16:C16"/>
    <mergeCell ref="C23:E23"/>
    <mergeCell ref="F23:G23"/>
    <mergeCell ref="A17:D17"/>
    <mergeCell ref="A18:D18"/>
    <mergeCell ref="A19:D19"/>
    <mergeCell ref="A20:D20"/>
    <mergeCell ref="B21:B22"/>
    <mergeCell ref="C21:E21"/>
    <mergeCell ref="F21:G2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A2"/>
    <mergeCell ref="B1:B2"/>
    <mergeCell ref="C1:E1"/>
    <mergeCell ref="F1:G1"/>
    <mergeCell ref="A3:G3"/>
    <mergeCell ref="B5:G5"/>
    <mergeCell ref="A6:G6"/>
    <mergeCell ref="C11:E11"/>
    <mergeCell ref="F11:G11"/>
    <mergeCell ref="C42:E42"/>
    <mergeCell ref="F42:G42"/>
    <mergeCell ref="A38:A39"/>
    <mergeCell ref="B38:B39"/>
    <mergeCell ref="C38:E38"/>
    <mergeCell ref="F38:G38"/>
    <mergeCell ref="B40:B41"/>
    <mergeCell ref="C40:E40"/>
    <mergeCell ref="F40:G40"/>
    <mergeCell ref="A40:A41"/>
    <mergeCell ref="A42:A43"/>
    <mergeCell ref="B42:B43"/>
    <mergeCell ref="C36:E36"/>
    <mergeCell ref="F36:G36"/>
    <mergeCell ref="C30:E30"/>
    <mergeCell ref="F30:G30"/>
    <mergeCell ref="A32:G32"/>
    <mergeCell ref="B34:G34"/>
    <mergeCell ref="A35:G35"/>
    <mergeCell ref="A36:A37"/>
    <mergeCell ref="B36:B37"/>
    <mergeCell ref="A23:A24"/>
    <mergeCell ref="A30:A31"/>
    <mergeCell ref="B30:B31"/>
    <mergeCell ref="A21:A22"/>
    <mergeCell ref="B23:B24"/>
    <mergeCell ref="A25:C25"/>
    <mergeCell ref="A26:C26"/>
    <mergeCell ref="A27:D27"/>
    <mergeCell ref="A28:D28"/>
    <mergeCell ref="A29:F29"/>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F195:G195"/>
    <mergeCell ref="F197:G197"/>
    <mergeCell ref="A197:A198"/>
    <mergeCell ref="A199:C199"/>
    <mergeCell ref="A200:C200"/>
    <mergeCell ref="A201:D201"/>
    <mergeCell ref="A202:D202"/>
    <mergeCell ref="A203:F203"/>
    <mergeCell ref="A204:A205"/>
    <mergeCell ref="A230:D230"/>
    <mergeCell ref="A231:D231"/>
    <mergeCell ref="A232:F232"/>
    <mergeCell ref="A222:D222"/>
    <mergeCell ref="A223:D223"/>
    <mergeCell ref="A224:A225"/>
    <mergeCell ref="B224:B225"/>
    <mergeCell ref="C224:E224"/>
    <mergeCell ref="F224:G224"/>
    <mergeCell ref="F226:G226"/>
    <mergeCell ref="A189:C189"/>
    <mergeCell ref="A190:C190"/>
    <mergeCell ref="A191:D191"/>
    <mergeCell ref="A192:D192"/>
    <mergeCell ref="B226:B227"/>
    <mergeCell ref="C226:E226"/>
    <mergeCell ref="A226:A227"/>
    <mergeCell ref="A228:C228"/>
    <mergeCell ref="A229:C229"/>
    <mergeCell ref="B197:B198"/>
    <mergeCell ref="C197:E197"/>
    <mergeCell ref="A193:D193"/>
    <mergeCell ref="A194:D194"/>
    <mergeCell ref="A195:A196"/>
    <mergeCell ref="B195:B196"/>
    <mergeCell ref="C195:E195"/>
    <mergeCell ref="A218:C218"/>
    <mergeCell ref="A219:C219"/>
    <mergeCell ref="A220:D220"/>
    <mergeCell ref="A221:D221"/>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F166:G166"/>
    <mergeCell ref="F168:G168"/>
    <mergeCell ref="A168:A169"/>
    <mergeCell ref="A170:C170"/>
    <mergeCell ref="A171:C171"/>
    <mergeCell ref="A172:D172"/>
    <mergeCell ref="A173:D173"/>
    <mergeCell ref="A174:F174"/>
    <mergeCell ref="A175:A176"/>
    <mergeCell ref="A160:C160"/>
    <mergeCell ref="A161:C161"/>
    <mergeCell ref="A162:D162"/>
    <mergeCell ref="A163:D163"/>
    <mergeCell ref="B168:B169"/>
    <mergeCell ref="C168:E168"/>
    <mergeCell ref="A164:D164"/>
    <mergeCell ref="A165:D165"/>
    <mergeCell ref="A166:A167"/>
    <mergeCell ref="B166:B167"/>
    <mergeCell ref="C166:E16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41:C141"/>
    <mergeCell ref="A142:C142"/>
    <mergeCell ref="A143:D143"/>
    <mergeCell ref="A144:D144"/>
    <mergeCell ref="A145:F145"/>
    <mergeCell ref="A146:A147"/>
    <mergeCell ref="F152:G152"/>
    <mergeCell ref="F154:G154"/>
    <mergeCell ref="F156:G156"/>
    <mergeCell ref="B139:B140"/>
    <mergeCell ref="C139:E139"/>
    <mergeCell ref="A135:D135"/>
    <mergeCell ref="A136:D136"/>
    <mergeCell ref="A137:A138"/>
    <mergeCell ref="B137:B138"/>
    <mergeCell ref="C137:E137"/>
    <mergeCell ref="F137:G137"/>
    <mergeCell ref="F139:G139"/>
    <mergeCell ref="A139:A140"/>
  </mergeCells>
  <pageMargins left="0.7" right="0.7" top="0.75" bottom="0.75" header="0" footer="0"/>
  <pageSetup fitToHeight="0"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13"/>
  <sheetViews>
    <sheetView workbookViewId="0"/>
  </sheetViews>
  <sheetFormatPr defaultColWidth="14.453125" defaultRowHeight="15" customHeight="1"/>
  <cols>
    <col min="1" max="1" width="12.81640625" customWidth="1"/>
    <col min="2" max="2" width="74" customWidth="1"/>
    <col min="3" max="4" width="8.453125" customWidth="1"/>
  </cols>
  <sheetData>
    <row r="1" spans="1:4">
      <c r="A1" s="11" t="s">
        <v>332</v>
      </c>
      <c r="B1" s="11" t="s">
        <v>335</v>
      </c>
      <c r="C1" s="11" t="s">
        <v>336</v>
      </c>
      <c r="D1" s="11" t="s">
        <v>5</v>
      </c>
    </row>
    <row r="2" spans="1:4">
      <c r="A2" s="13" t="s">
        <v>2025</v>
      </c>
      <c r="B2" s="13" t="s">
        <v>2026</v>
      </c>
      <c r="C2" s="13">
        <v>826.44</v>
      </c>
      <c r="D2" s="13" t="s">
        <v>481</v>
      </c>
    </row>
    <row r="3" spans="1:4">
      <c r="A3" s="13" t="s">
        <v>2027</v>
      </c>
      <c r="B3" s="13" t="s">
        <v>2028</v>
      </c>
      <c r="C3" s="13">
        <v>954.28</v>
      </c>
      <c r="D3" s="13" t="s">
        <v>481</v>
      </c>
    </row>
    <row r="4" spans="1:4">
      <c r="A4" s="13">
        <v>7748</v>
      </c>
      <c r="B4" s="13" t="s">
        <v>2029</v>
      </c>
      <c r="C4" s="13">
        <v>232.29999999999998</v>
      </c>
      <c r="D4" s="13" t="s">
        <v>46</v>
      </c>
    </row>
    <row r="5" spans="1:4">
      <c r="A5" s="13" t="s">
        <v>2030</v>
      </c>
      <c r="B5" s="13" t="s">
        <v>2031</v>
      </c>
      <c r="C5" s="13">
        <v>267.85000000000002</v>
      </c>
      <c r="D5" s="13" t="s">
        <v>46</v>
      </c>
    </row>
    <row r="6" spans="1:4">
      <c r="A6" s="13" t="s">
        <v>2032</v>
      </c>
      <c r="B6" s="13" t="s">
        <v>2033</v>
      </c>
      <c r="C6" s="13">
        <v>580.35</v>
      </c>
      <c r="D6" s="13" t="s">
        <v>481</v>
      </c>
    </row>
    <row r="7" spans="1:4">
      <c r="A7" s="13" t="s">
        <v>2034</v>
      </c>
      <c r="B7" s="13" t="s">
        <v>2035</v>
      </c>
      <c r="C7" s="13">
        <v>591.96</v>
      </c>
      <c r="D7" s="13" t="s">
        <v>481</v>
      </c>
    </row>
    <row r="8" spans="1:4">
      <c r="A8" s="13">
        <v>7747</v>
      </c>
      <c r="B8" s="13" t="s">
        <v>2036</v>
      </c>
      <c r="C8" s="13">
        <v>174.22499999999999</v>
      </c>
      <c r="D8" s="13" t="s">
        <v>46</v>
      </c>
    </row>
    <row r="9" spans="1:4">
      <c r="A9" s="13" t="s">
        <v>2037</v>
      </c>
      <c r="B9" s="13" t="s">
        <v>2038</v>
      </c>
      <c r="C9" s="13">
        <v>244.62</v>
      </c>
      <c r="D9" s="13" t="s">
        <v>46</v>
      </c>
    </row>
    <row r="10" spans="1:4">
      <c r="A10" s="13" t="s">
        <v>2039</v>
      </c>
      <c r="B10" s="13" t="s">
        <v>2040</v>
      </c>
      <c r="C10" s="13">
        <v>480.23</v>
      </c>
      <c r="D10" s="13" t="s">
        <v>481</v>
      </c>
    </row>
    <row r="11" spans="1:4">
      <c r="A11" s="13" t="s">
        <v>2041</v>
      </c>
      <c r="B11" s="13" t="s">
        <v>2042</v>
      </c>
      <c r="C11" s="13">
        <v>503.46</v>
      </c>
      <c r="D11" s="13" t="s">
        <v>481</v>
      </c>
    </row>
    <row r="12" spans="1:4">
      <c r="A12" s="13">
        <v>7760</v>
      </c>
      <c r="B12" s="13" t="s">
        <v>2043</v>
      </c>
      <c r="C12" s="13">
        <v>156.80249999999998</v>
      </c>
      <c r="D12" s="13" t="s">
        <v>46</v>
      </c>
    </row>
    <row r="13" spans="1:4">
      <c r="A13" s="13" t="s">
        <v>2044</v>
      </c>
      <c r="B13" s="13" t="s">
        <v>2045</v>
      </c>
      <c r="C13" s="13">
        <v>198.15</v>
      </c>
      <c r="D13" s="13" t="s">
        <v>46</v>
      </c>
    </row>
  </sheetData>
  <pageMargins left="0.7" right="0.7" top="0.75" bottom="0.75" header="0" footer="0"/>
  <pageSetup orientation="landscape"/>
  <tableParts count="3">
    <tablePart r:id="rId1"/>
    <tablePart r:id="rId2"/>
    <tablePart r:id="rId3"/>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J279"/>
  <sheetViews>
    <sheetView workbookViewId="0"/>
  </sheetViews>
  <sheetFormatPr defaultColWidth="14.453125" defaultRowHeight="15" customHeight="1"/>
  <cols>
    <col min="8" max="10" width="14.453125" hidden="1"/>
  </cols>
  <sheetData>
    <row r="1" spans="1:10">
      <c r="A1" s="571" t="s">
        <v>771</v>
      </c>
      <c r="B1" s="571" t="s">
        <v>776</v>
      </c>
      <c r="C1" s="572" t="s">
        <v>4</v>
      </c>
      <c r="D1" s="454"/>
      <c r="E1" s="450"/>
      <c r="F1" s="572" t="s">
        <v>785</v>
      </c>
      <c r="G1" s="450"/>
      <c r="H1" s="369"/>
      <c r="I1" s="215"/>
      <c r="J1" s="215"/>
    </row>
    <row r="2" spans="1:10">
      <c r="A2" s="457"/>
      <c r="B2" s="457"/>
      <c r="C2" s="216" t="s">
        <v>5</v>
      </c>
      <c r="D2" s="216" t="s">
        <v>6</v>
      </c>
      <c r="E2" s="216" t="s">
        <v>336</v>
      </c>
      <c r="F2" s="216" t="s">
        <v>8</v>
      </c>
      <c r="G2" s="216" t="s">
        <v>789</v>
      </c>
      <c r="H2" s="369"/>
      <c r="I2" s="215"/>
      <c r="J2" s="215"/>
    </row>
    <row r="3" spans="1:10">
      <c r="A3" s="573" t="s">
        <v>2050</v>
      </c>
      <c r="B3" s="454"/>
      <c r="C3" s="454"/>
      <c r="D3" s="454"/>
      <c r="E3" s="454"/>
      <c r="F3" s="454"/>
      <c r="G3" s="450"/>
      <c r="H3" s="370"/>
      <c r="I3" s="215"/>
      <c r="J3" s="215"/>
    </row>
    <row r="4" spans="1:10">
      <c r="A4" s="217"/>
      <c r="B4" s="217" t="s">
        <v>795</v>
      </c>
      <c r="C4" s="217" t="s">
        <v>21</v>
      </c>
      <c r="D4" s="217" t="s">
        <v>798</v>
      </c>
      <c r="E4" s="217">
        <v>50</v>
      </c>
      <c r="F4" s="217"/>
      <c r="G4" s="217"/>
      <c r="H4" s="371"/>
      <c r="I4" s="215"/>
      <c r="J4" s="215"/>
    </row>
    <row r="5" spans="1:10">
      <c r="A5" s="217" t="s">
        <v>800</v>
      </c>
      <c r="B5" s="574" t="s">
        <v>2051</v>
      </c>
      <c r="C5" s="454"/>
      <c r="D5" s="454"/>
      <c r="E5" s="454"/>
      <c r="F5" s="454"/>
      <c r="G5" s="450"/>
      <c r="H5" s="372"/>
      <c r="I5" s="215"/>
      <c r="J5" s="215"/>
    </row>
    <row r="6" spans="1:10">
      <c r="A6" s="574" t="s">
        <v>2052</v>
      </c>
      <c r="B6" s="454"/>
      <c r="C6" s="454"/>
      <c r="D6" s="454"/>
      <c r="E6" s="454"/>
      <c r="F6" s="454"/>
      <c r="G6" s="450"/>
      <c r="H6" s="372"/>
      <c r="I6" s="215"/>
      <c r="J6" s="215"/>
    </row>
    <row r="7" spans="1:10">
      <c r="A7" s="577"/>
      <c r="B7" s="577" t="s">
        <v>2053</v>
      </c>
      <c r="C7" s="576" t="s">
        <v>2054</v>
      </c>
      <c r="D7" s="454"/>
      <c r="E7" s="450"/>
      <c r="F7" s="576"/>
      <c r="G7" s="450"/>
      <c r="H7" s="373"/>
      <c r="I7" s="215"/>
      <c r="J7" s="215"/>
    </row>
    <row r="8" spans="1:10">
      <c r="A8" s="457"/>
      <c r="B8" s="457"/>
      <c r="C8" s="219" t="s">
        <v>21</v>
      </c>
      <c r="D8" s="219">
        <v>50</v>
      </c>
      <c r="E8" s="219">
        <v>118.64</v>
      </c>
      <c r="F8" s="219">
        <f>D8*E8</f>
        <v>5932</v>
      </c>
      <c r="G8" s="219" t="s">
        <v>808</v>
      </c>
      <c r="H8" s="374"/>
      <c r="I8" s="215"/>
      <c r="J8" s="215"/>
    </row>
    <row r="9" spans="1:10">
      <c r="A9" s="577" t="s">
        <v>1181</v>
      </c>
      <c r="B9" s="577"/>
      <c r="C9" s="576" t="s">
        <v>1999</v>
      </c>
      <c r="D9" s="454"/>
      <c r="E9" s="450"/>
      <c r="F9" s="576"/>
      <c r="G9" s="450"/>
      <c r="H9" s="373"/>
      <c r="I9" s="215"/>
      <c r="J9" s="215"/>
    </row>
    <row r="10" spans="1:10">
      <c r="A10" s="457"/>
      <c r="B10" s="457"/>
      <c r="C10" s="219" t="s">
        <v>62</v>
      </c>
      <c r="D10" s="221"/>
      <c r="E10" s="221"/>
      <c r="F10" s="219">
        <f>F8*5%</f>
        <v>296.60000000000002</v>
      </c>
      <c r="G10" s="219" t="s">
        <v>1184</v>
      </c>
      <c r="H10" s="374"/>
      <c r="I10" s="215"/>
      <c r="J10" s="215"/>
    </row>
    <row r="11" spans="1:10">
      <c r="A11" s="577"/>
      <c r="B11" s="577" t="s">
        <v>1178</v>
      </c>
      <c r="C11" s="576" t="s">
        <v>1179</v>
      </c>
      <c r="D11" s="454"/>
      <c r="E11" s="450"/>
      <c r="F11" s="576"/>
      <c r="G11" s="450"/>
      <c r="H11" s="373"/>
      <c r="I11" s="215"/>
      <c r="J11" s="215"/>
    </row>
    <row r="12" spans="1:10">
      <c r="A12" s="457"/>
      <c r="B12" s="457"/>
      <c r="C12" s="219" t="s">
        <v>26</v>
      </c>
      <c r="D12" s="219">
        <v>7</v>
      </c>
      <c r="E12" s="219">
        <v>675</v>
      </c>
      <c r="F12" s="219">
        <f>D12*E12</f>
        <v>4725</v>
      </c>
      <c r="G12" s="219" t="s">
        <v>825</v>
      </c>
      <c r="H12" s="374"/>
      <c r="I12" s="215"/>
      <c r="J12" s="215"/>
    </row>
    <row r="13" spans="1:10">
      <c r="A13" s="577" t="s">
        <v>1181</v>
      </c>
      <c r="B13" s="577"/>
      <c r="C13" s="575" t="s">
        <v>2055</v>
      </c>
      <c r="D13" s="454"/>
      <c r="E13" s="450"/>
      <c r="F13" s="576"/>
      <c r="G13" s="450"/>
      <c r="H13" s="373"/>
      <c r="I13" s="215"/>
      <c r="J13" s="215"/>
    </row>
    <row r="14" spans="1:10">
      <c r="A14" s="457"/>
      <c r="B14" s="457"/>
      <c r="C14" s="219" t="s">
        <v>62</v>
      </c>
      <c r="D14" s="221"/>
      <c r="E14" s="221"/>
      <c r="F14" s="219">
        <f>(F8+F10+F12)*1%</f>
        <v>109.536</v>
      </c>
      <c r="G14" s="219" t="s">
        <v>1218</v>
      </c>
      <c r="H14" s="374"/>
      <c r="I14" s="215"/>
      <c r="J14" s="215"/>
    </row>
    <row r="15" spans="1:10">
      <c r="A15" s="574" t="s">
        <v>30</v>
      </c>
      <c r="B15" s="454"/>
      <c r="C15" s="450"/>
      <c r="D15" s="222">
        <v>50</v>
      </c>
      <c r="E15" s="222" t="s">
        <v>21</v>
      </c>
      <c r="F15" s="222">
        <f>F8+F10+F12+F14</f>
        <v>11063.136</v>
      </c>
      <c r="G15" s="217"/>
      <c r="H15" s="371"/>
      <c r="I15" s="215"/>
      <c r="J15" s="215"/>
    </row>
    <row r="16" spans="1:10">
      <c r="A16" s="574" t="s">
        <v>826</v>
      </c>
      <c r="B16" s="454"/>
      <c r="C16" s="450"/>
      <c r="D16" s="222">
        <v>1</v>
      </c>
      <c r="E16" s="222" t="s">
        <v>21</v>
      </c>
      <c r="F16" s="222">
        <f>F15/D15</f>
        <v>221.26272</v>
      </c>
      <c r="G16" s="217"/>
      <c r="H16" s="371"/>
      <c r="I16" s="215"/>
      <c r="J16" s="215"/>
    </row>
    <row r="17" spans="1:10">
      <c r="A17" s="574" t="s">
        <v>1187</v>
      </c>
      <c r="B17" s="454"/>
      <c r="C17" s="454"/>
      <c r="D17" s="450"/>
      <c r="E17" s="224">
        <f>F8*105%*101%/D15</f>
        <v>125.81772000000001</v>
      </c>
      <c r="F17" s="222">
        <f>E17*1%</f>
        <v>1.2581772000000002</v>
      </c>
      <c r="G17" s="217"/>
      <c r="H17" s="371"/>
      <c r="I17" s="215"/>
      <c r="J17" s="215"/>
    </row>
    <row r="18" spans="1:10">
      <c r="A18" s="574" t="s">
        <v>30</v>
      </c>
      <c r="B18" s="454"/>
      <c r="C18" s="454"/>
      <c r="D18" s="450"/>
      <c r="E18" s="217"/>
      <c r="F18" s="222">
        <f>F16+F17</f>
        <v>222.52089720000001</v>
      </c>
      <c r="G18" s="217"/>
      <c r="H18" s="371"/>
      <c r="I18" s="215"/>
      <c r="J18" s="215"/>
    </row>
    <row r="19" spans="1:10">
      <c r="A19" s="574" t="s">
        <v>836</v>
      </c>
      <c r="B19" s="454"/>
      <c r="C19" s="454"/>
      <c r="D19" s="450"/>
      <c r="E19" s="222">
        <f>F18</f>
        <v>222.52089720000001</v>
      </c>
      <c r="F19" s="222">
        <f>E19*15%</f>
        <v>33.378134580000001</v>
      </c>
      <c r="G19" s="217"/>
      <c r="H19" s="371"/>
      <c r="I19" s="215"/>
      <c r="J19" s="215"/>
    </row>
    <row r="20" spans="1:10">
      <c r="A20" s="578" t="s">
        <v>30</v>
      </c>
      <c r="B20" s="454"/>
      <c r="C20" s="454"/>
      <c r="D20" s="450"/>
      <c r="E20" s="225"/>
      <c r="F20" s="226">
        <f>ROUND(F18+F19,2)</f>
        <v>255.9</v>
      </c>
      <c r="G20" s="217"/>
      <c r="H20" s="371"/>
      <c r="I20" s="215"/>
      <c r="J20" s="215"/>
    </row>
    <row r="21" spans="1:10">
      <c r="A21" s="577">
        <v>1001</v>
      </c>
      <c r="B21" s="577"/>
      <c r="C21" s="576" t="s">
        <v>1493</v>
      </c>
      <c r="D21" s="454"/>
      <c r="E21" s="450"/>
      <c r="F21" s="576"/>
      <c r="G21" s="450"/>
      <c r="H21" s="373"/>
      <c r="I21" s="215"/>
      <c r="J21" s="215"/>
    </row>
    <row r="22" spans="1:10">
      <c r="A22" s="457"/>
      <c r="B22" s="457"/>
      <c r="C22" s="219" t="s">
        <v>26</v>
      </c>
      <c r="D22" s="219">
        <v>1</v>
      </c>
      <c r="E22" s="219">
        <v>806</v>
      </c>
      <c r="F22" s="219">
        <f>E22*D22</f>
        <v>806</v>
      </c>
      <c r="G22" s="219" t="s">
        <v>822</v>
      </c>
      <c r="H22" s="374"/>
      <c r="I22" s="215"/>
      <c r="J22" s="215"/>
    </row>
    <row r="23" spans="1:10">
      <c r="A23" s="577" t="s">
        <v>1181</v>
      </c>
      <c r="B23" s="577"/>
      <c r="C23" s="575" t="s">
        <v>2056</v>
      </c>
      <c r="D23" s="454"/>
      <c r="E23" s="450"/>
      <c r="F23" s="576"/>
      <c r="G23" s="450"/>
      <c r="H23" s="373"/>
      <c r="I23" s="215"/>
      <c r="J23" s="215"/>
    </row>
    <row r="24" spans="1:10">
      <c r="A24" s="457"/>
      <c r="B24" s="457"/>
      <c r="C24" s="219" t="s">
        <v>62</v>
      </c>
      <c r="D24" s="221"/>
      <c r="E24" s="221"/>
      <c r="F24" s="219">
        <f>F22*1%</f>
        <v>8.06</v>
      </c>
      <c r="G24" s="219" t="s">
        <v>2007</v>
      </c>
      <c r="H24" s="374">
        <f>F24+F14</f>
        <v>117.596</v>
      </c>
      <c r="I24" s="215"/>
      <c r="J24" s="215"/>
    </row>
    <row r="25" spans="1:10">
      <c r="A25" s="219">
        <v>14.4</v>
      </c>
      <c r="B25" s="219"/>
      <c r="C25" s="576" t="s">
        <v>2057</v>
      </c>
      <c r="D25" s="454"/>
      <c r="E25" s="450"/>
      <c r="F25" s="219"/>
      <c r="G25" s="234"/>
      <c r="H25" s="375"/>
      <c r="I25" s="215"/>
      <c r="J25" s="215"/>
    </row>
    <row r="26" spans="1:10">
      <c r="A26" s="219"/>
      <c r="B26" s="219"/>
      <c r="C26" s="219" t="s">
        <v>812</v>
      </c>
      <c r="D26" s="219">
        <v>13.13</v>
      </c>
      <c r="E26" s="219">
        <v>498.87</v>
      </c>
      <c r="F26" s="219">
        <f>D26*E26</f>
        <v>6550.1631000000007</v>
      </c>
      <c r="G26" s="219" t="s">
        <v>844</v>
      </c>
      <c r="H26" s="374"/>
      <c r="I26" s="215"/>
      <c r="J26" s="215"/>
    </row>
    <row r="27" spans="1:10">
      <c r="A27" s="574" t="s">
        <v>30</v>
      </c>
      <c r="B27" s="454"/>
      <c r="C27" s="450"/>
      <c r="D27" s="222">
        <v>50</v>
      </c>
      <c r="E27" s="222" t="s">
        <v>21</v>
      </c>
      <c r="F27" s="222">
        <f>F22+F24+F26</f>
        <v>7364.2231000000011</v>
      </c>
      <c r="G27" s="225"/>
      <c r="H27" s="376"/>
      <c r="I27" s="215"/>
      <c r="J27" s="215"/>
    </row>
    <row r="28" spans="1:10">
      <c r="A28" s="574" t="s">
        <v>826</v>
      </c>
      <c r="B28" s="454"/>
      <c r="C28" s="450"/>
      <c r="D28" s="222">
        <v>1</v>
      </c>
      <c r="E28" s="222" t="s">
        <v>21</v>
      </c>
      <c r="F28" s="222">
        <f>F27/D27</f>
        <v>147.28446200000002</v>
      </c>
      <c r="G28" s="225"/>
      <c r="H28" s="376"/>
      <c r="I28" s="215"/>
      <c r="J28" s="215"/>
    </row>
    <row r="29" spans="1:10">
      <c r="A29" s="574" t="s">
        <v>836</v>
      </c>
      <c r="B29" s="454"/>
      <c r="C29" s="454"/>
      <c r="D29" s="450"/>
      <c r="E29" s="222">
        <f>F28</f>
        <v>147.28446200000002</v>
      </c>
      <c r="F29" s="222">
        <f>E29*15%</f>
        <v>22.092669300000001</v>
      </c>
      <c r="G29" s="225"/>
      <c r="H29" s="376"/>
      <c r="I29" s="215"/>
      <c r="J29" s="215"/>
    </row>
    <row r="30" spans="1:10">
      <c r="A30" s="578" t="s">
        <v>30</v>
      </c>
      <c r="B30" s="454"/>
      <c r="C30" s="454"/>
      <c r="D30" s="450"/>
      <c r="E30" s="225"/>
      <c r="F30" s="226">
        <f>ROUND(F28+F29,2)</f>
        <v>169.38</v>
      </c>
      <c r="G30" s="217"/>
      <c r="H30" s="371">
        <f>F30+F20</f>
        <v>425.28</v>
      </c>
      <c r="I30" s="215"/>
      <c r="J30" s="215"/>
    </row>
    <row r="31" spans="1:10">
      <c r="A31" s="633" t="str">
        <f>CONCATENATE("Say ₹ ",F20," + ",F30," x Cost Index")</f>
        <v>Say ₹ 255.9 + 169.38 x Cost Index</v>
      </c>
      <c r="B31" s="454"/>
      <c r="C31" s="454"/>
      <c r="D31" s="454"/>
      <c r="E31" s="454"/>
      <c r="F31" s="450"/>
      <c r="G31" s="226" t="s">
        <v>1000</v>
      </c>
      <c r="H31" s="377"/>
      <c r="I31" s="215">
        <f>((F8*1.05*1.01)+F12)*1.01*1.15/50</f>
        <v>255.89903177999997</v>
      </c>
      <c r="J31" s="215">
        <f>((F22*1.01)+F26)*1.15/50</f>
        <v>169.3771313</v>
      </c>
    </row>
    <row r="32" spans="1:10">
      <c r="A32" s="571" t="s">
        <v>771</v>
      </c>
      <c r="B32" s="571" t="s">
        <v>776</v>
      </c>
      <c r="C32" s="572" t="s">
        <v>4</v>
      </c>
      <c r="D32" s="454"/>
      <c r="E32" s="450"/>
      <c r="F32" s="572" t="s">
        <v>785</v>
      </c>
      <c r="G32" s="450"/>
      <c r="H32" s="369"/>
      <c r="I32" s="215"/>
      <c r="J32" s="215"/>
    </row>
    <row r="33" spans="1:10">
      <c r="A33" s="457"/>
      <c r="B33" s="457"/>
      <c r="C33" s="216" t="s">
        <v>5</v>
      </c>
      <c r="D33" s="216" t="s">
        <v>6</v>
      </c>
      <c r="E33" s="216" t="s">
        <v>336</v>
      </c>
      <c r="F33" s="216" t="s">
        <v>8</v>
      </c>
      <c r="G33" s="216" t="s">
        <v>789</v>
      </c>
      <c r="H33" s="369"/>
      <c r="I33" s="215"/>
      <c r="J33" s="215"/>
    </row>
    <row r="34" spans="1:10">
      <c r="A34" s="573" t="s">
        <v>2064</v>
      </c>
      <c r="B34" s="454"/>
      <c r="C34" s="454"/>
      <c r="D34" s="454"/>
      <c r="E34" s="454"/>
      <c r="F34" s="454"/>
      <c r="G34" s="450"/>
      <c r="H34" s="370"/>
      <c r="I34" s="215"/>
      <c r="J34" s="215"/>
    </row>
    <row r="35" spans="1:10">
      <c r="A35" s="217"/>
      <c r="B35" s="217" t="s">
        <v>795</v>
      </c>
      <c r="C35" s="217" t="s">
        <v>21</v>
      </c>
      <c r="D35" s="217" t="s">
        <v>798</v>
      </c>
      <c r="E35" s="217">
        <v>50</v>
      </c>
      <c r="F35" s="217"/>
      <c r="G35" s="217"/>
      <c r="H35" s="371"/>
      <c r="I35" s="215"/>
      <c r="J35" s="215"/>
    </row>
    <row r="36" spans="1:10">
      <c r="A36" s="217" t="s">
        <v>800</v>
      </c>
      <c r="B36" s="574" t="s">
        <v>2051</v>
      </c>
      <c r="C36" s="454"/>
      <c r="D36" s="454"/>
      <c r="E36" s="454"/>
      <c r="F36" s="454"/>
      <c r="G36" s="450"/>
      <c r="H36" s="372"/>
      <c r="I36" s="215"/>
      <c r="J36" s="215"/>
    </row>
    <row r="37" spans="1:10">
      <c r="A37" s="574" t="s">
        <v>2052</v>
      </c>
      <c r="B37" s="454"/>
      <c r="C37" s="454"/>
      <c r="D37" s="454"/>
      <c r="E37" s="454"/>
      <c r="F37" s="454"/>
      <c r="G37" s="450"/>
      <c r="H37" s="372"/>
      <c r="I37" s="215"/>
      <c r="J37" s="215"/>
    </row>
    <row r="38" spans="1:10">
      <c r="A38" s="577"/>
      <c r="B38" s="577" t="s">
        <v>2065</v>
      </c>
      <c r="C38" s="576" t="s">
        <v>2066</v>
      </c>
      <c r="D38" s="454"/>
      <c r="E38" s="450"/>
      <c r="F38" s="576"/>
      <c r="G38" s="450"/>
      <c r="H38" s="373"/>
      <c r="I38" s="215"/>
      <c r="J38" s="215"/>
    </row>
    <row r="39" spans="1:10">
      <c r="A39" s="457"/>
      <c r="B39" s="457"/>
      <c r="C39" s="219" t="s">
        <v>21</v>
      </c>
      <c r="D39" s="219">
        <v>50</v>
      </c>
      <c r="E39" s="219">
        <v>159.32</v>
      </c>
      <c r="F39" s="219">
        <f>D39*E39</f>
        <v>7966</v>
      </c>
      <c r="G39" s="219" t="s">
        <v>808</v>
      </c>
      <c r="H39" s="374"/>
      <c r="I39" s="215"/>
      <c r="J39" s="215"/>
    </row>
    <row r="40" spans="1:10">
      <c r="A40" s="577" t="s">
        <v>1181</v>
      </c>
      <c r="B40" s="577"/>
      <c r="C40" s="576" t="s">
        <v>1999</v>
      </c>
      <c r="D40" s="454"/>
      <c r="E40" s="450"/>
      <c r="F40" s="576"/>
      <c r="G40" s="450"/>
      <c r="H40" s="373"/>
      <c r="I40" s="215"/>
      <c r="J40" s="215"/>
    </row>
    <row r="41" spans="1:10">
      <c r="A41" s="457"/>
      <c r="B41" s="457"/>
      <c r="C41" s="219" t="s">
        <v>62</v>
      </c>
      <c r="D41" s="221"/>
      <c r="E41" s="221"/>
      <c r="F41" s="219">
        <f>F39*5%</f>
        <v>398.3</v>
      </c>
      <c r="G41" s="219" t="s">
        <v>1184</v>
      </c>
      <c r="H41" s="374"/>
      <c r="I41" s="215"/>
      <c r="J41" s="215"/>
    </row>
    <row r="42" spans="1:10">
      <c r="A42" s="577"/>
      <c r="B42" s="577" t="s">
        <v>1178</v>
      </c>
      <c r="C42" s="576" t="s">
        <v>1179</v>
      </c>
      <c r="D42" s="454"/>
      <c r="E42" s="450"/>
      <c r="F42" s="576"/>
      <c r="G42" s="450"/>
      <c r="H42" s="373"/>
      <c r="I42" s="215"/>
      <c r="J42" s="215"/>
    </row>
    <row r="43" spans="1:10">
      <c r="A43" s="457"/>
      <c r="B43" s="457"/>
      <c r="C43" s="219" t="s">
        <v>26</v>
      </c>
      <c r="D43" s="219">
        <v>7</v>
      </c>
      <c r="E43" s="219">
        <v>675</v>
      </c>
      <c r="F43" s="219">
        <f>D43*E43</f>
        <v>4725</v>
      </c>
      <c r="G43" s="219" t="s">
        <v>825</v>
      </c>
      <c r="H43" s="374"/>
      <c r="I43" s="215"/>
      <c r="J43" s="215"/>
    </row>
    <row r="44" spans="1:10">
      <c r="A44" s="577" t="s">
        <v>1181</v>
      </c>
      <c r="B44" s="577"/>
      <c r="C44" s="575" t="s">
        <v>2055</v>
      </c>
      <c r="D44" s="454"/>
      <c r="E44" s="450"/>
      <c r="F44" s="576"/>
      <c r="G44" s="450"/>
      <c r="H44" s="373"/>
      <c r="I44" s="215"/>
      <c r="J44" s="215"/>
    </row>
    <row r="45" spans="1:10">
      <c r="A45" s="457"/>
      <c r="B45" s="457"/>
      <c r="C45" s="219" t="s">
        <v>62</v>
      </c>
      <c r="D45" s="221"/>
      <c r="E45" s="221"/>
      <c r="F45" s="219">
        <f>(F39+F41+F43)*1%</f>
        <v>130.893</v>
      </c>
      <c r="G45" s="219" t="s">
        <v>1218</v>
      </c>
      <c r="H45" s="374"/>
      <c r="I45" s="215"/>
      <c r="J45" s="215"/>
    </row>
    <row r="46" spans="1:10">
      <c r="A46" s="574" t="s">
        <v>30</v>
      </c>
      <c r="B46" s="454"/>
      <c r="C46" s="450"/>
      <c r="D46" s="222">
        <v>50</v>
      </c>
      <c r="E46" s="222" t="s">
        <v>21</v>
      </c>
      <c r="F46" s="222">
        <f>F39+F41+F43+F45</f>
        <v>13220.192999999999</v>
      </c>
      <c r="G46" s="217"/>
      <c r="H46" s="371"/>
      <c r="I46" s="215"/>
      <c r="J46" s="215"/>
    </row>
    <row r="47" spans="1:10">
      <c r="A47" s="574" t="s">
        <v>826</v>
      </c>
      <c r="B47" s="454"/>
      <c r="C47" s="450"/>
      <c r="D47" s="222">
        <v>1</v>
      </c>
      <c r="E47" s="222" t="s">
        <v>21</v>
      </c>
      <c r="F47" s="222">
        <f>F46/D46</f>
        <v>264.40386000000001</v>
      </c>
      <c r="G47" s="217"/>
      <c r="H47" s="371"/>
      <c r="I47" s="215"/>
      <c r="J47" s="215"/>
    </row>
    <row r="48" spans="1:10">
      <c r="A48" s="574" t="s">
        <v>1187</v>
      </c>
      <c r="B48" s="454"/>
      <c r="C48" s="454"/>
      <c r="D48" s="450"/>
      <c r="E48" s="224">
        <f>F39*105%*101%/D46</f>
        <v>168.95886000000002</v>
      </c>
      <c r="F48" s="222">
        <f>E48*1%</f>
        <v>1.6895886000000002</v>
      </c>
      <c r="G48" s="217"/>
      <c r="H48" s="371"/>
      <c r="I48" s="215"/>
      <c r="J48" s="215"/>
    </row>
    <row r="49" spans="1:10">
      <c r="A49" s="574" t="s">
        <v>30</v>
      </c>
      <c r="B49" s="454"/>
      <c r="C49" s="454"/>
      <c r="D49" s="450"/>
      <c r="E49" s="217"/>
      <c r="F49" s="222">
        <f>F47+F48</f>
        <v>266.09344859999999</v>
      </c>
      <c r="G49" s="217"/>
      <c r="H49" s="371"/>
      <c r="I49" s="215"/>
      <c r="J49" s="215"/>
    </row>
    <row r="50" spans="1:10">
      <c r="A50" s="574" t="s">
        <v>836</v>
      </c>
      <c r="B50" s="454"/>
      <c r="C50" s="454"/>
      <c r="D50" s="450"/>
      <c r="E50" s="222">
        <f>F49</f>
        <v>266.09344859999999</v>
      </c>
      <c r="F50" s="222">
        <f>E50*15%</f>
        <v>39.914017289999997</v>
      </c>
      <c r="G50" s="217"/>
      <c r="H50" s="371"/>
      <c r="I50" s="215"/>
      <c r="J50" s="215"/>
    </row>
    <row r="51" spans="1:10">
      <c r="A51" s="578" t="s">
        <v>30</v>
      </c>
      <c r="B51" s="454"/>
      <c r="C51" s="454"/>
      <c r="D51" s="450"/>
      <c r="E51" s="225"/>
      <c r="F51" s="226">
        <f>ROUND(F49+F50,2)</f>
        <v>306.01</v>
      </c>
      <c r="G51" s="217"/>
      <c r="H51" s="371"/>
      <c r="I51" s="215"/>
      <c r="J51" s="215"/>
    </row>
    <row r="52" spans="1:10">
      <c r="A52" s="577">
        <v>1001</v>
      </c>
      <c r="B52" s="577"/>
      <c r="C52" s="576" t="s">
        <v>1493</v>
      </c>
      <c r="D52" s="454"/>
      <c r="E52" s="450"/>
      <c r="F52" s="576"/>
      <c r="G52" s="450"/>
      <c r="H52" s="373"/>
      <c r="I52" s="215"/>
      <c r="J52" s="215"/>
    </row>
    <row r="53" spans="1:10">
      <c r="A53" s="457"/>
      <c r="B53" s="457"/>
      <c r="C53" s="219" t="s">
        <v>26</v>
      </c>
      <c r="D53" s="219">
        <v>1</v>
      </c>
      <c r="E53" s="219">
        <v>806</v>
      </c>
      <c r="F53" s="219">
        <f>E53*D53</f>
        <v>806</v>
      </c>
      <c r="G53" s="219" t="s">
        <v>822</v>
      </c>
      <c r="H53" s="374"/>
      <c r="I53" s="215"/>
      <c r="J53" s="215"/>
    </row>
    <row r="54" spans="1:10">
      <c r="A54" s="577" t="s">
        <v>1181</v>
      </c>
      <c r="B54" s="577"/>
      <c r="C54" s="575" t="s">
        <v>2056</v>
      </c>
      <c r="D54" s="454"/>
      <c r="E54" s="450"/>
      <c r="F54" s="576"/>
      <c r="G54" s="450"/>
      <c r="H54" s="373"/>
      <c r="I54" s="215"/>
      <c r="J54" s="215"/>
    </row>
    <row r="55" spans="1:10">
      <c r="A55" s="457"/>
      <c r="B55" s="457"/>
      <c r="C55" s="219" t="s">
        <v>62</v>
      </c>
      <c r="D55" s="221"/>
      <c r="E55" s="221"/>
      <c r="F55" s="219">
        <f>F53*1%</f>
        <v>8.06</v>
      </c>
      <c r="G55" s="219" t="s">
        <v>2007</v>
      </c>
      <c r="H55" s="374">
        <f>F55+F45</f>
        <v>138.953</v>
      </c>
      <c r="I55" s="215"/>
      <c r="J55" s="215"/>
    </row>
    <row r="56" spans="1:10">
      <c r="A56" s="219">
        <v>14.4</v>
      </c>
      <c r="B56" s="219"/>
      <c r="C56" s="576" t="s">
        <v>2057</v>
      </c>
      <c r="D56" s="454"/>
      <c r="E56" s="450"/>
      <c r="F56" s="219"/>
      <c r="G56" s="234"/>
      <c r="H56" s="375"/>
      <c r="I56" s="215"/>
      <c r="J56" s="215"/>
    </row>
    <row r="57" spans="1:10">
      <c r="A57" s="219"/>
      <c r="B57" s="219"/>
      <c r="C57" s="219" t="s">
        <v>812</v>
      </c>
      <c r="D57" s="219">
        <v>13.13</v>
      </c>
      <c r="E57" s="219">
        <v>498.87</v>
      </c>
      <c r="F57" s="219">
        <f>D57*E57</f>
        <v>6550.1631000000007</v>
      </c>
      <c r="G57" s="219" t="s">
        <v>844</v>
      </c>
      <c r="H57" s="374"/>
      <c r="I57" s="215"/>
      <c r="J57" s="215"/>
    </row>
    <row r="58" spans="1:10">
      <c r="A58" s="574" t="s">
        <v>30</v>
      </c>
      <c r="B58" s="454"/>
      <c r="C58" s="450"/>
      <c r="D58" s="222">
        <v>50</v>
      </c>
      <c r="E58" s="222" t="s">
        <v>21</v>
      </c>
      <c r="F58" s="222">
        <f>F53+F55+F57</f>
        <v>7364.2231000000011</v>
      </c>
      <c r="G58" s="225"/>
      <c r="H58" s="376"/>
      <c r="I58" s="215"/>
      <c r="J58" s="215"/>
    </row>
    <row r="59" spans="1:10">
      <c r="A59" s="574" t="s">
        <v>826</v>
      </c>
      <c r="B59" s="454"/>
      <c r="C59" s="450"/>
      <c r="D59" s="222">
        <v>1</v>
      </c>
      <c r="E59" s="222" t="s">
        <v>21</v>
      </c>
      <c r="F59" s="222">
        <f>F58/D58</f>
        <v>147.28446200000002</v>
      </c>
      <c r="G59" s="225"/>
      <c r="H59" s="376"/>
      <c r="I59" s="215"/>
      <c r="J59" s="215"/>
    </row>
    <row r="60" spans="1:10">
      <c r="A60" s="574" t="s">
        <v>836</v>
      </c>
      <c r="B60" s="454"/>
      <c r="C60" s="454"/>
      <c r="D60" s="450"/>
      <c r="E60" s="222">
        <f>F59</f>
        <v>147.28446200000002</v>
      </c>
      <c r="F60" s="222">
        <f>E60*15%</f>
        <v>22.092669300000001</v>
      </c>
      <c r="G60" s="225"/>
      <c r="H60" s="376"/>
      <c r="I60" s="215"/>
      <c r="J60" s="215"/>
    </row>
    <row r="61" spans="1:10">
      <c r="A61" s="578" t="s">
        <v>30</v>
      </c>
      <c r="B61" s="454"/>
      <c r="C61" s="454"/>
      <c r="D61" s="450"/>
      <c r="E61" s="225"/>
      <c r="F61" s="226">
        <f>ROUND(F59+F60,2)</f>
        <v>169.38</v>
      </c>
      <c r="G61" s="217"/>
      <c r="H61" s="371">
        <f>F61+F51</f>
        <v>475.39</v>
      </c>
      <c r="I61" s="215"/>
      <c r="J61" s="215"/>
    </row>
    <row r="62" spans="1:10">
      <c r="A62" s="633" t="str">
        <f>CONCATENATE("Say ₹ ",F51," + ",F61," x Cost Index")</f>
        <v>Say ₹ 306.01 + 169.38 x Cost Index</v>
      </c>
      <c r="B62" s="454"/>
      <c r="C62" s="454"/>
      <c r="D62" s="454"/>
      <c r="E62" s="454"/>
      <c r="F62" s="450"/>
      <c r="G62" s="226" t="s">
        <v>1000</v>
      </c>
      <c r="H62" s="377"/>
      <c r="I62" s="215">
        <f>((F39*1.05*1.01)+F43)*1.01*1.15/50</f>
        <v>306.00746588999999</v>
      </c>
      <c r="J62" s="215">
        <f>((F53*1.01)+F57)*1.15/50</f>
        <v>169.3771313</v>
      </c>
    </row>
    <row r="63" spans="1:10">
      <c r="A63" s="571" t="s">
        <v>771</v>
      </c>
      <c r="B63" s="571" t="s">
        <v>776</v>
      </c>
      <c r="C63" s="572" t="s">
        <v>4</v>
      </c>
      <c r="D63" s="454"/>
      <c r="E63" s="450"/>
      <c r="F63" s="572" t="s">
        <v>785</v>
      </c>
      <c r="G63" s="450"/>
      <c r="H63" s="369"/>
      <c r="I63" s="215"/>
      <c r="J63" s="215"/>
    </row>
    <row r="64" spans="1:10">
      <c r="A64" s="457"/>
      <c r="B64" s="457"/>
      <c r="C64" s="216" t="s">
        <v>5</v>
      </c>
      <c r="D64" s="216" t="s">
        <v>6</v>
      </c>
      <c r="E64" s="216" t="s">
        <v>336</v>
      </c>
      <c r="F64" s="216" t="s">
        <v>8</v>
      </c>
      <c r="G64" s="216" t="s">
        <v>789</v>
      </c>
      <c r="H64" s="369"/>
      <c r="I64" s="215"/>
      <c r="J64" s="215"/>
    </row>
    <row r="65" spans="1:10">
      <c r="A65" s="573" t="s">
        <v>2070</v>
      </c>
      <c r="B65" s="454"/>
      <c r="C65" s="454"/>
      <c r="D65" s="454"/>
      <c r="E65" s="454"/>
      <c r="F65" s="454"/>
      <c r="G65" s="450"/>
      <c r="H65" s="370"/>
      <c r="I65" s="215"/>
      <c r="J65" s="215"/>
    </row>
    <row r="66" spans="1:10">
      <c r="A66" s="217"/>
      <c r="B66" s="217" t="s">
        <v>795</v>
      </c>
      <c r="C66" s="217" t="s">
        <v>21</v>
      </c>
      <c r="D66" s="217" t="s">
        <v>798</v>
      </c>
      <c r="E66" s="217">
        <v>50</v>
      </c>
      <c r="F66" s="217"/>
      <c r="G66" s="217"/>
      <c r="H66" s="371"/>
      <c r="I66" s="215"/>
      <c r="J66" s="215"/>
    </row>
    <row r="67" spans="1:10">
      <c r="A67" s="217" t="s">
        <v>800</v>
      </c>
      <c r="B67" s="574" t="s">
        <v>2051</v>
      </c>
      <c r="C67" s="454"/>
      <c r="D67" s="454"/>
      <c r="E67" s="454"/>
      <c r="F67" s="454"/>
      <c r="G67" s="450"/>
      <c r="H67" s="372"/>
      <c r="I67" s="215"/>
      <c r="J67" s="215"/>
    </row>
    <row r="68" spans="1:10">
      <c r="A68" s="574" t="s">
        <v>2052</v>
      </c>
      <c r="B68" s="454"/>
      <c r="C68" s="454"/>
      <c r="D68" s="454"/>
      <c r="E68" s="454"/>
      <c r="F68" s="454"/>
      <c r="G68" s="450"/>
      <c r="H68" s="372"/>
      <c r="I68" s="215"/>
      <c r="J68" s="215"/>
    </row>
    <row r="69" spans="1:10">
      <c r="A69" s="577"/>
      <c r="B69" s="577" t="s">
        <v>2071</v>
      </c>
      <c r="C69" s="576" t="s">
        <v>2072</v>
      </c>
      <c r="D69" s="454"/>
      <c r="E69" s="450"/>
      <c r="F69" s="576"/>
      <c r="G69" s="450"/>
      <c r="H69" s="373"/>
      <c r="I69" s="215"/>
      <c r="J69" s="215"/>
    </row>
    <row r="70" spans="1:10">
      <c r="A70" s="457"/>
      <c r="B70" s="457"/>
      <c r="C70" s="219" t="s">
        <v>21</v>
      </c>
      <c r="D70" s="219">
        <v>50</v>
      </c>
      <c r="E70" s="219">
        <v>241.53</v>
      </c>
      <c r="F70" s="219">
        <f>D70*E70</f>
        <v>12076.5</v>
      </c>
      <c r="G70" s="219" t="s">
        <v>808</v>
      </c>
      <c r="H70" s="374"/>
      <c r="I70" s="215"/>
      <c r="J70" s="215"/>
    </row>
    <row r="71" spans="1:10">
      <c r="A71" s="577" t="s">
        <v>1181</v>
      </c>
      <c r="B71" s="577"/>
      <c r="C71" s="576" t="s">
        <v>1999</v>
      </c>
      <c r="D71" s="454"/>
      <c r="E71" s="450"/>
      <c r="F71" s="576"/>
      <c r="G71" s="450"/>
      <c r="H71" s="373"/>
      <c r="I71" s="215"/>
      <c r="J71" s="215"/>
    </row>
    <row r="72" spans="1:10">
      <c r="A72" s="457"/>
      <c r="B72" s="457"/>
      <c r="C72" s="219" t="s">
        <v>62</v>
      </c>
      <c r="D72" s="221"/>
      <c r="E72" s="221"/>
      <c r="F72" s="219">
        <f>F70*5%</f>
        <v>603.82500000000005</v>
      </c>
      <c r="G72" s="219" t="s">
        <v>1184</v>
      </c>
      <c r="H72" s="374"/>
      <c r="I72" s="215"/>
      <c r="J72" s="215"/>
    </row>
    <row r="73" spans="1:10">
      <c r="A73" s="577"/>
      <c r="B73" s="577" t="s">
        <v>1178</v>
      </c>
      <c r="C73" s="576" t="s">
        <v>1179</v>
      </c>
      <c r="D73" s="454"/>
      <c r="E73" s="450"/>
      <c r="F73" s="576"/>
      <c r="G73" s="450"/>
      <c r="H73" s="373"/>
      <c r="I73" s="215"/>
      <c r="J73" s="215"/>
    </row>
    <row r="74" spans="1:10">
      <c r="A74" s="457"/>
      <c r="B74" s="457"/>
      <c r="C74" s="219" t="s">
        <v>26</v>
      </c>
      <c r="D74" s="219">
        <v>7</v>
      </c>
      <c r="E74" s="219">
        <v>675</v>
      </c>
      <c r="F74" s="219">
        <f>D74*E74</f>
        <v>4725</v>
      </c>
      <c r="G74" s="219" t="s">
        <v>825</v>
      </c>
      <c r="H74" s="374"/>
      <c r="I74" s="215"/>
      <c r="J74" s="215"/>
    </row>
    <row r="75" spans="1:10">
      <c r="A75" s="577" t="s">
        <v>1181</v>
      </c>
      <c r="B75" s="577"/>
      <c r="C75" s="575" t="s">
        <v>2055</v>
      </c>
      <c r="D75" s="454"/>
      <c r="E75" s="450"/>
      <c r="F75" s="576"/>
      <c r="G75" s="450"/>
      <c r="H75" s="373"/>
      <c r="I75" s="215"/>
      <c r="J75" s="215"/>
    </row>
    <row r="76" spans="1:10">
      <c r="A76" s="457"/>
      <c r="B76" s="457"/>
      <c r="C76" s="219" t="s">
        <v>62</v>
      </c>
      <c r="D76" s="221"/>
      <c r="E76" s="221"/>
      <c r="F76" s="219">
        <f>(F70+F72+F74)*1%</f>
        <v>174.05325000000002</v>
      </c>
      <c r="G76" s="219" t="s">
        <v>1218</v>
      </c>
      <c r="H76" s="374"/>
      <c r="I76" s="215"/>
      <c r="J76" s="215"/>
    </row>
    <row r="77" spans="1:10">
      <c r="A77" s="574" t="s">
        <v>30</v>
      </c>
      <c r="B77" s="454"/>
      <c r="C77" s="450"/>
      <c r="D77" s="222">
        <v>50</v>
      </c>
      <c r="E77" s="222" t="s">
        <v>21</v>
      </c>
      <c r="F77" s="222">
        <f>F70+F72+F74+F76</f>
        <v>17579.378250000002</v>
      </c>
      <c r="G77" s="217"/>
      <c r="H77" s="371"/>
      <c r="I77" s="215"/>
      <c r="J77" s="215"/>
    </row>
    <row r="78" spans="1:10">
      <c r="A78" s="574" t="s">
        <v>826</v>
      </c>
      <c r="B78" s="454"/>
      <c r="C78" s="450"/>
      <c r="D78" s="222">
        <v>1</v>
      </c>
      <c r="E78" s="222" t="s">
        <v>21</v>
      </c>
      <c r="F78" s="222">
        <f>F77/D77</f>
        <v>351.58756500000004</v>
      </c>
      <c r="G78" s="217"/>
      <c r="H78" s="371"/>
      <c r="I78" s="215"/>
      <c r="J78" s="215"/>
    </row>
    <row r="79" spans="1:10">
      <c r="A79" s="574" t="s">
        <v>1187</v>
      </c>
      <c r="B79" s="454"/>
      <c r="C79" s="454"/>
      <c r="D79" s="450"/>
      <c r="E79" s="224">
        <f>F70*105%*101%/D77</f>
        <v>256.14256500000005</v>
      </c>
      <c r="F79" s="222">
        <f>E79*1%</f>
        <v>2.5614256500000003</v>
      </c>
      <c r="G79" s="217"/>
      <c r="H79" s="371"/>
      <c r="I79" s="215"/>
      <c r="J79" s="215"/>
    </row>
    <row r="80" spans="1:10">
      <c r="A80" s="574" t="s">
        <v>30</v>
      </c>
      <c r="B80" s="454"/>
      <c r="C80" s="454"/>
      <c r="D80" s="450"/>
      <c r="E80" s="217"/>
      <c r="F80" s="222">
        <f>F78+F79</f>
        <v>354.14899065000003</v>
      </c>
      <c r="G80" s="217"/>
      <c r="H80" s="371"/>
      <c r="I80" s="215"/>
      <c r="J80" s="215"/>
    </row>
    <row r="81" spans="1:10">
      <c r="A81" s="574" t="s">
        <v>836</v>
      </c>
      <c r="B81" s="454"/>
      <c r="C81" s="454"/>
      <c r="D81" s="450"/>
      <c r="E81" s="222">
        <f>F80</f>
        <v>354.14899065000003</v>
      </c>
      <c r="F81" s="222">
        <f>E81*15%</f>
        <v>53.1223485975</v>
      </c>
      <c r="G81" s="217"/>
      <c r="H81" s="371"/>
      <c r="I81" s="215"/>
      <c r="J81" s="215"/>
    </row>
    <row r="82" spans="1:10">
      <c r="A82" s="578" t="s">
        <v>30</v>
      </c>
      <c r="B82" s="454"/>
      <c r="C82" s="454"/>
      <c r="D82" s="450"/>
      <c r="E82" s="225"/>
      <c r="F82" s="226">
        <f>ROUND(F80+F81,2)</f>
        <v>407.27</v>
      </c>
      <c r="G82" s="217"/>
      <c r="H82" s="371"/>
      <c r="I82" s="215"/>
      <c r="J82" s="215"/>
    </row>
    <row r="83" spans="1:10">
      <c r="A83" s="577">
        <v>1001</v>
      </c>
      <c r="B83" s="577"/>
      <c r="C83" s="576" t="s">
        <v>1493</v>
      </c>
      <c r="D83" s="454"/>
      <c r="E83" s="450"/>
      <c r="F83" s="576"/>
      <c r="G83" s="450"/>
      <c r="H83" s="373"/>
      <c r="I83" s="215"/>
      <c r="J83" s="215"/>
    </row>
    <row r="84" spans="1:10">
      <c r="A84" s="457"/>
      <c r="B84" s="457"/>
      <c r="C84" s="219" t="s">
        <v>26</v>
      </c>
      <c r="D84" s="219">
        <v>1</v>
      </c>
      <c r="E84" s="219">
        <v>806</v>
      </c>
      <c r="F84" s="219">
        <f>E84*D84</f>
        <v>806</v>
      </c>
      <c r="G84" s="219" t="s">
        <v>822</v>
      </c>
      <c r="H84" s="374"/>
      <c r="I84" s="215"/>
      <c r="J84" s="215"/>
    </row>
    <row r="85" spans="1:10">
      <c r="A85" s="577" t="s">
        <v>1181</v>
      </c>
      <c r="B85" s="577"/>
      <c r="C85" s="575" t="s">
        <v>2056</v>
      </c>
      <c r="D85" s="454"/>
      <c r="E85" s="450"/>
      <c r="F85" s="576"/>
      <c r="G85" s="450"/>
      <c r="H85" s="373"/>
      <c r="I85" s="215"/>
      <c r="J85" s="215"/>
    </row>
    <row r="86" spans="1:10">
      <c r="A86" s="457"/>
      <c r="B86" s="457"/>
      <c r="C86" s="219" t="s">
        <v>62</v>
      </c>
      <c r="D86" s="221"/>
      <c r="E86" s="221"/>
      <c r="F86" s="219">
        <f>F84*1%</f>
        <v>8.06</v>
      </c>
      <c r="G86" s="219" t="s">
        <v>2007</v>
      </c>
      <c r="H86" s="374">
        <f>F86+F76</f>
        <v>182.11325000000002</v>
      </c>
      <c r="I86" s="215"/>
      <c r="J86" s="215"/>
    </row>
    <row r="87" spans="1:10">
      <c r="A87" s="219">
        <v>14.4</v>
      </c>
      <c r="B87" s="219"/>
      <c r="C87" s="576" t="s">
        <v>2057</v>
      </c>
      <c r="D87" s="454"/>
      <c r="E87" s="450"/>
      <c r="F87" s="219"/>
      <c r="G87" s="234"/>
      <c r="H87" s="375"/>
      <c r="I87" s="215"/>
      <c r="J87" s="215"/>
    </row>
    <row r="88" spans="1:10">
      <c r="A88" s="219"/>
      <c r="B88" s="219"/>
      <c r="C88" s="219" t="s">
        <v>812</v>
      </c>
      <c r="D88" s="219">
        <v>13.13</v>
      </c>
      <c r="E88" s="219">
        <v>498.87</v>
      </c>
      <c r="F88" s="219">
        <f>D88*E88</f>
        <v>6550.1631000000007</v>
      </c>
      <c r="G88" s="219" t="s">
        <v>844</v>
      </c>
      <c r="H88" s="374"/>
      <c r="I88" s="215"/>
      <c r="J88" s="215"/>
    </row>
    <row r="89" spans="1:10">
      <c r="A89" s="574" t="s">
        <v>30</v>
      </c>
      <c r="B89" s="454"/>
      <c r="C89" s="450"/>
      <c r="D89" s="222">
        <v>50</v>
      </c>
      <c r="E89" s="222" t="s">
        <v>21</v>
      </c>
      <c r="F89" s="222">
        <f>F84+F86+F88</f>
        <v>7364.2231000000011</v>
      </c>
      <c r="G89" s="225"/>
      <c r="H89" s="376"/>
      <c r="I89" s="215"/>
      <c r="J89" s="215"/>
    </row>
    <row r="90" spans="1:10">
      <c r="A90" s="574" t="s">
        <v>826</v>
      </c>
      <c r="B90" s="454"/>
      <c r="C90" s="450"/>
      <c r="D90" s="222">
        <v>1</v>
      </c>
      <c r="E90" s="222" t="s">
        <v>21</v>
      </c>
      <c r="F90" s="222">
        <f>F89/D89</f>
        <v>147.28446200000002</v>
      </c>
      <c r="G90" s="225"/>
      <c r="H90" s="376">
        <f t="shared" ref="H90:H92" si="0">F90+F80</f>
        <v>501.43345265000005</v>
      </c>
      <c r="I90" s="215"/>
      <c r="J90" s="215"/>
    </row>
    <row r="91" spans="1:10">
      <c r="A91" s="574" t="s">
        <v>836</v>
      </c>
      <c r="B91" s="454"/>
      <c r="C91" s="454"/>
      <c r="D91" s="450"/>
      <c r="E91" s="222">
        <f>F90</f>
        <v>147.28446200000002</v>
      </c>
      <c r="F91" s="222">
        <f>E91*15%</f>
        <v>22.092669300000001</v>
      </c>
      <c r="G91" s="225"/>
      <c r="H91" s="376">
        <f t="shared" si="0"/>
        <v>75.215017897500005</v>
      </c>
      <c r="I91" s="215"/>
      <c r="J91" s="215"/>
    </row>
    <row r="92" spans="1:10">
      <c r="A92" s="578" t="s">
        <v>30</v>
      </c>
      <c r="B92" s="454"/>
      <c r="C92" s="454"/>
      <c r="D92" s="450"/>
      <c r="E92" s="225"/>
      <c r="F92" s="226">
        <f>ROUND(F90+F91,2)</f>
        <v>169.38</v>
      </c>
      <c r="G92" s="217"/>
      <c r="H92" s="371">
        <f t="shared" si="0"/>
        <v>576.65</v>
      </c>
      <c r="I92" s="215"/>
      <c r="J92" s="215"/>
    </row>
    <row r="93" spans="1:10">
      <c r="A93" s="633" t="str">
        <f>CONCATENATE("Say ₹ ",F82," + ",F92," x Cost Index")</f>
        <v>Say ₹ 407.27 + 169.38 x Cost Index</v>
      </c>
      <c r="B93" s="454"/>
      <c r="C93" s="454"/>
      <c r="D93" s="454"/>
      <c r="E93" s="454"/>
      <c r="F93" s="450"/>
      <c r="G93" s="226" t="s">
        <v>1000</v>
      </c>
      <c r="H93" s="377"/>
      <c r="I93" s="215">
        <f>((F70*1.05*1.01)+F74)*1.01*1.15/50</f>
        <v>407.27133924750001</v>
      </c>
      <c r="J93" s="215">
        <f>((F84*1.01)+F88)*1.15/50</f>
        <v>169.3771313</v>
      </c>
    </row>
    <row r="94" spans="1:10">
      <c r="A94" s="571" t="s">
        <v>771</v>
      </c>
      <c r="B94" s="571" t="s">
        <v>776</v>
      </c>
      <c r="C94" s="572" t="s">
        <v>4</v>
      </c>
      <c r="D94" s="454"/>
      <c r="E94" s="450"/>
      <c r="F94" s="572" t="s">
        <v>785</v>
      </c>
      <c r="G94" s="450"/>
      <c r="H94" s="369"/>
      <c r="I94" s="215"/>
      <c r="J94" s="215"/>
    </row>
    <row r="95" spans="1:10">
      <c r="A95" s="457"/>
      <c r="B95" s="457"/>
      <c r="C95" s="216" t="s">
        <v>5</v>
      </c>
      <c r="D95" s="216" t="s">
        <v>6</v>
      </c>
      <c r="E95" s="216" t="s">
        <v>336</v>
      </c>
      <c r="F95" s="216" t="s">
        <v>8</v>
      </c>
      <c r="G95" s="216" t="s">
        <v>789</v>
      </c>
      <c r="H95" s="369"/>
      <c r="I95" s="215"/>
      <c r="J95" s="215"/>
    </row>
    <row r="96" spans="1:10">
      <c r="A96" s="573" t="s">
        <v>2077</v>
      </c>
      <c r="B96" s="454"/>
      <c r="C96" s="454"/>
      <c r="D96" s="454"/>
      <c r="E96" s="454"/>
      <c r="F96" s="454"/>
      <c r="G96" s="450"/>
      <c r="H96" s="370"/>
      <c r="I96" s="215"/>
      <c r="J96" s="215"/>
    </row>
    <row r="97" spans="1:10">
      <c r="A97" s="217"/>
      <c r="B97" s="217" t="s">
        <v>795</v>
      </c>
      <c r="C97" s="217" t="s">
        <v>21</v>
      </c>
      <c r="D97" s="217" t="s">
        <v>798</v>
      </c>
      <c r="E97" s="217">
        <v>50</v>
      </c>
      <c r="F97" s="217"/>
      <c r="G97" s="217"/>
      <c r="H97" s="371"/>
      <c r="I97" s="215"/>
      <c r="J97" s="215"/>
    </row>
    <row r="98" spans="1:10">
      <c r="A98" s="217" t="s">
        <v>800</v>
      </c>
      <c r="B98" s="574" t="s">
        <v>2051</v>
      </c>
      <c r="C98" s="454"/>
      <c r="D98" s="454"/>
      <c r="E98" s="454"/>
      <c r="F98" s="454"/>
      <c r="G98" s="450"/>
      <c r="H98" s="372"/>
      <c r="I98" s="215"/>
      <c r="J98" s="215"/>
    </row>
    <row r="99" spans="1:10">
      <c r="A99" s="574" t="s">
        <v>2052</v>
      </c>
      <c r="B99" s="454"/>
      <c r="C99" s="454"/>
      <c r="D99" s="454"/>
      <c r="E99" s="454"/>
      <c r="F99" s="454"/>
      <c r="G99" s="450"/>
      <c r="H99" s="372"/>
      <c r="I99" s="215"/>
      <c r="J99" s="215"/>
    </row>
    <row r="100" spans="1:10">
      <c r="A100" s="577"/>
      <c r="B100" s="577" t="s">
        <v>2078</v>
      </c>
      <c r="C100" s="576" t="s">
        <v>2079</v>
      </c>
      <c r="D100" s="454"/>
      <c r="E100" s="450"/>
      <c r="F100" s="576"/>
      <c r="G100" s="450"/>
      <c r="H100" s="373"/>
      <c r="I100" s="215"/>
      <c r="J100" s="215"/>
    </row>
    <row r="101" spans="1:10">
      <c r="A101" s="457"/>
      <c r="B101" s="457"/>
      <c r="C101" s="219" t="s">
        <v>21</v>
      </c>
      <c r="D101" s="219">
        <v>50</v>
      </c>
      <c r="E101" s="219">
        <v>343.22</v>
      </c>
      <c r="F101" s="219">
        <f>D101*E101</f>
        <v>17161</v>
      </c>
      <c r="G101" s="219" t="s">
        <v>808</v>
      </c>
      <c r="H101" s="374"/>
      <c r="I101" s="215"/>
      <c r="J101" s="215"/>
    </row>
    <row r="102" spans="1:10">
      <c r="A102" s="577" t="s">
        <v>1181</v>
      </c>
      <c r="B102" s="577"/>
      <c r="C102" s="576" t="s">
        <v>1999</v>
      </c>
      <c r="D102" s="454"/>
      <c r="E102" s="450"/>
      <c r="F102" s="576"/>
      <c r="G102" s="450"/>
      <c r="H102" s="373"/>
      <c r="I102" s="215"/>
      <c r="J102" s="215"/>
    </row>
    <row r="103" spans="1:10">
      <c r="A103" s="457"/>
      <c r="B103" s="457"/>
      <c r="C103" s="219" t="s">
        <v>62</v>
      </c>
      <c r="D103" s="221"/>
      <c r="E103" s="221"/>
      <c r="F103" s="219">
        <f>F101*5%</f>
        <v>858.05000000000007</v>
      </c>
      <c r="G103" s="219" t="s">
        <v>1184</v>
      </c>
      <c r="H103" s="374"/>
      <c r="I103" s="215"/>
      <c r="J103" s="215"/>
    </row>
    <row r="104" spans="1:10">
      <c r="A104" s="577"/>
      <c r="B104" s="577" t="s">
        <v>1178</v>
      </c>
      <c r="C104" s="576" t="s">
        <v>1179</v>
      </c>
      <c r="D104" s="454"/>
      <c r="E104" s="450"/>
      <c r="F104" s="576"/>
      <c r="G104" s="450"/>
      <c r="H104" s="373"/>
      <c r="I104" s="215"/>
      <c r="J104" s="215"/>
    </row>
    <row r="105" spans="1:10">
      <c r="A105" s="457"/>
      <c r="B105" s="457"/>
      <c r="C105" s="219" t="s">
        <v>26</v>
      </c>
      <c r="D105" s="219">
        <v>7</v>
      </c>
      <c r="E105" s="219">
        <v>675</v>
      </c>
      <c r="F105" s="219">
        <f>D105*E105</f>
        <v>4725</v>
      </c>
      <c r="G105" s="219" t="s">
        <v>825</v>
      </c>
      <c r="H105" s="374"/>
      <c r="I105" s="215"/>
      <c r="J105" s="215"/>
    </row>
    <row r="106" spans="1:10">
      <c r="A106" s="577" t="s">
        <v>1181</v>
      </c>
      <c r="B106" s="577"/>
      <c r="C106" s="575" t="s">
        <v>2055</v>
      </c>
      <c r="D106" s="454"/>
      <c r="E106" s="450"/>
      <c r="F106" s="576"/>
      <c r="G106" s="450"/>
      <c r="H106" s="373"/>
      <c r="I106" s="215"/>
      <c r="J106" s="215"/>
    </row>
    <row r="107" spans="1:10">
      <c r="A107" s="457"/>
      <c r="B107" s="457"/>
      <c r="C107" s="219" t="s">
        <v>62</v>
      </c>
      <c r="D107" s="221"/>
      <c r="E107" s="221"/>
      <c r="F107" s="219">
        <f>(F101+F103+F105)*1%</f>
        <v>227.44049999999999</v>
      </c>
      <c r="G107" s="219" t="s">
        <v>1218</v>
      </c>
      <c r="H107" s="374"/>
      <c r="I107" s="215"/>
      <c r="J107" s="215"/>
    </row>
    <row r="108" spans="1:10">
      <c r="A108" s="574" t="s">
        <v>30</v>
      </c>
      <c r="B108" s="454"/>
      <c r="C108" s="450"/>
      <c r="D108" s="222">
        <v>50</v>
      </c>
      <c r="E108" s="222" t="s">
        <v>21</v>
      </c>
      <c r="F108" s="222">
        <f>F101+F103+F105+F107</f>
        <v>22971.4905</v>
      </c>
      <c r="G108" s="217"/>
      <c r="H108" s="371"/>
      <c r="I108" s="215"/>
      <c r="J108" s="215"/>
    </row>
    <row r="109" spans="1:10">
      <c r="A109" s="574" t="s">
        <v>826</v>
      </c>
      <c r="B109" s="454"/>
      <c r="C109" s="450"/>
      <c r="D109" s="222">
        <v>1</v>
      </c>
      <c r="E109" s="222" t="s">
        <v>21</v>
      </c>
      <c r="F109" s="222">
        <f>F108/D108</f>
        <v>459.42980999999997</v>
      </c>
      <c r="G109" s="217"/>
      <c r="H109" s="371"/>
      <c r="I109" s="215"/>
      <c r="J109" s="215"/>
    </row>
    <row r="110" spans="1:10">
      <c r="A110" s="574" t="s">
        <v>1187</v>
      </c>
      <c r="B110" s="454"/>
      <c r="C110" s="454"/>
      <c r="D110" s="450"/>
      <c r="E110" s="224">
        <f>F101*105%*101%/D108</f>
        <v>363.98480999999998</v>
      </c>
      <c r="F110" s="222">
        <f>E110*1%</f>
        <v>3.6398481</v>
      </c>
      <c r="G110" s="217"/>
      <c r="H110" s="371"/>
      <c r="I110" s="215"/>
      <c r="J110" s="215"/>
    </row>
    <row r="111" spans="1:10">
      <c r="A111" s="574" t="s">
        <v>30</v>
      </c>
      <c r="B111" s="454"/>
      <c r="C111" s="454"/>
      <c r="D111" s="450"/>
      <c r="E111" s="217"/>
      <c r="F111" s="222">
        <f>F109+F110</f>
        <v>463.06965809999997</v>
      </c>
      <c r="G111" s="217"/>
      <c r="H111" s="371"/>
      <c r="I111" s="215"/>
      <c r="J111" s="215"/>
    </row>
    <row r="112" spans="1:10">
      <c r="A112" s="574" t="s">
        <v>836</v>
      </c>
      <c r="B112" s="454"/>
      <c r="C112" s="454"/>
      <c r="D112" s="450"/>
      <c r="E112" s="222">
        <f>F111</f>
        <v>463.06965809999997</v>
      </c>
      <c r="F112" s="222">
        <f>E112*15%</f>
        <v>69.460448714999998</v>
      </c>
      <c r="G112" s="217"/>
      <c r="H112" s="371"/>
      <c r="I112" s="215"/>
      <c r="J112" s="215"/>
    </row>
    <row r="113" spans="1:10">
      <c r="A113" s="578" t="s">
        <v>30</v>
      </c>
      <c r="B113" s="454"/>
      <c r="C113" s="454"/>
      <c r="D113" s="450"/>
      <c r="E113" s="225"/>
      <c r="F113" s="226">
        <f>ROUND(F111+F112,2)</f>
        <v>532.53</v>
      </c>
      <c r="G113" s="217"/>
      <c r="H113" s="371"/>
      <c r="I113" s="215"/>
      <c r="J113" s="215"/>
    </row>
    <row r="114" spans="1:10">
      <c r="A114" s="577">
        <v>1001</v>
      </c>
      <c r="B114" s="577"/>
      <c r="C114" s="576" t="s">
        <v>1493</v>
      </c>
      <c r="D114" s="454"/>
      <c r="E114" s="450"/>
      <c r="F114" s="576"/>
      <c r="G114" s="450"/>
      <c r="H114" s="373"/>
      <c r="I114" s="215"/>
      <c r="J114" s="215"/>
    </row>
    <row r="115" spans="1:10">
      <c r="A115" s="457"/>
      <c r="B115" s="457"/>
      <c r="C115" s="219" t="s">
        <v>26</v>
      </c>
      <c r="D115" s="219">
        <v>1</v>
      </c>
      <c r="E115" s="219">
        <v>806</v>
      </c>
      <c r="F115" s="219">
        <f>E115*D115</f>
        <v>806</v>
      </c>
      <c r="G115" s="219" t="s">
        <v>822</v>
      </c>
      <c r="H115" s="374"/>
      <c r="I115" s="215"/>
      <c r="J115" s="215"/>
    </row>
    <row r="116" spans="1:10">
      <c r="A116" s="577" t="s">
        <v>1181</v>
      </c>
      <c r="B116" s="577"/>
      <c r="C116" s="575" t="s">
        <v>2056</v>
      </c>
      <c r="D116" s="454"/>
      <c r="E116" s="450"/>
      <c r="F116" s="576"/>
      <c r="G116" s="450"/>
      <c r="H116" s="373"/>
      <c r="I116" s="215"/>
      <c r="J116" s="215"/>
    </row>
    <row r="117" spans="1:10">
      <c r="A117" s="457"/>
      <c r="B117" s="457"/>
      <c r="C117" s="219" t="s">
        <v>62</v>
      </c>
      <c r="D117" s="221"/>
      <c r="E117" s="221"/>
      <c r="F117" s="219">
        <f>F115*1%</f>
        <v>8.06</v>
      </c>
      <c r="G117" s="219" t="s">
        <v>2007</v>
      </c>
      <c r="H117" s="374">
        <f>F117+F107</f>
        <v>235.50049999999999</v>
      </c>
      <c r="I117" s="215"/>
      <c r="J117" s="215"/>
    </row>
    <row r="118" spans="1:10">
      <c r="A118" s="219">
        <v>14.4</v>
      </c>
      <c r="B118" s="219"/>
      <c r="C118" s="576" t="s">
        <v>2057</v>
      </c>
      <c r="D118" s="454"/>
      <c r="E118" s="450"/>
      <c r="F118" s="219"/>
      <c r="G118" s="234"/>
      <c r="H118" s="375"/>
      <c r="I118" s="215"/>
      <c r="J118" s="215"/>
    </row>
    <row r="119" spans="1:10">
      <c r="A119" s="219"/>
      <c r="B119" s="219"/>
      <c r="C119" s="219" t="s">
        <v>812</v>
      </c>
      <c r="D119" s="219">
        <v>13.13</v>
      </c>
      <c r="E119" s="219">
        <v>498.87</v>
      </c>
      <c r="F119" s="219">
        <f>D119*E119</f>
        <v>6550.1631000000007</v>
      </c>
      <c r="G119" s="219" t="s">
        <v>844</v>
      </c>
      <c r="H119" s="374"/>
      <c r="I119" s="215"/>
      <c r="J119" s="215"/>
    </row>
    <row r="120" spans="1:10">
      <c r="A120" s="574" t="s">
        <v>30</v>
      </c>
      <c r="B120" s="454"/>
      <c r="C120" s="450"/>
      <c r="D120" s="222">
        <v>50</v>
      </c>
      <c r="E120" s="222" t="s">
        <v>21</v>
      </c>
      <c r="F120" s="222">
        <f>F115+F117+F119</f>
        <v>7364.2231000000011</v>
      </c>
      <c r="G120" s="225"/>
      <c r="H120" s="376"/>
      <c r="I120" s="215"/>
      <c r="J120" s="215"/>
    </row>
    <row r="121" spans="1:10">
      <c r="A121" s="574" t="s">
        <v>826</v>
      </c>
      <c r="B121" s="454"/>
      <c r="C121" s="450"/>
      <c r="D121" s="222">
        <v>1</v>
      </c>
      <c r="E121" s="222" t="s">
        <v>21</v>
      </c>
      <c r="F121" s="222">
        <f>F120/D120</f>
        <v>147.28446200000002</v>
      </c>
      <c r="G121" s="225"/>
      <c r="H121" s="376"/>
      <c r="I121" s="215"/>
      <c r="J121" s="215"/>
    </row>
    <row r="122" spans="1:10">
      <c r="A122" s="574" t="s">
        <v>836</v>
      </c>
      <c r="B122" s="454"/>
      <c r="C122" s="454"/>
      <c r="D122" s="450"/>
      <c r="E122" s="222">
        <f>F121</f>
        <v>147.28446200000002</v>
      </c>
      <c r="F122" s="222">
        <f>E122*15%</f>
        <v>22.092669300000001</v>
      </c>
      <c r="G122" s="225"/>
      <c r="H122" s="376"/>
      <c r="I122" s="215"/>
      <c r="J122" s="215"/>
    </row>
    <row r="123" spans="1:10">
      <c r="A123" s="578" t="s">
        <v>30</v>
      </c>
      <c r="B123" s="454"/>
      <c r="C123" s="454"/>
      <c r="D123" s="450"/>
      <c r="E123" s="225"/>
      <c r="F123" s="226">
        <f>ROUND(F121+F122,2)</f>
        <v>169.38</v>
      </c>
      <c r="G123" s="217"/>
      <c r="H123" s="371">
        <f>F123+F113</f>
        <v>701.91</v>
      </c>
      <c r="I123" s="215"/>
      <c r="J123" s="215"/>
    </row>
    <row r="124" spans="1:10">
      <c r="A124" s="633" t="str">
        <f>CONCATENATE("Say ₹ ",F113," + ",F123," x Cost Index")</f>
        <v>Say ₹ 532.53 + 169.38 x Cost Index</v>
      </c>
      <c r="B124" s="454"/>
      <c r="C124" s="454"/>
      <c r="D124" s="454"/>
      <c r="E124" s="454"/>
      <c r="F124" s="450"/>
      <c r="G124" s="226" t="s">
        <v>1000</v>
      </c>
      <c r="H124" s="377"/>
      <c r="I124" s="215">
        <f>((F101*1.05*1.01)+F105)*1.01*1.15/50</f>
        <v>532.53010681499995</v>
      </c>
      <c r="J124" s="215">
        <f>((F115*1.01)+F119)*1.15/50</f>
        <v>169.3771313</v>
      </c>
    </row>
    <row r="125" spans="1:10">
      <c r="A125" s="571" t="s">
        <v>771</v>
      </c>
      <c r="B125" s="571" t="s">
        <v>776</v>
      </c>
      <c r="C125" s="572" t="s">
        <v>4</v>
      </c>
      <c r="D125" s="454"/>
      <c r="E125" s="450"/>
      <c r="F125" s="572" t="s">
        <v>785</v>
      </c>
      <c r="G125" s="450"/>
      <c r="H125" s="369"/>
      <c r="I125" s="215"/>
      <c r="J125" s="215"/>
    </row>
    <row r="126" spans="1:10">
      <c r="A126" s="457"/>
      <c r="B126" s="457"/>
      <c r="C126" s="216" t="s">
        <v>5</v>
      </c>
      <c r="D126" s="216" t="s">
        <v>6</v>
      </c>
      <c r="E126" s="216" t="s">
        <v>336</v>
      </c>
      <c r="F126" s="216" t="s">
        <v>8</v>
      </c>
      <c r="G126" s="216" t="s">
        <v>789</v>
      </c>
      <c r="H126" s="369"/>
      <c r="I126" s="215"/>
      <c r="J126" s="215"/>
    </row>
    <row r="127" spans="1:10">
      <c r="A127" s="573" t="s">
        <v>2086</v>
      </c>
      <c r="B127" s="454"/>
      <c r="C127" s="454"/>
      <c r="D127" s="454"/>
      <c r="E127" s="454"/>
      <c r="F127" s="454"/>
      <c r="G127" s="450"/>
      <c r="H127" s="370"/>
      <c r="I127" s="215"/>
      <c r="J127" s="215"/>
    </row>
    <row r="128" spans="1:10">
      <c r="A128" s="217"/>
      <c r="B128" s="217" t="s">
        <v>795</v>
      </c>
      <c r="C128" s="217" t="s">
        <v>21</v>
      </c>
      <c r="D128" s="217" t="s">
        <v>798</v>
      </c>
      <c r="E128" s="217">
        <v>50</v>
      </c>
      <c r="F128" s="217"/>
      <c r="G128" s="217"/>
      <c r="H128" s="371"/>
      <c r="I128" s="215"/>
      <c r="J128" s="215"/>
    </row>
    <row r="129" spans="1:10">
      <c r="A129" s="217" t="s">
        <v>800</v>
      </c>
      <c r="B129" s="574" t="s">
        <v>2051</v>
      </c>
      <c r="C129" s="454"/>
      <c r="D129" s="454"/>
      <c r="E129" s="454"/>
      <c r="F129" s="454"/>
      <c r="G129" s="450"/>
      <c r="H129" s="372"/>
      <c r="I129" s="215"/>
      <c r="J129" s="215"/>
    </row>
    <row r="130" spans="1:10">
      <c r="A130" s="574" t="s">
        <v>2052</v>
      </c>
      <c r="B130" s="454"/>
      <c r="C130" s="454"/>
      <c r="D130" s="454"/>
      <c r="E130" s="454"/>
      <c r="F130" s="454"/>
      <c r="G130" s="450"/>
      <c r="H130" s="372"/>
      <c r="I130" s="215"/>
      <c r="J130" s="215"/>
    </row>
    <row r="131" spans="1:10">
      <c r="A131" s="577"/>
      <c r="B131" s="577" t="s">
        <v>2087</v>
      </c>
      <c r="C131" s="576" t="s">
        <v>2088</v>
      </c>
      <c r="D131" s="454"/>
      <c r="E131" s="450"/>
      <c r="F131" s="576"/>
      <c r="G131" s="450"/>
      <c r="H131" s="373"/>
      <c r="I131" s="215"/>
      <c r="J131" s="215"/>
    </row>
    <row r="132" spans="1:10">
      <c r="A132" s="457"/>
      <c r="B132" s="457"/>
      <c r="C132" s="219" t="s">
        <v>21</v>
      </c>
      <c r="D132" s="219">
        <v>50</v>
      </c>
      <c r="E132" s="219">
        <v>153.38999999999999</v>
      </c>
      <c r="F132" s="219">
        <f>D132*E132</f>
        <v>7669.4999999999991</v>
      </c>
      <c r="G132" s="219" t="s">
        <v>808</v>
      </c>
      <c r="H132" s="374"/>
      <c r="I132" s="215"/>
      <c r="J132" s="215"/>
    </row>
    <row r="133" spans="1:10">
      <c r="A133" s="577" t="s">
        <v>1181</v>
      </c>
      <c r="B133" s="577"/>
      <c r="C133" s="576" t="s">
        <v>1999</v>
      </c>
      <c r="D133" s="454"/>
      <c r="E133" s="450"/>
      <c r="F133" s="576"/>
      <c r="G133" s="450"/>
      <c r="H133" s="373"/>
      <c r="I133" s="215"/>
      <c r="J133" s="215"/>
    </row>
    <row r="134" spans="1:10">
      <c r="A134" s="457"/>
      <c r="B134" s="457"/>
      <c r="C134" s="219" t="s">
        <v>62</v>
      </c>
      <c r="D134" s="221"/>
      <c r="E134" s="221"/>
      <c r="F134" s="219">
        <f>F132*5%</f>
        <v>383.47499999999997</v>
      </c>
      <c r="G134" s="219" t="s">
        <v>1184</v>
      </c>
      <c r="H134" s="374"/>
      <c r="I134" s="215"/>
      <c r="J134" s="215"/>
    </row>
    <row r="135" spans="1:10">
      <c r="A135" s="577"/>
      <c r="B135" s="577" t="s">
        <v>1178</v>
      </c>
      <c r="C135" s="576" t="s">
        <v>1179</v>
      </c>
      <c r="D135" s="454"/>
      <c r="E135" s="450"/>
      <c r="F135" s="576"/>
      <c r="G135" s="450"/>
      <c r="H135" s="373"/>
      <c r="I135" s="215"/>
      <c r="J135" s="215"/>
    </row>
    <row r="136" spans="1:10">
      <c r="A136" s="457"/>
      <c r="B136" s="457"/>
      <c r="C136" s="219" t="s">
        <v>26</v>
      </c>
      <c r="D136" s="219">
        <v>7</v>
      </c>
      <c r="E136" s="219">
        <v>675</v>
      </c>
      <c r="F136" s="219">
        <f>D136*E136</f>
        <v>4725</v>
      </c>
      <c r="G136" s="219" t="s">
        <v>825</v>
      </c>
      <c r="H136" s="374"/>
      <c r="I136" s="215"/>
      <c r="J136" s="215"/>
    </row>
    <row r="137" spans="1:10">
      <c r="A137" s="577" t="s">
        <v>1181</v>
      </c>
      <c r="B137" s="577"/>
      <c r="C137" s="575" t="s">
        <v>2055</v>
      </c>
      <c r="D137" s="454"/>
      <c r="E137" s="450"/>
      <c r="F137" s="576"/>
      <c r="G137" s="450"/>
      <c r="H137" s="373"/>
      <c r="I137" s="215"/>
      <c r="J137" s="215"/>
    </row>
    <row r="138" spans="1:10">
      <c r="A138" s="457"/>
      <c r="B138" s="457"/>
      <c r="C138" s="219" t="s">
        <v>62</v>
      </c>
      <c r="D138" s="221"/>
      <c r="E138" s="221"/>
      <c r="F138" s="219">
        <f>(F132+F134+F136)*1%</f>
        <v>127.77974999999999</v>
      </c>
      <c r="G138" s="219" t="s">
        <v>1218</v>
      </c>
      <c r="H138" s="374"/>
      <c r="I138" s="215"/>
      <c r="J138" s="215"/>
    </row>
    <row r="139" spans="1:10">
      <c r="A139" s="574" t="s">
        <v>30</v>
      </c>
      <c r="B139" s="454"/>
      <c r="C139" s="450"/>
      <c r="D139" s="222">
        <v>50</v>
      </c>
      <c r="E139" s="222" t="s">
        <v>21</v>
      </c>
      <c r="F139" s="222">
        <f>F132+F134+F136+F138</f>
        <v>12905.754749999998</v>
      </c>
      <c r="G139" s="217"/>
      <c r="H139" s="371"/>
      <c r="I139" s="215"/>
      <c r="J139" s="215"/>
    </row>
    <row r="140" spans="1:10">
      <c r="A140" s="574" t="s">
        <v>826</v>
      </c>
      <c r="B140" s="454"/>
      <c r="C140" s="450"/>
      <c r="D140" s="222">
        <v>1</v>
      </c>
      <c r="E140" s="222" t="s">
        <v>21</v>
      </c>
      <c r="F140" s="222">
        <f>F139/D139</f>
        <v>258.11509499999994</v>
      </c>
      <c r="G140" s="217"/>
      <c r="H140" s="371"/>
      <c r="I140" s="215"/>
      <c r="J140" s="215"/>
    </row>
    <row r="141" spans="1:10">
      <c r="A141" s="574" t="s">
        <v>1187</v>
      </c>
      <c r="B141" s="454"/>
      <c r="C141" s="454"/>
      <c r="D141" s="450"/>
      <c r="E141" s="224">
        <f>F132*105%*101%/D139</f>
        <v>162.67009499999998</v>
      </c>
      <c r="F141" s="222">
        <f>E141*1%</f>
        <v>1.6267009499999998</v>
      </c>
      <c r="G141" s="217"/>
      <c r="H141" s="371"/>
      <c r="I141" s="215"/>
      <c r="J141" s="215"/>
    </row>
    <row r="142" spans="1:10">
      <c r="A142" s="574" t="s">
        <v>30</v>
      </c>
      <c r="B142" s="454"/>
      <c r="C142" s="454"/>
      <c r="D142" s="450"/>
      <c r="E142" s="217"/>
      <c r="F142" s="222">
        <f>F140+F141</f>
        <v>259.74179594999993</v>
      </c>
      <c r="G142" s="217"/>
      <c r="H142" s="371"/>
      <c r="I142" s="215"/>
      <c r="J142" s="215"/>
    </row>
    <row r="143" spans="1:10">
      <c r="A143" s="574" t="s">
        <v>836</v>
      </c>
      <c r="B143" s="454"/>
      <c r="C143" s="454"/>
      <c r="D143" s="450"/>
      <c r="E143" s="222">
        <f>F142</f>
        <v>259.74179594999993</v>
      </c>
      <c r="F143" s="222">
        <f>E143*15%</f>
        <v>38.961269392499986</v>
      </c>
      <c r="G143" s="217"/>
      <c r="H143" s="371"/>
      <c r="I143" s="215"/>
      <c r="J143" s="215"/>
    </row>
    <row r="144" spans="1:10">
      <c r="A144" s="578" t="s">
        <v>30</v>
      </c>
      <c r="B144" s="454"/>
      <c r="C144" s="454"/>
      <c r="D144" s="450"/>
      <c r="E144" s="225"/>
      <c r="F144" s="226">
        <f>ROUND(F142+F143,2)</f>
        <v>298.7</v>
      </c>
      <c r="G144" s="217"/>
      <c r="H144" s="371"/>
      <c r="I144" s="215"/>
      <c r="J144" s="215"/>
    </row>
    <row r="145" spans="1:10">
      <c r="A145" s="577">
        <v>1001</v>
      </c>
      <c r="B145" s="577"/>
      <c r="C145" s="576" t="s">
        <v>1493</v>
      </c>
      <c r="D145" s="454"/>
      <c r="E145" s="450"/>
      <c r="F145" s="576"/>
      <c r="G145" s="450"/>
      <c r="H145" s="373"/>
      <c r="I145" s="215"/>
      <c r="J145" s="215"/>
    </row>
    <row r="146" spans="1:10">
      <c r="A146" s="457"/>
      <c r="B146" s="457"/>
      <c r="C146" s="219" t="s">
        <v>26</v>
      </c>
      <c r="D146" s="219">
        <v>1</v>
      </c>
      <c r="E146" s="219">
        <v>806</v>
      </c>
      <c r="F146" s="219">
        <f>E146*D146</f>
        <v>806</v>
      </c>
      <c r="G146" s="219" t="s">
        <v>822</v>
      </c>
      <c r="H146" s="374"/>
      <c r="I146" s="215"/>
      <c r="J146" s="215"/>
    </row>
    <row r="147" spans="1:10">
      <c r="A147" s="577" t="s">
        <v>1181</v>
      </c>
      <c r="B147" s="577"/>
      <c r="C147" s="575" t="s">
        <v>2056</v>
      </c>
      <c r="D147" s="454"/>
      <c r="E147" s="450"/>
      <c r="F147" s="576"/>
      <c r="G147" s="450"/>
      <c r="H147" s="373"/>
      <c r="I147" s="215"/>
      <c r="J147" s="215"/>
    </row>
    <row r="148" spans="1:10">
      <c r="A148" s="457"/>
      <c r="B148" s="457"/>
      <c r="C148" s="219" t="s">
        <v>62</v>
      </c>
      <c r="D148" s="221"/>
      <c r="E148" s="221"/>
      <c r="F148" s="219">
        <f>F146*1%</f>
        <v>8.06</v>
      </c>
      <c r="G148" s="219" t="s">
        <v>2007</v>
      </c>
      <c r="H148" s="374">
        <f>F148+F138</f>
        <v>135.83974999999998</v>
      </c>
      <c r="I148" s="215"/>
      <c r="J148" s="215"/>
    </row>
    <row r="149" spans="1:10">
      <c r="A149" s="219">
        <v>14.4</v>
      </c>
      <c r="B149" s="219"/>
      <c r="C149" s="576" t="s">
        <v>2057</v>
      </c>
      <c r="D149" s="454"/>
      <c r="E149" s="450"/>
      <c r="F149" s="219"/>
      <c r="G149" s="234"/>
      <c r="H149" s="375"/>
      <c r="I149" s="215"/>
      <c r="J149" s="215"/>
    </row>
    <row r="150" spans="1:10">
      <c r="A150" s="219"/>
      <c r="B150" s="219"/>
      <c r="C150" s="219" t="s">
        <v>812</v>
      </c>
      <c r="D150" s="219">
        <v>13.13</v>
      </c>
      <c r="E150" s="219">
        <v>498.87</v>
      </c>
      <c r="F150" s="219">
        <f>D150*E150</f>
        <v>6550.1631000000007</v>
      </c>
      <c r="G150" s="219" t="s">
        <v>844</v>
      </c>
      <c r="H150" s="374"/>
      <c r="I150" s="215"/>
      <c r="J150" s="215"/>
    </row>
    <row r="151" spans="1:10">
      <c r="A151" s="574" t="s">
        <v>30</v>
      </c>
      <c r="B151" s="454"/>
      <c r="C151" s="450"/>
      <c r="D151" s="222">
        <v>50</v>
      </c>
      <c r="E151" s="222" t="s">
        <v>21</v>
      </c>
      <c r="F151" s="222">
        <f>F146+F148+F150</f>
        <v>7364.2231000000011</v>
      </c>
      <c r="G151" s="225"/>
      <c r="H151" s="376"/>
      <c r="I151" s="215"/>
      <c r="J151" s="215"/>
    </row>
    <row r="152" spans="1:10">
      <c r="A152" s="574" t="s">
        <v>826</v>
      </c>
      <c r="B152" s="454"/>
      <c r="C152" s="450"/>
      <c r="D152" s="222">
        <v>1</v>
      </c>
      <c r="E152" s="222" t="s">
        <v>21</v>
      </c>
      <c r="F152" s="222">
        <f>F151/D151</f>
        <v>147.28446200000002</v>
      </c>
      <c r="G152" s="225"/>
      <c r="H152" s="376"/>
      <c r="I152" s="215"/>
      <c r="J152" s="215"/>
    </row>
    <row r="153" spans="1:10">
      <c r="A153" s="574" t="s">
        <v>836</v>
      </c>
      <c r="B153" s="454"/>
      <c r="C153" s="454"/>
      <c r="D153" s="450"/>
      <c r="E153" s="222">
        <f>F152</f>
        <v>147.28446200000002</v>
      </c>
      <c r="F153" s="222">
        <f>E153*15%</f>
        <v>22.092669300000001</v>
      </c>
      <c r="G153" s="225"/>
      <c r="H153" s="376">
        <f>E153+E143</f>
        <v>407.02625794999994</v>
      </c>
      <c r="I153" s="215"/>
      <c r="J153" s="215"/>
    </row>
    <row r="154" spans="1:10">
      <c r="A154" s="578" t="s">
        <v>30</v>
      </c>
      <c r="B154" s="454"/>
      <c r="C154" s="454"/>
      <c r="D154" s="450"/>
      <c r="E154" s="225"/>
      <c r="F154" s="226">
        <f>ROUND(F152+F153,2)</f>
        <v>169.38</v>
      </c>
      <c r="G154" s="217"/>
      <c r="H154" s="371">
        <f>F154+F144</f>
        <v>468.08</v>
      </c>
      <c r="I154" s="215"/>
      <c r="J154" s="215"/>
    </row>
    <row r="155" spans="1:10">
      <c r="A155" s="633" t="str">
        <f>CONCATENATE("Say ₹ ",F144," + ",F154," x Cost Index")</f>
        <v>Say ₹ 298.7 + 169.38 x Cost Index</v>
      </c>
      <c r="B155" s="454"/>
      <c r="C155" s="454"/>
      <c r="D155" s="454"/>
      <c r="E155" s="454"/>
      <c r="F155" s="450"/>
      <c r="G155" s="226" t="s">
        <v>1000</v>
      </c>
      <c r="H155" s="377"/>
      <c r="I155" s="215">
        <f>((F132*1.05*1.01)+F136)*1.01*1.15/50</f>
        <v>298.7030653425</v>
      </c>
      <c r="J155" s="215">
        <f>((F146*1.01)+F150)*1.15/50</f>
        <v>169.3771313</v>
      </c>
    </row>
    <row r="156" spans="1:10">
      <c r="A156" s="571" t="s">
        <v>771</v>
      </c>
      <c r="B156" s="571" t="s">
        <v>776</v>
      </c>
      <c r="C156" s="572" t="s">
        <v>4</v>
      </c>
      <c r="D156" s="454"/>
      <c r="E156" s="450"/>
      <c r="F156" s="572" t="s">
        <v>785</v>
      </c>
      <c r="G156" s="450"/>
      <c r="H156" s="369"/>
      <c r="I156" s="215"/>
      <c r="J156" s="215"/>
    </row>
    <row r="157" spans="1:10">
      <c r="A157" s="457"/>
      <c r="B157" s="457"/>
      <c r="C157" s="216" t="s">
        <v>5</v>
      </c>
      <c r="D157" s="216" t="s">
        <v>6</v>
      </c>
      <c r="E157" s="216" t="s">
        <v>336</v>
      </c>
      <c r="F157" s="216" t="s">
        <v>8</v>
      </c>
      <c r="G157" s="216" t="s">
        <v>789</v>
      </c>
      <c r="H157" s="369"/>
      <c r="I157" s="215"/>
      <c r="J157" s="215"/>
    </row>
    <row r="158" spans="1:10">
      <c r="A158" s="573" t="s">
        <v>2092</v>
      </c>
      <c r="B158" s="454"/>
      <c r="C158" s="454"/>
      <c r="D158" s="454"/>
      <c r="E158" s="454"/>
      <c r="F158" s="454"/>
      <c r="G158" s="450"/>
      <c r="H158" s="370"/>
      <c r="I158" s="215"/>
      <c r="J158" s="215"/>
    </row>
    <row r="159" spans="1:10">
      <c r="A159" s="217"/>
      <c r="B159" s="217" t="s">
        <v>795</v>
      </c>
      <c r="C159" s="217" t="s">
        <v>21</v>
      </c>
      <c r="D159" s="217" t="s">
        <v>798</v>
      </c>
      <c r="E159" s="217">
        <v>50</v>
      </c>
      <c r="F159" s="217"/>
      <c r="G159" s="217"/>
      <c r="H159" s="371"/>
      <c r="I159" s="215"/>
      <c r="J159" s="215"/>
    </row>
    <row r="160" spans="1:10">
      <c r="A160" s="217" t="s">
        <v>800</v>
      </c>
      <c r="B160" s="574" t="s">
        <v>2051</v>
      </c>
      <c r="C160" s="454"/>
      <c r="D160" s="454"/>
      <c r="E160" s="454"/>
      <c r="F160" s="454"/>
      <c r="G160" s="450"/>
      <c r="H160" s="372"/>
      <c r="I160" s="215"/>
      <c r="J160" s="215"/>
    </row>
    <row r="161" spans="1:10">
      <c r="A161" s="574" t="s">
        <v>2052</v>
      </c>
      <c r="B161" s="454"/>
      <c r="C161" s="454"/>
      <c r="D161" s="454"/>
      <c r="E161" s="454"/>
      <c r="F161" s="454"/>
      <c r="G161" s="450"/>
      <c r="H161" s="372"/>
      <c r="I161" s="215"/>
      <c r="J161" s="215"/>
    </row>
    <row r="162" spans="1:10">
      <c r="A162" s="577"/>
      <c r="B162" s="577" t="s">
        <v>2093</v>
      </c>
      <c r="C162" s="576" t="s">
        <v>2094</v>
      </c>
      <c r="D162" s="454"/>
      <c r="E162" s="450"/>
      <c r="F162" s="576"/>
      <c r="G162" s="450"/>
      <c r="H162" s="373"/>
      <c r="I162" s="215"/>
      <c r="J162" s="215"/>
    </row>
    <row r="163" spans="1:10">
      <c r="A163" s="457"/>
      <c r="B163" s="457"/>
      <c r="C163" s="219" t="s">
        <v>21</v>
      </c>
      <c r="D163" s="219">
        <v>50</v>
      </c>
      <c r="E163" s="219">
        <v>211.86</v>
      </c>
      <c r="F163" s="219">
        <f>D163*E163</f>
        <v>10593</v>
      </c>
      <c r="G163" s="219" t="s">
        <v>808</v>
      </c>
      <c r="H163" s="374"/>
      <c r="I163" s="215"/>
      <c r="J163" s="215"/>
    </row>
    <row r="164" spans="1:10">
      <c r="A164" s="577" t="s">
        <v>1181</v>
      </c>
      <c r="B164" s="577"/>
      <c r="C164" s="576" t="s">
        <v>1999</v>
      </c>
      <c r="D164" s="454"/>
      <c r="E164" s="450"/>
      <c r="F164" s="576"/>
      <c r="G164" s="450"/>
      <c r="H164" s="373"/>
      <c r="I164" s="215"/>
      <c r="J164" s="215"/>
    </row>
    <row r="165" spans="1:10">
      <c r="A165" s="457"/>
      <c r="B165" s="457"/>
      <c r="C165" s="219" t="s">
        <v>62</v>
      </c>
      <c r="D165" s="221"/>
      <c r="E165" s="221"/>
      <c r="F165" s="219">
        <f>F163*5%</f>
        <v>529.65</v>
      </c>
      <c r="G165" s="219" t="s">
        <v>1184</v>
      </c>
      <c r="H165" s="374"/>
      <c r="I165" s="215"/>
      <c r="J165" s="215"/>
    </row>
    <row r="166" spans="1:10">
      <c r="A166" s="577"/>
      <c r="B166" s="577" t="s">
        <v>1178</v>
      </c>
      <c r="C166" s="576" t="s">
        <v>1179</v>
      </c>
      <c r="D166" s="454"/>
      <c r="E166" s="450"/>
      <c r="F166" s="576"/>
      <c r="G166" s="450"/>
      <c r="H166" s="373"/>
      <c r="I166" s="215"/>
      <c r="J166" s="215"/>
    </row>
    <row r="167" spans="1:10">
      <c r="A167" s="457"/>
      <c r="B167" s="457"/>
      <c r="C167" s="219" t="s">
        <v>26</v>
      </c>
      <c r="D167" s="219">
        <v>7</v>
      </c>
      <c r="E167" s="219">
        <v>675</v>
      </c>
      <c r="F167" s="219">
        <f>D167*E167</f>
        <v>4725</v>
      </c>
      <c r="G167" s="219" t="s">
        <v>825</v>
      </c>
      <c r="H167" s="374"/>
      <c r="I167" s="215"/>
      <c r="J167" s="215"/>
    </row>
    <row r="168" spans="1:10">
      <c r="A168" s="577" t="s">
        <v>1181</v>
      </c>
      <c r="B168" s="577"/>
      <c r="C168" s="575" t="s">
        <v>2055</v>
      </c>
      <c r="D168" s="454"/>
      <c r="E168" s="450"/>
      <c r="F168" s="576"/>
      <c r="G168" s="450"/>
      <c r="H168" s="373"/>
      <c r="I168" s="215"/>
      <c r="J168" s="215"/>
    </row>
    <row r="169" spans="1:10">
      <c r="A169" s="457"/>
      <c r="B169" s="457"/>
      <c r="C169" s="219" t="s">
        <v>62</v>
      </c>
      <c r="D169" s="221"/>
      <c r="E169" s="221"/>
      <c r="F169" s="219">
        <f>(F163+F165+F167)*1%</f>
        <v>158.47649999999999</v>
      </c>
      <c r="G169" s="219" t="s">
        <v>1218</v>
      </c>
      <c r="H169" s="374"/>
      <c r="I169" s="215"/>
      <c r="J169" s="215"/>
    </row>
    <row r="170" spans="1:10">
      <c r="A170" s="574" t="s">
        <v>30</v>
      </c>
      <c r="B170" s="454"/>
      <c r="C170" s="450"/>
      <c r="D170" s="222">
        <v>50</v>
      </c>
      <c r="E170" s="222" t="s">
        <v>21</v>
      </c>
      <c r="F170" s="222">
        <f>F163+F165+F167+F169</f>
        <v>16006.1265</v>
      </c>
      <c r="G170" s="217"/>
      <c r="H170" s="371"/>
      <c r="I170" s="215"/>
      <c r="J170" s="215"/>
    </row>
    <row r="171" spans="1:10">
      <c r="A171" s="574" t="s">
        <v>826</v>
      </c>
      <c r="B171" s="454"/>
      <c r="C171" s="450"/>
      <c r="D171" s="222">
        <v>1</v>
      </c>
      <c r="E171" s="222" t="s">
        <v>21</v>
      </c>
      <c r="F171" s="222">
        <f>F170/D170</f>
        <v>320.12252999999998</v>
      </c>
      <c r="G171" s="217"/>
      <c r="H171" s="371"/>
      <c r="I171" s="215"/>
      <c r="J171" s="215"/>
    </row>
    <row r="172" spans="1:10">
      <c r="A172" s="574" t="s">
        <v>1187</v>
      </c>
      <c r="B172" s="454"/>
      <c r="C172" s="454"/>
      <c r="D172" s="450"/>
      <c r="E172" s="224">
        <f>F163*105%*101%/D170</f>
        <v>224.67753000000002</v>
      </c>
      <c r="F172" s="222">
        <f>E172*1%</f>
        <v>2.2467753000000004</v>
      </c>
      <c r="G172" s="217"/>
      <c r="H172" s="371"/>
      <c r="I172" s="215"/>
      <c r="J172" s="215"/>
    </row>
    <row r="173" spans="1:10">
      <c r="A173" s="574" t="s">
        <v>30</v>
      </c>
      <c r="B173" s="454"/>
      <c r="C173" s="454"/>
      <c r="D173" s="450"/>
      <c r="E173" s="217"/>
      <c r="F173" s="222">
        <f>F171+F172</f>
        <v>322.36930530000001</v>
      </c>
      <c r="G173" s="217"/>
      <c r="H173" s="371"/>
      <c r="I173" s="215"/>
      <c r="J173" s="215"/>
    </row>
    <row r="174" spans="1:10">
      <c r="A174" s="574" t="s">
        <v>836</v>
      </c>
      <c r="B174" s="454"/>
      <c r="C174" s="454"/>
      <c r="D174" s="450"/>
      <c r="E174" s="222">
        <f>F173</f>
        <v>322.36930530000001</v>
      </c>
      <c r="F174" s="222">
        <f>E174*15%</f>
        <v>48.355395795</v>
      </c>
      <c r="G174" s="217"/>
      <c r="H174" s="371"/>
      <c r="I174" s="215"/>
      <c r="J174" s="215"/>
    </row>
    <row r="175" spans="1:10">
      <c r="A175" s="578" t="s">
        <v>30</v>
      </c>
      <c r="B175" s="454"/>
      <c r="C175" s="454"/>
      <c r="D175" s="450"/>
      <c r="E175" s="225"/>
      <c r="F175" s="226">
        <f>ROUND(F173+F174,2)</f>
        <v>370.72</v>
      </c>
      <c r="G175" s="217"/>
      <c r="H175" s="371"/>
      <c r="I175" s="215"/>
      <c r="J175" s="215"/>
    </row>
    <row r="176" spans="1:10">
      <c r="A176" s="577">
        <v>1001</v>
      </c>
      <c r="B176" s="577"/>
      <c r="C176" s="576" t="s">
        <v>1493</v>
      </c>
      <c r="D176" s="454"/>
      <c r="E176" s="450"/>
      <c r="F176" s="576"/>
      <c r="G176" s="450"/>
      <c r="H176" s="373"/>
      <c r="I176" s="215"/>
      <c r="J176" s="215"/>
    </row>
    <row r="177" spans="1:10">
      <c r="A177" s="457"/>
      <c r="B177" s="457"/>
      <c r="C177" s="219" t="s">
        <v>26</v>
      </c>
      <c r="D177" s="219">
        <v>1</v>
      </c>
      <c r="E177" s="219">
        <v>806</v>
      </c>
      <c r="F177" s="219">
        <f>E177*D177</f>
        <v>806</v>
      </c>
      <c r="G177" s="219" t="s">
        <v>822</v>
      </c>
      <c r="H177" s="374"/>
      <c r="I177" s="215"/>
      <c r="J177" s="215"/>
    </row>
    <row r="178" spans="1:10">
      <c r="A178" s="577" t="s">
        <v>1181</v>
      </c>
      <c r="B178" s="577"/>
      <c r="C178" s="575" t="s">
        <v>2056</v>
      </c>
      <c r="D178" s="454"/>
      <c r="E178" s="450"/>
      <c r="F178" s="576"/>
      <c r="G178" s="450"/>
      <c r="H178" s="373"/>
      <c r="I178" s="215"/>
      <c r="J178" s="215"/>
    </row>
    <row r="179" spans="1:10">
      <c r="A179" s="457"/>
      <c r="B179" s="457"/>
      <c r="C179" s="219" t="s">
        <v>62</v>
      </c>
      <c r="D179" s="221"/>
      <c r="E179" s="221"/>
      <c r="F179" s="219">
        <f>F177*1%</f>
        <v>8.06</v>
      </c>
      <c r="G179" s="219" t="s">
        <v>2007</v>
      </c>
      <c r="H179" s="374">
        <f>F179+F169</f>
        <v>166.53649999999999</v>
      </c>
      <c r="I179" s="215"/>
      <c r="J179" s="215"/>
    </row>
    <row r="180" spans="1:10">
      <c r="A180" s="219">
        <v>14.4</v>
      </c>
      <c r="B180" s="219"/>
      <c r="C180" s="576" t="s">
        <v>2057</v>
      </c>
      <c r="D180" s="454"/>
      <c r="E180" s="450"/>
      <c r="F180" s="219"/>
      <c r="G180" s="234"/>
      <c r="H180" s="375"/>
      <c r="I180" s="215"/>
      <c r="J180" s="215"/>
    </row>
    <row r="181" spans="1:10">
      <c r="A181" s="219"/>
      <c r="B181" s="219"/>
      <c r="C181" s="219" t="s">
        <v>812</v>
      </c>
      <c r="D181" s="219">
        <v>13.13</v>
      </c>
      <c r="E181" s="219">
        <v>498.87</v>
      </c>
      <c r="F181" s="219">
        <f>D181*E181</f>
        <v>6550.1631000000007</v>
      </c>
      <c r="G181" s="219" t="s">
        <v>844</v>
      </c>
      <c r="H181" s="374"/>
      <c r="I181" s="215"/>
      <c r="J181" s="215"/>
    </row>
    <row r="182" spans="1:10">
      <c r="A182" s="574" t="s">
        <v>30</v>
      </c>
      <c r="B182" s="454"/>
      <c r="C182" s="450"/>
      <c r="D182" s="222">
        <v>50</v>
      </c>
      <c r="E182" s="222" t="s">
        <v>21</v>
      </c>
      <c r="F182" s="222">
        <f>F177+F179+F181</f>
        <v>7364.2231000000011</v>
      </c>
      <c r="G182" s="225"/>
      <c r="H182" s="376"/>
      <c r="I182" s="215"/>
      <c r="J182" s="215"/>
    </row>
    <row r="183" spans="1:10">
      <c r="A183" s="574" t="s">
        <v>826</v>
      </c>
      <c r="B183" s="454"/>
      <c r="C183" s="450"/>
      <c r="D183" s="222">
        <v>1</v>
      </c>
      <c r="E183" s="222" t="s">
        <v>21</v>
      </c>
      <c r="F183" s="222">
        <f>F182/D182</f>
        <v>147.28446200000002</v>
      </c>
      <c r="G183" s="225"/>
      <c r="H183" s="376"/>
      <c r="I183" s="215"/>
      <c r="J183" s="215"/>
    </row>
    <row r="184" spans="1:10">
      <c r="A184" s="574" t="s">
        <v>836</v>
      </c>
      <c r="B184" s="454"/>
      <c r="C184" s="454"/>
      <c r="D184" s="450"/>
      <c r="E184" s="222">
        <f>F183</f>
        <v>147.28446200000002</v>
      </c>
      <c r="F184" s="222">
        <f>E184*15%</f>
        <v>22.092669300000001</v>
      </c>
      <c r="G184" s="225"/>
      <c r="H184" s="376">
        <f>E184+E174</f>
        <v>469.65376730000003</v>
      </c>
      <c r="I184" s="215"/>
      <c r="J184" s="215"/>
    </row>
    <row r="185" spans="1:10">
      <c r="A185" s="578" t="s">
        <v>30</v>
      </c>
      <c r="B185" s="454"/>
      <c r="C185" s="454"/>
      <c r="D185" s="450"/>
      <c r="E185" s="225"/>
      <c r="F185" s="226">
        <f>ROUND(F183+F184,2)</f>
        <v>169.38</v>
      </c>
      <c r="G185" s="217"/>
      <c r="H185" s="371">
        <f>F185+F175</f>
        <v>540.1</v>
      </c>
      <c r="I185" s="215"/>
      <c r="J185" s="215"/>
    </row>
    <row r="186" spans="1:10">
      <c r="A186" s="633" t="str">
        <f>CONCATENATE("Say ₹ ",F175," + ",F185," x Cost Index")</f>
        <v>Say ₹ 370.72 + 169.38 x Cost Index</v>
      </c>
      <c r="B186" s="454"/>
      <c r="C186" s="454"/>
      <c r="D186" s="454"/>
      <c r="E186" s="454"/>
      <c r="F186" s="450"/>
      <c r="G186" s="226" t="s">
        <v>1000</v>
      </c>
      <c r="H186" s="377"/>
      <c r="I186" s="215">
        <f>((F163*1.05*1.01)+F167)*1.01*1.15/50</f>
        <v>370.724701095</v>
      </c>
      <c r="J186" s="215">
        <f>((F177*1.01)+F181)*1.15/50</f>
        <v>169.3771313</v>
      </c>
    </row>
    <row r="187" spans="1:10">
      <c r="A187" s="571" t="s">
        <v>771</v>
      </c>
      <c r="B187" s="571" t="s">
        <v>776</v>
      </c>
      <c r="C187" s="572" t="s">
        <v>4</v>
      </c>
      <c r="D187" s="454"/>
      <c r="E187" s="450"/>
      <c r="F187" s="572" t="s">
        <v>785</v>
      </c>
      <c r="G187" s="450"/>
      <c r="H187" s="369"/>
      <c r="I187" s="215"/>
      <c r="J187" s="215"/>
    </row>
    <row r="188" spans="1:10">
      <c r="A188" s="457"/>
      <c r="B188" s="457"/>
      <c r="C188" s="216" t="s">
        <v>5</v>
      </c>
      <c r="D188" s="216" t="s">
        <v>6</v>
      </c>
      <c r="E188" s="216" t="s">
        <v>336</v>
      </c>
      <c r="F188" s="216" t="s">
        <v>8</v>
      </c>
      <c r="G188" s="216" t="s">
        <v>789</v>
      </c>
      <c r="H188" s="369"/>
      <c r="I188" s="215"/>
      <c r="J188" s="215"/>
    </row>
    <row r="189" spans="1:10">
      <c r="A189" s="573" t="s">
        <v>2101</v>
      </c>
      <c r="B189" s="454"/>
      <c r="C189" s="454"/>
      <c r="D189" s="454"/>
      <c r="E189" s="454"/>
      <c r="F189" s="454"/>
      <c r="G189" s="450"/>
      <c r="H189" s="370"/>
      <c r="I189" s="215"/>
      <c r="J189" s="215"/>
    </row>
    <row r="190" spans="1:10">
      <c r="A190" s="217"/>
      <c r="B190" s="217" t="s">
        <v>795</v>
      </c>
      <c r="C190" s="217" t="s">
        <v>21</v>
      </c>
      <c r="D190" s="217" t="s">
        <v>798</v>
      </c>
      <c r="E190" s="217">
        <v>50</v>
      </c>
      <c r="F190" s="217"/>
      <c r="G190" s="217"/>
      <c r="H190" s="371"/>
      <c r="I190" s="215"/>
      <c r="J190" s="215"/>
    </row>
    <row r="191" spans="1:10">
      <c r="A191" s="217" t="s">
        <v>800</v>
      </c>
      <c r="B191" s="574" t="s">
        <v>2051</v>
      </c>
      <c r="C191" s="454"/>
      <c r="D191" s="454"/>
      <c r="E191" s="454"/>
      <c r="F191" s="454"/>
      <c r="G191" s="450"/>
      <c r="H191" s="372"/>
      <c r="I191" s="215"/>
      <c r="J191" s="215"/>
    </row>
    <row r="192" spans="1:10">
      <c r="A192" s="574" t="s">
        <v>2052</v>
      </c>
      <c r="B192" s="454"/>
      <c r="C192" s="454"/>
      <c r="D192" s="454"/>
      <c r="E192" s="454"/>
      <c r="F192" s="454"/>
      <c r="G192" s="450"/>
      <c r="H192" s="372"/>
      <c r="I192" s="215"/>
      <c r="J192" s="215"/>
    </row>
    <row r="193" spans="1:10">
      <c r="A193" s="577"/>
      <c r="B193" s="577" t="s">
        <v>2102</v>
      </c>
      <c r="C193" s="576" t="s">
        <v>2103</v>
      </c>
      <c r="D193" s="454"/>
      <c r="E193" s="450"/>
      <c r="F193" s="576"/>
      <c r="G193" s="450"/>
      <c r="H193" s="373"/>
      <c r="I193" s="215"/>
      <c r="J193" s="215"/>
    </row>
    <row r="194" spans="1:10">
      <c r="A194" s="457"/>
      <c r="B194" s="457"/>
      <c r="C194" s="219" t="s">
        <v>21</v>
      </c>
      <c r="D194" s="219">
        <v>50</v>
      </c>
      <c r="E194" s="219">
        <v>329.66</v>
      </c>
      <c r="F194" s="219">
        <f>D194*E194</f>
        <v>16483</v>
      </c>
      <c r="G194" s="219" t="s">
        <v>808</v>
      </c>
      <c r="H194" s="374"/>
      <c r="I194" s="215"/>
      <c r="J194" s="215"/>
    </row>
    <row r="195" spans="1:10">
      <c r="A195" s="577" t="s">
        <v>1181</v>
      </c>
      <c r="B195" s="577"/>
      <c r="C195" s="576" t="s">
        <v>1999</v>
      </c>
      <c r="D195" s="454"/>
      <c r="E195" s="450"/>
      <c r="F195" s="576"/>
      <c r="G195" s="450"/>
      <c r="H195" s="373"/>
      <c r="I195" s="215"/>
      <c r="J195" s="215"/>
    </row>
    <row r="196" spans="1:10">
      <c r="A196" s="457"/>
      <c r="B196" s="457"/>
      <c r="C196" s="219" t="s">
        <v>62</v>
      </c>
      <c r="D196" s="221"/>
      <c r="E196" s="221"/>
      <c r="F196" s="219">
        <f>F194*5%</f>
        <v>824.15000000000009</v>
      </c>
      <c r="G196" s="219" t="s">
        <v>1184</v>
      </c>
      <c r="H196" s="374"/>
      <c r="I196" s="215"/>
      <c r="J196" s="215"/>
    </row>
    <row r="197" spans="1:10">
      <c r="A197" s="577"/>
      <c r="B197" s="577" t="s">
        <v>1178</v>
      </c>
      <c r="C197" s="576" t="s">
        <v>1179</v>
      </c>
      <c r="D197" s="454"/>
      <c r="E197" s="450"/>
      <c r="F197" s="576"/>
      <c r="G197" s="450"/>
      <c r="H197" s="373"/>
      <c r="I197" s="215"/>
      <c r="J197" s="215"/>
    </row>
    <row r="198" spans="1:10">
      <c r="A198" s="457"/>
      <c r="B198" s="457"/>
      <c r="C198" s="219" t="s">
        <v>26</v>
      </c>
      <c r="D198" s="219">
        <v>7</v>
      </c>
      <c r="E198" s="219">
        <v>675</v>
      </c>
      <c r="F198" s="219">
        <f>D198*E198</f>
        <v>4725</v>
      </c>
      <c r="G198" s="219" t="s">
        <v>825</v>
      </c>
      <c r="H198" s="374"/>
      <c r="I198" s="215"/>
      <c r="J198" s="215"/>
    </row>
    <row r="199" spans="1:10">
      <c r="A199" s="577" t="s">
        <v>1181</v>
      </c>
      <c r="B199" s="577"/>
      <c r="C199" s="575" t="s">
        <v>2055</v>
      </c>
      <c r="D199" s="454"/>
      <c r="E199" s="450"/>
      <c r="F199" s="576"/>
      <c r="G199" s="450"/>
      <c r="H199" s="373"/>
      <c r="I199" s="215"/>
      <c r="J199" s="215"/>
    </row>
    <row r="200" spans="1:10">
      <c r="A200" s="457"/>
      <c r="B200" s="457"/>
      <c r="C200" s="219" t="s">
        <v>62</v>
      </c>
      <c r="D200" s="221"/>
      <c r="E200" s="221"/>
      <c r="F200" s="219">
        <f>(F194+F196+F198)*1%</f>
        <v>220.32150000000001</v>
      </c>
      <c r="G200" s="219" t="s">
        <v>1218</v>
      </c>
      <c r="H200" s="374"/>
      <c r="I200" s="215"/>
      <c r="J200" s="215"/>
    </row>
    <row r="201" spans="1:10">
      <c r="A201" s="574" t="s">
        <v>30</v>
      </c>
      <c r="B201" s="454"/>
      <c r="C201" s="450"/>
      <c r="D201" s="222">
        <v>50</v>
      </c>
      <c r="E201" s="222" t="s">
        <v>21</v>
      </c>
      <c r="F201" s="222">
        <f>F194+F196+F198+F200</f>
        <v>22252.4715</v>
      </c>
      <c r="G201" s="217"/>
      <c r="H201" s="371"/>
      <c r="I201" s="215"/>
      <c r="J201" s="215"/>
    </row>
    <row r="202" spans="1:10">
      <c r="A202" s="574" t="s">
        <v>826</v>
      </c>
      <c r="B202" s="454"/>
      <c r="C202" s="450"/>
      <c r="D202" s="222">
        <v>1</v>
      </c>
      <c r="E202" s="222" t="s">
        <v>21</v>
      </c>
      <c r="F202" s="222">
        <f>F201/D201</f>
        <v>445.04942999999997</v>
      </c>
      <c r="G202" s="217"/>
      <c r="H202" s="371"/>
      <c r="I202" s="215"/>
      <c r="J202" s="215"/>
    </row>
    <row r="203" spans="1:10">
      <c r="A203" s="574" t="s">
        <v>1187</v>
      </c>
      <c r="B203" s="454"/>
      <c r="C203" s="454"/>
      <c r="D203" s="450"/>
      <c r="E203" s="224">
        <f>F194*105%*101%/D201</f>
        <v>349.60443000000009</v>
      </c>
      <c r="F203" s="222">
        <f>E203*1%</f>
        <v>3.4960443000000012</v>
      </c>
      <c r="G203" s="217"/>
      <c r="H203" s="371"/>
      <c r="I203" s="215"/>
      <c r="J203" s="215"/>
    </row>
    <row r="204" spans="1:10">
      <c r="A204" s="574" t="s">
        <v>30</v>
      </c>
      <c r="B204" s="454"/>
      <c r="C204" s="454"/>
      <c r="D204" s="450"/>
      <c r="E204" s="217"/>
      <c r="F204" s="222">
        <f>F202+F203</f>
        <v>448.54547429999997</v>
      </c>
      <c r="G204" s="217"/>
      <c r="H204" s="371"/>
      <c r="I204" s="215"/>
      <c r="J204" s="215"/>
    </row>
    <row r="205" spans="1:10">
      <c r="A205" s="574" t="s">
        <v>836</v>
      </c>
      <c r="B205" s="454"/>
      <c r="C205" s="454"/>
      <c r="D205" s="450"/>
      <c r="E205" s="222">
        <f>F204</f>
        <v>448.54547429999997</v>
      </c>
      <c r="F205" s="222">
        <f>E205*15%</f>
        <v>67.281821144999995</v>
      </c>
      <c r="G205" s="217"/>
      <c r="H205" s="371"/>
      <c r="I205" s="215"/>
      <c r="J205" s="215"/>
    </row>
    <row r="206" spans="1:10">
      <c r="A206" s="578" t="s">
        <v>30</v>
      </c>
      <c r="B206" s="454"/>
      <c r="C206" s="454"/>
      <c r="D206" s="450"/>
      <c r="E206" s="225"/>
      <c r="F206" s="226">
        <f>ROUND(F204+F205,2)</f>
        <v>515.83000000000004</v>
      </c>
      <c r="G206" s="217"/>
      <c r="H206" s="371"/>
      <c r="I206" s="215"/>
      <c r="J206" s="215"/>
    </row>
    <row r="207" spans="1:10">
      <c r="A207" s="577">
        <v>1001</v>
      </c>
      <c r="B207" s="577"/>
      <c r="C207" s="576" t="s">
        <v>1493</v>
      </c>
      <c r="D207" s="454"/>
      <c r="E207" s="450"/>
      <c r="F207" s="576"/>
      <c r="G207" s="450"/>
      <c r="H207" s="373"/>
      <c r="I207" s="215"/>
      <c r="J207" s="215"/>
    </row>
    <row r="208" spans="1:10">
      <c r="A208" s="457"/>
      <c r="B208" s="457"/>
      <c r="C208" s="219" t="s">
        <v>26</v>
      </c>
      <c r="D208" s="219">
        <v>1</v>
      </c>
      <c r="E208" s="219">
        <v>806</v>
      </c>
      <c r="F208" s="219">
        <f>E208*D208</f>
        <v>806</v>
      </c>
      <c r="G208" s="219" t="s">
        <v>822</v>
      </c>
      <c r="H208" s="374"/>
      <c r="I208" s="215"/>
      <c r="J208" s="215"/>
    </row>
    <row r="209" spans="1:10">
      <c r="A209" s="577" t="s">
        <v>1181</v>
      </c>
      <c r="B209" s="577"/>
      <c r="C209" s="575" t="s">
        <v>2056</v>
      </c>
      <c r="D209" s="454"/>
      <c r="E209" s="450"/>
      <c r="F209" s="576"/>
      <c r="G209" s="450"/>
      <c r="H209" s="373"/>
      <c r="I209" s="215"/>
      <c r="J209" s="215"/>
    </row>
    <row r="210" spans="1:10">
      <c r="A210" s="457"/>
      <c r="B210" s="457"/>
      <c r="C210" s="219" t="s">
        <v>62</v>
      </c>
      <c r="D210" s="221"/>
      <c r="E210" s="221"/>
      <c r="F210" s="219">
        <f>F208*1%</f>
        <v>8.06</v>
      </c>
      <c r="G210" s="219" t="s">
        <v>2007</v>
      </c>
      <c r="H210" s="374">
        <f>F210+F200</f>
        <v>228.38150000000002</v>
      </c>
      <c r="I210" s="215"/>
      <c r="J210" s="215"/>
    </row>
    <row r="211" spans="1:10">
      <c r="A211" s="219">
        <v>14.4</v>
      </c>
      <c r="B211" s="219"/>
      <c r="C211" s="576" t="s">
        <v>2057</v>
      </c>
      <c r="D211" s="454"/>
      <c r="E211" s="450"/>
      <c r="F211" s="219"/>
      <c r="G211" s="234"/>
      <c r="H211" s="375"/>
      <c r="I211" s="215"/>
      <c r="J211" s="215"/>
    </row>
    <row r="212" spans="1:10">
      <c r="A212" s="219"/>
      <c r="B212" s="219"/>
      <c r="C212" s="219" t="s">
        <v>812</v>
      </c>
      <c r="D212" s="219">
        <v>13.13</v>
      </c>
      <c r="E212" s="219">
        <v>498.87</v>
      </c>
      <c r="F212" s="219">
        <f>D212*E212</f>
        <v>6550.1631000000007</v>
      </c>
      <c r="G212" s="219" t="s">
        <v>844</v>
      </c>
      <c r="H212" s="374"/>
      <c r="I212" s="215"/>
      <c r="J212" s="215"/>
    </row>
    <row r="213" spans="1:10">
      <c r="A213" s="574" t="s">
        <v>30</v>
      </c>
      <c r="B213" s="454"/>
      <c r="C213" s="450"/>
      <c r="D213" s="222">
        <v>50</v>
      </c>
      <c r="E213" s="222" t="s">
        <v>21</v>
      </c>
      <c r="F213" s="222">
        <f>F208+F210+F212</f>
        <v>7364.2231000000011</v>
      </c>
      <c r="G213" s="225"/>
      <c r="H213" s="376"/>
      <c r="I213" s="215"/>
      <c r="J213" s="215"/>
    </row>
    <row r="214" spans="1:10">
      <c r="A214" s="574" t="s">
        <v>826</v>
      </c>
      <c r="B214" s="454"/>
      <c r="C214" s="450"/>
      <c r="D214" s="222">
        <v>1</v>
      </c>
      <c r="E214" s="222" t="s">
        <v>21</v>
      </c>
      <c r="F214" s="222">
        <f>F213/D213</f>
        <v>147.28446200000002</v>
      </c>
      <c r="G214" s="225"/>
      <c r="H214" s="376"/>
      <c r="I214" s="215"/>
      <c r="J214" s="215"/>
    </row>
    <row r="215" spans="1:10">
      <c r="A215" s="574" t="s">
        <v>836</v>
      </c>
      <c r="B215" s="454"/>
      <c r="C215" s="454"/>
      <c r="D215" s="450"/>
      <c r="E215" s="222">
        <f>F214</f>
        <v>147.28446200000002</v>
      </c>
      <c r="F215" s="222">
        <f>E215*15%</f>
        <v>22.092669300000001</v>
      </c>
      <c r="G215" s="225"/>
      <c r="H215" s="376">
        <f>E215+E205</f>
        <v>595.82993629999999</v>
      </c>
      <c r="I215" s="215"/>
      <c r="J215" s="215"/>
    </row>
    <row r="216" spans="1:10">
      <c r="A216" s="578" t="s">
        <v>30</v>
      </c>
      <c r="B216" s="454"/>
      <c r="C216" s="454"/>
      <c r="D216" s="450"/>
      <c r="E216" s="225"/>
      <c r="F216" s="226">
        <f>ROUND(F214+F215,2)</f>
        <v>169.38</v>
      </c>
      <c r="G216" s="217"/>
      <c r="H216" s="371">
        <f>F216+F206</f>
        <v>685.21</v>
      </c>
      <c r="I216" s="215"/>
      <c r="J216" s="215"/>
    </row>
    <row r="217" spans="1:10">
      <c r="A217" s="633" t="str">
        <f>CONCATENATE("Say ₹ ",F206," + ",F216," x Cost Index")</f>
        <v>Say ₹ 515.83 + 169.38 x Cost Index</v>
      </c>
      <c r="B217" s="454"/>
      <c r="C217" s="454"/>
      <c r="D217" s="454"/>
      <c r="E217" s="454"/>
      <c r="F217" s="450"/>
      <c r="G217" s="226" t="s">
        <v>1000</v>
      </c>
      <c r="H217" s="377"/>
      <c r="I217" s="215">
        <f>((F194*1.05*1.01)+F198)*1.01*1.15/50</f>
        <v>515.827295445</v>
      </c>
      <c r="J217" s="215">
        <f>((F208*1.01)+F212)*1.15/50</f>
        <v>169.3771313</v>
      </c>
    </row>
    <row r="218" spans="1:10">
      <c r="A218" s="571" t="s">
        <v>771</v>
      </c>
      <c r="B218" s="571" t="s">
        <v>776</v>
      </c>
      <c r="C218" s="572" t="s">
        <v>4</v>
      </c>
      <c r="D218" s="454"/>
      <c r="E218" s="450"/>
      <c r="F218" s="572" t="s">
        <v>785</v>
      </c>
      <c r="G218" s="450"/>
      <c r="H218" s="369"/>
      <c r="I218" s="215"/>
      <c r="J218" s="215"/>
    </row>
    <row r="219" spans="1:10">
      <c r="A219" s="457"/>
      <c r="B219" s="457"/>
      <c r="C219" s="216" t="s">
        <v>5</v>
      </c>
      <c r="D219" s="216" t="s">
        <v>6</v>
      </c>
      <c r="E219" s="216" t="s">
        <v>336</v>
      </c>
      <c r="F219" s="216" t="s">
        <v>8</v>
      </c>
      <c r="G219" s="216" t="s">
        <v>789</v>
      </c>
      <c r="H219" s="369"/>
      <c r="I219" s="215"/>
      <c r="J219" s="215"/>
    </row>
    <row r="220" spans="1:10">
      <c r="A220" s="573" t="s">
        <v>2107</v>
      </c>
      <c r="B220" s="454"/>
      <c r="C220" s="454"/>
      <c r="D220" s="454"/>
      <c r="E220" s="454"/>
      <c r="F220" s="454"/>
      <c r="G220" s="450"/>
      <c r="H220" s="370"/>
      <c r="I220" s="215"/>
      <c r="J220" s="215"/>
    </row>
    <row r="221" spans="1:10">
      <c r="A221" s="217"/>
      <c r="B221" s="217" t="s">
        <v>795</v>
      </c>
      <c r="C221" s="217" t="s">
        <v>21</v>
      </c>
      <c r="D221" s="217" t="s">
        <v>798</v>
      </c>
      <c r="E221" s="217">
        <v>50</v>
      </c>
      <c r="F221" s="217"/>
      <c r="G221" s="217"/>
      <c r="H221" s="371"/>
      <c r="I221" s="215"/>
      <c r="J221" s="215"/>
    </row>
    <row r="222" spans="1:10">
      <c r="A222" s="217" t="s">
        <v>800</v>
      </c>
      <c r="B222" s="574" t="s">
        <v>2051</v>
      </c>
      <c r="C222" s="454"/>
      <c r="D222" s="454"/>
      <c r="E222" s="454"/>
      <c r="F222" s="454"/>
      <c r="G222" s="450"/>
      <c r="H222" s="372"/>
      <c r="I222" s="215"/>
      <c r="J222" s="215"/>
    </row>
    <row r="223" spans="1:10">
      <c r="A223" s="574" t="s">
        <v>2052</v>
      </c>
      <c r="B223" s="454"/>
      <c r="C223" s="454"/>
      <c r="D223" s="454"/>
      <c r="E223" s="454"/>
      <c r="F223" s="454"/>
      <c r="G223" s="450"/>
      <c r="H223" s="372"/>
      <c r="I223" s="215"/>
      <c r="J223" s="215"/>
    </row>
    <row r="224" spans="1:10">
      <c r="A224" s="577"/>
      <c r="B224" s="577" t="s">
        <v>2109</v>
      </c>
      <c r="C224" s="576" t="s">
        <v>2110</v>
      </c>
      <c r="D224" s="454"/>
      <c r="E224" s="450"/>
      <c r="F224" s="576"/>
      <c r="G224" s="450"/>
      <c r="H224" s="373"/>
      <c r="I224" s="215"/>
      <c r="J224" s="215"/>
    </row>
    <row r="225" spans="1:10">
      <c r="A225" s="457"/>
      <c r="B225" s="457"/>
      <c r="C225" s="219" t="s">
        <v>21</v>
      </c>
      <c r="D225" s="219">
        <v>50</v>
      </c>
      <c r="E225" s="219">
        <v>466.95</v>
      </c>
      <c r="F225" s="219">
        <f>D225*E225</f>
        <v>23347.5</v>
      </c>
      <c r="G225" s="219" t="s">
        <v>808</v>
      </c>
      <c r="H225" s="374"/>
      <c r="I225" s="215"/>
      <c r="J225" s="215"/>
    </row>
    <row r="226" spans="1:10">
      <c r="A226" s="577" t="s">
        <v>1181</v>
      </c>
      <c r="B226" s="577"/>
      <c r="C226" s="576" t="s">
        <v>1999</v>
      </c>
      <c r="D226" s="454"/>
      <c r="E226" s="450"/>
      <c r="F226" s="576"/>
      <c r="G226" s="450"/>
      <c r="H226" s="373"/>
      <c r="I226" s="215"/>
      <c r="J226" s="215"/>
    </row>
    <row r="227" spans="1:10">
      <c r="A227" s="457"/>
      <c r="B227" s="457"/>
      <c r="C227" s="219" t="s">
        <v>62</v>
      </c>
      <c r="D227" s="221"/>
      <c r="E227" s="221"/>
      <c r="F227" s="219">
        <f>F225*5%</f>
        <v>1167.375</v>
      </c>
      <c r="G227" s="219" t="s">
        <v>1184</v>
      </c>
      <c r="H227" s="374"/>
      <c r="I227" s="215"/>
      <c r="J227" s="215"/>
    </row>
    <row r="228" spans="1:10">
      <c r="A228" s="577"/>
      <c r="B228" s="577" t="s">
        <v>1178</v>
      </c>
      <c r="C228" s="576" t="s">
        <v>1179</v>
      </c>
      <c r="D228" s="454"/>
      <c r="E228" s="450"/>
      <c r="F228" s="576"/>
      <c r="G228" s="450"/>
      <c r="H228" s="373"/>
      <c r="I228" s="215"/>
      <c r="J228" s="215"/>
    </row>
    <row r="229" spans="1:10">
      <c r="A229" s="457"/>
      <c r="B229" s="457"/>
      <c r="C229" s="219" t="s">
        <v>26</v>
      </c>
      <c r="D229" s="219">
        <v>7</v>
      </c>
      <c r="E229" s="219">
        <v>675</v>
      </c>
      <c r="F229" s="219">
        <f>D229*E229</f>
        <v>4725</v>
      </c>
      <c r="G229" s="219" t="s">
        <v>825</v>
      </c>
      <c r="H229" s="374"/>
      <c r="I229" s="215"/>
      <c r="J229" s="215"/>
    </row>
    <row r="230" spans="1:10">
      <c r="A230" s="577" t="s">
        <v>1181</v>
      </c>
      <c r="B230" s="577"/>
      <c r="C230" s="575" t="s">
        <v>2055</v>
      </c>
      <c r="D230" s="454"/>
      <c r="E230" s="450"/>
      <c r="F230" s="576"/>
      <c r="G230" s="450"/>
      <c r="H230" s="373"/>
      <c r="I230" s="215"/>
      <c r="J230" s="215"/>
    </row>
    <row r="231" spans="1:10">
      <c r="A231" s="457"/>
      <c r="B231" s="457"/>
      <c r="C231" s="219" t="s">
        <v>62</v>
      </c>
      <c r="D231" s="221"/>
      <c r="E231" s="221"/>
      <c r="F231" s="219">
        <f>(F225+F227+F229)*1%</f>
        <v>292.39875000000001</v>
      </c>
      <c r="G231" s="219" t="s">
        <v>1218</v>
      </c>
      <c r="H231" s="374"/>
      <c r="I231" s="215"/>
      <c r="J231" s="215"/>
    </row>
    <row r="232" spans="1:10">
      <c r="A232" s="574" t="s">
        <v>30</v>
      </c>
      <c r="B232" s="454"/>
      <c r="C232" s="450"/>
      <c r="D232" s="222">
        <v>50</v>
      </c>
      <c r="E232" s="222" t="s">
        <v>21</v>
      </c>
      <c r="F232" s="222">
        <f>F225+F227+F229+F231</f>
        <v>29532.27375</v>
      </c>
      <c r="G232" s="217"/>
      <c r="H232" s="371"/>
      <c r="I232" s="215"/>
      <c r="J232" s="215"/>
    </row>
    <row r="233" spans="1:10">
      <c r="A233" s="574" t="s">
        <v>826</v>
      </c>
      <c r="B233" s="454"/>
      <c r="C233" s="450"/>
      <c r="D233" s="222">
        <v>1</v>
      </c>
      <c r="E233" s="222" t="s">
        <v>21</v>
      </c>
      <c r="F233" s="222">
        <f>F232/D232</f>
        <v>590.64547500000003</v>
      </c>
      <c r="G233" s="217"/>
      <c r="H233" s="371"/>
      <c r="I233" s="215"/>
      <c r="J233" s="215"/>
    </row>
    <row r="234" spans="1:10">
      <c r="A234" s="574" t="s">
        <v>1187</v>
      </c>
      <c r="B234" s="454"/>
      <c r="C234" s="454"/>
      <c r="D234" s="450"/>
      <c r="E234" s="224">
        <f>F225*105%*101%/D232</f>
        <v>495.20047499999998</v>
      </c>
      <c r="F234" s="222">
        <f>E234*1%</f>
        <v>4.9520047499999995</v>
      </c>
      <c r="G234" s="217"/>
      <c r="H234" s="371"/>
      <c r="I234" s="215"/>
      <c r="J234" s="215"/>
    </row>
    <row r="235" spans="1:10">
      <c r="A235" s="574" t="s">
        <v>30</v>
      </c>
      <c r="B235" s="454"/>
      <c r="C235" s="454"/>
      <c r="D235" s="450"/>
      <c r="E235" s="217"/>
      <c r="F235" s="222">
        <f>F233+F234</f>
        <v>595.59747975000005</v>
      </c>
      <c r="G235" s="217"/>
      <c r="H235" s="371"/>
      <c r="I235" s="215"/>
      <c r="J235" s="215"/>
    </row>
    <row r="236" spans="1:10">
      <c r="A236" s="574" t="s">
        <v>836</v>
      </c>
      <c r="B236" s="454"/>
      <c r="C236" s="454"/>
      <c r="D236" s="450"/>
      <c r="E236" s="222">
        <f>F235</f>
        <v>595.59747975000005</v>
      </c>
      <c r="F236" s="222">
        <f>E236*15%</f>
        <v>89.339621962500004</v>
      </c>
      <c r="G236" s="217"/>
      <c r="H236" s="371"/>
      <c r="I236" s="215"/>
      <c r="J236" s="215"/>
    </row>
    <row r="237" spans="1:10">
      <c r="A237" s="578" t="s">
        <v>30</v>
      </c>
      <c r="B237" s="454"/>
      <c r="C237" s="454"/>
      <c r="D237" s="450"/>
      <c r="E237" s="225"/>
      <c r="F237" s="226">
        <f>ROUND(F235+F236,2)</f>
        <v>684.94</v>
      </c>
      <c r="G237" s="217"/>
      <c r="H237" s="371"/>
      <c r="I237" s="215"/>
      <c r="J237" s="215"/>
    </row>
    <row r="238" spans="1:10">
      <c r="A238" s="577">
        <v>1001</v>
      </c>
      <c r="B238" s="577"/>
      <c r="C238" s="576" t="s">
        <v>1493</v>
      </c>
      <c r="D238" s="454"/>
      <c r="E238" s="450"/>
      <c r="F238" s="576"/>
      <c r="G238" s="450"/>
      <c r="H238" s="373"/>
      <c r="I238" s="215"/>
      <c r="J238" s="215"/>
    </row>
    <row r="239" spans="1:10">
      <c r="A239" s="457"/>
      <c r="B239" s="457"/>
      <c r="C239" s="219" t="s">
        <v>26</v>
      </c>
      <c r="D239" s="219">
        <v>1</v>
      </c>
      <c r="E239" s="219">
        <v>806</v>
      </c>
      <c r="F239" s="219">
        <f>E239*D239</f>
        <v>806</v>
      </c>
      <c r="G239" s="219" t="s">
        <v>822</v>
      </c>
      <c r="H239" s="374"/>
      <c r="I239" s="215"/>
      <c r="J239" s="215"/>
    </row>
    <row r="240" spans="1:10">
      <c r="A240" s="577" t="s">
        <v>1181</v>
      </c>
      <c r="B240" s="577"/>
      <c r="C240" s="575" t="s">
        <v>2056</v>
      </c>
      <c r="D240" s="454"/>
      <c r="E240" s="450"/>
      <c r="F240" s="576"/>
      <c r="G240" s="450"/>
      <c r="H240" s="373"/>
      <c r="I240" s="215"/>
      <c r="J240" s="215"/>
    </row>
    <row r="241" spans="1:10">
      <c r="A241" s="457"/>
      <c r="B241" s="457"/>
      <c r="C241" s="219" t="s">
        <v>62</v>
      </c>
      <c r="D241" s="221"/>
      <c r="E241" s="221"/>
      <c r="F241" s="219">
        <f>F239*1%</f>
        <v>8.06</v>
      </c>
      <c r="G241" s="219" t="s">
        <v>2007</v>
      </c>
      <c r="H241" s="374">
        <f>F241+F231</f>
        <v>300.45875000000001</v>
      </c>
      <c r="I241" s="215"/>
      <c r="J241" s="215"/>
    </row>
    <row r="242" spans="1:10">
      <c r="A242" s="219">
        <v>14.4</v>
      </c>
      <c r="B242" s="219"/>
      <c r="C242" s="576" t="s">
        <v>2057</v>
      </c>
      <c r="D242" s="454"/>
      <c r="E242" s="450"/>
      <c r="F242" s="219"/>
      <c r="G242" s="234"/>
      <c r="H242" s="375"/>
      <c r="I242" s="215"/>
      <c r="J242" s="215"/>
    </row>
    <row r="243" spans="1:10">
      <c r="A243" s="219"/>
      <c r="B243" s="219"/>
      <c r="C243" s="219" t="s">
        <v>812</v>
      </c>
      <c r="D243" s="219">
        <v>13.13</v>
      </c>
      <c r="E243" s="219">
        <v>498.87</v>
      </c>
      <c r="F243" s="219">
        <f>D243*E243</f>
        <v>6550.1631000000007</v>
      </c>
      <c r="G243" s="219" t="s">
        <v>844</v>
      </c>
      <c r="H243" s="374"/>
      <c r="I243" s="215"/>
      <c r="J243" s="215"/>
    </row>
    <row r="244" spans="1:10">
      <c r="A244" s="574" t="s">
        <v>30</v>
      </c>
      <c r="B244" s="454"/>
      <c r="C244" s="450"/>
      <c r="D244" s="222">
        <v>50</v>
      </c>
      <c r="E244" s="222" t="s">
        <v>21</v>
      </c>
      <c r="F244" s="222">
        <f>F239+F241+F243</f>
        <v>7364.2231000000011</v>
      </c>
      <c r="G244" s="225"/>
      <c r="H244" s="376"/>
      <c r="I244" s="215"/>
      <c r="J244" s="215"/>
    </row>
    <row r="245" spans="1:10">
      <c r="A245" s="574" t="s">
        <v>826</v>
      </c>
      <c r="B245" s="454"/>
      <c r="C245" s="450"/>
      <c r="D245" s="222">
        <v>1</v>
      </c>
      <c r="E245" s="222" t="s">
        <v>21</v>
      </c>
      <c r="F245" s="222">
        <f>F244/D244</f>
        <v>147.28446200000002</v>
      </c>
      <c r="G245" s="225"/>
      <c r="H245" s="376"/>
      <c r="I245" s="215"/>
      <c r="J245" s="215"/>
    </row>
    <row r="246" spans="1:10">
      <c r="A246" s="574" t="s">
        <v>836</v>
      </c>
      <c r="B246" s="454"/>
      <c r="C246" s="454"/>
      <c r="D246" s="450"/>
      <c r="E246" s="222">
        <f>F245</f>
        <v>147.28446200000002</v>
      </c>
      <c r="F246" s="222">
        <f>E246*15%</f>
        <v>22.092669300000001</v>
      </c>
      <c r="G246" s="225"/>
      <c r="H246" s="376">
        <f>E246+E236</f>
        <v>742.88194175000012</v>
      </c>
      <c r="I246" s="215"/>
      <c r="J246" s="215"/>
    </row>
    <row r="247" spans="1:10">
      <c r="A247" s="578" t="s">
        <v>30</v>
      </c>
      <c r="B247" s="454"/>
      <c r="C247" s="454"/>
      <c r="D247" s="450"/>
      <c r="E247" s="225"/>
      <c r="F247" s="226">
        <f>ROUND(F245+F246,2)</f>
        <v>169.38</v>
      </c>
      <c r="G247" s="217"/>
      <c r="H247" s="371">
        <f>F247+F237</f>
        <v>854.32</v>
      </c>
      <c r="I247" s="215"/>
      <c r="J247" s="215"/>
    </row>
    <row r="248" spans="1:10">
      <c r="A248" s="634" t="str">
        <f>CONCATENATE("Say ₹ ",F237," + ",F247," x Cost Index")</f>
        <v>Say ₹ 684.94 + 169.38 x Cost Index</v>
      </c>
      <c r="B248" s="444"/>
      <c r="C248" s="444"/>
      <c r="D248" s="444"/>
      <c r="E248" s="444"/>
      <c r="F248" s="445"/>
      <c r="G248" s="382" t="s">
        <v>1000</v>
      </c>
      <c r="H248" s="377"/>
      <c r="I248" s="215">
        <f>((F225*1.05*1.01)+F229)*1.01*1.15/50</f>
        <v>684.93710171249984</v>
      </c>
      <c r="J248" s="215">
        <f>((F239*1.01)+F243)*1.15/50</f>
        <v>169.3771313</v>
      </c>
    </row>
    <row r="249" spans="1:10">
      <c r="A249" s="571" t="s">
        <v>771</v>
      </c>
      <c r="B249" s="571" t="s">
        <v>776</v>
      </c>
      <c r="C249" s="572" t="s">
        <v>4</v>
      </c>
      <c r="D249" s="454"/>
      <c r="E249" s="450"/>
      <c r="F249" s="572" t="s">
        <v>785</v>
      </c>
      <c r="G249" s="450"/>
      <c r="H249" s="369"/>
      <c r="I249" s="215"/>
      <c r="J249" s="215"/>
    </row>
    <row r="250" spans="1:10">
      <c r="A250" s="457"/>
      <c r="B250" s="457"/>
      <c r="C250" s="216" t="s">
        <v>5</v>
      </c>
      <c r="D250" s="216" t="s">
        <v>6</v>
      </c>
      <c r="E250" s="216" t="s">
        <v>336</v>
      </c>
      <c r="F250" s="216" t="s">
        <v>8</v>
      </c>
      <c r="G250" s="216" t="s">
        <v>789</v>
      </c>
      <c r="H250" s="369"/>
      <c r="I250" s="215"/>
      <c r="J250" s="215"/>
    </row>
    <row r="251" spans="1:10">
      <c r="A251" s="573" t="s">
        <v>2115</v>
      </c>
      <c r="B251" s="454"/>
      <c r="C251" s="454"/>
      <c r="D251" s="454"/>
      <c r="E251" s="454"/>
      <c r="F251" s="454"/>
      <c r="G251" s="450"/>
      <c r="H251" s="370"/>
      <c r="I251" s="215"/>
      <c r="J251" s="215"/>
    </row>
    <row r="252" spans="1:10">
      <c r="A252" s="217"/>
      <c r="B252" s="217" t="s">
        <v>795</v>
      </c>
      <c r="C252" s="217" t="s">
        <v>21</v>
      </c>
      <c r="D252" s="217" t="s">
        <v>798</v>
      </c>
      <c r="E252" s="217">
        <v>50</v>
      </c>
      <c r="F252" s="217"/>
      <c r="G252" s="217"/>
      <c r="H252" s="371"/>
      <c r="I252" s="215"/>
      <c r="J252" s="215"/>
    </row>
    <row r="253" spans="1:10">
      <c r="A253" s="217" t="s">
        <v>800</v>
      </c>
      <c r="B253" s="574" t="s">
        <v>2051</v>
      </c>
      <c r="C253" s="454"/>
      <c r="D253" s="454"/>
      <c r="E253" s="454"/>
      <c r="F253" s="454"/>
      <c r="G253" s="450"/>
      <c r="H253" s="372"/>
      <c r="I253" s="215"/>
      <c r="J253" s="215"/>
    </row>
    <row r="254" spans="1:10">
      <c r="A254" s="574" t="s">
        <v>2052</v>
      </c>
      <c r="B254" s="454"/>
      <c r="C254" s="454"/>
      <c r="D254" s="454"/>
      <c r="E254" s="454"/>
      <c r="F254" s="454"/>
      <c r="G254" s="450"/>
      <c r="H254" s="372"/>
      <c r="I254" s="215"/>
      <c r="J254" s="215"/>
    </row>
    <row r="255" spans="1:10">
      <c r="A255" s="577"/>
      <c r="B255" s="577" t="s">
        <v>2116</v>
      </c>
      <c r="C255" s="576" t="s">
        <v>2117</v>
      </c>
      <c r="D255" s="454"/>
      <c r="E255" s="450"/>
      <c r="F255" s="576"/>
      <c r="G255" s="450"/>
      <c r="H255" s="373"/>
      <c r="I255" s="215"/>
      <c r="J255" s="215"/>
    </row>
    <row r="256" spans="1:10">
      <c r="A256" s="457"/>
      <c r="B256" s="457"/>
      <c r="C256" s="219" t="s">
        <v>21</v>
      </c>
      <c r="D256" s="219">
        <v>50</v>
      </c>
      <c r="E256" s="219">
        <v>425.42</v>
      </c>
      <c r="F256" s="219">
        <f>D256*E256</f>
        <v>21271</v>
      </c>
      <c r="G256" s="219" t="s">
        <v>808</v>
      </c>
      <c r="H256" s="374"/>
      <c r="I256" s="215"/>
      <c r="J256" s="215"/>
    </row>
    <row r="257" spans="1:10">
      <c r="A257" s="577" t="s">
        <v>1181</v>
      </c>
      <c r="B257" s="577"/>
      <c r="C257" s="576" t="s">
        <v>1999</v>
      </c>
      <c r="D257" s="454"/>
      <c r="E257" s="450"/>
      <c r="F257" s="576"/>
      <c r="G257" s="450"/>
      <c r="H257" s="373"/>
      <c r="I257" s="215"/>
      <c r="J257" s="215"/>
    </row>
    <row r="258" spans="1:10">
      <c r="A258" s="457"/>
      <c r="B258" s="457"/>
      <c r="C258" s="219" t="s">
        <v>62</v>
      </c>
      <c r="D258" s="221"/>
      <c r="E258" s="221"/>
      <c r="F258" s="219">
        <f>F256*5%</f>
        <v>1063.55</v>
      </c>
      <c r="G258" s="219" t="s">
        <v>1184</v>
      </c>
      <c r="H258" s="374"/>
      <c r="I258" s="215"/>
      <c r="J258" s="215"/>
    </row>
    <row r="259" spans="1:10">
      <c r="A259" s="577"/>
      <c r="B259" s="577" t="s">
        <v>1178</v>
      </c>
      <c r="C259" s="576" t="s">
        <v>1179</v>
      </c>
      <c r="D259" s="454"/>
      <c r="E259" s="450"/>
      <c r="F259" s="576"/>
      <c r="G259" s="450"/>
      <c r="H259" s="373"/>
      <c r="I259" s="215"/>
      <c r="J259" s="215"/>
    </row>
    <row r="260" spans="1:10">
      <c r="A260" s="457"/>
      <c r="B260" s="457"/>
      <c r="C260" s="219" t="s">
        <v>26</v>
      </c>
      <c r="D260" s="219">
        <v>7</v>
      </c>
      <c r="E260" s="219">
        <v>675</v>
      </c>
      <c r="F260" s="219">
        <f>D260*E260</f>
        <v>4725</v>
      </c>
      <c r="G260" s="219" t="s">
        <v>825</v>
      </c>
      <c r="H260" s="374"/>
      <c r="I260" s="215"/>
      <c r="J260" s="215"/>
    </row>
    <row r="261" spans="1:10">
      <c r="A261" s="577" t="s">
        <v>1181</v>
      </c>
      <c r="B261" s="577"/>
      <c r="C261" s="575" t="s">
        <v>2055</v>
      </c>
      <c r="D261" s="454"/>
      <c r="E261" s="450"/>
      <c r="F261" s="576"/>
      <c r="G261" s="450"/>
      <c r="H261" s="373"/>
      <c r="I261" s="215"/>
      <c r="J261" s="215"/>
    </row>
    <row r="262" spans="1:10">
      <c r="A262" s="457"/>
      <c r="B262" s="457"/>
      <c r="C262" s="219" t="s">
        <v>62</v>
      </c>
      <c r="D262" s="221"/>
      <c r="E262" s="221"/>
      <c r="F262" s="219">
        <f>(F256+F258+F260)*1%</f>
        <v>270.59550000000002</v>
      </c>
      <c r="G262" s="219" t="s">
        <v>1218</v>
      </c>
      <c r="H262" s="374"/>
      <c r="I262" s="215"/>
      <c r="J262" s="215"/>
    </row>
    <row r="263" spans="1:10">
      <c r="A263" s="574" t="s">
        <v>30</v>
      </c>
      <c r="B263" s="454"/>
      <c r="C263" s="450"/>
      <c r="D263" s="222">
        <v>50</v>
      </c>
      <c r="E263" s="222" t="s">
        <v>21</v>
      </c>
      <c r="F263" s="222">
        <f>F256+F258+F260+F262</f>
        <v>27330.145499999999</v>
      </c>
      <c r="G263" s="217"/>
      <c r="H263" s="371"/>
      <c r="I263" s="215"/>
      <c r="J263" s="215"/>
    </row>
    <row r="264" spans="1:10">
      <c r="A264" s="574" t="s">
        <v>826</v>
      </c>
      <c r="B264" s="454"/>
      <c r="C264" s="450"/>
      <c r="D264" s="222">
        <v>1</v>
      </c>
      <c r="E264" s="222" t="s">
        <v>21</v>
      </c>
      <c r="F264" s="222">
        <f>F263/D263</f>
        <v>546.60290999999995</v>
      </c>
      <c r="G264" s="217"/>
      <c r="H264" s="371"/>
      <c r="I264" s="215"/>
      <c r="J264" s="215"/>
    </row>
    <row r="265" spans="1:10">
      <c r="A265" s="574" t="s">
        <v>1187</v>
      </c>
      <c r="B265" s="454"/>
      <c r="C265" s="454"/>
      <c r="D265" s="450"/>
      <c r="E265" s="224">
        <f>F256*105%*101%/D263</f>
        <v>451.15790999999996</v>
      </c>
      <c r="F265" s="222">
        <f>E265*1%</f>
        <v>4.5115790999999996</v>
      </c>
      <c r="G265" s="217"/>
      <c r="H265" s="371"/>
      <c r="I265" s="215"/>
      <c r="J265" s="215"/>
    </row>
    <row r="266" spans="1:10">
      <c r="A266" s="574" t="s">
        <v>30</v>
      </c>
      <c r="B266" s="454"/>
      <c r="C266" s="454"/>
      <c r="D266" s="450"/>
      <c r="E266" s="217"/>
      <c r="F266" s="222">
        <f>F264+F265</f>
        <v>551.1144890999999</v>
      </c>
      <c r="G266" s="217"/>
      <c r="H266" s="371"/>
      <c r="I266" s="215"/>
      <c r="J266" s="215"/>
    </row>
    <row r="267" spans="1:10">
      <c r="A267" s="574" t="s">
        <v>836</v>
      </c>
      <c r="B267" s="454"/>
      <c r="C267" s="454"/>
      <c r="D267" s="450"/>
      <c r="E267" s="222">
        <f>F266</f>
        <v>551.1144890999999</v>
      </c>
      <c r="F267" s="222">
        <f>E267*15%</f>
        <v>82.667173364999982</v>
      </c>
      <c r="G267" s="217"/>
      <c r="H267" s="371"/>
      <c r="I267" s="215"/>
      <c r="J267" s="215"/>
    </row>
    <row r="268" spans="1:10">
      <c r="A268" s="578" t="s">
        <v>30</v>
      </c>
      <c r="B268" s="454"/>
      <c r="C268" s="454"/>
      <c r="D268" s="450"/>
      <c r="E268" s="225"/>
      <c r="F268" s="226">
        <f>ROUND(F266+F267,2)</f>
        <v>633.78</v>
      </c>
      <c r="G268" s="217"/>
      <c r="H268" s="371"/>
      <c r="I268" s="215"/>
      <c r="J268" s="215"/>
    </row>
    <row r="269" spans="1:10">
      <c r="A269" s="577">
        <v>1001</v>
      </c>
      <c r="B269" s="577"/>
      <c r="C269" s="576" t="s">
        <v>1493</v>
      </c>
      <c r="D269" s="454"/>
      <c r="E269" s="450"/>
      <c r="F269" s="576"/>
      <c r="G269" s="450"/>
      <c r="H269" s="373"/>
      <c r="I269" s="215"/>
      <c r="J269" s="215"/>
    </row>
    <row r="270" spans="1:10">
      <c r="A270" s="457"/>
      <c r="B270" s="457"/>
      <c r="C270" s="219" t="s">
        <v>26</v>
      </c>
      <c r="D270" s="219">
        <v>1</v>
      </c>
      <c r="E270" s="219">
        <v>806</v>
      </c>
      <c r="F270" s="219">
        <f>E270*D270</f>
        <v>806</v>
      </c>
      <c r="G270" s="219" t="s">
        <v>822</v>
      </c>
      <c r="H270" s="374"/>
      <c r="I270" s="215"/>
      <c r="J270" s="215"/>
    </row>
    <row r="271" spans="1:10">
      <c r="A271" s="577" t="s">
        <v>1181</v>
      </c>
      <c r="B271" s="577"/>
      <c r="C271" s="575" t="s">
        <v>2056</v>
      </c>
      <c r="D271" s="454"/>
      <c r="E271" s="450"/>
      <c r="F271" s="576"/>
      <c r="G271" s="450"/>
      <c r="H271" s="373"/>
      <c r="I271" s="215"/>
      <c r="J271" s="215"/>
    </row>
    <row r="272" spans="1:10">
      <c r="A272" s="457"/>
      <c r="B272" s="457"/>
      <c r="C272" s="219" t="s">
        <v>62</v>
      </c>
      <c r="D272" s="221"/>
      <c r="E272" s="221"/>
      <c r="F272" s="219">
        <f>F270*1%</f>
        <v>8.06</v>
      </c>
      <c r="G272" s="219" t="s">
        <v>2007</v>
      </c>
      <c r="H272" s="374">
        <f>F272+F262</f>
        <v>278.65550000000002</v>
      </c>
      <c r="I272" s="215"/>
      <c r="J272" s="215"/>
    </row>
    <row r="273" spans="1:10">
      <c r="A273" s="219">
        <v>14.4</v>
      </c>
      <c r="B273" s="219"/>
      <c r="C273" s="576" t="s">
        <v>2057</v>
      </c>
      <c r="D273" s="454"/>
      <c r="E273" s="450"/>
      <c r="F273" s="219"/>
      <c r="G273" s="234"/>
      <c r="H273" s="375"/>
      <c r="I273" s="215"/>
      <c r="J273" s="215"/>
    </row>
    <row r="274" spans="1:10">
      <c r="A274" s="219"/>
      <c r="B274" s="219"/>
      <c r="C274" s="219" t="s">
        <v>812</v>
      </c>
      <c r="D274" s="219">
        <v>13.13</v>
      </c>
      <c r="E274" s="219">
        <v>498.87</v>
      </c>
      <c r="F274" s="219">
        <f>D274*E274</f>
        <v>6550.1631000000007</v>
      </c>
      <c r="G274" s="219" t="s">
        <v>844</v>
      </c>
      <c r="H274" s="374"/>
      <c r="I274" s="215"/>
      <c r="J274" s="215"/>
    </row>
    <row r="275" spans="1:10">
      <c r="A275" s="574" t="s">
        <v>30</v>
      </c>
      <c r="B275" s="454"/>
      <c r="C275" s="450"/>
      <c r="D275" s="222">
        <v>50</v>
      </c>
      <c r="E275" s="222" t="s">
        <v>21</v>
      </c>
      <c r="F275" s="222">
        <f>F270+F272+F274</f>
        <v>7364.2231000000011</v>
      </c>
      <c r="G275" s="225"/>
      <c r="H275" s="376"/>
      <c r="I275" s="215"/>
      <c r="J275" s="215"/>
    </row>
    <row r="276" spans="1:10">
      <c r="A276" s="574" t="s">
        <v>826</v>
      </c>
      <c r="B276" s="454"/>
      <c r="C276" s="450"/>
      <c r="D276" s="222">
        <v>1</v>
      </c>
      <c r="E276" s="222" t="s">
        <v>21</v>
      </c>
      <c r="F276" s="222">
        <f>F275/D275</f>
        <v>147.28446200000002</v>
      </c>
      <c r="G276" s="225"/>
      <c r="H276" s="376"/>
      <c r="I276" s="215"/>
      <c r="J276" s="215"/>
    </row>
    <row r="277" spans="1:10">
      <c r="A277" s="574" t="s">
        <v>836</v>
      </c>
      <c r="B277" s="454"/>
      <c r="C277" s="454"/>
      <c r="D277" s="450"/>
      <c r="E277" s="222">
        <f>F276</f>
        <v>147.28446200000002</v>
      </c>
      <c r="F277" s="222">
        <f>E277*15%</f>
        <v>22.092669300000001</v>
      </c>
      <c r="G277" s="225"/>
      <c r="H277" s="376">
        <f>E277+E267</f>
        <v>698.39895109999998</v>
      </c>
      <c r="I277" s="215"/>
      <c r="J277" s="215"/>
    </row>
    <row r="278" spans="1:10">
      <c r="A278" s="578" t="s">
        <v>30</v>
      </c>
      <c r="B278" s="454"/>
      <c r="C278" s="454"/>
      <c r="D278" s="450"/>
      <c r="E278" s="225"/>
      <c r="F278" s="226">
        <f>ROUND(F276+F277,2)</f>
        <v>169.38</v>
      </c>
      <c r="G278" s="217"/>
      <c r="H278" s="371">
        <f>F278+F268</f>
        <v>803.16</v>
      </c>
      <c r="I278" s="215"/>
      <c r="J278" s="215"/>
    </row>
    <row r="279" spans="1:10">
      <c r="A279" s="633" t="str">
        <f>CONCATENATE("Say ₹ ",F268," + ",F278," x Cost Index")</f>
        <v>Say ₹ 633.78 + 169.38 x Cost Index</v>
      </c>
      <c r="B279" s="454"/>
      <c r="C279" s="454"/>
      <c r="D279" s="454"/>
      <c r="E279" s="454"/>
      <c r="F279" s="450"/>
      <c r="G279" s="226" t="s">
        <v>1000</v>
      </c>
      <c r="H279" s="377"/>
      <c r="I279" s="215">
        <f>((F256*1.05*1.01)+F260)*1.01*1.15/50</f>
        <v>633.78166246499995</v>
      </c>
      <c r="J279" s="215">
        <f>((F270*1.01)+F274)*1.15/50</f>
        <v>169.3771313</v>
      </c>
    </row>
  </sheetData>
  <mergeCells count="387">
    <mergeCell ref="A232:C232"/>
    <mergeCell ref="A233:C233"/>
    <mergeCell ref="A234:D234"/>
    <mergeCell ref="A235:D235"/>
    <mergeCell ref="A199:A200"/>
    <mergeCell ref="B199:B200"/>
    <mergeCell ref="C199:E199"/>
    <mergeCell ref="F199:G199"/>
    <mergeCell ref="A201:C201"/>
    <mergeCell ref="A202:C202"/>
    <mergeCell ref="A203:D203"/>
    <mergeCell ref="A228:A229"/>
    <mergeCell ref="A230:A231"/>
    <mergeCell ref="B230:B231"/>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C180:E180"/>
    <mergeCell ref="A182:C182"/>
    <mergeCell ref="A183:C183"/>
    <mergeCell ref="A184:D184"/>
    <mergeCell ref="A185:D185"/>
    <mergeCell ref="C193:E193"/>
    <mergeCell ref="F193:G193"/>
    <mergeCell ref="C195:E195"/>
    <mergeCell ref="F195:G195"/>
    <mergeCell ref="A174:D174"/>
    <mergeCell ref="A175:D175"/>
    <mergeCell ref="A176:A177"/>
    <mergeCell ref="B176:B177"/>
    <mergeCell ref="C176:E176"/>
    <mergeCell ref="F176:G176"/>
    <mergeCell ref="A178:A179"/>
    <mergeCell ref="F178:G178"/>
    <mergeCell ref="B178:B179"/>
    <mergeCell ref="C178:E178"/>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216:D216"/>
    <mergeCell ref="A217:F217"/>
    <mergeCell ref="A218:A219"/>
    <mergeCell ref="B218:B219"/>
    <mergeCell ref="C218:E218"/>
    <mergeCell ref="F218:G218"/>
    <mergeCell ref="A220:G220"/>
    <mergeCell ref="B222:G222"/>
    <mergeCell ref="A223:G223"/>
    <mergeCell ref="F207:G207"/>
    <mergeCell ref="A209:A210"/>
    <mergeCell ref="B209:B210"/>
    <mergeCell ref="C209:E209"/>
    <mergeCell ref="F209:G209"/>
    <mergeCell ref="C211:E211"/>
    <mergeCell ref="A213:C213"/>
    <mergeCell ref="A214:C214"/>
    <mergeCell ref="A215:D215"/>
    <mergeCell ref="A137:A138"/>
    <mergeCell ref="B137:B138"/>
    <mergeCell ref="C137:E137"/>
    <mergeCell ref="F137:G137"/>
    <mergeCell ref="A139:C139"/>
    <mergeCell ref="A140:C140"/>
    <mergeCell ref="A141:D141"/>
    <mergeCell ref="A166:A167"/>
    <mergeCell ref="A168:A169"/>
    <mergeCell ref="B168:B169"/>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C149:E149"/>
    <mergeCell ref="A151:C151"/>
    <mergeCell ref="A152:C152"/>
    <mergeCell ref="A266:D266"/>
    <mergeCell ref="A267:D267"/>
    <mergeCell ref="A268:D268"/>
    <mergeCell ref="A269:A270"/>
    <mergeCell ref="B269:B270"/>
    <mergeCell ref="C269:E269"/>
    <mergeCell ref="A261:A262"/>
    <mergeCell ref="B261:B262"/>
    <mergeCell ref="C261:E261"/>
    <mergeCell ref="B164:B165"/>
    <mergeCell ref="C164:E164"/>
    <mergeCell ref="A170:C170"/>
    <mergeCell ref="A171:C171"/>
    <mergeCell ref="A172:D172"/>
    <mergeCell ref="A173:D173"/>
    <mergeCell ref="A204:D204"/>
    <mergeCell ref="A205:D205"/>
    <mergeCell ref="A206:D206"/>
    <mergeCell ref="A207:A208"/>
    <mergeCell ref="B207:B208"/>
    <mergeCell ref="C207:E207"/>
    <mergeCell ref="A144:D144"/>
    <mergeCell ref="A145:A146"/>
    <mergeCell ref="B145:B146"/>
    <mergeCell ref="C145:E145"/>
    <mergeCell ref="F145:G145"/>
    <mergeCell ref="A147:A148"/>
    <mergeCell ref="B147:B148"/>
    <mergeCell ref="C147:E147"/>
    <mergeCell ref="F147:G147"/>
    <mergeCell ref="A102:A103"/>
    <mergeCell ref="B102:B103"/>
    <mergeCell ref="C102:E102"/>
    <mergeCell ref="F102:G102"/>
    <mergeCell ref="B104:B105"/>
    <mergeCell ref="C104:E104"/>
    <mergeCell ref="F104:G104"/>
    <mergeCell ref="A142:D142"/>
    <mergeCell ref="A143:D143"/>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42:A43"/>
    <mergeCell ref="A44:A45"/>
    <mergeCell ref="B44:B45"/>
    <mergeCell ref="A46:C46"/>
    <mergeCell ref="A47:C47"/>
    <mergeCell ref="A48:D48"/>
    <mergeCell ref="A49:D49"/>
    <mergeCell ref="A80:D80"/>
    <mergeCell ref="A81:D81"/>
    <mergeCell ref="C23:E23"/>
    <mergeCell ref="F23:G23"/>
    <mergeCell ref="C25:E25"/>
    <mergeCell ref="A17:D17"/>
    <mergeCell ref="A18:D18"/>
    <mergeCell ref="A19:D19"/>
    <mergeCell ref="A20:D20"/>
    <mergeCell ref="B21:B22"/>
    <mergeCell ref="C21:E21"/>
    <mergeCell ref="F21:G21"/>
    <mergeCell ref="C9:E9"/>
    <mergeCell ref="F9:G9"/>
    <mergeCell ref="A9:A10"/>
    <mergeCell ref="A11:A12"/>
    <mergeCell ref="B11:B12"/>
    <mergeCell ref="A13:A14"/>
    <mergeCell ref="B13:B14"/>
    <mergeCell ref="A15:C15"/>
    <mergeCell ref="A16:C16"/>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A75:A76"/>
    <mergeCell ref="B75:B76"/>
    <mergeCell ref="C75:E75"/>
    <mergeCell ref="F75:G75"/>
    <mergeCell ref="A77:C77"/>
    <mergeCell ref="A78:C78"/>
    <mergeCell ref="A79:D79"/>
    <mergeCell ref="A104:A105"/>
    <mergeCell ref="A106:A107"/>
    <mergeCell ref="B106:B107"/>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A91:D91"/>
    <mergeCell ref="A92:D92"/>
    <mergeCell ref="A93:F93"/>
    <mergeCell ref="A94:A95"/>
    <mergeCell ref="B94:B95"/>
    <mergeCell ref="C94:E94"/>
    <mergeCell ref="F94:G94"/>
    <mergeCell ref="A96:G96"/>
    <mergeCell ref="B98:G98"/>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2"/>
  <sheetViews>
    <sheetView workbookViewId="0"/>
  </sheetViews>
  <sheetFormatPr defaultColWidth="14.453125" defaultRowHeight="15" customHeight="1"/>
  <cols>
    <col min="8" max="8" width="9.08984375" hidden="1" customWidth="1"/>
    <col min="9" max="9" width="6.453125" hidden="1" customWidth="1"/>
  </cols>
  <sheetData>
    <row r="1" spans="1:9">
      <c r="A1" s="486" t="s">
        <v>771</v>
      </c>
      <c r="B1" s="486" t="s">
        <v>776</v>
      </c>
      <c r="C1" s="487" t="s">
        <v>4</v>
      </c>
      <c r="D1" s="454"/>
      <c r="E1" s="450"/>
      <c r="F1" s="487" t="s">
        <v>785</v>
      </c>
      <c r="G1" s="450"/>
      <c r="H1" s="381"/>
      <c r="I1" s="381"/>
    </row>
    <row r="2" spans="1:9">
      <c r="A2" s="457"/>
      <c r="B2" s="457"/>
      <c r="C2" s="62" t="s">
        <v>5</v>
      </c>
      <c r="D2" s="62" t="s">
        <v>6</v>
      </c>
      <c r="E2" s="62" t="s">
        <v>336</v>
      </c>
      <c r="F2" s="62" t="s">
        <v>8</v>
      </c>
      <c r="G2" s="62" t="s">
        <v>789</v>
      </c>
      <c r="H2" s="381"/>
      <c r="I2" s="381"/>
    </row>
    <row r="3" spans="1:9">
      <c r="A3" s="489" t="s">
        <v>2108</v>
      </c>
      <c r="B3" s="454"/>
      <c r="C3" s="454"/>
      <c r="D3" s="454"/>
      <c r="E3" s="454"/>
      <c r="F3" s="454"/>
      <c r="G3" s="450"/>
      <c r="H3" s="381"/>
      <c r="I3" s="381"/>
    </row>
    <row r="4" spans="1:9">
      <c r="A4" s="65"/>
      <c r="B4" s="66" t="s">
        <v>795</v>
      </c>
      <c r="C4" s="66" t="s">
        <v>1107</v>
      </c>
      <c r="D4" s="66" t="s">
        <v>798</v>
      </c>
      <c r="E4" s="67">
        <v>1</v>
      </c>
      <c r="F4" s="484"/>
      <c r="G4" s="450"/>
      <c r="H4" s="381"/>
      <c r="I4" s="381"/>
    </row>
    <row r="5" spans="1:9">
      <c r="A5" s="66" t="s">
        <v>800</v>
      </c>
      <c r="B5" s="484" t="s">
        <v>1609</v>
      </c>
      <c r="C5" s="454"/>
      <c r="D5" s="454"/>
      <c r="E5" s="454"/>
      <c r="F5" s="454"/>
      <c r="G5" s="450"/>
      <c r="H5" s="381"/>
      <c r="I5" s="381"/>
    </row>
    <row r="6" spans="1:9">
      <c r="A6" s="490" t="s">
        <v>802</v>
      </c>
      <c r="B6" s="454"/>
      <c r="C6" s="454"/>
      <c r="D6" s="454"/>
      <c r="E6" s="454"/>
      <c r="F6" s="450"/>
      <c r="G6" s="68" t="s">
        <v>803</v>
      </c>
      <c r="H6" s="381"/>
      <c r="I6" s="381"/>
    </row>
    <row r="7" spans="1:9">
      <c r="A7" s="491"/>
      <c r="B7" s="491" t="s">
        <v>2111</v>
      </c>
      <c r="C7" s="484" t="s">
        <v>2112</v>
      </c>
      <c r="D7" s="454"/>
      <c r="E7" s="450"/>
      <c r="F7" s="484"/>
      <c r="G7" s="450"/>
      <c r="H7" s="381"/>
      <c r="I7" s="381"/>
    </row>
    <row r="8" spans="1:9">
      <c r="A8" s="457"/>
      <c r="B8" s="457"/>
      <c r="C8" s="66" t="s">
        <v>46</v>
      </c>
      <c r="D8" s="67">
        <v>1</v>
      </c>
      <c r="E8" s="67">
        <f t="array" ref="E8">IFERROR(INDEX(LMRRates,MATCH(B7,LMRCodes,0), ), )</f>
        <v>875</v>
      </c>
      <c r="F8" s="67">
        <f>D8*E8</f>
        <v>875</v>
      </c>
      <c r="G8" s="66" t="s">
        <v>808</v>
      </c>
      <c r="H8" s="381"/>
      <c r="I8" s="381"/>
    </row>
    <row r="9" spans="1:9">
      <c r="A9" s="492" t="s">
        <v>1105</v>
      </c>
      <c r="B9" s="454"/>
      <c r="C9" s="450"/>
      <c r="D9" s="67">
        <v>1</v>
      </c>
      <c r="E9" s="70" t="s">
        <v>1107</v>
      </c>
      <c r="F9" s="67">
        <f>F8</f>
        <v>875</v>
      </c>
      <c r="G9" s="66"/>
      <c r="H9" s="381"/>
      <c r="I9" s="381"/>
    </row>
    <row r="10" spans="1:9">
      <c r="A10" s="492" t="s">
        <v>826</v>
      </c>
      <c r="B10" s="454"/>
      <c r="C10" s="450"/>
      <c r="D10" s="67">
        <v>1</v>
      </c>
      <c r="E10" s="70" t="s">
        <v>1107</v>
      </c>
      <c r="F10" s="67">
        <f>F9/D9</f>
        <v>875</v>
      </c>
      <c r="G10" s="66"/>
      <c r="H10" s="381"/>
      <c r="I10" s="381"/>
    </row>
    <row r="11" spans="1:9">
      <c r="A11" s="493" t="s">
        <v>829</v>
      </c>
      <c r="B11" s="454"/>
      <c r="C11" s="454"/>
      <c r="D11" s="450"/>
      <c r="E11" s="67"/>
      <c r="F11" s="67">
        <f>F10*1%</f>
        <v>8.75</v>
      </c>
      <c r="G11" s="66"/>
      <c r="H11" s="381"/>
      <c r="I11" s="381"/>
    </row>
    <row r="12" spans="1:9">
      <c r="A12" s="493" t="s">
        <v>30</v>
      </c>
      <c r="B12" s="454"/>
      <c r="C12" s="454"/>
      <c r="D12" s="450"/>
      <c r="E12" s="71"/>
      <c r="F12" s="67">
        <f>F11+F10</f>
        <v>883.75</v>
      </c>
      <c r="G12" s="66"/>
      <c r="H12" s="381"/>
      <c r="I12" s="381"/>
    </row>
    <row r="13" spans="1:9">
      <c r="A13" s="493" t="s">
        <v>836</v>
      </c>
      <c r="B13" s="454"/>
      <c r="C13" s="454"/>
      <c r="D13" s="450"/>
      <c r="E13" s="67"/>
      <c r="F13" s="67">
        <f>F12*15%</f>
        <v>132.5625</v>
      </c>
      <c r="G13" s="66"/>
      <c r="H13" s="381"/>
      <c r="I13" s="381"/>
    </row>
    <row r="14" spans="1:9">
      <c r="A14" s="493" t="s">
        <v>30</v>
      </c>
      <c r="B14" s="454"/>
      <c r="C14" s="454"/>
      <c r="D14" s="450"/>
      <c r="E14" s="71"/>
      <c r="F14" s="191">
        <f>ROUND(F13+F12,2)</f>
        <v>1016.31</v>
      </c>
      <c r="G14" s="66"/>
      <c r="H14" s="381"/>
      <c r="I14" s="381"/>
    </row>
    <row r="15" spans="1:9">
      <c r="A15" s="490" t="s">
        <v>847</v>
      </c>
      <c r="B15" s="454"/>
      <c r="C15" s="454"/>
      <c r="D15" s="454"/>
      <c r="E15" s="454"/>
      <c r="F15" s="450"/>
      <c r="G15" s="68" t="s">
        <v>820</v>
      </c>
      <c r="H15" s="381"/>
      <c r="I15" s="381"/>
    </row>
    <row r="16" spans="1:9">
      <c r="A16" s="491">
        <v>9999</v>
      </c>
      <c r="B16" s="491"/>
      <c r="C16" s="484" t="s">
        <v>1624</v>
      </c>
      <c r="D16" s="454"/>
      <c r="E16" s="450"/>
      <c r="F16" s="484"/>
      <c r="G16" s="450"/>
      <c r="H16" s="381"/>
      <c r="I16" s="381"/>
    </row>
    <row r="17" spans="1:9">
      <c r="A17" s="457"/>
      <c r="B17" s="457"/>
      <c r="C17" s="66" t="s">
        <v>62</v>
      </c>
      <c r="D17" s="67">
        <v>10</v>
      </c>
      <c r="E17" s="67">
        <v>2.12</v>
      </c>
      <c r="F17" s="67">
        <f>D17*E17</f>
        <v>21.200000000000003</v>
      </c>
      <c r="G17" s="66" t="s">
        <v>851</v>
      </c>
      <c r="H17" s="381"/>
      <c r="I17" s="381"/>
    </row>
    <row r="18" spans="1:9">
      <c r="A18" s="491">
        <v>9999</v>
      </c>
      <c r="B18" s="491"/>
      <c r="C18" s="484" t="s">
        <v>1628</v>
      </c>
      <c r="D18" s="454"/>
      <c r="E18" s="450"/>
      <c r="F18" s="484"/>
      <c r="G18" s="450"/>
      <c r="H18" s="381"/>
      <c r="I18" s="381"/>
    </row>
    <row r="19" spans="1:9">
      <c r="A19" s="457"/>
      <c r="B19" s="457"/>
      <c r="C19" s="66" t="s">
        <v>62</v>
      </c>
      <c r="D19" s="67">
        <v>9.36</v>
      </c>
      <c r="E19" s="67">
        <v>2.12</v>
      </c>
      <c r="F19" s="67">
        <f>D19*E19</f>
        <v>19.8432</v>
      </c>
      <c r="G19" s="66" t="s">
        <v>854</v>
      </c>
      <c r="H19" s="381"/>
      <c r="I19" s="381"/>
    </row>
    <row r="20" spans="1:9">
      <c r="A20" s="492" t="s">
        <v>1630</v>
      </c>
      <c r="B20" s="454"/>
      <c r="C20" s="450"/>
      <c r="D20" s="67">
        <v>1</v>
      </c>
      <c r="E20" s="70" t="s">
        <v>1107</v>
      </c>
      <c r="F20" s="67">
        <f>F19+F17</f>
        <v>41.043199999999999</v>
      </c>
      <c r="G20" s="71"/>
      <c r="H20" s="381"/>
      <c r="I20" s="381"/>
    </row>
    <row r="21" spans="1:9">
      <c r="A21" s="492" t="s">
        <v>826</v>
      </c>
      <c r="B21" s="454"/>
      <c r="C21" s="450"/>
      <c r="D21" s="67">
        <v>1</v>
      </c>
      <c r="E21" s="70" t="s">
        <v>1107</v>
      </c>
      <c r="F21" s="67">
        <f>F20/D20</f>
        <v>41.043199999999999</v>
      </c>
      <c r="G21" s="71"/>
      <c r="H21" s="381"/>
      <c r="I21" s="381"/>
    </row>
    <row r="22" spans="1:9">
      <c r="A22" s="493" t="s">
        <v>829</v>
      </c>
      <c r="B22" s="454"/>
      <c r="C22" s="454"/>
      <c r="D22" s="450"/>
      <c r="E22" s="67"/>
      <c r="F22" s="67">
        <f>F21*1%</f>
        <v>0.41043200000000002</v>
      </c>
      <c r="G22" s="71"/>
      <c r="H22" s="381"/>
      <c r="I22" s="381"/>
    </row>
    <row r="23" spans="1:9">
      <c r="A23" s="493" t="s">
        <v>30</v>
      </c>
      <c r="B23" s="454"/>
      <c r="C23" s="454"/>
      <c r="D23" s="450"/>
      <c r="E23" s="71"/>
      <c r="F23" s="67">
        <f>F22+F21</f>
        <v>41.453631999999999</v>
      </c>
      <c r="G23" s="71"/>
      <c r="H23" s="381"/>
      <c r="I23" s="381"/>
    </row>
    <row r="24" spans="1:9">
      <c r="A24" s="493" t="s">
        <v>836</v>
      </c>
      <c r="B24" s="454"/>
      <c r="C24" s="454"/>
      <c r="D24" s="450"/>
      <c r="E24" s="67"/>
      <c r="F24" s="67">
        <f>F23*15%</f>
        <v>6.2180447999999995</v>
      </c>
      <c r="G24" s="71"/>
      <c r="H24" s="381"/>
      <c r="I24" s="381"/>
    </row>
    <row r="25" spans="1:9">
      <c r="A25" s="493" t="s">
        <v>30</v>
      </c>
      <c r="B25" s="454"/>
      <c r="C25" s="454"/>
      <c r="D25" s="450"/>
      <c r="E25" s="71"/>
      <c r="F25" s="191">
        <f>ROUND(F24+F23,2)</f>
        <v>47.67</v>
      </c>
      <c r="G25" s="71"/>
      <c r="H25" s="381"/>
      <c r="I25" s="381"/>
    </row>
    <row r="26" spans="1:9">
      <c r="A26" s="594" t="str">
        <f>CONCATENATE("Say ₹ ",F14," + ",F25," x Cost Index")</f>
        <v>Say ₹ 1016.31 + 47.67 x Cost Index</v>
      </c>
      <c r="B26" s="454"/>
      <c r="C26" s="454"/>
      <c r="D26" s="454"/>
      <c r="E26" s="454"/>
      <c r="F26" s="454"/>
      <c r="G26" s="450"/>
      <c r="H26" s="381">
        <f>F8*1.01*1.15</f>
        <v>1016.3124999999999</v>
      </c>
      <c r="I26" s="381">
        <f>(F17+F19)*1.01*1.15</f>
        <v>47.671676799999993</v>
      </c>
    </row>
    <row r="27" spans="1:9">
      <c r="A27" s="486" t="s">
        <v>771</v>
      </c>
      <c r="B27" s="486" t="s">
        <v>776</v>
      </c>
      <c r="C27" s="487" t="s">
        <v>4</v>
      </c>
      <c r="D27" s="454"/>
      <c r="E27" s="450"/>
      <c r="F27" s="487" t="s">
        <v>785</v>
      </c>
      <c r="G27" s="450"/>
      <c r="H27" s="381"/>
      <c r="I27" s="381"/>
    </row>
    <row r="28" spans="1:9">
      <c r="A28" s="457"/>
      <c r="B28" s="457"/>
      <c r="C28" s="62" t="s">
        <v>5</v>
      </c>
      <c r="D28" s="62" t="s">
        <v>6</v>
      </c>
      <c r="E28" s="62" t="s">
        <v>336</v>
      </c>
      <c r="F28" s="62" t="s">
        <v>8</v>
      </c>
      <c r="G28" s="62" t="s">
        <v>789</v>
      </c>
      <c r="H28" s="381"/>
      <c r="I28" s="381"/>
    </row>
    <row r="29" spans="1:9">
      <c r="A29" s="489" t="s">
        <v>2120</v>
      </c>
      <c r="B29" s="454"/>
      <c r="C29" s="454"/>
      <c r="D29" s="454"/>
      <c r="E29" s="454"/>
      <c r="F29" s="454"/>
      <c r="G29" s="450"/>
      <c r="H29" s="381"/>
      <c r="I29" s="381"/>
    </row>
    <row r="30" spans="1:9">
      <c r="A30" s="65"/>
      <c r="B30" s="66" t="s">
        <v>795</v>
      </c>
      <c r="C30" s="66" t="s">
        <v>1107</v>
      </c>
      <c r="D30" s="66" t="s">
        <v>798</v>
      </c>
      <c r="E30" s="67">
        <v>1</v>
      </c>
      <c r="F30" s="484"/>
      <c r="G30" s="450"/>
      <c r="H30" s="381"/>
      <c r="I30" s="381"/>
    </row>
    <row r="31" spans="1:9">
      <c r="A31" s="66" t="s">
        <v>800</v>
      </c>
      <c r="B31" s="484" t="s">
        <v>1609</v>
      </c>
      <c r="C31" s="454"/>
      <c r="D31" s="454"/>
      <c r="E31" s="454"/>
      <c r="F31" s="454"/>
      <c r="G31" s="450"/>
      <c r="H31" s="381"/>
      <c r="I31" s="381"/>
    </row>
    <row r="32" spans="1:9">
      <c r="A32" s="490" t="s">
        <v>802</v>
      </c>
      <c r="B32" s="454"/>
      <c r="C32" s="454"/>
      <c r="D32" s="454"/>
      <c r="E32" s="454"/>
      <c r="F32" s="450"/>
      <c r="G32" s="68" t="s">
        <v>803</v>
      </c>
      <c r="H32" s="381"/>
      <c r="I32" s="381"/>
    </row>
    <row r="33" spans="1:9">
      <c r="A33" s="491"/>
      <c r="B33" s="491" t="s">
        <v>2121</v>
      </c>
      <c r="C33" s="484" t="s">
        <v>2122</v>
      </c>
      <c r="D33" s="454"/>
      <c r="E33" s="450"/>
      <c r="F33" s="484"/>
      <c r="G33" s="450"/>
      <c r="H33" s="381"/>
      <c r="I33" s="381"/>
    </row>
    <row r="34" spans="1:9">
      <c r="A34" s="457"/>
      <c r="B34" s="457"/>
      <c r="C34" s="66" t="s">
        <v>46</v>
      </c>
      <c r="D34" s="67">
        <v>1</v>
      </c>
      <c r="E34" s="67">
        <f t="array" ref="E34">IFERROR(INDEX(LMRRates,MATCH(B33,LMRCodes,0), ), )</f>
        <v>1228</v>
      </c>
      <c r="F34" s="67">
        <f>D34*E34</f>
        <v>1228</v>
      </c>
      <c r="G34" s="66" t="s">
        <v>808</v>
      </c>
      <c r="H34" s="381"/>
      <c r="I34" s="381"/>
    </row>
    <row r="35" spans="1:9">
      <c r="A35" s="492" t="s">
        <v>1105</v>
      </c>
      <c r="B35" s="454"/>
      <c r="C35" s="450"/>
      <c r="D35" s="67">
        <v>1</v>
      </c>
      <c r="E35" s="70" t="s">
        <v>1107</v>
      </c>
      <c r="F35" s="67">
        <f>F34</f>
        <v>1228</v>
      </c>
      <c r="G35" s="66"/>
      <c r="H35" s="381"/>
      <c r="I35" s="381"/>
    </row>
    <row r="36" spans="1:9">
      <c r="A36" s="492" t="s">
        <v>826</v>
      </c>
      <c r="B36" s="454"/>
      <c r="C36" s="450"/>
      <c r="D36" s="67">
        <v>1</v>
      </c>
      <c r="E36" s="70" t="s">
        <v>1107</v>
      </c>
      <c r="F36" s="67">
        <f>F35/D35</f>
        <v>1228</v>
      </c>
      <c r="G36" s="66"/>
      <c r="H36" s="381"/>
      <c r="I36" s="381"/>
    </row>
    <row r="37" spans="1:9">
      <c r="A37" s="493" t="s">
        <v>829</v>
      </c>
      <c r="B37" s="454"/>
      <c r="C37" s="454"/>
      <c r="D37" s="450"/>
      <c r="E37" s="67"/>
      <c r="F37" s="67">
        <f>F36*1%</f>
        <v>12.280000000000001</v>
      </c>
      <c r="G37" s="66"/>
      <c r="H37" s="381"/>
      <c r="I37" s="381"/>
    </row>
    <row r="38" spans="1:9">
      <c r="A38" s="493" t="s">
        <v>30</v>
      </c>
      <c r="B38" s="454"/>
      <c r="C38" s="454"/>
      <c r="D38" s="450"/>
      <c r="E38" s="71"/>
      <c r="F38" s="67">
        <f>F37+F36</f>
        <v>1240.28</v>
      </c>
      <c r="G38" s="66"/>
      <c r="H38" s="381"/>
      <c r="I38" s="381"/>
    </row>
    <row r="39" spans="1:9">
      <c r="A39" s="493" t="s">
        <v>836</v>
      </c>
      <c r="B39" s="454"/>
      <c r="C39" s="454"/>
      <c r="D39" s="450"/>
      <c r="E39" s="67"/>
      <c r="F39" s="67">
        <f>F38*15%</f>
        <v>186.042</v>
      </c>
      <c r="G39" s="66"/>
      <c r="H39" s="381"/>
      <c r="I39" s="381"/>
    </row>
    <row r="40" spans="1:9">
      <c r="A40" s="493" t="s">
        <v>30</v>
      </c>
      <c r="B40" s="454"/>
      <c r="C40" s="454"/>
      <c r="D40" s="450"/>
      <c r="E40" s="71"/>
      <c r="F40" s="191">
        <f>ROUND(F39+F38,2)</f>
        <v>1426.32</v>
      </c>
      <c r="G40" s="66"/>
      <c r="H40" s="381"/>
      <c r="I40" s="381"/>
    </row>
    <row r="41" spans="1:9">
      <c r="A41" s="490" t="s">
        <v>847</v>
      </c>
      <c r="B41" s="454"/>
      <c r="C41" s="454"/>
      <c r="D41" s="454"/>
      <c r="E41" s="454"/>
      <c r="F41" s="450"/>
      <c r="G41" s="68" t="s">
        <v>820</v>
      </c>
      <c r="H41" s="381"/>
      <c r="I41" s="381"/>
    </row>
    <row r="42" spans="1:9">
      <c r="A42" s="491">
        <v>9999</v>
      </c>
      <c r="B42" s="491"/>
      <c r="C42" s="484" t="s">
        <v>1624</v>
      </c>
      <c r="D42" s="454"/>
      <c r="E42" s="450"/>
      <c r="F42" s="484"/>
      <c r="G42" s="450"/>
      <c r="H42" s="381"/>
      <c r="I42" s="381"/>
    </row>
    <row r="43" spans="1:9">
      <c r="A43" s="457"/>
      <c r="B43" s="457"/>
      <c r="C43" s="66" t="s">
        <v>62</v>
      </c>
      <c r="D43" s="67">
        <v>10</v>
      </c>
      <c r="E43" s="67">
        <v>2.12</v>
      </c>
      <c r="F43" s="67">
        <f>D43*E43</f>
        <v>21.200000000000003</v>
      </c>
      <c r="G43" s="66" t="s">
        <v>851</v>
      </c>
      <c r="H43" s="381"/>
      <c r="I43" s="381"/>
    </row>
    <row r="44" spans="1:9">
      <c r="A44" s="491">
        <v>9999</v>
      </c>
      <c r="B44" s="491"/>
      <c r="C44" s="484" t="s">
        <v>1628</v>
      </c>
      <c r="D44" s="454"/>
      <c r="E44" s="450"/>
      <c r="F44" s="484"/>
      <c r="G44" s="450"/>
      <c r="H44" s="381"/>
      <c r="I44" s="381"/>
    </row>
    <row r="45" spans="1:9">
      <c r="A45" s="457"/>
      <c r="B45" s="457"/>
      <c r="C45" s="66" t="s">
        <v>62</v>
      </c>
      <c r="D45" s="67">
        <v>9.36</v>
      </c>
      <c r="E45" s="67">
        <v>2.12</v>
      </c>
      <c r="F45" s="67">
        <f>D45*E45</f>
        <v>19.8432</v>
      </c>
      <c r="G45" s="66" t="s">
        <v>854</v>
      </c>
      <c r="H45" s="381"/>
      <c r="I45" s="381"/>
    </row>
    <row r="46" spans="1:9">
      <c r="A46" s="492" t="s">
        <v>1630</v>
      </c>
      <c r="B46" s="454"/>
      <c r="C46" s="450"/>
      <c r="D46" s="67">
        <v>1</v>
      </c>
      <c r="E46" s="70" t="s">
        <v>1107</v>
      </c>
      <c r="F46" s="67">
        <f>F45+F43</f>
        <v>41.043199999999999</v>
      </c>
      <c r="G46" s="71"/>
      <c r="H46" s="381"/>
      <c r="I46" s="381"/>
    </row>
    <row r="47" spans="1:9">
      <c r="A47" s="492" t="s">
        <v>826</v>
      </c>
      <c r="B47" s="454"/>
      <c r="C47" s="450"/>
      <c r="D47" s="67">
        <v>1</v>
      </c>
      <c r="E47" s="70" t="s">
        <v>1107</v>
      </c>
      <c r="F47" s="67">
        <f>F46/D46</f>
        <v>41.043199999999999</v>
      </c>
      <c r="G47" s="71"/>
      <c r="H47" s="381"/>
      <c r="I47" s="381"/>
    </row>
    <row r="48" spans="1:9">
      <c r="A48" s="493" t="s">
        <v>829</v>
      </c>
      <c r="B48" s="454"/>
      <c r="C48" s="454"/>
      <c r="D48" s="450"/>
      <c r="E48" s="67"/>
      <c r="F48" s="67">
        <f>F47*1%</f>
        <v>0.41043200000000002</v>
      </c>
      <c r="G48" s="71"/>
      <c r="H48" s="381"/>
      <c r="I48" s="381"/>
    </row>
    <row r="49" spans="1:9">
      <c r="A49" s="493" t="s">
        <v>30</v>
      </c>
      <c r="B49" s="454"/>
      <c r="C49" s="454"/>
      <c r="D49" s="450"/>
      <c r="E49" s="71"/>
      <c r="F49" s="67">
        <f>F48+F47</f>
        <v>41.453631999999999</v>
      </c>
      <c r="G49" s="71"/>
      <c r="H49" s="381"/>
      <c r="I49" s="381"/>
    </row>
    <row r="50" spans="1:9">
      <c r="A50" s="493" t="s">
        <v>836</v>
      </c>
      <c r="B50" s="454"/>
      <c r="C50" s="454"/>
      <c r="D50" s="450"/>
      <c r="E50" s="67"/>
      <c r="F50" s="67">
        <f>F49*15%</f>
        <v>6.2180447999999995</v>
      </c>
      <c r="G50" s="71"/>
      <c r="H50" s="381"/>
      <c r="I50" s="381"/>
    </row>
    <row r="51" spans="1:9">
      <c r="A51" s="493" t="s">
        <v>30</v>
      </c>
      <c r="B51" s="454"/>
      <c r="C51" s="454"/>
      <c r="D51" s="450"/>
      <c r="E51" s="71"/>
      <c r="F51" s="191">
        <f>ROUND(F50+F49,2)</f>
        <v>47.67</v>
      </c>
      <c r="G51" s="71"/>
      <c r="H51" s="381"/>
      <c r="I51" s="381"/>
    </row>
    <row r="52" spans="1:9">
      <c r="A52" s="594" t="str">
        <f>CONCATENATE("Say ₹ ",F40," + ",F51," x Cost Index")</f>
        <v>Say ₹ 1426.32 + 47.67 x Cost Index</v>
      </c>
      <c r="B52" s="454"/>
      <c r="C52" s="454"/>
      <c r="D52" s="454"/>
      <c r="E52" s="454"/>
      <c r="F52" s="454"/>
      <c r="G52" s="450"/>
      <c r="H52" s="381">
        <f>F34*1.01*1.15</f>
        <v>1426.3219999999999</v>
      </c>
      <c r="I52" s="381">
        <f>(F43+F45)*1.01*1.15</f>
        <v>47.671676799999993</v>
      </c>
    </row>
  </sheetData>
  <mergeCells count="68">
    <mergeCell ref="A21:C21"/>
    <mergeCell ref="A22:D22"/>
    <mergeCell ref="C33:E33"/>
    <mergeCell ref="F33:G33"/>
    <mergeCell ref="C42:E42"/>
    <mergeCell ref="F42:G42"/>
    <mergeCell ref="A18:A19"/>
    <mergeCell ref="B18:B19"/>
    <mergeCell ref="C18:E18"/>
    <mergeCell ref="F18:G18"/>
    <mergeCell ref="A20:C20"/>
    <mergeCell ref="A14:D14"/>
    <mergeCell ref="A15:F15"/>
    <mergeCell ref="A16:A17"/>
    <mergeCell ref="B16:B17"/>
    <mergeCell ref="C16:E16"/>
    <mergeCell ref="F16:G16"/>
    <mergeCell ref="A9:C9"/>
    <mergeCell ref="A10:C10"/>
    <mergeCell ref="A11:D11"/>
    <mergeCell ref="A12:D12"/>
    <mergeCell ref="A13:D13"/>
    <mergeCell ref="C7:E7"/>
    <mergeCell ref="F7:G7"/>
    <mergeCell ref="B1:B2"/>
    <mergeCell ref="C1:E1"/>
    <mergeCell ref="F1:G1"/>
    <mergeCell ref="A3:G3"/>
    <mergeCell ref="F4:G4"/>
    <mergeCell ref="B5:G5"/>
    <mergeCell ref="A6:F6"/>
    <mergeCell ref="A1:A2"/>
    <mergeCell ref="A7:A8"/>
    <mergeCell ref="B7:B8"/>
    <mergeCell ref="A50:D50"/>
    <mergeCell ref="A51:D51"/>
    <mergeCell ref="A52:G52"/>
    <mergeCell ref="A42:A43"/>
    <mergeCell ref="B42:B43"/>
    <mergeCell ref="A44:A45"/>
    <mergeCell ref="B44:B45"/>
    <mergeCell ref="C44:E44"/>
    <mergeCell ref="F44:G44"/>
    <mergeCell ref="A46:C46"/>
    <mergeCell ref="A40:D40"/>
    <mergeCell ref="A41:F41"/>
    <mergeCell ref="A47:C47"/>
    <mergeCell ref="A48:D48"/>
    <mergeCell ref="A49:D49"/>
    <mergeCell ref="A35:C35"/>
    <mergeCell ref="A36:C36"/>
    <mergeCell ref="A37:D37"/>
    <mergeCell ref="A38:D38"/>
    <mergeCell ref="A39:D39"/>
    <mergeCell ref="A29:G29"/>
    <mergeCell ref="F30:G30"/>
    <mergeCell ref="B31:G31"/>
    <mergeCell ref="A32:F32"/>
    <mergeCell ref="A33:A34"/>
    <mergeCell ref="B33:B34"/>
    <mergeCell ref="A23:D23"/>
    <mergeCell ref="A24:D24"/>
    <mergeCell ref="A25:D25"/>
    <mergeCell ref="A26:G26"/>
    <mergeCell ref="A27:A28"/>
    <mergeCell ref="B27:B28"/>
    <mergeCell ref="F27:G27"/>
    <mergeCell ref="C27:E27"/>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2"/>
  <sheetViews>
    <sheetView workbookViewId="0"/>
  </sheetViews>
  <sheetFormatPr defaultColWidth="14.453125" defaultRowHeight="15" customHeight="1"/>
  <cols>
    <col min="1" max="1" width="7.08984375" customWidth="1"/>
    <col min="2" max="2" width="73" customWidth="1"/>
    <col min="3" max="3" width="7.08984375" customWidth="1"/>
    <col min="4" max="4" width="7" customWidth="1"/>
  </cols>
  <sheetData>
    <row r="1" spans="1:4">
      <c r="A1" s="11" t="s">
        <v>332</v>
      </c>
      <c r="B1" s="11" t="s">
        <v>335</v>
      </c>
      <c r="C1" s="11" t="s">
        <v>336</v>
      </c>
      <c r="D1" s="11" t="s">
        <v>5</v>
      </c>
    </row>
    <row r="2" spans="1:4">
      <c r="A2" s="383">
        <v>18.48</v>
      </c>
      <c r="B2" s="384" t="s">
        <v>2124</v>
      </c>
      <c r="C2" s="385">
        <v>8.41</v>
      </c>
      <c r="D2" s="385" t="s">
        <v>1225</v>
      </c>
    </row>
  </sheetData>
  <pageMargins left="0.7" right="0.7" top="0.75" bottom="0.75" header="0" footer="0"/>
  <pageSetup orientation="landscape"/>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31"/>
  <sheetViews>
    <sheetView workbookViewId="0"/>
  </sheetViews>
  <sheetFormatPr defaultColWidth="14.453125" defaultRowHeight="15" customHeight="1"/>
  <cols>
    <col min="1" max="1" width="4.54296875" customWidth="1"/>
    <col min="2" max="2" width="21.08984375" customWidth="1"/>
    <col min="3" max="3" width="4.7265625" customWidth="1"/>
    <col min="4" max="5" width="5.7265625" customWidth="1"/>
    <col min="6" max="6" width="7.26953125" customWidth="1"/>
    <col min="7" max="7" width="11.81640625" customWidth="1"/>
    <col min="8" max="8" width="5.81640625" customWidth="1"/>
    <col min="9" max="9" width="9.54296875" customWidth="1"/>
    <col min="10" max="10" width="10.26953125" customWidth="1"/>
  </cols>
  <sheetData>
    <row r="1" spans="1:10">
      <c r="A1" s="635" t="s">
        <v>2126</v>
      </c>
      <c r="B1" s="545"/>
      <c r="C1" s="545"/>
      <c r="D1" s="545"/>
      <c r="E1" s="545"/>
      <c r="F1" s="545"/>
      <c r="G1" s="545"/>
      <c r="H1" s="545"/>
      <c r="I1" s="545"/>
      <c r="J1" s="545"/>
    </row>
    <row r="2" spans="1:10">
      <c r="A2" s="118" t="s">
        <v>1154</v>
      </c>
      <c r="B2" s="118" t="s">
        <v>1021</v>
      </c>
      <c r="C2" s="118" t="s">
        <v>1022</v>
      </c>
      <c r="D2" s="118" t="s">
        <v>820</v>
      </c>
      <c r="E2" s="118" t="s">
        <v>1111</v>
      </c>
      <c r="F2" s="118" t="s">
        <v>1155</v>
      </c>
      <c r="G2" s="205" t="s">
        <v>40</v>
      </c>
      <c r="H2" s="118" t="s">
        <v>1156</v>
      </c>
      <c r="I2" s="118" t="s">
        <v>7</v>
      </c>
      <c r="J2" s="206" t="s">
        <v>8</v>
      </c>
    </row>
    <row r="3" spans="1:10">
      <c r="A3" s="118">
        <v>1</v>
      </c>
      <c r="B3" s="504" t="s">
        <v>2127</v>
      </c>
      <c r="C3" s="499"/>
      <c r="D3" s="499"/>
      <c r="E3" s="499"/>
      <c r="F3" s="499"/>
      <c r="G3" s="499"/>
      <c r="H3" s="499"/>
      <c r="I3" s="499"/>
      <c r="J3" s="500"/>
    </row>
    <row r="4" spans="1:10">
      <c r="A4" s="118"/>
      <c r="B4" s="106" t="s">
        <v>1166</v>
      </c>
      <c r="C4" s="118">
        <v>1</v>
      </c>
      <c r="D4" s="118">
        <v>0.75</v>
      </c>
      <c r="E4" s="118">
        <v>0.75</v>
      </c>
      <c r="F4" s="118">
        <v>0.2</v>
      </c>
      <c r="G4" s="386">
        <f>PRODUCT(C4:F4)</f>
        <v>0.1125</v>
      </c>
      <c r="H4" s="118"/>
      <c r="I4" s="118"/>
      <c r="J4" s="206"/>
    </row>
    <row r="5" spans="1:10">
      <c r="A5" s="118"/>
      <c r="B5" s="106" t="s">
        <v>40</v>
      </c>
      <c r="C5" s="118"/>
      <c r="D5" s="118"/>
      <c r="E5" s="118"/>
      <c r="F5" s="118"/>
      <c r="G5" s="387">
        <f>SUM(G4)</f>
        <v>0.1125</v>
      </c>
      <c r="H5" s="129" t="s">
        <v>17</v>
      </c>
      <c r="I5" s="129">
        <v>249.03</v>
      </c>
      <c r="J5" s="206">
        <f>G5*I5</f>
        <v>28.015875000000001</v>
      </c>
    </row>
    <row r="6" spans="1:10">
      <c r="A6" s="118">
        <v>2</v>
      </c>
      <c r="B6" s="569" t="s">
        <v>2128</v>
      </c>
      <c r="C6" s="499"/>
      <c r="D6" s="499"/>
      <c r="E6" s="499"/>
      <c r="F6" s="499"/>
      <c r="G6" s="499"/>
      <c r="H6" s="499"/>
      <c r="I6" s="499"/>
      <c r="J6" s="500"/>
    </row>
    <row r="7" spans="1:10">
      <c r="A7" s="118"/>
      <c r="B7" s="106" t="s">
        <v>1166</v>
      </c>
      <c r="C7" s="118">
        <v>1</v>
      </c>
      <c r="D7" s="118">
        <v>0.75</v>
      </c>
      <c r="E7" s="118">
        <v>0.75</v>
      </c>
      <c r="F7" s="118">
        <v>0.1</v>
      </c>
      <c r="G7" s="209">
        <f t="shared" ref="G7:G8" si="0">PRODUCT(C7:F7)</f>
        <v>5.6250000000000001E-2</v>
      </c>
      <c r="H7" s="118"/>
      <c r="I7" s="118"/>
      <c r="J7" s="206"/>
    </row>
    <row r="8" spans="1:10">
      <c r="A8" s="118"/>
      <c r="B8" s="106" t="s">
        <v>2129</v>
      </c>
      <c r="C8" s="129">
        <v>3.14</v>
      </c>
      <c r="D8" s="129">
        <v>7.0000000000000007E-2</v>
      </c>
      <c r="E8" s="118">
        <v>7.0000000000000007E-2</v>
      </c>
      <c r="F8" s="129">
        <v>0.1</v>
      </c>
      <c r="G8" s="209">
        <f t="shared" si="0"/>
        <v>1.5386000000000004E-3</v>
      </c>
      <c r="H8" s="118"/>
      <c r="I8" s="118"/>
      <c r="J8" s="206"/>
    </row>
    <row r="9" spans="1:10">
      <c r="A9" s="118"/>
      <c r="B9" s="106" t="s">
        <v>40</v>
      </c>
      <c r="C9" s="118"/>
      <c r="D9" s="118"/>
      <c r="E9" s="118"/>
      <c r="F9" s="118"/>
      <c r="G9" s="209">
        <f>G7-G8</f>
        <v>5.47114E-2</v>
      </c>
      <c r="H9" s="118" t="s">
        <v>2130</v>
      </c>
      <c r="I9" s="129">
        <v>5491.79</v>
      </c>
      <c r="J9" s="206">
        <f>G9*I9</f>
        <v>300.46351940599999</v>
      </c>
    </row>
    <row r="10" spans="1:10">
      <c r="A10" s="118">
        <v>3</v>
      </c>
      <c r="B10" s="569" t="s">
        <v>2131</v>
      </c>
      <c r="C10" s="499"/>
      <c r="D10" s="499"/>
      <c r="E10" s="499"/>
      <c r="F10" s="499"/>
      <c r="G10" s="499"/>
      <c r="H10" s="499"/>
      <c r="I10" s="499"/>
      <c r="J10" s="500"/>
    </row>
    <row r="11" spans="1:10">
      <c r="A11" s="118"/>
      <c r="B11" s="106" t="s">
        <v>2132</v>
      </c>
      <c r="C11" s="118">
        <v>4</v>
      </c>
      <c r="D11" s="118">
        <v>0.65</v>
      </c>
      <c r="E11" s="118">
        <v>0.1</v>
      </c>
      <c r="F11" s="118">
        <v>0.6</v>
      </c>
      <c r="G11" s="209">
        <f>PRODUCT(C11:F11)</f>
        <v>0.156</v>
      </c>
      <c r="H11" s="118"/>
      <c r="I11" s="118"/>
      <c r="J11" s="206"/>
    </row>
    <row r="12" spans="1:10">
      <c r="A12" s="118"/>
      <c r="B12" s="106" t="s">
        <v>40</v>
      </c>
      <c r="C12" s="118"/>
      <c r="D12" s="118"/>
      <c r="E12" s="118"/>
      <c r="F12" s="118"/>
      <c r="G12" s="388">
        <f>SUM(G11)</f>
        <v>0.156</v>
      </c>
      <c r="H12" s="118" t="s">
        <v>2134</v>
      </c>
      <c r="I12" s="129">
        <v>7195.35</v>
      </c>
      <c r="J12" s="206">
        <f>G12*I12</f>
        <v>1122.4746</v>
      </c>
    </row>
    <row r="13" spans="1:10">
      <c r="A13" s="118">
        <v>4</v>
      </c>
      <c r="B13" s="569" t="s">
        <v>2135</v>
      </c>
      <c r="C13" s="499"/>
      <c r="D13" s="499"/>
      <c r="E13" s="499"/>
      <c r="F13" s="499"/>
      <c r="G13" s="499"/>
      <c r="H13" s="499"/>
      <c r="I13" s="499"/>
      <c r="J13" s="500"/>
    </row>
    <row r="14" spans="1:10">
      <c r="A14" s="118"/>
      <c r="B14" s="106" t="s">
        <v>2136</v>
      </c>
      <c r="C14" s="118">
        <v>1</v>
      </c>
      <c r="D14" s="118">
        <v>0.8</v>
      </c>
      <c r="E14" s="118">
        <v>0.8</v>
      </c>
      <c r="F14" s="118">
        <v>0.1</v>
      </c>
      <c r="G14" s="209">
        <f>PRODUCT(C14:F14)</f>
        <v>6.4000000000000015E-2</v>
      </c>
      <c r="H14" s="118"/>
      <c r="I14" s="118"/>
      <c r="J14" s="206"/>
    </row>
    <row r="15" spans="1:10">
      <c r="A15" s="118"/>
      <c r="B15" s="106" t="s">
        <v>40</v>
      </c>
      <c r="C15" s="118"/>
      <c r="D15" s="118"/>
      <c r="E15" s="118"/>
      <c r="F15" s="118"/>
      <c r="G15" s="388">
        <f>SUM(G14)</f>
        <v>6.4000000000000015E-2</v>
      </c>
      <c r="H15" s="118" t="s">
        <v>2138</v>
      </c>
      <c r="I15" s="129">
        <v>6897.84</v>
      </c>
      <c r="J15" s="206">
        <f>G15*I15</f>
        <v>441.46176000000014</v>
      </c>
    </row>
    <row r="16" spans="1:10">
      <c r="A16" s="118">
        <v>5</v>
      </c>
      <c r="B16" s="569" t="s">
        <v>2139</v>
      </c>
      <c r="C16" s="499"/>
      <c r="D16" s="499"/>
      <c r="E16" s="499"/>
      <c r="F16" s="499"/>
      <c r="G16" s="499"/>
      <c r="H16" s="499"/>
      <c r="I16" s="499"/>
      <c r="J16" s="500"/>
    </row>
    <row r="17" spans="1:10">
      <c r="A17" s="118"/>
      <c r="B17" s="106" t="s">
        <v>2141</v>
      </c>
      <c r="C17" s="118"/>
      <c r="D17" s="118"/>
      <c r="E17" s="118"/>
      <c r="F17" s="118"/>
      <c r="G17" s="209">
        <f>G15</f>
        <v>6.4000000000000015E-2</v>
      </c>
      <c r="H17" s="118" t="s">
        <v>2144</v>
      </c>
      <c r="I17" s="118"/>
      <c r="J17" s="206"/>
    </row>
    <row r="18" spans="1:10">
      <c r="A18" s="118"/>
      <c r="B18" s="106" t="s">
        <v>2145</v>
      </c>
      <c r="C18" s="118"/>
      <c r="D18" s="118"/>
      <c r="E18" s="118">
        <v>80</v>
      </c>
      <c r="F18" s="395">
        <f>G17</f>
        <v>6.4000000000000015E-2</v>
      </c>
      <c r="G18" s="209">
        <f>PRODUCT(C18:F18)</f>
        <v>5.120000000000001</v>
      </c>
      <c r="H18" s="118" t="s">
        <v>691</v>
      </c>
      <c r="I18" s="129">
        <v>77.22</v>
      </c>
      <c r="J18" s="206">
        <f>G18*I18</f>
        <v>395.36640000000006</v>
      </c>
    </row>
    <row r="19" spans="1:10">
      <c r="A19" s="118">
        <v>6</v>
      </c>
      <c r="B19" s="569" t="s">
        <v>2148</v>
      </c>
      <c r="C19" s="499"/>
      <c r="D19" s="499"/>
      <c r="E19" s="499"/>
      <c r="F19" s="499"/>
      <c r="G19" s="499"/>
      <c r="H19" s="499"/>
      <c r="I19" s="499"/>
      <c r="J19" s="500"/>
    </row>
    <row r="20" spans="1:10">
      <c r="A20" s="118"/>
      <c r="B20" s="106" t="s">
        <v>2136</v>
      </c>
      <c r="C20" s="129">
        <v>4</v>
      </c>
      <c r="D20" s="118">
        <f>D14</f>
        <v>0.8</v>
      </c>
      <c r="E20" s="118"/>
      <c r="F20" s="118">
        <f>F14</f>
        <v>0.1</v>
      </c>
      <c r="G20" s="209">
        <f>PRODUCT(C20:F20)</f>
        <v>0.32000000000000006</v>
      </c>
      <c r="H20" s="118" t="s">
        <v>2149</v>
      </c>
      <c r="I20" s="118"/>
      <c r="J20" s="206"/>
    </row>
    <row r="21" spans="1:10">
      <c r="A21" s="118"/>
      <c r="B21" s="106" t="s">
        <v>40</v>
      </c>
      <c r="C21" s="118"/>
      <c r="D21" s="118"/>
      <c r="E21" s="118"/>
      <c r="F21" s="118"/>
      <c r="G21" s="209">
        <f>SUM(G20)</f>
        <v>0.32000000000000006</v>
      </c>
      <c r="H21" s="118" t="s">
        <v>2150</v>
      </c>
      <c r="I21" s="129">
        <v>665.45</v>
      </c>
      <c r="J21" s="206">
        <f>G21*I21</f>
        <v>212.94400000000005</v>
      </c>
    </row>
    <row r="22" spans="1:10">
      <c r="A22" s="118">
        <v>7</v>
      </c>
      <c r="B22" s="569" t="s">
        <v>2151</v>
      </c>
      <c r="C22" s="499"/>
      <c r="D22" s="499"/>
      <c r="E22" s="499"/>
      <c r="F22" s="499"/>
      <c r="G22" s="499"/>
      <c r="H22" s="499"/>
      <c r="I22" s="499"/>
      <c r="J22" s="500"/>
    </row>
    <row r="23" spans="1:10">
      <c r="A23" s="118"/>
      <c r="B23" s="106" t="s">
        <v>2152</v>
      </c>
      <c r="C23" s="118">
        <v>4</v>
      </c>
      <c r="D23" s="129">
        <v>0.75</v>
      </c>
      <c r="E23" s="118"/>
      <c r="F23" s="118">
        <v>0.5</v>
      </c>
      <c r="G23" s="209">
        <f t="shared" ref="G23:G24" si="1">PRODUCT(C23:F23)</f>
        <v>1.5</v>
      </c>
      <c r="H23" s="118"/>
      <c r="I23" s="118"/>
      <c r="J23" s="206"/>
    </row>
    <row r="24" spans="1:10">
      <c r="A24" s="118"/>
      <c r="B24" s="106" t="s">
        <v>2154</v>
      </c>
      <c r="C24" s="118">
        <v>4</v>
      </c>
      <c r="D24" s="118">
        <f>D23-2*E11</f>
        <v>0.55000000000000004</v>
      </c>
      <c r="E24" s="118"/>
      <c r="F24" s="118">
        <v>0.6</v>
      </c>
      <c r="G24" s="209">
        <f t="shared" si="1"/>
        <v>1.32</v>
      </c>
      <c r="H24" s="118"/>
      <c r="I24" s="118"/>
      <c r="J24" s="206"/>
    </row>
    <row r="25" spans="1:10">
      <c r="A25" s="118"/>
      <c r="B25" s="106" t="s">
        <v>2155</v>
      </c>
      <c r="C25" s="129">
        <v>4</v>
      </c>
      <c r="D25" s="129">
        <v>0.65</v>
      </c>
      <c r="E25" s="118">
        <f>E11</f>
        <v>0.1</v>
      </c>
      <c r="F25" s="227"/>
      <c r="G25" s="209">
        <f>PRODUCT(C25:E25)</f>
        <v>0.26</v>
      </c>
      <c r="H25" s="118"/>
      <c r="I25" s="118"/>
      <c r="J25" s="206"/>
    </row>
    <row r="26" spans="1:10">
      <c r="A26" s="118"/>
      <c r="B26" s="106" t="s">
        <v>2157</v>
      </c>
      <c r="C26" s="118">
        <v>2</v>
      </c>
      <c r="D26" s="118">
        <f t="shared" ref="D26:E26" si="2">D14</f>
        <v>0.8</v>
      </c>
      <c r="E26" s="118">
        <f t="shared" si="2"/>
        <v>0.8</v>
      </c>
      <c r="F26" s="118"/>
      <c r="G26" s="209">
        <f t="shared" ref="G26:G27" si="3">PRODUCT(C26:F26)</f>
        <v>1.2800000000000002</v>
      </c>
      <c r="H26" s="118"/>
      <c r="I26" s="118"/>
      <c r="J26" s="206"/>
    </row>
    <row r="27" spans="1:10">
      <c r="A27" s="118"/>
      <c r="B27" s="106" t="s">
        <v>2158</v>
      </c>
      <c r="C27" s="118">
        <v>4</v>
      </c>
      <c r="D27" s="118">
        <f>D26</f>
        <v>0.8</v>
      </c>
      <c r="E27" s="118"/>
      <c r="F27" s="118">
        <f>F14</f>
        <v>0.1</v>
      </c>
      <c r="G27" s="209">
        <f t="shared" si="3"/>
        <v>0.32000000000000006</v>
      </c>
      <c r="H27" s="118"/>
      <c r="I27" s="118"/>
      <c r="J27" s="206"/>
    </row>
    <row r="28" spans="1:10">
      <c r="A28" s="118"/>
      <c r="B28" s="106" t="s">
        <v>40</v>
      </c>
      <c r="C28" s="118"/>
      <c r="D28" s="118"/>
      <c r="E28" s="118"/>
      <c r="F28" s="118"/>
      <c r="G28" s="209">
        <f>SUM(G23:G27)</f>
        <v>4.6800000000000006</v>
      </c>
      <c r="H28" s="118" t="s">
        <v>2160</v>
      </c>
      <c r="I28" s="129">
        <v>255.98</v>
      </c>
      <c r="J28" s="206">
        <f>G28*I28</f>
        <v>1197.9864</v>
      </c>
    </row>
    <row r="29" spans="1:10">
      <c r="A29" s="118">
        <v>8</v>
      </c>
      <c r="B29" s="504" t="s">
        <v>1303</v>
      </c>
      <c r="C29" s="499"/>
      <c r="D29" s="499"/>
      <c r="E29" s="499"/>
      <c r="F29" s="499"/>
      <c r="G29" s="499"/>
      <c r="H29" s="499"/>
      <c r="I29" s="500"/>
      <c r="J29" s="410">
        <v>101.29</v>
      </c>
    </row>
    <row r="30" spans="1:10">
      <c r="A30" s="118"/>
      <c r="B30" s="570" t="s">
        <v>30</v>
      </c>
      <c r="C30" s="499"/>
      <c r="D30" s="499"/>
      <c r="E30" s="499"/>
      <c r="F30" s="499"/>
      <c r="G30" s="499"/>
      <c r="H30" s="499"/>
      <c r="I30" s="500"/>
      <c r="J30" s="232">
        <f>J5+J9+J12+J15+J18+J21+J28+J29</f>
        <v>3800.0025544059999</v>
      </c>
    </row>
    <row r="31" spans="1:10">
      <c r="A31" s="129"/>
      <c r="B31" s="510" t="s">
        <v>2161</v>
      </c>
      <c r="C31" s="499"/>
      <c r="D31" s="499"/>
      <c r="E31" s="499"/>
      <c r="F31" s="499"/>
      <c r="G31" s="499"/>
      <c r="H31" s="499"/>
      <c r="I31" s="499"/>
      <c r="J31" s="500"/>
    </row>
  </sheetData>
  <mergeCells count="11">
    <mergeCell ref="B22:J22"/>
    <mergeCell ref="B29:I29"/>
    <mergeCell ref="B30:I30"/>
    <mergeCell ref="B31:J31"/>
    <mergeCell ref="A1:J1"/>
    <mergeCell ref="B3:J3"/>
    <mergeCell ref="B6:J6"/>
    <mergeCell ref="B10:J10"/>
    <mergeCell ref="B13:J13"/>
    <mergeCell ref="B16:J16"/>
    <mergeCell ref="B19:J19"/>
  </mergeCells>
  <pageMargins left="0.7" right="0.7" top="0.75" bottom="0.75" header="0" footer="0"/>
  <pageSetup orientation="landscape"/>
  <headerFooter>
    <oddFooter>&amp;RDirector</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I465"/>
  <sheetViews>
    <sheetView workbookViewId="0"/>
  </sheetViews>
  <sheetFormatPr defaultColWidth="14.453125" defaultRowHeight="15" customHeight="1"/>
  <cols>
    <col min="1" max="1" width="10.08984375" customWidth="1"/>
    <col min="2" max="2" width="50.54296875" customWidth="1"/>
    <col min="3" max="3" width="6.453125" customWidth="1"/>
    <col min="4" max="4" width="7" customWidth="1"/>
    <col min="5" max="5" width="8.81640625" customWidth="1"/>
    <col min="6" max="6" width="5.81640625" customWidth="1"/>
    <col min="7" max="7" width="12.81640625" customWidth="1"/>
    <col min="8" max="9" width="12.81640625" hidden="1" customWidth="1"/>
  </cols>
  <sheetData>
    <row r="1" spans="1:9">
      <c r="A1" s="639" t="s">
        <v>2137</v>
      </c>
      <c r="B1" s="519"/>
      <c r="C1" s="519"/>
      <c r="D1" s="519"/>
      <c r="E1" s="519"/>
      <c r="F1" s="519"/>
      <c r="G1" s="520"/>
      <c r="H1" s="389"/>
      <c r="I1" s="389"/>
    </row>
    <row r="2" spans="1:9">
      <c r="A2" s="637" t="s">
        <v>2140</v>
      </c>
      <c r="B2" s="454"/>
      <c r="C2" s="454"/>
      <c r="D2" s="454"/>
      <c r="E2" s="454"/>
      <c r="F2" s="454"/>
      <c r="G2" s="522"/>
      <c r="H2" s="390"/>
      <c r="I2" s="390"/>
    </row>
    <row r="3" spans="1:9">
      <c r="A3" s="391" t="s">
        <v>868</v>
      </c>
      <c r="B3" s="636" t="s">
        <v>2143</v>
      </c>
      <c r="C3" s="454"/>
      <c r="D3" s="454"/>
      <c r="E3" s="454"/>
      <c r="F3" s="454"/>
      <c r="G3" s="522"/>
      <c r="H3" s="392"/>
      <c r="I3" s="392"/>
    </row>
    <row r="4" spans="1:9">
      <c r="A4" s="393" t="s">
        <v>865</v>
      </c>
      <c r="B4" s="394" t="s">
        <v>2146</v>
      </c>
      <c r="C4" s="396">
        <v>1</v>
      </c>
      <c r="D4" s="396" t="s">
        <v>1107</v>
      </c>
      <c r="E4" s="396">
        <v>16500</v>
      </c>
      <c r="F4" s="397" t="s">
        <v>2147</v>
      </c>
      <c r="G4" s="398">
        <f>E4*C4</f>
        <v>16500</v>
      </c>
      <c r="H4" s="301"/>
      <c r="I4" s="301"/>
    </row>
    <row r="5" spans="1:9">
      <c r="A5" s="399"/>
      <c r="B5" s="400" t="s">
        <v>896</v>
      </c>
      <c r="C5" s="396"/>
      <c r="D5" s="396"/>
      <c r="E5" s="396"/>
      <c r="F5" s="397"/>
      <c r="G5" s="398">
        <f>G4*1%</f>
        <v>165</v>
      </c>
      <c r="H5" s="301"/>
      <c r="I5" s="301"/>
    </row>
    <row r="6" spans="1:9">
      <c r="A6" s="399"/>
      <c r="B6" s="400" t="s">
        <v>40</v>
      </c>
      <c r="C6" s="396"/>
      <c r="D6" s="396"/>
      <c r="E6" s="396"/>
      <c r="F6" s="397"/>
      <c r="G6" s="398">
        <f>SUM(G4:G5)</f>
        <v>16665</v>
      </c>
      <c r="H6" s="301"/>
      <c r="I6" s="301"/>
    </row>
    <row r="7" spans="1:9">
      <c r="A7" s="399"/>
      <c r="B7" s="400" t="s">
        <v>898</v>
      </c>
      <c r="C7" s="396"/>
      <c r="D7" s="396"/>
      <c r="E7" s="396"/>
      <c r="F7" s="397"/>
      <c r="G7" s="398">
        <f>G6*15%</f>
        <v>2499.75</v>
      </c>
      <c r="H7" s="301"/>
      <c r="I7" s="301"/>
    </row>
    <row r="8" spans="1:9">
      <c r="A8" s="399"/>
      <c r="B8" s="401" t="s">
        <v>2153</v>
      </c>
      <c r="C8" s="402"/>
      <c r="D8" s="403"/>
      <c r="E8" s="403"/>
      <c r="F8" s="404"/>
      <c r="G8" s="405">
        <f>ROUND(SUM(G6:G7),2)</f>
        <v>19164.75</v>
      </c>
      <c r="H8" s="406"/>
      <c r="I8" s="406"/>
    </row>
    <row r="9" spans="1:9">
      <c r="A9" s="393" t="s">
        <v>871</v>
      </c>
      <c r="B9" s="407" t="s">
        <v>874</v>
      </c>
      <c r="C9" s="396">
        <v>0.3</v>
      </c>
      <c r="D9" s="408" t="s">
        <v>875</v>
      </c>
      <c r="E9" s="396">
        <v>784</v>
      </c>
      <c r="F9" s="409" t="s">
        <v>876</v>
      </c>
      <c r="G9" s="398">
        <f t="shared" ref="G9:G10" si="0">C9*E9</f>
        <v>235.2</v>
      </c>
      <c r="H9" s="301"/>
      <c r="I9" s="301"/>
    </row>
    <row r="10" spans="1:9">
      <c r="A10" s="393" t="s">
        <v>903</v>
      </c>
      <c r="B10" s="407" t="s">
        <v>59</v>
      </c>
      <c r="C10" s="396">
        <v>0.3</v>
      </c>
      <c r="D10" s="408" t="s">
        <v>875</v>
      </c>
      <c r="E10" s="396">
        <v>645</v>
      </c>
      <c r="F10" s="409" t="s">
        <v>876</v>
      </c>
      <c r="G10" s="398">
        <f t="shared" si="0"/>
        <v>193.5</v>
      </c>
      <c r="H10" s="301"/>
      <c r="I10" s="301"/>
    </row>
    <row r="11" spans="1:9">
      <c r="A11" s="399"/>
      <c r="B11" s="400" t="s">
        <v>1064</v>
      </c>
      <c r="C11" s="396"/>
      <c r="D11" s="396"/>
      <c r="E11" s="396"/>
      <c r="F11" s="397"/>
      <c r="G11" s="398">
        <f>SUM(G9:G10)</f>
        <v>428.7</v>
      </c>
      <c r="H11" s="301"/>
      <c r="I11" s="301"/>
    </row>
    <row r="12" spans="1:9">
      <c r="A12" s="399"/>
      <c r="B12" s="400" t="s">
        <v>896</v>
      </c>
      <c r="C12" s="396"/>
      <c r="D12" s="396"/>
      <c r="E12" s="396"/>
      <c r="F12" s="397"/>
      <c r="G12" s="398">
        <f>G11*0.01</f>
        <v>4.2869999999999999</v>
      </c>
      <c r="H12" s="301"/>
      <c r="I12" s="301"/>
    </row>
    <row r="13" spans="1:9">
      <c r="A13" s="399"/>
      <c r="B13" s="400" t="s">
        <v>40</v>
      </c>
      <c r="C13" s="396"/>
      <c r="D13" s="396"/>
      <c r="E13" s="396"/>
      <c r="F13" s="397"/>
      <c r="G13" s="398">
        <f>SUM(G11:G12)</f>
        <v>432.98699999999997</v>
      </c>
      <c r="H13" s="301"/>
      <c r="I13" s="301"/>
    </row>
    <row r="14" spans="1:9">
      <c r="A14" s="399"/>
      <c r="B14" s="400" t="s">
        <v>898</v>
      </c>
      <c r="C14" s="396"/>
      <c r="D14" s="396"/>
      <c r="E14" s="396"/>
      <c r="F14" s="397"/>
      <c r="G14" s="398">
        <f>G13*15%</f>
        <v>64.948049999999995</v>
      </c>
      <c r="H14" s="301"/>
      <c r="I14" s="301"/>
    </row>
    <row r="15" spans="1:9">
      <c r="A15" s="399"/>
      <c r="B15" s="401" t="s">
        <v>2153</v>
      </c>
      <c r="C15" s="402"/>
      <c r="D15" s="403"/>
      <c r="E15" s="403"/>
      <c r="F15" s="404"/>
      <c r="G15" s="405">
        <f>ROUND(SUM(G13:G14),2)</f>
        <v>497.94</v>
      </c>
      <c r="H15" s="406"/>
      <c r="I15" s="406"/>
    </row>
    <row r="16" spans="1:9">
      <c r="A16" s="524" t="str">
        <f>CONCATENATE("Say ₹ ",G8," + ",G15," x Cost Index")</f>
        <v>Say ₹ 19164.75 + 497.94 x Cost Index</v>
      </c>
      <c r="B16" s="454"/>
      <c r="C16" s="454"/>
      <c r="D16" s="454"/>
      <c r="E16" s="454"/>
      <c r="F16" s="454"/>
      <c r="G16" s="450"/>
      <c r="H16" s="390">
        <f>G4*1.01*1.15</f>
        <v>19164.75</v>
      </c>
      <c r="I16" s="390">
        <f>SUM(G9:G10)*1.01*1.15</f>
        <v>497.93504999999993</v>
      </c>
    </row>
    <row r="17" spans="1:9">
      <c r="A17" s="391" t="s">
        <v>884</v>
      </c>
      <c r="B17" s="636" t="s">
        <v>2162</v>
      </c>
      <c r="C17" s="454"/>
      <c r="D17" s="454"/>
      <c r="E17" s="454"/>
      <c r="F17" s="454"/>
      <c r="G17" s="522"/>
      <c r="H17" s="392"/>
      <c r="I17" s="392"/>
    </row>
    <row r="18" spans="1:9">
      <c r="A18" s="411" t="s">
        <v>865</v>
      </c>
      <c r="B18" s="394" t="s">
        <v>2163</v>
      </c>
      <c r="C18" s="396">
        <v>1</v>
      </c>
      <c r="D18" s="396" t="s">
        <v>1107</v>
      </c>
      <c r="E18" s="396">
        <v>26500</v>
      </c>
      <c r="F18" s="397" t="s">
        <v>2147</v>
      </c>
      <c r="G18" s="398">
        <f>E18*C18</f>
        <v>26500</v>
      </c>
      <c r="H18" s="301"/>
      <c r="I18" s="301"/>
    </row>
    <row r="19" spans="1:9">
      <c r="A19" s="399"/>
      <c r="B19" s="400" t="s">
        <v>896</v>
      </c>
      <c r="C19" s="396"/>
      <c r="D19" s="396"/>
      <c r="E19" s="396"/>
      <c r="F19" s="397"/>
      <c r="G19" s="398">
        <f>G18*1%</f>
        <v>265</v>
      </c>
      <c r="H19" s="301"/>
      <c r="I19" s="301"/>
    </row>
    <row r="20" spans="1:9">
      <c r="A20" s="399"/>
      <c r="B20" s="400" t="s">
        <v>40</v>
      </c>
      <c r="C20" s="396"/>
      <c r="D20" s="396"/>
      <c r="E20" s="396"/>
      <c r="F20" s="397"/>
      <c r="G20" s="398">
        <f>SUM(G18:G19)</f>
        <v>26765</v>
      </c>
      <c r="H20" s="301"/>
      <c r="I20" s="301"/>
    </row>
    <row r="21" spans="1:9">
      <c r="A21" s="399"/>
      <c r="B21" s="400" t="s">
        <v>898</v>
      </c>
      <c r="C21" s="396"/>
      <c r="D21" s="396"/>
      <c r="E21" s="396"/>
      <c r="F21" s="397"/>
      <c r="G21" s="398">
        <f>G20*15%</f>
        <v>4014.75</v>
      </c>
      <c r="H21" s="301"/>
      <c r="I21" s="301"/>
    </row>
    <row r="22" spans="1:9">
      <c r="A22" s="399"/>
      <c r="B22" s="401" t="s">
        <v>2153</v>
      </c>
      <c r="C22" s="402"/>
      <c r="D22" s="403"/>
      <c r="E22" s="403"/>
      <c r="F22" s="404"/>
      <c r="G22" s="405">
        <f>ROUND(SUM(G20:G21),2)</f>
        <v>30779.75</v>
      </c>
      <c r="H22" s="406"/>
      <c r="I22" s="406"/>
    </row>
    <row r="23" spans="1:9">
      <c r="A23" s="393" t="s">
        <v>871</v>
      </c>
      <c r="B23" s="407" t="s">
        <v>874</v>
      </c>
      <c r="C23" s="396">
        <v>0.3</v>
      </c>
      <c r="D23" s="408" t="s">
        <v>875</v>
      </c>
      <c r="E23" s="396">
        <v>784</v>
      </c>
      <c r="F23" s="409" t="s">
        <v>876</v>
      </c>
      <c r="G23" s="398">
        <f t="shared" ref="G23:G24" si="1">C23*E23</f>
        <v>235.2</v>
      </c>
      <c r="H23" s="301"/>
      <c r="I23" s="301"/>
    </row>
    <row r="24" spans="1:9">
      <c r="A24" s="393" t="s">
        <v>903</v>
      </c>
      <c r="B24" s="407" t="s">
        <v>59</v>
      </c>
      <c r="C24" s="396">
        <v>0.3</v>
      </c>
      <c r="D24" s="408" t="s">
        <v>875</v>
      </c>
      <c r="E24" s="396">
        <v>645</v>
      </c>
      <c r="F24" s="409" t="s">
        <v>876</v>
      </c>
      <c r="G24" s="398">
        <f t="shared" si="1"/>
        <v>193.5</v>
      </c>
      <c r="H24" s="301"/>
      <c r="I24" s="301"/>
    </row>
    <row r="25" spans="1:9">
      <c r="A25" s="399"/>
      <c r="B25" s="400" t="s">
        <v>1064</v>
      </c>
      <c r="C25" s="396"/>
      <c r="D25" s="396"/>
      <c r="E25" s="396"/>
      <c r="F25" s="397"/>
      <c r="G25" s="398">
        <f>SUM(G23:G24)</f>
        <v>428.7</v>
      </c>
      <c r="H25" s="301"/>
      <c r="I25" s="301"/>
    </row>
    <row r="26" spans="1:9">
      <c r="A26" s="399"/>
      <c r="B26" s="400" t="s">
        <v>896</v>
      </c>
      <c r="C26" s="396"/>
      <c r="D26" s="396"/>
      <c r="E26" s="396"/>
      <c r="F26" s="397"/>
      <c r="G26" s="398">
        <f>G25*0.01</f>
        <v>4.2869999999999999</v>
      </c>
      <c r="H26" s="301"/>
      <c r="I26" s="301"/>
    </row>
    <row r="27" spans="1:9">
      <c r="A27" s="399"/>
      <c r="B27" s="400" t="s">
        <v>40</v>
      </c>
      <c r="C27" s="396"/>
      <c r="D27" s="396"/>
      <c r="E27" s="396"/>
      <c r="F27" s="397"/>
      <c r="G27" s="398">
        <f>SUM(G25:G26)</f>
        <v>432.98699999999997</v>
      </c>
      <c r="H27" s="301"/>
      <c r="I27" s="301"/>
    </row>
    <row r="28" spans="1:9">
      <c r="A28" s="399"/>
      <c r="B28" s="400" t="s">
        <v>898</v>
      </c>
      <c r="C28" s="396"/>
      <c r="D28" s="396"/>
      <c r="E28" s="396"/>
      <c r="F28" s="397"/>
      <c r="G28" s="398">
        <f>G27*15%</f>
        <v>64.948049999999995</v>
      </c>
      <c r="H28" s="301"/>
      <c r="I28" s="301"/>
    </row>
    <row r="29" spans="1:9">
      <c r="A29" s="399"/>
      <c r="B29" s="401" t="s">
        <v>2153</v>
      </c>
      <c r="C29" s="402"/>
      <c r="D29" s="403"/>
      <c r="E29" s="403"/>
      <c r="F29" s="404"/>
      <c r="G29" s="405">
        <f>ROUND(SUM(G27:G28),2)</f>
        <v>497.94</v>
      </c>
      <c r="H29" s="406"/>
      <c r="I29" s="406"/>
    </row>
    <row r="30" spans="1:9">
      <c r="A30" s="524" t="str">
        <f>CONCATENATE("Say ₹ ",G22," + ",G29," x Cost Index")</f>
        <v>Say ₹ 30779.75 + 497.94 x Cost Index</v>
      </c>
      <c r="B30" s="454"/>
      <c r="C30" s="454"/>
      <c r="D30" s="454"/>
      <c r="E30" s="454"/>
      <c r="F30" s="454"/>
      <c r="G30" s="450"/>
      <c r="H30" s="390">
        <f>G18*1.01*1.15</f>
        <v>30779.749999999996</v>
      </c>
      <c r="I30" s="390">
        <f>SUM(G23:G24)*1.01*1.15</f>
        <v>497.93504999999993</v>
      </c>
    </row>
    <row r="31" spans="1:9">
      <c r="A31" s="391" t="s">
        <v>2188</v>
      </c>
      <c r="B31" s="636" t="s">
        <v>2190</v>
      </c>
      <c r="C31" s="454"/>
      <c r="D31" s="454"/>
      <c r="E31" s="454"/>
      <c r="F31" s="454"/>
      <c r="G31" s="522"/>
      <c r="H31" s="392"/>
      <c r="I31" s="392"/>
    </row>
    <row r="32" spans="1:9">
      <c r="A32" s="411" t="s">
        <v>865</v>
      </c>
      <c r="B32" s="394" t="s">
        <v>2191</v>
      </c>
      <c r="C32" s="396">
        <v>1</v>
      </c>
      <c r="D32" s="396" t="s">
        <v>1107</v>
      </c>
      <c r="E32" s="396">
        <v>36000</v>
      </c>
      <c r="F32" s="397" t="s">
        <v>2147</v>
      </c>
      <c r="G32" s="398">
        <f>E32*C32</f>
        <v>36000</v>
      </c>
      <c r="H32" s="301"/>
      <c r="I32" s="301"/>
    </row>
    <row r="33" spans="1:9">
      <c r="A33" s="399"/>
      <c r="B33" s="400" t="s">
        <v>896</v>
      </c>
      <c r="C33" s="396"/>
      <c r="D33" s="396"/>
      <c r="E33" s="396"/>
      <c r="F33" s="397"/>
      <c r="G33" s="398">
        <f>G32*1%</f>
        <v>360</v>
      </c>
      <c r="H33" s="301"/>
      <c r="I33" s="301"/>
    </row>
    <row r="34" spans="1:9">
      <c r="A34" s="399"/>
      <c r="B34" s="400" t="s">
        <v>40</v>
      </c>
      <c r="C34" s="396"/>
      <c r="D34" s="396"/>
      <c r="E34" s="396"/>
      <c r="F34" s="397"/>
      <c r="G34" s="398">
        <f>SUM(G32:G33)</f>
        <v>36360</v>
      </c>
      <c r="H34" s="301"/>
      <c r="I34" s="301"/>
    </row>
    <row r="35" spans="1:9">
      <c r="A35" s="399"/>
      <c r="B35" s="400" t="s">
        <v>898</v>
      </c>
      <c r="C35" s="396"/>
      <c r="D35" s="396"/>
      <c r="E35" s="396"/>
      <c r="F35" s="397"/>
      <c r="G35" s="398">
        <f>G34*15%</f>
        <v>5454</v>
      </c>
      <c r="H35" s="301"/>
      <c r="I35" s="301"/>
    </row>
    <row r="36" spans="1:9">
      <c r="A36" s="399"/>
      <c r="B36" s="401" t="s">
        <v>2153</v>
      </c>
      <c r="C36" s="402"/>
      <c r="D36" s="403"/>
      <c r="E36" s="403"/>
      <c r="F36" s="404"/>
      <c r="G36" s="405">
        <f>ROUND(SUM(G34:G35),2)</f>
        <v>41814</v>
      </c>
      <c r="H36" s="406"/>
      <c r="I36" s="406"/>
    </row>
    <row r="37" spans="1:9">
      <c r="A37" s="393" t="s">
        <v>871</v>
      </c>
      <c r="B37" s="407" t="s">
        <v>874</v>
      </c>
      <c r="C37" s="396">
        <v>0.3</v>
      </c>
      <c r="D37" s="408" t="s">
        <v>875</v>
      </c>
      <c r="E37" s="396">
        <v>784</v>
      </c>
      <c r="F37" s="409" t="s">
        <v>876</v>
      </c>
      <c r="G37" s="398">
        <f t="shared" ref="G37:G38" si="2">C37*E37</f>
        <v>235.2</v>
      </c>
      <c r="H37" s="301"/>
      <c r="I37" s="301"/>
    </row>
    <row r="38" spans="1:9">
      <c r="A38" s="393" t="s">
        <v>903</v>
      </c>
      <c r="B38" s="407" t="s">
        <v>59</v>
      </c>
      <c r="C38" s="396">
        <v>0.3</v>
      </c>
      <c r="D38" s="408" t="s">
        <v>875</v>
      </c>
      <c r="E38" s="396">
        <v>645</v>
      </c>
      <c r="F38" s="409" t="s">
        <v>876</v>
      </c>
      <c r="G38" s="398">
        <f t="shared" si="2"/>
        <v>193.5</v>
      </c>
      <c r="H38" s="301"/>
      <c r="I38" s="301"/>
    </row>
    <row r="39" spans="1:9">
      <c r="A39" s="399"/>
      <c r="B39" s="400" t="s">
        <v>1064</v>
      </c>
      <c r="C39" s="396"/>
      <c r="D39" s="396"/>
      <c r="E39" s="396"/>
      <c r="F39" s="397"/>
      <c r="G39" s="398">
        <f>SUM(G37:G38)</f>
        <v>428.7</v>
      </c>
      <c r="H39" s="301"/>
      <c r="I39" s="301"/>
    </row>
    <row r="40" spans="1:9">
      <c r="A40" s="399"/>
      <c r="B40" s="400" t="s">
        <v>896</v>
      </c>
      <c r="C40" s="396"/>
      <c r="D40" s="396"/>
      <c r="E40" s="396"/>
      <c r="F40" s="397"/>
      <c r="G40" s="398">
        <f>G39*0.01</f>
        <v>4.2869999999999999</v>
      </c>
      <c r="H40" s="301"/>
      <c r="I40" s="301"/>
    </row>
    <row r="41" spans="1:9">
      <c r="A41" s="399"/>
      <c r="B41" s="400" t="s">
        <v>40</v>
      </c>
      <c r="C41" s="396"/>
      <c r="D41" s="396"/>
      <c r="E41" s="396"/>
      <c r="F41" s="397"/>
      <c r="G41" s="398">
        <f>SUM(G39:G40)</f>
        <v>432.98699999999997</v>
      </c>
      <c r="H41" s="301"/>
      <c r="I41" s="301"/>
    </row>
    <row r="42" spans="1:9">
      <c r="A42" s="399"/>
      <c r="B42" s="400" t="s">
        <v>898</v>
      </c>
      <c r="C42" s="396"/>
      <c r="D42" s="396"/>
      <c r="E42" s="396"/>
      <c r="F42" s="397"/>
      <c r="G42" s="398">
        <f>G41*15%</f>
        <v>64.948049999999995</v>
      </c>
      <c r="H42" s="301"/>
      <c r="I42" s="301"/>
    </row>
    <row r="43" spans="1:9">
      <c r="A43" s="399"/>
      <c r="B43" s="401" t="s">
        <v>2153</v>
      </c>
      <c r="C43" s="402"/>
      <c r="D43" s="403"/>
      <c r="E43" s="403"/>
      <c r="F43" s="404"/>
      <c r="G43" s="405">
        <f>ROUND(SUM(G41:G42),2)</f>
        <v>497.94</v>
      </c>
      <c r="H43" s="406"/>
      <c r="I43" s="406"/>
    </row>
    <row r="44" spans="1:9">
      <c r="A44" s="524" t="str">
        <f>CONCATENATE("Say ₹ ",G36," + ",G43," x Cost Index")</f>
        <v>Say ₹ 41814 + 497.94 x Cost Index</v>
      </c>
      <c r="B44" s="454"/>
      <c r="C44" s="454"/>
      <c r="D44" s="454"/>
      <c r="E44" s="454"/>
      <c r="F44" s="454"/>
      <c r="G44" s="450"/>
      <c r="H44" s="390">
        <f>G32*1.01*1.15</f>
        <v>41814</v>
      </c>
      <c r="I44" s="390">
        <f>SUM(G37:G38)*1.01*1.15</f>
        <v>497.93504999999993</v>
      </c>
    </row>
    <row r="45" spans="1:9">
      <c r="A45" s="391" t="s">
        <v>2204</v>
      </c>
      <c r="B45" s="636" t="s">
        <v>2205</v>
      </c>
      <c r="C45" s="454"/>
      <c r="D45" s="454"/>
      <c r="E45" s="454"/>
      <c r="F45" s="454"/>
      <c r="G45" s="522"/>
      <c r="H45" s="392"/>
      <c r="I45" s="392"/>
    </row>
    <row r="46" spans="1:9">
      <c r="A46" s="411" t="s">
        <v>865</v>
      </c>
      <c r="B46" s="394" t="s">
        <v>2206</v>
      </c>
      <c r="C46" s="396">
        <v>1</v>
      </c>
      <c r="D46" s="396" t="s">
        <v>1107</v>
      </c>
      <c r="E46" s="396">
        <v>40500</v>
      </c>
      <c r="F46" s="397" t="s">
        <v>2147</v>
      </c>
      <c r="G46" s="398">
        <f>E46*C46</f>
        <v>40500</v>
      </c>
      <c r="H46" s="301"/>
      <c r="I46" s="301"/>
    </row>
    <row r="47" spans="1:9">
      <c r="A47" s="399"/>
      <c r="B47" s="400" t="s">
        <v>896</v>
      </c>
      <c r="C47" s="396"/>
      <c r="D47" s="396"/>
      <c r="E47" s="396"/>
      <c r="F47" s="397"/>
      <c r="G47" s="398">
        <f>G46*1%</f>
        <v>405</v>
      </c>
      <c r="H47" s="301"/>
      <c r="I47" s="301"/>
    </row>
    <row r="48" spans="1:9">
      <c r="A48" s="399"/>
      <c r="B48" s="400" t="s">
        <v>40</v>
      </c>
      <c r="C48" s="396"/>
      <c r="D48" s="396"/>
      <c r="E48" s="396"/>
      <c r="F48" s="397"/>
      <c r="G48" s="398">
        <f>SUM(G46:G47)</f>
        <v>40905</v>
      </c>
      <c r="H48" s="301"/>
      <c r="I48" s="301"/>
    </row>
    <row r="49" spans="1:9">
      <c r="A49" s="399"/>
      <c r="B49" s="400" t="s">
        <v>898</v>
      </c>
      <c r="C49" s="396"/>
      <c r="D49" s="396"/>
      <c r="E49" s="396"/>
      <c r="F49" s="397"/>
      <c r="G49" s="398">
        <f>G48*15%</f>
        <v>6135.75</v>
      </c>
      <c r="H49" s="301"/>
      <c r="I49" s="301"/>
    </row>
    <row r="50" spans="1:9">
      <c r="A50" s="399"/>
      <c r="B50" s="401" t="s">
        <v>2153</v>
      </c>
      <c r="C50" s="402"/>
      <c r="D50" s="403"/>
      <c r="E50" s="403"/>
      <c r="F50" s="404"/>
      <c r="G50" s="405">
        <f>ROUND(SUM(G48:G49),2)</f>
        <v>47040.75</v>
      </c>
      <c r="H50" s="406"/>
      <c r="I50" s="406"/>
    </row>
    <row r="51" spans="1:9">
      <c r="A51" s="393" t="s">
        <v>871</v>
      </c>
      <c r="B51" s="407" t="s">
        <v>874</v>
      </c>
      <c r="C51" s="396">
        <v>0.3</v>
      </c>
      <c r="D51" s="408" t="s">
        <v>875</v>
      </c>
      <c r="E51" s="396">
        <v>784</v>
      </c>
      <c r="F51" s="409" t="s">
        <v>876</v>
      </c>
      <c r="G51" s="398">
        <f t="shared" ref="G51:G52" si="3">C51*E51</f>
        <v>235.2</v>
      </c>
      <c r="H51" s="301"/>
      <c r="I51" s="301"/>
    </row>
    <row r="52" spans="1:9">
      <c r="A52" s="393" t="s">
        <v>903</v>
      </c>
      <c r="B52" s="407" t="s">
        <v>59</v>
      </c>
      <c r="C52" s="396">
        <v>0.3</v>
      </c>
      <c r="D52" s="408" t="s">
        <v>875</v>
      </c>
      <c r="E52" s="396">
        <v>645</v>
      </c>
      <c r="F52" s="409" t="s">
        <v>876</v>
      </c>
      <c r="G52" s="398">
        <f t="shared" si="3"/>
        <v>193.5</v>
      </c>
      <c r="H52" s="301"/>
      <c r="I52" s="301"/>
    </row>
    <row r="53" spans="1:9">
      <c r="A53" s="399"/>
      <c r="B53" s="400" t="s">
        <v>1064</v>
      </c>
      <c r="C53" s="396"/>
      <c r="D53" s="396"/>
      <c r="E53" s="396"/>
      <c r="F53" s="397"/>
      <c r="G53" s="398">
        <f>SUM(G51:G52)</f>
        <v>428.7</v>
      </c>
      <c r="H53" s="301"/>
      <c r="I53" s="301"/>
    </row>
    <row r="54" spans="1:9">
      <c r="A54" s="399"/>
      <c r="B54" s="400" t="s">
        <v>896</v>
      </c>
      <c r="C54" s="396"/>
      <c r="D54" s="396"/>
      <c r="E54" s="396"/>
      <c r="F54" s="397"/>
      <c r="G54" s="398">
        <f>G53*0.01</f>
        <v>4.2869999999999999</v>
      </c>
      <c r="H54" s="301"/>
      <c r="I54" s="301"/>
    </row>
    <row r="55" spans="1:9">
      <c r="A55" s="399"/>
      <c r="B55" s="400" t="s">
        <v>40</v>
      </c>
      <c r="C55" s="396"/>
      <c r="D55" s="396"/>
      <c r="E55" s="396"/>
      <c r="F55" s="397"/>
      <c r="G55" s="398">
        <f>SUM(G53:G54)</f>
        <v>432.98699999999997</v>
      </c>
      <c r="H55" s="301"/>
      <c r="I55" s="301"/>
    </row>
    <row r="56" spans="1:9">
      <c r="A56" s="399"/>
      <c r="B56" s="400" t="s">
        <v>898</v>
      </c>
      <c r="C56" s="396"/>
      <c r="D56" s="396"/>
      <c r="E56" s="396"/>
      <c r="F56" s="397"/>
      <c r="G56" s="398">
        <f>G55*15%</f>
        <v>64.948049999999995</v>
      </c>
      <c r="H56" s="301"/>
      <c r="I56" s="301"/>
    </row>
    <row r="57" spans="1:9">
      <c r="A57" s="399"/>
      <c r="B57" s="401" t="s">
        <v>2153</v>
      </c>
      <c r="C57" s="402"/>
      <c r="D57" s="403"/>
      <c r="E57" s="403"/>
      <c r="F57" s="404"/>
      <c r="G57" s="405">
        <f>ROUND(SUM(G55:G56),2)</f>
        <v>497.94</v>
      </c>
      <c r="H57" s="406"/>
      <c r="I57" s="406"/>
    </row>
    <row r="58" spans="1:9">
      <c r="A58" s="524" t="str">
        <f>CONCATENATE("Say ₹ ",G50," + ",G57," x Cost Index")</f>
        <v>Say ₹ 47040.75 + 497.94 x Cost Index</v>
      </c>
      <c r="B58" s="454"/>
      <c r="C58" s="454"/>
      <c r="D58" s="454"/>
      <c r="E58" s="454"/>
      <c r="F58" s="454"/>
      <c r="G58" s="450"/>
      <c r="H58" s="390">
        <f>G46*1.01*1.15</f>
        <v>47040.75</v>
      </c>
      <c r="I58" s="390">
        <f>SUM(G51:G52)*1.01*1.15</f>
        <v>497.93504999999993</v>
      </c>
    </row>
    <row r="59" spans="1:9">
      <c r="A59" s="391" t="s">
        <v>2211</v>
      </c>
      <c r="B59" s="636" t="s">
        <v>2212</v>
      </c>
      <c r="C59" s="454"/>
      <c r="D59" s="454"/>
      <c r="E59" s="454"/>
      <c r="F59" s="454"/>
      <c r="G59" s="522"/>
      <c r="H59" s="392"/>
      <c r="I59" s="392"/>
    </row>
    <row r="60" spans="1:9">
      <c r="A60" s="411" t="s">
        <v>865</v>
      </c>
      <c r="B60" s="394" t="s">
        <v>2213</v>
      </c>
      <c r="C60" s="396">
        <v>1</v>
      </c>
      <c r="D60" s="396" t="s">
        <v>1107</v>
      </c>
      <c r="E60" s="396">
        <v>49000</v>
      </c>
      <c r="F60" s="397" t="s">
        <v>2147</v>
      </c>
      <c r="G60" s="398">
        <f>E60*C60</f>
        <v>49000</v>
      </c>
      <c r="H60" s="301"/>
      <c r="I60" s="301"/>
    </row>
    <row r="61" spans="1:9">
      <c r="A61" s="399"/>
      <c r="B61" s="400" t="s">
        <v>896</v>
      </c>
      <c r="C61" s="396"/>
      <c r="D61" s="396"/>
      <c r="E61" s="396"/>
      <c r="F61" s="397"/>
      <c r="G61" s="398">
        <f>G60*1%</f>
        <v>490</v>
      </c>
      <c r="H61" s="301"/>
      <c r="I61" s="301"/>
    </row>
    <row r="62" spans="1:9">
      <c r="A62" s="399"/>
      <c r="B62" s="400" t="s">
        <v>40</v>
      </c>
      <c r="C62" s="396"/>
      <c r="D62" s="396"/>
      <c r="E62" s="396"/>
      <c r="F62" s="397"/>
      <c r="G62" s="398">
        <f>SUM(G60:G61)</f>
        <v>49490</v>
      </c>
      <c r="H62" s="301"/>
      <c r="I62" s="301"/>
    </row>
    <row r="63" spans="1:9">
      <c r="A63" s="399"/>
      <c r="B63" s="400" t="s">
        <v>898</v>
      </c>
      <c r="C63" s="396"/>
      <c r="D63" s="396"/>
      <c r="E63" s="396"/>
      <c r="F63" s="397"/>
      <c r="G63" s="398">
        <f>G62*15%</f>
        <v>7423.5</v>
      </c>
      <c r="H63" s="301"/>
      <c r="I63" s="301"/>
    </row>
    <row r="64" spans="1:9">
      <c r="A64" s="399"/>
      <c r="B64" s="401" t="s">
        <v>2153</v>
      </c>
      <c r="C64" s="402"/>
      <c r="D64" s="403"/>
      <c r="E64" s="403"/>
      <c r="F64" s="404"/>
      <c r="G64" s="405">
        <f>ROUND(SUM(G62:G63),2)</f>
        <v>56913.5</v>
      </c>
      <c r="H64" s="406"/>
      <c r="I64" s="406"/>
    </row>
    <row r="65" spans="1:9">
      <c r="A65" s="393" t="s">
        <v>871</v>
      </c>
      <c r="B65" s="407" t="s">
        <v>874</v>
      </c>
      <c r="C65" s="396">
        <v>0.3</v>
      </c>
      <c r="D65" s="408" t="s">
        <v>875</v>
      </c>
      <c r="E65" s="396">
        <v>784</v>
      </c>
      <c r="F65" s="409" t="s">
        <v>876</v>
      </c>
      <c r="G65" s="398">
        <f t="shared" ref="G65:G66" si="4">C65*E65</f>
        <v>235.2</v>
      </c>
      <c r="H65" s="301"/>
      <c r="I65" s="301"/>
    </row>
    <row r="66" spans="1:9">
      <c r="A66" s="393" t="s">
        <v>903</v>
      </c>
      <c r="B66" s="407" t="s">
        <v>59</v>
      </c>
      <c r="C66" s="408">
        <v>0.4</v>
      </c>
      <c r="D66" s="408" t="s">
        <v>875</v>
      </c>
      <c r="E66" s="396">
        <v>645</v>
      </c>
      <c r="F66" s="409" t="s">
        <v>876</v>
      </c>
      <c r="G66" s="398">
        <f t="shared" si="4"/>
        <v>258</v>
      </c>
      <c r="H66" s="301"/>
      <c r="I66" s="301"/>
    </row>
    <row r="67" spans="1:9">
      <c r="A67" s="399"/>
      <c r="B67" s="400" t="s">
        <v>1064</v>
      </c>
      <c r="C67" s="396"/>
      <c r="D67" s="396"/>
      <c r="E67" s="396"/>
      <c r="F67" s="397"/>
      <c r="G67" s="398">
        <f>SUM(G65:G66)</f>
        <v>493.2</v>
      </c>
      <c r="H67" s="301"/>
      <c r="I67" s="301"/>
    </row>
    <row r="68" spans="1:9">
      <c r="A68" s="399"/>
      <c r="B68" s="400" t="s">
        <v>896</v>
      </c>
      <c r="C68" s="396"/>
      <c r="D68" s="396"/>
      <c r="E68" s="396"/>
      <c r="F68" s="397"/>
      <c r="G68" s="398">
        <f>G67*0.01</f>
        <v>4.9320000000000004</v>
      </c>
      <c r="H68" s="301"/>
      <c r="I68" s="301"/>
    </row>
    <row r="69" spans="1:9">
      <c r="A69" s="399"/>
      <c r="B69" s="400" t="s">
        <v>40</v>
      </c>
      <c r="C69" s="396"/>
      <c r="D69" s="396"/>
      <c r="E69" s="396"/>
      <c r="F69" s="397"/>
      <c r="G69" s="398">
        <f>SUM(G67:G68)</f>
        <v>498.13200000000001</v>
      </c>
      <c r="H69" s="301"/>
      <c r="I69" s="301"/>
    </row>
    <row r="70" spans="1:9">
      <c r="A70" s="399"/>
      <c r="B70" s="400" t="s">
        <v>898</v>
      </c>
      <c r="C70" s="396"/>
      <c r="D70" s="396"/>
      <c r="E70" s="396"/>
      <c r="F70" s="397"/>
      <c r="G70" s="398">
        <f>G69*15%</f>
        <v>74.719799999999992</v>
      </c>
      <c r="H70" s="301"/>
      <c r="I70" s="301"/>
    </row>
    <row r="71" spans="1:9">
      <c r="A71" s="399"/>
      <c r="B71" s="401" t="s">
        <v>2153</v>
      </c>
      <c r="C71" s="402"/>
      <c r="D71" s="403"/>
      <c r="E71" s="403"/>
      <c r="F71" s="404"/>
      <c r="G71" s="405">
        <f>ROUND(SUM(G69:G70),2)</f>
        <v>572.85</v>
      </c>
      <c r="H71" s="406"/>
      <c r="I71" s="406"/>
    </row>
    <row r="72" spans="1:9">
      <c r="A72" s="524" t="str">
        <f>CONCATENATE("Say ₹ ",G64," + ",G71," x Cost Index")</f>
        <v>Say ₹ 56913.5 + 572.85 x Cost Index</v>
      </c>
      <c r="B72" s="454"/>
      <c r="C72" s="454"/>
      <c r="D72" s="454"/>
      <c r="E72" s="454"/>
      <c r="F72" s="454"/>
      <c r="G72" s="450"/>
      <c r="H72" s="390">
        <f>G60*1.01*1.15</f>
        <v>56913.499999999993</v>
      </c>
      <c r="I72" s="390">
        <f>SUM(G65:G66)*1.01*1.15</f>
        <v>572.85179999999991</v>
      </c>
    </row>
    <row r="73" spans="1:9">
      <c r="A73" s="391" t="s">
        <v>2220</v>
      </c>
      <c r="B73" s="636" t="s">
        <v>2221</v>
      </c>
      <c r="C73" s="454"/>
      <c r="D73" s="454"/>
      <c r="E73" s="454"/>
      <c r="F73" s="454"/>
      <c r="G73" s="522"/>
      <c r="H73" s="392"/>
      <c r="I73" s="392"/>
    </row>
    <row r="74" spans="1:9">
      <c r="A74" s="411" t="s">
        <v>865</v>
      </c>
      <c r="B74" s="394" t="s">
        <v>2222</v>
      </c>
      <c r="C74" s="396">
        <v>1</v>
      </c>
      <c r="D74" s="396" t="s">
        <v>1107</v>
      </c>
      <c r="E74" s="396">
        <v>62000</v>
      </c>
      <c r="F74" s="397" t="s">
        <v>2147</v>
      </c>
      <c r="G74" s="398">
        <f>E74*C74</f>
        <v>62000</v>
      </c>
      <c r="H74" s="301"/>
      <c r="I74" s="301"/>
    </row>
    <row r="75" spans="1:9">
      <c r="A75" s="399"/>
      <c r="B75" s="400" t="s">
        <v>896</v>
      </c>
      <c r="C75" s="396"/>
      <c r="D75" s="396"/>
      <c r="E75" s="396"/>
      <c r="F75" s="397"/>
      <c r="G75" s="398">
        <f>G74*1%</f>
        <v>620</v>
      </c>
      <c r="H75" s="301"/>
      <c r="I75" s="301"/>
    </row>
    <row r="76" spans="1:9">
      <c r="A76" s="399"/>
      <c r="B76" s="400" t="s">
        <v>40</v>
      </c>
      <c r="C76" s="396"/>
      <c r="D76" s="396"/>
      <c r="E76" s="396"/>
      <c r="F76" s="397"/>
      <c r="G76" s="398">
        <f>SUM(G74:G75)</f>
        <v>62620</v>
      </c>
      <c r="H76" s="301"/>
      <c r="I76" s="301"/>
    </row>
    <row r="77" spans="1:9">
      <c r="A77" s="399"/>
      <c r="B77" s="400" t="s">
        <v>898</v>
      </c>
      <c r="C77" s="396"/>
      <c r="D77" s="396"/>
      <c r="E77" s="396"/>
      <c r="F77" s="397"/>
      <c r="G77" s="398">
        <f>G76*15%</f>
        <v>9393</v>
      </c>
      <c r="H77" s="301"/>
      <c r="I77" s="301"/>
    </row>
    <row r="78" spans="1:9">
      <c r="A78" s="399"/>
      <c r="B78" s="401" t="s">
        <v>2153</v>
      </c>
      <c r="C78" s="402"/>
      <c r="D78" s="403"/>
      <c r="E78" s="403"/>
      <c r="F78" s="404"/>
      <c r="G78" s="405">
        <f>ROUND(SUM(G76:G77),2)</f>
        <v>72013</v>
      </c>
      <c r="H78" s="406"/>
      <c r="I78" s="406"/>
    </row>
    <row r="79" spans="1:9">
      <c r="A79" s="393" t="s">
        <v>871</v>
      </c>
      <c r="B79" s="407" t="s">
        <v>874</v>
      </c>
      <c r="C79" s="408">
        <v>0.5</v>
      </c>
      <c r="D79" s="408" t="s">
        <v>875</v>
      </c>
      <c r="E79" s="396">
        <v>784</v>
      </c>
      <c r="F79" s="409" t="s">
        <v>876</v>
      </c>
      <c r="G79" s="398">
        <f t="shared" ref="G79:G80" si="5">C79*E79</f>
        <v>392</v>
      </c>
      <c r="H79" s="301"/>
      <c r="I79" s="301"/>
    </row>
    <row r="80" spans="1:9">
      <c r="A80" s="393" t="s">
        <v>903</v>
      </c>
      <c r="B80" s="407" t="s">
        <v>59</v>
      </c>
      <c r="C80" s="408">
        <v>0.4</v>
      </c>
      <c r="D80" s="408" t="s">
        <v>875</v>
      </c>
      <c r="E80" s="396">
        <v>645</v>
      </c>
      <c r="F80" s="409" t="s">
        <v>876</v>
      </c>
      <c r="G80" s="398">
        <f t="shared" si="5"/>
        <v>258</v>
      </c>
      <c r="H80" s="301"/>
      <c r="I80" s="301"/>
    </row>
    <row r="81" spans="1:9">
      <c r="A81" s="399"/>
      <c r="B81" s="400" t="s">
        <v>1064</v>
      </c>
      <c r="C81" s="396"/>
      <c r="D81" s="396"/>
      <c r="E81" s="396"/>
      <c r="F81" s="397"/>
      <c r="G81" s="398">
        <f>SUM(G79:G80)</f>
        <v>650</v>
      </c>
      <c r="H81" s="301"/>
      <c r="I81" s="301"/>
    </row>
    <row r="82" spans="1:9">
      <c r="A82" s="399"/>
      <c r="B82" s="400" t="s">
        <v>896</v>
      </c>
      <c r="C82" s="396"/>
      <c r="D82" s="396"/>
      <c r="E82" s="396"/>
      <c r="F82" s="397"/>
      <c r="G82" s="398">
        <f>G81*0.01</f>
        <v>6.5</v>
      </c>
      <c r="H82" s="301"/>
      <c r="I82" s="301"/>
    </row>
    <row r="83" spans="1:9">
      <c r="A83" s="399"/>
      <c r="B83" s="400" t="s">
        <v>40</v>
      </c>
      <c r="C83" s="396"/>
      <c r="D83" s="396"/>
      <c r="E83" s="396"/>
      <c r="F83" s="397"/>
      <c r="G83" s="398">
        <f>SUM(G81:G82)</f>
        <v>656.5</v>
      </c>
      <c r="H83" s="301"/>
      <c r="I83" s="301"/>
    </row>
    <row r="84" spans="1:9">
      <c r="A84" s="399"/>
      <c r="B84" s="400" t="s">
        <v>898</v>
      </c>
      <c r="C84" s="396"/>
      <c r="D84" s="396"/>
      <c r="E84" s="396"/>
      <c r="F84" s="397"/>
      <c r="G84" s="398">
        <f>G83*15%</f>
        <v>98.474999999999994</v>
      </c>
      <c r="H84" s="301"/>
      <c r="I84" s="301"/>
    </row>
    <row r="85" spans="1:9">
      <c r="A85" s="399"/>
      <c r="B85" s="401" t="s">
        <v>2153</v>
      </c>
      <c r="C85" s="402"/>
      <c r="D85" s="403"/>
      <c r="E85" s="403"/>
      <c r="F85" s="404"/>
      <c r="G85" s="405">
        <f>ROUND(SUM(G83:G84),2)</f>
        <v>754.98</v>
      </c>
      <c r="H85" s="406"/>
      <c r="I85" s="406"/>
    </row>
    <row r="86" spans="1:9">
      <c r="A86" s="524" t="str">
        <f>CONCATENATE("Say ₹ ",G78," + ",G85," x Cost Index")</f>
        <v>Say ₹ 72013 + 754.98 x Cost Index</v>
      </c>
      <c r="B86" s="454"/>
      <c r="C86" s="454"/>
      <c r="D86" s="454"/>
      <c r="E86" s="454"/>
      <c r="F86" s="454"/>
      <c r="G86" s="450"/>
      <c r="H86" s="390">
        <f>G74*1.01*1.15</f>
        <v>72013</v>
      </c>
      <c r="I86" s="390">
        <f>SUM(G79:G80)*1.01*1.15</f>
        <v>754.97499999999991</v>
      </c>
    </row>
    <row r="87" spans="1:9">
      <c r="A87" s="391" t="s">
        <v>2223</v>
      </c>
      <c r="B87" s="636" t="s">
        <v>2224</v>
      </c>
      <c r="C87" s="454"/>
      <c r="D87" s="454"/>
      <c r="E87" s="454"/>
      <c r="F87" s="454"/>
      <c r="G87" s="522"/>
      <c r="H87" s="392"/>
      <c r="I87" s="392"/>
    </row>
    <row r="88" spans="1:9">
      <c r="A88" s="411" t="s">
        <v>865</v>
      </c>
      <c r="B88" s="394" t="s">
        <v>2225</v>
      </c>
      <c r="C88" s="396">
        <v>1</v>
      </c>
      <c r="D88" s="396" t="s">
        <v>1107</v>
      </c>
      <c r="E88" s="396">
        <v>83000</v>
      </c>
      <c r="F88" s="397" t="s">
        <v>2147</v>
      </c>
      <c r="G88" s="398">
        <f>E88*C88</f>
        <v>83000</v>
      </c>
      <c r="H88" s="301"/>
      <c r="I88" s="301"/>
    </row>
    <row r="89" spans="1:9">
      <c r="A89" s="399"/>
      <c r="B89" s="400" t="s">
        <v>896</v>
      </c>
      <c r="C89" s="396"/>
      <c r="D89" s="396"/>
      <c r="E89" s="396"/>
      <c r="F89" s="397"/>
      <c r="G89" s="398">
        <f>G88*1%</f>
        <v>830</v>
      </c>
      <c r="H89" s="301"/>
      <c r="I89" s="301"/>
    </row>
    <row r="90" spans="1:9">
      <c r="A90" s="399"/>
      <c r="B90" s="400" t="s">
        <v>40</v>
      </c>
      <c r="C90" s="396"/>
      <c r="D90" s="396"/>
      <c r="E90" s="396"/>
      <c r="F90" s="397"/>
      <c r="G90" s="398">
        <f>SUM(G88:G89)</f>
        <v>83830</v>
      </c>
      <c r="H90" s="301"/>
      <c r="I90" s="301"/>
    </row>
    <row r="91" spans="1:9">
      <c r="A91" s="399"/>
      <c r="B91" s="400" t="s">
        <v>898</v>
      </c>
      <c r="C91" s="396"/>
      <c r="D91" s="396"/>
      <c r="E91" s="396"/>
      <c r="F91" s="397"/>
      <c r="G91" s="398">
        <f>G90*15%</f>
        <v>12574.5</v>
      </c>
      <c r="H91" s="301"/>
      <c r="I91" s="301"/>
    </row>
    <row r="92" spans="1:9">
      <c r="A92" s="399"/>
      <c r="B92" s="401" t="s">
        <v>2153</v>
      </c>
      <c r="C92" s="402"/>
      <c r="D92" s="403"/>
      <c r="E92" s="403"/>
      <c r="F92" s="404"/>
      <c r="G92" s="405">
        <f>ROUND(SUM(G90:G91),2)</f>
        <v>96404.5</v>
      </c>
      <c r="H92" s="406"/>
      <c r="I92" s="406"/>
    </row>
    <row r="93" spans="1:9">
      <c r="A93" s="393" t="s">
        <v>871</v>
      </c>
      <c r="B93" s="407" t="s">
        <v>874</v>
      </c>
      <c r="C93" s="408">
        <v>0.5</v>
      </c>
      <c r="D93" s="408" t="s">
        <v>875</v>
      </c>
      <c r="E93" s="396">
        <v>784</v>
      </c>
      <c r="F93" s="409" t="s">
        <v>876</v>
      </c>
      <c r="G93" s="398">
        <f t="shared" ref="G93:G94" si="6">C93*E93</f>
        <v>392</v>
      </c>
      <c r="H93" s="301"/>
      <c r="I93" s="301"/>
    </row>
    <row r="94" spans="1:9">
      <c r="A94" s="393" t="s">
        <v>903</v>
      </c>
      <c r="B94" s="407" t="s">
        <v>59</v>
      </c>
      <c r="C94" s="408">
        <v>0.4</v>
      </c>
      <c r="D94" s="408" t="s">
        <v>875</v>
      </c>
      <c r="E94" s="396">
        <v>645</v>
      </c>
      <c r="F94" s="409" t="s">
        <v>876</v>
      </c>
      <c r="G94" s="398">
        <f t="shared" si="6"/>
        <v>258</v>
      </c>
      <c r="H94" s="301"/>
      <c r="I94" s="301"/>
    </row>
    <row r="95" spans="1:9">
      <c r="A95" s="399"/>
      <c r="B95" s="400" t="s">
        <v>1064</v>
      </c>
      <c r="C95" s="396"/>
      <c r="D95" s="396"/>
      <c r="E95" s="396"/>
      <c r="F95" s="397"/>
      <c r="G95" s="398">
        <f>SUM(G93:G94)</f>
        <v>650</v>
      </c>
      <c r="H95" s="301"/>
      <c r="I95" s="301"/>
    </row>
    <row r="96" spans="1:9">
      <c r="A96" s="399"/>
      <c r="B96" s="400" t="s">
        <v>896</v>
      </c>
      <c r="C96" s="396"/>
      <c r="D96" s="396"/>
      <c r="E96" s="396"/>
      <c r="F96" s="397"/>
      <c r="G96" s="398">
        <f>G95*0.01</f>
        <v>6.5</v>
      </c>
      <c r="H96" s="301"/>
      <c r="I96" s="301"/>
    </row>
    <row r="97" spans="1:9">
      <c r="A97" s="399"/>
      <c r="B97" s="400" t="s">
        <v>40</v>
      </c>
      <c r="C97" s="396"/>
      <c r="D97" s="396"/>
      <c r="E97" s="396"/>
      <c r="F97" s="397"/>
      <c r="G97" s="398">
        <f>SUM(G95:G96)</f>
        <v>656.5</v>
      </c>
      <c r="H97" s="301"/>
      <c r="I97" s="301"/>
    </row>
    <row r="98" spans="1:9">
      <c r="A98" s="399"/>
      <c r="B98" s="400" t="s">
        <v>898</v>
      </c>
      <c r="C98" s="396"/>
      <c r="D98" s="396"/>
      <c r="E98" s="396"/>
      <c r="F98" s="397"/>
      <c r="G98" s="398">
        <f>G97*15%</f>
        <v>98.474999999999994</v>
      </c>
      <c r="H98" s="301"/>
      <c r="I98" s="301"/>
    </row>
    <row r="99" spans="1:9">
      <c r="A99" s="399"/>
      <c r="B99" s="401" t="s">
        <v>2153</v>
      </c>
      <c r="C99" s="402"/>
      <c r="D99" s="403"/>
      <c r="E99" s="403"/>
      <c r="F99" s="404"/>
      <c r="G99" s="405">
        <f>ROUND(SUM(G97:G98),2)</f>
        <v>754.98</v>
      </c>
      <c r="H99" s="406"/>
      <c r="I99" s="406"/>
    </row>
    <row r="100" spans="1:9">
      <c r="A100" s="524" t="str">
        <f>CONCATENATE("Say ₹ ",G92," + ",G99," x Cost Index")</f>
        <v>Say ₹ 96404.5 + 754.98 x Cost Index</v>
      </c>
      <c r="B100" s="454"/>
      <c r="C100" s="454"/>
      <c r="D100" s="454"/>
      <c r="E100" s="454"/>
      <c r="F100" s="454"/>
      <c r="G100" s="450"/>
      <c r="H100" s="390">
        <f>G88*1.01*1.15</f>
        <v>96404.499999999985</v>
      </c>
      <c r="I100" s="390">
        <f>SUM(G93:G94)*1.01*1.15</f>
        <v>754.97499999999991</v>
      </c>
    </row>
    <row r="101" spans="1:9">
      <c r="A101" s="637" t="s">
        <v>2230</v>
      </c>
      <c r="B101" s="454"/>
      <c r="C101" s="454"/>
      <c r="D101" s="454"/>
      <c r="E101" s="454"/>
      <c r="F101" s="454"/>
      <c r="G101" s="522"/>
      <c r="H101" s="406"/>
      <c r="I101" s="406"/>
    </row>
    <row r="102" spans="1:9">
      <c r="A102" s="391" t="s">
        <v>868</v>
      </c>
      <c r="B102" s="636" t="s">
        <v>2231</v>
      </c>
      <c r="C102" s="454"/>
      <c r="D102" s="454"/>
      <c r="E102" s="454"/>
      <c r="F102" s="454"/>
      <c r="G102" s="522"/>
      <c r="H102" s="429"/>
      <c r="I102" s="429"/>
    </row>
    <row r="103" spans="1:9">
      <c r="A103" s="411" t="s">
        <v>865</v>
      </c>
      <c r="B103" s="394" t="s">
        <v>2233</v>
      </c>
      <c r="C103" s="396">
        <v>1</v>
      </c>
      <c r="D103" s="396" t="s">
        <v>1107</v>
      </c>
      <c r="E103" s="396">
        <v>7677</v>
      </c>
      <c r="F103" s="397" t="s">
        <v>2147</v>
      </c>
      <c r="G103" s="398">
        <f>E103*C103</f>
        <v>7677</v>
      </c>
      <c r="H103" s="301"/>
      <c r="I103" s="301"/>
    </row>
    <row r="104" spans="1:9">
      <c r="A104" s="391"/>
      <c r="B104" s="400" t="s">
        <v>896</v>
      </c>
      <c r="C104" s="396"/>
      <c r="D104" s="396"/>
      <c r="E104" s="396"/>
      <c r="F104" s="397"/>
      <c r="G104" s="398">
        <f>G103*1%</f>
        <v>76.77</v>
      </c>
      <c r="H104" s="301"/>
      <c r="I104" s="301"/>
    </row>
    <row r="105" spans="1:9">
      <c r="A105" s="391"/>
      <c r="B105" s="400" t="s">
        <v>40</v>
      </c>
      <c r="C105" s="396"/>
      <c r="D105" s="396"/>
      <c r="E105" s="396"/>
      <c r="F105" s="397"/>
      <c r="G105" s="398">
        <f>SUM(G103:G104)</f>
        <v>7753.77</v>
      </c>
      <c r="H105" s="301"/>
      <c r="I105" s="301"/>
    </row>
    <row r="106" spans="1:9">
      <c r="A106" s="391"/>
      <c r="B106" s="400" t="s">
        <v>898</v>
      </c>
      <c r="C106" s="396"/>
      <c r="D106" s="396"/>
      <c r="E106" s="396"/>
      <c r="F106" s="397"/>
      <c r="G106" s="398">
        <f>G105*15%</f>
        <v>1163.0654999999999</v>
      </c>
      <c r="H106" s="301"/>
      <c r="I106" s="301"/>
    </row>
    <row r="107" spans="1:9">
      <c r="A107" s="391"/>
      <c r="B107" s="401" t="s">
        <v>2153</v>
      </c>
      <c r="C107" s="402"/>
      <c r="D107" s="403"/>
      <c r="E107" s="403"/>
      <c r="F107" s="404"/>
      <c r="G107" s="405">
        <f>ROUND(SUM(G105:G106),2)</f>
        <v>8916.84</v>
      </c>
      <c r="H107" s="406"/>
      <c r="I107" s="406"/>
    </row>
    <row r="108" spans="1:9">
      <c r="A108" s="393" t="s">
        <v>2234</v>
      </c>
      <c r="B108" s="394" t="s">
        <v>2235</v>
      </c>
      <c r="C108" s="396">
        <v>15.5</v>
      </c>
      <c r="D108" s="396" t="s">
        <v>891</v>
      </c>
      <c r="E108" s="408">
        <v>2.12</v>
      </c>
      <c r="F108" s="397" t="s">
        <v>2147</v>
      </c>
      <c r="G108" s="398">
        <f>C108*E108</f>
        <v>32.86</v>
      </c>
      <c r="H108" s="301"/>
      <c r="I108" s="301"/>
    </row>
    <row r="109" spans="1:9">
      <c r="A109" s="391"/>
      <c r="B109" s="400" t="s">
        <v>1064</v>
      </c>
      <c r="C109" s="396"/>
      <c r="D109" s="396"/>
      <c r="E109" s="396"/>
      <c r="F109" s="397"/>
      <c r="G109" s="398">
        <f>SUM(G108)</f>
        <v>32.86</v>
      </c>
      <c r="H109" s="301"/>
      <c r="I109" s="301"/>
    </row>
    <row r="110" spans="1:9">
      <c r="A110" s="391"/>
      <c r="B110" s="400" t="s">
        <v>896</v>
      </c>
      <c r="C110" s="396"/>
      <c r="D110" s="396"/>
      <c r="E110" s="396"/>
      <c r="F110" s="397"/>
      <c r="G110" s="398">
        <f>G109*1%</f>
        <v>0.3286</v>
      </c>
      <c r="H110" s="301"/>
      <c r="I110" s="301"/>
    </row>
    <row r="111" spans="1:9">
      <c r="A111" s="391"/>
      <c r="B111" s="400" t="s">
        <v>40</v>
      </c>
      <c r="C111" s="396"/>
      <c r="D111" s="396"/>
      <c r="E111" s="396"/>
      <c r="F111" s="397"/>
      <c r="G111" s="398">
        <f>SUM(G109:G110)</f>
        <v>33.188600000000001</v>
      </c>
      <c r="H111" s="301"/>
      <c r="I111" s="301"/>
    </row>
    <row r="112" spans="1:9">
      <c r="A112" s="391"/>
      <c r="B112" s="400" t="s">
        <v>898</v>
      </c>
      <c r="C112" s="396"/>
      <c r="D112" s="396"/>
      <c r="E112" s="396"/>
      <c r="F112" s="397"/>
      <c r="G112" s="398">
        <f>G111*15%</f>
        <v>4.9782900000000003</v>
      </c>
      <c r="H112" s="301"/>
      <c r="I112" s="301"/>
    </row>
    <row r="113" spans="1:9">
      <c r="A113" s="391"/>
      <c r="B113" s="401" t="s">
        <v>2153</v>
      </c>
      <c r="C113" s="402"/>
      <c r="D113" s="403"/>
      <c r="E113" s="403"/>
      <c r="F113" s="404"/>
      <c r="G113" s="405">
        <f>ROUND(SUM(G111:G112),2)</f>
        <v>38.17</v>
      </c>
      <c r="H113" s="406"/>
      <c r="I113" s="406"/>
    </row>
    <row r="114" spans="1:9">
      <c r="A114" s="524" t="str">
        <f>CONCATENATE("Say ₹ ",G107," + ",G113," x Cost Index")</f>
        <v>Say ₹ 8916.84 + 38.17 x Cost Index</v>
      </c>
      <c r="B114" s="454"/>
      <c r="C114" s="454"/>
      <c r="D114" s="454"/>
      <c r="E114" s="454"/>
      <c r="F114" s="454"/>
      <c r="G114" s="450"/>
      <c r="H114" s="390">
        <f>G103*1.01*1.15</f>
        <v>8916.8354999999992</v>
      </c>
      <c r="I114" s="390">
        <f>G108*1.01*1.15</f>
        <v>38.166889999999995</v>
      </c>
    </row>
    <row r="115" spans="1:9">
      <c r="A115" s="391" t="s">
        <v>884</v>
      </c>
      <c r="B115" s="636" t="s">
        <v>2238</v>
      </c>
      <c r="C115" s="454"/>
      <c r="D115" s="454"/>
      <c r="E115" s="454"/>
      <c r="F115" s="454"/>
      <c r="G115" s="522"/>
      <c r="H115" s="429"/>
      <c r="I115" s="429"/>
    </row>
    <row r="116" spans="1:9">
      <c r="A116" s="411" t="s">
        <v>865</v>
      </c>
      <c r="B116" s="394" t="s">
        <v>2239</v>
      </c>
      <c r="C116" s="396">
        <v>1</v>
      </c>
      <c r="D116" s="396" t="s">
        <v>1107</v>
      </c>
      <c r="E116" s="396">
        <v>9620</v>
      </c>
      <c r="F116" s="397" t="s">
        <v>2147</v>
      </c>
      <c r="G116" s="398">
        <f>E116*C116</f>
        <v>9620</v>
      </c>
      <c r="H116" s="301"/>
      <c r="I116" s="301"/>
    </row>
    <row r="117" spans="1:9">
      <c r="A117" s="391"/>
      <c r="B117" s="400" t="s">
        <v>896</v>
      </c>
      <c r="C117" s="396"/>
      <c r="D117" s="396"/>
      <c r="E117" s="396"/>
      <c r="F117" s="397"/>
      <c r="G117" s="398">
        <f>G116*1%</f>
        <v>96.2</v>
      </c>
      <c r="H117" s="301"/>
      <c r="I117" s="301"/>
    </row>
    <row r="118" spans="1:9">
      <c r="A118" s="391"/>
      <c r="B118" s="400" t="s">
        <v>40</v>
      </c>
      <c r="C118" s="396"/>
      <c r="D118" s="396"/>
      <c r="E118" s="396"/>
      <c r="F118" s="397"/>
      <c r="G118" s="398">
        <f>SUM(G116:G117)</f>
        <v>9716.2000000000007</v>
      </c>
      <c r="H118" s="301"/>
      <c r="I118" s="301"/>
    </row>
    <row r="119" spans="1:9">
      <c r="A119" s="391"/>
      <c r="B119" s="400" t="s">
        <v>898</v>
      </c>
      <c r="C119" s="396"/>
      <c r="D119" s="396"/>
      <c r="E119" s="396"/>
      <c r="F119" s="397"/>
      <c r="G119" s="398">
        <f>G118*15%</f>
        <v>1457.43</v>
      </c>
      <c r="H119" s="301"/>
      <c r="I119" s="301"/>
    </row>
    <row r="120" spans="1:9">
      <c r="A120" s="391"/>
      <c r="B120" s="401" t="s">
        <v>2153</v>
      </c>
      <c r="C120" s="402"/>
      <c r="D120" s="403"/>
      <c r="E120" s="403"/>
      <c r="F120" s="404"/>
      <c r="G120" s="405">
        <f>ROUND(SUM(G118:G119),2)</f>
        <v>11173.63</v>
      </c>
      <c r="H120" s="406"/>
      <c r="I120" s="406"/>
    </row>
    <row r="121" spans="1:9">
      <c r="A121" s="393" t="s">
        <v>2234</v>
      </c>
      <c r="B121" s="394" t="s">
        <v>2235</v>
      </c>
      <c r="C121" s="396">
        <v>15.5</v>
      </c>
      <c r="D121" s="396" t="s">
        <v>891</v>
      </c>
      <c r="E121" s="408">
        <v>2.12</v>
      </c>
      <c r="F121" s="397" t="s">
        <v>2147</v>
      </c>
      <c r="G121" s="398">
        <f>C121*E121</f>
        <v>32.86</v>
      </c>
      <c r="H121" s="301"/>
      <c r="I121" s="301"/>
    </row>
    <row r="122" spans="1:9">
      <c r="A122" s="391"/>
      <c r="B122" s="400" t="s">
        <v>1064</v>
      </c>
      <c r="C122" s="396"/>
      <c r="D122" s="396"/>
      <c r="E122" s="396"/>
      <c r="F122" s="397"/>
      <c r="G122" s="398">
        <f>SUM(G121)</f>
        <v>32.86</v>
      </c>
      <c r="H122" s="301"/>
      <c r="I122" s="301"/>
    </row>
    <row r="123" spans="1:9">
      <c r="A123" s="391"/>
      <c r="B123" s="400" t="s">
        <v>896</v>
      </c>
      <c r="C123" s="396"/>
      <c r="D123" s="396"/>
      <c r="E123" s="396"/>
      <c r="F123" s="397"/>
      <c r="G123" s="398">
        <f>G122*1%</f>
        <v>0.3286</v>
      </c>
      <c r="H123" s="301"/>
      <c r="I123" s="301"/>
    </row>
    <row r="124" spans="1:9">
      <c r="A124" s="391"/>
      <c r="B124" s="400" t="s">
        <v>40</v>
      </c>
      <c r="C124" s="396"/>
      <c r="D124" s="396"/>
      <c r="E124" s="396"/>
      <c r="F124" s="397"/>
      <c r="G124" s="398">
        <f>SUM(G122:G123)</f>
        <v>33.188600000000001</v>
      </c>
      <c r="H124" s="301"/>
      <c r="I124" s="301"/>
    </row>
    <row r="125" spans="1:9">
      <c r="A125" s="391"/>
      <c r="B125" s="400" t="s">
        <v>898</v>
      </c>
      <c r="C125" s="396"/>
      <c r="D125" s="396"/>
      <c r="E125" s="396"/>
      <c r="F125" s="397"/>
      <c r="G125" s="398">
        <f>G124*15%</f>
        <v>4.9782900000000003</v>
      </c>
      <c r="H125" s="301"/>
      <c r="I125" s="301"/>
    </row>
    <row r="126" spans="1:9">
      <c r="A126" s="391"/>
      <c r="B126" s="401" t="s">
        <v>2153</v>
      </c>
      <c r="C126" s="402"/>
      <c r="D126" s="403"/>
      <c r="E126" s="403"/>
      <c r="F126" s="404"/>
      <c r="G126" s="405">
        <f>ROUND(SUM(G124:G125),2)</f>
        <v>38.17</v>
      </c>
      <c r="H126" s="406"/>
      <c r="I126" s="406"/>
    </row>
    <row r="127" spans="1:9">
      <c r="A127" s="524" t="str">
        <f>CONCATENATE("Say ₹ ",G120," + ",G126," x Cost Index")</f>
        <v>Say ₹ 11173.63 + 38.17 x Cost Index</v>
      </c>
      <c r="B127" s="454"/>
      <c r="C127" s="454"/>
      <c r="D127" s="454"/>
      <c r="E127" s="454"/>
      <c r="F127" s="454"/>
      <c r="G127" s="450"/>
      <c r="H127" s="390">
        <f>G116*1.01*1.15</f>
        <v>11173.63</v>
      </c>
      <c r="I127" s="390">
        <f>G121*1.01*1.15</f>
        <v>38.166889999999995</v>
      </c>
    </row>
    <row r="128" spans="1:9">
      <c r="A128" s="391" t="s">
        <v>2188</v>
      </c>
      <c r="B128" s="636" t="s">
        <v>2240</v>
      </c>
      <c r="C128" s="454"/>
      <c r="D128" s="454"/>
      <c r="E128" s="454"/>
      <c r="F128" s="454"/>
      <c r="G128" s="522"/>
      <c r="H128" s="429"/>
      <c r="I128" s="429"/>
    </row>
    <row r="129" spans="1:9">
      <c r="A129" s="411" t="s">
        <v>865</v>
      </c>
      <c r="B129" s="394" t="s">
        <v>2241</v>
      </c>
      <c r="C129" s="396">
        <v>1</v>
      </c>
      <c r="D129" s="396" t="s">
        <v>1107</v>
      </c>
      <c r="E129" s="396">
        <v>11487</v>
      </c>
      <c r="F129" s="397" t="s">
        <v>2147</v>
      </c>
      <c r="G129" s="398">
        <f>E129*C129</f>
        <v>11487</v>
      </c>
      <c r="H129" s="301"/>
      <c r="I129" s="301"/>
    </row>
    <row r="130" spans="1:9">
      <c r="A130" s="391"/>
      <c r="B130" s="400" t="s">
        <v>896</v>
      </c>
      <c r="C130" s="396"/>
      <c r="D130" s="396"/>
      <c r="E130" s="396"/>
      <c r="F130" s="397"/>
      <c r="G130" s="398">
        <f>G129*1%</f>
        <v>114.87</v>
      </c>
      <c r="H130" s="301"/>
      <c r="I130" s="301"/>
    </row>
    <row r="131" spans="1:9">
      <c r="A131" s="391"/>
      <c r="B131" s="400" t="s">
        <v>40</v>
      </c>
      <c r="C131" s="396"/>
      <c r="D131" s="396"/>
      <c r="E131" s="396"/>
      <c r="F131" s="397"/>
      <c r="G131" s="398">
        <f>SUM(G129:G130)</f>
        <v>11601.87</v>
      </c>
      <c r="H131" s="301"/>
      <c r="I131" s="301"/>
    </row>
    <row r="132" spans="1:9">
      <c r="A132" s="391"/>
      <c r="B132" s="400" t="s">
        <v>898</v>
      </c>
      <c r="C132" s="396"/>
      <c r="D132" s="396"/>
      <c r="E132" s="396"/>
      <c r="F132" s="397"/>
      <c r="G132" s="398">
        <f>G131*15%</f>
        <v>1740.2805000000001</v>
      </c>
      <c r="H132" s="301"/>
      <c r="I132" s="301"/>
    </row>
    <row r="133" spans="1:9">
      <c r="A133" s="391"/>
      <c r="B133" s="401" t="s">
        <v>2153</v>
      </c>
      <c r="C133" s="402"/>
      <c r="D133" s="403"/>
      <c r="E133" s="403"/>
      <c r="F133" s="404"/>
      <c r="G133" s="405">
        <f>ROUND(SUM(G131:G132),2)</f>
        <v>13342.15</v>
      </c>
      <c r="H133" s="406"/>
      <c r="I133" s="406"/>
    </row>
    <row r="134" spans="1:9">
      <c r="A134" s="393" t="s">
        <v>2234</v>
      </c>
      <c r="B134" s="394" t="s">
        <v>2235</v>
      </c>
      <c r="C134" s="396">
        <v>15.5</v>
      </c>
      <c r="D134" s="396" t="s">
        <v>891</v>
      </c>
      <c r="E134" s="408">
        <v>2.12</v>
      </c>
      <c r="F134" s="397" t="s">
        <v>2147</v>
      </c>
      <c r="G134" s="398">
        <f>C134*E134</f>
        <v>32.86</v>
      </c>
      <c r="H134" s="301"/>
      <c r="I134" s="301"/>
    </row>
    <row r="135" spans="1:9">
      <c r="A135" s="391"/>
      <c r="B135" s="400" t="s">
        <v>1064</v>
      </c>
      <c r="C135" s="396"/>
      <c r="D135" s="396"/>
      <c r="E135" s="396"/>
      <c r="F135" s="397"/>
      <c r="G135" s="398">
        <f>SUM(G134)</f>
        <v>32.86</v>
      </c>
      <c r="H135" s="301"/>
      <c r="I135" s="301"/>
    </row>
    <row r="136" spans="1:9">
      <c r="A136" s="391"/>
      <c r="B136" s="400" t="s">
        <v>896</v>
      </c>
      <c r="C136" s="396"/>
      <c r="D136" s="396"/>
      <c r="E136" s="396"/>
      <c r="F136" s="397"/>
      <c r="G136" s="398">
        <f>G135*1%</f>
        <v>0.3286</v>
      </c>
      <c r="H136" s="301"/>
      <c r="I136" s="301"/>
    </row>
    <row r="137" spans="1:9">
      <c r="A137" s="391"/>
      <c r="B137" s="400" t="s">
        <v>40</v>
      </c>
      <c r="C137" s="396"/>
      <c r="D137" s="396"/>
      <c r="E137" s="396"/>
      <c r="F137" s="397"/>
      <c r="G137" s="398">
        <f>SUM(G135:G136)</f>
        <v>33.188600000000001</v>
      </c>
      <c r="H137" s="301"/>
      <c r="I137" s="301"/>
    </row>
    <row r="138" spans="1:9">
      <c r="A138" s="391"/>
      <c r="B138" s="400" t="s">
        <v>898</v>
      </c>
      <c r="C138" s="396"/>
      <c r="D138" s="396"/>
      <c r="E138" s="396"/>
      <c r="F138" s="397"/>
      <c r="G138" s="398">
        <f>G137*15%</f>
        <v>4.9782900000000003</v>
      </c>
      <c r="H138" s="301"/>
      <c r="I138" s="301"/>
    </row>
    <row r="139" spans="1:9">
      <c r="A139" s="391"/>
      <c r="B139" s="401" t="s">
        <v>2153</v>
      </c>
      <c r="C139" s="402"/>
      <c r="D139" s="403"/>
      <c r="E139" s="403"/>
      <c r="F139" s="404"/>
      <c r="G139" s="405">
        <f>ROUND(SUM(G137:G138),2)</f>
        <v>38.17</v>
      </c>
      <c r="H139" s="406"/>
      <c r="I139" s="406"/>
    </row>
    <row r="140" spans="1:9">
      <c r="A140" s="524" t="str">
        <f>CONCATENATE("Say ₹ ",G133," + ",G139," x Cost Index")</f>
        <v>Say ₹ 13342.15 + 38.17 x Cost Index</v>
      </c>
      <c r="B140" s="454"/>
      <c r="C140" s="454"/>
      <c r="D140" s="454"/>
      <c r="E140" s="454"/>
      <c r="F140" s="454"/>
      <c r="G140" s="450"/>
      <c r="H140" s="390">
        <f>G129*1.01*1.15</f>
        <v>13342.1505</v>
      </c>
      <c r="I140" s="390">
        <f>G134*1.01*1.15</f>
        <v>38.166889999999995</v>
      </c>
    </row>
    <row r="141" spans="1:9">
      <c r="A141" s="637" t="s">
        <v>2247</v>
      </c>
      <c r="B141" s="454"/>
      <c r="C141" s="454"/>
      <c r="D141" s="454"/>
      <c r="E141" s="454"/>
      <c r="F141" s="454"/>
      <c r="G141" s="522"/>
      <c r="H141" s="406"/>
      <c r="I141" s="406"/>
    </row>
    <row r="142" spans="1:9">
      <c r="A142" s="391" t="s">
        <v>868</v>
      </c>
      <c r="B142" s="636" t="s">
        <v>2252</v>
      </c>
      <c r="C142" s="454"/>
      <c r="D142" s="454"/>
      <c r="E142" s="454"/>
      <c r="F142" s="454"/>
      <c r="G142" s="522"/>
      <c r="H142" s="429"/>
      <c r="I142" s="429"/>
    </row>
    <row r="143" spans="1:9">
      <c r="A143" s="411" t="s">
        <v>865</v>
      </c>
      <c r="B143" s="394" t="s">
        <v>2259</v>
      </c>
      <c r="C143" s="396">
        <v>1</v>
      </c>
      <c r="D143" s="396" t="s">
        <v>1107</v>
      </c>
      <c r="E143" s="396">
        <v>4530</v>
      </c>
      <c r="F143" s="397" t="s">
        <v>2147</v>
      </c>
      <c r="G143" s="398">
        <f>C143*E143</f>
        <v>4530</v>
      </c>
      <c r="H143" s="301"/>
      <c r="I143" s="301"/>
    </row>
    <row r="144" spans="1:9">
      <c r="A144" s="391"/>
      <c r="B144" s="400" t="s">
        <v>896</v>
      </c>
      <c r="C144" s="396"/>
      <c r="D144" s="396"/>
      <c r="E144" s="396"/>
      <c r="F144" s="397"/>
      <c r="G144" s="398">
        <f>G143*1%</f>
        <v>45.300000000000004</v>
      </c>
      <c r="H144" s="301"/>
      <c r="I144" s="301"/>
    </row>
    <row r="145" spans="1:9">
      <c r="A145" s="391"/>
      <c r="B145" s="400" t="s">
        <v>40</v>
      </c>
      <c r="C145" s="396"/>
      <c r="D145" s="396"/>
      <c r="E145" s="396"/>
      <c r="F145" s="397"/>
      <c r="G145" s="398">
        <f>SUM(G143:G144)</f>
        <v>4575.3</v>
      </c>
      <c r="H145" s="301"/>
      <c r="I145" s="301"/>
    </row>
    <row r="146" spans="1:9">
      <c r="A146" s="391"/>
      <c r="B146" s="400" t="s">
        <v>898</v>
      </c>
      <c r="C146" s="396"/>
      <c r="D146" s="396"/>
      <c r="E146" s="396"/>
      <c r="F146" s="397"/>
      <c r="G146" s="398">
        <f>G145*15%</f>
        <v>686.29499999999996</v>
      </c>
      <c r="H146" s="301"/>
      <c r="I146" s="301"/>
    </row>
    <row r="147" spans="1:9">
      <c r="A147" s="391"/>
      <c r="B147" s="401" t="s">
        <v>2153</v>
      </c>
      <c r="C147" s="402"/>
      <c r="D147" s="403"/>
      <c r="E147" s="403"/>
      <c r="F147" s="404"/>
      <c r="G147" s="405">
        <f>ROUND(SUM(G145:G146),2)</f>
        <v>5261.6</v>
      </c>
      <c r="H147" s="406"/>
      <c r="I147" s="406"/>
    </row>
    <row r="148" spans="1:9">
      <c r="A148" s="393" t="s">
        <v>2234</v>
      </c>
      <c r="B148" s="394" t="s">
        <v>2235</v>
      </c>
      <c r="C148" s="396">
        <v>15.5</v>
      </c>
      <c r="D148" s="396" t="s">
        <v>891</v>
      </c>
      <c r="E148" s="408">
        <v>2.12</v>
      </c>
      <c r="F148" s="397" t="s">
        <v>2147</v>
      </c>
      <c r="G148" s="398">
        <f>C148*E148</f>
        <v>32.86</v>
      </c>
      <c r="H148" s="301"/>
      <c r="I148" s="301"/>
    </row>
    <row r="149" spans="1:9">
      <c r="A149" s="391"/>
      <c r="B149" s="400" t="s">
        <v>1064</v>
      </c>
      <c r="C149" s="396"/>
      <c r="D149" s="396"/>
      <c r="E149" s="396"/>
      <c r="F149" s="397"/>
      <c r="G149" s="398">
        <f>SUM(G148)</f>
        <v>32.86</v>
      </c>
      <c r="H149" s="301"/>
      <c r="I149" s="301"/>
    </row>
    <row r="150" spans="1:9">
      <c r="A150" s="391"/>
      <c r="B150" s="400" t="s">
        <v>896</v>
      </c>
      <c r="C150" s="396"/>
      <c r="D150" s="396"/>
      <c r="E150" s="396"/>
      <c r="F150" s="397"/>
      <c r="G150" s="398">
        <f>G149*1%</f>
        <v>0.3286</v>
      </c>
      <c r="H150" s="301"/>
      <c r="I150" s="301"/>
    </row>
    <row r="151" spans="1:9">
      <c r="A151" s="391"/>
      <c r="B151" s="400" t="s">
        <v>40</v>
      </c>
      <c r="C151" s="396"/>
      <c r="D151" s="396"/>
      <c r="E151" s="396"/>
      <c r="F151" s="397"/>
      <c r="G151" s="398">
        <f>SUM(G149:G150)</f>
        <v>33.188600000000001</v>
      </c>
      <c r="H151" s="301"/>
      <c r="I151" s="301"/>
    </row>
    <row r="152" spans="1:9">
      <c r="A152" s="391"/>
      <c r="B152" s="400" t="s">
        <v>898</v>
      </c>
      <c r="C152" s="396"/>
      <c r="D152" s="396"/>
      <c r="E152" s="396"/>
      <c r="F152" s="397"/>
      <c r="G152" s="398">
        <f>G151*15%</f>
        <v>4.9782900000000003</v>
      </c>
      <c r="H152" s="301"/>
      <c r="I152" s="301"/>
    </row>
    <row r="153" spans="1:9">
      <c r="A153" s="391"/>
      <c r="B153" s="401" t="s">
        <v>2153</v>
      </c>
      <c r="C153" s="402"/>
      <c r="D153" s="403"/>
      <c r="E153" s="403"/>
      <c r="F153" s="404"/>
      <c r="G153" s="405">
        <f>ROUND(SUM(G151:G152),2)</f>
        <v>38.17</v>
      </c>
      <c r="H153" s="406"/>
      <c r="I153" s="406"/>
    </row>
    <row r="154" spans="1:9">
      <c r="A154" s="524" t="str">
        <f>CONCATENATE("Say ₹ ",G147," + ",G153," x Cost Index")</f>
        <v>Say ₹ 5261.6 + 38.17 x Cost Index</v>
      </c>
      <c r="B154" s="454"/>
      <c r="C154" s="454"/>
      <c r="D154" s="454"/>
      <c r="E154" s="454"/>
      <c r="F154" s="454"/>
      <c r="G154" s="450"/>
      <c r="H154" s="390">
        <f>G143*1.01*1.15</f>
        <v>5261.5950000000003</v>
      </c>
      <c r="I154" s="390">
        <f>G148*1.01*1.15</f>
        <v>38.166889999999995</v>
      </c>
    </row>
    <row r="155" spans="1:9">
      <c r="A155" s="391" t="s">
        <v>884</v>
      </c>
      <c r="B155" s="636" t="s">
        <v>2299</v>
      </c>
      <c r="C155" s="454"/>
      <c r="D155" s="454"/>
      <c r="E155" s="454"/>
      <c r="F155" s="454"/>
      <c r="G155" s="522"/>
      <c r="H155" s="429"/>
      <c r="I155" s="429"/>
    </row>
    <row r="156" spans="1:9">
      <c r="A156" s="411" t="s">
        <v>865</v>
      </c>
      <c r="B156" s="394" t="s">
        <v>2303</v>
      </c>
      <c r="C156" s="396">
        <v>1</v>
      </c>
      <c r="D156" s="396" t="s">
        <v>1107</v>
      </c>
      <c r="E156" s="396">
        <v>6750</v>
      </c>
      <c r="F156" s="397" t="s">
        <v>2147</v>
      </c>
      <c r="G156" s="398">
        <f>C156*E156</f>
        <v>6750</v>
      </c>
      <c r="H156" s="301"/>
      <c r="I156" s="301"/>
    </row>
    <row r="157" spans="1:9">
      <c r="A157" s="391"/>
      <c r="B157" s="400" t="s">
        <v>896</v>
      </c>
      <c r="C157" s="396"/>
      <c r="D157" s="396"/>
      <c r="E157" s="396"/>
      <c r="F157" s="397"/>
      <c r="G157" s="398">
        <f>G156*1%</f>
        <v>67.5</v>
      </c>
      <c r="H157" s="301"/>
      <c r="I157" s="301"/>
    </row>
    <row r="158" spans="1:9">
      <c r="A158" s="391"/>
      <c r="B158" s="400" t="s">
        <v>40</v>
      </c>
      <c r="C158" s="396"/>
      <c r="D158" s="396"/>
      <c r="E158" s="396"/>
      <c r="F158" s="397"/>
      <c r="G158" s="398">
        <f>SUM(G156:G157)</f>
        <v>6817.5</v>
      </c>
      <c r="H158" s="301"/>
      <c r="I158" s="301"/>
    </row>
    <row r="159" spans="1:9">
      <c r="A159" s="391"/>
      <c r="B159" s="400" t="s">
        <v>898</v>
      </c>
      <c r="C159" s="396"/>
      <c r="D159" s="396"/>
      <c r="E159" s="396"/>
      <c r="F159" s="397"/>
      <c r="G159" s="398">
        <f>G158*15%</f>
        <v>1022.625</v>
      </c>
      <c r="H159" s="301"/>
      <c r="I159" s="301"/>
    </row>
    <row r="160" spans="1:9">
      <c r="A160" s="391"/>
      <c r="B160" s="401" t="s">
        <v>2153</v>
      </c>
      <c r="C160" s="402"/>
      <c r="D160" s="403"/>
      <c r="E160" s="403"/>
      <c r="F160" s="404"/>
      <c r="G160" s="405">
        <f>ROUND(SUM(G158:G159),2)</f>
        <v>7840.13</v>
      </c>
      <c r="H160" s="406"/>
      <c r="I160" s="406"/>
    </row>
    <row r="161" spans="1:9">
      <c r="A161" s="393" t="s">
        <v>2234</v>
      </c>
      <c r="B161" s="394" t="s">
        <v>2235</v>
      </c>
      <c r="C161" s="396">
        <v>15.5</v>
      </c>
      <c r="D161" s="396" t="s">
        <v>891</v>
      </c>
      <c r="E161" s="408">
        <v>2.12</v>
      </c>
      <c r="F161" s="397" t="s">
        <v>2147</v>
      </c>
      <c r="G161" s="398">
        <f>C161*E161</f>
        <v>32.86</v>
      </c>
      <c r="H161" s="301"/>
      <c r="I161" s="301"/>
    </row>
    <row r="162" spans="1:9">
      <c r="A162" s="391"/>
      <c r="B162" s="400" t="s">
        <v>1064</v>
      </c>
      <c r="C162" s="396"/>
      <c r="D162" s="396"/>
      <c r="E162" s="396"/>
      <c r="F162" s="397"/>
      <c r="G162" s="398">
        <f>SUM(G161)</f>
        <v>32.86</v>
      </c>
      <c r="H162" s="301"/>
      <c r="I162" s="301"/>
    </row>
    <row r="163" spans="1:9">
      <c r="A163" s="391"/>
      <c r="B163" s="400" t="s">
        <v>896</v>
      </c>
      <c r="C163" s="396"/>
      <c r="D163" s="396"/>
      <c r="E163" s="396"/>
      <c r="F163" s="397"/>
      <c r="G163" s="398">
        <f>G162*1%</f>
        <v>0.3286</v>
      </c>
      <c r="H163" s="301"/>
      <c r="I163" s="301"/>
    </row>
    <row r="164" spans="1:9">
      <c r="A164" s="391"/>
      <c r="B164" s="400" t="s">
        <v>40</v>
      </c>
      <c r="C164" s="396"/>
      <c r="D164" s="396"/>
      <c r="E164" s="396"/>
      <c r="F164" s="397"/>
      <c r="G164" s="398">
        <f>SUM(G162:G163)</f>
        <v>33.188600000000001</v>
      </c>
      <c r="H164" s="301"/>
      <c r="I164" s="301"/>
    </row>
    <row r="165" spans="1:9">
      <c r="A165" s="391"/>
      <c r="B165" s="400" t="s">
        <v>898</v>
      </c>
      <c r="C165" s="396"/>
      <c r="D165" s="396"/>
      <c r="E165" s="396"/>
      <c r="F165" s="397"/>
      <c r="G165" s="398">
        <f>G164*15%</f>
        <v>4.9782900000000003</v>
      </c>
      <c r="H165" s="301"/>
      <c r="I165" s="301"/>
    </row>
    <row r="166" spans="1:9">
      <c r="A166" s="391"/>
      <c r="B166" s="401" t="s">
        <v>2153</v>
      </c>
      <c r="C166" s="402"/>
      <c r="D166" s="403"/>
      <c r="E166" s="403"/>
      <c r="F166" s="404"/>
      <c r="G166" s="405">
        <f>ROUND(SUM(G164:G165),2)</f>
        <v>38.17</v>
      </c>
      <c r="H166" s="406"/>
      <c r="I166" s="406"/>
    </row>
    <row r="167" spans="1:9">
      <c r="A167" s="524" t="str">
        <f>CONCATENATE("Say ₹ ",G160," + ",G166," x Cost Index")</f>
        <v>Say ₹ 7840.13 + 38.17 x Cost Index</v>
      </c>
      <c r="B167" s="454"/>
      <c r="C167" s="454"/>
      <c r="D167" s="454"/>
      <c r="E167" s="454"/>
      <c r="F167" s="454"/>
      <c r="G167" s="450"/>
      <c r="H167" s="390">
        <f>G156*1.01*1.15</f>
        <v>7840.1249999999991</v>
      </c>
      <c r="I167" s="390">
        <f>G161*1.01*1.15</f>
        <v>38.166889999999995</v>
      </c>
    </row>
    <row r="168" spans="1:9">
      <c r="A168" s="391" t="s">
        <v>2188</v>
      </c>
      <c r="B168" s="636" t="s">
        <v>2340</v>
      </c>
      <c r="C168" s="454"/>
      <c r="D168" s="454"/>
      <c r="E168" s="454"/>
      <c r="F168" s="454"/>
      <c r="G168" s="522"/>
      <c r="H168" s="429"/>
      <c r="I168" s="429"/>
    </row>
    <row r="169" spans="1:9">
      <c r="A169" s="411" t="s">
        <v>865</v>
      </c>
      <c r="B169" s="394" t="s">
        <v>2342</v>
      </c>
      <c r="C169" s="396">
        <v>1</v>
      </c>
      <c r="D169" s="396" t="s">
        <v>1107</v>
      </c>
      <c r="E169" s="396">
        <v>10266</v>
      </c>
      <c r="F169" s="397" t="s">
        <v>2147</v>
      </c>
      <c r="G169" s="398">
        <f>C169*E169</f>
        <v>10266</v>
      </c>
      <c r="H169" s="301"/>
      <c r="I169" s="301"/>
    </row>
    <row r="170" spans="1:9">
      <c r="A170" s="391"/>
      <c r="B170" s="400" t="s">
        <v>896</v>
      </c>
      <c r="C170" s="396"/>
      <c r="D170" s="396"/>
      <c r="E170" s="396"/>
      <c r="F170" s="397"/>
      <c r="G170" s="398">
        <f>G169*1%</f>
        <v>102.66</v>
      </c>
      <c r="H170" s="301"/>
      <c r="I170" s="301"/>
    </row>
    <row r="171" spans="1:9">
      <c r="A171" s="391"/>
      <c r="B171" s="400" t="s">
        <v>40</v>
      </c>
      <c r="C171" s="396"/>
      <c r="D171" s="396"/>
      <c r="E171" s="396"/>
      <c r="F171" s="397"/>
      <c r="G171" s="398">
        <f>SUM(G169:G170)</f>
        <v>10368.66</v>
      </c>
      <c r="H171" s="301"/>
      <c r="I171" s="301"/>
    </row>
    <row r="172" spans="1:9">
      <c r="A172" s="391"/>
      <c r="B172" s="400" t="s">
        <v>898</v>
      </c>
      <c r="C172" s="396"/>
      <c r="D172" s="396"/>
      <c r="E172" s="396"/>
      <c r="F172" s="397"/>
      <c r="G172" s="398">
        <f>G171*15%</f>
        <v>1555.299</v>
      </c>
      <c r="H172" s="301"/>
      <c r="I172" s="301"/>
    </row>
    <row r="173" spans="1:9">
      <c r="A173" s="391"/>
      <c r="B173" s="401" t="s">
        <v>2153</v>
      </c>
      <c r="C173" s="402"/>
      <c r="D173" s="403"/>
      <c r="E173" s="403"/>
      <c r="F173" s="404"/>
      <c r="G173" s="405">
        <f>ROUND(SUM(G171:G172),2)</f>
        <v>11923.96</v>
      </c>
      <c r="H173" s="406"/>
      <c r="I173" s="406"/>
    </row>
    <row r="174" spans="1:9">
      <c r="A174" s="393" t="s">
        <v>2234</v>
      </c>
      <c r="B174" s="394" t="s">
        <v>2235</v>
      </c>
      <c r="C174" s="396">
        <v>15.5</v>
      </c>
      <c r="D174" s="396" t="s">
        <v>891</v>
      </c>
      <c r="E174" s="408">
        <v>2.12</v>
      </c>
      <c r="F174" s="397" t="s">
        <v>2147</v>
      </c>
      <c r="G174" s="398">
        <f>C174*E174</f>
        <v>32.86</v>
      </c>
      <c r="H174" s="301"/>
      <c r="I174" s="301"/>
    </row>
    <row r="175" spans="1:9">
      <c r="A175" s="391"/>
      <c r="B175" s="400" t="s">
        <v>1064</v>
      </c>
      <c r="C175" s="396"/>
      <c r="D175" s="396"/>
      <c r="E175" s="396"/>
      <c r="F175" s="397"/>
      <c r="G175" s="398">
        <f>SUM(G174)</f>
        <v>32.86</v>
      </c>
      <c r="H175" s="301"/>
      <c r="I175" s="301"/>
    </row>
    <row r="176" spans="1:9">
      <c r="A176" s="391"/>
      <c r="B176" s="400" t="s">
        <v>896</v>
      </c>
      <c r="C176" s="396"/>
      <c r="D176" s="396"/>
      <c r="E176" s="396"/>
      <c r="F176" s="397"/>
      <c r="G176" s="398">
        <f>G175*1%</f>
        <v>0.3286</v>
      </c>
      <c r="H176" s="301"/>
      <c r="I176" s="301"/>
    </row>
    <row r="177" spans="1:9">
      <c r="A177" s="391"/>
      <c r="B177" s="400" t="s">
        <v>40</v>
      </c>
      <c r="C177" s="396"/>
      <c r="D177" s="396"/>
      <c r="E177" s="396"/>
      <c r="F177" s="397"/>
      <c r="G177" s="398">
        <f>SUM(G175:G176)</f>
        <v>33.188600000000001</v>
      </c>
      <c r="H177" s="301"/>
      <c r="I177" s="301"/>
    </row>
    <row r="178" spans="1:9">
      <c r="A178" s="391"/>
      <c r="B178" s="400" t="s">
        <v>898</v>
      </c>
      <c r="C178" s="396"/>
      <c r="D178" s="396"/>
      <c r="E178" s="396"/>
      <c r="F178" s="397"/>
      <c r="G178" s="398">
        <f>G177*15%</f>
        <v>4.9782900000000003</v>
      </c>
      <c r="H178" s="301"/>
      <c r="I178" s="301"/>
    </row>
    <row r="179" spans="1:9">
      <c r="A179" s="391"/>
      <c r="B179" s="401" t="s">
        <v>2153</v>
      </c>
      <c r="C179" s="402"/>
      <c r="D179" s="403"/>
      <c r="E179" s="403"/>
      <c r="F179" s="404"/>
      <c r="G179" s="405">
        <f>ROUND(SUM(G177:G178),2)</f>
        <v>38.17</v>
      </c>
      <c r="H179" s="406"/>
      <c r="I179" s="406"/>
    </row>
    <row r="180" spans="1:9">
      <c r="A180" s="524" t="str">
        <f>CONCATENATE("Say ₹ ",G173," + ",G179," x Cost Index")</f>
        <v>Say ₹ 11923.96 + 38.17 x Cost Index</v>
      </c>
      <c r="B180" s="454"/>
      <c r="C180" s="454"/>
      <c r="D180" s="454"/>
      <c r="E180" s="454"/>
      <c r="F180" s="454"/>
      <c r="G180" s="450"/>
      <c r="H180" s="390">
        <f>G169*1.01*1.15</f>
        <v>11923.958999999999</v>
      </c>
      <c r="I180" s="390">
        <f>G174*1.01*1.15</f>
        <v>38.166889999999995</v>
      </c>
    </row>
    <row r="181" spans="1:9">
      <c r="A181" s="637" t="s">
        <v>2358</v>
      </c>
      <c r="B181" s="454"/>
      <c r="C181" s="454"/>
      <c r="D181" s="454"/>
      <c r="E181" s="454"/>
      <c r="F181" s="454"/>
      <c r="G181" s="522"/>
      <c r="H181" s="390"/>
      <c r="I181" s="390"/>
    </row>
    <row r="182" spans="1:9">
      <c r="A182" s="391" t="s">
        <v>868</v>
      </c>
      <c r="B182" s="636" t="s">
        <v>2359</v>
      </c>
      <c r="C182" s="454"/>
      <c r="D182" s="454"/>
      <c r="E182" s="454"/>
      <c r="F182" s="454"/>
      <c r="G182" s="522"/>
      <c r="H182" s="429"/>
      <c r="I182" s="429"/>
    </row>
    <row r="183" spans="1:9">
      <c r="A183" s="411" t="s">
        <v>865</v>
      </c>
      <c r="B183" s="394" t="s">
        <v>2361</v>
      </c>
      <c r="C183" s="396">
        <v>1</v>
      </c>
      <c r="D183" s="396" t="s">
        <v>1107</v>
      </c>
      <c r="E183" s="396">
        <v>15662</v>
      </c>
      <c r="F183" s="397" t="s">
        <v>2147</v>
      </c>
      <c r="G183" s="398">
        <f>C183*E183</f>
        <v>15662</v>
      </c>
      <c r="H183" s="301"/>
      <c r="I183" s="301"/>
    </row>
    <row r="184" spans="1:9">
      <c r="A184" s="399"/>
      <c r="B184" s="400" t="s">
        <v>896</v>
      </c>
      <c r="C184" s="396"/>
      <c r="D184" s="396"/>
      <c r="E184" s="396"/>
      <c r="F184" s="397"/>
      <c r="G184" s="398">
        <f>G183*1%</f>
        <v>156.62</v>
      </c>
      <c r="H184" s="301"/>
      <c r="I184" s="301"/>
    </row>
    <row r="185" spans="1:9">
      <c r="A185" s="399"/>
      <c r="B185" s="400" t="s">
        <v>40</v>
      </c>
      <c r="C185" s="396"/>
      <c r="D185" s="396"/>
      <c r="E185" s="396"/>
      <c r="F185" s="397"/>
      <c r="G185" s="398">
        <f>SUM(G183:G184)</f>
        <v>15818.62</v>
      </c>
      <c r="H185" s="301"/>
      <c r="I185" s="301"/>
    </row>
    <row r="186" spans="1:9">
      <c r="A186" s="399"/>
      <c r="B186" s="400" t="s">
        <v>898</v>
      </c>
      <c r="C186" s="396"/>
      <c r="D186" s="396"/>
      <c r="E186" s="396"/>
      <c r="F186" s="397"/>
      <c r="G186" s="398">
        <f>G185*15%</f>
        <v>2372.7930000000001</v>
      </c>
      <c r="H186" s="301"/>
      <c r="I186" s="301"/>
    </row>
    <row r="187" spans="1:9">
      <c r="A187" s="399"/>
      <c r="B187" s="401" t="s">
        <v>2153</v>
      </c>
      <c r="C187" s="396"/>
      <c r="D187" s="396"/>
      <c r="E187" s="396"/>
      <c r="F187" s="397"/>
      <c r="G187" s="405">
        <f>ROUND(SUM(G185:G186),2)</f>
        <v>18191.41</v>
      </c>
      <c r="H187" s="406"/>
      <c r="I187" s="406"/>
    </row>
    <row r="188" spans="1:9">
      <c r="A188" s="393" t="s">
        <v>871</v>
      </c>
      <c r="B188" s="407" t="s">
        <v>874</v>
      </c>
      <c r="C188" s="396">
        <v>0.2</v>
      </c>
      <c r="D188" s="408" t="s">
        <v>875</v>
      </c>
      <c r="E188" s="396">
        <v>784</v>
      </c>
      <c r="F188" s="409" t="s">
        <v>876</v>
      </c>
      <c r="G188" s="398">
        <f t="shared" ref="G188:G189" si="7">C188*E188</f>
        <v>156.80000000000001</v>
      </c>
      <c r="H188" s="301"/>
      <c r="I188" s="301"/>
    </row>
    <row r="189" spans="1:9">
      <c r="A189" s="393" t="s">
        <v>903</v>
      </c>
      <c r="B189" s="407" t="s">
        <v>59</v>
      </c>
      <c r="C189" s="396">
        <v>0.2</v>
      </c>
      <c r="D189" s="408" t="s">
        <v>875</v>
      </c>
      <c r="E189" s="396">
        <v>645</v>
      </c>
      <c r="F189" s="409" t="s">
        <v>876</v>
      </c>
      <c r="G189" s="398">
        <f t="shared" si="7"/>
        <v>129</v>
      </c>
      <c r="H189" s="301"/>
      <c r="I189" s="301"/>
    </row>
    <row r="190" spans="1:9">
      <c r="A190" s="399"/>
      <c r="B190" s="400" t="s">
        <v>1064</v>
      </c>
      <c r="C190" s="396"/>
      <c r="D190" s="396"/>
      <c r="E190" s="396"/>
      <c r="F190" s="397"/>
      <c r="G190" s="398">
        <f>SUM(G188:G189)</f>
        <v>285.8</v>
      </c>
      <c r="H190" s="301"/>
      <c r="I190" s="301"/>
    </row>
    <row r="191" spans="1:9">
      <c r="A191" s="399"/>
      <c r="B191" s="400" t="s">
        <v>896</v>
      </c>
      <c r="C191" s="396"/>
      <c r="D191" s="396"/>
      <c r="E191" s="396"/>
      <c r="F191" s="397"/>
      <c r="G191" s="398">
        <f>G190*0.01</f>
        <v>2.8580000000000001</v>
      </c>
      <c r="H191" s="301"/>
      <c r="I191" s="301"/>
    </row>
    <row r="192" spans="1:9">
      <c r="A192" s="399"/>
      <c r="B192" s="400" t="s">
        <v>40</v>
      </c>
      <c r="C192" s="396"/>
      <c r="D192" s="396"/>
      <c r="E192" s="396"/>
      <c r="F192" s="397"/>
      <c r="G192" s="398">
        <f>SUM(G190:G191)</f>
        <v>288.65800000000002</v>
      </c>
      <c r="H192" s="301"/>
      <c r="I192" s="301"/>
    </row>
    <row r="193" spans="1:9">
      <c r="A193" s="399"/>
      <c r="B193" s="400" t="s">
        <v>898</v>
      </c>
      <c r="C193" s="396"/>
      <c r="D193" s="396"/>
      <c r="E193" s="396"/>
      <c r="F193" s="397"/>
      <c r="G193" s="398">
        <f>G192*15%</f>
        <v>43.298700000000004</v>
      </c>
      <c r="H193" s="301"/>
      <c r="I193" s="301"/>
    </row>
    <row r="194" spans="1:9">
      <c r="A194" s="399"/>
      <c r="B194" s="401" t="s">
        <v>2153</v>
      </c>
      <c r="C194" s="402"/>
      <c r="D194" s="396"/>
      <c r="E194" s="396"/>
      <c r="F194" s="397"/>
      <c r="G194" s="405">
        <f>ROUND(SUM(G192:G193),2)</f>
        <v>331.96</v>
      </c>
      <c r="H194" s="406"/>
      <c r="I194" s="406"/>
    </row>
    <row r="195" spans="1:9">
      <c r="A195" s="524" t="str">
        <f>CONCATENATE("Say ₹ ",G187," + ",G194," x Cost Index")</f>
        <v>Say ₹ 18191.41 + 331.96 x Cost Index</v>
      </c>
      <c r="B195" s="454"/>
      <c r="C195" s="454"/>
      <c r="D195" s="454"/>
      <c r="E195" s="454"/>
      <c r="F195" s="454"/>
      <c r="G195" s="450"/>
      <c r="H195" s="390">
        <f>G183*1.01*1.15</f>
        <v>18191.413</v>
      </c>
      <c r="I195" s="390">
        <f>(G188+G189)*1.01*1.15</f>
        <v>331.95670000000001</v>
      </c>
    </row>
    <row r="196" spans="1:9">
      <c r="A196" s="391" t="s">
        <v>884</v>
      </c>
      <c r="B196" s="636" t="s">
        <v>2377</v>
      </c>
      <c r="C196" s="454"/>
      <c r="D196" s="454"/>
      <c r="E196" s="454"/>
      <c r="F196" s="454"/>
      <c r="G196" s="522"/>
      <c r="H196" s="429"/>
      <c r="I196" s="429"/>
    </row>
    <row r="197" spans="1:9">
      <c r="A197" s="411" t="s">
        <v>865</v>
      </c>
      <c r="B197" s="394" t="s">
        <v>2378</v>
      </c>
      <c r="C197" s="396">
        <v>1</v>
      </c>
      <c r="D197" s="396" t="s">
        <v>1107</v>
      </c>
      <c r="E197" s="396">
        <v>42500</v>
      </c>
      <c r="F197" s="397" t="s">
        <v>2147</v>
      </c>
      <c r="G197" s="398">
        <f>C197*E197</f>
        <v>42500</v>
      </c>
      <c r="H197" s="301"/>
      <c r="I197" s="301"/>
    </row>
    <row r="198" spans="1:9">
      <c r="A198" s="399"/>
      <c r="B198" s="400" t="s">
        <v>896</v>
      </c>
      <c r="C198" s="396"/>
      <c r="D198" s="396"/>
      <c r="E198" s="396"/>
      <c r="F198" s="397"/>
      <c r="G198" s="398">
        <f>G197*1%</f>
        <v>425</v>
      </c>
      <c r="H198" s="301"/>
      <c r="I198" s="301"/>
    </row>
    <row r="199" spans="1:9">
      <c r="A199" s="399"/>
      <c r="B199" s="400" t="s">
        <v>40</v>
      </c>
      <c r="C199" s="396"/>
      <c r="D199" s="396"/>
      <c r="E199" s="396"/>
      <c r="F199" s="397"/>
      <c r="G199" s="398">
        <f>SUM(G197:G198)</f>
        <v>42925</v>
      </c>
      <c r="H199" s="301"/>
      <c r="I199" s="301"/>
    </row>
    <row r="200" spans="1:9">
      <c r="A200" s="399"/>
      <c r="B200" s="400" t="s">
        <v>898</v>
      </c>
      <c r="C200" s="396"/>
      <c r="D200" s="396"/>
      <c r="E200" s="396"/>
      <c r="F200" s="397"/>
      <c r="G200" s="398">
        <f>G199*15%</f>
        <v>6438.75</v>
      </c>
      <c r="H200" s="301"/>
      <c r="I200" s="301"/>
    </row>
    <row r="201" spans="1:9">
      <c r="A201" s="399"/>
      <c r="B201" s="401" t="s">
        <v>2153</v>
      </c>
      <c r="C201" s="396"/>
      <c r="D201" s="396"/>
      <c r="E201" s="396"/>
      <c r="F201" s="397"/>
      <c r="G201" s="405">
        <f>ROUND(SUM(G199:G200),2)</f>
        <v>49363.75</v>
      </c>
      <c r="H201" s="406"/>
      <c r="I201" s="406"/>
    </row>
    <row r="202" spans="1:9">
      <c r="A202" s="393" t="s">
        <v>871</v>
      </c>
      <c r="B202" s="407" t="s">
        <v>874</v>
      </c>
      <c r="C202" s="396">
        <v>0.2</v>
      </c>
      <c r="D202" s="408" t="s">
        <v>875</v>
      </c>
      <c r="E202" s="396">
        <v>784</v>
      </c>
      <c r="F202" s="409" t="s">
        <v>876</v>
      </c>
      <c r="G202" s="398">
        <f t="shared" ref="G202:G203" si="8">C202*E202</f>
        <v>156.80000000000001</v>
      </c>
      <c r="H202" s="301"/>
      <c r="I202" s="301"/>
    </row>
    <row r="203" spans="1:9">
      <c r="A203" s="393" t="s">
        <v>903</v>
      </c>
      <c r="B203" s="407" t="s">
        <v>59</v>
      </c>
      <c r="C203" s="396">
        <v>0.2</v>
      </c>
      <c r="D203" s="408" t="s">
        <v>875</v>
      </c>
      <c r="E203" s="396">
        <v>645</v>
      </c>
      <c r="F203" s="409" t="s">
        <v>876</v>
      </c>
      <c r="G203" s="398">
        <f t="shared" si="8"/>
        <v>129</v>
      </c>
      <c r="H203" s="301"/>
      <c r="I203" s="301"/>
    </row>
    <row r="204" spans="1:9">
      <c r="A204" s="399"/>
      <c r="B204" s="400" t="s">
        <v>1064</v>
      </c>
      <c r="C204" s="396"/>
      <c r="D204" s="396"/>
      <c r="E204" s="396"/>
      <c r="F204" s="397"/>
      <c r="G204" s="398">
        <f>SUM(G202:G203)</f>
        <v>285.8</v>
      </c>
      <c r="H204" s="301"/>
      <c r="I204" s="301"/>
    </row>
    <row r="205" spans="1:9">
      <c r="A205" s="399"/>
      <c r="B205" s="400" t="s">
        <v>896</v>
      </c>
      <c r="C205" s="396"/>
      <c r="D205" s="396"/>
      <c r="E205" s="396"/>
      <c r="F205" s="397"/>
      <c r="G205" s="398">
        <f>G204*0.01</f>
        <v>2.8580000000000001</v>
      </c>
      <c r="H205" s="301"/>
      <c r="I205" s="301"/>
    </row>
    <row r="206" spans="1:9">
      <c r="A206" s="399"/>
      <c r="B206" s="400" t="s">
        <v>40</v>
      </c>
      <c r="C206" s="396"/>
      <c r="D206" s="396"/>
      <c r="E206" s="396"/>
      <c r="F206" s="397"/>
      <c r="G206" s="398">
        <f>SUM(G204:G205)</f>
        <v>288.65800000000002</v>
      </c>
      <c r="H206" s="301"/>
      <c r="I206" s="301"/>
    </row>
    <row r="207" spans="1:9">
      <c r="A207" s="399"/>
      <c r="B207" s="400" t="s">
        <v>898</v>
      </c>
      <c r="C207" s="396"/>
      <c r="D207" s="396"/>
      <c r="E207" s="396"/>
      <c r="F207" s="397"/>
      <c r="G207" s="398">
        <f>G206*15%</f>
        <v>43.298700000000004</v>
      </c>
      <c r="H207" s="301"/>
      <c r="I207" s="301"/>
    </row>
    <row r="208" spans="1:9">
      <c r="A208" s="399"/>
      <c r="B208" s="401" t="s">
        <v>2153</v>
      </c>
      <c r="C208" s="402"/>
      <c r="D208" s="396"/>
      <c r="E208" s="396"/>
      <c r="F208" s="397"/>
      <c r="G208" s="405">
        <f>ROUND(SUM(G206:G207),2)</f>
        <v>331.96</v>
      </c>
      <c r="H208" s="406"/>
      <c r="I208" s="406"/>
    </row>
    <row r="209" spans="1:9">
      <c r="A209" s="524" t="str">
        <f>CONCATENATE("Say ₹ ",G201," + ",G208," x Cost Index")</f>
        <v>Say ₹ 49363.75 + 331.96 x Cost Index</v>
      </c>
      <c r="B209" s="454"/>
      <c r="C209" s="454"/>
      <c r="D209" s="454"/>
      <c r="E209" s="454"/>
      <c r="F209" s="454"/>
      <c r="G209" s="450"/>
      <c r="H209" s="390">
        <f>G197*1.01*1.15</f>
        <v>49363.749999999993</v>
      </c>
      <c r="I209" s="390">
        <f>(G202+G203)*1.01*1.15</f>
        <v>331.95670000000001</v>
      </c>
    </row>
    <row r="210" spans="1:9">
      <c r="A210" s="637" t="s">
        <v>2415</v>
      </c>
      <c r="B210" s="454"/>
      <c r="C210" s="454"/>
      <c r="D210" s="454"/>
      <c r="E210" s="454"/>
      <c r="F210" s="454"/>
      <c r="G210" s="522"/>
      <c r="H210" s="406"/>
      <c r="I210" s="406"/>
    </row>
    <row r="211" spans="1:9">
      <c r="A211" s="391" t="s">
        <v>868</v>
      </c>
      <c r="B211" s="636" t="s">
        <v>2418</v>
      </c>
      <c r="C211" s="454"/>
      <c r="D211" s="454"/>
      <c r="E211" s="454"/>
      <c r="F211" s="454"/>
      <c r="G211" s="522"/>
      <c r="H211" s="392"/>
      <c r="I211" s="392"/>
    </row>
    <row r="212" spans="1:9">
      <c r="A212" s="411" t="s">
        <v>865</v>
      </c>
      <c r="B212" s="394" t="s">
        <v>2421</v>
      </c>
      <c r="C212" s="396">
        <v>1</v>
      </c>
      <c r="D212" s="396" t="s">
        <v>1107</v>
      </c>
      <c r="E212" s="396">
        <v>12699</v>
      </c>
      <c r="F212" s="397" t="s">
        <v>2147</v>
      </c>
      <c r="G212" s="398">
        <f>C212*E212</f>
        <v>12699</v>
      </c>
      <c r="H212" s="301"/>
      <c r="I212" s="301"/>
    </row>
    <row r="213" spans="1:9">
      <c r="A213" s="399"/>
      <c r="B213" s="400" t="s">
        <v>896</v>
      </c>
      <c r="C213" s="396"/>
      <c r="D213" s="396"/>
      <c r="E213" s="396"/>
      <c r="F213" s="397"/>
      <c r="G213" s="398">
        <f>G212*1%</f>
        <v>126.99000000000001</v>
      </c>
      <c r="H213" s="301"/>
      <c r="I213" s="301"/>
    </row>
    <row r="214" spans="1:9">
      <c r="A214" s="399"/>
      <c r="B214" s="400" t="s">
        <v>40</v>
      </c>
      <c r="C214" s="396"/>
      <c r="D214" s="396"/>
      <c r="E214" s="396"/>
      <c r="F214" s="397"/>
      <c r="G214" s="398">
        <f>SUM(G212:G213)</f>
        <v>12825.99</v>
      </c>
      <c r="H214" s="301"/>
      <c r="I214" s="301"/>
    </row>
    <row r="215" spans="1:9">
      <c r="A215" s="399"/>
      <c r="B215" s="400" t="s">
        <v>898</v>
      </c>
      <c r="C215" s="396"/>
      <c r="D215" s="396"/>
      <c r="E215" s="396"/>
      <c r="F215" s="397"/>
      <c r="G215" s="398">
        <f>G214*15%</f>
        <v>1923.8984999999998</v>
      </c>
      <c r="H215" s="301"/>
      <c r="I215" s="301"/>
    </row>
    <row r="216" spans="1:9">
      <c r="A216" s="399"/>
      <c r="B216" s="401" t="s">
        <v>2153</v>
      </c>
      <c r="C216" s="396"/>
      <c r="D216" s="396"/>
      <c r="E216" s="396"/>
      <c r="F216" s="397"/>
      <c r="G216" s="405">
        <f>ROUND(SUM(G214:G215),2)</f>
        <v>14749.89</v>
      </c>
      <c r="H216" s="406"/>
      <c r="I216" s="406"/>
    </row>
    <row r="217" spans="1:9">
      <c r="A217" s="393" t="s">
        <v>871</v>
      </c>
      <c r="B217" s="407" t="s">
        <v>874</v>
      </c>
      <c r="C217" s="396">
        <v>0.2</v>
      </c>
      <c r="D217" s="408" t="s">
        <v>875</v>
      </c>
      <c r="E217" s="396">
        <v>784</v>
      </c>
      <c r="F217" s="409" t="s">
        <v>876</v>
      </c>
      <c r="G217" s="398">
        <f t="shared" ref="G217:G218" si="9">C217*E217</f>
        <v>156.80000000000001</v>
      </c>
      <c r="H217" s="301"/>
      <c r="I217" s="301"/>
    </row>
    <row r="218" spans="1:9">
      <c r="A218" s="393" t="s">
        <v>903</v>
      </c>
      <c r="B218" s="407" t="s">
        <v>59</v>
      </c>
      <c r="C218" s="396">
        <v>0.2</v>
      </c>
      <c r="D218" s="408" t="s">
        <v>875</v>
      </c>
      <c r="E218" s="396">
        <v>645</v>
      </c>
      <c r="F218" s="409" t="s">
        <v>876</v>
      </c>
      <c r="G218" s="398">
        <f t="shared" si="9"/>
        <v>129</v>
      </c>
      <c r="H218" s="301"/>
      <c r="I218" s="301"/>
    </row>
    <row r="219" spans="1:9">
      <c r="A219" s="399"/>
      <c r="B219" s="400" t="s">
        <v>1064</v>
      </c>
      <c r="C219" s="396"/>
      <c r="D219" s="396"/>
      <c r="E219" s="396"/>
      <c r="F219" s="397"/>
      <c r="G219" s="398">
        <f>SUM(G217:G218)</f>
        <v>285.8</v>
      </c>
      <c r="H219" s="301"/>
      <c r="I219" s="301"/>
    </row>
    <row r="220" spans="1:9">
      <c r="A220" s="399"/>
      <c r="B220" s="400" t="s">
        <v>896</v>
      </c>
      <c r="C220" s="396"/>
      <c r="D220" s="396"/>
      <c r="E220" s="396"/>
      <c r="F220" s="397"/>
      <c r="G220" s="398">
        <f>G219*0.01</f>
        <v>2.8580000000000001</v>
      </c>
      <c r="H220" s="301"/>
      <c r="I220" s="301"/>
    </row>
    <row r="221" spans="1:9">
      <c r="A221" s="399"/>
      <c r="B221" s="400" t="s">
        <v>40</v>
      </c>
      <c r="C221" s="396"/>
      <c r="D221" s="396"/>
      <c r="E221" s="396"/>
      <c r="F221" s="397"/>
      <c r="G221" s="398">
        <f>SUM(G219:G220)</f>
        <v>288.65800000000002</v>
      </c>
      <c r="H221" s="301"/>
      <c r="I221" s="301"/>
    </row>
    <row r="222" spans="1:9">
      <c r="A222" s="399"/>
      <c r="B222" s="400" t="s">
        <v>898</v>
      </c>
      <c r="C222" s="396"/>
      <c r="D222" s="396"/>
      <c r="E222" s="396"/>
      <c r="F222" s="397"/>
      <c r="G222" s="398">
        <f>G221*15%</f>
        <v>43.298700000000004</v>
      </c>
      <c r="H222" s="301"/>
      <c r="I222" s="301"/>
    </row>
    <row r="223" spans="1:9">
      <c r="A223" s="399"/>
      <c r="B223" s="401" t="s">
        <v>2153</v>
      </c>
      <c r="C223" s="402"/>
      <c r="D223" s="396"/>
      <c r="E223" s="396"/>
      <c r="F223" s="397"/>
      <c r="G223" s="405">
        <f>ROUND(SUM(G221:G222),2)</f>
        <v>331.96</v>
      </c>
      <c r="H223" s="406"/>
      <c r="I223" s="406"/>
    </row>
    <row r="224" spans="1:9">
      <c r="A224" s="524" t="str">
        <f>CONCATENATE("Say ₹ ",G216," + ",G223," x Cost Index")</f>
        <v>Say ₹ 14749.89 + 331.96 x Cost Index</v>
      </c>
      <c r="B224" s="454"/>
      <c r="C224" s="454"/>
      <c r="D224" s="454"/>
      <c r="E224" s="454"/>
      <c r="F224" s="454"/>
      <c r="G224" s="450"/>
      <c r="H224" s="390">
        <f>G212*1.01*1.15</f>
        <v>14749.888499999999</v>
      </c>
      <c r="I224" s="390">
        <f>(G217+G218)*1.01*1.15</f>
        <v>331.95670000000001</v>
      </c>
    </row>
    <row r="225" spans="1:9">
      <c r="A225" s="391" t="s">
        <v>884</v>
      </c>
      <c r="B225" s="636" t="s">
        <v>2512</v>
      </c>
      <c r="C225" s="454"/>
      <c r="D225" s="454"/>
      <c r="E225" s="454"/>
      <c r="F225" s="454"/>
      <c r="G225" s="522"/>
      <c r="H225" s="392"/>
      <c r="I225" s="392"/>
    </row>
    <row r="226" spans="1:9">
      <c r="A226" s="411" t="s">
        <v>865</v>
      </c>
      <c r="B226" s="394" t="s">
        <v>2515</v>
      </c>
      <c r="C226" s="396">
        <v>1</v>
      </c>
      <c r="D226" s="396" t="s">
        <v>1107</v>
      </c>
      <c r="E226" s="396">
        <v>15180</v>
      </c>
      <c r="F226" s="397" t="s">
        <v>2147</v>
      </c>
      <c r="G226" s="398">
        <f>C226*E226</f>
        <v>15180</v>
      </c>
      <c r="H226" s="301"/>
      <c r="I226" s="301"/>
    </row>
    <row r="227" spans="1:9">
      <c r="A227" s="399"/>
      <c r="B227" s="400" t="s">
        <v>896</v>
      </c>
      <c r="C227" s="396"/>
      <c r="D227" s="396"/>
      <c r="E227" s="396"/>
      <c r="F227" s="397"/>
      <c r="G227" s="398">
        <f>G226*1%</f>
        <v>151.80000000000001</v>
      </c>
      <c r="H227" s="301"/>
      <c r="I227" s="301"/>
    </row>
    <row r="228" spans="1:9">
      <c r="A228" s="399"/>
      <c r="B228" s="400" t="s">
        <v>40</v>
      </c>
      <c r="C228" s="396"/>
      <c r="D228" s="396"/>
      <c r="E228" s="396"/>
      <c r="F228" s="397"/>
      <c r="G228" s="398">
        <f>SUM(G226:G227)</f>
        <v>15331.8</v>
      </c>
      <c r="H228" s="301"/>
      <c r="I228" s="301"/>
    </row>
    <row r="229" spans="1:9">
      <c r="A229" s="399"/>
      <c r="B229" s="400" t="s">
        <v>898</v>
      </c>
      <c r="C229" s="396"/>
      <c r="D229" s="396"/>
      <c r="E229" s="396"/>
      <c r="F229" s="397"/>
      <c r="G229" s="398">
        <f>G228*15%</f>
        <v>2299.77</v>
      </c>
      <c r="H229" s="301"/>
      <c r="I229" s="301"/>
    </row>
    <row r="230" spans="1:9">
      <c r="A230" s="399"/>
      <c r="B230" s="401" t="s">
        <v>2153</v>
      </c>
      <c r="C230" s="396"/>
      <c r="D230" s="396"/>
      <c r="E230" s="396"/>
      <c r="F230" s="397"/>
      <c r="G230" s="405">
        <f>ROUND(SUM(G228:G229),2)</f>
        <v>17631.57</v>
      </c>
      <c r="H230" s="406"/>
      <c r="I230" s="406"/>
    </row>
    <row r="231" spans="1:9">
      <c r="A231" s="393" t="s">
        <v>871</v>
      </c>
      <c r="B231" s="407" t="s">
        <v>874</v>
      </c>
      <c r="C231" s="396">
        <v>0.2</v>
      </c>
      <c r="D231" s="408" t="s">
        <v>875</v>
      </c>
      <c r="E231" s="396">
        <v>784</v>
      </c>
      <c r="F231" s="409" t="s">
        <v>876</v>
      </c>
      <c r="G231" s="398">
        <f t="shared" ref="G231:G232" si="10">C231*E231</f>
        <v>156.80000000000001</v>
      </c>
      <c r="H231" s="301"/>
      <c r="I231" s="301"/>
    </row>
    <row r="232" spans="1:9">
      <c r="A232" s="393" t="s">
        <v>903</v>
      </c>
      <c r="B232" s="407" t="s">
        <v>59</v>
      </c>
      <c r="C232" s="396">
        <v>0.2</v>
      </c>
      <c r="D232" s="408" t="s">
        <v>875</v>
      </c>
      <c r="E232" s="396">
        <v>645</v>
      </c>
      <c r="F232" s="409" t="s">
        <v>876</v>
      </c>
      <c r="G232" s="398">
        <f t="shared" si="10"/>
        <v>129</v>
      </c>
      <c r="H232" s="301"/>
      <c r="I232" s="301"/>
    </row>
    <row r="233" spans="1:9">
      <c r="A233" s="399"/>
      <c r="B233" s="400" t="s">
        <v>1064</v>
      </c>
      <c r="C233" s="396"/>
      <c r="D233" s="396"/>
      <c r="E233" s="396"/>
      <c r="F233" s="397"/>
      <c r="G233" s="398">
        <f>SUM(G231:G232)</f>
        <v>285.8</v>
      </c>
      <c r="H233" s="301"/>
      <c r="I233" s="301"/>
    </row>
    <row r="234" spans="1:9">
      <c r="A234" s="399"/>
      <c r="B234" s="400" t="s">
        <v>896</v>
      </c>
      <c r="C234" s="396"/>
      <c r="D234" s="396"/>
      <c r="E234" s="396"/>
      <c r="F234" s="397"/>
      <c r="G234" s="398">
        <f>G233*0.01</f>
        <v>2.8580000000000001</v>
      </c>
      <c r="H234" s="301"/>
      <c r="I234" s="301"/>
    </row>
    <row r="235" spans="1:9">
      <c r="A235" s="399"/>
      <c r="B235" s="400" t="s">
        <v>40</v>
      </c>
      <c r="C235" s="396"/>
      <c r="D235" s="396"/>
      <c r="E235" s="396"/>
      <c r="F235" s="397"/>
      <c r="G235" s="398">
        <f>SUM(G233:G234)</f>
        <v>288.65800000000002</v>
      </c>
      <c r="H235" s="301"/>
      <c r="I235" s="301"/>
    </row>
    <row r="236" spans="1:9">
      <c r="A236" s="399"/>
      <c r="B236" s="400" t="s">
        <v>898</v>
      </c>
      <c r="C236" s="396"/>
      <c r="D236" s="396"/>
      <c r="E236" s="396"/>
      <c r="F236" s="397"/>
      <c r="G236" s="398">
        <f>G235*15%</f>
        <v>43.298700000000004</v>
      </c>
      <c r="H236" s="301"/>
      <c r="I236" s="301"/>
    </row>
    <row r="237" spans="1:9">
      <c r="A237" s="399"/>
      <c r="B237" s="401" t="s">
        <v>2153</v>
      </c>
      <c r="C237" s="402"/>
      <c r="D237" s="396"/>
      <c r="E237" s="396"/>
      <c r="F237" s="397"/>
      <c r="G237" s="405">
        <f>ROUND(SUM(G235:G236),2)</f>
        <v>331.96</v>
      </c>
      <c r="H237" s="406"/>
      <c r="I237" s="406"/>
    </row>
    <row r="238" spans="1:9">
      <c r="A238" s="524" t="str">
        <f>CONCATENATE("Say ₹ ",G230," + ",G237," x Cost Index")</f>
        <v>Say ₹ 17631.57 + 331.96 x Cost Index</v>
      </c>
      <c r="B238" s="454"/>
      <c r="C238" s="454"/>
      <c r="D238" s="454"/>
      <c r="E238" s="454"/>
      <c r="F238" s="454"/>
      <c r="G238" s="450"/>
      <c r="H238" s="390">
        <f>G226*1.01*1.15</f>
        <v>17631.569999999996</v>
      </c>
      <c r="I238" s="390">
        <f>(G231+G232)*1.01*1.15</f>
        <v>331.95670000000001</v>
      </c>
    </row>
    <row r="239" spans="1:9">
      <c r="A239" s="391" t="s">
        <v>2188</v>
      </c>
      <c r="B239" s="636" t="s">
        <v>2554</v>
      </c>
      <c r="C239" s="454"/>
      <c r="D239" s="454"/>
      <c r="E239" s="454"/>
      <c r="F239" s="454"/>
      <c r="G239" s="522"/>
      <c r="H239" s="392"/>
      <c r="I239" s="392"/>
    </row>
    <row r="240" spans="1:9">
      <c r="A240" s="411" t="s">
        <v>865</v>
      </c>
      <c r="B240" s="394" t="s">
        <v>2558</v>
      </c>
      <c r="C240" s="396">
        <v>1</v>
      </c>
      <c r="D240" s="396" t="s">
        <v>1107</v>
      </c>
      <c r="E240" s="396">
        <v>22270</v>
      </c>
      <c r="F240" s="397" t="s">
        <v>2147</v>
      </c>
      <c r="G240" s="398">
        <f>C240*E240</f>
        <v>22270</v>
      </c>
      <c r="H240" s="301"/>
      <c r="I240" s="301"/>
    </row>
    <row r="241" spans="1:9">
      <c r="A241" s="399"/>
      <c r="B241" s="400" t="s">
        <v>896</v>
      </c>
      <c r="C241" s="396"/>
      <c r="D241" s="396"/>
      <c r="E241" s="396"/>
      <c r="F241" s="397"/>
      <c r="G241" s="398">
        <f>G240*1%</f>
        <v>222.70000000000002</v>
      </c>
      <c r="H241" s="301"/>
      <c r="I241" s="301"/>
    </row>
    <row r="242" spans="1:9">
      <c r="A242" s="399"/>
      <c r="B242" s="400" t="s">
        <v>40</v>
      </c>
      <c r="C242" s="396"/>
      <c r="D242" s="396"/>
      <c r="E242" s="396"/>
      <c r="F242" s="397"/>
      <c r="G242" s="398">
        <f>SUM(G240:G241)</f>
        <v>22492.7</v>
      </c>
      <c r="H242" s="301"/>
      <c r="I242" s="301"/>
    </row>
    <row r="243" spans="1:9">
      <c r="A243" s="399"/>
      <c r="B243" s="400" t="s">
        <v>898</v>
      </c>
      <c r="C243" s="396"/>
      <c r="D243" s="396"/>
      <c r="E243" s="396"/>
      <c r="F243" s="397"/>
      <c r="G243" s="398">
        <f>G242*15%</f>
        <v>3373.9050000000002</v>
      </c>
      <c r="H243" s="301"/>
      <c r="I243" s="301"/>
    </row>
    <row r="244" spans="1:9">
      <c r="A244" s="399"/>
      <c r="B244" s="401" t="s">
        <v>2153</v>
      </c>
      <c r="C244" s="396"/>
      <c r="D244" s="396"/>
      <c r="E244" s="396"/>
      <c r="F244" s="397"/>
      <c r="G244" s="405">
        <f>ROUND(SUM(G242:G243),2)</f>
        <v>25866.61</v>
      </c>
      <c r="H244" s="406"/>
      <c r="I244" s="406"/>
    </row>
    <row r="245" spans="1:9">
      <c r="A245" s="393" t="s">
        <v>871</v>
      </c>
      <c r="B245" s="407" t="s">
        <v>874</v>
      </c>
      <c r="C245" s="396">
        <v>0.2</v>
      </c>
      <c r="D245" s="408" t="s">
        <v>875</v>
      </c>
      <c r="E245" s="396">
        <v>784</v>
      </c>
      <c r="F245" s="409" t="s">
        <v>876</v>
      </c>
      <c r="G245" s="398">
        <f t="shared" ref="G245:G246" si="11">C245*E245</f>
        <v>156.80000000000001</v>
      </c>
      <c r="H245" s="301"/>
      <c r="I245" s="301"/>
    </row>
    <row r="246" spans="1:9">
      <c r="A246" s="393" t="s">
        <v>903</v>
      </c>
      <c r="B246" s="407" t="s">
        <v>59</v>
      </c>
      <c r="C246" s="396">
        <v>0.2</v>
      </c>
      <c r="D246" s="408" t="s">
        <v>875</v>
      </c>
      <c r="E246" s="396">
        <v>645</v>
      </c>
      <c r="F246" s="409" t="s">
        <v>876</v>
      </c>
      <c r="G246" s="398">
        <f t="shared" si="11"/>
        <v>129</v>
      </c>
      <c r="H246" s="301"/>
      <c r="I246" s="301"/>
    </row>
    <row r="247" spans="1:9">
      <c r="A247" s="399"/>
      <c r="B247" s="400" t="s">
        <v>1064</v>
      </c>
      <c r="C247" s="396"/>
      <c r="D247" s="396"/>
      <c r="E247" s="396"/>
      <c r="F247" s="397"/>
      <c r="G247" s="398">
        <f>SUM(G245:G246)</f>
        <v>285.8</v>
      </c>
      <c r="H247" s="301"/>
      <c r="I247" s="301"/>
    </row>
    <row r="248" spans="1:9">
      <c r="A248" s="399"/>
      <c r="B248" s="400" t="s">
        <v>896</v>
      </c>
      <c r="C248" s="396"/>
      <c r="D248" s="396"/>
      <c r="E248" s="396"/>
      <c r="F248" s="397"/>
      <c r="G248" s="398">
        <f>G247*0.01</f>
        <v>2.8580000000000001</v>
      </c>
      <c r="H248" s="301"/>
      <c r="I248" s="301"/>
    </row>
    <row r="249" spans="1:9">
      <c r="A249" s="399"/>
      <c r="B249" s="400" t="s">
        <v>40</v>
      </c>
      <c r="C249" s="396"/>
      <c r="D249" s="396"/>
      <c r="E249" s="396"/>
      <c r="F249" s="397"/>
      <c r="G249" s="398">
        <f>SUM(G247:G248)</f>
        <v>288.65800000000002</v>
      </c>
      <c r="H249" s="301"/>
      <c r="I249" s="301"/>
    </row>
    <row r="250" spans="1:9">
      <c r="A250" s="399"/>
      <c r="B250" s="400" t="s">
        <v>898</v>
      </c>
      <c r="C250" s="396"/>
      <c r="D250" s="396"/>
      <c r="E250" s="396"/>
      <c r="F250" s="397"/>
      <c r="G250" s="398">
        <f>G249*15%</f>
        <v>43.298700000000004</v>
      </c>
      <c r="H250" s="301"/>
      <c r="I250" s="301"/>
    </row>
    <row r="251" spans="1:9">
      <c r="A251" s="399"/>
      <c r="B251" s="401" t="s">
        <v>2153</v>
      </c>
      <c r="C251" s="402"/>
      <c r="D251" s="396"/>
      <c r="E251" s="396"/>
      <c r="F251" s="397"/>
      <c r="G251" s="405">
        <f>ROUND(SUM(G249:G250),2)</f>
        <v>331.96</v>
      </c>
      <c r="H251" s="406"/>
      <c r="I251" s="406"/>
    </row>
    <row r="252" spans="1:9">
      <c r="A252" s="524" t="str">
        <f>CONCATENATE("Say ₹ ",G244," + ",G251," x Cost Index")</f>
        <v>Say ₹ 25866.61 + 331.96 x Cost Index</v>
      </c>
      <c r="B252" s="454"/>
      <c r="C252" s="454"/>
      <c r="D252" s="454"/>
      <c r="E252" s="454"/>
      <c r="F252" s="454"/>
      <c r="G252" s="450"/>
      <c r="H252" s="390">
        <f>G240*1.01*1.15</f>
        <v>25866.605</v>
      </c>
      <c r="I252" s="390">
        <f>(G245+G246)*1.01*1.15</f>
        <v>331.95670000000001</v>
      </c>
    </row>
    <row r="253" spans="1:9">
      <c r="A253" s="637" t="s">
        <v>2619</v>
      </c>
      <c r="B253" s="454"/>
      <c r="C253" s="454"/>
      <c r="D253" s="454"/>
      <c r="E253" s="454"/>
      <c r="F253" s="454"/>
      <c r="G253" s="522"/>
      <c r="H253" s="406"/>
      <c r="I253" s="406"/>
    </row>
    <row r="254" spans="1:9">
      <c r="A254" s="391" t="s">
        <v>868</v>
      </c>
      <c r="B254" s="636" t="s">
        <v>2624</v>
      </c>
      <c r="C254" s="454"/>
      <c r="D254" s="454"/>
      <c r="E254" s="454"/>
      <c r="F254" s="454"/>
      <c r="G254" s="522"/>
      <c r="H254" s="429"/>
      <c r="I254" s="429"/>
    </row>
    <row r="255" spans="1:9">
      <c r="A255" s="411" t="s">
        <v>865</v>
      </c>
      <c r="B255" s="394" t="s">
        <v>2627</v>
      </c>
      <c r="C255" s="396">
        <v>1</v>
      </c>
      <c r="D255" s="396" t="s">
        <v>1107</v>
      </c>
      <c r="E255" s="396">
        <v>16282</v>
      </c>
      <c r="F255" s="397" t="s">
        <v>2147</v>
      </c>
      <c r="G255" s="398">
        <f>C255*E255</f>
        <v>16282</v>
      </c>
      <c r="H255" s="301"/>
      <c r="I255" s="301"/>
    </row>
    <row r="256" spans="1:9">
      <c r="A256" s="399"/>
      <c r="B256" s="400" t="s">
        <v>896</v>
      </c>
      <c r="C256" s="396"/>
      <c r="D256" s="396"/>
      <c r="E256" s="396"/>
      <c r="F256" s="397"/>
      <c r="G256" s="398">
        <f>G255*1%</f>
        <v>162.82</v>
      </c>
      <c r="H256" s="301"/>
      <c r="I256" s="301"/>
    </row>
    <row r="257" spans="1:9">
      <c r="A257" s="399"/>
      <c r="B257" s="400" t="s">
        <v>40</v>
      </c>
      <c r="C257" s="396"/>
      <c r="D257" s="396"/>
      <c r="E257" s="396"/>
      <c r="F257" s="397"/>
      <c r="G257" s="398">
        <f>SUM(G255:G256)</f>
        <v>16444.82</v>
      </c>
      <c r="H257" s="301"/>
      <c r="I257" s="301"/>
    </row>
    <row r="258" spans="1:9">
      <c r="A258" s="399"/>
      <c r="B258" s="400" t="s">
        <v>898</v>
      </c>
      <c r="C258" s="396"/>
      <c r="D258" s="396"/>
      <c r="E258" s="396"/>
      <c r="F258" s="397"/>
      <c r="G258" s="398">
        <f>G257*15%</f>
        <v>2466.723</v>
      </c>
      <c r="H258" s="301"/>
      <c r="I258" s="301"/>
    </row>
    <row r="259" spans="1:9">
      <c r="A259" s="399"/>
      <c r="B259" s="401" t="s">
        <v>2153</v>
      </c>
      <c r="C259" s="396"/>
      <c r="D259" s="396"/>
      <c r="E259" s="396"/>
      <c r="F259" s="397"/>
      <c r="G259" s="405">
        <f>ROUND(SUM(G257:G258),2)</f>
        <v>18911.54</v>
      </c>
      <c r="H259" s="406"/>
      <c r="I259" s="406"/>
    </row>
    <row r="260" spans="1:9">
      <c r="A260" s="393" t="s">
        <v>871</v>
      </c>
      <c r="B260" s="407" t="s">
        <v>874</v>
      </c>
      <c r="C260" s="396">
        <v>0.2</v>
      </c>
      <c r="D260" s="408" t="s">
        <v>875</v>
      </c>
      <c r="E260" s="396">
        <v>784</v>
      </c>
      <c r="F260" s="409" t="s">
        <v>876</v>
      </c>
      <c r="G260" s="398">
        <f t="shared" ref="G260:G261" si="12">C260*E260</f>
        <v>156.80000000000001</v>
      </c>
      <c r="H260" s="301"/>
      <c r="I260" s="301"/>
    </row>
    <row r="261" spans="1:9">
      <c r="A261" s="393" t="s">
        <v>903</v>
      </c>
      <c r="B261" s="407" t="s">
        <v>59</v>
      </c>
      <c r="C261" s="396">
        <v>0.2</v>
      </c>
      <c r="D261" s="408" t="s">
        <v>875</v>
      </c>
      <c r="E261" s="396">
        <v>645</v>
      </c>
      <c r="F261" s="409" t="s">
        <v>876</v>
      </c>
      <c r="G261" s="398">
        <f t="shared" si="12"/>
        <v>129</v>
      </c>
      <c r="H261" s="301"/>
      <c r="I261" s="301"/>
    </row>
    <row r="262" spans="1:9">
      <c r="A262" s="399"/>
      <c r="B262" s="400" t="s">
        <v>1064</v>
      </c>
      <c r="C262" s="396"/>
      <c r="D262" s="396"/>
      <c r="E262" s="396"/>
      <c r="F262" s="397"/>
      <c r="G262" s="398">
        <f>SUM(G260:G261)</f>
        <v>285.8</v>
      </c>
      <c r="H262" s="301"/>
      <c r="I262" s="301"/>
    </row>
    <row r="263" spans="1:9">
      <c r="A263" s="399"/>
      <c r="B263" s="400" t="s">
        <v>896</v>
      </c>
      <c r="C263" s="396"/>
      <c r="D263" s="396"/>
      <c r="E263" s="396"/>
      <c r="F263" s="397"/>
      <c r="G263" s="398">
        <f>G262*0.01</f>
        <v>2.8580000000000001</v>
      </c>
      <c r="H263" s="301"/>
      <c r="I263" s="301"/>
    </row>
    <row r="264" spans="1:9">
      <c r="A264" s="399"/>
      <c r="B264" s="400" t="s">
        <v>40</v>
      </c>
      <c r="C264" s="396"/>
      <c r="D264" s="396"/>
      <c r="E264" s="396"/>
      <c r="F264" s="397"/>
      <c r="G264" s="398">
        <f>SUM(G262:G263)</f>
        <v>288.65800000000002</v>
      </c>
      <c r="H264" s="301"/>
      <c r="I264" s="301"/>
    </row>
    <row r="265" spans="1:9">
      <c r="A265" s="399"/>
      <c r="B265" s="400" t="s">
        <v>898</v>
      </c>
      <c r="C265" s="396"/>
      <c r="D265" s="396"/>
      <c r="E265" s="396"/>
      <c r="F265" s="397"/>
      <c r="G265" s="398">
        <f>G264*15%</f>
        <v>43.298700000000004</v>
      </c>
      <c r="H265" s="301"/>
      <c r="I265" s="301"/>
    </row>
    <row r="266" spans="1:9">
      <c r="A266" s="399"/>
      <c r="B266" s="401" t="s">
        <v>2153</v>
      </c>
      <c r="C266" s="402"/>
      <c r="D266" s="396"/>
      <c r="E266" s="396"/>
      <c r="F266" s="397"/>
      <c r="G266" s="405">
        <f>ROUND(SUM(G264:G265),2)</f>
        <v>331.96</v>
      </c>
      <c r="H266" s="406"/>
      <c r="I266" s="406"/>
    </row>
    <row r="267" spans="1:9">
      <c r="A267" s="524" t="str">
        <f>CONCATENATE("Say ₹ ",G259," + ",G266," x Cost Index")</f>
        <v>Say ₹ 18911.54 + 331.96 x Cost Index</v>
      </c>
      <c r="B267" s="454"/>
      <c r="C267" s="454"/>
      <c r="D267" s="454"/>
      <c r="E267" s="454"/>
      <c r="F267" s="454"/>
      <c r="G267" s="450"/>
      <c r="H267" s="390">
        <f>G255*1.01*1.15</f>
        <v>18911.542999999998</v>
      </c>
      <c r="I267" s="390">
        <f>(G260+G261)*1.01*1.15</f>
        <v>331.95670000000001</v>
      </c>
    </row>
    <row r="268" spans="1:9">
      <c r="A268" s="637" t="s">
        <v>2678</v>
      </c>
      <c r="B268" s="454"/>
      <c r="C268" s="454"/>
      <c r="D268" s="454"/>
      <c r="E268" s="454"/>
      <c r="F268" s="454"/>
      <c r="G268" s="522"/>
      <c r="H268" s="406"/>
      <c r="I268" s="406"/>
    </row>
    <row r="269" spans="1:9">
      <c r="A269" s="391" t="s">
        <v>868</v>
      </c>
      <c r="B269" s="636" t="s">
        <v>2683</v>
      </c>
      <c r="C269" s="454"/>
      <c r="D269" s="454"/>
      <c r="E269" s="454"/>
      <c r="F269" s="454"/>
      <c r="G269" s="522"/>
      <c r="H269" s="429"/>
      <c r="I269" s="429"/>
    </row>
    <row r="270" spans="1:9">
      <c r="A270" s="411" t="s">
        <v>865</v>
      </c>
      <c r="B270" s="394" t="s">
        <v>2686</v>
      </c>
      <c r="C270" s="396">
        <v>1</v>
      </c>
      <c r="D270" s="396" t="s">
        <v>1107</v>
      </c>
      <c r="E270" s="396">
        <v>40522</v>
      </c>
      <c r="F270" s="397" t="s">
        <v>2147</v>
      </c>
      <c r="G270" s="398">
        <f>C270*E270</f>
        <v>40522</v>
      </c>
      <c r="H270" s="301"/>
      <c r="I270" s="301"/>
    </row>
    <row r="271" spans="1:9">
      <c r="A271" s="399"/>
      <c r="B271" s="400" t="s">
        <v>896</v>
      </c>
      <c r="C271" s="396"/>
      <c r="D271" s="396"/>
      <c r="E271" s="396"/>
      <c r="F271" s="397"/>
      <c r="G271" s="398">
        <f>G270*1%</f>
        <v>405.22</v>
      </c>
      <c r="H271" s="301"/>
      <c r="I271" s="301"/>
    </row>
    <row r="272" spans="1:9">
      <c r="A272" s="399"/>
      <c r="B272" s="400" t="s">
        <v>40</v>
      </c>
      <c r="C272" s="396"/>
      <c r="D272" s="396"/>
      <c r="E272" s="396"/>
      <c r="F272" s="397"/>
      <c r="G272" s="398">
        <f>SUM(G270:G271)</f>
        <v>40927.22</v>
      </c>
      <c r="H272" s="301"/>
      <c r="I272" s="301"/>
    </row>
    <row r="273" spans="1:9">
      <c r="A273" s="399"/>
      <c r="B273" s="400" t="s">
        <v>898</v>
      </c>
      <c r="C273" s="396"/>
      <c r="D273" s="396"/>
      <c r="E273" s="396"/>
      <c r="F273" s="397"/>
      <c r="G273" s="398">
        <f>G272*15%</f>
        <v>6139.0829999999996</v>
      </c>
      <c r="H273" s="301"/>
      <c r="I273" s="301"/>
    </row>
    <row r="274" spans="1:9">
      <c r="A274" s="399"/>
      <c r="B274" s="401" t="s">
        <v>2153</v>
      </c>
      <c r="C274" s="396"/>
      <c r="D274" s="396"/>
      <c r="E274" s="396"/>
      <c r="F274" s="397"/>
      <c r="G274" s="405">
        <f>ROUND(SUM(G272:G273),2)</f>
        <v>47066.3</v>
      </c>
      <c r="H274" s="406"/>
      <c r="I274" s="406"/>
    </row>
    <row r="275" spans="1:9">
      <c r="A275" s="393" t="s">
        <v>871</v>
      </c>
      <c r="B275" s="407" t="s">
        <v>874</v>
      </c>
      <c r="C275" s="396">
        <v>0.2</v>
      </c>
      <c r="D275" s="408" t="s">
        <v>875</v>
      </c>
      <c r="E275" s="396">
        <v>784</v>
      </c>
      <c r="F275" s="409" t="s">
        <v>876</v>
      </c>
      <c r="G275" s="398">
        <f t="shared" ref="G275:G276" si="13">C275*E275</f>
        <v>156.80000000000001</v>
      </c>
      <c r="H275" s="301"/>
      <c r="I275" s="301"/>
    </row>
    <row r="276" spans="1:9">
      <c r="A276" s="393" t="s">
        <v>903</v>
      </c>
      <c r="B276" s="407" t="s">
        <v>59</v>
      </c>
      <c r="C276" s="396">
        <v>0.2</v>
      </c>
      <c r="D276" s="408" t="s">
        <v>875</v>
      </c>
      <c r="E276" s="396">
        <v>645</v>
      </c>
      <c r="F276" s="409" t="s">
        <v>876</v>
      </c>
      <c r="G276" s="398">
        <f t="shared" si="13"/>
        <v>129</v>
      </c>
      <c r="H276" s="301"/>
      <c r="I276" s="301"/>
    </row>
    <row r="277" spans="1:9">
      <c r="A277" s="399"/>
      <c r="B277" s="400" t="s">
        <v>1064</v>
      </c>
      <c r="C277" s="396"/>
      <c r="D277" s="396"/>
      <c r="E277" s="396"/>
      <c r="F277" s="397"/>
      <c r="G277" s="398">
        <f>SUM(G275:G276)</f>
        <v>285.8</v>
      </c>
      <c r="H277" s="301"/>
      <c r="I277" s="301"/>
    </row>
    <row r="278" spans="1:9">
      <c r="A278" s="399"/>
      <c r="B278" s="400" t="s">
        <v>896</v>
      </c>
      <c r="C278" s="396"/>
      <c r="D278" s="396"/>
      <c r="E278" s="396"/>
      <c r="F278" s="397"/>
      <c r="G278" s="398">
        <f>G277*0.01</f>
        <v>2.8580000000000001</v>
      </c>
      <c r="H278" s="301"/>
      <c r="I278" s="301"/>
    </row>
    <row r="279" spans="1:9">
      <c r="A279" s="399"/>
      <c r="B279" s="400" t="s">
        <v>40</v>
      </c>
      <c r="C279" s="396"/>
      <c r="D279" s="396"/>
      <c r="E279" s="396"/>
      <c r="F279" s="397"/>
      <c r="G279" s="398">
        <f>SUM(G277:G278)</f>
        <v>288.65800000000002</v>
      </c>
      <c r="H279" s="301"/>
      <c r="I279" s="301"/>
    </row>
    <row r="280" spans="1:9">
      <c r="A280" s="399"/>
      <c r="B280" s="400" t="s">
        <v>898</v>
      </c>
      <c r="C280" s="396"/>
      <c r="D280" s="396"/>
      <c r="E280" s="396"/>
      <c r="F280" s="397"/>
      <c r="G280" s="398">
        <f>G279*15%</f>
        <v>43.298700000000004</v>
      </c>
      <c r="H280" s="301"/>
      <c r="I280" s="301"/>
    </row>
    <row r="281" spans="1:9">
      <c r="A281" s="399"/>
      <c r="B281" s="401" t="s">
        <v>2153</v>
      </c>
      <c r="C281" s="402"/>
      <c r="D281" s="396"/>
      <c r="E281" s="396"/>
      <c r="F281" s="397"/>
      <c r="G281" s="405">
        <f>ROUND(SUM(G279:G280),2)</f>
        <v>331.96</v>
      </c>
      <c r="H281" s="406"/>
      <c r="I281" s="406"/>
    </row>
    <row r="282" spans="1:9">
      <c r="A282" s="524" t="str">
        <f>CONCATENATE("Say ₹ ",G274," + ",G281," x Cost Index")</f>
        <v>Say ₹ 47066.3 + 331.96 x Cost Index</v>
      </c>
      <c r="B282" s="454"/>
      <c r="C282" s="454"/>
      <c r="D282" s="454"/>
      <c r="E282" s="454"/>
      <c r="F282" s="454"/>
      <c r="G282" s="450"/>
      <c r="H282" s="390">
        <f>G270*1.01*1.15</f>
        <v>47066.303</v>
      </c>
      <c r="I282" s="390">
        <f>(G275+G276)*1.01*1.15</f>
        <v>331.95670000000001</v>
      </c>
    </row>
    <row r="283" spans="1:9">
      <c r="A283" s="391" t="s">
        <v>884</v>
      </c>
      <c r="B283" s="636" t="s">
        <v>2736</v>
      </c>
      <c r="C283" s="454"/>
      <c r="D283" s="454"/>
      <c r="E283" s="454"/>
      <c r="F283" s="454"/>
      <c r="G283" s="522"/>
      <c r="H283" s="429"/>
      <c r="I283" s="429"/>
    </row>
    <row r="284" spans="1:9">
      <c r="A284" s="411" t="s">
        <v>865</v>
      </c>
      <c r="B284" s="394" t="s">
        <v>2737</v>
      </c>
      <c r="C284" s="396">
        <v>1</v>
      </c>
      <c r="D284" s="396" t="s">
        <v>1107</v>
      </c>
      <c r="E284" s="396">
        <v>62500</v>
      </c>
      <c r="F284" s="397" t="s">
        <v>2147</v>
      </c>
      <c r="G284" s="398">
        <f>C284*E284</f>
        <v>62500</v>
      </c>
      <c r="H284" s="301"/>
      <c r="I284" s="301"/>
    </row>
    <row r="285" spans="1:9">
      <c r="A285" s="399"/>
      <c r="B285" s="400" t="s">
        <v>896</v>
      </c>
      <c r="C285" s="396"/>
      <c r="D285" s="396"/>
      <c r="E285" s="396"/>
      <c r="F285" s="397"/>
      <c r="G285" s="398">
        <f>G284*1%</f>
        <v>625</v>
      </c>
      <c r="H285" s="301"/>
      <c r="I285" s="301"/>
    </row>
    <row r="286" spans="1:9">
      <c r="A286" s="399"/>
      <c r="B286" s="400" t="s">
        <v>40</v>
      </c>
      <c r="C286" s="396"/>
      <c r="D286" s="396"/>
      <c r="E286" s="396"/>
      <c r="F286" s="397"/>
      <c r="G286" s="398">
        <f>SUM(G284:G285)</f>
        <v>63125</v>
      </c>
      <c r="H286" s="301"/>
      <c r="I286" s="301"/>
    </row>
    <row r="287" spans="1:9">
      <c r="A287" s="399"/>
      <c r="B287" s="400" t="s">
        <v>898</v>
      </c>
      <c r="C287" s="396"/>
      <c r="D287" s="396"/>
      <c r="E287" s="396"/>
      <c r="F287" s="397"/>
      <c r="G287" s="398">
        <f>G286*15%</f>
        <v>9468.75</v>
      </c>
      <c r="H287" s="301"/>
      <c r="I287" s="301"/>
    </row>
    <row r="288" spans="1:9">
      <c r="A288" s="399"/>
      <c r="B288" s="401" t="s">
        <v>2153</v>
      </c>
      <c r="C288" s="396"/>
      <c r="D288" s="396"/>
      <c r="E288" s="396"/>
      <c r="F288" s="397"/>
      <c r="G288" s="405">
        <f>ROUND(SUM(G286:G287),2)</f>
        <v>72593.75</v>
      </c>
      <c r="H288" s="406"/>
      <c r="I288" s="406"/>
    </row>
    <row r="289" spans="1:9">
      <c r="A289" s="393" t="s">
        <v>871</v>
      </c>
      <c r="B289" s="407" t="s">
        <v>874</v>
      </c>
      <c r="C289" s="396">
        <v>0.2</v>
      </c>
      <c r="D289" s="408" t="s">
        <v>875</v>
      </c>
      <c r="E289" s="396">
        <v>784</v>
      </c>
      <c r="F289" s="409" t="s">
        <v>876</v>
      </c>
      <c r="G289" s="398">
        <f t="shared" ref="G289:G290" si="14">C289*E289</f>
        <v>156.80000000000001</v>
      </c>
      <c r="H289" s="301"/>
      <c r="I289" s="301"/>
    </row>
    <row r="290" spans="1:9">
      <c r="A290" s="393" t="s">
        <v>903</v>
      </c>
      <c r="B290" s="407" t="s">
        <v>59</v>
      </c>
      <c r="C290" s="396">
        <v>0.2</v>
      </c>
      <c r="D290" s="408" t="s">
        <v>875</v>
      </c>
      <c r="E290" s="396">
        <v>645</v>
      </c>
      <c r="F290" s="409" t="s">
        <v>876</v>
      </c>
      <c r="G290" s="398">
        <f t="shared" si="14"/>
        <v>129</v>
      </c>
      <c r="H290" s="301"/>
      <c r="I290" s="301"/>
    </row>
    <row r="291" spans="1:9">
      <c r="A291" s="399"/>
      <c r="B291" s="400" t="s">
        <v>1064</v>
      </c>
      <c r="C291" s="396"/>
      <c r="D291" s="396"/>
      <c r="E291" s="396"/>
      <c r="F291" s="397"/>
      <c r="G291" s="398">
        <f>SUM(G289:G290)</f>
        <v>285.8</v>
      </c>
      <c r="H291" s="301"/>
      <c r="I291" s="301"/>
    </row>
    <row r="292" spans="1:9">
      <c r="A292" s="399"/>
      <c r="B292" s="400" t="s">
        <v>896</v>
      </c>
      <c r="C292" s="396"/>
      <c r="D292" s="396"/>
      <c r="E292" s="396"/>
      <c r="F292" s="397"/>
      <c r="G292" s="398">
        <f>G291*0.01</f>
        <v>2.8580000000000001</v>
      </c>
      <c r="H292" s="301"/>
      <c r="I292" s="301"/>
    </row>
    <row r="293" spans="1:9">
      <c r="A293" s="399"/>
      <c r="B293" s="400" t="s">
        <v>40</v>
      </c>
      <c r="C293" s="396"/>
      <c r="D293" s="396"/>
      <c r="E293" s="396"/>
      <c r="F293" s="397"/>
      <c r="G293" s="398">
        <f>SUM(G291:G292)</f>
        <v>288.65800000000002</v>
      </c>
      <c r="H293" s="301"/>
      <c r="I293" s="301"/>
    </row>
    <row r="294" spans="1:9">
      <c r="A294" s="399"/>
      <c r="B294" s="400" t="s">
        <v>898</v>
      </c>
      <c r="C294" s="396"/>
      <c r="D294" s="396"/>
      <c r="E294" s="396"/>
      <c r="F294" s="397"/>
      <c r="G294" s="398">
        <f>G293*15%</f>
        <v>43.298700000000004</v>
      </c>
      <c r="H294" s="301"/>
      <c r="I294" s="301"/>
    </row>
    <row r="295" spans="1:9">
      <c r="A295" s="399"/>
      <c r="B295" s="401" t="s">
        <v>2153</v>
      </c>
      <c r="C295" s="402"/>
      <c r="D295" s="396"/>
      <c r="E295" s="396"/>
      <c r="F295" s="397"/>
      <c r="G295" s="405">
        <f>ROUND(SUM(G293:G294),2)</f>
        <v>331.96</v>
      </c>
      <c r="H295" s="406"/>
      <c r="I295" s="406"/>
    </row>
    <row r="296" spans="1:9">
      <c r="A296" s="524" t="str">
        <f>CONCATENATE("Say ₹ ",G288," + ",G295," x Cost Index")</f>
        <v>Say ₹ 72593.75 + 331.96 x Cost Index</v>
      </c>
      <c r="B296" s="454"/>
      <c r="C296" s="454"/>
      <c r="D296" s="454"/>
      <c r="E296" s="454"/>
      <c r="F296" s="454"/>
      <c r="G296" s="450"/>
      <c r="H296" s="390">
        <f>G284*1.01*1.15</f>
        <v>72593.75</v>
      </c>
      <c r="I296" s="390">
        <f>(G289+G290)*1.01*1.15</f>
        <v>331.95670000000001</v>
      </c>
    </row>
    <row r="297" spans="1:9">
      <c r="A297" s="391" t="s">
        <v>2188</v>
      </c>
      <c r="B297" s="636" t="s">
        <v>2781</v>
      </c>
      <c r="C297" s="454"/>
      <c r="D297" s="454"/>
      <c r="E297" s="454"/>
      <c r="F297" s="454"/>
      <c r="G297" s="522"/>
      <c r="H297" s="429"/>
      <c r="I297" s="429"/>
    </row>
    <row r="298" spans="1:9">
      <c r="A298" s="411" t="s">
        <v>865</v>
      </c>
      <c r="B298" s="394" t="s">
        <v>2784</v>
      </c>
      <c r="C298" s="396">
        <v>1</v>
      </c>
      <c r="D298" s="396" t="s">
        <v>1107</v>
      </c>
      <c r="E298" s="396">
        <v>71266</v>
      </c>
      <c r="F298" s="397" t="s">
        <v>2147</v>
      </c>
      <c r="G298" s="398">
        <f>C298*E298</f>
        <v>71266</v>
      </c>
      <c r="H298" s="301"/>
      <c r="I298" s="301"/>
    </row>
    <row r="299" spans="1:9">
      <c r="A299" s="399"/>
      <c r="B299" s="400" t="s">
        <v>896</v>
      </c>
      <c r="C299" s="396"/>
      <c r="D299" s="396"/>
      <c r="E299" s="396"/>
      <c r="F299" s="397"/>
      <c r="G299" s="398">
        <f>G298*1%</f>
        <v>712.66</v>
      </c>
      <c r="H299" s="301"/>
      <c r="I299" s="301"/>
    </row>
    <row r="300" spans="1:9">
      <c r="A300" s="399"/>
      <c r="B300" s="400" t="s">
        <v>40</v>
      </c>
      <c r="C300" s="396"/>
      <c r="D300" s="396"/>
      <c r="E300" s="396"/>
      <c r="F300" s="397"/>
      <c r="G300" s="398">
        <f>SUM(G298:G299)</f>
        <v>71978.66</v>
      </c>
      <c r="H300" s="301"/>
      <c r="I300" s="301"/>
    </row>
    <row r="301" spans="1:9">
      <c r="A301" s="399"/>
      <c r="B301" s="400" t="s">
        <v>898</v>
      </c>
      <c r="C301" s="396"/>
      <c r="D301" s="396"/>
      <c r="E301" s="396"/>
      <c r="F301" s="397"/>
      <c r="G301" s="398">
        <f>G300*15%</f>
        <v>10796.799000000001</v>
      </c>
      <c r="H301" s="301"/>
      <c r="I301" s="301"/>
    </row>
    <row r="302" spans="1:9">
      <c r="A302" s="399"/>
      <c r="B302" s="401" t="s">
        <v>2153</v>
      </c>
      <c r="C302" s="396"/>
      <c r="D302" s="396"/>
      <c r="E302" s="396"/>
      <c r="F302" s="397"/>
      <c r="G302" s="405">
        <f>ROUND(SUM(G300:G301),2)</f>
        <v>82775.460000000006</v>
      </c>
      <c r="H302" s="406"/>
      <c r="I302" s="406"/>
    </row>
    <row r="303" spans="1:9">
      <c r="A303" s="393" t="s">
        <v>871</v>
      </c>
      <c r="B303" s="407" t="s">
        <v>874</v>
      </c>
      <c r="C303" s="396">
        <v>0.2</v>
      </c>
      <c r="D303" s="408" t="s">
        <v>875</v>
      </c>
      <c r="E303" s="396">
        <v>784</v>
      </c>
      <c r="F303" s="409" t="s">
        <v>876</v>
      </c>
      <c r="G303" s="398">
        <f t="shared" ref="G303:G304" si="15">C303*E303</f>
        <v>156.80000000000001</v>
      </c>
      <c r="H303" s="301"/>
      <c r="I303" s="301"/>
    </row>
    <row r="304" spans="1:9">
      <c r="A304" s="393" t="s">
        <v>903</v>
      </c>
      <c r="B304" s="407" t="s">
        <v>59</v>
      </c>
      <c r="C304" s="396">
        <v>0.2</v>
      </c>
      <c r="D304" s="408" t="s">
        <v>875</v>
      </c>
      <c r="E304" s="396">
        <v>645</v>
      </c>
      <c r="F304" s="409" t="s">
        <v>876</v>
      </c>
      <c r="G304" s="398">
        <f t="shared" si="15"/>
        <v>129</v>
      </c>
      <c r="H304" s="301"/>
      <c r="I304" s="301"/>
    </row>
    <row r="305" spans="1:9">
      <c r="A305" s="399"/>
      <c r="B305" s="400" t="s">
        <v>1064</v>
      </c>
      <c r="C305" s="396"/>
      <c r="D305" s="396"/>
      <c r="E305" s="396"/>
      <c r="F305" s="397"/>
      <c r="G305" s="398">
        <f>SUM(G303:G304)</f>
        <v>285.8</v>
      </c>
      <c r="H305" s="301"/>
      <c r="I305" s="301"/>
    </row>
    <row r="306" spans="1:9">
      <c r="A306" s="399"/>
      <c r="B306" s="400" t="s">
        <v>896</v>
      </c>
      <c r="C306" s="396"/>
      <c r="D306" s="396"/>
      <c r="E306" s="396"/>
      <c r="F306" s="397"/>
      <c r="G306" s="398">
        <f>G305*0.01</f>
        <v>2.8580000000000001</v>
      </c>
      <c r="H306" s="301"/>
      <c r="I306" s="301"/>
    </row>
    <row r="307" spans="1:9">
      <c r="A307" s="399"/>
      <c r="B307" s="400" t="s">
        <v>40</v>
      </c>
      <c r="C307" s="396"/>
      <c r="D307" s="396"/>
      <c r="E307" s="396"/>
      <c r="F307" s="397"/>
      <c r="G307" s="398">
        <f>SUM(G305:G306)</f>
        <v>288.65800000000002</v>
      </c>
      <c r="H307" s="301"/>
      <c r="I307" s="301"/>
    </row>
    <row r="308" spans="1:9">
      <c r="A308" s="399"/>
      <c r="B308" s="400" t="s">
        <v>898</v>
      </c>
      <c r="C308" s="396"/>
      <c r="D308" s="396"/>
      <c r="E308" s="396"/>
      <c r="F308" s="397"/>
      <c r="G308" s="398">
        <f>G307*15%</f>
        <v>43.298700000000004</v>
      </c>
      <c r="H308" s="301"/>
      <c r="I308" s="301"/>
    </row>
    <row r="309" spans="1:9">
      <c r="A309" s="399"/>
      <c r="B309" s="401" t="s">
        <v>2153</v>
      </c>
      <c r="C309" s="402"/>
      <c r="D309" s="396"/>
      <c r="E309" s="396"/>
      <c r="F309" s="397"/>
      <c r="G309" s="405">
        <f>ROUND(SUM(G307:G308),2)</f>
        <v>331.96</v>
      </c>
      <c r="H309" s="406"/>
      <c r="I309" s="406"/>
    </row>
    <row r="310" spans="1:9">
      <c r="A310" s="524" t="str">
        <f>CONCATENATE("Say ₹ ",G302," + ",G309," x Cost Index")</f>
        <v>Say ₹ 82775.46 + 331.96 x Cost Index</v>
      </c>
      <c r="B310" s="454"/>
      <c r="C310" s="454"/>
      <c r="D310" s="454"/>
      <c r="E310" s="454"/>
      <c r="F310" s="454"/>
      <c r="G310" s="450"/>
      <c r="H310" s="390">
        <f>G298*1.01*1.15</f>
        <v>82775.459000000003</v>
      </c>
      <c r="I310" s="390">
        <f>(G303+G304)*1.01*1.15</f>
        <v>331.95670000000001</v>
      </c>
    </row>
    <row r="311" spans="1:9">
      <c r="A311" s="637" t="s">
        <v>2823</v>
      </c>
      <c r="B311" s="454"/>
      <c r="C311" s="454"/>
      <c r="D311" s="454"/>
      <c r="E311" s="454"/>
      <c r="F311" s="454"/>
      <c r="G311" s="522"/>
      <c r="H311" s="406"/>
      <c r="I311" s="406"/>
    </row>
    <row r="312" spans="1:9">
      <c r="A312" s="391" t="s">
        <v>868</v>
      </c>
      <c r="B312" s="636" t="s">
        <v>2824</v>
      </c>
      <c r="C312" s="454"/>
      <c r="D312" s="454"/>
      <c r="E312" s="454"/>
      <c r="F312" s="454"/>
      <c r="G312" s="522"/>
      <c r="H312" s="429"/>
      <c r="I312" s="429"/>
    </row>
    <row r="313" spans="1:9">
      <c r="A313" s="411" t="s">
        <v>865</v>
      </c>
      <c r="B313" s="394" t="s">
        <v>2827</v>
      </c>
      <c r="C313" s="396">
        <v>1</v>
      </c>
      <c r="D313" s="396" t="s">
        <v>1107</v>
      </c>
      <c r="E313" s="396">
        <v>32500</v>
      </c>
      <c r="F313" s="397" t="s">
        <v>2147</v>
      </c>
      <c r="G313" s="398">
        <f>C313*E313</f>
        <v>32500</v>
      </c>
      <c r="H313" s="301"/>
      <c r="I313" s="301"/>
    </row>
    <row r="314" spans="1:9">
      <c r="A314" s="399"/>
      <c r="B314" s="400" t="s">
        <v>896</v>
      </c>
      <c r="C314" s="396"/>
      <c r="D314" s="396"/>
      <c r="E314" s="396"/>
      <c r="F314" s="397"/>
      <c r="G314" s="398">
        <f>G313*1%</f>
        <v>325</v>
      </c>
      <c r="H314" s="301"/>
      <c r="I314" s="301"/>
    </row>
    <row r="315" spans="1:9">
      <c r="A315" s="399"/>
      <c r="B315" s="400" t="s">
        <v>40</v>
      </c>
      <c r="C315" s="396"/>
      <c r="D315" s="396"/>
      <c r="E315" s="396"/>
      <c r="F315" s="397"/>
      <c r="G315" s="398">
        <f>SUM(G313:G314)</f>
        <v>32825</v>
      </c>
      <c r="H315" s="301"/>
      <c r="I315" s="301"/>
    </row>
    <row r="316" spans="1:9">
      <c r="A316" s="399"/>
      <c r="B316" s="400" t="s">
        <v>898</v>
      </c>
      <c r="C316" s="396"/>
      <c r="D316" s="396"/>
      <c r="E316" s="396"/>
      <c r="F316" s="397"/>
      <c r="G316" s="398">
        <f>G315*15%</f>
        <v>4923.75</v>
      </c>
      <c r="H316" s="301"/>
      <c r="I316" s="301"/>
    </row>
    <row r="317" spans="1:9">
      <c r="A317" s="399"/>
      <c r="B317" s="401" t="s">
        <v>2153</v>
      </c>
      <c r="C317" s="396"/>
      <c r="D317" s="396"/>
      <c r="E317" s="396"/>
      <c r="F317" s="397"/>
      <c r="G317" s="405">
        <f>ROUND(SUM(G315:G316),2)</f>
        <v>37748.75</v>
      </c>
      <c r="H317" s="406"/>
      <c r="I317" s="406"/>
    </row>
    <row r="318" spans="1:9">
      <c r="A318" s="393" t="s">
        <v>871</v>
      </c>
      <c r="B318" s="407" t="s">
        <v>874</v>
      </c>
      <c r="C318" s="396">
        <v>0.2</v>
      </c>
      <c r="D318" s="408" t="s">
        <v>875</v>
      </c>
      <c r="E318" s="396">
        <v>784</v>
      </c>
      <c r="F318" s="409" t="s">
        <v>876</v>
      </c>
      <c r="G318" s="398">
        <f t="shared" ref="G318:G319" si="16">C318*E318</f>
        <v>156.80000000000001</v>
      </c>
      <c r="H318" s="301"/>
      <c r="I318" s="301"/>
    </row>
    <row r="319" spans="1:9">
      <c r="A319" s="393" t="s">
        <v>903</v>
      </c>
      <c r="B319" s="407" t="s">
        <v>59</v>
      </c>
      <c r="C319" s="396">
        <v>0.2</v>
      </c>
      <c r="D319" s="408" t="s">
        <v>875</v>
      </c>
      <c r="E319" s="396">
        <v>645</v>
      </c>
      <c r="F319" s="409" t="s">
        <v>876</v>
      </c>
      <c r="G319" s="398">
        <f t="shared" si="16"/>
        <v>129</v>
      </c>
      <c r="H319" s="301"/>
      <c r="I319" s="301"/>
    </row>
    <row r="320" spans="1:9">
      <c r="A320" s="399"/>
      <c r="B320" s="400" t="s">
        <v>1064</v>
      </c>
      <c r="C320" s="396"/>
      <c r="D320" s="396"/>
      <c r="E320" s="396"/>
      <c r="F320" s="397"/>
      <c r="G320" s="398">
        <f>SUM(G318:G319)</f>
        <v>285.8</v>
      </c>
      <c r="H320" s="301"/>
      <c r="I320" s="301"/>
    </row>
    <row r="321" spans="1:9">
      <c r="A321" s="399"/>
      <c r="B321" s="400" t="s">
        <v>896</v>
      </c>
      <c r="C321" s="396"/>
      <c r="D321" s="396"/>
      <c r="E321" s="396"/>
      <c r="F321" s="397"/>
      <c r="G321" s="398">
        <f>G320*0.01</f>
        <v>2.8580000000000001</v>
      </c>
      <c r="H321" s="301"/>
      <c r="I321" s="301"/>
    </row>
    <row r="322" spans="1:9">
      <c r="A322" s="399"/>
      <c r="B322" s="400" t="s">
        <v>40</v>
      </c>
      <c r="C322" s="396"/>
      <c r="D322" s="396"/>
      <c r="E322" s="396"/>
      <c r="F322" s="397"/>
      <c r="G322" s="398">
        <f>SUM(G320:G321)</f>
        <v>288.65800000000002</v>
      </c>
      <c r="H322" s="301"/>
      <c r="I322" s="301"/>
    </row>
    <row r="323" spans="1:9">
      <c r="A323" s="399"/>
      <c r="B323" s="400" t="s">
        <v>898</v>
      </c>
      <c r="C323" s="396"/>
      <c r="D323" s="396"/>
      <c r="E323" s="396"/>
      <c r="F323" s="397"/>
      <c r="G323" s="398">
        <f>G322*15%</f>
        <v>43.298700000000004</v>
      </c>
      <c r="H323" s="301"/>
      <c r="I323" s="301"/>
    </row>
    <row r="324" spans="1:9">
      <c r="A324" s="399"/>
      <c r="B324" s="401" t="s">
        <v>2153</v>
      </c>
      <c r="C324" s="402"/>
      <c r="D324" s="396"/>
      <c r="E324" s="396"/>
      <c r="F324" s="397"/>
      <c r="G324" s="405">
        <f>ROUND(SUM(G322:G323),2)</f>
        <v>331.96</v>
      </c>
      <c r="H324" s="406"/>
      <c r="I324" s="406"/>
    </row>
    <row r="325" spans="1:9">
      <c r="A325" s="524" t="str">
        <f>CONCATENATE("Say ₹ ",G317," + ",G324," x Cost Index")</f>
        <v>Say ₹ 37748.75 + 331.96 x Cost Index</v>
      </c>
      <c r="B325" s="454"/>
      <c r="C325" s="454"/>
      <c r="D325" s="454"/>
      <c r="E325" s="454"/>
      <c r="F325" s="454"/>
      <c r="G325" s="450"/>
      <c r="H325" s="390">
        <f>G313*1.01*1.15</f>
        <v>37748.75</v>
      </c>
      <c r="I325" s="390">
        <f>(G318+G319)*1.01*1.15</f>
        <v>331.95670000000001</v>
      </c>
    </row>
    <row r="326" spans="1:9">
      <c r="A326" s="637" t="s">
        <v>2860</v>
      </c>
      <c r="B326" s="454"/>
      <c r="C326" s="454"/>
      <c r="D326" s="454"/>
      <c r="E326" s="454"/>
      <c r="F326" s="454"/>
      <c r="G326" s="522"/>
      <c r="H326" s="406"/>
      <c r="I326" s="406"/>
    </row>
    <row r="327" spans="1:9">
      <c r="A327" s="391" t="s">
        <v>868</v>
      </c>
      <c r="B327" s="636" t="s">
        <v>2863</v>
      </c>
      <c r="C327" s="454"/>
      <c r="D327" s="454"/>
      <c r="E327" s="454"/>
      <c r="F327" s="454"/>
      <c r="G327" s="522"/>
      <c r="H327" s="429"/>
      <c r="I327" s="429"/>
    </row>
    <row r="328" spans="1:9">
      <c r="A328" s="411" t="s">
        <v>865</v>
      </c>
      <c r="B328" s="394" t="s">
        <v>2866</v>
      </c>
      <c r="C328" s="396">
        <v>1</v>
      </c>
      <c r="D328" s="396" t="s">
        <v>1107</v>
      </c>
      <c r="E328" s="396">
        <v>2800</v>
      </c>
      <c r="F328" s="397" t="s">
        <v>2147</v>
      </c>
      <c r="G328" s="398">
        <f>C328*E328</f>
        <v>2800</v>
      </c>
      <c r="H328" s="301"/>
      <c r="I328" s="301"/>
    </row>
    <row r="329" spans="1:9">
      <c r="A329" s="391"/>
      <c r="B329" s="400" t="s">
        <v>896</v>
      </c>
      <c r="C329" s="396"/>
      <c r="D329" s="396"/>
      <c r="E329" s="396"/>
      <c r="F329" s="397"/>
      <c r="G329" s="398">
        <f>G328*1%</f>
        <v>28</v>
      </c>
      <c r="H329" s="301"/>
      <c r="I329" s="301"/>
    </row>
    <row r="330" spans="1:9">
      <c r="A330" s="391"/>
      <c r="B330" s="400" t="s">
        <v>40</v>
      </c>
      <c r="C330" s="396"/>
      <c r="D330" s="396"/>
      <c r="E330" s="396"/>
      <c r="F330" s="397"/>
      <c r="G330" s="398">
        <f>SUM(G328:G329)</f>
        <v>2828</v>
      </c>
      <c r="H330" s="301"/>
      <c r="I330" s="301"/>
    </row>
    <row r="331" spans="1:9">
      <c r="A331" s="391"/>
      <c r="B331" s="400" t="s">
        <v>898</v>
      </c>
      <c r="C331" s="396"/>
      <c r="D331" s="396"/>
      <c r="E331" s="396"/>
      <c r="F331" s="397"/>
      <c r="G331" s="398">
        <f>G330*15%</f>
        <v>424.2</v>
      </c>
      <c r="H331" s="301"/>
      <c r="I331" s="301"/>
    </row>
    <row r="332" spans="1:9">
      <c r="A332" s="391"/>
      <c r="B332" s="401" t="s">
        <v>2153</v>
      </c>
      <c r="C332" s="402"/>
      <c r="D332" s="403"/>
      <c r="E332" s="403"/>
      <c r="F332" s="404"/>
      <c r="G332" s="405">
        <f>ROUND(SUM(G330:G331),2)</f>
        <v>3252.2</v>
      </c>
      <c r="H332" s="406"/>
      <c r="I332" s="406"/>
    </row>
    <row r="333" spans="1:9">
      <c r="A333" s="393" t="s">
        <v>2234</v>
      </c>
      <c r="B333" s="394" t="s">
        <v>2235</v>
      </c>
      <c r="C333" s="396">
        <v>15.5</v>
      </c>
      <c r="D333" s="396" t="s">
        <v>891</v>
      </c>
      <c r="E333" s="408">
        <v>2.12</v>
      </c>
      <c r="F333" s="397" t="s">
        <v>2147</v>
      </c>
      <c r="G333" s="398">
        <f>C333*E333</f>
        <v>32.86</v>
      </c>
      <c r="H333" s="301"/>
      <c r="I333" s="301"/>
    </row>
    <row r="334" spans="1:9">
      <c r="A334" s="391"/>
      <c r="B334" s="400" t="s">
        <v>1064</v>
      </c>
      <c r="C334" s="396"/>
      <c r="D334" s="396"/>
      <c r="E334" s="396"/>
      <c r="F334" s="397"/>
      <c r="G334" s="398">
        <f>SUM(G333)</f>
        <v>32.86</v>
      </c>
      <c r="H334" s="301"/>
      <c r="I334" s="301"/>
    </row>
    <row r="335" spans="1:9">
      <c r="A335" s="391"/>
      <c r="B335" s="400" t="s">
        <v>896</v>
      </c>
      <c r="C335" s="396"/>
      <c r="D335" s="396"/>
      <c r="E335" s="396"/>
      <c r="F335" s="397"/>
      <c r="G335" s="398">
        <f>G334*1%</f>
        <v>0.3286</v>
      </c>
      <c r="H335" s="301"/>
      <c r="I335" s="301"/>
    </row>
    <row r="336" spans="1:9">
      <c r="A336" s="391"/>
      <c r="B336" s="400" t="s">
        <v>40</v>
      </c>
      <c r="C336" s="396"/>
      <c r="D336" s="396"/>
      <c r="E336" s="396"/>
      <c r="F336" s="397"/>
      <c r="G336" s="398">
        <f>SUM(G334:G335)</f>
        <v>33.188600000000001</v>
      </c>
      <c r="H336" s="301"/>
      <c r="I336" s="301"/>
    </row>
    <row r="337" spans="1:9">
      <c r="A337" s="391"/>
      <c r="B337" s="400" t="s">
        <v>898</v>
      </c>
      <c r="C337" s="396"/>
      <c r="D337" s="396"/>
      <c r="E337" s="396"/>
      <c r="F337" s="397"/>
      <c r="G337" s="398">
        <f>G336*15%</f>
        <v>4.9782900000000003</v>
      </c>
      <c r="H337" s="301"/>
      <c r="I337" s="301"/>
    </row>
    <row r="338" spans="1:9">
      <c r="A338" s="391"/>
      <c r="B338" s="401" t="s">
        <v>2153</v>
      </c>
      <c r="C338" s="402"/>
      <c r="D338" s="403"/>
      <c r="E338" s="403"/>
      <c r="F338" s="404"/>
      <c r="G338" s="405">
        <f>ROUND(SUM(G336:G337),2)</f>
        <v>38.17</v>
      </c>
      <c r="H338" s="406"/>
      <c r="I338" s="406"/>
    </row>
    <row r="339" spans="1:9">
      <c r="A339" s="524" t="str">
        <f>CONCATENATE("Say ₹ ",G332," + ",G338," x Cost Index")</f>
        <v>Say ₹ 3252.2 + 38.17 x Cost Index</v>
      </c>
      <c r="B339" s="454"/>
      <c r="C339" s="454"/>
      <c r="D339" s="454"/>
      <c r="E339" s="454"/>
      <c r="F339" s="454"/>
      <c r="G339" s="450"/>
      <c r="H339" s="390">
        <f>G328*1.01*1.15</f>
        <v>3252.2</v>
      </c>
      <c r="I339" s="390">
        <f>G333*1.01*1.15</f>
        <v>38.166889999999995</v>
      </c>
    </row>
    <row r="340" spans="1:9">
      <c r="A340" s="637" t="s">
        <v>2913</v>
      </c>
      <c r="B340" s="454"/>
      <c r="C340" s="454"/>
      <c r="D340" s="454"/>
      <c r="E340" s="454"/>
      <c r="F340" s="454"/>
      <c r="G340" s="522"/>
      <c r="H340" s="406"/>
      <c r="I340" s="406"/>
    </row>
    <row r="341" spans="1:9">
      <c r="A341" s="391" t="s">
        <v>868</v>
      </c>
      <c r="B341" s="636" t="s">
        <v>2920</v>
      </c>
      <c r="C341" s="454"/>
      <c r="D341" s="454"/>
      <c r="E341" s="454"/>
      <c r="F341" s="454"/>
      <c r="G341" s="522"/>
      <c r="H341" s="429"/>
      <c r="I341" s="429"/>
    </row>
    <row r="342" spans="1:9">
      <c r="A342" s="411" t="s">
        <v>865</v>
      </c>
      <c r="B342" s="394" t="s">
        <v>2923</v>
      </c>
      <c r="C342" s="396">
        <v>100</v>
      </c>
      <c r="D342" s="396" t="s">
        <v>2924</v>
      </c>
      <c r="E342" s="396">
        <v>20</v>
      </c>
      <c r="F342" s="397" t="s">
        <v>2924</v>
      </c>
      <c r="G342" s="398">
        <f>E342*C342</f>
        <v>2000</v>
      </c>
      <c r="H342" s="301"/>
      <c r="I342" s="301"/>
    </row>
    <row r="343" spans="1:9">
      <c r="A343" s="391"/>
      <c r="B343" s="400" t="s">
        <v>896</v>
      </c>
      <c r="C343" s="396"/>
      <c r="D343" s="396"/>
      <c r="E343" s="396"/>
      <c r="F343" s="397"/>
      <c r="G343" s="398">
        <f>G342*1%</f>
        <v>20</v>
      </c>
      <c r="H343" s="301"/>
      <c r="I343" s="301"/>
    </row>
    <row r="344" spans="1:9">
      <c r="A344" s="391"/>
      <c r="B344" s="400" t="s">
        <v>40</v>
      </c>
      <c r="C344" s="396"/>
      <c r="D344" s="396"/>
      <c r="E344" s="396"/>
      <c r="F344" s="397"/>
      <c r="G344" s="398">
        <f>SUM(G342:G343)</f>
        <v>2020</v>
      </c>
      <c r="H344" s="301"/>
      <c r="I344" s="301"/>
    </row>
    <row r="345" spans="1:9">
      <c r="A345" s="391"/>
      <c r="B345" s="400" t="s">
        <v>898</v>
      </c>
      <c r="C345" s="396"/>
      <c r="D345" s="396"/>
      <c r="E345" s="396"/>
      <c r="F345" s="397"/>
      <c r="G345" s="398">
        <f>G344*15%</f>
        <v>303</v>
      </c>
      <c r="H345" s="301"/>
      <c r="I345" s="301"/>
    </row>
    <row r="346" spans="1:9">
      <c r="A346" s="391"/>
      <c r="B346" s="401" t="s">
        <v>2153</v>
      </c>
      <c r="C346" s="402"/>
      <c r="D346" s="403"/>
      <c r="E346" s="403"/>
      <c r="F346" s="404"/>
      <c r="G346" s="405">
        <f>ROUND(SUM(G344:G345),2)</f>
        <v>2323</v>
      </c>
      <c r="H346" s="406"/>
      <c r="I346" s="406"/>
    </row>
    <row r="347" spans="1:9">
      <c r="A347" s="393" t="s">
        <v>903</v>
      </c>
      <c r="B347" s="407" t="s">
        <v>59</v>
      </c>
      <c r="C347" s="396">
        <v>0.6</v>
      </c>
      <c r="D347" s="408" t="s">
        <v>875</v>
      </c>
      <c r="E347" s="396">
        <v>645</v>
      </c>
      <c r="F347" s="409" t="s">
        <v>876</v>
      </c>
      <c r="G347" s="398">
        <f>C347*E347</f>
        <v>387</v>
      </c>
      <c r="H347" s="301"/>
      <c r="I347" s="301"/>
    </row>
    <row r="348" spans="1:9">
      <c r="A348" s="391"/>
      <c r="B348" s="400" t="s">
        <v>1064</v>
      </c>
      <c r="C348" s="396"/>
      <c r="D348" s="408"/>
      <c r="E348" s="396"/>
      <c r="F348" s="397"/>
      <c r="G348" s="398">
        <f>SUM(G347)</f>
        <v>387</v>
      </c>
      <c r="H348" s="301"/>
      <c r="I348" s="301"/>
    </row>
    <row r="349" spans="1:9">
      <c r="A349" s="391"/>
      <c r="B349" s="400" t="s">
        <v>896</v>
      </c>
      <c r="C349" s="396"/>
      <c r="D349" s="396"/>
      <c r="E349" s="396"/>
      <c r="F349" s="397"/>
      <c r="G349" s="398">
        <f>G348*1%</f>
        <v>3.87</v>
      </c>
      <c r="H349" s="301"/>
      <c r="I349" s="301"/>
    </row>
    <row r="350" spans="1:9">
      <c r="A350" s="391"/>
      <c r="B350" s="400" t="s">
        <v>40</v>
      </c>
      <c r="C350" s="396"/>
      <c r="D350" s="396"/>
      <c r="E350" s="396"/>
      <c r="F350" s="397"/>
      <c r="G350" s="398">
        <f>SUM(G348:G349)</f>
        <v>390.87</v>
      </c>
      <c r="H350" s="301"/>
      <c r="I350" s="301"/>
    </row>
    <row r="351" spans="1:9">
      <c r="A351" s="391"/>
      <c r="B351" s="400" t="s">
        <v>898</v>
      </c>
      <c r="C351" s="396"/>
      <c r="D351" s="396"/>
      <c r="E351" s="396"/>
      <c r="F351" s="397"/>
      <c r="G351" s="398">
        <f>G350*15%</f>
        <v>58.630499999999998</v>
      </c>
      <c r="H351" s="301"/>
      <c r="I351" s="301"/>
    </row>
    <row r="352" spans="1:9">
      <c r="A352" s="391"/>
      <c r="B352" s="401" t="s">
        <v>2153</v>
      </c>
      <c r="C352" s="402"/>
      <c r="D352" s="403"/>
      <c r="E352" s="403"/>
      <c r="F352" s="404"/>
      <c r="G352" s="405">
        <f>ROUND(SUM(G350:G351),2)</f>
        <v>449.5</v>
      </c>
      <c r="H352" s="406"/>
      <c r="I352" s="406"/>
    </row>
    <row r="353" spans="1:9">
      <c r="A353" s="524" t="str">
        <f>CONCATENATE("Say ₹ ",G346," + ",G352," x Cost Index")</f>
        <v>Say ₹ 2323 + 449.5 x Cost Index</v>
      </c>
      <c r="B353" s="454"/>
      <c r="C353" s="454"/>
      <c r="D353" s="454"/>
      <c r="E353" s="454"/>
      <c r="F353" s="454"/>
      <c r="G353" s="450"/>
      <c r="H353" s="390">
        <f>G342*1.01*1.15</f>
        <v>2323</v>
      </c>
      <c r="I353" s="390">
        <f>G347*1.01*1.15</f>
        <v>449.50049999999999</v>
      </c>
    </row>
    <row r="354" spans="1:9">
      <c r="A354" s="391" t="s">
        <v>884</v>
      </c>
      <c r="B354" s="636" t="s">
        <v>2961</v>
      </c>
      <c r="C354" s="454"/>
      <c r="D354" s="454"/>
      <c r="E354" s="454"/>
      <c r="F354" s="454"/>
      <c r="G354" s="522"/>
      <c r="H354" s="429"/>
      <c r="I354" s="429"/>
    </row>
    <row r="355" spans="1:9">
      <c r="A355" s="411" t="s">
        <v>865</v>
      </c>
      <c r="B355" s="394" t="s">
        <v>2966</v>
      </c>
      <c r="C355" s="396">
        <v>100</v>
      </c>
      <c r="D355" s="396" t="s">
        <v>2924</v>
      </c>
      <c r="E355" s="396">
        <v>350</v>
      </c>
      <c r="F355" s="397" t="s">
        <v>2924</v>
      </c>
      <c r="G355" s="398">
        <f>E355*C355</f>
        <v>35000</v>
      </c>
      <c r="H355" s="301"/>
      <c r="I355" s="301"/>
    </row>
    <row r="356" spans="1:9">
      <c r="A356" s="391"/>
      <c r="B356" s="400" t="s">
        <v>896</v>
      </c>
      <c r="C356" s="396"/>
      <c r="D356" s="396"/>
      <c r="E356" s="396"/>
      <c r="F356" s="397"/>
      <c r="G356" s="398">
        <f>G355*1%</f>
        <v>350</v>
      </c>
      <c r="H356" s="301"/>
      <c r="I356" s="301"/>
    </row>
    <row r="357" spans="1:9">
      <c r="A357" s="391"/>
      <c r="B357" s="400" t="s">
        <v>40</v>
      </c>
      <c r="C357" s="396"/>
      <c r="D357" s="396"/>
      <c r="E357" s="396"/>
      <c r="F357" s="397"/>
      <c r="G357" s="398">
        <f>SUM(G355:G356)</f>
        <v>35350</v>
      </c>
      <c r="H357" s="301"/>
      <c r="I357" s="301"/>
    </row>
    <row r="358" spans="1:9">
      <c r="A358" s="391"/>
      <c r="B358" s="400" t="s">
        <v>898</v>
      </c>
      <c r="C358" s="396"/>
      <c r="D358" s="396"/>
      <c r="E358" s="396"/>
      <c r="F358" s="397"/>
      <c r="G358" s="398">
        <f>G357*15%</f>
        <v>5302.5</v>
      </c>
      <c r="H358" s="301"/>
      <c r="I358" s="301"/>
    </row>
    <row r="359" spans="1:9">
      <c r="A359" s="391"/>
      <c r="B359" s="401" t="s">
        <v>2153</v>
      </c>
      <c r="C359" s="402"/>
      <c r="D359" s="403"/>
      <c r="E359" s="403"/>
      <c r="F359" s="404"/>
      <c r="G359" s="405">
        <f>ROUND(SUM(G357:G358),2)</f>
        <v>40652.5</v>
      </c>
      <c r="H359" s="406"/>
      <c r="I359" s="406"/>
    </row>
    <row r="360" spans="1:9">
      <c r="A360" s="393" t="s">
        <v>903</v>
      </c>
      <c r="B360" s="407" t="s">
        <v>59</v>
      </c>
      <c r="C360" s="396">
        <v>0.6</v>
      </c>
      <c r="D360" s="408" t="s">
        <v>875</v>
      </c>
      <c r="E360" s="396">
        <v>645</v>
      </c>
      <c r="F360" s="409" t="s">
        <v>876</v>
      </c>
      <c r="G360" s="398">
        <f>C360*E360</f>
        <v>387</v>
      </c>
      <c r="H360" s="301"/>
      <c r="I360" s="301"/>
    </row>
    <row r="361" spans="1:9">
      <c r="A361" s="391"/>
      <c r="B361" s="400" t="s">
        <v>1064</v>
      </c>
      <c r="C361" s="396"/>
      <c r="D361" s="396"/>
      <c r="E361" s="396"/>
      <c r="F361" s="397"/>
      <c r="G361" s="398">
        <f>SUM(G360)</f>
        <v>387</v>
      </c>
      <c r="H361" s="301"/>
      <c r="I361" s="301"/>
    </row>
    <row r="362" spans="1:9">
      <c r="A362" s="391"/>
      <c r="B362" s="400" t="s">
        <v>896</v>
      </c>
      <c r="C362" s="396"/>
      <c r="D362" s="396"/>
      <c r="E362" s="396"/>
      <c r="F362" s="397"/>
      <c r="G362" s="398">
        <f>G361*1%</f>
        <v>3.87</v>
      </c>
      <c r="H362" s="301"/>
      <c r="I362" s="301"/>
    </row>
    <row r="363" spans="1:9">
      <c r="A363" s="391"/>
      <c r="B363" s="400" t="s">
        <v>40</v>
      </c>
      <c r="C363" s="396"/>
      <c r="D363" s="396"/>
      <c r="E363" s="396"/>
      <c r="F363" s="397"/>
      <c r="G363" s="398">
        <f>SUM(G361:G362)</f>
        <v>390.87</v>
      </c>
      <c r="H363" s="301"/>
      <c r="I363" s="301"/>
    </row>
    <row r="364" spans="1:9">
      <c r="A364" s="391"/>
      <c r="B364" s="400" t="s">
        <v>898</v>
      </c>
      <c r="C364" s="396"/>
      <c r="D364" s="396"/>
      <c r="E364" s="396"/>
      <c r="F364" s="397"/>
      <c r="G364" s="398">
        <f>G363*15%</f>
        <v>58.630499999999998</v>
      </c>
      <c r="H364" s="301"/>
      <c r="I364" s="301"/>
    </row>
    <row r="365" spans="1:9">
      <c r="A365" s="391"/>
      <c r="B365" s="401" t="s">
        <v>2153</v>
      </c>
      <c r="C365" s="402"/>
      <c r="D365" s="403"/>
      <c r="E365" s="403"/>
      <c r="F365" s="404"/>
      <c r="G365" s="405">
        <f>ROUND(SUM(G363:G364),2)</f>
        <v>449.5</v>
      </c>
      <c r="H365" s="406"/>
      <c r="I365" s="406"/>
    </row>
    <row r="366" spans="1:9">
      <c r="A366" s="524" t="str">
        <f>CONCATENATE("Say ₹ ",G359," + ",G365," x Cost Index")</f>
        <v>Say ₹ 40652.5 + 449.5 x Cost Index</v>
      </c>
      <c r="B366" s="454"/>
      <c r="C366" s="454"/>
      <c r="D366" s="454"/>
      <c r="E366" s="454"/>
      <c r="F366" s="454"/>
      <c r="G366" s="450"/>
      <c r="H366" s="390">
        <f>G355*1.01*1.15</f>
        <v>40652.5</v>
      </c>
      <c r="I366" s="390">
        <f>G360*1.01*1.15</f>
        <v>449.50049999999999</v>
      </c>
    </row>
    <row r="367" spans="1:9">
      <c r="A367" s="391" t="s">
        <v>2188</v>
      </c>
      <c r="B367" s="636" t="s">
        <v>3002</v>
      </c>
      <c r="C367" s="454"/>
      <c r="D367" s="454"/>
      <c r="E367" s="454"/>
      <c r="F367" s="454"/>
      <c r="G367" s="522"/>
      <c r="H367" s="429"/>
      <c r="I367" s="429"/>
    </row>
    <row r="368" spans="1:9">
      <c r="A368" s="411" t="s">
        <v>865</v>
      </c>
      <c r="B368" s="394" t="s">
        <v>3006</v>
      </c>
      <c r="C368" s="396">
        <v>100</v>
      </c>
      <c r="D368" s="396" t="s">
        <v>2924</v>
      </c>
      <c r="E368" s="396">
        <v>310</v>
      </c>
      <c r="F368" s="397" t="s">
        <v>2924</v>
      </c>
      <c r="G368" s="398">
        <f>E368*C368</f>
        <v>31000</v>
      </c>
      <c r="H368" s="301"/>
      <c r="I368" s="301"/>
    </row>
    <row r="369" spans="1:9">
      <c r="A369" s="391"/>
      <c r="B369" s="400" t="s">
        <v>896</v>
      </c>
      <c r="C369" s="396"/>
      <c r="D369" s="396"/>
      <c r="E369" s="396"/>
      <c r="F369" s="397"/>
      <c r="G369" s="398">
        <f>G368*1%</f>
        <v>310</v>
      </c>
      <c r="H369" s="301"/>
      <c r="I369" s="301"/>
    </row>
    <row r="370" spans="1:9">
      <c r="A370" s="391"/>
      <c r="B370" s="400" t="s">
        <v>40</v>
      </c>
      <c r="C370" s="396"/>
      <c r="D370" s="396"/>
      <c r="E370" s="396"/>
      <c r="F370" s="397"/>
      <c r="G370" s="398">
        <f>SUM(G368:G369)</f>
        <v>31310</v>
      </c>
      <c r="H370" s="301"/>
      <c r="I370" s="301"/>
    </row>
    <row r="371" spans="1:9">
      <c r="A371" s="391"/>
      <c r="B371" s="400" t="s">
        <v>898</v>
      </c>
      <c r="C371" s="396"/>
      <c r="D371" s="396"/>
      <c r="E371" s="396"/>
      <c r="F371" s="397"/>
      <c r="G371" s="398">
        <f>G370*15%</f>
        <v>4696.5</v>
      </c>
      <c r="H371" s="301"/>
      <c r="I371" s="301"/>
    </row>
    <row r="372" spans="1:9">
      <c r="A372" s="391"/>
      <c r="B372" s="401" t="s">
        <v>2153</v>
      </c>
      <c r="C372" s="402"/>
      <c r="D372" s="403"/>
      <c r="E372" s="403"/>
      <c r="F372" s="404"/>
      <c r="G372" s="405">
        <f>ROUND(SUM(G370:G371),2)</f>
        <v>36006.5</v>
      </c>
      <c r="H372" s="406"/>
      <c r="I372" s="406"/>
    </row>
    <row r="373" spans="1:9">
      <c r="A373" s="393" t="s">
        <v>903</v>
      </c>
      <c r="B373" s="407" t="s">
        <v>59</v>
      </c>
      <c r="C373" s="396">
        <v>0.6</v>
      </c>
      <c r="D373" s="408" t="s">
        <v>875</v>
      </c>
      <c r="E373" s="396">
        <v>645</v>
      </c>
      <c r="F373" s="409" t="s">
        <v>876</v>
      </c>
      <c r="G373" s="398">
        <f>C373*E373</f>
        <v>387</v>
      </c>
      <c r="H373" s="301"/>
      <c r="I373" s="301"/>
    </row>
    <row r="374" spans="1:9">
      <c r="A374" s="391"/>
      <c r="B374" s="400" t="s">
        <v>1064</v>
      </c>
      <c r="C374" s="396"/>
      <c r="D374" s="396"/>
      <c r="E374" s="396"/>
      <c r="F374" s="397"/>
      <c r="G374" s="398">
        <f>SUM(G373)</f>
        <v>387</v>
      </c>
      <c r="H374" s="301"/>
      <c r="I374" s="301"/>
    </row>
    <row r="375" spans="1:9">
      <c r="A375" s="391"/>
      <c r="B375" s="400" t="s">
        <v>896</v>
      </c>
      <c r="C375" s="396"/>
      <c r="D375" s="396"/>
      <c r="E375" s="396"/>
      <c r="F375" s="397"/>
      <c r="G375" s="398">
        <f>G374*1%</f>
        <v>3.87</v>
      </c>
      <c r="H375" s="301"/>
      <c r="I375" s="301"/>
    </row>
    <row r="376" spans="1:9">
      <c r="A376" s="391"/>
      <c r="B376" s="400" t="s">
        <v>40</v>
      </c>
      <c r="C376" s="396"/>
      <c r="D376" s="396"/>
      <c r="E376" s="396"/>
      <c r="F376" s="397"/>
      <c r="G376" s="398">
        <f>SUM(G374:G375)</f>
        <v>390.87</v>
      </c>
      <c r="H376" s="301"/>
      <c r="I376" s="301"/>
    </row>
    <row r="377" spans="1:9">
      <c r="A377" s="391"/>
      <c r="B377" s="400" t="s">
        <v>898</v>
      </c>
      <c r="C377" s="396"/>
      <c r="D377" s="396"/>
      <c r="E377" s="396"/>
      <c r="F377" s="397"/>
      <c r="G377" s="398">
        <f>G376*15%</f>
        <v>58.630499999999998</v>
      </c>
      <c r="H377" s="301"/>
      <c r="I377" s="301"/>
    </row>
    <row r="378" spans="1:9">
      <c r="A378" s="391"/>
      <c r="B378" s="401" t="s">
        <v>2153</v>
      </c>
      <c r="C378" s="402"/>
      <c r="D378" s="403"/>
      <c r="E378" s="403"/>
      <c r="F378" s="404"/>
      <c r="G378" s="405">
        <f>ROUND(SUM(G376:G377),2)</f>
        <v>449.5</v>
      </c>
      <c r="H378" s="406"/>
      <c r="I378" s="406"/>
    </row>
    <row r="379" spans="1:9">
      <c r="A379" s="524" t="str">
        <f>CONCATENATE("Say ₹ ",G372," + ",G378," x Cost Index")</f>
        <v>Say ₹ 36006.5 + 449.5 x Cost Index</v>
      </c>
      <c r="B379" s="454"/>
      <c r="C379" s="454"/>
      <c r="D379" s="454"/>
      <c r="E379" s="454"/>
      <c r="F379" s="454"/>
      <c r="G379" s="450"/>
      <c r="H379" s="390">
        <f>G368*1.01*1.15</f>
        <v>36006.5</v>
      </c>
      <c r="I379" s="390">
        <f>G373*1.01*1.15</f>
        <v>449.50049999999999</v>
      </c>
    </row>
    <row r="380" spans="1:9">
      <c r="A380" s="637" t="s">
        <v>3042</v>
      </c>
      <c r="B380" s="454"/>
      <c r="C380" s="454"/>
      <c r="D380" s="454"/>
      <c r="E380" s="454"/>
      <c r="F380" s="454"/>
      <c r="G380" s="522"/>
      <c r="H380" s="390"/>
      <c r="I380" s="390"/>
    </row>
    <row r="381" spans="1:9">
      <c r="A381" s="391" t="s">
        <v>868</v>
      </c>
      <c r="B381" s="636" t="s">
        <v>3046</v>
      </c>
      <c r="C381" s="454"/>
      <c r="D381" s="454"/>
      <c r="E381" s="454"/>
      <c r="F381" s="454"/>
      <c r="G381" s="522"/>
      <c r="H381" s="429"/>
      <c r="I381" s="429"/>
    </row>
    <row r="382" spans="1:9">
      <c r="A382" s="411" t="s">
        <v>865</v>
      </c>
      <c r="B382" s="394" t="s">
        <v>3049</v>
      </c>
      <c r="C382" s="396">
        <v>25</v>
      </c>
      <c r="D382" s="396" t="s">
        <v>691</v>
      </c>
      <c r="E382" s="396">
        <v>42.58</v>
      </c>
      <c r="F382" s="397" t="s">
        <v>860</v>
      </c>
      <c r="G382" s="398">
        <f>C382*E382</f>
        <v>1064.5</v>
      </c>
      <c r="H382" s="301"/>
      <c r="I382" s="301"/>
    </row>
    <row r="383" spans="1:9">
      <c r="A383" s="391"/>
      <c r="B383" s="400" t="s">
        <v>896</v>
      </c>
      <c r="C383" s="396"/>
      <c r="D383" s="396"/>
      <c r="E383" s="396"/>
      <c r="F383" s="397"/>
      <c r="G383" s="398">
        <f>G382*1%</f>
        <v>10.645</v>
      </c>
      <c r="H383" s="301"/>
      <c r="I383" s="301"/>
    </row>
    <row r="384" spans="1:9">
      <c r="A384" s="391"/>
      <c r="B384" s="400" t="s">
        <v>40</v>
      </c>
      <c r="C384" s="396"/>
      <c r="D384" s="396"/>
      <c r="E384" s="396"/>
      <c r="F384" s="397"/>
      <c r="G384" s="398">
        <f>SUM(G382:G383)</f>
        <v>1075.145</v>
      </c>
      <c r="H384" s="301"/>
      <c r="I384" s="301"/>
    </row>
    <row r="385" spans="1:9">
      <c r="A385" s="391"/>
      <c r="B385" s="400" t="s">
        <v>898</v>
      </c>
      <c r="C385" s="396"/>
      <c r="D385" s="396"/>
      <c r="E385" s="396"/>
      <c r="F385" s="397"/>
      <c r="G385" s="398">
        <f>G384*15%</f>
        <v>161.27175</v>
      </c>
      <c r="H385" s="301"/>
      <c r="I385" s="301"/>
    </row>
    <row r="386" spans="1:9">
      <c r="A386" s="391"/>
      <c r="B386" s="401" t="s">
        <v>2153</v>
      </c>
      <c r="C386" s="402"/>
      <c r="D386" s="403"/>
      <c r="E386" s="403"/>
      <c r="F386" s="404"/>
      <c r="G386" s="405">
        <f>ROUND(SUM(G384:G385),2)</f>
        <v>1236.42</v>
      </c>
      <c r="H386" s="406"/>
      <c r="I386" s="406"/>
    </row>
    <row r="387" spans="1:9">
      <c r="A387" s="393" t="s">
        <v>903</v>
      </c>
      <c r="B387" s="407" t="s">
        <v>59</v>
      </c>
      <c r="C387" s="408">
        <v>0.1</v>
      </c>
      <c r="D387" s="408" t="s">
        <v>875</v>
      </c>
      <c r="E387" s="396">
        <v>645</v>
      </c>
      <c r="F387" s="409" t="s">
        <v>876</v>
      </c>
      <c r="G387" s="398">
        <f>C387*E387</f>
        <v>64.5</v>
      </c>
      <c r="H387" s="301"/>
      <c r="I387" s="301"/>
    </row>
    <row r="388" spans="1:9">
      <c r="A388" s="391"/>
      <c r="B388" s="400" t="s">
        <v>1064</v>
      </c>
      <c r="C388" s="396"/>
      <c r="D388" s="396"/>
      <c r="E388" s="396"/>
      <c r="F388" s="397"/>
      <c r="G388" s="398">
        <f>SUM(G387)</f>
        <v>64.5</v>
      </c>
      <c r="H388" s="301"/>
      <c r="I388" s="301"/>
    </row>
    <row r="389" spans="1:9">
      <c r="A389" s="391"/>
      <c r="B389" s="400" t="s">
        <v>896</v>
      </c>
      <c r="C389" s="396"/>
      <c r="D389" s="396"/>
      <c r="E389" s="396"/>
      <c r="F389" s="397"/>
      <c r="G389" s="398">
        <f>G388*1%</f>
        <v>0.64500000000000002</v>
      </c>
      <c r="H389" s="301"/>
      <c r="I389" s="301"/>
    </row>
    <row r="390" spans="1:9">
      <c r="A390" s="391"/>
      <c r="B390" s="400" t="s">
        <v>40</v>
      </c>
      <c r="C390" s="396"/>
      <c r="D390" s="396"/>
      <c r="E390" s="396"/>
      <c r="F390" s="397"/>
      <c r="G390" s="398">
        <f>SUM(G388:G389)</f>
        <v>65.144999999999996</v>
      </c>
      <c r="H390" s="301"/>
      <c r="I390" s="301"/>
    </row>
    <row r="391" spans="1:9">
      <c r="A391" s="391"/>
      <c r="B391" s="400" t="s">
        <v>898</v>
      </c>
      <c r="C391" s="396"/>
      <c r="D391" s="396"/>
      <c r="E391" s="396"/>
      <c r="F391" s="397"/>
      <c r="G391" s="398">
        <f>G390*15%</f>
        <v>9.771749999999999</v>
      </c>
      <c r="H391" s="301"/>
      <c r="I391" s="301"/>
    </row>
    <row r="392" spans="1:9">
      <c r="A392" s="391"/>
      <c r="B392" s="401" t="s">
        <v>2153</v>
      </c>
      <c r="C392" s="402"/>
      <c r="D392" s="403"/>
      <c r="E392" s="403"/>
      <c r="F392" s="404"/>
      <c r="G392" s="405">
        <f>ROUND(SUM(G390:G391),2)</f>
        <v>74.92</v>
      </c>
      <c r="H392" s="406"/>
      <c r="I392" s="406"/>
    </row>
    <row r="393" spans="1:9">
      <c r="A393" s="524" t="str">
        <f>CONCATENATE("Say ₹ ",G386," + ",G392," x Cost Index")</f>
        <v>Say ₹ 1236.42 + 74.92 x Cost Index</v>
      </c>
      <c r="B393" s="454"/>
      <c r="C393" s="454"/>
      <c r="D393" s="454"/>
      <c r="E393" s="454"/>
      <c r="F393" s="454"/>
      <c r="G393" s="450"/>
      <c r="H393" s="390">
        <f>G382*1.01*1.15</f>
        <v>1236.4167499999999</v>
      </c>
      <c r="I393" s="390">
        <f>G387*1.01*1.15</f>
        <v>74.916749999999993</v>
      </c>
    </row>
    <row r="394" spans="1:9">
      <c r="A394" s="391" t="s">
        <v>884</v>
      </c>
      <c r="B394" s="636" t="s">
        <v>3073</v>
      </c>
      <c r="C394" s="454"/>
      <c r="D394" s="454"/>
      <c r="E394" s="454"/>
      <c r="F394" s="454"/>
      <c r="G394" s="522"/>
      <c r="H394" s="429"/>
      <c r="I394" s="429"/>
    </row>
    <row r="395" spans="1:9">
      <c r="A395" s="411" t="s">
        <v>865</v>
      </c>
      <c r="B395" s="394" t="s">
        <v>3078</v>
      </c>
      <c r="C395" s="396">
        <v>25</v>
      </c>
      <c r="D395" s="396" t="s">
        <v>691</v>
      </c>
      <c r="E395" s="396">
        <v>33.35</v>
      </c>
      <c r="F395" s="397" t="s">
        <v>860</v>
      </c>
      <c r="G395" s="398">
        <f>C395*E395</f>
        <v>833.75</v>
      </c>
      <c r="H395" s="301"/>
      <c r="I395" s="301"/>
    </row>
    <row r="396" spans="1:9">
      <c r="A396" s="391"/>
      <c r="B396" s="400" t="s">
        <v>896</v>
      </c>
      <c r="C396" s="396"/>
      <c r="D396" s="396"/>
      <c r="E396" s="396"/>
      <c r="F396" s="397"/>
      <c r="G396" s="398">
        <f>G395*1%</f>
        <v>8.3375000000000004</v>
      </c>
      <c r="H396" s="301"/>
      <c r="I396" s="301"/>
    </row>
    <row r="397" spans="1:9">
      <c r="A397" s="391"/>
      <c r="B397" s="400" t="s">
        <v>40</v>
      </c>
      <c r="C397" s="396"/>
      <c r="D397" s="396"/>
      <c r="E397" s="396"/>
      <c r="F397" s="397"/>
      <c r="G397" s="398">
        <f>SUM(G395:G396)</f>
        <v>842.08749999999998</v>
      </c>
      <c r="H397" s="301"/>
      <c r="I397" s="301"/>
    </row>
    <row r="398" spans="1:9">
      <c r="A398" s="391"/>
      <c r="B398" s="400" t="s">
        <v>898</v>
      </c>
      <c r="C398" s="396"/>
      <c r="D398" s="396"/>
      <c r="E398" s="396"/>
      <c r="F398" s="397"/>
      <c r="G398" s="398">
        <f>G397*15%</f>
        <v>126.31312499999999</v>
      </c>
      <c r="H398" s="301"/>
      <c r="I398" s="301"/>
    </row>
    <row r="399" spans="1:9">
      <c r="A399" s="391"/>
      <c r="B399" s="401" t="s">
        <v>2153</v>
      </c>
      <c r="C399" s="402"/>
      <c r="D399" s="403"/>
      <c r="E399" s="403"/>
      <c r="F399" s="404"/>
      <c r="G399" s="405">
        <f>ROUND(SUM(G397:G398),2)</f>
        <v>968.4</v>
      </c>
      <c r="H399" s="406"/>
      <c r="I399" s="406"/>
    </row>
    <row r="400" spans="1:9">
      <c r="A400" s="393" t="s">
        <v>903</v>
      </c>
      <c r="B400" s="407" t="s">
        <v>59</v>
      </c>
      <c r="C400" s="408">
        <v>0.1</v>
      </c>
      <c r="D400" s="408" t="s">
        <v>875</v>
      </c>
      <c r="E400" s="396">
        <v>645</v>
      </c>
      <c r="F400" s="409" t="s">
        <v>876</v>
      </c>
      <c r="G400" s="398">
        <f>C400*E400</f>
        <v>64.5</v>
      </c>
      <c r="H400" s="301"/>
      <c r="I400" s="301"/>
    </row>
    <row r="401" spans="1:9">
      <c r="A401" s="391"/>
      <c r="B401" s="400" t="s">
        <v>1064</v>
      </c>
      <c r="C401" s="396"/>
      <c r="D401" s="396"/>
      <c r="E401" s="396"/>
      <c r="F401" s="397"/>
      <c r="G401" s="398">
        <f>SUM(G400)</f>
        <v>64.5</v>
      </c>
      <c r="H401" s="301"/>
      <c r="I401" s="301"/>
    </row>
    <row r="402" spans="1:9">
      <c r="A402" s="391"/>
      <c r="B402" s="400" t="s">
        <v>896</v>
      </c>
      <c r="C402" s="396"/>
      <c r="D402" s="396"/>
      <c r="E402" s="396"/>
      <c r="F402" s="397"/>
      <c r="G402" s="398">
        <f>G401*1%</f>
        <v>0.64500000000000002</v>
      </c>
      <c r="H402" s="301"/>
      <c r="I402" s="301"/>
    </row>
    <row r="403" spans="1:9">
      <c r="A403" s="391"/>
      <c r="B403" s="400" t="s">
        <v>40</v>
      </c>
      <c r="C403" s="396"/>
      <c r="D403" s="396"/>
      <c r="E403" s="396"/>
      <c r="F403" s="397"/>
      <c r="G403" s="398">
        <f>SUM(G401:G402)</f>
        <v>65.144999999999996</v>
      </c>
      <c r="H403" s="301"/>
      <c r="I403" s="301"/>
    </row>
    <row r="404" spans="1:9">
      <c r="A404" s="391"/>
      <c r="B404" s="400" t="s">
        <v>898</v>
      </c>
      <c r="C404" s="396"/>
      <c r="D404" s="396"/>
      <c r="E404" s="396"/>
      <c r="F404" s="397"/>
      <c r="G404" s="398">
        <f>G403*15%</f>
        <v>9.771749999999999</v>
      </c>
      <c r="H404" s="301"/>
      <c r="I404" s="301"/>
    </row>
    <row r="405" spans="1:9">
      <c r="A405" s="391"/>
      <c r="B405" s="401" t="s">
        <v>2153</v>
      </c>
      <c r="C405" s="402"/>
      <c r="D405" s="403"/>
      <c r="E405" s="403"/>
      <c r="F405" s="404"/>
      <c r="G405" s="405">
        <f>ROUND(SUM(G403:G404),2)</f>
        <v>74.92</v>
      </c>
      <c r="H405" s="406"/>
      <c r="I405" s="406"/>
    </row>
    <row r="406" spans="1:9">
      <c r="A406" s="524" t="str">
        <f>CONCATENATE("Say ₹ ",G399," + ",G405," x Cost Index")</f>
        <v>Say ₹ 968.4 + 74.92 x Cost Index</v>
      </c>
      <c r="B406" s="454"/>
      <c r="C406" s="454"/>
      <c r="D406" s="454"/>
      <c r="E406" s="454"/>
      <c r="F406" s="454"/>
      <c r="G406" s="450"/>
      <c r="H406" s="390">
        <f>G395*1.01*1.15</f>
        <v>968.40062499999988</v>
      </c>
      <c r="I406" s="390">
        <f>G400*1.01*1.15</f>
        <v>74.916749999999993</v>
      </c>
    </row>
    <row r="407" spans="1:9">
      <c r="A407" s="637" t="s">
        <v>3135</v>
      </c>
      <c r="B407" s="454"/>
      <c r="C407" s="454"/>
      <c r="D407" s="454"/>
      <c r="E407" s="454"/>
      <c r="F407" s="454"/>
      <c r="G407" s="522"/>
      <c r="H407" s="406"/>
      <c r="I407" s="406"/>
    </row>
    <row r="408" spans="1:9">
      <c r="A408" s="391" t="s">
        <v>868</v>
      </c>
      <c r="B408" s="636" t="s">
        <v>3138</v>
      </c>
      <c r="C408" s="454"/>
      <c r="D408" s="454"/>
      <c r="E408" s="454"/>
      <c r="F408" s="454"/>
      <c r="G408" s="522"/>
      <c r="H408" s="429"/>
      <c r="I408" s="429"/>
    </row>
    <row r="409" spans="1:9">
      <c r="A409" s="434" t="s">
        <v>1940</v>
      </c>
      <c r="B409" s="627" t="s">
        <v>3145</v>
      </c>
      <c r="C409" s="454"/>
      <c r="D409" s="454"/>
      <c r="E409" s="454"/>
      <c r="F409" s="454"/>
      <c r="G409" s="522"/>
      <c r="H409" s="435"/>
      <c r="I409" s="435"/>
    </row>
    <row r="410" spans="1:9">
      <c r="A410" s="411" t="s">
        <v>340</v>
      </c>
      <c r="B410" s="394" t="s">
        <v>3150</v>
      </c>
      <c r="C410" s="396"/>
      <c r="D410" s="396"/>
      <c r="E410" s="408"/>
      <c r="F410" s="397"/>
      <c r="G410" s="398"/>
      <c r="H410" s="301"/>
      <c r="I410" s="301"/>
    </row>
    <row r="411" spans="1:9">
      <c r="A411" s="411"/>
      <c r="B411" s="436" t="s">
        <v>802</v>
      </c>
      <c r="C411" s="396">
        <v>15</v>
      </c>
      <c r="D411" s="396" t="s">
        <v>1026</v>
      </c>
      <c r="E411" s="437">
        <f>'PVC wo Trench PRICE'!F167</f>
        <v>120.22</v>
      </c>
      <c r="F411" s="397" t="s">
        <v>1000</v>
      </c>
      <c r="G411" s="398">
        <f t="shared" ref="G411:G412" si="17">ROUND(C411*E411,2)</f>
        <v>1803.3</v>
      </c>
      <c r="H411" s="406"/>
      <c r="I411" s="406"/>
    </row>
    <row r="412" spans="1:9">
      <c r="A412" s="411"/>
      <c r="B412" s="436" t="s">
        <v>819</v>
      </c>
      <c r="C412" s="396">
        <v>15</v>
      </c>
      <c r="D412" s="396" t="s">
        <v>1026</v>
      </c>
      <c r="E412" s="437">
        <f>'PVC wo Trench PRICE'!F176</f>
        <v>29.66</v>
      </c>
      <c r="F412" s="397" t="s">
        <v>1000</v>
      </c>
      <c r="G412" s="398">
        <f t="shared" si="17"/>
        <v>444.9</v>
      </c>
      <c r="H412" s="406"/>
      <c r="I412" s="406"/>
    </row>
    <row r="413" spans="1:9">
      <c r="A413" s="411" t="s">
        <v>323</v>
      </c>
      <c r="B413" s="394" t="s">
        <v>3170</v>
      </c>
      <c r="C413" s="396"/>
      <c r="D413" s="396"/>
      <c r="E413" s="408"/>
      <c r="F413" s="397"/>
      <c r="G413" s="398"/>
      <c r="H413" s="406"/>
      <c r="I413" s="406"/>
    </row>
    <row r="414" spans="1:9">
      <c r="A414" s="411"/>
      <c r="B414" s="436" t="s">
        <v>802</v>
      </c>
      <c r="C414" s="396">
        <v>20</v>
      </c>
      <c r="D414" s="396" t="s">
        <v>1026</v>
      </c>
      <c r="E414" s="437">
        <f>'PVC wo Trench PRICE'!F123</f>
        <v>112.2</v>
      </c>
      <c r="F414" s="397" t="s">
        <v>1000</v>
      </c>
      <c r="G414" s="398">
        <f t="shared" ref="G414:G415" si="18">ROUND(C414*E414,2)</f>
        <v>2244</v>
      </c>
      <c r="H414" s="406"/>
      <c r="I414" s="406"/>
    </row>
    <row r="415" spans="1:9">
      <c r="A415" s="411"/>
      <c r="B415" s="436" t="s">
        <v>819</v>
      </c>
      <c r="C415" s="396">
        <v>20</v>
      </c>
      <c r="D415" s="396" t="s">
        <v>1026</v>
      </c>
      <c r="E415" s="437">
        <f>'PVC wo Trench PRICE'!F132</f>
        <v>29.66</v>
      </c>
      <c r="F415" s="397" t="s">
        <v>1000</v>
      </c>
      <c r="G415" s="398">
        <f t="shared" si="18"/>
        <v>593.20000000000005</v>
      </c>
      <c r="H415" s="406"/>
      <c r="I415" s="406"/>
    </row>
    <row r="416" spans="1:9">
      <c r="A416" s="411" t="s">
        <v>302</v>
      </c>
      <c r="B416" s="394" t="s">
        <v>3182</v>
      </c>
      <c r="C416" s="396"/>
      <c r="D416" s="396"/>
      <c r="E416" s="408"/>
      <c r="F416" s="397"/>
      <c r="G416" s="398"/>
      <c r="H416" s="406"/>
      <c r="I416" s="406"/>
    </row>
    <row r="417" spans="1:9">
      <c r="A417" s="411"/>
      <c r="B417" s="436" t="s">
        <v>802</v>
      </c>
      <c r="C417" s="396">
        <v>10</v>
      </c>
      <c r="D417" s="396" t="s">
        <v>1026</v>
      </c>
      <c r="E417" s="437">
        <f>'PVC wo Trench PRICE'!F57</f>
        <v>86.82</v>
      </c>
      <c r="F417" s="397" t="s">
        <v>1000</v>
      </c>
      <c r="G417" s="398">
        <f t="shared" ref="G417:G418" si="19">ROUND(C417*E417,2)</f>
        <v>868.2</v>
      </c>
      <c r="H417" s="406"/>
      <c r="I417" s="406"/>
    </row>
    <row r="418" spans="1:9">
      <c r="A418" s="411"/>
      <c r="B418" s="436" t="s">
        <v>819</v>
      </c>
      <c r="C418" s="396">
        <v>10</v>
      </c>
      <c r="D418" s="396" t="s">
        <v>1026</v>
      </c>
      <c r="E418" s="437">
        <f>'PVC wo Trench PRICE'!F66</f>
        <v>29.66</v>
      </c>
      <c r="F418" s="397" t="s">
        <v>1000</v>
      </c>
      <c r="G418" s="398">
        <f t="shared" si="19"/>
        <v>296.60000000000002</v>
      </c>
      <c r="H418" s="406"/>
      <c r="I418" s="406"/>
    </row>
    <row r="419" spans="1:9">
      <c r="A419" s="411" t="s">
        <v>296</v>
      </c>
      <c r="B419" s="394" t="s">
        <v>3191</v>
      </c>
      <c r="C419" s="396"/>
      <c r="D419" s="396"/>
      <c r="E419" s="408"/>
      <c r="F419" s="397"/>
      <c r="G419" s="398"/>
      <c r="H419" s="406"/>
      <c r="I419" s="406"/>
    </row>
    <row r="420" spans="1:9">
      <c r="A420" s="411"/>
      <c r="B420" s="436" t="s">
        <v>802</v>
      </c>
      <c r="C420" s="396">
        <v>15</v>
      </c>
      <c r="D420" s="396" t="s">
        <v>1026</v>
      </c>
      <c r="E420" s="437">
        <f>'PVC wo Trench PRICE'!F35</f>
        <v>64.11</v>
      </c>
      <c r="F420" s="397" t="s">
        <v>1000</v>
      </c>
      <c r="G420" s="398">
        <f t="shared" ref="G420:G421" si="20">ROUND(C420*E420,2)</f>
        <v>961.65</v>
      </c>
      <c r="H420" s="406"/>
      <c r="I420" s="406"/>
    </row>
    <row r="421" spans="1:9">
      <c r="A421" s="411"/>
      <c r="B421" s="436" t="s">
        <v>819</v>
      </c>
      <c r="C421" s="396">
        <v>15</v>
      </c>
      <c r="D421" s="396" t="s">
        <v>1026</v>
      </c>
      <c r="E421" s="437">
        <f>'PVC wo Trench PRICE'!F44</f>
        <v>29.66</v>
      </c>
      <c r="F421" s="397" t="s">
        <v>1000</v>
      </c>
      <c r="G421" s="398">
        <f t="shared" si="20"/>
        <v>444.9</v>
      </c>
      <c r="H421" s="406"/>
      <c r="I421" s="406"/>
    </row>
    <row r="422" spans="1:9">
      <c r="A422" s="411" t="s">
        <v>3200</v>
      </c>
      <c r="B422" s="394" t="s">
        <v>3202</v>
      </c>
      <c r="C422" s="396"/>
      <c r="D422" s="396"/>
      <c r="E422" s="408"/>
      <c r="F422" s="397"/>
      <c r="G422" s="398"/>
      <c r="H422" s="406"/>
      <c r="I422" s="406"/>
    </row>
    <row r="423" spans="1:9">
      <c r="A423" s="411"/>
      <c r="B423" s="436" t="s">
        <v>802</v>
      </c>
      <c r="C423" s="396">
        <v>1</v>
      </c>
      <c r="D423" s="396" t="s">
        <v>1107</v>
      </c>
      <c r="E423" s="408">
        <f>'Motor Starter Monoblock'!F20</f>
        <v>859.71</v>
      </c>
      <c r="F423" s="397" t="s">
        <v>2147</v>
      </c>
      <c r="G423" s="398">
        <f t="shared" ref="G423:G424" si="21">ROUND(C423*E423,2)</f>
        <v>859.71</v>
      </c>
      <c r="H423" s="406"/>
      <c r="I423" s="406"/>
    </row>
    <row r="424" spans="1:9">
      <c r="A424" s="411"/>
      <c r="B424" s="436" t="s">
        <v>819</v>
      </c>
      <c r="C424" s="396">
        <v>1</v>
      </c>
      <c r="D424" s="396" t="s">
        <v>1107</v>
      </c>
      <c r="E424" s="408">
        <f>'Motor Starter Monoblock'!F34</f>
        <v>33.700000000000003</v>
      </c>
      <c r="F424" s="397" t="s">
        <v>2147</v>
      </c>
      <c r="G424" s="398">
        <f t="shared" si="21"/>
        <v>33.700000000000003</v>
      </c>
      <c r="H424" s="406"/>
      <c r="I424" s="406"/>
    </row>
    <row r="425" spans="1:9">
      <c r="A425" s="411"/>
      <c r="B425" s="436" t="s">
        <v>3212</v>
      </c>
      <c r="C425" s="396"/>
      <c r="D425" s="396"/>
      <c r="E425" s="408"/>
      <c r="F425" s="397"/>
      <c r="G425" s="438">
        <f t="shared" ref="G425:G426" si="22">SUM(G411,G414,G417,G420,G423)</f>
        <v>6736.86</v>
      </c>
      <c r="H425" s="406"/>
      <c r="I425" s="406"/>
    </row>
    <row r="426" spans="1:9">
      <c r="A426" s="411"/>
      <c r="B426" s="436" t="s">
        <v>3218</v>
      </c>
      <c r="C426" s="396"/>
      <c r="D426" s="396"/>
      <c r="E426" s="408"/>
      <c r="F426" s="397"/>
      <c r="G426" s="438">
        <f t="shared" si="22"/>
        <v>1813.3</v>
      </c>
      <c r="H426" s="406"/>
      <c r="I426" s="406"/>
    </row>
    <row r="427" spans="1:9">
      <c r="A427" s="434" t="s">
        <v>1942</v>
      </c>
      <c r="B427" s="627" t="s">
        <v>3221</v>
      </c>
      <c r="C427" s="454"/>
      <c r="D427" s="454"/>
      <c r="E427" s="454"/>
      <c r="F427" s="454"/>
      <c r="G427" s="522"/>
      <c r="H427" s="435"/>
      <c r="I427" s="435"/>
    </row>
    <row r="428" spans="1:9">
      <c r="A428" s="411" t="s">
        <v>546</v>
      </c>
      <c r="B428" s="394" t="s">
        <v>356</v>
      </c>
      <c r="C428" s="396">
        <v>15</v>
      </c>
      <c r="D428" s="396" t="s">
        <v>1026</v>
      </c>
      <c r="E428" s="396">
        <v>40</v>
      </c>
      <c r="F428" s="397" t="s">
        <v>1000</v>
      </c>
      <c r="G428" s="398">
        <f>C428*E428</f>
        <v>600</v>
      </c>
      <c r="H428" s="301"/>
      <c r="I428" s="301"/>
    </row>
    <row r="429" spans="1:9">
      <c r="A429" s="391"/>
      <c r="B429" s="407" t="s">
        <v>3228</v>
      </c>
      <c r="C429" s="396"/>
      <c r="D429" s="396"/>
      <c r="E429" s="396"/>
      <c r="F429" s="397"/>
      <c r="G429" s="398">
        <f>G428*0.1</f>
        <v>60</v>
      </c>
      <c r="H429" s="301"/>
      <c r="I429" s="301"/>
    </row>
    <row r="430" spans="1:9">
      <c r="A430" s="411" t="s">
        <v>189</v>
      </c>
      <c r="B430" s="394" t="s">
        <v>190</v>
      </c>
      <c r="C430" s="396">
        <v>2</v>
      </c>
      <c r="D430" s="396" t="s">
        <v>1107</v>
      </c>
      <c r="E430" s="408">
        <v>380</v>
      </c>
      <c r="F430" s="397" t="s">
        <v>2147</v>
      </c>
      <c r="G430" s="398">
        <f t="shared" ref="G430:G436" si="23">C430*E430</f>
        <v>760</v>
      </c>
      <c r="H430" s="301"/>
      <c r="I430" s="301"/>
    </row>
    <row r="431" spans="1:9">
      <c r="A431" s="411" t="s">
        <v>187</v>
      </c>
      <c r="B431" s="394" t="s">
        <v>188</v>
      </c>
      <c r="C431" s="396">
        <v>6</v>
      </c>
      <c r="D431" s="396" t="s">
        <v>1107</v>
      </c>
      <c r="E431" s="408">
        <v>280</v>
      </c>
      <c r="F431" s="397" t="s">
        <v>2147</v>
      </c>
      <c r="G431" s="398">
        <f t="shared" si="23"/>
        <v>1680</v>
      </c>
      <c r="H431" s="301"/>
      <c r="I431" s="301"/>
    </row>
    <row r="432" spans="1:9">
      <c r="A432" s="411" t="s">
        <v>2216</v>
      </c>
      <c r="B432" s="394" t="s">
        <v>3237</v>
      </c>
      <c r="C432" s="396">
        <v>3</v>
      </c>
      <c r="D432" s="396" t="s">
        <v>1107</v>
      </c>
      <c r="E432" s="408">
        <f t="array" ref="E432">IFERROR(INDEX(LMRRates,MATCH(A432,LMRCodes,0), ), )</f>
        <v>720</v>
      </c>
      <c r="F432" s="397" t="s">
        <v>2147</v>
      </c>
      <c r="G432" s="398">
        <f t="shared" si="23"/>
        <v>2160</v>
      </c>
      <c r="H432" s="301"/>
      <c r="I432" s="301"/>
    </row>
    <row r="433" spans="1:9">
      <c r="A433" s="411" t="s">
        <v>865</v>
      </c>
      <c r="B433" s="394" t="s">
        <v>3245</v>
      </c>
      <c r="C433" s="396">
        <v>4</v>
      </c>
      <c r="D433" s="396" t="s">
        <v>691</v>
      </c>
      <c r="E433" s="396">
        <v>73</v>
      </c>
      <c r="F433" s="397" t="s">
        <v>860</v>
      </c>
      <c r="G433" s="398">
        <f t="shared" si="23"/>
        <v>292</v>
      </c>
      <c r="H433" s="301"/>
      <c r="I433" s="301"/>
    </row>
    <row r="434" spans="1:9">
      <c r="A434" s="411" t="s">
        <v>865</v>
      </c>
      <c r="B434" s="394" t="s">
        <v>3247</v>
      </c>
      <c r="C434" s="396">
        <v>50</v>
      </c>
      <c r="D434" s="396" t="s">
        <v>1026</v>
      </c>
      <c r="E434" s="396">
        <v>40</v>
      </c>
      <c r="F434" s="397" t="s">
        <v>1000</v>
      </c>
      <c r="G434" s="398">
        <f t="shared" si="23"/>
        <v>2000</v>
      </c>
      <c r="H434" s="301"/>
      <c r="I434" s="301"/>
    </row>
    <row r="435" spans="1:9">
      <c r="A435" s="411" t="s">
        <v>865</v>
      </c>
      <c r="B435" s="394" t="s">
        <v>3250</v>
      </c>
      <c r="C435" s="396">
        <v>2</v>
      </c>
      <c r="D435" s="396" t="s">
        <v>1107</v>
      </c>
      <c r="E435" s="396">
        <v>280</v>
      </c>
      <c r="F435" s="397" t="s">
        <v>2147</v>
      </c>
      <c r="G435" s="398">
        <f t="shared" si="23"/>
        <v>560</v>
      </c>
      <c r="H435" s="301"/>
      <c r="I435" s="301"/>
    </row>
    <row r="436" spans="1:9">
      <c r="A436" s="411" t="s">
        <v>865</v>
      </c>
      <c r="B436" s="394" t="s">
        <v>3251</v>
      </c>
      <c r="C436" s="396">
        <v>36</v>
      </c>
      <c r="D436" s="396" t="s">
        <v>691</v>
      </c>
      <c r="E436" s="396">
        <v>67.7</v>
      </c>
      <c r="F436" s="397" t="s">
        <v>860</v>
      </c>
      <c r="G436" s="398">
        <f t="shared" si="23"/>
        <v>2437.2000000000003</v>
      </c>
      <c r="H436" s="301"/>
      <c r="I436" s="301"/>
    </row>
    <row r="437" spans="1:9">
      <c r="A437" s="391"/>
      <c r="B437" s="407" t="s">
        <v>1064</v>
      </c>
      <c r="C437" s="396"/>
      <c r="D437" s="396"/>
      <c r="E437" s="396"/>
      <c r="F437" s="397"/>
      <c r="G437" s="398">
        <f>ROUND(SUM(G428:G436),2)</f>
        <v>10549.2</v>
      </c>
      <c r="H437" s="406"/>
      <c r="I437" s="406"/>
    </row>
    <row r="438" spans="1:9">
      <c r="A438" s="391"/>
      <c r="B438" s="407" t="s">
        <v>896</v>
      </c>
      <c r="C438" s="396"/>
      <c r="D438" s="396"/>
      <c r="E438" s="396"/>
      <c r="F438" s="397"/>
      <c r="G438" s="398">
        <f>G437*0.01</f>
        <v>105.492</v>
      </c>
      <c r="H438" s="406"/>
      <c r="I438" s="406"/>
    </row>
    <row r="439" spans="1:9">
      <c r="A439" s="391"/>
      <c r="B439" s="407" t="s">
        <v>40</v>
      </c>
      <c r="C439" s="396"/>
      <c r="D439" s="396"/>
      <c r="E439" s="396"/>
      <c r="F439" s="397"/>
      <c r="G439" s="398">
        <f>SUM(G437:G438)</f>
        <v>10654.692000000001</v>
      </c>
      <c r="H439" s="406"/>
      <c r="I439" s="406"/>
    </row>
    <row r="440" spans="1:9">
      <c r="A440" s="391"/>
      <c r="B440" s="407" t="s">
        <v>898</v>
      </c>
      <c r="C440" s="396"/>
      <c r="D440" s="396"/>
      <c r="E440" s="396"/>
      <c r="F440" s="397"/>
      <c r="G440" s="398">
        <f>G439*15%</f>
        <v>1598.2038</v>
      </c>
      <c r="H440" s="406"/>
      <c r="I440" s="406"/>
    </row>
    <row r="441" spans="1:9">
      <c r="A441" s="391"/>
      <c r="B441" s="439" t="s">
        <v>2153</v>
      </c>
      <c r="C441" s="402"/>
      <c r="D441" s="396"/>
      <c r="E441" s="396"/>
      <c r="F441" s="397"/>
      <c r="G441" s="438">
        <f>ROUND(SUM(G439:G440),2)</f>
        <v>12252.9</v>
      </c>
      <c r="H441" s="406"/>
      <c r="I441" s="406"/>
    </row>
    <row r="442" spans="1:9">
      <c r="A442" s="434" t="s">
        <v>1944</v>
      </c>
      <c r="B442" s="627" t="s">
        <v>819</v>
      </c>
      <c r="C442" s="454"/>
      <c r="D442" s="454"/>
      <c r="E442" s="454"/>
      <c r="F442" s="454"/>
      <c r="G442" s="522"/>
      <c r="H442" s="435"/>
      <c r="I442" s="435"/>
    </row>
    <row r="443" spans="1:9">
      <c r="A443" s="411" t="s">
        <v>3270</v>
      </c>
      <c r="B443" s="394" t="s">
        <v>3271</v>
      </c>
      <c r="C443" s="396">
        <v>2</v>
      </c>
      <c r="D443" s="408" t="s">
        <v>875</v>
      </c>
      <c r="E443" s="440">
        <v>853</v>
      </c>
      <c r="F443" s="409" t="s">
        <v>876</v>
      </c>
      <c r="G443" s="398">
        <f t="shared" ref="G443:G446" si="24">C443*E443</f>
        <v>1706</v>
      </c>
      <c r="H443" s="301"/>
      <c r="I443" s="301"/>
    </row>
    <row r="444" spans="1:9">
      <c r="A444" s="411" t="s">
        <v>871</v>
      </c>
      <c r="B444" s="394" t="s">
        <v>874</v>
      </c>
      <c r="C444" s="396">
        <v>1</v>
      </c>
      <c r="D444" s="408" t="s">
        <v>875</v>
      </c>
      <c r="E444" s="440">
        <v>784</v>
      </c>
      <c r="F444" s="409" t="s">
        <v>876</v>
      </c>
      <c r="G444" s="398">
        <f t="shared" si="24"/>
        <v>784</v>
      </c>
      <c r="H444" s="301"/>
      <c r="I444" s="301"/>
    </row>
    <row r="445" spans="1:9">
      <c r="A445" s="411" t="s">
        <v>881</v>
      </c>
      <c r="B445" s="394" t="s">
        <v>882</v>
      </c>
      <c r="C445" s="396">
        <v>1</v>
      </c>
      <c r="D445" s="408" t="s">
        <v>875</v>
      </c>
      <c r="E445" s="441">
        <v>714</v>
      </c>
      <c r="F445" s="409" t="s">
        <v>876</v>
      </c>
      <c r="G445" s="398">
        <f t="shared" si="24"/>
        <v>714</v>
      </c>
      <c r="H445" s="301"/>
      <c r="I445" s="301"/>
    </row>
    <row r="446" spans="1:9">
      <c r="A446" s="411" t="s">
        <v>3279</v>
      </c>
      <c r="B446" s="407" t="s">
        <v>59</v>
      </c>
      <c r="C446" s="396">
        <v>2</v>
      </c>
      <c r="D446" s="408" t="s">
        <v>875</v>
      </c>
      <c r="E446" s="440">
        <v>645</v>
      </c>
      <c r="F446" s="409" t="s">
        <v>876</v>
      </c>
      <c r="G446" s="398">
        <f t="shared" si="24"/>
        <v>1290</v>
      </c>
      <c r="H446" s="301"/>
      <c r="I446" s="301"/>
    </row>
    <row r="447" spans="1:9">
      <c r="A447" s="391"/>
      <c r="B447" s="407" t="s">
        <v>1064</v>
      </c>
      <c r="C447" s="396"/>
      <c r="D447" s="396"/>
      <c r="E447" s="396"/>
      <c r="F447" s="397"/>
      <c r="G447" s="398">
        <f>SUM(G443:G446)</f>
        <v>4494</v>
      </c>
      <c r="H447" s="301"/>
      <c r="I447" s="301"/>
    </row>
    <row r="448" spans="1:9">
      <c r="A448" s="391"/>
      <c r="B448" s="407" t="s">
        <v>896</v>
      </c>
      <c r="C448" s="396"/>
      <c r="D448" s="396"/>
      <c r="E448" s="396"/>
      <c r="F448" s="397"/>
      <c r="G448" s="398">
        <f>G447*0.01</f>
        <v>44.94</v>
      </c>
      <c r="H448" s="301"/>
      <c r="I448" s="301"/>
    </row>
    <row r="449" spans="1:9">
      <c r="A449" s="391"/>
      <c r="B449" s="407" t="s">
        <v>40</v>
      </c>
      <c r="C449" s="396"/>
      <c r="D449" s="396"/>
      <c r="E449" s="396"/>
      <c r="F449" s="397"/>
      <c r="G449" s="398">
        <f>SUM(G447:G448)</f>
        <v>4538.9399999999996</v>
      </c>
      <c r="H449" s="301"/>
      <c r="I449" s="301"/>
    </row>
    <row r="450" spans="1:9">
      <c r="A450" s="391"/>
      <c r="B450" s="407" t="s">
        <v>898</v>
      </c>
      <c r="C450" s="396"/>
      <c r="D450" s="396"/>
      <c r="E450" s="396"/>
      <c r="F450" s="397"/>
      <c r="G450" s="398">
        <f>G449*15%</f>
        <v>680.84099999999989</v>
      </c>
      <c r="H450" s="301"/>
      <c r="I450" s="301"/>
    </row>
    <row r="451" spans="1:9">
      <c r="A451" s="391"/>
      <c r="B451" s="439" t="s">
        <v>2153</v>
      </c>
      <c r="C451" s="402"/>
      <c r="D451" s="396"/>
      <c r="E451" s="396"/>
      <c r="F451" s="397"/>
      <c r="G451" s="438">
        <f>ROUND(SUM(G449:G450),2)</f>
        <v>5219.78</v>
      </c>
      <c r="H451" s="406"/>
      <c r="I451" s="406"/>
    </row>
    <row r="452" spans="1:9">
      <c r="A452" s="638" t="str">
        <f>CONCATENATE("Say ₹ ",(G425+G441)," + ",(G451+G426)," x Cost Index")</f>
        <v>Say ₹ 18989.76 + 7033.08 x Cost Index</v>
      </c>
      <c r="B452" s="454"/>
      <c r="C452" s="454"/>
      <c r="D452" s="454"/>
      <c r="E452" s="454"/>
      <c r="F452" s="454"/>
      <c r="G452" s="450"/>
      <c r="H452" s="390">
        <f>SUM(G411,G414,G417,G420,G423,G441)</f>
        <v>18989.759999999998</v>
      </c>
      <c r="I452" s="390">
        <f>SUM(G412,G415,G418,G421,G424,G451)</f>
        <v>7033.08</v>
      </c>
    </row>
    <row r="453" spans="1:9">
      <c r="A453" s="637" t="s">
        <v>3311</v>
      </c>
      <c r="B453" s="454"/>
      <c r="C453" s="454"/>
      <c r="D453" s="454"/>
      <c r="E453" s="454"/>
      <c r="F453" s="454"/>
      <c r="G453" s="522"/>
      <c r="H453" s="406"/>
      <c r="I453" s="406"/>
    </row>
    <row r="454" spans="1:9">
      <c r="A454" s="391" t="s">
        <v>868</v>
      </c>
      <c r="B454" s="636" t="s">
        <v>3315</v>
      </c>
      <c r="C454" s="454"/>
      <c r="D454" s="454"/>
      <c r="E454" s="454"/>
      <c r="F454" s="454"/>
      <c r="G454" s="522"/>
      <c r="H454" s="392"/>
      <c r="I454" s="392"/>
    </row>
    <row r="455" spans="1:9">
      <c r="A455" s="391"/>
      <c r="B455" s="407" t="s">
        <v>3318</v>
      </c>
      <c r="C455" s="396">
        <v>1</v>
      </c>
      <c r="D455" s="396" t="s">
        <v>1107</v>
      </c>
      <c r="E455" s="396">
        <v>3500</v>
      </c>
      <c r="F455" s="397" t="s">
        <v>2147</v>
      </c>
      <c r="G455" s="398">
        <f t="shared" ref="G455:G456" si="25">C455*E455</f>
        <v>3500</v>
      </c>
      <c r="H455" s="301"/>
      <c r="I455" s="301"/>
    </row>
    <row r="456" spans="1:9">
      <c r="A456" s="391"/>
      <c r="B456" s="407" t="s">
        <v>3323</v>
      </c>
      <c r="C456" s="396">
        <v>1</v>
      </c>
      <c r="D456" s="396" t="s">
        <v>1107</v>
      </c>
      <c r="E456" s="396">
        <v>2000</v>
      </c>
      <c r="F456" s="397" t="s">
        <v>2147</v>
      </c>
      <c r="G456" s="398">
        <f t="shared" si="25"/>
        <v>2000</v>
      </c>
      <c r="H456" s="301"/>
      <c r="I456" s="301"/>
    </row>
    <row r="457" spans="1:9">
      <c r="A457" s="391"/>
      <c r="B457" s="442" t="s">
        <v>40</v>
      </c>
      <c r="C457" s="396"/>
      <c r="D457" s="396"/>
      <c r="E457" s="396"/>
      <c r="F457" s="397"/>
      <c r="G457" s="438">
        <f>SUM(G455:G456)</f>
        <v>5500</v>
      </c>
      <c r="H457" s="406"/>
      <c r="I457" s="406"/>
    </row>
    <row r="458" spans="1:9">
      <c r="A458" s="411" t="s">
        <v>3270</v>
      </c>
      <c r="B458" s="394" t="s">
        <v>3271</v>
      </c>
      <c r="C458" s="396">
        <v>0.5</v>
      </c>
      <c r="D458" s="408" t="s">
        <v>875</v>
      </c>
      <c r="E458" s="440">
        <v>853</v>
      </c>
      <c r="F458" s="409" t="s">
        <v>876</v>
      </c>
      <c r="G458" s="398">
        <f t="shared" ref="G458:G459" si="26">C458*E458</f>
        <v>426.5</v>
      </c>
      <c r="H458" s="301"/>
      <c r="I458" s="301"/>
    </row>
    <row r="459" spans="1:9">
      <c r="A459" s="411" t="s">
        <v>3279</v>
      </c>
      <c r="B459" s="407" t="s">
        <v>59</v>
      </c>
      <c r="C459" s="396">
        <v>0.5</v>
      </c>
      <c r="D459" s="408" t="s">
        <v>875</v>
      </c>
      <c r="E459" s="440">
        <v>645</v>
      </c>
      <c r="F459" s="409" t="s">
        <v>876</v>
      </c>
      <c r="G459" s="398">
        <f t="shared" si="26"/>
        <v>322.5</v>
      </c>
      <c r="H459" s="301"/>
      <c r="I459" s="301"/>
    </row>
    <row r="460" spans="1:9">
      <c r="A460" s="391"/>
      <c r="B460" s="407" t="s">
        <v>1064</v>
      </c>
      <c r="C460" s="396"/>
      <c r="D460" s="396"/>
      <c r="E460" s="396"/>
      <c r="F460" s="397"/>
      <c r="G460" s="398">
        <f>SUM(G458:G459)</f>
        <v>749</v>
      </c>
      <c r="H460" s="301"/>
      <c r="I460" s="301"/>
    </row>
    <row r="461" spans="1:9">
      <c r="A461" s="391"/>
      <c r="B461" s="407" t="s">
        <v>896</v>
      </c>
      <c r="C461" s="396"/>
      <c r="D461" s="396"/>
      <c r="E461" s="396"/>
      <c r="F461" s="397"/>
      <c r="G461" s="398">
        <f>G460*0.01</f>
        <v>7.49</v>
      </c>
      <c r="H461" s="301"/>
      <c r="I461" s="301"/>
    </row>
    <row r="462" spans="1:9">
      <c r="A462" s="391"/>
      <c r="B462" s="407" t="s">
        <v>40</v>
      </c>
      <c r="C462" s="396"/>
      <c r="D462" s="396"/>
      <c r="E462" s="396"/>
      <c r="F462" s="397"/>
      <c r="G462" s="398">
        <f>SUM(G460:G461)</f>
        <v>756.49</v>
      </c>
      <c r="H462" s="301"/>
      <c r="I462" s="301"/>
    </row>
    <row r="463" spans="1:9">
      <c r="A463" s="391"/>
      <c r="B463" s="407" t="s">
        <v>898</v>
      </c>
      <c r="C463" s="396"/>
      <c r="D463" s="396"/>
      <c r="E463" s="396"/>
      <c r="F463" s="397"/>
      <c r="G463" s="398">
        <f>G462*15%</f>
        <v>113.4735</v>
      </c>
      <c r="H463" s="301"/>
      <c r="I463" s="301"/>
    </row>
    <row r="464" spans="1:9">
      <c r="A464" s="391"/>
      <c r="B464" s="439" t="s">
        <v>2153</v>
      </c>
      <c r="C464" s="402"/>
      <c r="D464" s="396"/>
      <c r="E464" s="396"/>
      <c r="F464" s="397"/>
      <c r="G464" s="438">
        <f>ROUND(SUM(G462:G463),2)</f>
        <v>869.96</v>
      </c>
      <c r="H464" s="406"/>
      <c r="I464" s="406"/>
    </row>
    <row r="465" spans="1:9">
      <c r="A465" s="638" t="str">
        <f>CONCATENATE("Say ₹ (",G457," + ",G464," x Cost Index) / Visit")</f>
        <v>Say ₹ (5500 + 869.96 x Cost Index) / Visit</v>
      </c>
      <c r="B465" s="454"/>
      <c r="C465" s="454"/>
      <c r="D465" s="454"/>
      <c r="E465" s="454"/>
      <c r="F465" s="454"/>
      <c r="G465" s="450"/>
      <c r="H465" s="390">
        <f>G457</f>
        <v>5500</v>
      </c>
      <c r="I465" s="390">
        <f>(G458+G459)*1.01*1.15</f>
        <v>869.96349999999995</v>
      </c>
    </row>
  </sheetData>
  <mergeCells count="79">
    <mergeCell ref="A268:G268"/>
    <mergeCell ref="B269:G269"/>
    <mergeCell ref="A282:G282"/>
    <mergeCell ref="B283:G283"/>
    <mergeCell ref="B239:G239"/>
    <mergeCell ref="A252:G252"/>
    <mergeCell ref="A253:G253"/>
    <mergeCell ref="B254:G254"/>
    <mergeCell ref="A267:G267"/>
    <mergeCell ref="A210:G210"/>
    <mergeCell ref="B211:G211"/>
    <mergeCell ref="A224:G224"/>
    <mergeCell ref="B225:G225"/>
    <mergeCell ref="A238:G238"/>
    <mergeCell ref="A181:G181"/>
    <mergeCell ref="B182:G182"/>
    <mergeCell ref="A195:G195"/>
    <mergeCell ref="B196:G196"/>
    <mergeCell ref="A209:G209"/>
    <mergeCell ref="A154:G154"/>
    <mergeCell ref="B155:G155"/>
    <mergeCell ref="A167:G167"/>
    <mergeCell ref="B168:G168"/>
    <mergeCell ref="A180:G180"/>
    <mergeCell ref="A127:G127"/>
    <mergeCell ref="B128:G128"/>
    <mergeCell ref="A140:G140"/>
    <mergeCell ref="A141:G141"/>
    <mergeCell ref="B142:G142"/>
    <mergeCell ref="A100:G100"/>
    <mergeCell ref="A101:G101"/>
    <mergeCell ref="B102:G102"/>
    <mergeCell ref="A114:G114"/>
    <mergeCell ref="B115:G115"/>
    <mergeCell ref="B59:G59"/>
    <mergeCell ref="A72:G72"/>
    <mergeCell ref="B73:G73"/>
    <mergeCell ref="A86:G86"/>
    <mergeCell ref="B87:G87"/>
    <mergeCell ref="A30:G30"/>
    <mergeCell ref="B31:G31"/>
    <mergeCell ref="A44:G44"/>
    <mergeCell ref="B45:G45"/>
    <mergeCell ref="A58:G58"/>
    <mergeCell ref="A1:G1"/>
    <mergeCell ref="A2:G2"/>
    <mergeCell ref="B3:G3"/>
    <mergeCell ref="A16:G16"/>
    <mergeCell ref="B17:G17"/>
    <mergeCell ref="A406:G406"/>
    <mergeCell ref="B454:G454"/>
    <mergeCell ref="A465:G465"/>
    <mergeCell ref="A407:G407"/>
    <mergeCell ref="B408:G408"/>
    <mergeCell ref="B409:G409"/>
    <mergeCell ref="B427:G427"/>
    <mergeCell ref="B442:G442"/>
    <mergeCell ref="A452:G452"/>
    <mergeCell ref="A453:G453"/>
    <mergeCell ref="A379:G379"/>
    <mergeCell ref="A380:G380"/>
    <mergeCell ref="B381:G381"/>
    <mergeCell ref="A393:G393"/>
    <mergeCell ref="B394:G394"/>
    <mergeCell ref="B341:G341"/>
    <mergeCell ref="A353:G353"/>
    <mergeCell ref="B354:G354"/>
    <mergeCell ref="A366:G366"/>
    <mergeCell ref="B367:G367"/>
    <mergeCell ref="A325:G325"/>
    <mergeCell ref="A326:G326"/>
    <mergeCell ref="B327:G327"/>
    <mergeCell ref="A339:G339"/>
    <mergeCell ref="A340:G340"/>
    <mergeCell ref="A296:G296"/>
    <mergeCell ref="B297:G297"/>
    <mergeCell ref="A310:G310"/>
    <mergeCell ref="A311:G311"/>
    <mergeCell ref="B312:G312"/>
  </mergeCells>
  <pageMargins left="0.70833333333333304" right="0.31527777777777799" top="0.55138888888888904" bottom="0.35416666666666702" header="0" footer="0"/>
  <pageSetup paperSize="9" orientation="portrait"/>
  <rowBreaks count="5" manualBreakCount="5">
    <brk id="100" man="1"/>
    <brk id="325" man="1"/>
    <brk id="406" man="1"/>
    <brk id="167" man="1"/>
    <brk id="282"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B16"/>
  <sheetViews>
    <sheetView workbookViewId="0"/>
  </sheetViews>
  <sheetFormatPr defaultColWidth="14.453125" defaultRowHeight="15" customHeight="1"/>
  <sheetData>
    <row r="1" spans="1:2">
      <c r="A1" s="412" t="s">
        <v>2164</v>
      </c>
      <c r="B1" s="412" t="s">
        <v>18</v>
      </c>
    </row>
    <row r="2" spans="1:2">
      <c r="A2" s="412" t="s">
        <v>2165</v>
      </c>
      <c r="B2" s="412">
        <v>1.4765999999999999</v>
      </c>
    </row>
    <row r="3" spans="1:2">
      <c r="A3" s="412" t="s">
        <v>2166</v>
      </c>
      <c r="B3" s="412">
        <v>1.4444999999999999</v>
      </c>
    </row>
    <row r="4" spans="1:2">
      <c r="A4" s="412" t="s">
        <v>2167</v>
      </c>
      <c r="B4" s="412">
        <v>1.4444999999999999</v>
      </c>
    </row>
    <row r="5" spans="1:2">
      <c r="A5" s="412" t="s">
        <v>2168</v>
      </c>
      <c r="B5" s="412">
        <v>1.4444999999999999</v>
      </c>
    </row>
    <row r="6" spans="1:2">
      <c r="A6" s="412" t="s">
        <v>2169</v>
      </c>
      <c r="B6" s="412">
        <v>1.4444999999999999</v>
      </c>
    </row>
    <row r="7" spans="1:2">
      <c r="A7" s="412" t="s">
        <v>2170</v>
      </c>
      <c r="B7" s="412">
        <v>1.4444999999999999</v>
      </c>
    </row>
    <row r="8" spans="1:2">
      <c r="A8" s="412" t="s">
        <v>2171</v>
      </c>
      <c r="B8" s="412">
        <v>1.4444999999999999</v>
      </c>
    </row>
    <row r="9" spans="1:2">
      <c r="A9" s="412" t="s">
        <v>2172</v>
      </c>
      <c r="B9" s="412">
        <v>1.4444999999999999</v>
      </c>
    </row>
    <row r="10" spans="1:2">
      <c r="A10" s="412" t="s">
        <v>2173</v>
      </c>
      <c r="B10" s="412">
        <v>1.4444999999999999</v>
      </c>
    </row>
    <row r="11" spans="1:2">
      <c r="A11" s="412" t="s">
        <v>2174</v>
      </c>
      <c r="B11" s="412">
        <v>1.3268</v>
      </c>
    </row>
    <row r="12" spans="1:2">
      <c r="A12" s="412" t="s">
        <v>2175</v>
      </c>
      <c r="B12" s="412">
        <v>1.3268</v>
      </c>
    </row>
    <row r="13" spans="1:2">
      <c r="A13" s="412" t="s">
        <v>2176</v>
      </c>
      <c r="B13" s="412">
        <v>1.3482000000000001</v>
      </c>
    </row>
    <row r="14" spans="1:2">
      <c r="A14" s="412" t="s">
        <v>2177</v>
      </c>
      <c r="B14" s="412">
        <v>1.3482000000000001</v>
      </c>
    </row>
    <row r="15" spans="1:2">
      <c r="A15" s="412" t="s">
        <v>2178</v>
      </c>
      <c r="B15" s="412">
        <v>1.3589</v>
      </c>
    </row>
    <row r="16" spans="1:2">
      <c r="A16" s="412" t="s">
        <v>24</v>
      </c>
      <c r="B16" s="413">
        <v>1</v>
      </c>
    </row>
  </sheetData>
  <pageMargins left="0.7" right="0.7" top="0.75" bottom="0.75" header="0.3" footer="0.3"/>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L8"/>
  <sheetViews>
    <sheetView workbookViewId="0"/>
  </sheetViews>
  <sheetFormatPr defaultColWidth="14.453125" defaultRowHeight="15" customHeight="1"/>
  <cols>
    <col min="1" max="1" width="13.81640625" customWidth="1"/>
    <col min="2" max="2" width="31" customWidth="1"/>
    <col min="3" max="3" width="6.08984375" customWidth="1"/>
    <col min="4" max="4" width="9.54296875" customWidth="1"/>
    <col min="5" max="5" width="15.26953125" customWidth="1"/>
    <col min="6" max="6" width="31.54296875" customWidth="1"/>
    <col min="7" max="7" width="4.453125" customWidth="1"/>
    <col min="8" max="8" width="10.54296875" customWidth="1"/>
    <col min="9" max="9" width="15.26953125" customWidth="1"/>
    <col min="10" max="10" width="31.54296875" customWidth="1"/>
    <col min="11" max="11" width="4.453125" customWidth="1"/>
    <col min="12" max="12" width="10.54296875" customWidth="1"/>
  </cols>
  <sheetData>
    <row r="1" spans="1:12">
      <c r="A1" s="640" t="s">
        <v>2179</v>
      </c>
      <c r="B1" s="545"/>
      <c r="C1" s="545"/>
      <c r="D1" s="545"/>
      <c r="E1" s="545"/>
      <c r="F1" s="545"/>
      <c r="G1" s="545"/>
      <c r="H1" s="545"/>
      <c r="I1" s="545"/>
      <c r="J1" s="545"/>
      <c r="K1" s="545"/>
      <c r="L1" s="545"/>
    </row>
    <row r="2" spans="1:12">
      <c r="A2" s="641" t="s">
        <v>2180</v>
      </c>
      <c r="B2" s="641" t="s">
        <v>2181</v>
      </c>
      <c r="C2" s="641" t="s">
        <v>2182</v>
      </c>
      <c r="D2" s="641" t="s">
        <v>2183</v>
      </c>
      <c r="E2" s="643" t="s">
        <v>2184</v>
      </c>
      <c r="F2" s="454"/>
      <c r="G2" s="454"/>
      <c r="H2" s="450"/>
      <c r="I2" s="643" t="s">
        <v>2185</v>
      </c>
      <c r="J2" s="454"/>
      <c r="K2" s="454"/>
      <c r="L2" s="450"/>
    </row>
    <row r="3" spans="1:12">
      <c r="A3" s="642"/>
      <c r="B3" s="642"/>
      <c r="C3" s="642"/>
      <c r="D3" s="642"/>
      <c r="E3" s="414" t="s">
        <v>2186</v>
      </c>
      <c r="F3" s="414" t="s">
        <v>2181</v>
      </c>
      <c r="G3" s="414" t="s">
        <v>2182</v>
      </c>
      <c r="H3" s="414" t="s">
        <v>2187</v>
      </c>
      <c r="I3" s="414" t="s">
        <v>2186</v>
      </c>
      <c r="J3" s="414" t="s">
        <v>2181</v>
      </c>
      <c r="K3" s="414" t="s">
        <v>2182</v>
      </c>
      <c r="L3" s="414" t="s">
        <v>2187</v>
      </c>
    </row>
    <row r="4" spans="1:12">
      <c r="A4" s="415" t="s">
        <v>247</v>
      </c>
      <c r="B4" s="416" t="s">
        <v>248</v>
      </c>
      <c r="C4" s="416">
        <v>180</v>
      </c>
      <c r="D4" s="416">
        <f t="shared" ref="D4:D8" si="0">IF(H4+((C4-G4)*(L4-H4)/(K4-G4))&lt;20,20,MROUND(H4+((C4-G4)*(L4-H4)/(K4-G4)),1))</f>
        <v>487</v>
      </c>
      <c r="E4" s="417" t="s">
        <v>173</v>
      </c>
      <c r="F4" s="417" t="s">
        <v>2189</v>
      </c>
      <c r="G4" s="417">
        <v>160</v>
      </c>
      <c r="H4" s="417">
        <f t="array" ref="H4">IFERROR(INDEX(LMRRates,MATCH(E4,LMRCodes,0), ), )</f>
        <v>387</v>
      </c>
      <c r="I4" s="417" t="s">
        <v>2192</v>
      </c>
      <c r="J4" s="417" t="s">
        <v>2193</v>
      </c>
      <c r="K4" s="417">
        <v>200</v>
      </c>
      <c r="L4" s="417">
        <f t="array" ref="L4">IFERROR(INDEX(LMRRates,MATCH(I4,LMRCodes,0), ), )</f>
        <v>586</v>
      </c>
    </row>
    <row r="5" spans="1:12">
      <c r="A5" s="418" t="s">
        <v>714</v>
      </c>
      <c r="B5" s="419" t="s">
        <v>715</v>
      </c>
      <c r="C5" s="419">
        <v>180</v>
      </c>
      <c r="D5" s="419">
        <f t="shared" si="0"/>
        <v>787</v>
      </c>
      <c r="E5" s="420" t="s">
        <v>2194</v>
      </c>
      <c r="F5" s="420" t="s">
        <v>2195</v>
      </c>
      <c r="G5" s="420">
        <v>160</v>
      </c>
      <c r="H5" s="420">
        <f t="array" ref="H5">IFERROR(INDEX(LMRRates,MATCH(E5,LMRCodes,0), ), )</f>
        <v>617</v>
      </c>
      <c r="I5" s="420" t="s">
        <v>505</v>
      </c>
      <c r="J5" s="420" t="s">
        <v>506</v>
      </c>
      <c r="K5" s="420">
        <v>200</v>
      </c>
      <c r="L5" s="420">
        <f t="array" ref="L5">IFERROR(INDEX(LMRRates,MATCH(I5,LMRCodes,0), ), )</f>
        <v>957</v>
      </c>
    </row>
    <row r="6" spans="1:12">
      <c r="A6" s="416" t="s">
        <v>290</v>
      </c>
      <c r="B6" s="416" t="s">
        <v>291</v>
      </c>
      <c r="C6" s="416">
        <v>20</v>
      </c>
      <c r="D6" s="416">
        <f t="shared" si="0"/>
        <v>20</v>
      </c>
      <c r="E6" s="417" t="s">
        <v>2196</v>
      </c>
      <c r="F6" s="417" t="s">
        <v>2197</v>
      </c>
      <c r="G6" s="417">
        <v>50</v>
      </c>
      <c r="H6" s="417">
        <f t="array" ref="H6">IFERROR(INDEX(LMRRates,MATCH(E6,LMRCodes,0), ), )</f>
        <v>54</v>
      </c>
      <c r="I6" s="417" t="s">
        <v>2198</v>
      </c>
      <c r="J6" s="417" t="s">
        <v>2199</v>
      </c>
      <c r="K6" s="417">
        <v>63</v>
      </c>
      <c r="L6" s="417">
        <f t="array" ref="L6">IFERROR(INDEX(LMRRates,MATCH(I6,LMRCodes,0), ), )</f>
        <v>87</v>
      </c>
    </row>
    <row r="7" spans="1:12">
      <c r="A7" s="419" t="s">
        <v>294</v>
      </c>
      <c r="B7" s="419" t="s">
        <v>295</v>
      </c>
      <c r="C7" s="419">
        <v>32</v>
      </c>
      <c r="D7" s="419">
        <f t="shared" si="0"/>
        <v>20</v>
      </c>
      <c r="E7" s="420" t="s">
        <v>2196</v>
      </c>
      <c r="F7" s="420" t="s">
        <v>2197</v>
      </c>
      <c r="G7" s="420">
        <v>50</v>
      </c>
      <c r="H7" s="420">
        <f t="array" ref="H7">IFERROR(INDEX(LMRRates,MATCH(E7,LMRCodes,0), ), )</f>
        <v>54</v>
      </c>
      <c r="I7" s="420" t="s">
        <v>2198</v>
      </c>
      <c r="J7" s="420" t="s">
        <v>2199</v>
      </c>
      <c r="K7" s="420">
        <v>63</v>
      </c>
      <c r="L7" s="420">
        <f t="array" ref="L7">IFERROR(INDEX(LMRRates,MATCH(I7,LMRCodes,0), ), )</f>
        <v>87</v>
      </c>
    </row>
    <row r="8" spans="1:12">
      <c r="A8" s="416" t="s">
        <v>297</v>
      </c>
      <c r="B8" s="416" t="s">
        <v>298</v>
      </c>
      <c r="C8" s="416">
        <v>40</v>
      </c>
      <c r="D8" s="416">
        <f t="shared" si="0"/>
        <v>29</v>
      </c>
      <c r="E8" s="417" t="s">
        <v>2196</v>
      </c>
      <c r="F8" s="417" t="s">
        <v>2197</v>
      </c>
      <c r="G8" s="417">
        <v>50</v>
      </c>
      <c r="H8" s="417">
        <f t="array" ref="H8">IFERROR(INDEX(LMRRates,MATCH(E8,LMRCodes,0), ), )</f>
        <v>54</v>
      </c>
      <c r="I8" s="417" t="s">
        <v>2198</v>
      </c>
      <c r="J8" s="417" t="s">
        <v>2199</v>
      </c>
      <c r="K8" s="417">
        <v>63</v>
      </c>
      <c r="L8" s="417">
        <f t="array" ref="L8">IFERROR(INDEX(LMRRates,MATCH(I8,LMRCodes,0), ), )</f>
        <v>87</v>
      </c>
    </row>
  </sheetData>
  <mergeCells count="7">
    <mergeCell ref="A1:L1"/>
    <mergeCell ref="A2:A3"/>
    <mergeCell ref="B2:B3"/>
    <mergeCell ref="C2:C3"/>
    <mergeCell ref="D2:D3"/>
    <mergeCell ref="E2:H2"/>
    <mergeCell ref="I2:L2"/>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C990"/>
  <sheetViews>
    <sheetView workbookViewId="0"/>
  </sheetViews>
  <sheetFormatPr defaultColWidth="14.453125" defaultRowHeight="15" customHeight="1"/>
  <cols>
    <col min="1" max="1" width="9.81640625" customWidth="1"/>
    <col min="2" max="2" width="55" customWidth="1"/>
    <col min="3" max="3" width="10.81640625" customWidth="1"/>
  </cols>
  <sheetData>
    <row r="1" spans="1:3">
      <c r="A1" s="421" t="s">
        <v>2186</v>
      </c>
      <c r="B1" s="421" t="s">
        <v>2181</v>
      </c>
      <c r="C1" s="421" t="s">
        <v>7</v>
      </c>
    </row>
    <row r="2" spans="1:3">
      <c r="A2" s="422" t="s">
        <v>19</v>
      </c>
      <c r="B2" s="423" t="s">
        <v>2207</v>
      </c>
      <c r="C2" s="422">
        <f t="array" ref="C2">IFERROR(INDEX(MRRates,MATCH(A2,MRCodes,0), ), )</f>
        <v>281</v>
      </c>
    </row>
    <row r="3" spans="1:3">
      <c r="A3" s="422" t="s">
        <v>94</v>
      </c>
      <c r="B3" s="423" t="s">
        <v>95</v>
      </c>
      <c r="C3" s="422">
        <f t="array" ref="C3">IFERROR(INDEX(MRRates,MATCH(A3,MRCodes,0), ), )</f>
        <v>398</v>
      </c>
    </row>
    <row r="4" spans="1:3">
      <c r="A4" s="422" t="s">
        <v>173</v>
      </c>
      <c r="B4" s="423" t="s">
        <v>2189</v>
      </c>
      <c r="C4" s="422">
        <f t="array" ref="C4">IFERROR(INDEX(MRRates,MATCH(A4,MRCodes,0), ), )</f>
        <v>387</v>
      </c>
    </row>
    <row r="5" spans="1:3">
      <c r="A5" s="422" t="s">
        <v>311</v>
      </c>
      <c r="B5" s="423" t="s">
        <v>313</v>
      </c>
      <c r="C5" s="422">
        <f t="array" ref="C5">IFERROR(INDEX(MRRates,MATCH(A5,MRCodes,0), ), )</f>
        <v>654</v>
      </c>
    </row>
    <row r="6" spans="1:3">
      <c r="A6" s="422" t="s">
        <v>436</v>
      </c>
      <c r="B6" s="423" t="s">
        <v>437</v>
      </c>
      <c r="C6" s="422">
        <f t="array" ref="C6">IFERROR(INDEX(MRRates,MATCH(A6,MRCodes,0), ), )</f>
        <v>813</v>
      </c>
    </row>
    <row r="7" spans="1:3">
      <c r="A7" s="422" t="s">
        <v>505</v>
      </c>
      <c r="B7" s="423" t="s">
        <v>506</v>
      </c>
      <c r="C7" s="422">
        <f t="array" ref="C7">IFERROR(INDEX(MRRates,MATCH(A7,MRCodes,0), ), )</f>
        <v>957</v>
      </c>
    </row>
    <row r="8" spans="1:3">
      <c r="A8" s="422" t="s">
        <v>541</v>
      </c>
      <c r="B8" s="423" t="s">
        <v>542</v>
      </c>
      <c r="C8" s="422">
        <f t="array" ref="C8">IFERROR(INDEX(MRRates,MATCH(A8,MRCodes,0), ), )</f>
        <v>180</v>
      </c>
    </row>
    <row r="9" spans="1:3">
      <c r="A9" s="422" t="s">
        <v>639</v>
      </c>
      <c r="B9" s="423" t="s">
        <v>640</v>
      </c>
      <c r="C9" s="422">
        <f t="array" ref="C9">IFERROR(INDEX(MRRates,MATCH(A9,MRCodes,0), ), )</f>
        <v>480</v>
      </c>
    </row>
    <row r="10" spans="1:3">
      <c r="A10" s="422" t="s">
        <v>2208</v>
      </c>
      <c r="B10" s="423" t="s">
        <v>2209</v>
      </c>
      <c r="C10" s="422">
        <f t="array" ref="C10">IFERROR(INDEX(MRRates,MATCH(A10,MRCodes,0), ), )</f>
        <v>6553</v>
      </c>
    </row>
    <row r="11" spans="1:3">
      <c r="A11" s="424" t="s">
        <v>1009</v>
      </c>
      <c r="B11" s="423" t="s">
        <v>2210</v>
      </c>
      <c r="C11" s="422">
        <f t="array" ref="C11">IFERROR(INDEX(MRRates,MATCH(A11,MRCodes,0), ), )</f>
        <v>64</v>
      </c>
    </row>
    <row r="12" spans="1:3">
      <c r="A12" s="422" t="s">
        <v>1645</v>
      </c>
      <c r="B12" s="423" t="s">
        <v>1646</v>
      </c>
      <c r="C12" s="422">
        <f t="array" ref="C12">IFERROR(INDEX(MRRates,MATCH(A12,MRCodes,0), ), )</f>
        <v>52</v>
      </c>
    </row>
    <row r="13" spans="1:3">
      <c r="A13" s="422" t="s">
        <v>1675</v>
      </c>
      <c r="B13" s="423" t="s">
        <v>1677</v>
      </c>
      <c r="C13" s="422">
        <f t="array" ref="C13">IFERROR(INDEX(MRRates,MATCH(A13,MRCodes,0), ), )</f>
        <v>160</v>
      </c>
    </row>
    <row r="14" spans="1:3">
      <c r="A14" s="422" t="s">
        <v>1691</v>
      </c>
      <c r="B14" s="423" t="s">
        <v>1692</v>
      </c>
      <c r="C14" s="422">
        <f t="array" ref="C14">IFERROR(INDEX(MRRates,MATCH(A14,MRCodes,0), ), )</f>
        <v>185</v>
      </c>
    </row>
    <row r="15" spans="1:3">
      <c r="A15" s="422" t="s">
        <v>1710</v>
      </c>
      <c r="B15" s="423" t="s">
        <v>1711</v>
      </c>
      <c r="C15" s="422">
        <f t="array" ref="C15">IFERROR(INDEX(MRRates,MATCH(A15,MRCodes,0), ), )</f>
        <v>211</v>
      </c>
    </row>
    <row r="16" spans="1:3">
      <c r="A16" s="422" t="s">
        <v>1719</v>
      </c>
      <c r="B16" s="423" t="s">
        <v>1720</v>
      </c>
      <c r="C16" s="422">
        <f t="array" ref="C16">IFERROR(INDEX(MRRates,MATCH(A16,MRCodes,0), ), )</f>
        <v>340</v>
      </c>
    </row>
    <row r="17" spans="1:3">
      <c r="A17" s="422" t="s">
        <v>1725</v>
      </c>
      <c r="B17" s="423" t="s">
        <v>1726</v>
      </c>
      <c r="C17" s="422">
        <f t="array" ref="C17">IFERROR(INDEX(MRRates,MATCH(A17,MRCodes,0), ), )</f>
        <v>893</v>
      </c>
    </row>
    <row r="18" spans="1:3">
      <c r="A18" s="422" t="s">
        <v>1737</v>
      </c>
      <c r="B18" s="423" t="s">
        <v>1738</v>
      </c>
      <c r="C18" s="422">
        <f t="array" ref="C18">IFERROR(INDEX(MRRates,MATCH(A18,MRCodes,0), ), )</f>
        <v>1000</v>
      </c>
    </row>
    <row r="19" spans="1:3">
      <c r="A19" s="422" t="s">
        <v>1772</v>
      </c>
      <c r="B19" s="423" t="s">
        <v>1908</v>
      </c>
      <c r="C19" s="422">
        <f t="array" ref="C19">IFERROR(INDEX(MRRates,MATCH(A19,MRCodes,0), ), )</f>
        <v>128</v>
      </c>
    </row>
    <row r="20" spans="1:3">
      <c r="A20" s="422" t="s">
        <v>1887</v>
      </c>
      <c r="B20" s="423" t="s">
        <v>1889</v>
      </c>
      <c r="C20" s="422">
        <f t="array" ref="C20">IFERROR(INDEX(MRRates,MATCH(A20,MRCodes,0), ), )</f>
        <v>97</v>
      </c>
    </row>
    <row r="21" spans="1:3">
      <c r="A21" s="422" t="s">
        <v>1897</v>
      </c>
      <c r="B21" s="423" t="s">
        <v>1898</v>
      </c>
      <c r="C21" s="422">
        <f t="array" ref="C21">IFERROR(INDEX(MRRates,MATCH(A21,MRCodes,0), ), )</f>
        <v>195</v>
      </c>
    </row>
    <row r="22" spans="1:3">
      <c r="A22" s="422" t="s">
        <v>2111</v>
      </c>
      <c r="B22" s="423" t="s">
        <v>2214</v>
      </c>
      <c r="C22" s="422">
        <f t="array" ref="C22">IFERROR(INDEX(MRRates,MATCH(A22,MRCodes,0), ), )</f>
        <v>875</v>
      </c>
    </row>
    <row r="23" spans="1:3">
      <c r="A23" s="422" t="s">
        <v>2121</v>
      </c>
      <c r="B23" s="423" t="s">
        <v>2215</v>
      </c>
      <c r="C23" s="422">
        <f t="array" ref="C23">IFERROR(INDEX(MRRates,MATCH(A23,MRCodes,0), ), )</f>
        <v>1228</v>
      </c>
    </row>
    <row r="24" spans="1:3">
      <c r="A24" s="425" t="s">
        <v>2216</v>
      </c>
      <c r="B24" s="423" t="s">
        <v>2217</v>
      </c>
      <c r="C24" s="422">
        <f t="array" ref="C24">IFERROR(INDEX(MRRates,MATCH(A24,MRCodes,0), ), )</f>
        <v>720</v>
      </c>
    </row>
    <row r="25" spans="1:3">
      <c r="A25" s="426" t="s">
        <v>2194</v>
      </c>
      <c r="B25" s="423" t="s">
        <v>2217</v>
      </c>
      <c r="C25" s="422">
        <f t="array" ref="C25">IFERROR(INDEX(MRRates,MATCH(A25,MRCodes,0), ), )</f>
        <v>617</v>
      </c>
    </row>
    <row r="26" spans="1:3">
      <c r="A26" s="426" t="s">
        <v>2196</v>
      </c>
      <c r="B26" s="427" t="s">
        <v>2197</v>
      </c>
      <c r="C26" s="422">
        <f t="array" ref="C26">IFERROR(INDEX(MRRates,MATCH(A26,MRCodes,0), ), )</f>
        <v>54</v>
      </c>
    </row>
    <row r="27" spans="1:3">
      <c r="A27" s="426" t="s">
        <v>2198</v>
      </c>
      <c r="B27" s="427" t="s">
        <v>2199</v>
      </c>
      <c r="C27" s="422">
        <f t="array" ref="C27">IFERROR(INDEX(MRRates,MATCH(A27,MRCodes,0), ), )</f>
        <v>87</v>
      </c>
    </row>
    <row r="28" spans="1:3">
      <c r="A28" s="426" t="s">
        <v>2192</v>
      </c>
      <c r="B28" s="427" t="s">
        <v>2193</v>
      </c>
      <c r="C28" s="422">
        <f t="array" ref="C28">IFERROR(INDEX(MRRates,MATCH(A28,MRCodes,0), ), )</f>
        <v>586</v>
      </c>
    </row>
    <row r="29" spans="1:3">
      <c r="A29" s="426" t="s">
        <v>817</v>
      </c>
      <c r="B29" s="427" t="s">
        <v>818</v>
      </c>
      <c r="C29" s="422">
        <f t="array" ref="C29">IFERROR(INDEX(MRRates,MATCH(A29,MRCodes,0), ), )</f>
        <v>6553</v>
      </c>
    </row>
    <row r="30" spans="1:3">
      <c r="B30" s="428"/>
      <c r="C30" s="428"/>
    </row>
    <row r="31" spans="1:3">
      <c r="B31" s="428"/>
      <c r="C31" s="428"/>
    </row>
    <row r="32" spans="1:3">
      <c r="B32" s="428"/>
      <c r="C32" s="428"/>
    </row>
    <row r="33" spans="2:3">
      <c r="B33" s="428"/>
      <c r="C33" s="428"/>
    </row>
    <row r="34" spans="2:3">
      <c r="B34" s="428"/>
      <c r="C34" s="428"/>
    </row>
    <row r="35" spans="2:3">
      <c r="B35" s="428"/>
      <c r="C35" s="428"/>
    </row>
    <row r="36" spans="2:3">
      <c r="B36" s="428"/>
      <c r="C36" s="428"/>
    </row>
    <row r="37" spans="2:3">
      <c r="B37" s="428"/>
      <c r="C37" s="428"/>
    </row>
    <row r="38" spans="2:3">
      <c r="B38" s="428"/>
      <c r="C38" s="428"/>
    </row>
    <row r="39" spans="2:3">
      <c r="B39" s="428"/>
      <c r="C39" s="428"/>
    </row>
    <row r="40" spans="2:3">
      <c r="B40" s="428"/>
      <c r="C40" s="428"/>
    </row>
    <row r="41" spans="2:3">
      <c r="B41" s="428"/>
      <c r="C41" s="428"/>
    </row>
    <row r="42" spans="2:3">
      <c r="B42" s="428"/>
      <c r="C42" s="428"/>
    </row>
    <row r="43" spans="2:3">
      <c r="B43" s="428"/>
      <c r="C43" s="428"/>
    </row>
    <row r="44" spans="2:3">
      <c r="B44" s="428"/>
      <c r="C44" s="428"/>
    </row>
    <row r="45" spans="2:3">
      <c r="B45" s="428"/>
      <c r="C45" s="428"/>
    </row>
    <row r="46" spans="2:3">
      <c r="B46" s="428"/>
      <c r="C46" s="428"/>
    </row>
    <row r="47" spans="2:3">
      <c r="B47" s="428"/>
      <c r="C47" s="428"/>
    </row>
    <row r="48" spans="2:3">
      <c r="B48" s="428"/>
      <c r="C48" s="428"/>
    </row>
    <row r="49" spans="2:3">
      <c r="B49" s="428"/>
      <c r="C49" s="428"/>
    </row>
    <row r="50" spans="2:3">
      <c r="B50" s="428"/>
      <c r="C50" s="428"/>
    </row>
    <row r="51" spans="2:3">
      <c r="B51" s="428"/>
      <c r="C51" s="428"/>
    </row>
    <row r="52" spans="2:3">
      <c r="B52" s="428"/>
      <c r="C52" s="428"/>
    </row>
    <row r="53" spans="2:3">
      <c r="B53" s="428"/>
      <c r="C53" s="428"/>
    </row>
    <row r="54" spans="2:3">
      <c r="B54" s="428"/>
      <c r="C54" s="428"/>
    </row>
    <row r="55" spans="2:3">
      <c r="B55" s="428"/>
      <c r="C55" s="428"/>
    </row>
    <row r="56" spans="2:3">
      <c r="B56" s="428"/>
      <c r="C56" s="428"/>
    </row>
    <row r="57" spans="2:3">
      <c r="B57" s="428"/>
      <c r="C57" s="428"/>
    </row>
    <row r="58" spans="2:3">
      <c r="B58" s="428"/>
      <c r="C58" s="428"/>
    </row>
    <row r="59" spans="2:3">
      <c r="B59" s="428"/>
      <c r="C59" s="428"/>
    </row>
    <row r="60" spans="2:3">
      <c r="B60" s="428"/>
      <c r="C60" s="428"/>
    </row>
    <row r="61" spans="2:3">
      <c r="B61" s="428"/>
      <c r="C61" s="428"/>
    </row>
    <row r="62" spans="2:3">
      <c r="B62" s="428"/>
      <c r="C62" s="428"/>
    </row>
    <row r="63" spans="2:3">
      <c r="B63" s="428"/>
      <c r="C63" s="428"/>
    </row>
    <row r="64" spans="2:3">
      <c r="B64" s="428"/>
      <c r="C64" s="428"/>
    </row>
    <row r="65" spans="2:3">
      <c r="B65" s="428"/>
      <c r="C65" s="428"/>
    </row>
    <row r="66" spans="2:3">
      <c r="B66" s="428"/>
      <c r="C66" s="428"/>
    </row>
    <row r="67" spans="2:3">
      <c r="B67" s="428"/>
      <c r="C67" s="428"/>
    </row>
    <row r="68" spans="2:3">
      <c r="B68" s="428"/>
      <c r="C68" s="428"/>
    </row>
    <row r="69" spans="2:3">
      <c r="B69" s="428"/>
      <c r="C69" s="428"/>
    </row>
    <row r="70" spans="2:3">
      <c r="B70" s="428"/>
      <c r="C70" s="428"/>
    </row>
    <row r="71" spans="2:3">
      <c r="B71" s="428"/>
      <c r="C71" s="428"/>
    </row>
    <row r="72" spans="2:3">
      <c r="B72" s="428"/>
      <c r="C72" s="428"/>
    </row>
    <row r="73" spans="2:3">
      <c r="B73" s="428"/>
      <c r="C73" s="428"/>
    </row>
    <row r="74" spans="2:3">
      <c r="B74" s="428"/>
      <c r="C74" s="428"/>
    </row>
    <row r="75" spans="2:3">
      <c r="B75" s="428"/>
      <c r="C75" s="428"/>
    </row>
    <row r="76" spans="2:3">
      <c r="B76" s="428"/>
      <c r="C76" s="428"/>
    </row>
    <row r="77" spans="2:3">
      <c r="B77" s="428"/>
      <c r="C77" s="428"/>
    </row>
    <row r="78" spans="2:3">
      <c r="B78" s="428"/>
      <c r="C78" s="428"/>
    </row>
    <row r="79" spans="2:3">
      <c r="B79" s="428"/>
      <c r="C79" s="428"/>
    </row>
    <row r="80" spans="2:3">
      <c r="B80" s="428"/>
      <c r="C80" s="428"/>
    </row>
    <row r="81" spans="2:3">
      <c r="B81" s="428"/>
      <c r="C81" s="428"/>
    </row>
    <row r="82" spans="2:3">
      <c r="B82" s="428"/>
      <c r="C82" s="428"/>
    </row>
    <row r="83" spans="2:3">
      <c r="B83" s="428"/>
      <c r="C83" s="428"/>
    </row>
    <row r="84" spans="2:3">
      <c r="B84" s="428"/>
      <c r="C84" s="428"/>
    </row>
    <row r="85" spans="2:3">
      <c r="B85" s="428"/>
      <c r="C85" s="428"/>
    </row>
    <row r="86" spans="2:3">
      <c r="B86" s="428"/>
      <c r="C86" s="428"/>
    </row>
    <row r="87" spans="2:3">
      <c r="B87" s="428"/>
      <c r="C87" s="428"/>
    </row>
    <row r="88" spans="2:3">
      <c r="B88" s="428"/>
      <c r="C88" s="428"/>
    </row>
    <row r="89" spans="2:3">
      <c r="B89" s="428"/>
      <c r="C89" s="428"/>
    </row>
    <row r="90" spans="2:3">
      <c r="B90" s="428"/>
      <c r="C90" s="428"/>
    </row>
    <row r="91" spans="2:3">
      <c r="B91" s="428"/>
      <c r="C91" s="428"/>
    </row>
    <row r="92" spans="2:3">
      <c r="B92" s="428"/>
      <c r="C92" s="428"/>
    </row>
    <row r="93" spans="2:3">
      <c r="B93" s="428"/>
      <c r="C93" s="428"/>
    </row>
    <row r="94" spans="2:3">
      <c r="B94" s="428"/>
      <c r="C94" s="428"/>
    </row>
    <row r="95" spans="2:3">
      <c r="B95" s="428"/>
      <c r="C95" s="428"/>
    </row>
    <row r="96" spans="2:3">
      <c r="B96" s="428"/>
      <c r="C96" s="428"/>
    </row>
    <row r="97" spans="2:3">
      <c r="B97" s="428"/>
      <c r="C97" s="428"/>
    </row>
    <row r="98" spans="2:3">
      <c r="B98" s="428"/>
      <c r="C98" s="428"/>
    </row>
    <row r="99" spans="2:3">
      <c r="B99" s="428"/>
      <c r="C99" s="428"/>
    </row>
    <row r="100" spans="2:3">
      <c r="B100" s="428"/>
      <c r="C100" s="428"/>
    </row>
    <row r="101" spans="2:3">
      <c r="B101" s="428"/>
      <c r="C101" s="428"/>
    </row>
    <row r="102" spans="2:3">
      <c r="B102" s="428"/>
      <c r="C102" s="428"/>
    </row>
    <row r="103" spans="2:3">
      <c r="B103" s="428"/>
      <c r="C103" s="428"/>
    </row>
    <row r="104" spans="2:3">
      <c r="B104" s="428"/>
      <c r="C104" s="428"/>
    </row>
    <row r="105" spans="2:3">
      <c r="B105" s="428"/>
      <c r="C105" s="428"/>
    </row>
    <row r="106" spans="2:3">
      <c r="B106" s="428"/>
      <c r="C106" s="428"/>
    </row>
    <row r="107" spans="2:3">
      <c r="B107" s="428"/>
      <c r="C107" s="428"/>
    </row>
    <row r="108" spans="2:3">
      <c r="B108" s="428"/>
      <c r="C108" s="428"/>
    </row>
    <row r="109" spans="2:3">
      <c r="B109" s="428"/>
      <c r="C109" s="428"/>
    </row>
    <row r="110" spans="2:3">
      <c r="B110" s="428"/>
      <c r="C110" s="428"/>
    </row>
    <row r="111" spans="2:3">
      <c r="B111" s="428"/>
      <c r="C111" s="428"/>
    </row>
    <row r="112" spans="2:3">
      <c r="B112" s="428"/>
      <c r="C112" s="428"/>
    </row>
    <row r="113" spans="2:3">
      <c r="B113" s="428"/>
      <c r="C113" s="428"/>
    </row>
    <row r="114" spans="2:3">
      <c r="B114" s="428"/>
      <c r="C114" s="428"/>
    </row>
    <row r="115" spans="2:3">
      <c r="B115" s="428"/>
      <c r="C115" s="428"/>
    </row>
    <row r="116" spans="2:3">
      <c r="B116" s="428"/>
      <c r="C116" s="428"/>
    </row>
    <row r="117" spans="2:3">
      <c r="B117" s="428"/>
      <c r="C117" s="428"/>
    </row>
    <row r="118" spans="2:3">
      <c r="B118" s="428"/>
      <c r="C118" s="428"/>
    </row>
    <row r="119" spans="2:3">
      <c r="B119" s="428"/>
      <c r="C119" s="428"/>
    </row>
    <row r="120" spans="2:3">
      <c r="B120" s="428"/>
      <c r="C120" s="428"/>
    </row>
    <row r="121" spans="2:3">
      <c r="B121" s="428"/>
      <c r="C121" s="428"/>
    </row>
    <row r="122" spans="2:3">
      <c r="B122" s="428"/>
      <c r="C122" s="428"/>
    </row>
    <row r="123" spans="2:3">
      <c r="B123" s="428"/>
      <c r="C123" s="428"/>
    </row>
    <row r="124" spans="2:3">
      <c r="B124" s="428"/>
      <c r="C124" s="428"/>
    </row>
    <row r="125" spans="2:3">
      <c r="B125" s="428"/>
      <c r="C125" s="428"/>
    </row>
    <row r="126" spans="2:3">
      <c r="B126" s="428"/>
      <c r="C126" s="428"/>
    </row>
    <row r="127" spans="2:3">
      <c r="B127" s="428"/>
      <c r="C127" s="428"/>
    </row>
    <row r="128" spans="2:3">
      <c r="B128" s="428"/>
      <c r="C128" s="428"/>
    </row>
    <row r="129" spans="2:3">
      <c r="B129" s="428"/>
      <c r="C129" s="428"/>
    </row>
    <row r="130" spans="2:3">
      <c r="B130" s="428"/>
      <c r="C130" s="428"/>
    </row>
    <row r="131" spans="2:3">
      <c r="B131" s="428"/>
      <c r="C131" s="428"/>
    </row>
    <row r="132" spans="2:3">
      <c r="B132" s="428"/>
      <c r="C132" s="428"/>
    </row>
    <row r="133" spans="2:3">
      <c r="B133" s="428"/>
      <c r="C133" s="428"/>
    </row>
    <row r="134" spans="2:3">
      <c r="B134" s="428"/>
      <c r="C134" s="428"/>
    </row>
    <row r="135" spans="2:3">
      <c r="B135" s="428"/>
      <c r="C135" s="428"/>
    </row>
    <row r="136" spans="2:3">
      <c r="B136" s="428"/>
      <c r="C136" s="428"/>
    </row>
    <row r="137" spans="2:3">
      <c r="B137" s="428"/>
      <c r="C137" s="428"/>
    </row>
    <row r="138" spans="2:3">
      <c r="B138" s="428"/>
      <c r="C138" s="428"/>
    </row>
    <row r="139" spans="2:3">
      <c r="B139" s="428"/>
      <c r="C139" s="428"/>
    </row>
    <row r="140" spans="2:3">
      <c r="B140" s="428"/>
      <c r="C140" s="428"/>
    </row>
    <row r="141" spans="2:3">
      <c r="B141" s="428"/>
      <c r="C141" s="428"/>
    </row>
    <row r="142" spans="2:3">
      <c r="B142" s="428"/>
      <c r="C142" s="428"/>
    </row>
    <row r="143" spans="2:3">
      <c r="B143" s="428"/>
      <c r="C143" s="428"/>
    </row>
    <row r="144" spans="2:3">
      <c r="B144" s="428"/>
      <c r="C144" s="428"/>
    </row>
    <row r="145" spans="2:3">
      <c r="B145" s="428"/>
      <c r="C145" s="428"/>
    </row>
    <row r="146" spans="2:3">
      <c r="B146" s="428"/>
      <c r="C146" s="428"/>
    </row>
    <row r="147" spans="2:3">
      <c r="B147" s="428"/>
      <c r="C147" s="428"/>
    </row>
    <row r="148" spans="2:3">
      <c r="B148" s="428"/>
      <c r="C148" s="428"/>
    </row>
    <row r="149" spans="2:3">
      <c r="B149" s="428"/>
      <c r="C149" s="428"/>
    </row>
    <row r="150" spans="2:3">
      <c r="B150" s="428"/>
      <c r="C150" s="428"/>
    </row>
    <row r="151" spans="2:3">
      <c r="B151" s="428"/>
      <c r="C151" s="428"/>
    </row>
    <row r="152" spans="2:3">
      <c r="B152" s="428"/>
      <c r="C152" s="428"/>
    </row>
    <row r="153" spans="2:3">
      <c r="B153" s="428"/>
      <c r="C153" s="428"/>
    </row>
    <row r="154" spans="2:3">
      <c r="B154" s="428"/>
      <c r="C154" s="428"/>
    </row>
    <row r="155" spans="2:3">
      <c r="B155" s="428"/>
      <c r="C155" s="428"/>
    </row>
    <row r="156" spans="2:3">
      <c r="B156" s="428"/>
      <c r="C156" s="428"/>
    </row>
    <row r="157" spans="2:3">
      <c r="B157" s="428"/>
      <c r="C157" s="428"/>
    </row>
    <row r="158" spans="2:3">
      <c r="B158" s="428"/>
      <c r="C158" s="428"/>
    </row>
    <row r="159" spans="2:3">
      <c r="B159" s="428"/>
      <c r="C159" s="428"/>
    </row>
    <row r="160" spans="2:3">
      <c r="B160" s="428"/>
      <c r="C160" s="428"/>
    </row>
    <row r="161" spans="2:3">
      <c r="B161" s="428"/>
      <c r="C161" s="428"/>
    </row>
    <row r="162" spans="2:3">
      <c r="B162" s="428"/>
      <c r="C162" s="428"/>
    </row>
    <row r="163" spans="2:3">
      <c r="B163" s="428"/>
      <c r="C163" s="428"/>
    </row>
    <row r="164" spans="2:3">
      <c r="B164" s="428"/>
      <c r="C164" s="428"/>
    </row>
    <row r="165" spans="2:3">
      <c r="B165" s="428"/>
      <c r="C165" s="428"/>
    </row>
    <row r="166" spans="2:3">
      <c r="B166" s="428"/>
      <c r="C166" s="428"/>
    </row>
    <row r="167" spans="2:3">
      <c r="B167" s="428"/>
      <c r="C167" s="428"/>
    </row>
    <row r="168" spans="2:3">
      <c r="B168" s="428"/>
      <c r="C168" s="428"/>
    </row>
    <row r="169" spans="2:3">
      <c r="B169" s="428"/>
      <c r="C169" s="428"/>
    </row>
    <row r="170" spans="2:3">
      <c r="B170" s="428"/>
      <c r="C170" s="428"/>
    </row>
    <row r="171" spans="2:3">
      <c r="B171" s="428"/>
      <c r="C171" s="428"/>
    </row>
    <row r="172" spans="2:3">
      <c r="B172" s="428"/>
      <c r="C172" s="428"/>
    </row>
    <row r="173" spans="2:3">
      <c r="B173" s="428"/>
      <c r="C173" s="428"/>
    </row>
    <row r="174" spans="2:3">
      <c r="B174" s="428"/>
      <c r="C174" s="428"/>
    </row>
    <row r="175" spans="2:3">
      <c r="B175" s="428"/>
      <c r="C175" s="428"/>
    </row>
    <row r="176" spans="2:3">
      <c r="B176" s="428"/>
      <c r="C176" s="428"/>
    </row>
    <row r="177" spans="2:3">
      <c r="B177" s="428"/>
      <c r="C177" s="428"/>
    </row>
    <row r="178" spans="2:3">
      <c r="B178" s="428"/>
      <c r="C178" s="428"/>
    </row>
    <row r="179" spans="2:3">
      <c r="B179" s="428"/>
      <c r="C179" s="428"/>
    </row>
    <row r="180" spans="2:3">
      <c r="B180" s="428"/>
      <c r="C180" s="428"/>
    </row>
    <row r="181" spans="2:3">
      <c r="B181" s="428"/>
      <c r="C181" s="428"/>
    </row>
    <row r="182" spans="2:3">
      <c r="B182" s="428"/>
      <c r="C182" s="428"/>
    </row>
    <row r="183" spans="2:3">
      <c r="B183" s="428"/>
      <c r="C183" s="428"/>
    </row>
    <row r="184" spans="2:3">
      <c r="B184" s="428"/>
      <c r="C184" s="428"/>
    </row>
    <row r="185" spans="2:3">
      <c r="B185" s="428"/>
      <c r="C185" s="428"/>
    </row>
    <row r="186" spans="2:3">
      <c r="B186" s="428"/>
      <c r="C186" s="428"/>
    </row>
    <row r="187" spans="2:3">
      <c r="B187" s="428"/>
      <c r="C187" s="428"/>
    </row>
    <row r="188" spans="2:3">
      <c r="B188" s="428"/>
      <c r="C188" s="428"/>
    </row>
    <row r="189" spans="2:3">
      <c r="B189" s="428"/>
      <c r="C189" s="428"/>
    </row>
    <row r="190" spans="2:3">
      <c r="B190" s="428"/>
      <c r="C190" s="428"/>
    </row>
    <row r="191" spans="2:3">
      <c r="B191" s="428"/>
      <c r="C191" s="428"/>
    </row>
    <row r="192" spans="2:3">
      <c r="B192" s="428"/>
      <c r="C192" s="428"/>
    </row>
    <row r="193" spans="2:3">
      <c r="B193" s="428"/>
      <c r="C193" s="428"/>
    </row>
    <row r="194" spans="2:3">
      <c r="B194" s="428"/>
      <c r="C194" s="428"/>
    </row>
    <row r="195" spans="2:3">
      <c r="B195" s="428"/>
      <c r="C195" s="428"/>
    </row>
    <row r="196" spans="2:3">
      <c r="B196" s="428"/>
      <c r="C196" s="428"/>
    </row>
    <row r="197" spans="2:3">
      <c r="B197" s="428"/>
      <c r="C197" s="428"/>
    </row>
    <row r="198" spans="2:3">
      <c r="B198" s="428"/>
      <c r="C198" s="428"/>
    </row>
    <row r="199" spans="2:3">
      <c r="B199" s="428"/>
      <c r="C199" s="428"/>
    </row>
    <row r="200" spans="2:3">
      <c r="B200" s="428"/>
      <c r="C200" s="428"/>
    </row>
    <row r="201" spans="2:3">
      <c r="B201" s="428"/>
      <c r="C201" s="428"/>
    </row>
    <row r="202" spans="2:3">
      <c r="B202" s="428"/>
      <c r="C202" s="428"/>
    </row>
    <row r="203" spans="2:3">
      <c r="B203" s="428"/>
      <c r="C203" s="428"/>
    </row>
    <row r="204" spans="2:3">
      <c r="B204" s="428"/>
      <c r="C204" s="428"/>
    </row>
    <row r="205" spans="2:3">
      <c r="B205" s="428"/>
      <c r="C205" s="428"/>
    </row>
    <row r="206" spans="2:3">
      <c r="B206" s="428"/>
      <c r="C206" s="428"/>
    </row>
    <row r="207" spans="2:3">
      <c r="B207" s="428"/>
      <c r="C207" s="428"/>
    </row>
    <row r="208" spans="2:3">
      <c r="B208" s="428"/>
      <c r="C208" s="428"/>
    </row>
    <row r="209" spans="2:3">
      <c r="B209" s="428"/>
      <c r="C209" s="428"/>
    </row>
    <row r="210" spans="2:3">
      <c r="B210" s="428"/>
      <c r="C210" s="428"/>
    </row>
    <row r="211" spans="2:3">
      <c r="B211" s="428"/>
      <c r="C211" s="428"/>
    </row>
    <row r="212" spans="2:3">
      <c r="B212" s="428"/>
      <c r="C212" s="428"/>
    </row>
    <row r="213" spans="2:3">
      <c r="B213" s="428"/>
      <c r="C213" s="428"/>
    </row>
    <row r="214" spans="2:3">
      <c r="B214" s="428"/>
      <c r="C214" s="428"/>
    </row>
    <row r="215" spans="2:3">
      <c r="B215" s="428"/>
      <c r="C215" s="428"/>
    </row>
    <row r="216" spans="2:3">
      <c r="B216" s="428"/>
      <c r="C216" s="428"/>
    </row>
    <row r="217" spans="2:3">
      <c r="B217" s="428"/>
      <c r="C217" s="428"/>
    </row>
    <row r="218" spans="2:3">
      <c r="B218" s="428"/>
      <c r="C218" s="428"/>
    </row>
    <row r="219" spans="2:3">
      <c r="B219" s="428"/>
      <c r="C219" s="428"/>
    </row>
    <row r="220" spans="2:3">
      <c r="B220" s="428"/>
      <c r="C220" s="428"/>
    </row>
    <row r="221" spans="2:3">
      <c r="B221" s="428"/>
      <c r="C221" s="428"/>
    </row>
    <row r="222" spans="2:3">
      <c r="B222" s="428"/>
      <c r="C222" s="428"/>
    </row>
    <row r="223" spans="2:3">
      <c r="B223" s="428"/>
      <c r="C223" s="428"/>
    </row>
    <row r="224" spans="2:3">
      <c r="B224" s="428"/>
      <c r="C224" s="428"/>
    </row>
    <row r="225" spans="2:3">
      <c r="B225" s="428"/>
      <c r="C225" s="428"/>
    </row>
    <row r="226" spans="2:3">
      <c r="B226" s="428"/>
      <c r="C226" s="428"/>
    </row>
    <row r="227" spans="2:3">
      <c r="B227" s="428"/>
      <c r="C227" s="428"/>
    </row>
    <row r="228" spans="2:3">
      <c r="B228" s="428"/>
      <c r="C228" s="428"/>
    </row>
    <row r="229" spans="2:3">
      <c r="B229" s="428"/>
      <c r="C229" s="428"/>
    </row>
    <row r="230" spans="2:3">
      <c r="B230" s="428"/>
      <c r="C230" s="428"/>
    </row>
    <row r="231" spans="2:3">
      <c r="B231" s="428"/>
      <c r="C231" s="428"/>
    </row>
    <row r="232" spans="2:3">
      <c r="B232" s="428"/>
      <c r="C232" s="428"/>
    </row>
    <row r="233" spans="2:3">
      <c r="B233" s="428"/>
      <c r="C233" s="428"/>
    </row>
    <row r="234" spans="2:3">
      <c r="B234" s="428"/>
      <c r="C234" s="428"/>
    </row>
    <row r="235" spans="2:3">
      <c r="B235" s="428"/>
      <c r="C235" s="428"/>
    </row>
    <row r="236" spans="2:3">
      <c r="B236" s="428"/>
      <c r="C236" s="428"/>
    </row>
    <row r="237" spans="2:3">
      <c r="B237" s="428"/>
      <c r="C237" s="428"/>
    </row>
    <row r="238" spans="2:3">
      <c r="B238" s="428"/>
      <c r="C238" s="428"/>
    </row>
    <row r="239" spans="2:3">
      <c r="B239" s="428"/>
      <c r="C239" s="428"/>
    </row>
    <row r="240" spans="2:3">
      <c r="B240" s="428"/>
      <c r="C240" s="428"/>
    </row>
    <row r="241" spans="2:3">
      <c r="B241" s="428"/>
      <c r="C241" s="428"/>
    </row>
    <row r="242" spans="2:3">
      <c r="B242" s="428"/>
      <c r="C242" s="428"/>
    </row>
    <row r="243" spans="2:3">
      <c r="B243" s="428"/>
      <c r="C243" s="428"/>
    </row>
    <row r="244" spans="2:3">
      <c r="B244" s="428"/>
      <c r="C244" s="428"/>
    </row>
    <row r="245" spans="2:3">
      <c r="B245" s="428"/>
      <c r="C245" s="428"/>
    </row>
    <row r="246" spans="2:3">
      <c r="B246" s="428"/>
      <c r="C246" s="428"/>
    </row>
    <row r="247" spans="2:3">
      <c r="B247" s="428"/>
      <c r="C247" s="428"/>
    </row>
    <row r="248" spans="2:3">
      <c r="B248" s="428"/>
      <c r="C248" s="428"/>
    </row>
    <row r="249" spans="2:3">
      <c r="B249" s="428"/>
      <c r="C249" s="428"/>
    </row>
    <row r="250" spans="2:3">
      <c r="B250" s="428"/>
      <c r="C250" s="428"/>
    </row>
    <row r="251" spans="2:3">
      <c r="B251" s="428"/>
      <c r="C251" s="428"/>
    </row>
    <row r="252" spans="2:3">
      <c r="B252" s="428"/>
      <c r="C252" s="428"/>
    </row>
    <row r="253" spans="2:3">
      <c r="B253" s="428"/>
      <c r="C253" s="428"/>
    </row>
    <row r="254" spans="2:3">
      <c r="B254" s="428"/>
      <c r="C254" s="428"/>
    </row>
    <row r="255" spans="2:3">
      <c r="B255" s="428"/>
      <c r="C255" s="428"/>
    </row>
    <row r="256" spans="2:3">
      <c r="B256" s="428"/>
      <c r="C256" s="428"/>
    </row>
    <row r="257" spans="2:3">
      <c r="B257" s="428"/>
      <c r="C257" s="428"/>
    </row>
    <row r="258" spans="2:3">
      <c r="B258" s="428"/>
      <c r="C258" s="428"/>
    </row>
    <row r="259" spans="2:3">
      <c r="B259" s="428"/>
      <c r="C259" s="428"/>
    </row>
    <row r="260" spans="2:3">
      <c r="B260" s="428"/>
      <c r="C260" s="428"/>
    </row>
    <row r="261" spans="2:3">
      <c r="B261" s="428"/>
      <c r="C261" s="428"/>
    </row>
    <row r="262" spans="2:3">
      <c r="B262" s="428"/>
      <c r="C262" s="428"/>
    </row>
    <row r="263" spans="2:3">
      <c r="B263" s="428"/>
      <c r="C263" s="428"/>
    </row>
    <row r="264" spans="2:3">
      <c r="B264" s="428"/>
      <c r="C264" s="428"/>
    </row>
    <row r="265" spans="2:3">
      <c r="B265" s="428"/>
      <c r="C265" s="428"/>
    </row>
    <row r="266" spans="2:3">
      <c r="B266" s="428"/>
      <c r="C266" s="428"/>
    </row>
    <row r="267" spans="2:3">
      <c r="B267" s="428"/>
      <c r="C267" s="428"/>
    </row>
    <row r="268" spans="2:3">
      <c r="B268" s="428"/>
      <c r="C268" s="428"/>
    </row>
    <row r="269" spans="2:3">
      <c r="B269" s="428"/>
      <c r="C269" s="428"/>
    </row>
    <row r="270" spans="2:3">
      <c r="B270" s="428"/>
      <c r="C270" s="428"/>
    </row>
    <row r="271" spans="2:3">
      <c r="B271" s="428"/>
      <c r="C271" s="428"/>
    </row>
    <row r="272" spans="2:3">
      <c r="B272" s="428"/>
      <c r="C272" s="428"/>
    </row>
    <row r="273" spans="2:3">
      <c r="B273" s="428"/>
      <c r="C273" s="428"/>
    </row>
    <row r="274" spans="2:3">
      <c r="B274" s="428"/>
      <c r="C274" s="428"/>
    </row>
    <row r="275" spans="2:3">
      <c r="B275" s="428"/>
      <c r="C275" s="428"/>
    </row>
    <row r="276" spans="2:3">
      <c r="B276" s="428"/>
      <c r="C276" s="428"/>
    </row>
    <row r="277" spans="2:3">
      <c r="B277" s="428"/>
      <c r="C277" s="428"/>
    </row>
    <row r="278" spans="2:3">
      <c r="B278" s="428"/>
      <c r="C278" s="428"/>
    </row>
    <row r="279" spans="2:3">
      <c r="B279" s="428"/>
      <c r="C279" s="428"/>
    </row>
    <row r="280" spans="2:3">
      <c r="B280" s="428"/>
      <c r="C280" s="428"/>
    </row>
    <row r="281" spans="2:3">
      <c r="B281" s="428"/>
      <c r="C281" s="428"/>
    </row>
    <row r="282" spans="2:3">
      <c r="B282" s="428"/>
      <c r="C282" s="428"/>
    </row>
    <row r="283" spans="2:3">
      <c r="B283" s="428"/>
      <c r="C283" s="428"/>
    </row>
    <row r="284" spans="2:3">
      <c r="B284" s="428"/>
      <c r="C284" s="428"/>
    </row>
    <row r="285" spans="2:3">
      <c r="B285" s="428"/>
      <c r="C285" s="428"/>
    </row>
    <row r="286" spans="2:3">
      <c r="B286" s="428"/>
      <c r="C286" s="428"/>
    </row>
    <row r="287" spans="2:3">
      <c r="B287" s="428"/>
      <c r="C287" s="428"/>
    </row>
    <row r="288" spans="2:3">
      <c r="B288" s="428"/>
      <c r="C288" s="428"/>
    </row>
    <row r="289" spans="2:3">
      <c r="B289" s="428"/>
      <c r="C289" s="428"/>
    </row>
    <row r="290" spans="2:3">
      <c r="B290" s="428"/>
      <c r="C290" s="428"/>
    </row>
    <row r="291" spans="2:3">
      <c r="B291" s="428"/>
      <c r="C291" s="428"/>
    </row>
    <row r="292" spans="2:3">
      <c r="B292" s="428"/>
      <c r="C292" s="428"/>
    </row>
    <row r="293" spans="2:3">
      <c r="B293" s="428"/>
      <c r="C293" s="428"/>
    </row>
    <row r="294" spans="2:3">
      <c r="B294" s="428"/>
      <c r="C294" s="428"/>
    </row>
    <row r="295" spans="2:3">
      <c r="B295" s="428"/>
      <c r="C295" s="428"/>
    </row>
    <row r="296" spans="2:3">
      <c r="B296" s="428"/>
      <c r="C296" s="428"/>
    </row>
    <row r="297" spans="2:3">
      <c r="B297" s="428"/>
      <c r="C297" s="428"/>
    </row>
    <row r="298" spans="2:3">
      <c r="B298" s="428"/>
      <c r="C298" s="428"/>
    </row>
    <row r="299" spans="2:3">
      <c r="B299" s="428"/>
      <c r="C299" s="428"/>
    </row>
    <row r="300" spans="2:3">
      <c r="B300" s="428"/>
      <c r="C300" s="428"/>
    </row>
    <row r="301" spans="2:3">
      <c r="B301" s="428"/>
      <c r="C301" s="428"/>
    </row>
    <row r="302" spans="2:3">
      <c r="B302" s="428"/>
      <c r="C302" s="428"/>
    </row>
    <row r="303" spans="2:3">
      <c r="B303" s="428"/>
      <c r="C303" s="428"/>
    </row>
    <row r="304" spans="2:3">
      <c r="B304" s="428"/>
      <c r="C304" s="428"/>
    </row>
    <row r="305" spans="2:3">
      <c r="B305" s="428"/>
      <c r="C305" s="428"/>
    </row>
    <row r="306" spans="2:3">
      <c r="B306" s="428"/>
      <c r="C306" s="428"/>
    </row>
    <row r="307" spans="2:3">
      <c r="B307" s="428"/>
      <c r="C307" s="428"/>
    </row>
    <row r="308" spans="2:3">
      <c r="B308" s="428"/>
      <c r="C308" s="428"/>
    </row>
    <row r="309" spans="2:3">
      <c r="B309" s="428"/>
      <c r="C309" s="428"/>
    </row>
    <row r="310" spans="2:3">
      <c r="B310" s="428"/>
      <c r="C310" s="428"/>
    </row>
    <row r="311" spans="2:3">
      <c r="B311" s="428"/>
      <c r="C311" s="428"/>
    </row>
    <row r="312" spans="2:3">
      <c r="B312" s="428"/>
      <c r="C312" s="428"/>
    </row>
    <row r="313" spans="2:3">
      <c r="B313" s="428"/>
      <c r="C313" s="428"/>
    </row>
    <row r="314" spans="2:3">
      <c r="B314" s="428"/>
      <c r="C314" s="428"/>
    </row>
    <row r="315" spans="2:3">
      <c r="B315" s="428"/>
      <c r="C315" s="428"/>
    </row>
    <row r="316" spans="2:3">
      <c r="B316" s="428"/>
      <c r="C316" s="428"/>
    </row>
    <row r="317" spans="2:3">
      <c r="B317" s="428"/>
      <c r="C317" s="428"/>
    </row>
    <row r="318" spans="2:3">
      <c r="B318" s="428"/>
      <c r="C318" s="428"/>
    </row>
    <row r="319" spans="2:3">
      <c r="B319" s="428"/>
      <c r="C319" s="428"/>
    </row>
    <row r="320" spans="2:3">
      <c r="B320" s="428"/>
      <c r="C320" s="428"/>
    </row>
    <row r="321" spans="2:3">
      <c r="B321" s="428"/>
      <c r="C321" s="428"/>
    </row>
    <row r="322" spans="2:3">
      <c r="B322" s="428"/>
      <c r="C322" s="428"/>
    </row>
    <row r="323" spans="2:3">
      <c r="B323" s="428"/>
      <c r="C323" s="428"/>
    </row>
    <row r="324" spans="2:3">
      <c r="B324" s="428"/>
      <c r="C324" s="428"/>
    </row>
    <row r="325" spans="2:3">
      <c r="B325" s="428"/>
      <c r="C325" s="428"/>
    </row>
    <row r="326" spans="2:3">
      <c r="B326" s="428"/>
      <c r="C326" s="428"/>
    </row>
    <row r="327" spans="2:3">
      <c r="B327" s="428"/>
      <c r="C327" s="428"/>
    </row>
    <row r="328" spans="2:3">
      <c r="B328" s="428"/>
      <c r="C328" s="428"/>
    </row>
    <row r="329" spans="2:3">
      <c r="B329" s="428"/>
      <c r="C329" s="428"/>
    </row>
    <row r="330" spans="2:3">
      <c r="B330" s="428"/>
      <c r="C330" s="428"/>
    </row>
    <row r="331" spans="2:3">
      <c r="B331" s="428"/>
      <c r="C331" s="428"/>
    </row>
    <row r="332" spans="2:3">
      <c r="B332" s="428"/>
      <c r="C332" s="428"/>
    </row>
    <row r="333" spans="2:3">
      <c r="B333" s="428"/>
      <c r="C333" s="428"/>
    </row>
    <row r="334" spans="2:3">
      <c r="B334" s="428"/>
      <c r="C334" s="428"/>
    </row>
    <row r="335" spans="2:3">
      <c r="B335" s="428"/>
      <c r="C335" s="428"/>
    </row>
    <row r="336" spans="2:3">
      <c r="B336" s="428"/>
      <c r="C336" s="428"/>
    </row>
    <row r="337" spans="2:3">
      <c r="B337" s="428"/>
      <c r="C337" s="428"/>
    </row>
    <row r="338" spans="2:3">
      <c r="B338" s="428"/>
      <c r="C338" s="428"/>
    </row>
    <row r="339" spans="2:3">
      <c r="B339" s="428"/>
      <c r="C339" s="428"/>
    </row>
    <row r="340" spans="2:3">
      <c r="B340" s="428"/>
      <c r="C340" s="428"/>
    </row>
    <row r="341" spans="2:3">
      <c r="B341" s="428"/>
      <c r="C341" s="428"/>
    </row>
    <row r="342" spans="2:3">
      <c r="B342" s="428"/>
      <c r="C342" s="428"/>
    </row>
    <row r="343" spans="2:3">
      <c r="B343" s="428"/>
      <c r="C343" s="428"/>
    </row>
    <row r="344" spans="2:3">
      <c r="B344" s="428"/>
      <c r="C344" s="428"/>
    </row>
    <row r="345" spans="2:3">
      <c r="B345" s="428"/>
      <c r="C345" s="428"/>
    </row>
    <row r="346" spans="2:3">
      <c r="B346" s="428"/>
      <c r="C346" s="428"/>
    </row>
    <row r="347" spans="2:3">
      <c r="B347" s="428"/>
      <c r="C347" s="428"/>
    </row>
    <row r="348" spans="2:3">
      <c r="B348" s="428"/>
      <c r="C348" s="428"/>
    </row>
    <row r="349" spans="2:3">
      <c r="B349" s="428"/>
      <c r="C349" s="428"/>
    </row>
    <row r="350" spans="2:3">
      <c r="B350" s="428"/>
      <c r="C350" s="428"/>
    </row>
    <row r="351" spans="2:3">
      <c r="B351" s="428"/>
      <c r="C351" s="428"/>
    </row>
    <row r="352" spans="2:3">
      <c r="B352" s="428"/>
      <c r="C352" s="428"/>
    </row>
    <row r="353" spans="2:3">
      <c r="B353" s="428"/>
      <c r="C353" s="428"/>
    </row>
    <row r="354" spans="2:3">
      <c r="B354" s="428"/>
      <c r="C354" s="428"/>
    </row>
    <row r="355" spans="2:3">
      <c r="B355" s="428"/>
      <c r="C355" s="428"/>
    </row>
    <row r="356" spans="2:3">
      <c r="B356" s="428"/>
      <c r="C356" s="428"/>
    </row>
    <row r="357" spans="2:3">
      <c r="B357" s="428"/>
      <c r="C357" s="428"/>
    </row>
    <row r="358" spans="2:3">
      <c r="B358" s="428"/>
      <c r="C358" s="428"/>
    </row>
    <row r="359" spans="2:3">
      <c r="B359" s="428"/>
      <c r="C359" s="428"/>
    </row>
    <row r="360" spans="2:3">
      <c r="B360" s="428"/>
      <c r="C360" s="428"/>
    </row>
    <row r="361" spans="2:3">
      <c r="B361" s="428"/>
      <c r="C361" s="428"/>
    </row>
    <row r="362" spans="2:3">
      <c r="B362" s="428"/>
      <c r="C362" s="428"/>
    </row>
    <row r="363" spans="2:3">
      <c r="B363" s="428"/>
      <c r="C363" s="428"/>
    </row>
    <row r="364" spans="2:3">
      <c r="B364" s="428"/>
      <c r="C364" s="428"/>
    </row>
    <row r="365" spans="2:3">
      <c r="B365" s="428"/>
      <c r="C365" s="428"/>
    </row>
    <row r="366" spans="2:3">
      <c r="B366" s="428"/>
      <c r="C366" s="428"/>
    </row>
    <row r="367" spans="2:3">
      <c r="B367" s="428"/>
      <c r="C367" s="428"/>
    </row>
    <row r="368" spans="2:3">
      <c r="B368" s="428"/>
      <c r="C368" s="428"/>
    </row>
    <row r="369" spans="2:3">
      <c r="B369" s="428"/>
      <c r="C369" s="428"/>
    </row>
    <row r="370" spans="2:3">
      <c r="B370" s="428"/>
      <c r="C370" s="428"/>
    </row>
    <row r="371" spans="2:3">
      <c r="B371" s="428"/>
      <c r="C371" s="428"/>
    </row>
    <row r="372" spans="2:3">
      <c r="B372" s="428"/>
      <c r="C372" s="428"/>
    </row>
    <row r="373" spans="2:3">
      <c r="B373" s="428"/>
      <c r="C373" s="428"/>
    </row>
    <row r="374" spans="2:3">
      <c r="B374" s="428"/>
      <c r="C374" s="428"/>
    </row>
    <row r="375" spans="2:3">
      <c r="B375" s="428"/>
      <c r="C375" s="428"/>
    </row>
    <row r="376" spans="2:3">
      <c r="B376" s="428"/>
      <c r="C376" s="428"/>
    </row>
    <row r="377" spans="2:3">
      <c r="B377" s="428"/>
      <c r="C377" s="428"/>
    </row>
    <row r="378" spans="2:3">
      <c r="B378" s="428"/>
      <c r="C378" s="428"/>
    </row>
    <row r="379" spans="2:3">
      <c r="B379" s="428"/>
      <c r="C379" s="428"/>
    </row>
    <row r="380" spans="2:3">
      <c r="B380" s="428"/>
      <c r="C380" s="428"/>
    </row>
    <row r="381" spans="2:3">
      <c r="B381" s="428"/>
      <c r="C381" s="428"/>
    </row>
    <row r="382" spans="2:3">
      <c r="B382" s="428"/>
      <c r="C382" s="428"/>
    </row>
    <row r="383" spans="2:3">
      <c r="B383" s="428"/>
      <c r="C383" s="428"/>
    </row>
    <row r="384" spans="2:3">
      <c r="B384" s="428"/>
      <c r="C384" s="428"/>
    </row>
    <row r="385" spans="2:3">
      <c r="B385" s="428"/>
      <c r="C385" s="428"/>
    </row>
    <row r="386" spans="2:3">
      <c r="B386" s="428"/>
      <c r="C386" s="428"/>
    </row>
    <row r="387" spans="2:3">
      <c r="B387" s="428"/>
      <c r="C387" s="428"/>
    </row>
    <row r="388" spans="2:3">
      <c r="B388" s="428"/>
      <c r="C388" s="428"/>
    </row>
    <row r="389" spans="2:3">
      <c r="B389" s="428"/>
      <c r="C389" s="428"/>
    </row>
    <row r="390" spans="2:3">
      <c r="B390" s="428"/>
      <c r="C390" s="428"/>
    </row>
    <row r="391" spans="2:3">
      <c r="B391" s="428"/>
      <c r="C391" s="428"/>
    </row>
    <row r="392" spans="2:3">
      <c r="B392" s="428"/>
      <c r="C392" s="428"/>
    </row>
    <row r="393" spans="2:3">
      <c r="B393" s="428"/>
      <c r="C393" s="428"/>
    </row>
    <row r="394" spans="2:3">
      <c r="B394" s="428"/>
      <c r="C394" s="428"/>
    </row>
    <row r="395" spans="2:3">
      <c r="B395" s="428"/>
      <c r="C395" s="428"/>
    </row>
    <row r="396" spans="2:3">
      <c r="B396" s="428"/>
      <c r="C396" s="428"/>
    </row>
    <row r="397" spans="2:3">
      <c r="B397" s="428"/>
      <c r="C397" s="428"/>
    </row>
    <row r="398" spans="2:3">
      <c r="B398" s="428"/>
      <c r="C398" s="428"/>
    </row>
    <row r="399" spans="2:3">
      <c r="B399" s="428"/>
      <c r="C399" s="428"/>
    </row>
    <row r="400" spans="2:3">
      <c r="B400" s="428"/>
      <c r="C400" s="428"/>
    </row>
    <row r="401" spans="2:3">
      <c r="B401" s="428"/>
      <c r="C401" s="428"/>
    </row>
    <row r="402" spans="2:3">
      <c r="B402" s="428"/>
      <c r="C402" s="428"/>
    </row>
    <row r="403" spans="2:3">
      <c r="B403" s="428"/>
      <c r="C403" s="428"/>
    </row>
    <row r="404" spans="2:3">
      <c r="B404" s="428"/>
      <c r="C404" s="428"/>
    </row>
    <row r="405" spans="2:3">
      <c r="B405" s="428"/>
      <c r="C405" s="428"/>
    </row>
    <row r="406" spans="2:3">
      <c r="B406" s="428"/>
      <c r="C406" s="428"/>
    </row>
    <row r="407" spans="2:3">
      <c r="B407" s="428"/>
      <c r="C407" s="428"/>
    </row>
    <row r="408" spans="2:3">
      <c r="B408" s="428"/>
      <c r="C408" s="428"/>
    </row>
    <row r="409" spans="2:3">
      <c r="B409" s="428"/>
      <c r="C409" s="428"/>
    </row>
    <row r="410" spans="2:3">
      <c r="B410" s="428"/>
      <c r="C410" s="428"/>
    </row>
    <row r="411" spans="2:3">
      <c r="B411" s="428"/>
      <c r="C411" s="428"/>
    </row>
    <row r="412" spans="2:3">
      <c r="B412" s="428"/>
      <c r="C412" s="428"/>
    </row>
    <row r="413" spans="2:3">
      <c r="B413" s="428"/>
      <c r="C413" s="428"/>
    </row>
    <row r="414" spans="2:3">
      <c r="B414" s="428"/>
      <c r="C414" s="428"/>
    </row>
    <row r="415" spans="2:3">
      <c r="B415" s="428"/>
      <c r="C415" s="428"/>
    </row>
    <row r="416" spans="2:3">
      <c r="B416" s="428"/>
      <c r="C416" s="428"/>
    </row>
    <row r="417" spans="2:3">
      <c r="B417" s="428"/>
      <c r="C417" s="428"/>
    </row>
    <row r="418" spans="2:3">
      <c r="B418" s="428"/>
      <c r="C418" s="428"/>
    </row>
    <row r="419" spans="2:3">
      <c r="B419" s="428"/>
      <c r="C419" s="428"/>
    </row>
    <row r="420" spans="2:3">
      <c r="B420" s="428"/>
      <c r="C420" s="428"/>
    </row>
    <row r="421" spans="2:3">
      <c r="B421" s="428"/>
      <c r="C421" s="428"/>
    </row>
    <row r="422" spans="2:3">
      <c r="B422" s="428"/>
      <c r="C422" s="428"/>
    </row>
    <row r="423" spans="2:3">
      <c r="B423" s="428"/>
      <c r="C423" s="428"/>
    </row>
    <row r="424" spans="2:3">
      <c r="B424" s="428"/>
      <c r="C424" s="428"/>
    </row>
    <row r="425" spans="2:3">
      <c r="B425" s="428"/>
      <c r="C425" s="428"/>
    </row>
    <row r="426" spans="2:3">
      <c r="B426" s="428"/>
      <c r="C426" s="428"/>
    </row>
    <row r="427" spans="2:3">
      <c r="B427" s="428"/>
      <c r="C427" s="428"/>
    </row>
    <row r="428" spans="2:3">
      <c r="B428" s="428"/>
      <c r="C428" s="428"/>
    </row>
    <row r="429" spans="2:3">
      <c r="B429" s="428"/>
      <c r="C429" s="428"/>
    </row>
    <row r="430" spans="2:3">
      <c r="B430" s="428"/>
      <c r="C430" s="428"/>
    </row>
    <row r="431" spans="2:3">
      <c r="B431" s="428"/>
      <c r="C431" s="428"/>
    </row>
    <row r="432" spans="2:3">
      <c r="B432" s="428"/>
      <c r="C432" s="428"/>
    </row>
    <row r="433" spans="2:3">
      <c r="B433" s="428"/>
      <c r="C433" s="428"/>
    </row>
    <row r="434" spans="2:3">
      <c r="B434" s="428"/>
      <c r="C434" s="428"/>
    </row>
    <row r="435" spans="2:3">
      <c r="B435" s="428"/>
      <c r="C435" s="428"/>
    </row>
    <row r="436" spans="2:3">
      <c r="B436" s="428"/>
      <c r="C436" s="428"/>
    </row>
    <row r="437" spans="2:3">
      <c r="B437" s="428"/>
      <c r="C437" s="428"/>
    </row>
    <row r="438" spans="2:3">
      <c r="B438" s="428"/>
      <c r="C438" s="428"/>
    </row>
    <row r="439" spans="2:3">
      <c r="B439" s="428"/>
      <c r="C439" s="428"/>
    </row>
    <row r="440" spans="2:3">
      <c r="B440" s="428"/>
      <c r="C440" s="428"/>
    </row>
    <row r="441" spans="2:3">
      <c r="B441" s="428"/>
      <c r="C441" s="428"/>
    </row>
    <row r="442" spans="2:3">
      <c r="B442" s="428"/>
      <c r="C442" s="428"/>
    </row>
    <row r="443" spans="2:3">
      <c r="B443" s="428"/>
      <c r="C443" s="428"/>
    </row>
    <row r="444" spans="2:3">
      <c r="B444" s="428"/>
      <c r="C444" s="428"/>
    </row>
    <row r="445" spans="2:3">
      <c r="B445" s="428"/>
      <c r="C445" s="428"/>
    </row>
    <row r="446" spans="2:3">
      <c r="B446" s="428"/>
      <c r="C446" s="428"/>
    </row>
    <row r="447" spans="2:3">
      <c r="B447" s="428"/>
      <c r="C447" s="428"/>
    </row>
    <row r="448" spans="2:3">
      <c r="B448" s="428"/>
      <c r="C448" s="428"/>
    </row>
    <row r="449" spans="2:3">
      <c r="B449" s="428"/>
      <c r="C449" s="428"/>
    </row>
    <row r="450" spans="2:3">
      <c r="B450" s="428"/>
      <c r="C450" s="428"/>
    </row>
    <row r="451" spans="2:3">
      <c r="B451" s="428"/>
      <c r="C451" s="428"/>
    </row>
    <row r="452" spans="2:3">
      <c r="B452" s="428"/>
      <c r="C452" s="428"/>
    </row>
    <row r="453" spans="2:3">
      <c r="B453" s="428"/>
      <c r="C453" s="428"/>
    </row>
    <row r="454" spans="2:3">
      <c r="B454" s="428"/>
      <c r="C454" s="428"/>
    </row>
    <row r="455" spans="2:3">
      <c r="B455" s="428"/>
      <c r="C455" s="428"/>
    </row>
    <row r="456" spans="2:3">
      <c r="B456" s="428"/>
      <c r="C456" s="428"/>
    </row>
    <row r="457" spans="2:3">
      <c r="B457" s="428"/>
      <c r="C457" s="428"/>
    </row>
    <row r="458" spans="2:3">
      <c r="B458" s="428"/>
      <c r="C458" s="428"/>
    </row>
    <row r="459" spans="2:3">
      <c r="B459" s="428"/>
      <c r="C459" s="428"/>
    </row>
    <row r="460" spans="2:3">
      <c r="B460" s="428"/>
      <c r="C460" s="428"/>
    </row>
    <row r="461" spans="2:3">
      <c r="B461" s="428"/>
      <c r="C461" s="428"/>
    </row>
    <row r="462" spans="2:3">
      <c r="B462" s="428"/>
      <c r="C462" s="428"/>
    </row>
    <row r="463" spans="2:3">
      <c r="B463" s="428"/>
      <c r="C463" s="428"/>
    </row>
    <row r="464" spans="2:3">
      <c r="B464" s="428"/>
      <c r="C464" s="428"/>
    </row>
    <row r="465" spans="2:3">
      <c r="B465" s="428"/>
      <c r="C465" s="428"/>
    </row>
    <row r="466" spans="2:3">
      <c r="B466" s="428"/>
      <c r="C466" s="428"/>
    </row>
    <row r="467" spans="2:3">
      <c r="B467" s="428"/>
      <c r="C467" s="428"/>
    </row>
    <row r="468" spans="2:3">
      <c r="B468" s="428"/>
      <c r="C468" s="428"/>
    </row>
    <row r="469" spans="2:3">
      <c r="B469" s="428"/>
      <c r="C469" s="428"/>
    </row>
    <row r="470" spans="2:3">
      <c r="B470" s="428"/>
      <c r="C470" s="428"/>
    </row>
    <row r="471" spans="2:3">
      <c r="B471" s="428"/>
      <c r="C471" s="428"/>
    </row>
    <row r="472" spans="2:3">
      <c r="B472" s="428"/>
      <c r="C472" s="428"/>
    </row>
    <row r="473" spans="2:3">
      <c r="B473" s="428"/>
      <c r="C473" s="428"/>
    </row>
    <row r="474" spans="2:3">
      <c r="B474" s="428"/>
      <c r="C474" s="428"/>
    </row>
    <row r="475" spans="2:3">
      <c r="B475" s="428"/>
      <c r="C475" s="428"/>
    </row>
    <row r="476" spans="2:3">
      <c r="B476" s="428"/>
      <c r="C476" s="428"/>
    </row>
    <row r="477" spans="2:3">
      <c r="B477" s="428"/>
      <c r="C477" s="428"/>
    </row>
    <row r="478" spans="2:3">
      <c r="B478" s="428"/>
      <c r="C478" s="428"/>
    </row>
    <row r="479" spans="2:3">
      <c r="B479" s="428"/>
      <c r="C479" s="428"/>
    </row>
    <row r="480" spans="2:3">
      <c r="B480" s="428"/>
      <c r="C480" s="428"/>
    </row>
    <row r="481" spans="2:3">
      <c r="B481" s="428"/>
      <c r="C481" s="428"/>
    </row>
    <row r="482" spans="2:3">
      <c r="B482" s="428"/>
      <c r="C482" s="428"/>
    </row>
    <row r="483" spans="2:3">
      <c r="B483" s="428"/>
      <c r="C483" s="428"/>
    </row>
    <row r="484" spans="2:3">
      <c r="B484" s="428"/>
      <c r="C484" s="428"/>
    </row>
    <row r="485" spans="2:3">
      <c r="B485" s="428"/>
      <c r="C485" s="428"/>
    </row>
    <row r="486" spans="2:3">
      <c r="B486" s="428"/>
      <c r="C486" s="428"/>
    </row>
    <row r="487" spans="2:3">
      <c r="B487" s="428"/>
      <c r="C487" s="428"/>
    </row>
    <row r="488" spans="2:3">
      <c r="B488" s="428"/>
      <c r="C488" s="428"/>
    </row>
    <row r="489" spans="2:3">
      <c r="B489" s="428"/>
      <c r="C489" s="428"/>
    </row>
    <row r="490" spans="2:3">
      <c r="B490" s="428"/>
      <c r="C490" s="428"/>
    </row>
    <row r="491" spans="2:3">
      <c r="B491" s="428"/>
      <c r="C491" s="428"/>
    </row>
    <row r="492" spans="2:3">
      <c r="B492" s="428"/>
      <c r="C492" s="428"/>
    </row>
    <row r="493" spans="2:3">
      <c r="B493" s="428"/>
      <c r="C493" s="428"/>
    </row>
    <row r="494" spans="2:3">
      <c r="B494" s="428"/>
      <c r="C494" s="428"/>
    </row>
    <row r="495" spans="2:3">
      <c r="B495" s="428"/>
      <c r="C495" s="428"/>
    </row>
    <row r="496" spans="2:3">
      <c r="B496" s="428"/>
      <c r="C496" s="428"/>
    </row>
    <row r="497" spans="2:3">
      <c r="B497" s="428"/>
      <c r="C497" s="428"/>
    </row>
    <row r="498" spans="2:3">
      <c r="B498" s="428"/>
      <c r="C498" s="428"/>
    </row>
    <row r="499" spans="2:3">
      <c r="B499" s="428"/>
      <c r="C499" s="428"/>
    </row>
    <row r="500" spans="2:3">
      <c r="B500" s="428"/>
      <c r="C500" s="428"/>
    </row>
    <row r="501" spans="2:3">
      <c r="B501" s="428"/>
      <c r="C501" s="428"/>
    </row>
    <row r="502" spans="2:3">
      <c r="B502" s="428"/>
      <c r="C502" s="428"/>
    </row>
    <row r="503" spans="2:3">
      <c r="B503" s="428"/>
      <c r="C503" s="428"/>
    </row>
    <row r="504" spans="2:3">
      <c r="B504" s="428"/>
      <c r="C504" s="428"/>
    </row>
    <row r="505" spans="2:3">
      <c r="B505" s="428"/>
      <c r="C505" s="428"/>
    </row>
    <row r="506" spans="2:3">
      <c r="B506" s="428"/>
      <c r="C506" s="428"/>
    </row>
    <row r="507" spans="2:3">
      <c r="B507" s="428"/>
      <c r="C507" s="428"/>
    </row>
    <row r="508" spans="2:3">
      <c r="B508" s="428"/>
      <c r="C508" s="428"/>
    </row>
    <row r="509" spans="2:3">
      <c r="B509" s="428"/>
      <c r="C509" s="428"/>
    </row>
    <row r="510" spans="2:3">
      <c r="B510" s="428"/>
      <c r="C510" s="428"/>
    </row>
    <row r="511" spans="2:3">
      <c r="B511" s="428"/>
      <c r="C511" s="428"/>
    </row>
    <row r="512" spans="2:3">
      <c r="B512" s="428"/>
      <c r="C512" s="428"/>
    </row>
    <row r="513" spans="2:3">
      <c r="B513" s="428"/>
      <c r="C513" s="428"/>
    </row>
    <row r="514" spans="2:3">
      <c r="B514" s="428"/>
      <c r="C514" s="428"/>
    </row>
    <row r="515" spans="2:3">
      <c r="B515" s="428"/>
      <c r="C515" s="428"/>
    </row>
    <row r="516" spans="2:3">
      <c r="B516" s="428"/>
      <c r="C516" s="428"/>
    </row>
    <row r="517" spans="2:3">
      <c r="B517" s="428"/>
      <c r="C517" s="428"/>
    </row>
    <row r="518" spans="2:3">
      <c r="B518" s="428"/>
      <c r="C518" s="428"/>
    </row>
    <row r="519" spans="2:3">
      <c r="B519" s="428"/>
      <c r="C519" s="428"/>
    </row>
    <row r="520" spans="2:3">
      <c r="B520" s="428"/>
      <c r="C520" s="428"/>
    </row>
    <row r="521" spans="2:3">
      <c r="B521" s="428"/>
      <c r="C521" s="428"/>
    </row>
    <row r="522" spans="2:3">
      <c r="B522" s="428"/>
      <c r="C522" s="428"/>
    </row>
    <row r="523" spans="2:3">
      <c r="B523" s="428"/>
      <c r="C523" s="428"/>
    </row>
    <row r="524" spans="2:3">
      <c r="B524" s="428"/>
      <c r="C524" s="428"/>
    </row>
    <row r="525" spans="2:3">
      <c r="B525" s="428"/>
      <c r="C525" s="428"/>
    </row>
    <row r="526" spans="2:3">
      <c r="B526" s="428"/>
      <c r="C526" s="428"/>
    </row>
    <row r="527" spans="2:3">
      <c r="B527" s="428"/>
      <c r="C527" s="428"/>
    </row>
    <row r="528" spans="2:3">
      <c r="B528" s="428"/>
      <c r="C528" s="428"/>
    </row>
    <row r="529" spans="2:3">
      <c r="B529" s="428"/>
      <c r="C529" s="428"/>
    </row>
    <row r="530" spans="2:3">
      <c r="B530" s="428"/>
      <c r="C530" s="428"/>
    </row>
    <row r="531" spans="2:3">
      <c r="B531" s="428"/>
      <c r="C531" s="428"/>
    </row>
    <row r="532" spans="2:3">
      <c r="B532" s="428"/>
      <c r="C532" s="428"/>
    </row>
    <row r="533" spans="2:3">
      <c r="B533" s="428"/>
      <c r="C533" s="428"/>
    </row>
    <row r="534" spans="2:3">
      <c r="B534" s="428"/>
      <c r="C534" s="428"/>
    </row>
    <row r="535" spans="2:3">
      <c r="B535" s="428"/>
      <c r="C535" s="428"/>
    </row>
    <row r="536" spans="2:3">
      <c r="B536" s="428"/>
      <c r="C536" s="428"/>
    </row>
    <row r="537" spans="2:3">
      <c r="B537" s="428"/>
      <c r="C537" s="428"/>
    </row>
    <row r="538" spans="2:3">
      <c r="B538" s="428"/>
      <c r="C538" s="428"/>
    </row>
    <row r="539" spans="2:3">
      <c r="B539" s="428"/>
      <c r="C539" s="428"/>
    </row>
    <row r="540" spans="2:3">
      <c r="B540" s="428"/>
      <c r="C540" s="428"/>
    </row>
    <row r="541" spans="2:3">
      <c r="B541" s="428"/>
      <c r="C541" s="428"/>
    </row>
    <row r="542" spans="2:3">
      <c r="B542" s="428"/>
      <c r="C542" s="428"/>
    </row>
    <row r="543" spans="2:3">
      <c r="B543" s="428"/>
      <c r="C543" s="428"/>
    </row>
    <row r="544" spans="2:3">
      <c r="B544" s="428"/>
      <c r="C544" s="428"/>
    </row>
    <row r="545" spans="2:3">
      <c r="B545" s="428"/>
      <c r="C545" s="428"/>
    </row>
    <row r="546" spans="2:3">
      <c r="B546" s="428"/>
      <c r="C546" s="428"/>
    </row>
    <row r="547" spans="2:3">
      <c r="B547" s="428"/>
      <c r="C547" s="428"/>
    </row>
    <row r="548" spans="2:3">
      <c r="B548" s="428"/>
      <c r="C548" s="428"/>
    </row>
    <row r="549" spans="2:3">
      <c r="B549" s="428"/>
      <c r="C549" s="428"/>
    </row>
    <row r="550" spans="2:3">
      <c r="B550" s="428"/>
      <c r="C550" s="428"/>
    </row>
    <row r="551" spans="2:3">
      <c r="B551" s="428"/>
      <c r="C551" s="428"/>
    </row>
    <row r="552" spans="2:3">
      <c r="B552" s="428"/>
      <c r="C552" s="428"/>
    </row>
    <row r="553" spans="2:3">
      <c r="B553" s="428"/>
      <c r="C553" s="428"/>
    </row>
    <row r="554" spans="2:3">
      <c r="B554" s="428"/>
      <c r="C554" s="428"/>
    </row>
    <row r="555" spans="2:3">
      <c r="B555" s="428"/>
      <c r="C555" s="428"/>
    </row>
    <row r="556" spans="2:3">
      <c r="B556" s="428"/>
      <c r="C556" s="428"/>
    </row>
    <row r="557" spans="2:3">
      <c r="B557" s="428"/>
      <c r="C557" s="428"/>
    </row>
    <row r="558" spans="2:3">
      <c r="B558" s="428"/>
      <c r="C558" s="428"/>
    </row>
    <row r="559" spans="2:3">
      <c r="B559" s="428"/>
      <c r="C559" s="428"/>
    </row>
    <row r="560" spans="2:3">
      <c r="B560" s="428"/>
      <c r="C560" s="428"/>
    </row>
    <row r="561" spans="2:3">
      <c r="B561" s="428"/>
      <c r="C561" s="428"/>
    </row>
    <row r="562" spans="2:3">
      <c r="B562" s="428"/>
      <c r="C562" s="428"/>
    </row>
    <row r="563" spans="2:3">
      <c r="B563" s="428"/>
      <c r="C563" s="428"/>
    </row>
    <row r="564" spans="2:3">
      <c r="B564" s="428"/>
      <c r="C564" s="428"/>
    </row>
    <row r="565" spans="2:3">
      <c r="B565" s="428"/>
      <c r="C565" s="428"/>
    </row>
    <row r="566" spans="2:3">
      <c r="B566" s="428"/>
      <c r="C566" s="428"/>
    </row>
    <row r="567" spans="2:3">
      <c r="B567" s="428"/>
      <c r="C567" s="428"/>
    </row>
    <row r="568" spans="2:3">
      <c r="B568" s="428"/>
      <c r="C568" s="428"/>
    </row>
    <row r="569" spans="2:3">
      <c r="B569" s="428"/>
      <c r="C569" s="428"/>
    </row>
    <row r="570" spans="2:3">
      <c r="B570" s="428"/>
      <c r="C570" s="428"/>
    </row>
    <row r="571" spans="2:3">
      <c r="B571" s="428"/>
      <c r="C571" s="428"/>
    </row>
    <row r="572" spans="2:3">
      <c r="B572" s="428"/>
      <c r="C572" s="428"/>
    </row>
    <row r="573" spans="2:3">
      <c r="B573" s="428"/>
      <c r="C573" s="428"/>
    </row>
    <row r="574" spans="2:3">
      <c r="B574" s="428"/>
      <c r="C574" s="428"/>
    </row>
    <row r="575" spans="2:3">
      <c r="B575" s="428"/>
      <c r="C575" s="428"/>
    </row>
    <row r="576" spans="2:3">
      <c r="B576" s="428"/>
      <c r="C576" s="428"/>
    </row>
    <row r="577" spans="2:3">
      <c r="B577" s="428"/>
      <c r="C577" s="428"/>
    </row>
    <row r="578" spans="2:3">
      <c r="B578" s="428"/>
      <c r="C578" s="428"/>
    </row>
    <row r="579" spans="2:3">
      <c r="B579" s="428"/>
      <c r="C579" s="428"/>
    </row>
    <row r="580" spans="2:3">
      <c r="B580" s="428"/>
      <c r="C580" s="428"/>
    </row>
    <row r="581" spans="2:3">
      <c r="B581" s="428"/>
      <c r="C581" s="428"/>
    </row>
    <row r="582" spans="2:3">
      <c r="B582" s="428"/>
      <c r="C582" s="428"/>
    </row>
    <row r="583" spans="2:3">
      <c r="B583" s="428"/>
      <c r="C583" s="428"/>
    </row>
    <row r="584" spans="2:3">
      <c r="B584" s="428"/>
      <c r="C584" s="428"/>
    </row>
    <row r="585" spans="2:3">
      <c r="B585" s="428"/>
      <c r="C585" s="428"/>
    </row>
    <row r="586" spans="2:3">
      <c r="B586" s="428"/>
      <c r="C586" s="428"/>
    </row>
    <row r="587" spans="2:3">
      <c r="B587" s="428"/>
      <c r="C587" s="428"/>
    </row>
    <row r="588" spans="2:3">
      <c r="B588" s="428"/>
      <c r="C588" s="428"/>
    </row>
    <row r="589" spans="2:3">
      <c r="B589" s="428"/>
      <c r="C589" s="428"/>
    </row>
    <row r="590" spans="2:3">
      <c r="B590" s="428"/>
      <c r="C590" s="428"/>
    </row>
    <row r="591" spans="2:3">
      <c r="B591" s="428"/>
      <c r="C591" s="428"/>
    </row>
    <row r="592" spans="2:3">
      <c r="B592" s="428"/>
      <c r="C592" s="428"/>
    </row>
    <row r="593" spans="2:3">
      <c r="B593" s="428"/>
      <c r="C593" s="428"/>
    </row>
    <row r="594" spans="2:3">
      <c r="B594" s="428"/>
      <c r="C594" s="428"/>
    </row>
    <row r="595" spans="2:3">
      <c r="B595" s="428"/>
      <c r="C595" s="428"/>
    </row>
    <row r="596" spans="2:3">
      <c r="B596" s="428"/>
      <c r="C596" s="428"/>
    </row>
    <row r="597" spans="2:3">
      <c r="B597" s="428"/>
      <c r="C597" s="428"/>
    </row>
    <row r="598" spans="2:3">
      <c r="B598" s="428"/>
      <c r="C598" s="428"/>
    </row>
    <row r="599" spans="2:3">
      <c r="B599" s="428"/>
      <c r="C599" s="428"/>
    </row>
    <row r="600" spans="2:3">
      <c r="B600" s="428"/>
      <c r="C600" s="428"/>
    </row>
    <row r="601" spans="2:3">
      <c r="B601" s="428"/>
      <c r="C601" s="428"/>
    </row>
    <row r="602" spans="2:3">
      <c r="B602" s="428"/>
      <c r="C602" s="428"/>
    </row>
    <row r="603" spans="2:3">
      <c r="B603" s="428"/>
      <c r="C603" s="428"/>
    </row>
    <row r="604" spans="2:3">
      <c r="B604" s="428"/>
      <c r="C604" s="428"/>
    </row>
    <row r="605" spans="2:3">
      <c r="B605" s="428"/>
      <c r="C605" s="428"/>
    </row>
    <row r="606" spans="2:3">
      <c r="B606" s="428"/>
      <c r="C606" s="428"/>
    </row>
    <row r="607" spans="2:3">
      <c r="B607" s="428"/>
      <c r="C607" s="428"/>
    </row>
    <row r="608" spans="2:3">
      <c r="B608" s="428"/>
      <c r="C608" s="428"/>
    </row>
    <row r="609" spans="2:3">
      <c r="B609" s="428"/>
      <c r="C609" s="428"/>
    </row>
    <row r="610" spans="2:3">
      <c r="B610" s="428"/>
      <c r="C610" s="428"/>
    </row>
    <row r="611" spans="2:3">
      <c r="B611" s="428"/>
      <c r="C611" s="428"/>
    </row>
    <row r="612" spans="2:3">
      <c r="B612" s="428"/>
      <c r="C612" s="428"/>
    </row>
    <row r="613" spans="2:3">
      <c r="B613" s="428"/>
      <c r="C613" s="428"/>
    </row>
    <row r="614" spans="2:3">
      <c r="B614" s="428"/>
      <c r="C614" s="428"/>
    </row>
    <row r="615" spans="2:3">
      <c r="B615" s="428"/>
      <c r="C615" s="428"/>
    </row>
    <row r="616" spans="2:3">
      <c r="B616" s="428"/>
      <c r="C616" s="428"/>
    </row>
    <row r="617" spans="2:3">
      <c r="B617" s="428"/>
      <c r="C617" s="428"/>
    </row>
    <row r="618" spans="2:3">
      <c r="B618" s="428"/>
      <c r="C618" s="428"/>
    </row>
    <row r="619" spans="2:3">
      <c r="B619" s="428"/>
      <c r="C619" s="428"/>
    </row>
    <row r="620" spans="2:3">
      <c r="B620" s="428"/>
      <c r="C620" s="428"/>
    </row>
    <row r="621" spans="2:3">
      <c r="B621" s="428"/>
      <c r="C621" s="428"/>
    </row>
    <row r="622" spans="2:3">
      <c r="B622" s="428"/>
      <c r="C622" s="428"/>
    </row>
    <row r="623" spans="2:3">
      <c r="B623" s="428"/>
      <c r="C623" s="428"/>
    </row>
    <row r="624" spans="2:3">
      <c r="B624" s="428"/>
      <c r="C624" s="428"/>
    </row>
    <row r="625" spans="2:3">
      <c r="B625" s="428"/>
      <c r="C625" s="428"/>
    </row>
    <row r="626" spans="2:3">
      <c r="B626" s="428"/>
      <c r="C626" s="428"/>
    </row>
    <row r="627" spans="2:3">
      <c r="B627" s="428"/>
      <c r="C627" s="428"/>
    </row>
    <row r="628" spans="2:3">
      <c r="B628" s="428"/>
      <c r="C628" s="428"/>
    </row>
    <row r="629" spans="2:3">
      <c r="B629" s="428"/>
      <c r="C629" s="428"/>
    </row>
    <row r="630" spans="2:3">
      <c r="B630" s="428"/>
      <c r="C630" s="428"/>
    </row>
    <row r="631" spans="2:3">
      <c r="B631" s="428"/>
      <c r="C631" s="428"/>
    </row>
    <row r="632" spans="2:3">
      <c r="B632" s="428"/>
      <c r="C632" s="428"/>
    </row>
    <row r="633" spans="2:3">
      <c r="B633" s="428"/>
      <c r="C633" s="428"/>
    </row>
    <row r="634" spans="2:3">
      <c r="B634" s="428"/>
      <c r="C634" s="428"/>
    </row>
    <row r="635" spans="2:3">
      <c r="B635" s="428"/>
      <c r="C635" s="428"/>
    </row>
    <row r="636" spans="2:3">
      <c r="B636" s="428"/>
      <c r="C636" s="428"/>
    </row>
    <row r="637" spans="2:3">
      <c r="B637" s="428"/>
      <c r="C637" s="428"/>
    </row>
    <row r="638" spans="2:3">
      <c r="B638" s="428"/>
      <c r="C638" s="428"/>
    </row>
    <row r="639" spans="2:3">
      <c r="B639" s="428"/>
      <c r="C639" s="428"/>
    </row>
    <row r="640" spans="2:3">
      <c r="B640" s="428"/>
      <c r="C640" s="428"/>
    </row>
    <row r="641" spans="2:3">
      <c r="B641" s="428"/>
      <c r="C641" s="428"/>
    </row>
    <row r="642" spans="2:3">
      <c r="B642" s="428"/>
      <c r="C642" s="428"/>
    </row>
    <row r="643" spans="2:3">
      <c r="B643" s="428"/>
      <c r="C643" s="428"/>
    </row>
    <row r="644" spans="2:3">
      <c r="B644" s="428"/>
      <c r="C644" s="428"/>
    </row>
    <row r="645" spans="2:3">
      <c r="B645" s="428"/>
      <c r="C645" s="428"/>
    </row>
    <row r="646" spans="2:3">
      <c r="B646" s="428"/>
      <c r="C646" s="428"/>
    </row>
    <row r="647" spans="2:3">
      <c r="B647" s="428"/>
      <c r="C647" s="428"/>
    </row>
    <row r="648" spans="2:3">
      <c r="B648" s="428"/>
      <c r="C648" s="428"/>
    </row>
    <row r="649" spans="2:3">
      <c r="B649" s="428"/>
      <c r="C649" s="428"/>
    </row>
    <row r="650" spans="2:3">
      <c r="B650" s="428"/>
      <c r="C650" s="428"/>
    </row>
    <row r="651" spans="2:3">
      <c r="B651" s="428"/>
      <c r="C651" s="428"/>
    </row>
    <row r="652" spans="2:3">
      <c r="B652" s="428"/>
      <c r="C652" s="428"/>
    </row>
    <row r="653" spans="2:3">
      <c r="B653" s="428"/>
      <c r="C653" s="428"/>
    </row>
    <row r="654" spans="2:3">
      <c r="B654" s="428"/>
      <c r="C654" s="428"/>
    </row>
    <row r="655" spans="2:3">
      <c r="B655" s="428"/>
      <c r="C655" s="428"/>
    </row>
    <row r="656" spans="2:3">
      <c r="B656" s="428"/>
      <c r="C656" s="428"/>
    </row>
    <row r="657" spans="2:3">
      <c r="B657" s="428"/>
      <c r="C657" s="428"/>
    </row>
    <row r="658" spans="2:3">
      <c r="B658" s="428"/>
      <c r="C658" s="428"/>
    </row>
    <row r="659" spans="2:3">
      <c r="B659" s="428"/>
      <c r="C659" s="428"/>
    </row>
    <row r="660" spans="2:3">
      <c r="B660" s="428"/>
      <c r="C660" s="428"/>
    </row>
    <row r="661" spans="2:3">
      <c r="B661" s="428"/>
      <c r="C661" s="428"/>
    </row>
    <row r="662" spans="2:3">
      <c r="B662" s="428"/>
      <c r="C662" s="428"/>
    </row>
    <row r="663" spans="2:3">
      <c r="B663" s="428"/>
      <c r="C663" s="428"/>
    </row>
    <row r="664" spans="2:3">
      <c r="B664" s="428"/>
      <c r="C664" s="428"/>
    </row>
    <row r="665" spans="2:3">
      <c r="B665" s="428"/>
      <c r="C665" s="428"/>
    </row>
    <row r="666" spans="2:3">
      <c r="B666" s="428"/>
      <c r="C666" s="428"/>
    </row>
    <row r="667" spans="2:3">
      <c r="B667" s="428"/>
      <c r="C667" s="428"/>
    </row>
    <row r="668" spans="2:3">
      <c r="B668" s="428"/>
      <c r="C668" s="428"/>
    </row>
    <row r="669" spans="2:3">
      <c r="B669" s="428"/>
      <c r="C669" s="428"/>
    </row>
    <row r="670" spans="2:3">
      <c r="B670" s="428"/>
      <c r="C670" s="428"/>
    </row>
    <row r="671" spans="2:3">
      <c r="B671" s="428"/>
      <c r="C671" s="428"/>
    </row>
    <row r="672" spans="2:3">
      <c r="B672" s="428"/>
      <c r="C672" s="428"/>
    </row>
    <row r="673" spans="2:3">
      <c r="B673" s="428"/>
      <c r="C673" s="428"/>
    </row>
    <row r="674" spans="2:3">
      <c r="B674" s="428"/>
      <c r="C674" s="428"/>
    </row>
    <row r="675" spans="2:3">
      <c r="B675" s="428"/>
      <c r="C675" s="428"/>
    </row>
    <row r="676" spans="2:3">
      <c r="B676" s="428"/>
      <c r="C676" s="428"/>
    </row>
    <row r="677" spans="2:3">
      <c r="B677" s="428"/>
      <c r="C677" s="428"/>
    </row>
    <row r="678" spans="2:3">
      <c r="B678" s="428"/>
      <c r="C678" s="428"/>
    </row>
    <row r="679" spans="2:3">
      <c r="B679" s="428"/>
      <c r="C679" s="428"/>
    </row>
    <row r="680" spans="2:3">
      <c r="B680" s="428"/>
      <c r="C680" s="428"/>
    </row>
    <row r="681" spans="2:3">
      <c r="B681" s="428"/>
      <c r="C681" s="428"/>
    </row>
    <row r="682" spans="2:3">
      <c r="B682" s="428"/>
      <c r="C682" s="428"/>
    </row>
    <row r="683" spans="2:3">
      <c r="B683" s="428"/>
      <c r="C683" s="428"/>
    </row>
    <row r="684" spans="2:3">
      <c r="B684" s="428"/>
      <c r="C684" s="428"/>
    </row>
    <row r="685" spans="2:3">
      <c r="B685" s="428"/>
      <c r="C685" s="428"/>
    </row>
    <row r="686" spans="2:3">
      <c r="B686" s="428"/>
      <c r="C686" s="428"/>
    </row>
    <row r="687" spans="2:3">
      <c r="B687" s="428"/>
      <c r="C687" s="428"/>
    </row>
    <row r="688" spans="2:3">
      <c r="B688" s="428"/>
      <c r="C688" s="428"/>
    </row>
    <row r="689" spans="2:3">
      <c r="B689" s="428"/>
      <c r="C689" s="428"/>
    </row>
    <row r="690" spans="2:3">
      <c r="B690" s="428"/>
      <c r="C690" s="428"/>
    </row>
    <row r="691" spans="2:3">
      <c r="B691" s="428"/>
      <c r="C691" s="428"/>
    </row>
    <row r="692" spans="2:3">
      <c r="B692" s="428"/>
      <c r="C692" s="428"/>
    </row>
    <row r="693" spans="2:3">
      <c r="B693" s="428"/>
      <c r="C693" s="428"/>
    </row>
    <row r="694" spans="2:3">
      <c r="B694" s="428"/>
      <c r="C694" s="428"/>
    </row>
    <row r="695" spans="2:3">
      <c r="B695" s="428"/>
      <c r="C695" s="428"/>
    </row>
    <row r="696" spans="2:3">
      <c r="B696" s="428"/>
      <c r="C696" s="428"/>
    </row>
    <row r="697" spans="2:3">
      <c r="B697" s="428"/>
      <c r="C697" s="428"/>
    </row>
    <row r="698" spans="2:3">
      <c r="B698" s="428"/>
      <c r="C698" s="428"/>
    </row>
    <row r="699" spans="2:3">
      <c r="B699" s="428"/>
      <c r="C699" s="428"/>
    </row>
    <row r="700" spans="2:3">
      <c r="B700" s="428"/>
      <c r="C700" s="428"/>
    </row>
    <row r="701" spans="2:3">
      <c r="B701" s="428"/>
      <c r="C701" s="428"/>
    </row>
    <row r="702" spans="2:3">
      <c r="B702" s="428"/>
      <c r="C702" s="428"/>
    </row>
    <row r="703" spans="2:3">
      <c r="B703" s="428"/>
      <c r="C703" s="428"/>
    </row>
    <row r="704" spans="2:3">
      <c r="B704" s="428"/>
      <c r="C704" s="428"/>
    </row>
    <row r="705" spans="2:3">
      <c r="B705" s="428"/>
      <c r="C705" s="428"/>
    </row>
    <row r="706" spans="2:3">
      <c r="B706" s="428"/>
      <c r="C706" s="428"/>
    </row>
    <row r="707" spans="2:3">
      <c r="B707" s="428"/>
      <c r="C707" s="428"/>
    </row>
    <row r="708" spans="2:3">
      <c r="B708" s="428"/>
      <c r="C708" s="428"/>
    </row>
    <row r="709" spans="2:3">
      <c r="B709" s="428"/>
      <c r="C709" s="428"/>
    </row>
    <row r="710" spans="2:3">
      <c r="B710" s="428"/>
      <c r="C710" s="428"/>
    </row>
    <row r="711" spans="2:3">
      <c r="B711" s="428"/>
      <c r="C711" s="428"/>
    </row>
    <row r="712" spans="2:3">
      <c r="B712" s="428"/>
      <c r="C712" s="428"/>
    </row>
    <row r="713" spans="2:3">
      <c r="B713" s="428"/>
      <c r="C713" s="428"/>
    </row>
    <row r="714" spans="2:3">
      <c r="B714" s="428"/>
      <c r="C714" s="428"/>
    </row>
    <row r="715" spans="2:3">
      <c r="B715" s="428"/>
      <c r="C715" s="428"/>
    </row>
    <row r="716" spans="2:3">
      <c r="B716" s="428"/>
      <c r="C716" s="428"/>
    </row>
    <row r="717" spans="2:3">
      <c r="B717" s="428"/>
      <c r="C717" s="428"/>
    </row>
    <row r="718" spans="2:3">
      <c r="B718" s="428"/>
      <c r="C718" s="428"/>
    </row>
    <row r="719" spans="2:3">
      <c r="B719" s="428"/>
      <c r="C719" s="428"/>
    </row>
    <row r="720" spans="2:3">
      <c r="B720" s="428"/>
      <c r="C720" s="428"/>
    </row>
    <row r="721" spans="2:3">
      <c r="B721" s="428"/>
      <c r="C721" s="428"/>
    </row>
    <row r="722" spans="2:3">
      <c r="B722" s="428"/>
      <c r="C722" s="428"/>
    </row>
    <row r="723" spans="2:3">
      <c r="B723" s="428"/>
      <c r="C723" s="428"/>
    </row>
    <row r="724" spans="2:3">
      <c r="B724" s="428"/>
      <c r="C724" s="428"/>
    </row>
    <row r="725" spans="2:3">
      <c r="B725" s="428"/>
      <c r="C725" s="428"/>
    </row>
    <row r="726" spans="2:3">
      <c r="B726" s="428"/>
      <c r="C726" s="428"/>
    </row>
    <row r="727" spans="2:3">
      <c r="B727" s="428"/>
      <c r="C727" s="428"/>
    </row>
    <row r="728" spans="2:3">
      <c r="B728" s="428"/>
      <c r="C728" s="428"/>
    </row>
    <row r="729" spans="2:3">
      <c r="B729" s="428"/>
      <c r="C729" s="428"/>
    </row>
    <row r="730" spans="2:3">
      <c r="B730" s="428"/>
      <c r="C730" s="428"/>
    </row>
    <row r="731" spans="2:3">
      <c r="B731" s="428"/>
      <c r="C731" s="428"/>
    </row>
    <row r="732" spans="2:3">
      <c r="B732" s="428"/>
      <c r="C732" s="428"/>
    </row>
    <row r="733" spans="2:3">
      <c r="B733" s="428"/>
      <c r="C733" s="428"/>
    </row>
    <row r="734" spans="2:3">
      <c r="B734" s="428"/>
      <c r="C734" s="428"/>
    </row>
    <row r="735" spans="2:3">
      <c r="B735" s="428"/>
      <c r="C735" s="428"/>
    </row>
    <row r="736" spans="2:3">
      <c r="B736" s="428"/>
      <c r="C736" s="428"/>
    </row>
    <row r="737" spans="2:3">
      <c r="B737" s="428"/>
      <c r="C737" s="428"/>
    </row>
    <row r="738" spans="2:3">
      <c r="B738" s="428"/>
      <c r="C738" s="428"/>
    </row>
    <row r="739" spans="2:3">
      <c r="B739" s="428"/>
      <c r="C739" s="428"/>
    </row>
    <row r="740" spans="2:3">
      <c r="B740" s="428"/>
      <c r="C740" s="428"/>
    </row>
    <row r="741" spans="2:3">
      <c r="B741" s="428"/>
      <c r="C741" s="428"/>
    </row>
    <row r="742" spans="2:3">
      <c r="B742" s="428"/>
      <c r="C742" s="428"/>
    </row>
    <row r="743" spans="2:3">
      <c r="B743" s="428"/>
      <c r="C743" s="428"/>
    </row>
    <row r="744" spans="2:3">
      <c r="B744" s="428"/>
      <c r="C744" s="428"/>
    </row>
    <row r="745" spans="2:3">
      <c r="B745" s="428"/>
      <c r="C745" s="428"/>
    </row>
    <row r="746" spans="2:3">
      <c r="B746" s="428"/>
      <c r="C746" s="428"/>
    </row>
    <row r="747" spans="2:3">
      <c r="B747" s="428"/>
      <c r="C747" s="428"/>
    </row>
    <row r="748" spans="2:3">
      <c r="B748" s="428"/>
      <c r="C748" s="428"/>
    </row>
    <row r="749" spans="2:3">
      <c r="B749" s="428"/>
      <c r="C749" s="428"/>
    </row>
    <row r="750" spans="2:3">
      <c r="B750" s="428"/>
      <c r="C750" s="428"/>
    </row>
    <row r="751" spans="2:3">
      <c r="B751" s="428"/>
      <c r="C751" s="428"/>
    </row>
    <row r="752" spans="2:3">
      <c r="B752" s="428"/>
      <c r="C752" s="428"/>
    </row>
    <row r="753" spans="2:3">
      <c r="B753" s="428"/>
      <c r="C753" s="428"/>
    </row>
    <row r="754" spans="2:3">
      <c r="B754" s="428"/>
      <c r="C754" s="428"/>
    </row>
    <row r="755" spans="2:3">
      <c r="B755" s="428"/>
      <c r="C755" s="428"/>
    </row>
    <row r="756" spans="2:3">
      <c r="B756" s="428"/>
      <c r="C756" s="428"/>
    </row>
    <row r="757" spans="2:3">
      <c r="B757" s="428"/>
      <c r="C757" s="428"/>
    </row>
    <row r="758" spans="2:3">
      <c r="B758" s="428"/>
      <c r="C758" s="428"/>
    </row>
    <row r="759" spans="2:3">
      <c r="B759" s="428"/>
      <c r="C759" s="428"/>
    </row>
    <row r="760" spans="2:3">
      <c r="B760" s="428"/>
      <c r="C760" s="428"/>
    </row>
    <row r="761" spans="2:3">
      <c r="B761" s="428"/>
      <c r="C761" s="428"/>
    </row>
    <row r="762" spans="2:3">
      <c r="B762" s="428"/>
      <c r="C762" s="428"/>
    </row>
    <row r="763" spans="2:3">
      <c r="B763" s="428"/>
      <c r="C763" s="428"/>
    </row>
    <row r="764" spans="2:3">
      <c r="B764" s="428"/>
      <c r="C764" s="428"/>
    </row>
    <row r="765" spans="2:3">
      <c r="B765" s="428"/>
      <c r="C765" s="428"/>
    </row>
    <row r="766" spans="2:3">
      <c r="B766" s="428"/>
      <c r="C766" s="428"/>
    </row>
    <row r="767" spans="2:3">
      <c r="B767" s="428"/>
      <c r="C767" s="428"/>
    </row>
    <row r="768" spans="2:3">
      <c r="B768" s="428"/>
      <c r="C768" s="428"/>
    </row>
    <row r="769" spans="2:3">
      <c r="B769" s="428"/>
      <c r="C769" s="428"/>
    </row>
    <row r="770" spans="2:3">
      <c r="B770" s="428"/>
      <c r="C770" s="428"/>
    </row>
    <row r="771" spans="2:3">
      <c r="B771" s="428"/>
      <c r="C771" s="428"/>
    </row>
    <row r="772" spans="2:3">
      <c r="B772" s="428"/>
      <c r="C772" s="428"/>
    </row>
    <row r="773" spans="2:3">
      <c r="B773" s="428"/>
      <c r="C773" s="428"/>
    </row>
    <row r="774" spans="2:3">
      <c r="B774" s="428"/>
      <c r="C774" s="428"/>
    </row>
    <row r="775" spans="2:3">
      <c r="B775" s="428"/>
      <c r="C775" s="428"/>
    </row>
    <row r="776" spans="2:3">
      <c r="B776" s="428"/>
      <c r="C776" s="428"/>
    </row>
    <row r="777" spans="2:3">
      <c r="B777" s="428"/>
      <c r="C777" s="428"/>
    </row>
    <row r="778" spans="2:3">
      <c r="B778" s="428"/>
      <c r="C778" s="428"/>
    </row>
    <row r="779" spans="2:3">
      <c r="B779" s="428"/>
      <c r="C779" s="428"/>
    </row>
    <row r="780" spans="2:3">
      <c r="B780" s="428"/>
      <c r="C780" s="428"/>
    </row>
    <row r="781" spans="2:3">
      <c r="B781" s="428"/>
      <c r="C781" s="428"/>
    </row>
    <row r="782" spans="2:3">
      <c r="B782" s="428"/>
      <c r="C782" s="428"/>
    </row>
    <row r="783" spans="2:3">
      <c r="B783" s="428"/>
      <c r="C783" s="428"/>
    </row>
    <row r="784" spans="2:3">
      <c r="B784" s="428"/>
      <c r="C784" s="428"/>
    </row>
    <row r="785" spans="2:3">
      <c r="B785" s="428"/>
      <c r="C785" s="428"/>
    </row>
    <row r="786" spans="2:3">
      <c r="B786" s="428"/>
      <c r="C786" s="428"/>
    </row>
    <row r="787" spans="2:3">
      <c r="B787" s="428"/>
      <c r="C787" s="428"/>
    </row>
    <row r="788" spans="2:3">
      <c r="B788" s="428"/>
      <c r="C788" s="428"/>
    </row>
    <row r="789" spans="2:3">
      <c r="B789" s="428"/>
      <c r="C789" s="428"/>
    </row>
    <row r="790" spans="2:3">
      <c r="B790" s="428"/>
      <c r="C790" s="428"/>
    </row>
    <row r="791" spans="2:3">
      <c r="B791" s="428"/>
      <c r="C791" s="428"/>
    </row>
    <row r="792" spans="2:3">
      <c r="B792" s="428"/>
      <c r="C792" s="428"/>
    </row>
    <row r="793" spans="2:3">
      <c r="B793" s="428"/>
      <c r="C793" s="428"/>
    </row>
    <row r="794" spans="2:3">
      <c r="B794" s="428"/>
      <c r="C794" s="428"/>
    </row>
    <row r="795" spans="2:3">
      <c r="B795" s="428"/>
      <c r="C795" s="428"/>
    </row>
    <row r="796" spans="2:3">
      <c r="B796" s="428"/>
      <c r="C796" s="428"/>
    </row>
    <row r="797" spans="2:3">
      <c r="B797" s="428"/>
      <c r="C797" s="428"/>
    </row>
    <row r="798" spans="2:3">
      <c r="B798" s="428"/>
      <c r="C798" s="428"/>
    </row>
    <row r="799" spans="2:3">
      <c r="B799" s="428"/>
      <c r="C799" s="428"/>
    </row>
    <row r="800" spans="2:3">
      <c r="B800" s="428"/>
      <c r="C800" s="428"/>
    </row>
    <row r="801" spans="2:3">
      <c r="B801" s="428"/>
      <c r="C801" s="428"/>
    </row>
    <row r="802" spans="2:3">
      <c r="B802" s="428"/>
      <c r="C802" s="428"/>
    </row>
    <row r="803" spans="2:3">
      <c r="B803" s="428"/>
      <c r="C803" s="428"/>
    </row>
    <row r="804" spans="2:3">
      <c r="B804" s="428"/>
      <c r="C804" s="428"/>
    </row>
    <row r="805" spans="2:3">
      <c r="B805" s="428"/>
      <c r="C805" s="428"/>
    </row>
    <row r="806" spans="2:3">
      <c r="B806" s="428"/>
      <c r="C806" s="428"/>
    </row>
    <row r="807" spans="2:3">
      <c r="B807" s="428"/>
      <c r="C807" s="428"/>
    </row>
    <row r="808" spans="2:3">
      <c r="B808" s="428"/>
      <c r="C808" s="428"/>
    </row>
    <row r="809" spans="2:3">
      <c r="B809" s="428"/>
      <c r="C809" s="428"/>
    </row>
    <row r="810" spans="2:3">
      <c r="B810" s="428"/>
      <c r="C810" s="428"/>
    </row>
    <row r="811" spans="2:3">
      <c r="B811" s="428"/>
      <c r="C811" s="428"/>
    </row>
    <row r="812" spans="2:3">
      <c r="B812" s="428"/>
      <c r="C812" s="428"/>
    </row>
    <row r="813" spans="2:3">
      <c r="B813" s="428"/>
      <c r="C813" s="428"/>
    </row>
    <row r="814" spans="2:3">
      <c r="B814" s="428"/>
      <c r="C814" s="428"/>
    </row>
    <row r="815" spans="2:3">
      <c r="B815" s="428"/>
      <c r="C815" s="428"/>
    </row>
    <row r="816" spans="2:3">
      <c r="B816" s="428"/>
      <c r="C816" s="428"/>
    </row>
    <row r="817" spans="2:3">
      <c r="B817" s="428"/>
      <c r="C817" s="428"/>
    </row>
    <row r="818" spans="2:3">
      <c r="B818" s="428"/>
      <c r="C818" s="428"/>
    </row>
    <row r="819" spans="2:3">
      <c r="B819" s="428"/>
      <c r="C819" s="428"/>
    </row>
    <row r="820" spans="2:3">
      <c r="B820" s="428"/>
      <c r="C820" s="428"/>
    </row>
    <row r="821" spans="2:3">
      <c r="B821" s="428"/>
      <c r="C821" s="428"/>
    </row>
    <row r="822" spans="2:3">
      <c r="B822" s="428"/>
      <c r="C822" s="428"/>
    </row>
    <row r="823" spans="2:3">
      <c r="B823" s="428"/>
      <c r="C823" s="428"/>
    </row>
    <row r="824" spans="2:3">
      <c r="B824" s="428"/>
      <c r="C824" s="428"/>
    </row>
    <row r="825" spans="2:3">
      <c r="B825" s="428"/>
      <c r="C825" s="428"/>
    </row>
    <row r="826" spans="2:3">
      <c r="B826" s="428"/>
      <c r="C826" s="428"/>
    </row>
    <row r="827" spans="2:3">
      <c r="B827" s="428"/>
      <c r="C827" s="428"/>
    </row>
    <row r="828" spans="2:3">
      <c r="B828" s="428"/>
      <c r="C828" s="428"/>
    </row>
    <row r="829" spans="2:3">
      <c r="B829" s="428"/>
      <c r="C829" s="428"/>
    </row>
    <row r="830" spans="2:3">
      <c r="B830" s="428"/>
      <c r="C830" s="428"/>
    </row>
    <row r="831" spans="2:3">
      <c r="B831" s="428"/>
      <c r="C831" s="428"/>
    </row>
    <row r="832" spans="2:3">
      <c r="B832" s="428"/>
      <c r="C832" s="428"/>
    </row>
    <row r="833" spans="2:3">
      <c r="B833" s="428"/>
      <c r="C833" s="428"/>
    </row>
    <row r="834" spans="2:3">
      <c r="B834" s="428"/>
      <c r="C834" s="428"/>
    </row>
    <row r="835" spans="2:3">
      <c r="B835" s="428"/>
      <c r="C835" s="428"/>
    </row>
    <row r="836" spans="2:3">
      <c r="B836" s="428"/>
      <c r="C836" s="428"/>
    </row>
    <row r="837" spans="2:3">
      <c r="B837" s="428"/>
      <c r="C837" s="428"/>
    </row>
    <row r="838" spans="2:3">
      <c r="B838" s="428"/>
      <c r="C838" s="428"/>
    </row>
    <row r="839" spans="2:3">
      <c r="B839" s="428"/>
      <c r="C839" s="428"/>
    </row>
    <row r="840" spans="2:3">
      <c r="B840" s="428"/>
      <c r="C840" s="428"/>
    </row>
    <row r="841" spans="2:3">
      <c r="B841" s="428"/>
      <c r="C841" s="428"/>
    </row>
    <row r="842" spans="2:3">
      <c r="B842" s="428"/>
      <c r="C842" s="428"/>
    </row>
    <row r="843" spans="2:3">
      <c r="B843" s="428"/>
      <c r="C843" s="428"/>
    </row>
    <row r="844" spans="2:3">
      <c r="B844" s="428"/>
      <c r="C844" s="428"/>
    </row>
    <row r="845" spans="2:3">
      <c r="B845" s="428"/>
      <c r="C845" s="428"/>
    </row>
    <row r="846" spans="2:3">
      <c r="B846" s="428"/>
      <c r="C846" s="428"/>
    </row>
    <row r="847" spans="2:3">
      <c r="B847" s="428"/>
      <c r="C847" s="428"/>
    </row>
    <row r="848" spans="2:3">
      <c r="B848" s="428"/>
      <c r="C848" s="428"/>
    </row>
    <row r="849" spans="2:3">
      <c r="B849" s="428"/>
      <c r="C849" s="428"/>
    </row>
    <row r="850" spans="2:3">
      <c r="B850" s="428"/>
      <c r="C850" s="428"/>
    </row>
    <row r="851" spans="2:3">
      <c r="B851" s="428"/>
      <c r="C851" s="428"/>
    </row>
    <row r="852" spans="2:3">
      <c r="B852" s="428"/>
      <c r="C852" s="428"/>
    </row>
    <row r="853" spans="2:3">
      <c r="B853" s="428"/>
      <c r="C853" s="428"/>
    </row>
    <row r="854" spans="2:3">
      <c r="B854" s="428"/>
      <c r="C854" s="428"/>
    </row>
    <row r="855" spans="2:3">
      <c r="B855" s="428"/>
      <c r="C855" s="428"/>
    </row>
    <row r="856" spans="2:3">
      <c r="B856" s="428"/>
      <c r="C856" s="428"/>
    </row>
    <row r="857" spans="2:3">
      <c r="B857" s="428"/>
      <c r="C857" s="428"/>
    </row>
    <row r="858" spans="2:3">
      <c r="B858" s="428"/>
      <c r="C858" s="428"/>
    </row>
    <row r="859" spans="2:3">
      <c r="B859" s="428"/>
      <c r="C859" s="428"/>
    </row>
    <row r="860" spans="2:3">
      <c r="B860" s="428"/>
      <c r="C860" s="428"/>
    </row>
    <row r="861" spans="2:3">
      <c r="B861" s="428"/>
      <c r="C861" s="428"/>
    </row>
    <row r="862" spans="2:3">
      <c r="B862" s="428"/>
      <c r="C862" s="428"/>
    </row>
    <row r="863" spans="2:3">
      <c r="B863" s="428"/>
      <c r="C863" s="428"/>
    </row>
    <row r="864" spans="2:3">
      <c r="B864" s="428"/>
      <c r="C864" s="428"/>
    </row>
    <row r="865" spans="2:3">
      <c r="B865" s="428"/>
      <c r="C865" s="428"/>
    </row>
    <row r="866" spans="2:3">
      <c r="B866" s="428"/>
      <c r="C866" s="428"/>
    </row>
    <row r="867" spans="2:3">
      <c r="B867" s="428"/>
      <c r="C867" s="428"/>
    </row>
    <row r="868" spans="2:3">
      <c r="B868" s="428"/>
      <c r="C868" s="428"/>
    </row>
    <row r="869" spans="2:3">
      <c r="B869" s="428"/>
      <c r="C869" s="428"/>
    </row>
    <row r="870" spans="2:3">
      <c r="B870" s="428"/>
      <c r="C870" s="428"/>
    </row>
    <row r="871" spans="2:3">
      <c r="B871" s="428"/>
      <c r="C871" s="428"/>
    </row>
    <row r="872" spans="2:3">
      <c r="B872" s="428"/>
      <c r="C872" s="428"/>
    </row>
    <row r="873" spans="2:3">
      <c r="B873" s="428"/>
      <c r="C873" s="428"/>
    </row>
    <row r="874" spans="2:3">
      <c r="B874" s="428"/>
      <c r="C874" s="428"/>
    </row>
    <row r="875" spans="2:3">
      <c r="B875" s="428"/>
      <c r="C875" s="428"/>
    </row>
    <row r="876" spans="2:3">
      <c r="B876" s="428"/>
      <c r="C876" s="428"/>
    </row>
    <row r="877" spans="2:3">
      <c r="B877" s="428"/>
      <c r="C877" s="428"/>
    </row>
    <row r="878" spans="2:3">
      <c r="B878" s="428"/>
      <c r="C878" s="428"/>
    </row>
    <row r="879" spans="2:3">
      <c r="B879" s="428"/>
      <c r="C879" s="428"/>
    </row>
    <row r="880" spans="2:3">
      <c r="B880" s="428"/>
      <c r="C880" s="428"/>
    </row>
    <row r="881" spans="2:3">
      <c r="B881" s="428"/>
      <c r="C881" s="428"/>
    </row>
    <row r="882" spans="2:3">
      <c r="B882" s="428"/>
      <c r="C882" s="428"/>
    </row>
    <row r="883" spans="2:3">
      <c r="B883" s="428"/>
      <c r="C883" s="428"/>
    </row>
    <row r="884" spans="2:3">
      <c r="B884" s="428"/>
      <c r="C884" s="428"/>
    </row>
    <row r="885" spans="2:3">
      <c r="B885" s="428"/>
      <c r="C885" s="428"/>
    </row>
    <row r="886" spans="2:3">
      <c r="B886" s="428"/>
      <c r="C886" s="428"/>
    </row>
    <row r="887" spans="2:3">
      <c r="B887" s="428"/>
      <c r="C887" s="428"/>
    </row>
    <row r="888" spans="2:3">
      <c r="B888" s="428"/>
      <c r="C888" s="428"/>
    </row>
    <row r="889" spans="2:3">
      <c r="B889" s="428"/>
      <c r="C889" s="428"/>
    </row>
    <row r="890" spans="2:3">
      <c r="B890" s="428"/>
      <c r="C890" s="428"/>
    </row>
    <row r="891" spans="2:3">
      <c r="B891" s="428"/>
      <c r="C891" s="428"/>
    </row>
    <row r="892" spans="2:3">
      <c r="B892" s="428"/>
      <c r="C892" s="428"/>
    </row>
    <row r="893" spans="2:3">
      <c r="B893" s="428"/>
      <c r="C893" s="428"/>
    </row>
    <row r="894" spans="2:3">
      <c r="B894" s="428"/>
      <c r="C894" s="428"/>
    </row>
    <row r="895" spans="2:3">
      <c r="B895" s="428"/>
      <c r="C895" s="428"/>
    </row>
    <row r="896" spans="2:3">
      <c r="B896" s="428"/>
      <c r="C896" s="428"/>
    </row>
    <row r="897" spans="2:3">
      <c r="B897" s="428"/>
      <c r="C897" s="428"/>
    </row>
    <row r="898" spans="2:3">
      <c r="B898" s="428"/>
      <c r="C898" s="428"/>
    </row>
    <row r="899" spans="2:3">
      <c r="B899" s="428"/>
      <c r="C899" s="428"/>
    </row>
    <row r="900" spans="2:3">
      <c r="B900" s="428"/>
      <c r="C900" s="428"/>
    </row>
    <row r="901" spans="2:3">
      <c r="B901" s="428"/>
      <c r="C901" s="428"/>
    </row>
    <row r="902" spans="2:3">
      <c r="B902" s="428"/>
      <c r="C902" s="428"/>
    </row>
    <row r="903" spans="2:3">
      <c r="B903" s="428"/>
      <c r="C903" s="428"/>
    </row>
    <row r="904" spans="2:3">
      <c r="B904" s="428"/>
      <c r="C904" s="428"/>
    </row>
    <row r="905" spans="2:3">
      <c r="B905" s="428"/>
      <c r="C905" s="428"/>
    </row>
    <row r="906" spans="2:3">
      <c r="B906" s="428"/>
      <c r="C906" s="428"/>
    </row>
    <row r="907" spans="2:3">
      <c r="B907" s="428"/>
      <c r="C907" s="428"/>
    </row>
    <row r="908" spans="2:3">
      <c r="B908" s="428"/>
      <c r="C908" s="428"/>
    </row>
    <row r="909" spans="2:3">
      <c r="B909" s="428"/>
      <c r="C909" s="428"/>
    </row>
    <row r="910" spans="2:3">
      <c r="B910" s="428"/>
      <c r="C910" s="428"/>
    </row>
    <row r="911" spans="2:3">
      <c r="B911" s="428"/>
      <c r="C911" s="428"/>
    </row>
    <row r="912" spans="2:3">
      <c r="B912" s="428"/>
      <c r="C912" s="428"/>
    </row>
    <row r="913" spans="2:3">
      <c r="B913" s="428"/>
      <c r="C913" s="428"/>
    </row>
    <row r="914" spans="2:3">
      <c r="B914" s="428"/>
      <c r="C914" s="428"/>
    </row>
    <row r="915" spans="2:3">
      <c r="B915" s="428"/>
      <c r="C915" s="428"/>
    </row>
    <row r="916" spans="2:3">
      <c r="B916" s="428"/>
      <c r="C916" s="428"/>
    </row>
    <row r="917" spans="2:3">
      <c r="B917" s="428"/>
      <c r="C917" s="428"/>
    </row>
    <row r="918" spans="2:3">
      <c r="B918" s="428"/>
      <c r="C918" s="428"/>
    </row>
    <row r="919" spans="2:3">
      <c r="B919" s="428"/>
      <c r="C919" s="428"/>
    </row>
    <row r="920" spans="2:3">
      <c r="B920" s="428"/>
      <c r="C920" s="428"/>
    </row>
    <row r="921" spans="2:3">
      <c r="B921" s="428"/>
      <c r="C921" s="428"/>
    </row>
    <row r="922" spans="2:3">
      <c r="B922" s="428"/>
      <c r="C922" s="428"/>
    </row>
    <row r="923" spans="2:3">
      <c r="B923" s="428"/>
      <c r="C923" s="428"/>
    </row>
    <row r="924" spans="2:3">
      <c r="B924" s="428"/>
      <c r="C924" s="428"/>
    </row>
    <row r="925" spans="2:3">
      <c r="B925" s="428"/>
      <c r="C925" s="428"/>
    </row>
    <row r="926" spans="2:3">
      <c r="B926" s="428"/>
      <c r="C926" s="428"/>
    </row>
    <row r="927" spans="2:3">
      <c r="B927" s="428"/>
      <c r="C927" s="428"/>
    </row>
    <row r="928" spans="2:3">
      <c r="B928" s="428"/>
      <c r="C928" s="428"/>
    </row>
    <row r="929" spans="2:3">
      <c r="B929" s="428"/>
      <c r="C929" s="428"/>
    </row>
    <row r="930" spans="2:3">
      <c r="B930" s="428"/>
      <c r="C930" s="428"/>
    </row>
    <row r="931" spans="2:3">
      <c r="B931" s="428"/>
      <c r="C931" s="428"/>
    </row>
    <row r="932" spans="2:3">
      <c r="B932" s="428"/>
      <c r="C932" s="428"/>
    </row>
    <row r="933" spans="2:3">
      <c r="B933" s="428"/>
      <c r="C933" s="428"/>
    </row>
    <row r="934" spans="2:3">
      <c r="B934" s="428"/>
      <c r="C934" s="428"/>
    </row>
    <row r="935" spans="2:3">
      <c r="B935" s="428"/>
      <c r="C935" s="428"/>
    </row>
    <row r="936" spans="2:3">
      <c r="B936" s="428"/>
      <c r="C936" s="428"/>
    </row>
    <row r="937" spans="2:3">
      <c r="B937" s="428"/>
      <c r="C937" s="428"/>
    </row>
    <row r="938" spans="2:3">
      <c r="B938" s="428"/>
      <c r="C938" s="428"/>
    </row>
    <row r="939" spans="2:3">
      <c r="B939" s="428"/>
      <c r="C939" s="428"/>
    </row>
    <row r="940" spans="2:3">
      <c r="B940" s="428"/>
      <c r="C940" s="428"/>
    </row>
    <row r="941" spans="2:3">
      <c r="B941" s="428"/>
      <c r="C941" s="428"/>
    </row>
    <row r="942" spans="2:3">
      <c r="B942" s="428"/>
      <c r="C942" s="428"/>
    </row>
    <row r="943" spans="2:3">
      <c r="B943" s="428"/>
      <c r="C943" s="428"/>
    </row>
    <row r="944" spans="2:3">
      <c r="B944" s="428"/>
      <c r="C944" s="428"/>
    </row>
    <row r="945" spans="2:3">
      <c r="B945" s="428"/>
      <c r="C945" s="428"/>
    </row>
    <row r="946" spans="2:3">
      <c r="B946" s="428"/>
      <c r="C946" s="428"/>
    </row>
    <row r="947" spans="2:3">
      <c r="B947" s="428"/>
      <c r="C947" s="428"/>
    </row>
    <row r="948" spans="2:3">
      <c r="B948" s="428"/>
      <c r="C948" s="428"/>
    </row>
    <row r="949" spans="2:3">
      <c r="B949" s="428"/>
      <c r="C949" s="428"/>
    </row>
    <row r="950" spans="2:3">
      <c r="B950" s="428"/>
      <c r="C950" s="428"/>
    </row>
    <row r="951" spans="2:3">
      <c r="B951" s="428"/>
      <c r="C951" s="428"/>
    </row>
    <row r="952" spans="2:3">
      <c r="B952" s="428"/>
      <c r="C952" s="428"/>
    </row>
    <row r="953" spans="2:3">
      <c r="B953" s="428"/>
      <c r="C953" s="428"/>
    </row>
    <row r="954" spans="2:3">
      <c r="B954" s="428"/>
      <c r="C954" s="428"/>
    </row>
    <row r="955" spans="2:3">
      <c r="B955" s="428"/>
      <c r="C955" s="428"/>
    </row>
    <row r="956" spans="2:3">
      <c r="B956" s="428"/>
      <c r="C956" s="428"/>
    </row>
    <row r="957" spans="2:3">
      <c r="B957" s="428"/>
      <c r="C957" s="428"/>
    </row>
    <row r="958" spans="2:3">
      <c r="B958" s="428"/>
      <c r="C958" s="428"/>
    </row>
    <row r="959" spans="2:3">
      <c r="B959" s="428"/>
      <c r="C959" s="428"/>
    </row>
    <row r="960" spans="2:3">
      <c r="B960" s="428"/>
      <c r="C960" s="428"/>
    </row>
    <row r="961" spans="2:3">
      <c r="B961" s="428"/>
      <c r="C961" s="428"/>
    </row>
    <row r="962" spans="2:3">
      <c r="B962" s="428"/>
      <c r="C962" s="428"/>
    </row>
    <row r="963" spans="2:3">
      <c r="B963" s="428"/>
      <c r="C963" s="428"/>
    </row>
    <row r="964" spans="2:3">
      <c r="B964" s="428"/>
      <c r="C964" s="428"/>
    </row>
    <row r="965" spans="2:3">
      <c r="B965" s="428"/>
      <c r="C965" s="428"/>
    </row>
    <row r="966" spans="2:3">
      <c r="B966" s="428"/>
      <c r="C966" s="428"/>
    </row>
    <row r="967" spans="2:3">
      <c r="B967" s="428"/>
      <c r="C967" s="428"/>
    </row>
    <row r="968" spans="2:3">
      <c r="B968" s="428"/>
      <c r="C968" s="428"/>
    </row>
    <row r="969" spans="2:3">
      <c r="B969" s="428"/>
      <c r="C969" s="428"/>
    </row>
    <row r="970" spans="2:3">
      <c r="B970" s="428"/>
      <c r="C970" s="428"/>
    </row>
    <row r="971" spans="2:3">
      <c r="B971" s="428"/>
      <c r="C971" s="428"/>
    </row>
    <row r="972" spans="2:3">
      <c r="B972" s="428"/>
      <c r="C972" s="428"/>
    </row>
    <row r="973" spans="2:3">
      <c r="B973" s="428"/>
      <c r="C973" s="428"/>
    </row>
    <row r="974" spans="2:3">
      <c r="B974" s="428"/>
      <c r="C974" s="428"/>
    </row>
    <row r="975" spans="2:3">
      <c r="B975" s="428"/>
      <c r="C975" s="428"/>
    </row>
    <row r="976" spans="2:3">
      <c r="B976" s="428"/>
      <c r="C976" s="428"/>
    </row>
    <row r="977" spans="2:3">
      <c r="B977" s="428"/>
      <c r="C977" s="428"/>
    </row>
    <row r="978" spans="2:3">
      <c r="B978" s="428"/>
      <c r="C978" s="428"/>
    </row>
    <row r="979" spans="2:3">
      <c r="B979" s="428"/>
      <c r="C979" s="428"/>
    </row>
    <row r="980" spans="2:3">
      <c r="B980" s="428"/>
      <c r="C980" s="428"/>
    </row>
    <row r="981" spans="2:3">
      <c r="B981" s="428"/>
      <c r="C981" s="428"/>
    </row>
    <row r="982" spans="2:3">
      <c r="B982" s="428"/>
      <c r="C982" s="428"/>
    </row>
    <row r="983" spans="2:3">
      <c r="B983" s="428"/>
      <c r="C983" s="428"/>
    </row>
    <row r="984" spans="2:3">
      <c r="B984" s="428"/>
      <c r="C984" s="428"/>
    </row>
    <row r="985" spans="2:3">
      <c r="B985" s="428"/>
      <c r="C985" s="428"/>
    </row>
    <row r="986" spans="2:3">
      <c r="B986" s="428"/>
      <c r="C986" s="428"/>
    </row>
    <row r="987" spans="2:3">
      <c r="B987" s="428"/>
      <c r="C987" s="428"/>
    </row>
    <row r="988" spans="2:3">
      <c r="B988" s="428"/>
      <c r="C988" s="428"/>
    </row>
    <row r="989" spans="2:3">
      <c r="B989" s="428"/>
      <c r="C989" s="428"/>
    </row>
    <row r="990" spans="2:3">
      <c r="B990" s="428"/>
      <c r="C990" s="428"/>
    </row>
  </sheetData>
  <pageMargins left="0.7" right="0.7" top="0.75" bottom="0.75" header="0.3" footer="0.3"/>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J1709"/>
  <sheetViews>
    <sheetView workbookViewId="0"/>
  </sheetViews>
  <sheetFormatPr defaultColWidth="14.453125" defaultRowHeight="15" customHeight="1"/>
  <cols>
    <col min="1" max="1" width="5.7265625" customWidth="1"/>
    <col min="2" max="2" width="10.81640625" customWidth="1"/>
    <col min="3" max="3" width="18.453125" customWidth="1"/>
    <col min="5" max="5" width="30.08984375" customWidth="1"/>
    <col min="8" max="8" width="11.81640625" customWidth="1"/>
  </cols>
  <sheetData>
    <row r="1" spans="1:10">
      <c r="A1" s="430" t="s">
        <v>1005</v>
      </c>
      <c r="B1" s="430" t="s">
        <v>2246</v>
      </c>
      <c r="C1" s="430" t="s">
        <v>2248</v>
      </c>
      <c r="D1" s="430" t="s">
        <v>3</v>
      </c>
      <c r="E1" s="430" t="s">
        <v>4</v>
      </c>
      <c r="F1" s="430" t="s">
        <v>336</v>
      </c>
      <c r="G1" s="430" t="s">
        <v>5</v>
      </c>
      <c r="H1" s="430" t="s">
        <v>2249</v>
      </c>
      <c r="I1" s="430" t="s">
        <v>2250</v>
      </c>
      <c r="J1" s="430" t="s">
        <v>2251</v>
      </c>
    </row>
    <row r="2" spans="1:10">
      <c r="A2" s="431">
        <v>1</v>
      </c>
      <c r="B2" s="431" t="s">
        <v>2253</v>
      </c>
      <c r="C2" s="431" t="s">
        <v>2254</v>
      </c>
      <c r="D2" s="431" t="s">
        <v>2255</v>
      </c>
      <c r="E2" s="431" t="s">
        <v>2256</v>
      </c>
      <c r="F2" s="431">
        <v>48</v>
      </c>
      <c r="G2" s="431" t="s">
        <v>46</v>
      </c>
      <c r="H2" s="431" t="s">
        <v>2257</v>
      </c>
      <c r="I2" s="431" t="s">
        <v>2258</v>
      </c>
      <c r="J2" s="432">
        <v>46234</v>
      </c>
    </row>
    <row r="3" spans="1:10">
      <c r="A3" s="431">
        <v>2</v>
      </c>
      <c r="B3" s="431" t="s">
        <v>2253</v>
      </c>
      <c r="C3" s="431" t="s">
        <v>2254</v>
      </c>
      <c r="D3" s="431" t="s">
        <v>2260</v>
      </c>
      <c r="E3" s="431" t="s">
        <v>2261</v>
      </c>
      <c r="F3" s="431">
        <v>36</v>
      </c>
      <c r="G3" s="431" t="s">
        <v>46</v>
      </c>
      <c r="H3" s="431" t="s">
        <v>2257</v>
      </c>
      <c r="I3" s="431" t="s">
        <v>2258</v>
      </c>
      <c r="J3" s="432">
        <v>46234</v>
      </c>
    </row>
    <row r="4" spans="1:10">
      <c r="A4" s="431">
        <v>3</v>
      </c>
      <c r="B4" s="431" t="s">
        <v>2253</v>
      </c>
      <c r="C4" s="431" t="s">
        <v>2254</v>
      </c>
      <c r="D4" s="431" t="s">
        <v>2262</v>
      </c>
      <c r="E4" s="431" t="s">
        <v>2263</v>
      </c>
      <c r="F4" s="431">
        <v>35</v>
      </c>
      <c r="G4" s="431" t="s">
        <v>46</v>
      </c>
      <c r="H4" s="431" t="s">
        <v>2257</v>
      </c>
      <c r="I4" s="431" t="s">
        <v>2258</v>
      </c>
      <c r="J4" s="432">
        <v>46234</v>
      </c>
    </row>
    <row r="5" spans="1:10">
      <c r="A5" s="431">
        <v>4</v>
      </c>
      <c r="B5" s="431" t="s">
        <v>2253</v>
      </c>
      <c r="C5" s="431" t="s">
        <v>2254</v>
      </c>
      <c r="D5" s="431" t="s">
        <v>2264</v>
      </c>
      <c r="E5" s="431" t="s">
        <v>2265</v>
      </c>
      <c r="F5" s="431">
        <v>26</v>
      </c>
      <c r="G5" s="431" t="s">
        <v>46</v>
      </c>
      <c r="H5" s="431" t="s">
        <v>2257</v>
      </c>
      <c r="I5" s="431" t="s">
        <v>2258</v>
      </c>
      <c r="J5" s="432">
        <v>46234</v>
      </c>
    </row>
    <row r="6" spans="1:10">
      <c r="A6" s="431">
        <v>5</v>
      </c>
      <c r="B6" s="431" t="s">
        <v>2253</v>
      </c>
      <c r="C6" s="431" t="s">
        <v>2254</v>
      </c>
      <c r="D6" s="431" t="s">
        <v>2266</v>
      </c>
      <c r="E6" s="431" t="s">
        <v>2267</v>
      </c>
      <c r="F6" s="431">
        <v>26</v>
      </c>
      <c r="G6" s="431" t="s">
        <v>46</v>
      </c>
      <c r="H6" s="431" t="s">
        <v>2257</v>
      </c>
      <c r="I6" s="431" t="s">
        <v>2258</v>
      </c>
      <c r="J6" s="432">
        <v>46234</v>
      </c>
    </row>
    <row r="7" spans="1:10">
      <c r="A7" s="431">
        <v>6</v>
      </c>
      <c r="B7" s="431" t="s">
        <v>2253</v>
      </c>
      <c r="C7" s="431" t="s">
        <v>2254</v>
      </c>
      <c r="D7" s="431" t="s">
        <v>2268</v>
      </c>
      <c r="E7" s="431" t="s">
        <v>2269</v>
      </c>
      <c r="F7" s="431">
        <v>39</v>
      </c>
      <c r="G7" s="431" t="s">
        <v>46</v>
      </c>
      <c r="H7" s="431" t="s">
        <v>2257</v>
      </c>
      <c r="I7" s="431" t="s">
        <v>2258</v>
      </c>
      <c r="J7" s="432">
        <v>46234</v>
      </c>
    </row>
    <row r="8" spans="1:10">
      <c r="A8" s="431">
        <v>7</v>
      </c>
      <c r="B8" s="431" t="s">
        <v>2253</v>
      </c>
      <c r="C8" s="431" t="s">
        <v>2254</v>
      </c>
      <c r="D8" s="431" t="s">
        <v>2270</v>
      </c>
      <c r="E8" s="431" t="s">
        <v>2271</v>
      </c>
      <c r="F8" s="431">
        <v>29</v>
      </c>
      <c r="G8" s="431" t="s">
        <v>46</v>
      </c>
      <c r="H8" s="431" t="s">
        <v>2257</v>
      </c>
      <c r="I8" s="431" t="s">
        <v>2258</v>
      </c>
      <c r="J8" s="432">
        <v>46234</v>
      </c>
    </row>
    <row r="9" spans="1:10">
      <c r="A9" s="431">
        <v>8</v>
      </c>
      <c r="B9" s="431" t="s">
        <v>2253</v>
      </c>
      <c r="C9" s="431" t="s">
        <v>2254</v>
      </c>
      <c r="D9" s="431" t="s">
        <v>2272</v>
      </c>
      <c r="E9" s="431" t="s">
        <v>2273</v>
      </c>
      <c r="F9" s="431">
        <v>21</v>
      </c>
      <c r="G9" s="431" t="s">
        <v>46</v>
      </c>
      <c r="H9" s="431" t="s">
        <v>2257</v>
      </c>
      <c r="I9" s="431" t="s">
        <v>2258</v>
      </c>
      <c r="J9" s="432">
        <v>46234</v>
      </c>
    </row>
    <row r="10" spans="1:10">
      <c r="A10" s="431">
        <v>9</v>
      </c>
      <c r="B10" s="431" t="s">
        <v>2253</v>
      </c>
      <c r="C10" s="431" t="s">
        <v>2254</v>
      </c>
      <c r="D10" s="431" t="s">
        <v>2274</v>
      </c>
      <c r="E10" s="431" t="s">
        <v>2275</v>
      </c>
      <c r="F10" s="431">
        <v>46</v>
      </c>
      <c r="G10" s="431" t="s">
        <v>46</v>
      </c>
      <c r="H10" s="431" t="s">
        <v>2257</v>
      </c>
      <c r="I10" s="431" t="s">
        <v>2258</v>
      </c>
      <c r="J10" s="432">
        <v>46234</v>
      </c>
    </row>
    <row r="11" spans="1:10">
      <c r="A11" s="431">
        <v>10</v>
      </c>
      <c r="B11" s="431" t="s">
        <v>2253</v>
      </c>
      <c r="C11" s="431" t="s">
        <v>2254</v>
      </c>
      <c r="D11" s="431" t="s">
        <v>2276</v>
      </c>
      <c r="E11" s="431" t="s">
        <v>2277</v>
      </c>
      <c r="F11" s="431">
        <v>70000</v>
      </c>
      <c r="G11" s="431" t="s">
        <v>812</v>
      </c>
      <c r="H11" s="431" t="s">
        <v>2257</v>
      </c>
      <c r="I11" s="431" t="s">
        <v>2258</v>
      </c>
      <c r="J11" s="432">
        <v>46234</v>
      </c>
    </row>
    <row r="12" spans="1:10">
      <c r="A12" s="431">
        <v>11</v>
      </c>
      <c r="B12" s="431" t="s">
        <v>2253</v>
      </c>
      <c r="C12" s="431" t="s">
        <v>2254</v>
      </c>
      <c r="D12" s="431" t="s">
        <v>2278</v>
      </c>
      <c r="E12" s="431" t="s">
        <v>2279</v>
      </c>
      <c r="F12" s="431">
        <v>75750</v>
      </c>
      <c r="G12" s="431" t="s">
        <v>812</v>
      </c>
      <c r="H12" s="431" t="s">
        <v>2257</v>
      </c>
      <c r="I12" s="431" t="s">
        <v>2258</v>
      </c>
      <c r="J12" s="432">
        <v>46234</v>
      </c>
    </row>
    <row r="13" spans="1:10">
      <c r="A13" s="431">
        <v>12</v>
      </c>
      <c r="B13" s="431" t="s">
        <v>2253</v>
      </c>
      <c r="C13" s="431" t="s">
        <v>2254</v>
      </c>
      <c r="D13" s="431" t="s">
        <v>2280</v>
      </c>
      <c r="E13" s="431" t="s">
        <v>2281</v>
      </c>
      <c r="F13" s="431">
        <v>79000</v>
      </c>
      <c r="G13" s="431" t="s">
        <v>812</v>
      </c>
      <c r="H13" s="431" t="s">
        <v>2257</v>
      </c>
      <c r="I13" s="431" t="s">
        <v>2258</v>
      </c>
      <c r="J13" s="432">
        <v>46234</v>
      </c>
    </row>
    <row r="14" spans="1:10">
      <c r="A14" s="431">
        <v>13</v>
      </c>
      <c r="B14" s="431" t="s">
        <v>2253</v>
      </c>
      <c r="C14" s="431" t="s">
        <v>2254</v>
      </c>
      <c r="D14" s="431" t="s">
        <v>2282</v>
      </c>
      <c r="E14" s="431" t="s">
        <v>2283</v>
      </c>
      <c r="F14" s="431">
        <v>83000</v>
      </c>
      <c r="G14" s="431" t="s">
        <v>812</v>
      </c>
      <c r="H14" s="431" t="s">
        <v>2257</v>
      </c>
      <c r="I14" s="431" t="s">
        <v>2258</v>
      </c>
      <c r="J14" s="432">
        <v>46234</v>
      </c>
    </row>
    <row r="15" spans="1:10">
      <c r="A15" s="431">
        <v>14</v>
      </c>
      <c r="B15" s="431" t="s">
        <v>2253</v>
      </c>
      <c r="C15" s="431" t="s">
        <v>2254</v>
      </c>
      <c r="D15" s="431" t="s">
        <v>2284</v>
      </c>
      <c r="E15" s="431" t="s">
        <v>2285</v>
      </c>
      <c r="F15" s="431">
        <v>45000</v>
      </c>
      <c r="G15" s="431" t="s">
        <v>812</v>
      </c>
      <c r="H15" s="431" t="s">
        <v>2257</v>
      </c>
      <c r="I15" s="431" t="s">
        <v>2258</v>
      </c>
      <c r="J15" s="432">
        <v>46234</v>
      </c>
    </row>
    <row r="16" spans="1:10">
      <c r="A16" s="431">
        <v>15</v>
      </c>
      <c r="B16" s="431" t="s">
        <v>2253</v>
      </c>
      <c r="C16" s="431" t="s">
        <v>2254</v>
      </c>
      <c r="D16" s="431" t="s">
        <v>2286</v>
      </c>
      <c r="E16" s="431" t="s">
        <v>2287</v>
      </c>
      <c r="F16" s="431">
        <v>47250</v>
      </c>
      <c r="G16" s="431" t="s">
        <v>812</v>
      </c>
      <c r="H16" s="431" t="s">
        <v>2257</v>
      </c>
      <c r="I16" s="431" t="s">
        <v>2258</v>
      </c>
      <c r="J16" s="432">
        <v>46234</v>
      </c>
    </row>
    <row r="17" spans="1:10">
      <c r="A17" s="431">
        <v>16</v>
      </c>
      <c r="B17" s="431" t="s">
        <v>2253</v>
      </c>
      <c r="C17" s="431" t="s">
        <v>2254</v>
      </c>
      <c r="D17" s="431" t="s">
        <v>2288</v>
      </c>
      <c r="E17" s="431" t="s">
        <v>2289</v>
      </c>
      <c r="F17" s="431">
        <v>1380</v>
      </c>
      <c r="G17" s="431" t="s">
        <v>328</v>
      </c>
      <c r="H17" s="431" t="s">
        <v>2257</v>
      </c>
      <c r="I17" s="431" t="s">
        <v>2258</v>
      </c>
      <c r="J17" s="432">
        <v>46234</v>
      </c>
    </row>
    <row r="18" spans="1:10">
      <c r="A18" s="431">
        <v>17</v>
      </c>
      <c r="B18" s="431" t="s">
        <v>2253</v>
      </c>
      <c r="C18" s="431" t="s">
        <v>2254</v>
      </c>
      <c r="D18" s="431" t="s">
        <v>2290</v>
      </c>
      <c r="E18" s="431" t="s">
        <v>2291</v>
      </c>
      <c r="F18" s="431">
        <v>1785</v>
      </c>
      <c r="G18" s="431" t="s">
        <v>328</v>
      </c>
      <c r="H18" s="431" t="s">
        <v>2257</v>
      </c>
      <c r="I18" s="431" t="s">
        <v>2258</v>
      </c>
      <c r="J18" s="432">
        <v>46234</v>
      </c>
    </row>
    <row r="19" spans="1:10">
      <c r="A19" s="431">
        <v>18</v>
      </c>
      <c r="B19" s="431" t="s">
        <v>2253</v>
      </c>
      <c r="C19" s="431" t="s">
        <v>2254</v>
      </c>
      <c r="D19" s="431" t="s">
        <v>2292</v>
      </c>
      <c r="E19" s="431" t="s">
        <v>2293</v>
      </c>
      <c r="F19" s="431">
        <v>145</v>
      </c>
      <c r="G19" s="431" t="s">
        <v>46</v>
      </c>
      <c r="H19" s="431" t="s">
        <v>2257</v>
      </c>
      <c r="I19" s="431" t="s">
        <v>2258</v>
      </c>
      <c r="J19" s="432">
        <v>46234</v>
      </c>
    </row>
    <row r="20" spans="1:10">
      <c r="A20" s="431">
        <v>19</v>
      </c>
      <c r="B20" s="431" t="s">
        <v>2253</v>
      </c>
      <c r="C20" s="431" t="s">
        <v>2254</v>
      </c>
      <c r="D20" s="431" t="s">
        <v>2294</v>
      </c>
      <c r="E20" s="431" t="s">
        <v>2295</v>
      </c>
      <c r="F20" s="431">
        <v>160</v>
      </c>
      <c r="G20" s="431" t="s">
        <v>46</v>
      </c>
      <c r="H20" s="431" t="s">
        <v>2257</v>
      </c>
      <c r="I20" s="431" t="s">
        <v>2258</v>
      </c>
      <c r="J20" s="432">
        <v>46234</v>
      </c>
    </row>
    <row r="21" spans="1:10">
      <c r="A21" s="431">
        <v>20</v>
      </c>
      <c r="B21" s="431" t="s">
        <v>2253</v>
      </c>
      <c r="C21" s="431" t="s">
        <v>2254</v>
      </c>
      <c r="D21" s="431" t="s">
        <v>2296</v>
      </c>
      <c r="E21" s="431" t="s">
        <v>2297</v>
      </c>
      <c r="F21" s="431">
        <v>100</v>
      </c>
      <c r="G21" s="431" t="s">
        <v>2298</v>
      </c>
      <c r="H21" s="431" t="s">
        <v>2257</v>
      </c>
      <c r="I21" s="431" t="s">
        <v>2258</v>
      </c>
      <c r="J21" s="432">
        <v>46234</v>
      </c>
    </row>
    <row r="22" spans="1:10">
      <c r="A22" s="431">
        <v>21</v>
      </c>
      <c r="B22" s="431" t="s">
        <v>2253</v>
      </c>
      <c r="C22" s="431" t="s">
        <v>2254</v>
      </c>
      <c r="D22" s="431" t="s">
        <v>2300</v>
      </c>
      <c r="E22" s="431" t="s">
        <v>2301</v>
      </c>
      <c r="F22" s="431">
        <v>80</v>
      </c>
      <c r="G22" s="431" t="s">
        <v>2298</v>
      </c>
      <c r="H22" s="431" t="s">
        <v>2257</v>
      </c>
      <c r="I22" s="431" t="s">
        <v>2258</v>
      </c>
      <c r="J22" s="432">
        <v>46234</v>
      </c>
    </row>
    <row r="23" spans="1:10">
      <c r="A23" s="431">
        <v>22</v>
      </c>
      <c r="B23" s="431" t="s">
        <v>2253</v>
      </c>
      <c r="C23" s="431" t="s">
        <v>2254</v>
      </c>
      <c r="D23" s="431" t="s">
        <v>2302</v>
      </c>
      <c r="E23" s="431" t="s">
        <v>2304</v>
      </c>
      <c r="F23" s="431">
        <v>60</v>
      </c>
      <c r="G23" s="431" t="s">
        <v>2298</v>
      </c>
      <c r="H23" s="431" t="s">
        <v>2257</v>
      </c>
      <c r="I23" s="431" t="s">
        <v>2258</v>
      </c>
      <c r="J23" s="432">
        <v>46234</v>
      </c>
    </row>
    <row r="24" spans="1:10">
      <c r="A24" s="431">
        <v>23</v>
      </c>
      <c r="B24" s="431" t="s">
        <v>2253</v>
      </c>
      <c r="C24" s="431" t="s">
        <v>2254</v>
      </c>
      <c r="D24" s="431" t="s">
        <v>2305</v>
      </c>
      <c r="E24" s="431" t="s">
        <v>2306</v>
      </c>
      <c r="F24" s="431">
        <v>215</v>
      </c>
      <c r="G24" s="431" t="s">
        <v>328</v>
      </c>
      <c r="H24" s="431" t="s">
        <v>2257</v>
      </c>
      <c r="I24" s="431" t="s">
        <v>2258</v>
      </c>
      <c r="J24" s="432">
        <v>46234</v>
      </c>
    </row>
    <row r="25" spans="1:10">
      <c r="A25" s="431">
        <v>24</v>
      </c>
      <c r="B25" s="431" t="s">
        <v>2253</v>
      </c>
      <c r="C25" s="431" t="s">
        <v>2254</v>
      </c>
      <c r="D25" s="431" t="s">
        <v>2307</v>
      </c>
      <c r="E25" s="431" t="s">
        <v>2308</v>
      </c>
      <c r="F25" s="431">
        <v>175</v>
      </c>
      <c r="G25" s="431" t="s">
        <v>328</v>
      </c>
      <c r="H25" s="431" t="s">
        <v>2257</v>
      </c>
      <c r="I25" s="431" t="s">
        <v>2258</v>
      </c>
      <c r="J25" s="432">
        <v>46234</v>
      </c>
    </row>
    <row r="26" spans="1:10">
      <c r="A26" s="431">
        <v>25</v>
      </c>
      <c r="B26" s="431" t="s">
        <v>2253</v>
      </c>
      <c r="C26" s="431" t="s">
        <v>2254</v>
      </c>
      <c r="D26" s="431" t="s">
        <v>2309</v>
      </c>
      <c r="E26" s="431" t="s">
        <v>2310</v>
      </c>
      <c r="F26" s="431">
        <v>450</v>
      </c>
      <c r="G26" s="431" t="s">
        <v>328</v>
      </c>
      <c r="H26" s="431" t="s">
        <v>2257</v>
      </c>
      <c r="I26" s="431" t="s">
        <v>2258</v>
      </c>
      <c r="J26" s="432">
        <v>46234</v>
      </c>
    </row>
    <row r="27" spans="1:10">
      <c r="A27" s="431">
        <v>26</v>
      </c>
      <c r="B27" s="431" t="s">
        <v>2253</v>
      </c>
      <c r="C27" s="431" t="s">
        <v>2254</v>
      </c>
      <c r="D27" s="431" t="s">
        <v>2311</v>
      </c>
      <c r="E27" s="431" t="s">
        <v>2312</v>
      </c>
      <c r="F27" s="431">
        <v>500</v>
      </c>
      <c r="G27" s="431" t="s">
        <v>328</v>
      </c>
      <c r="H27" s="431" t="s">
        <v>2257</v>
      </c>
      <c r="I27" s="431" t="s">
        <v>2258</v>
      </c>
      <c r="J27" s="432">
        <v>46234</v>
      </c>
    </row>
    <row r="28" spans="1:10">
      <c r="A28" s="431">
        <v>27</v>
      </c>
      <c r="B28" s="431" t="s">
        <v>2253</v>
      </c>
      <c r="C28" s="431" t="s">
        <v>2254</v>
      </c>
      <c r="D28" s="431" t="s">
        <v>2313</v>
      </c>
      <c r="E28" s="431" t="s">
        <v>2314</v>
      </c>
      <c r="F28" s="431">
        <v>550</v>
      </c>
      <c r="G28" s="431" t="s">
        <v>328</v>
      </c>
      <c r="H28" s="431" t="s">
        <v>2257</v>
      </c>
      <c r="I28" s="431" t="s">
        <v>2258</v>
      </c>
      <c r="J28" s="432">
        <v>46234</v>
      </c>
    </row>
    <row r="29" spans="1:10">
      <c r="A29" s="431">
        <v>28</v>
      </c>
      <c r="B29" s="431" t="s">
        <v>2253</v>
      </c>
      <c r="C29" s="431" t="s">
        <v>2254</v>
      </c>
      <c r="D29" s="431" t="s">
        <v>2315</v>
      </c>
      <c r="E29" s="431" t="s">
        <v>2316</v>
      </c>
      <c r="F29" s="431">
        <v>600</v>
      </c>
      <c r="G29" s="431" t="s">
        <v>328</v>
      </c>
      <c r="H29" s="431" t="s">
        <v>2257</v>
      </c>
      <c r="I29" s="431" t="s">
        <v>2258</v>
      </c>
      <c r="J29" s="432">
        <v>46234</v>
      </c>
    </row>
    <row r="30" spans="1:10">
      <c r="A30" s="431">
        <v>29</v>
      </c>
      <c r="B30" s="431" t="s">
        <v>2253</v>
      </c>
      <c r="C30" s="431" t="s">
        <v>2254</v>
      </c>
      <c r="D30" s="431" t="s">
        <v>2317</v>
      </c>
      <c r="E30" s="431" t="s">
        <v>2318</v>
      </c>
      <c r="F30" s="431">
        <v>188</v>
      </c>
      <c r="G30" s="431" t="s">
        <v>328</v>
      </c>
      <c r="H30" s="431" t="s">
        <v>2257</v>
      </c>
      <c r="I30" s="431" t="s">
        <v>2258</v>
      </c>
      <c r="J30" s="432">
        <v>46234</v>
      </c>
    </row>
    <row r="31" spans="1:10">
      <c r="A31" s="431">
        <v>30</v>
      </c>
      <c r="B31" s="431" t="s">
        <v>2253</v>
      </c>
      <c r="C31" s="431" t="s">
        <v>2254</v>
      </c>
      <c r="D31" s="431" t="s">
        <v>2319</v>
      </c>
      <c r="E31" s="431" t="s">
        <v>2320</v>
      </c>
      <c r="F31" s="431">
        <v>165</v>
      </c>
      <c r="G31" s="431" t="s">
        <v>328</v>
      </c>
      <c r="H31" s="431" t="s">
        <v>2257</v>
      </c>
      <c r="I31" s="431" t="s">
        <v>2258</v>
      </c>
      <c r="J31" s="432">
        <v>46234</v>
      </c>
    </row>
    <row r="32" spans="1:10">
      <c r="A32" s="431">
        <v>31</v>
      </c>
      <c r="B32" s="431" t="s">
        <v>2253</v>
      </c>
      <c r="C32" s="431" t="s">
        <v>2254</v>
      </c>
      <c r="D32" s="431" t="s">
        <v>2321</v>
      </c>
      <c r="E32" s="431" t="s">
        <v>2322</v>
      </c>
      <c r="F32" s="431">
        <v>340</v>
      </c>
      <c r="G32" s="431" t="s">
        <v>328</v>
      </c>
      <c r="H32" s="431" t="s">
        <v>2257</v>
      </c>
      <c r="I32" s="431" t="s">
        <v>2258</v>
      </c>
      <c r="J32" s="432">
        <v>46234</v>
      </c>
    </row>
    <row r="33" spans="1:10">
      <c r="A33" s="431">
        <v>32</v>
      </c>
      <c r="B33" s="431" t="s">
        <v>2253</v>
      </c>
      <c r="C33" s="431" t="s">
        <v>2254</v>
      </c>
      <c r="D33" s="431" t="s">
        <v>2323</v>
      </c>
      <c r="E33" s="431" t="s">
        <v>2324</v>
      </c>
      <c r="F33" s="431">
        <v>360</v>
      </c>
      <c r="G33" s="431" t="s">
        <v>328</v>
      </c>
      <c r="H33" s="431" t="s">
        <v>2257</v>
      </c>
      <c r="I33" s="431" t="s">
        <v>2258</v>
      </c>
      <c r="J33" s="432">
        <v>46234</v>
      </c>
    </row>
    <row r="34" spans="1:10">
      <c r="A34" s="431">
        <v>33</v>
      </c>
      <c r="B34" s="431" t="s">
        <v>2253</v>
      </c>
      <c r="C34" s="431" t="s">
        <v>2254</v>
      </c>
      <c r="D34" s="431" t="s">
        <v>2325</v>
      </c>
      <c r="E34" s="431" t="s">
        <v>2326</v>
      </c>
      <c r="F34" s="431">
        <v>55</v>
      </c>
      <c r="G34" s="431" t="s">
        <v>46</v>
      </c>
      <c r="H34" s="431" t="s">
        <v>2257</v>
      </c>
      <c r="I34" s="431" t="s">
        <v>2258</v>
      </c>
      <c r="J34" s="432">
        <v>46234</v>
      </c>
    </row>
    <row r="35" spans="1:10">
      <c r="A35" s="431">
        <v>34</v>
      </c>
      <c r="B35" s="431" t="s">
        <v>2253</v>
      </c>
      <c r="C35" s="431" t="s">
        <v>2254</v>
      </c>
      <c r="D35" s="431" t="s">
        <v>2327</v>
      </c>
      <c r="E35" s="431" t="s">
        <v>2328</v>
      </c>
      <c r="F35" s="431">
        <v>70</v>
      </c>
      <c r="G35" s="431" t="s">
        <v>46</v>
      </c>
      <c r="H35" s="431" t="s">
        <v>2257</v>
      </c>
      <c r="I35" s="431" t="s">
        <v>2258</v>
      </c>
      <c r="J35" s="432">
        <v>46234</v>
      </c>
    </row>
    <row r="36" spans="1:10">
      <c r="A36" s="431">
        <v>35</v>
      </c>
      <c r="B36" s="431" t="s">
        <v>2253</v>
      </c>
      <c r="C36" s="431" t="s">
        <v>2254</v>
      </c>
      <c r="D36" s="431" t="s">
        <v>2329</v>
      </c>
      <c r="E36" s="431" t="s">
        <v>2330</v>
      </c>
      <c r="F36" s="431">
        <v>105</v>
      </c>
      <c r="G36" s="431" t="s">
        <v>46</v>
      </c>
      <c r="H36" s="431" t="s">
        <v>2257</v>
      </c>
      <c r="I36" s="431" t="s">
        <v>2258</v>
      </c>
      <c r="J36" s="432">
        <v>46234</v>
      </c>
    </row>
    <row r="37" spans="1:10">
      <c r="A37" s="431">
        <v>36</v>
      </c>
      <c r="B37" s="431" t="s">
        <v>2253</v>
      </c>
      <c r="C37" s="431" t="s">
        <v>2254</v>
      </c>
      <c r="D37" s="431" t="s">
        <v>2331</v>
      </c>
      <c r="E37" s="431" t="s">
        <v>2332</v>
      </c>
      <c r="F37" s="431">
        <v>650</v>
      </c>
      <c r="G37" s="431" t="s">
        <v>46</v>
      </c>
      <c r="H37" s="431" t="s">
        <v>2257</v>
      </c>
      <c r="I37" s="431" t="s">
        <v>2258</v>
      </c>
      <c r="J37" s="432">
        <v>46234</v>
      </c>
    </row>
    <row r="38" spans="1:10">
      <c r="A38" s="431">
        <v>37</v>
      </c>
      <c r="B38" s="431" t="s">
        <v>2253</v>
      </c>
      <c r="C38" s="431" t="s">
        <v>2254</v>
      </c>
      <c r="D38" s="431" t="s">
        <v>2333</v>
      </c>
      <c r="E38" s="431" t="s">
        <v>2334</v>
      </c>
      <c r="F38" s="431">
        <v>1100</v>
      </c>
      <c r="G38" s="431" t="s">
        <v>46</v>
      </c>
      <c r="H38" s="431" t="s">
        <v>2257</v>
      </c>
      <c r="I38" s="431" t="s">
        <v>2258</v>
      </c>
      <c r="J38" s="432">
        <v>46234</v>
      </c>
    </row>
    <row r="39" spans="1:10">
      <c r="A39" s="431">
        <v>38</v>
      </c>
      <c r="B39" s="431" t="s">
        <v>2253</v>
      </c>
      <c r="C39" s="431" t="s">
        <v>2254</v>
      </c>
      <c r="D39" s="431" t="s">
        <v>1694</v>
      </c>
      <c r="E39" s="431" t="s">
        <v>2335</v>
      </c>
      <c r="F39" s="431">
        <v>38</v>
      </c>
      <c r="G39" s="431" t="s">
        <v>21</v>
      </c>
      <c r="H39" s="431" t="s">
        <v>2257</v>
      </c>
      <c r="I39" s="431" t="s">
        <v>2258</v>
      </c>
      <c r="J39" s="432">
        <v>46234</v>
      </c>
    </row>
    <row r="40" spans="1:10">
      <c r="A40" s="431">
        <v>39</v>
      </c>
      <c r="B40" s="431" t="s">
        <v>2253</v>
      </c>
      <c r="C40" s="431" t="s">
        <v>2254</v>
      </c>
      <c r="D40" s="431" t="s">
        <v>1704</v>
      </c>
      <c r="E40" s="431" t="s">
        <v>2336</v>
      </c>
      <c r="F40" s="431">
        <v>27</v>
      </c>
      <c r="G40" s="431" t="s">
        <v>21</v>
      </c>
      <c r="H40" s="431" t="s">
        <v>2257</v>
      </c>
      <c r="I40" s="431" t="s">
        <v>2258</v>
      </c>
      <c r="J40" s="432">
        <v>46234</v>
      </c>
    </row>
    <row r="41" spans="1:10">
      <c r="A41" s="431">
        <v>40</v>
      </c>
      <c r="B41" s="431" t="s">
        <v>2253</v>
      </c>
      <c r="C41" s="431" t="s">
        <v>2254</v>
      </c>
      <c r="D41" s="431" t="s">
        <v>1714</v>
      </c>
      <c r="E41" s="431" t="s">
        <v>2337</v>
      </c>
      <c r="F41" s="431">
        <v>40</v>
      </c>
      <c r="G41" s="431" t="s">
        <v>21</v>
      </c>
      <c r="H41" s="431" t="s">
        <v>2257</v>
      </c>
      <c r="I41" s="431" t="s">
        <v>2258</v>
      </c>
      <c r="J41" s="432">
        <v>46234</v>
      </c>
    </row>
    <row r="42" spans="1:10">
      <c r="A42" s="431">
        <v>41</v>
      </c>
      <c r="B42" s="431" t="s">
        <v>2253</v>
      </c>
      <c r="C42" s="431" t="s">
        <v>2254</v>
      </c>
      <c r="D42" s="431" t="s">
        <v>1732</v>
      </c>
      <c r="E42" s="431" t="s">
        <v>2339</v>
      </c>
      <c r="F42" s="431">
        <v>30</v>
      </c>
      <c r="G42" s="431" t="s">
        <v>21</v>
      </c>
      <c r="H42" s="431" t="s">
        <v>2257</v>
      </c>
      <c r="I42" s="431" t="s">
        <v>2258</v>
      </c>
      <c r="J42" s="432">
        <v>46234</v>
      </c>
    </row>
    <row r="43" spans="1:10">
      <c r="A43" s="431">
        <v>42</v>
      </c>
      <c r="B43" s="431" t="s">
        <v>2253</v>
      </c>
      <c r="C43" s="431" t="s">
        <v>2254</v>
      </c>
      <c r="D43" s="431" t="s">
        <v>1753</v>
      </c>
      <c r="E43" s="431" t="s">
        <v>2341</v>
      </c>
      <c r="F43" s="431">
        <v>61</v>
      </c>
      <c r="G43" s="431" t="s">
        <v>21</v>
      </c>
      <c r="H43" s="431" t="s">
        <v>2257</v>
      </c>
      <c r="I43" s="431" t="s">
        <v>2258</v>
      </c>
      <c r="J43" s="432">
        <v>46234</v>
      </c>
    </row>
    <row r="44" spans="1:10">
      <c r="A44" s="431">
        <v>43</v>
      </c>
      <c r="B44" s="431" t="s">
        <v>2253</v>
      </c>
      <c r="C44" s="431" t="s">
        <v>2254</v>
      </c>
      <c r="D44" s="431" t="s">
        <v>1778</v>
      </c>
      <c r="E44" s="431" t="s">
        <v>1798</v>
      </c>
      <c r="F44" s="431">
        <v>48</v>
      </c>
      <c r="G44" s="431" t="s">
        <v>21</v>
      </c>
      <c r="H44" s="431" t="s">
        <v>2257</v>
      </c>
      <c r="I44" s="431" t="s">
        <v>2258</v>
      </c>
      <c r="J44" s="432">
        <v>46234</v>
      </c>
    </row>
    <row r="45" spans="1:10">
      <c r="A45" s="431">
        <v>44</v>
      </c>
      <c r="B45" s="431" t="s">
        <v>2253</v>
      </c>
      <c r="C45" s="431" t="s">
        <v>2254</v>
      </c>
      <c r="D45" s="431" t="s">
        <v>1793</v>
      </c>
      <c r="E45" s="431" t="s">
        <v>2344</v>
      </c>
      <c r="F45" s="431">
        <v>65</v>
      </c>
      <c r="G45" s="431" t="s">
        <v>21</v>
      </c>
      <c r="H45" s="431" t="s">
        <v>2257</v>
      </c>
      <c r="I45" s="431" t="s">
        <v>2258</v>
      </c>
      <c r="J45" s="432">
        <v>46234</v>
      </c>
    </row>
    <row r="46" spans="1:10">
      <c r="A46" s="431">
        <v>45</v>
      </c>
      <c r="B46" s="431" t="s">
        <v>2253</v>
      </c>
      <c r="C46" s="431" t="s">
        <v>2254</v>
      </c>
      <c r="D46" s="431" t="s">
        <v>1810</v>
      </c>
      <c r="E46" s="431" t="s">
        <v>2345</v>
      </c>
      <c r="F46" s="431">
        <v>52</v>
      </c>
      <c r="G46" s="431" t="s">
        <v>21</v>
      </c>
      <c r="H46" s="431" t="s">
        <v>2257</v>
      </c>
      <c r="I46" s="431" t="s">
        <v>2258</v>
      </c>
      <c r="J46" s="432">
        <v>46234</v>
      </c>
    </row>
    <row r="47" spans="1:10">
      <c r="A47" s="431">
        <v>46</v>
      </c>
      <c r="B47" s="431" t="s">
        <v>2253</v>
      </c>
      <c r="C47" s="431" t="s">
        <v>2254</v>
      </c>
      <c r="D47" s="431" t="s">
        <v>1823</v>
      </c>
      <c r="E47" s="431" t="s">
        <v>2346</v>
      </c>
      <c r="F47" s="431">
        <v>84</v>
      </c>
      <c r="G47" s="431" t="s">
        <v>21</v>
      </c>
      <c r="H47" s="431" t="s">
        <v>2257</v>
      </c>
      <c r="I47" s="431" t="s">
        <v>2258</v>
      </c>
      <c r="J47" s="432">
        <v>46234</v>
      </c>
    </row>
    <row r="48" spans="1:10">
      <c r="A48" s="431">
        <v>47</v>
      </c>
      <c r="B48" s="431" t="s">
        <v>2253</v>
      </c>
      <c r="C48" s="431" t="s">
        <v>2254</v>
      </c>
      <c r="D48" s="431" t="s">
        <v>1816</v>
      </c>
      <c r="E48" s="431" t="s">
        <v>2347</v>
      </c>
      <c r="F48" s="431">
        <v>53</v>
      </c>
      <c r="G48" s="431" t="s">
        <v>21</v>
      </c>
      <c r="H48" s="431" t="s">
        <v>2257</v>
      </c>
      <c r="I48" s="431" t="s">
        <v>2258</v>
      </c>
      <c r="J48" s="432">
        <v>46234</v>
      </c>
    </row>
    <row r="49" spans="1:10">
      <c r="A49" s="431">
        <v>48</v>
      </c>
      <c r="B49" s="431" t="s">
        <v>2253</v>
      </c>
      <c r="C49" s="431" t="s">
        <v>2254</v>
      </c>
      <c r="D49" s="431" t="s">
        <v>1838</v>
      </c>
      <c r="E49" s="431" t="s">
        <v>2348</v>
      </c>
      <c r="F49" s="431">
        <v>90</v>
      </c>
      <c r="G49" s="431" t="s">
        <v>21</v>
      </c>
      <c r="H49" s="431" t="s">
        <v>2257</v>
      </c>
      <c r="I49" s="431" t="s">
        <v>2258</v>
      </c>
      <c r="J49" s="432">
        <v>46234</v>
      </c>
    </row>
    <row r="50" spans="1:10">
      <c r="A50" s="431">
        <v>49</v>
      </c>
      <c r="B50" s="431" t="s">
        <v>2253</v>
      </c>
      <c r="C50" s="431" t="s">
        <v>2254</v>
      </c>
      <c r="D50" s="431" t="s">
        <v>1832</v>
      </c>
      <c r="E50" s="431" t="s">
        <v>2349</v>
      </c>
      <c r="F50" s="431">
        <v>60</v>
      </c>
      <c r="G50" s="431" t="s">
        <v>21</v>
      </c>
      <c r="H50" s="431" t="s">
        <v>2257</v>
      </c>
      <c r="I50" s="431" t="s">
        <v>2258</v>
      </c>
      <c r="J50" s="432">
        <v>46234</v>
      </c>
    </row>
    <row r="51" spans="1:10">
      <c r="A51" s="431">
        <v>50</v>
      </c>
      <c r="B51" s="431" t="s">
        <v>2253</v>
      </c>
      <c r="C51" s="431" t="s">
        <v>2254</v>
      </c>
      <c r="D51" s="431" t="s">
        <v>1848</v>
      </c>
      <c r="E51" s="431" t="s">
        <v>2350</v>
      </c>
      <c r="F51" s="431">
        <v>118</v>
      </c>
      <c r="G51" s="431" t="s">
        <v>21</v>
      </c>
      <c r="H51" s="431" t="s">
        <v>2257</v>
      </c>
      <c r="I51" s="431" t="s">
        <v>2258</v>
      </c>
      <c r="J51" s="432">
        <v>46234</v>
      </c>
    </row>
    <row r="52" spans="1:10">
      <c r="A52" s="431">
        <v>51</v>
      </c>
      <c r="B52" s="431" t="s">
        <v>2253</v>
      </c>
      <c r="C52" s="431" t="s">
        <v>2254</v>
      </c>
      <c r="D52" s="431" t="s">
        <v>1893</v>
      </c>
      <c r="E52" s="431" t="s">
        <v>2351</v>
      </c>
      <c r="F52" s="431">
        <v>83</v>
      </c>
      <c r="G52" s="431" t="s">
        <v>21</v>
      </c>
      <c r="H52" s="431" t="s">
        <v>2257</v>
      </c>
      <c r="I52" s="431" t="s">
        <v>2258</v>
      </c>
      <c r="J52" s="432">
        <v>46234</v>
      </c>
    </row>
    <row r="53" spans="1:10">
      <c r="A53" s="431">
        <v>52</v>
      </c>
      <c r="B53" s="431" t="s">
        <v>2253</v>
      </c>
      <c r="C53" s="431" t="s">
        <v>2254</v>
      </c>
      <c r="D53" s="431" t="s">
        <v>1854</v>
      </c>
      <c r="E53" s="431" t="s">
        <v>2352</v>
      </c>
      <c r="F53" s="431">
        <v>129</v>
      </c>
      <c r="G53" s="431" t="s">
        <v>21</v>
      </c>
      <c r="H53" s="431" t="s">
        <v>2257</v>
      </c>
      <c r="I53" s="431" t="s">
        <v>2258</v>
      </c>
      <c r="J53" s="432">
        <v>46234</v>
      </c>
    </row>
    <row r="54" spans="1:10">
      <c r="A54" s="431">
        <v>53</v>
      </c>
      <c r="B54" s="431" t="s">
        <v>2253</v>
      </c>
      <c r="C54" s="431" t="s">
        <v>2254</v>
      </c>
      <c r="D54" s="431" t="s">
        <v>1913</v>
      </c>
      <c r="E54" s="431" t="s">
        <v>2353</v>
      </c>
      <c r="F54" s="431">
        <v>95</v>
      </c>
      <c r="G54" s="431" t="s">
        <v>21</v>
      </c>
      <c r="H54" s="431" t="s">
        <v>2257</v>
      </c>
      <c r="I54" s="431" t="s">
        <v>2258</v>
      </c>
      <c r="J54" s="432">
        <v>46234</v>
      </c>
    </row>
    <row r="55" spans="1:10">
      <c r="A55" s="431">
        <v>54</v>
      </c>
      <c r="B55" s="431" t="s">
        <v>2253</v>
      </c>
      <c r="C55" s="431" t="s">
        <v>2254</v>
      </c>
      <c r="D55" s="431" t="s">
        <v>1864</v>
      </c>
      <c r="E55" s="431" t="s">
        <v>2354</v>
      </c>
      <c r="F55" s="431">
        <v>211</v>
      </c>
      <c r="G55" s="431" t="s">
        <v>21</v>
      </c>
      <c r="H55" s="431" t="s">
        <v>2257</v>
      </c>
      <c r="I55" s="431" t="s">
        <v>2258</v>
      </c>
      <c r="J55" s="432">
        <v>46234</v>
      </c>
    </row>
    <row r="56" spans="1:10">
      <c r="A56" s="431">
        <v>55</v>
      </c>
      <c r="B56" s="431" t="s">
        <v>2253</v>
      </c>
      <c r="C56" s="431" t="s">
        <v>2254</v>
      </c>
      <c r="D56" s="431" t="s">
        <v>571</v>
      </c>
      <c r="E56" s="431" t="s">
        <v>2355</v>
      </c>
      <c r="F56" s="431">
        <v>170</v>
      </c>
      <c r="G56" s="431" t="s">
        <v>21</v>
      </c>
      <c r="H56" s="431" t="s">
        <v>2257</v>
      </c>
      <c r="I56" s="431" t="s">
        <v>2258</v>
      </c>
      <c r="J56" s="432">
        <v>46234</v>
      </c>
    </row>
    <row r="57" spans="1:10">
      <c r="A57" s="431">
        <v>56</v>
      </c>
      <c r="B57" s="431" t="s">
        <v>2253</v>
      </c>
      <c r="C57" s="431" t="s">
        <v>2254</v>
      </c>
      <c r="D57" s="431" t="s">
        <v>1870</v>
      </c>
      <c r="E57" s="431" t="s">
        <v>2356</v>
      </c>
      <c r="F57" s="431">
        <v>520</v>
      </c>
      <c r="G57" s="431" t="s">
        <v>21</v>
      </c>
      <c r="H57" s="431" t="s">
        <v>2257</v>
      </c>
      <c r="I57" s="431" t="s">
        <v>2258</v>
      </c>
      <c r="J57" s="432">
        <v>46234</v>
      </c>
    </row>
    <row r="58" spans="1:10">
      <c r="A58" s="431">
        <v>57</v>
      </c>
      <c r="B58" s="431" t="s">
        <v>2253</v>
      </c>
      <c r="C58" s="431" t="s">
        <v>2254</v>
      </c>
      <c r="D58" s="431" t="s">
        <v>1790</v>
      </c>
      <c r="E58" s="431" t="s">
        <v>1791</v>
      </c>
      <c r="F58" s="431">
        <v>30</v>
      </c>
      <c r="G58" s="431" t="s">
        <v>46</v>
      </c>
      <c r="H58" s="431" t="s">
        <v>2257</v>
      </c>
      <c r="I58" s="431" t="s">
        <v>2258</v>
      </c>
      <c r="J58" s="432">
        <v>46234</v>
      </c>
    </row>
    <row r="59" spans="1:10">
      <c r="A59" s="431">
        <v>58</v>
      </c>
      <c r="B59" s="431" t="s">
        <v>2253</v>
      </c>
      <c r="C59" s="431" t="s">
        <v>2254</v>
      </c>
      <c r="D59" s="431" t="s">
        <v>1800</v>
      </c>
      <c r="E59" s="431" t="s">
        <v>1801</v>
      </c>
      <c r="F59" s="431">
        <v>22</v>
      </c>
      <c r="G59" s="431" t="s">
        <v>46</v>
      </c>
      <c r="H59" s="431" t="s">
        <v>2257</v>
      </c>
      <c r="I59" s="431" t="s">
        <v>2258</v>
      </c>
      <c r="J59" s="432">
        <v>46234</v>
      </c>
    </row>
    <row r="60" spans="1:10">
      <c r="A60" s="431">
        <v>59</v>
      </c>
      <c r="B60" s="431" t="s">
        <v>2253</v>
      </c>
      <c r="C60" s="431" t="s">
        <v>2254</v>
      </c>
      <c r="D60" s="431" t="s">
        <v>1807</v>
      </c>
      <c r="E60" s="431" t="s">
        <v>2357</v>
      </c>
      <c r="F60" s="431">
        <v>36</v>
      </c>
      <c r="G60" s="431" t="s">
        <v>46</v>
      </c>
      <c r="H60" s="431" t="s">
        <v>2257</v>
      </c>
      <c r="I60" s="431" t="s">
        <v>2258</v>
      </c>
      <c r="J60" s="432">
        <v>46234</v>
      </c>
    </row>
    <row r="61" spans="1:10">
      <c r="A61" s="431">
        <v>60</v>
      </c>
      <c r="B61" s="431" t="s">
        <v>2253</v>
      </c>
      <c r="C61" s="431" t="s">
        <v>2254</v>
      </c>
      <c r="D61" s="431" t="s">
        <v>1708</v>
      </c>
      <c r="E61" s="431" t="s">
        <v>1709</v>
      </c>
      <c r="F61" s="431">
        <v>35</v>
      </c>
      <c r="G61" s="431" t="s">
        <v>46</v>
      </c>
      <c r="H61" s="431" t="s">
        <v>2257</v>
      </c>
      <c r="I61" s="431" t="s">
        <v>2258</v>
      </c>
      <c r="J61" s="432">
        <v>46234</v>
      </c>
    </row>
    <row r="62" spans="1:10">
      <c r="A62" s="431">
        <v>61</v>
      </c>
      <c r="B62" s="431" t="s">
        <v>2253</v>
      </c>
      <c r="C62" s="431" t="s">
        <v>2254</v>
      </c>
      <c r="D62" s="431" t="s">
        <v>1729</v>
      </c>
      <c r="E62" s="431" t="s">
        <v>1730</v>
      </c>
      <c r="F62" s="431">
        <v>39</v>
      </c>
      <c r="G62" s="431" t="s">
        <v>46</v>
      </c>
      <c r="H62" s="431" t="s">
        <v>2257</v>
      </c>
      <c r="I62" s="431" t="s">
        <v>2258</v>
      </c>
      <c r="J62" s="432">
        <v>46234</v>
      </c>
    </row>
    <row r="63" spans="1:10">
      <c r="A63" s="431">
        <v>62</v>
      </c>
      <c r="B63" s="431" t="s">
        <v>2253</v>
      </c>
      <c r="C63" s="431" t="s">
        <v>2254</v>
      </c>
      <c r="D63" s="431" t="s">
        <v>1759</v>
      </c>
      <c r="E63" s="431" t="s">
        <v>2360</v>
      </c>
      <c r="F63" s="431">
        <v>46</v>
      </c>
      <c r="G63" s="431" t="s">
        <v>46</v>
      </c>
      <c r="H63" s="431" t="s">
        <v>2257</v>
      </c>
      <c r="I63" s="431" t="s">
        <v>2258</v>
      </c>
      <c r="J63" s="432">
        <v>46234</v>
      </c>
    </row>
    <row r="64" spans="1:10">
      <c r="A64" s="431">
        <v>63</v>
      </c>
      <c r="B64" s="431" t="s">
        <v>2253</v>
      </c>
      <c r="C64" s="431" t="s">
        <v>2254</v>
      </c>
      <c r="D64" s="431" t="s">
        <v>2362</v>
      </c>
      <c r="E64" s="431" t="s">
        <v>2363</v>
      </c>
      <c r="F64" s="431">
        <v>33</v>
      </c>
      <c r="G64" s="431" t="s">
        <v>46</v>
      </c>
      <c r="H64" s="431" t="s">
        <v>2257</v>
      </c>
      <c r="I64" s="431" t="s">
        <v>2258</v>
      </c>
      <c r="J64" s="432">
        <v>46234</v>
      </c>
    </row>
    <row r="65" spans="1:10">
      <c r="A65" s="431">
        <v>64</v>
      </c>
      <c r="B65" s="431" t="s">
        <v>2253</v>
      </c>
      <c r="C65" s="431" t="s">
        <v>2254</v>
      </c>
      <c r="D65" s="431" t="s">
        <v>1868</v>
      </c>
      <c r="E65" s="431" t="s">
        <v>1869</v>
      </c>
      <c r="F65" s="431">
        <v>19</v>
      </c>
      <c r="G65" s="431" t="s">
        <v>46</v>
      </c>
      <c r="H65" s="431" t="s">
        <v>2257</v>
      </c>
      <c r="I65" s="431" t="s">
        <v>2258</v>
      </c>
      <c r="J65" s="432">
        <v>46234</v>
      </c>
    </row>
    <row r="66" spans="1:10">
      <c r="A66" s="431">
        <v>65</v>
      </c>
      <c r="B66" s="431" t="s">
        <v>2253</v>
      </c>
      <c r="C66" s="431" t="s">
        <v>2254</v>
      </c>
      <c r="D66" s="431" t="s">
        <v>1672</v>
      </c>
      <c r="E66" s="431" t="s">
        <v>1673</v>
      </c>
      <c r="F66" s="431">
        <v>24</v>
      </c>
      <c r="G66" s="431" t="s">
        <v>46</v>
      </c>
      <c r="H66" s="431" t="s">
        <v>2257</v>
      </c>
      <c r="I66" s="431" t="s">
        <v>2258</v>
      </c>
      <c r="J66" s="432">
        <v>46234</v>
      </c>
    </row>
    <row r="67" spans="1:10">
      <c r="A67" s="431">
        <v>66</v>
      </c>
      <c r="B67" s="431" t="s">
        <v>2253</v>
      </c>
      <c r="C67" s="431" t="s">
        <v>2254</v>
      </c>
      <c r="D67" s="431" t="s">
        <v>1900</v>
      </c>
      <c r="E67" s="431" t="s">
        <v>1901</v>
      </c>
      <c r="F67" s="431">
        <v>22</v>
      </c>
      <c r="G67" s="431" t="s">
        <v>46</v>
      </c>
      <c r="H67" s="431" t="s">
        <v>2257</v>
      </c>
      <c r="I67" s="431" t="s">
        <v>2258</v>
      </c>
      <c r="J67" s="432">
        <v>46234</v>
      </c>
    </row>
    <row r="68" spans="1:10">
      <c r="A68" s="431">
        <v>67</v>
      </c>
      <c r="B68" s="431" t="s">
        <v>2253</v>
      </c>
      <c r="C68" s="431" t="s">
        <v>2254</v>
      </c>
      <c r="D68" s="431" t="s">
        <v>1818</v>
      </c>
      <c r="E68" s="431" t="s">
        <v>1819</v>
      </c>
      <c r="F68" s="431">
        <v>49</v>
      </c>
      <c r="G68" s="431" t="s">
        <v>46</v>
      </c>
      <c r="H68" s="431" t="s">
        <v>2257</v>
      </c>
      <c r="I68" s="431" t="s">
        <v>2258</v>
      </c>
      <c r="J68" s="432">
        <v>46234</v>
      </c>
    </row>
    <row r="69" spans="1:10">
      <c r="A69" s="431">
        <v>68</v>
      </c>
      <c r="B69" s="431" t="s">
        <v>2253</v>
      </c>
      <c r="C69" s="431" t="s">
        <v>2254</v>
      </c>
      <c r="D69" s="431" t="s">
        <v>1826</v>
      </c>
      <c r="E69" s="431" t="s">
        <v>1827</v>
      </c>
      <c r="F69" s="431">
        <v>28</v>
      </c>
      <c r="G69" s="431" t="s">
        <v>46</v>
      </c>
      <c r="H69" s="431" t="s">
        <v>2257</v>
      </c>
      <c r="I69" s="431" t="s">
        <v>2258</v>
      </c>
      <c r="J69" s="432">
        <v>46234</v>
      </c>
    </row>
    <row r="70" spans="1:10">
      <c r="A70" s="431">
        <v>69</v>
      </c>
      <c r="B70" s="431" t="s">
        <v>2253</v>
      </c>
      <c r="C70" s="431" t="s">
        <v>2254</v>
      </c>
      <c r="D70" s="431" t="s">
        <v>1835</v>
      </c>
      <c r="E70" s="431" t="s">
        <v>2365</v>
      </c>
      <c r="F70" s="431">
        <v>49</v>
      </c>
      <c r="G70" s="431" t="s">
        <v>46</v>
      </c>
      <c r="H70" s="431" t="s">
        <v>2257</v>
      </c>
      <c r="I70" s="431" t="s">
        <v>2258</v>
      </c>
      <c r="J70" s="432">
        <v>46234</v>
      </c>
    </row>
    <row r="71" spans="1:10">
      <c r="A71" s="431">
        <v>70</v>
      </c>
      <c r="B71" s="431" t="s">
        <v>2253</v>
      </c>
      <c r="C71" s="431" t="s">
        <v>2254</v>
      </c>
      <c r="D71" s="431" t="s">
        <v>1716</v>
      </c>
      <c r="E71" s="431" t="s">
        <v>1717</v>
      </c>
      <c r="F71" s="431">
        <v>43</v>
      </c>
      <c r="G71" s="431" t="s">
        <v>46</v>
      </c>
      <c r="H71" s="431" t="s">
        <v>2257</v>
      </c>
      <c r="I71" s="431" t="s">
        <v>2258</v>
      </c>
      <c r="J71" s="432">
        <v>46234</v>
      </c>
    </row>
    <row r="72" spans="1:10">
      <c r="A72" s="431">
        <v>71</v>
      </c>
      <c r="B72" s="431" t="s">
        <v>2253</v>
      </c>
      <c r="C72" s="431" t="s">
        <v>2254</v>
      </c>
      <c r="D72" s="431" t="s">
        <v>1740</v>
      </c>
      <c r="E72" s="431" t="s">
        <v>1741</v>
      </c>
      <c r="F72" s="431">
        <v>47</v>
      </c>
      <c r="G72" s="431" t="s">
        <v>46</v>
      </c>
      <c r="H72" s="431" t="s">
        <v>2257</v>
      </c>
      <c r="I72" s="431" t="s">
        <v>2258</v>
      </c>
      <c r="J72" s="432">
        <v>46234</v>
      </c>
    </row>
    <row r="73" spans="1:10">
      <c r="A73" s="431">
        <v>72</v>
      </c>
      <c r="B73" s="431" t="s">
        <v>2253</v>
      </c>
      <c r="C73" s="431" t="s">
        <v>2254</v>
      </c>
      <c r="D73" s="431" t="s">
        <v>1769</v>
      </c>
      <c r="E73" s="431" t="s">
        <v>2366</v>
      </c>
      <c r="F73" s="431">
        <v>57</v>
      </c>
      <c r="G73" s="431" t="s">
        <v>46</v>
      </c>
      <c r="H73" s="431" t="s">
        <v>2257</v>
      </c>
      <c r="I73" s="431" t="s">
        <v>2258</v>
      </c>
      <c r="J73" s="432">
        <v>46234</v>
      </c>
    </row>
    <row r="74" spans="1:10">
      <c r="A74" s="431">
        <v>73</v>
      </c>
      <c r="B74" s="431" t="s">
        <v>2253</v>
      </c>
      <c r="C74" s="431" t="s">
        <v>2254</v>
      </c>
      <c r="D74" s="431" t="s">
        <v>2368</v>
      </c>
      <c r="E74" s="431" t="s">
        <v>2369</v>
      </c>
      <c r="F74" s="431">
        <v>42</v>
      </c>
      <c r="G74" s="431" t="s">
        <v>46</v>
      </c>
      <c r="H74" s="431" t="s">
        <v>2257</v>
      </c>
      <c r="I74" s="431" t="s">
        <v>2258</v>
      </c>
      <c r="J74" s="432">
        <v>46234</v>
      </c>
    </row>
    <row r="75" spans="1:10">
      <c r="A75" s="431">
        <v>74</v>
      </c>
      <c r="B75" s="431" t="s">
        <v>2253</v>
      </c>
      <c r="C75" s="431" t="s">
        <v>2254</v>
      </c>
      <c r="D75" s="431" t="s">
        <v>1878</v>
      </c>
      <c r="E75" s="431" t="s">
        <v>1879</v>
      </c>
      <c r="F75" s="431">
        <v>23</v>
      </c>
      <c r="G75" s="431" t="s">
        <v>46</v>
      </c>
      <c r="H75" s="431" t="s">
        <v>2257</v>
      </c>
      <c r="I75" s="431" t="s">
        <v>2258</v>
      </c>
      <c r="J75" s="432">
        <v>46234</v>
      </c>
    </row>
    <row r="76" spans="1:10">
      <c r="A76" s="431">
        <v>75</v>
      </c>
      <c r="B76" s="431" t="s">
        <v>2253</v>
      </c>
      <c r="C76" s="431" t="s">
        <v>2254</v>
      </c>
      <c r="D76" s="431" t="s">
        <v>1687</v>
      </c>
      <c r="E76" s="431" t="s">
        <v>1688</v>
      </c>
      <c r="F76" s="431">
        <v>30</v>
      </c>
      <c r="G76" s="431" t="s">
        <v>46</v>
      </c>
      <c r="H76" s="431" t="s">
        <v>2257</v>
      </c>
      <c r="I76" s="431" t="s">
        <v>2258</v>
      </c>
      <c r="J76" s="432">
        <v>46234</v>
      </c>
    </row>
    <row r="77" spans="1:10">
      <c r="A77" s="431">
        <v>76</v>
      </c>
      <c r="B77" s="431" t="s">
        <v>2253</v>
      </c>
      <c r="C77" s="431" t="s">
        <v>2254</v>
      </c>
      <c r="D77" s="431" t="s">
        <v>1910</v>
      </c>
      <c r="E77" s="431" t="s">
        <v>1912</v>
      </c>
      <c r="F77" s="431">
        <v>28</v>
      </c>
      <c r="G77" s="431" t="s">
        <v>46</v>
      </c>
      <c r="H77" s="431" t="s">
        <v>2257</v>
      </c>
      <c r="I77" s="431" t="s">
        <v>2258</v>
      </c>
      <c r="J77" s="432">
        <v>46234</v>
      </c>
    </row>
    <row r="78" spans="1:10">
      <c r="A78" s="431">
        <v>77</v>
      </c>
      <c r="B78" s="431" t="s">
        <v>2253</v>
      </c>
      <c r="C78" s="431" t="s">
        <v>2254</v>
      </c>
      <c r="D78" s="431" t="s">
        <v>1843</v>
      </c>
      <c r="E78" s="431" t="s">
        <v>1844</v>
      </c>
      <c r="F78" s="431">
        <v>56</v>
      </c>
      <c r="G78" s="431" t="s">
        <v>46</v>
      </c>
      <c r="H78" s="431" t="s">
        <v>2257</v>
      </c>
      <c r="I78" s="431" t="s">
        <v>2258</v>
      </c>
      <c r="J78" s="432">
        <v>46234</v>
      </c>
    </row>
    <row r="79" spans="1:10">
      <c r="A79" s="431">
        <v>78</v>
      </c>
      <c r="B79" s="431" t="s">
        <v>2253</v>
      </c>
      <c r="C79" s="431" t="s">
        <v>2254</v>
      </c>
      <c r="D79" s="431" t="s">
        <v>1851</v>
      </c>
      <c r="E79" s="431" t="s">
        <v>1852</v>
      </c>
      <c r="F79" s="431">
        <v>54</v>
      </c>
      <c r="G79" s="431" t="s">
        <v>46</v>
      </c>
      <c r="H79" s="431" t="s">
        <v>2257</v>
      </c>
      <c r="I79" s="431" t="s">
        <v>2258</v>
      </c>
      <c r="J79" s="432">
        <v>46234</v>
      </c>
    </row>
    <row r="80" spans="1:10">
      <c r="A80" s="431">
        <v>79</v>
      </c>
      <c r="B80" s="431" t="s">
        <v>2253</v>
      </c>
      <c r="C80" s="431" t="s">
        <v>2254</v>
      </c>
      <c r="D80" s="431" t="s">
        <v>1861</v>
      </c>
      <c r="E80" s="431" t="s">
        <v>2370</v>
      </c>
      <c r="F80" s="431">
        <v>77</v>
      </c>
      <c r="G80" s="431" t="s">
        <v>46</v>
      </c>
      <c r="H80" s="431" t="s">
        <v>2257</v>
      </c>
      <c r="I80" s="431" t="s">
        <v>2258</v>
      </c>
      <c r="J80" s="432">
        <v>46234</v>
      </c>
    </row>
    <row r="81" spans="1:10">
      <c r="A81" s="431">
        <v>80</v>
      </c>
      <c r="B81" s="431" t="s">
        <v>2253</v>
      </c>
      <c r="C81" s="431" t="s">
        <v>2254</v>
      </c>
      <c r="D81" s="431" t="s">
        <v>1722</v>
      </c>
      <c r="E81" s="431" t="s">
        <v>1723</v>
      </c>
      <c r="F81" s="431">
        <v>102</v>
      </c>
      <c r="G81" s="431" t="s">
        <v>46</v>
      </c>
      <c r="H81" s="431" t="s">
        <v>2257</v>
      </c>
      <c r="I81" s="431" t="s">
        <v>2258</v>
      </c>
      <c r="J81" s="432">
        <v>46234</v>
      </c>
    </row>
    <row r="82" spans="1:10">
      <c r="A82" s="431">
        <v>81</v>
      </c>
      <c r="B82" s="431" t="s">
        <v>2253</v>
      </c>
      <c r="C82" s="431" t="s">
        <v>2254</v>
      </c>
      <c r="D82" s="431" t="s">
        <v>1748</v>
      </c>
      <c r="E82" s="431" t="s">
        <v>1749</v>
      </c>
      <c r="F82" s="431">
        <v>112</v>
      </c>
      <c r="G82" s="431" t="s">
        <v>46</v>
      </c>
      <c r="H82" s="431" t="s">
        <v>2257</v>
      </c>
      <c r="I82" s="431" t="s">
        <v>2258</v>
      </c>
      <c r="J82" s="432">
        <v>46234</v>
      </c>
    </row>
    <row r="83" spans="1:10">
      <c r="A83" s="431">
        <v>82</v>
      </c>
      <c r="B83" s="431" t="s">
        <v>2253</v>
      </c>
      <c r="C83" s="431" t="s">
        <v>2254</v>
      </c>
      <c r="D83" s="431" t="s">
        <v>1776</v>
      </c>
      <c r="E83" s="431" t="s">
        <v>2371</v>
      </c>
      <c r="F83" s="431">
        <v>123</v>
      </c>
      <c r="G83" s="431" t="s">
        <v>46</v>
      </c>
      <c r="H83" s="431" t="s">
        <v>2257</v>
      </c>
      <c r="I83" s="431" t="s">
        <v>2258</v>
      </c>
      <c r="J83" s="432">
        <v>46234</v>
      </c>
    </row>
    <row r="84" spans="1:10">
      <c r="A84" s="431">
        <v>83</v>
      </c>
      <c r="B84" s="431" t="s">
        <v>2253</v>
      </c>
      <c r="C84" s="431" t="s">
        <v>2254</v>
      </c>
      <c r="D84" s="431" t="s">
        <v>1783</v>
      </c>
      <c r="E84" s="431" t="s">
        <v>2372</v>
      </c>
      <c r="F84" s="431">
        <v>117</v>
      </c>
      <c r="G84" s="431" t="s">
        <v>46</v>
      </c>
      <c r="H84" s="431" t="s">
        <v>2257</v>
      </c>
      <c r="I84" s="431" t="s">
        <v>2258</v>
      </c>
      <c r="J84" s="432">
        <v>46234</v>
      </c>
    </row>
    <row r="85" spans="1:10">
      <c r="A85" s="431">
        <v>84</v>
      </c>
      <c r="B85" s="431" t="s">
        <v>2253</v>
      </c>
      <c r="C85" s="431" t="s">
        <v>2254</v>
      </c>
      <c r="D85" s="431" t="s">
        <v>2373</v>
      </c>
      <c r="E85" s="431" t="s">
        <v>2374</v>
      </c>
      <c r="F85" s="431">
        <v>70</v>
      </c>
      <c r="G85" s="431" t="s">
        <v>46</v>
      </c>
      <c r="H85" s="431" t="s">
        <v>2257</v>
      </c>
      <c r="I85" s="431" t="s">
        <v>2258</v>
      </c>
      <c r="J85" s="432">
        <v>46234</v>
      </c>
    </row>
    <row r="86" spans="1:10">
      <c r="A86" s="431">
        <v>85</v>
      </c>
      <c r="B86" s="431" t="s">
        <v>2253</v>
      </c>
      <c r="C86" s="431" t="s">
        <v>2254</v>
      </c>
      <c r="D86" s="431" t="s">
        <v>2375</v>
      </c>
      <c r="E86" s="431" t="s">
        <v>2376</v>
      </c>
      <c r="F86" s="431">
        <v>105</v>
      </c>
      <c r="G86" s="431" t="s">
        <v>46</v>
      </c>
      <c r="H86" s="431" t="s">
        <v>2257</v>
      </c>
      <c r="I86" s="431" t="s">
        <v>2258</v>
      </c>
      <c r="J86" s="432">
        <v>46234</v>
      </c>
    </row>
    <row r="87" spans="1:10">
      <c r="A87" s="431">
        <v>86</v>
      </c>
      <c r="B87" s="431" t="s">
        <v>2253</v>
      </c>
      <c r="C87" s="431" t="s">
        <v>2254</v>
      </c>
      <c r="D87" s="431" t="s">
        <v>1890</v>
      </c>
      <c r="E87" s="431" t="s">
        <v>1891</v>
      </c>
      <c r="F87" s="431">
        <v>28</v>
      </c>
      <c r="G87" s="431" t="s">
        <v>46</v>
      </c>
      <c r="H87" s="431" t="s">
        <v>2257</v>
      </c>
      <c r="I87" s="431" t="s">
        <v>2258</v>
      </c>
      <c r="J87" s="432">
        <v>46234</v>
      </c>
    </row>
    <row r="88" spans="1:10">
      <c r="A88" s="431">
        <v>87</v>
      </c>
      <c r="B88" s="431" t="s">
        <v>2253</v>
      </c>
      <c r="C88" s="431" t="s">
        <v>2254</v>
      </c>
      <c r="D88" s="431" t="s">
        <v>1697</v>
      </c>
      <c r="E88" s="431" t="s">
        <v>1698</v>
      </c>
      <c r="F88" s="431">
        <v>59</v>
      </c>
      <c r="G88" s="431" t="s">
        <v>46</v>
      </c>
      <c r="H88" s="431" t="s">
        <v>2257</v>
      </c>
      <c r="I88" s="431" t="s">
        <v>2258</v>
      </c>
      <c r="J88" s="432">
        <v>46234</v>
      </c>
    </row>
    <row r="89" spans="1:10">
      <c r="A89" s="431">
        <v>88</v>
      </c>
      <c r="B89" s="431" t="s">
        <v>2253</v>
      </c>
      <c r="C89" s="431" t="s">
        <v>2254</v>
      </c>
      <c r="D89" s="431" t="s">
        <v>1921</v>
      </c>
      <c r="E89" s="431" t="s">
        <v>1922</v>
      </c>
      <c r="F89" s="431">
        <v>56</v>
      </c>
      <c r="G89" s="431" t="s">
        <v>46</v>
      </c>
      <c r="H89" s="431" t="s">
        <v>2257</v>
      </c>
      <c r="I89" s="431" t="s">
        <v>2258</v>
      </c>
      <c r="J89" s="432">
        <v>46234</v>
      </c>
    </row>
    <row r="90" spans="1:10">
      <c r="A90" s="431">
        <v>89</v>
      </c>
      <c r="B90" s="431" t="s">
        <v>2253</v>
      </c>
      <c r="C90" s="431" t="s">
        <v>2254</v>
      </c>
      <c r="D90" s="431" t="s">
        <v>1612</v>
      </c>
      <c r="E90" s="431" t="s">
        <v>1613</v>
      </c>
      <c r="F90" s="431">
        <v>550</v>
      </c>
      <c r="G90" s="431" t="s">
        <v>46</v>
      </c>
      <c r="H90" s="431" t="s">
        <v>2257</v>
      </c>
      <c r="I90" s="431" t="s">
        <v>2258</v>
      </c>
      <c r="J90" s="432">
        <v>46234</v>
      </c>
    </row>
    <row r="91" spans="1:10">
      <c r="A91" s="431">
        <v>90</v>
      </c>
      <c r="B91" s="431" t="s">
        <v>2253</v>
      </c>
      <c r="C91" s="431" t="s">
        <v>2254</v>
      </c>
      <c r="D91" s="431" t="s">
        <v>2379</v>
      </c>
      <c r="E91" s="431" t="s">
        <v>2380</v>
      </c>
      <c r="F91" s="431">
        <v>400</v>
      </c>
      <c r="G91" s="431" t="s">
        <v>328</v>
      </c>
      <c r="H91" s="431" t="s">
        <v>2257</v>
      </c>
      <c r="I91" s="431" t="s">
        <v>2258</v>
      </c>
      <c r="J91" s="432">
        <v>46234</v>
      </c>
    </row>
    <row r="92" spans="1:10">
      <c r="A92" s="431">
        <v>91</v>
      </c>
      <c r="B92" s="431" t="s">
        <v>2253</v>
      </c>
      <c r="C92" s="431" t="s">
        <v>2254</v>
      </c>
      <c r="D92" s="431" t="s">
        <v>2381</v>
      </c>
      <c r="E92" s="431" t="s">
        <v>2382</v>
      </c>
      <c r="F92" s="431">
        <v>50600</v>
      </c>
      <c r="G92" s="431" t="s">
        <v>218</v>
      </c>
      <c r="H92" s="431" t="s">
        <v>2257</v>
      </c>
      <c r="I92" s="431" t="s">
        <v>2258</v>
      </c>
      <c r="J92" s="432">
        <v>46234</v>
      </c>
    </row>
    <row r="93" spans="1:10">
      <c r="A93" s="431">
        <v>92</v>
      </c>
      <c r="B93" s="431" t="s">
        <v>2253</v>
      </c>
      <c r="C93" s="431" t="s">
        <v>2254</v>
      </c>
      <c r="D93" s="431" t="s">
        <v>2383</v>
      </c>
      <c r="E93" s="431" t="s">
        <v>2384</v>
      </c>
      <c r="F93" s="431">
        <v>22000</v>
      </c>
      <c r="G93" s="431" t="s">
        <v>218</v>
      </c>
      <c r="H93" s="431" t="s">
        <v>2257</v>
      </c>
      <c r="I93" s="431" t="s">
        <v>2258</v>
      </c>
      <c r="J93" s="432">
        <v>46234</v>
      </c>
    </row>
    <row r="94" spans="1:10">
      <c r="A94" s="431">
        <v>94</v>
      </c>
      <c r="B94" s="431" t="s">
        <v>2253</v>
      </c>
      <c r="C94" s="431" t="s">
        <v>2254</v>
      </c>
      <c r="D94" s="431" t="s">
        <v>2385</v>
      </c>
      <c r="E94" s="431" t="s">
        <v>2386</v>
      </c>
      <c r="F94" s="431">
        <v>935</v>
      </c>
      <c r="G94" s="431" t="s">
        <v>812</v>
      </c>
      <c r="H94" s="431" t="s">
        <v>2257</v>
      </c>
      <c r="I94" s="431" t="s">
        <v>2258</v>
      </c>
      <c r="J94" s="432">
        <v>46234</v>
      </c>
    </row>
    <row r="95" spans="1:10">
      <c r="A95" s="431">
        <v>95</v>
      </c>
      <c r="B95" s="431" t="s">
        <v>2253</v>
      </c>
      <c r="C95" s="431" t="s">
        <v>2254</v>
      </c>
      <c r="D95" s="431" t="s">
        <v>2387</v>
      </c>
      <c r="E95" s="431" t="s">
        <v>2388</v>
      </c>
      <c r="F95" s="431">
        <v>2000</v>
      </c>
      <c r="G95" s="431" t="s">
        <v>691</v>
      </c>
      <c r="H95" s="431" t="s">
        <v>2257</v>
      </c>
      <c r="I95" s="431" t="s">
        <v>2258</v>
      </c>
      <c r="J95" s="432">
        <v>46234</v>
      </c>
    </row>
    <row r="96" spans="1:10">
      <c r="A96" s="431">
        <v>96</v>
      </c>
      <c r="B96" s="431" t="s">
        <v>2253</v>
      </c>
      <c r="C96" s="431" t="s">
        <v>2254</v>
      </c>
      <c r="D96" s="431" t="s">
        <v>2389</v>
      </c>
      <c r="E96" s="431" t="s">
        <v>2390</v>
      </c>
      <c r="F96" s="431">
        <v>34000</v>
      </c>
      <c r="G96" s="431" t="s">
        <v>46</v>
      </c>
      <c r="H96" s="431" t="s">
        <v>2257</v>
      </c>
      <c r="I96" s="431" t="s">
        <v>2258</v>
      </c>
      <c r="J96" s="432">
        <v>46234</v>
      </c>
    </row>
    <row r="97" spans="1:10">
      <c r="A97" s="431">
        <v>97</v>
      </c>
      <c r="B97" s="431" t="s">
        <v>2253</v>
      </c>
      <c r="C97" s="431" t="s">
        <v>2254</v>
      </c>
      <c r="D97" s="431" t="s">
        <v>2391</v>
      </c>
      <c r="E97" s="431" t="s">
        <v>2392</v>
      </c>
      <c r="F97" s="431">
        <v>280</v>
      </c>
      <c r="G97" s="431" t="s">
        <v>691</v>
      </c>
      <c r="H97" s="431" t="s">
        <v>2257</v>
      </c>
      <c r="I97" s="431" t="s">
        <v>2258</v>
      </c>
      <c r="J97" s="432">
        <v>46234</v>
      </c>
    </row>
    <row r="98" spans="1:10">
      <c r="A98" s="431">
        <v>98</v>
      </c>
      <c r="B98" s="431" t="s">
        <v>2253</v>
      </c>
      <c r="C98" s="431" t="s">
        <v>2254</v>
      </c>
      <c r="D98" s="431" t="s">
        <v>2393</v>
      </c>
      <c r="E98" s="431" t="s">
        <v>2394</v>
      </c>
      <c r="F98" s="431">
        <v>14000</v>
      </c>
      <c r="G98" s="431" t="s">
        <v>46</v>
      </c>
      <c r="H98" s="431" t="s">
        <v>2257</v>
      </c>
      <c r="I98" s="431" t="s">
        <v>2258</v>
      </c>
      <c r="J98" s="432">
        <v>46234</v>
      </c>
    </row>
    <row r="99" spans="1:10">
      <c r="A99" s="431">
        <v>99</v>
      </c>
      <c r="B99" s="431" t="s">
        <v>2253</v>
      </c>
      <c r="C99" s="431" t="s">
        <v>2254</v>
      </c>
      <c r="D99" s="431" t="s">
        <v>2395</v>
      </c>
      <c r="E99" s="431" t="s">
        <v>2396</v>
      </c>
      <c r="F99" s="431">
        <v>16000</v>
      </c>
      <c r="G99" s="431" t="s">
        <v>46</v>
      </c>
      <c r="H99" s="431" t="s">
        <v>2257</v>
      </c>
      <c r="I99" s="431" t="s">
        <v>2258</v>
      </c>
      <c r="J99" s="432">
        <v>46234</v>
      </c>
    </row>
    <row r="100" spans="1:10">
      <c r="A100" s="431">
        <v>100</v>
      </c>
      <c r="B100" s="431" t="s">
        <v>2253</v>
      </c>
      <c r="C100" s="431" t="s">
        <v>2254</v>
      </c>
      <c r="D100" s="431" t="s">
        <v>2397</v>
      </c>
      <c r="E100" s="431" t="s">
        <v>2398</v>
      </c>
      <c r="F100" s="431">
        <v>20000</v>
      </c>
      <c r="G100" s="431" t="s">
        <v>46</v>
      </c>
      <c r="H100" s="431" t="s">
        <v>2257</v>
      </c>
      <c r="I100" s="431" t="s">
        <v>2258</v>
      </c>
      <c r="J100" s="432">
        <v>46234</v>
      </c>
    </row>
    <row r="101" spans="1:10">
      <c r="A101" s="431">
        <v>103</v>
      </c>
      <c r="B101" s="431" t="s">
        <v>2253</v>
      </c>
      <c r="C101" s="431" t="s">
        <v>2254</v>
      </c>
      <c r="D101" s="431" t="s">
        <v>2399</v>
      </c>
      <c r="E101" s="431" t="s">
        <v>2400</v>
      </c>
      <c r="F101" s="431">
        <v>1</v>
      </c>
      <c r="G101" s="431" t="s">
        <v>328</v>
      </c>
      <c r="H101" s="431" t="s">
        <v>2257</v>
      </c>
      <c r="I101" s="431" t="s">
        <v>2258</v>
      </c>
      <c r="J101" s="432">
        <v>46234</v>
      </c>
    </row>
    <row r="102" spans="1:10">
      <c r="A102" s="431">
        <v>104</v>
      </c>
      <c r="B102" s="431" t="s">
        <v>2253</v>
      </c>
      <c r="C102" s="431" t="s">
        <v>2254</v>
      </c>
      <c r="D102" s="431" t="s">
        <v>2401</v>
      </c>
      <c r="E102" s="431" t="s">
        <v>2402</v>
      </c>
      <c r="F102" s="431">
        <v>1</v>
      </c>
      <c r="G102" s="431" t="s">
        <v>1107</v>
      </c>
      <c r="H102" s="431" t="s">
        <v>2257</v>
      </c>
      <c r="I102" s="431" t="s">
        <v>2258</v>
      </c>
      <c r="J102" s="432">
        <v>46234</v>
      </c>
    </row>
    <row r="103" spans="1:10">
      <c r="A103" s="431">
        <v>105</v>
      </c>
      <c r="B103" s="431" t="s">
        <v>2253</v>
      </c>
      <c r="C103" s="431" t="s">
        <v>2254</v>
      </c>
      <c r="D103" s="431" t="s">
        <v>2403</v>
      </c>
      <c r="E103" s="431" t="s">
        <v>2404</v>
      </c>
      <c r="F103" s="431">
        <v>1</v>
      </c>
      <c r="G103" s="431" t="s">
        <v>1107</v>
      </c>
      <c r="H103" s="431" t="s">
        <v>2257</v>
      </c>
      <c r="I103" s="431" t="s">
        <v>2258</v>
      </c>
      <c r="J103" s="432">
        <v>46234</v>
      </c>
    </row>
    <row r="104" spans="1:10">
      <c r="A104" s="431">
        <v>106</v>
      </c>
      <c r="B104" s="431" t="s">
        <v>2253</v>
      </c>
      <c r="C104" s="431" t="s">
        <v>2254</v>
      </c>
      <c r="D104" s="431" t="s">
        <v>2405</v>
      </c>
      <c r="E104" s="431" t="s">
        <v>2406</v>
      </c>
      <c r="F104" s="431">
        <v>12000</v>
      </c>
      <c r="G104" s="431" t="s">
        <v>1107</v>
      </c>
      <c r="H104" s="431" t="s">
        <v>2257</v>
      </c>
      <c r="I104" s="431" t="s">
        <v>2258</v>
      </c>
      <c r="J104" s="432">
        <v>46234</v>
      </c>
    </row>
    <row r="105" spans="1:10">
      <c r="A105" s="431">
        <v>107</v>
      </c>
      <c r="B105" s="431" t="s">
        <v>2253</v>
      </c>
      <c r="C105" s="431" t="s">
        <v>2254</v>
      </c>
      <c r="D105" s="431" t="s">
        <v>2407</v>
      </c>
      <c r="E105" s="431" t="s">
        <v>2408</v>
      </c>
      <c r="F105" s="431">
        <v>1</v>
      </c>
      <c r="G105" s="431" t="s">
        <v>1107</v>
      </c>
      <c r="H105" s="431" t="s">
        <v>2257</v>
      </c>
      <c r="I105" s="431" t="s">
        <v>2258</v>
      </c>
      <c r="J105" s="432">
        <v>46234</v>
      </c>
    </row>
    <row r="106" spans="1:10">
      <c r="A106" s="431">
        <v>108</v>
      </c>
      <c r="B106" s="431" t="s">
        <v>2253</v>
      </c>
      <c r="C106" s="431" t="s">
        <v>2254</v>
      </c>
      <c r="D106" s="431" t="s">
        <v>2409</v>
      </c>
      <c r="E106" s="431" t="s">
        <v>2410</v>
      </c>
      <c r="F106" s="431">
        <v>1</v>
      </c>
      <c r="G106" s="431" t="s">
        <v>1107</v>
      </c>
      <c r="H106" s="431" t="s">
        <v>2257</v>
      </c>
      <c r="I106" s="431" t="s">
        <v>2258</v>
      </c>
      <c r="J106" s="432">
        <v>46234</v>
      </c>
    </row>
    <row r="107" spans="1:10">
      <c r="A107" s="431">
        <v>109</v>
      </c>
      <c r="B107" s="431" t="s">
        <v>2253</v>
      </c>
      <c r="C107" s="431" t="s">
        <v>2254</v>
      </c>
      <c r="D107" s="431" t="s">
        <v>2411</v>
      </c>
      <c r="E107" s="431" t="s">
        <v>2412</v>
      </c>
      <c r="F107" s="431">
        <v>1</v>
      </c>
      <c r="G107" s="431" t="s">
        <v>1107</v>
      </c>
      <c r="H107" s="431" t="s">
        <v>2257</v>
      </c>
      <c r="I107" s="431" t="s">
        <v>2258</v>
      </c>
      <c r="J107" s="432">
        <v>46234</v>
      </c>
    </row>
    <row r="108" spans="1:10">
      <c r="A108" s="431">
        <v>110</v>
      </c>
      <c r="B108" s="431" t="s">
        <v>2253</v>
      </c>
      <c r="C108" s="431" t="s">
        <v>2254</v>
      </c>
      <c r="D108" s="431" t="s">
        <v>2413</v>
      </c>
      <c r="E108" s="431" t="s">
        <v>2414</v>
      </c>
      <c r="F108" s="431">
        <v>1</v>
      </c>
      <c r="G108" s="431" t="s">
        <v>328</v>
      </c>
      <c r="H108" s="431" t="s">
        <v>2257</v>
      </c>
      <c r="I108" s="431" t="s">
        <v>2258</v>
      </c>
      <c r="J108" s="432">
        <v>46234</v>
      </c>
    </row>
    <row r="109" spans="1:10">
      <c r="A109" s="431">
        <v>111</v>
      </c>
      <c r="B109" s="431" t="s">
        <v>2253</v>
      </c>
      <c r="C109" s="431" t="s">
        <v>2254</v>
      </c>
      <c r="D109" s="431" t="s">
        <v>2416</v>
      </c>
      <c r="E109" s="431" t="s">
        <v>2417</v>
      </c>
      <c r="F109" s="431">
        <v>1</v>
      </c>
      <c r="G109" s="431" t="s">
        <v>46</v>
      </c>
      <c r="H109" s="431" t="s">
        <v>2257</v>
      </c>
      <c r="I109" s="431" t="s">
        <v>2258</v>
      </c>
      <c r="J109" s="432">
        <v>46234</v>
      </c>
    </row>
    <row r="110" spans="1:10">
      <c r="A110" s="431">
        <v>112</v>
      </c>
      <c r="B110" s="431" t="s">
        <v>2253</v>
      </c>
      <c r="C110" s="431" t="s">
        <v>2254</v>
      </c>
      <c r="D110" s="431" t="s">
        <v>2419</v>
      </c>
      <c r="E110" s="431" t="s">
        <v>2420</v>
      </c>
      <c r="F110" s="431">
        <v>1</v>
      </c>
      <c r="G110" s="431" t="s">
        <v>21</v>
      </c>
      <c r="H110" s="431" t="s">
        <v>2257</v>
      </c>
      <c r="I110" s="431" t="s">
        <v>2258</v>
      </c>
      <c r="J110" s="432">
        <v>46234</v>
      </c>
    </row>
    <row r="111" spans="1:10">
      <c r="A111" s="431">
        <v>113</v>
      </c>
      <c r="B111" s="431" t="s">
        <v>2253</v>
      </c>
      <c r="C111" s="431" t="s">
        <v>2254</v>
      </c>
      <c r="D111" s="431" t="s">
        <v>2422</v>
      </c>
      <c r="E111" s="431" t="s">
        <v>2423</v>
      </c>
      <c r="F111" s="431">
        <v>1</v>
      </c>
      <c r="G111" s="431" t="s">
        <v>691</v>
      </c>
      <c r="H111" s="431" t="s">
        <v>2257</v>
      </c>
      <c r="I111" s="431" t="s">
        <v>2258</v>
      </c>
      <c r="J111" s="432">
        <v>46234</v>
      </c>
    </row>
    <row r="112" spans="1:10">
      <c r="A112" s="431">
        <v>114</v>
      </c>
      <c r="B112" s="431" t="s">
        <v>2253</v>
      </c>
      <c r="C112" s="431" t="s">
        <v>2254</v>
      </c>
      <c r="D112" s="431" t="s">
        <v>2424</v>
      </c>
      <c r="E112" s="431" t="s">
        <v>2425</v>
      </c>
      <c r="F112" s="431">
        <v>1</v>
      </c>
      <c r="G112" s="431" t="s">
        <v>691</v>
      </c>
      <c r="H112" s="431" t="s">
        <v>2257</v>
      </c>
      <c r="I112" s="431" t="s">
        <v>2258</v>
      </c>
      <c r="J112" s="432">
        <v>46234</v>
      </c>
    </row>
    <row r="113" spans="1:10">
      <c r="A113" s="431">
        <v>115</v>
      </c>
      <c r="B113" s="431" t="s">
        <v>2253</v>
      </c>
      <c r="C113" s="431" t="s">
        <v>2254</v>
      </c>
      <c r="D113" s="431" t="s">
        <v>2426</v>
      </c>
      <c r="E113" s="431" t="s">
        <v>2427</v>
      </c>
      <c r="F113" s="431">
        <v>1</v>
      </c>
      <c r="G113" s="431" t="s">
        <v>46</v>
      </c>
      <c r="H113" s="431" t="s">
        <v>2257</v>
      </c>
      <c r="I113" s="431" t="s">
        <v>2258</v>
      </c>
      <c r="J113" s="432">
        <v>46234</v>
      </c>
    </row>
    <row r="114" spans="1:10">
      <c r="A114" s="431">
        <v>116</v>
      </c>
      <c r="B114" s="431" t="s">
        <v>2253</v>
      </c>
      <c r="C114" s="431" t="s">
        <v>2254</v>
      </c>
      <c r="D114" s="431" t="s">
        <v>2428</v>
      </c>
      <c r="E114" s="431" t="s">
        <v>2429</v>
      </c>
      <c r="F114" s="431">
        <v>1</v>
      </c>
      <c r="G114" s="431" t="s">
        <v>46</v>
      </c>
      <c r="H114" s="431" t="s">
        <v>2257</v>
      </c>
      <c r="I114" s="431" t="s">
        <v>2258</v>
      </c>
      <c r="J114" s="432">
        <v>46234</v>
      </c>
    </row>
    <row r="115" spans="1:10">
      <c r="A115" s="431">
        <v>117</v>
      </c>
      <c r="B115" s="431" t="s">
        <v>2253</v>
      </c>
      <c r="C115" s="431" t="s">
        <v>2254</v>
      </c>
      <c r="D115" s="431" t="s">
        <v>994</v>
      </c>
      <c r="E115" s="431" t="s">
        <v>2430</v>
      </c>
      <c r="F115" s="431">
        <v>35</v>
      </c>
      <c r="G115" s="431" t="s">
        <v>46</v>
      </c>
      <c r="H115" s="431" t="s">
        <v>2257</v>
      </c>
      <c r="I115" s="431" t="s">
        <v>2258</v>
      </c>
      <c r="J115" s="432">
        <v>46234</v>
      </c>
    </row>
    <row r="116" spans="1:10">
      <c r="A116" s="431">
        <v>118</v>
      </c>
      <c r="B116" s="431" t="s">
        <v>2253</v>
      </c>
      <c r="C116" s="431" t="s">
        <v>2254</v>
      </c>
      <c r="D116" s="431" t="s">
        <v>2431</v>
      </c>
      <c r="E116" s="431" t="s">
        <v>2432</v>
      </c>
      <c r="F116" s="431">
        <v>1</v>
      </c>
      <c r="G116" s="431" t="s">
        <v>328</v>
      </c>
      <c r="H116" s="431" t="s">
        <v>2257</v>
      </c>
      <c r="I116" s="431" t="s">
        <v>2258</v>
      </c>
      <c r="J116" s="432">
        <v>46234</v>
      </c>
    </row>
    <row r="117" spans="1:10">
      <c r="A117" s="431">
        <v>119</v>
      </c>
      <c r="B117" s="431" t="s">
        <v>2253</v>
      </c>
      <c r="C117" s="431" t="s">
        <v>2254</v>
      </c>
      <c r="D117" s="431" t="s">
        <v>2433</v>
      </c>
      <c r="E117" s="431" t="s">
        <v>2434</v>
      </c>
      <c r="F117" s="431">
        <v>1</v>
      </c>
      <c r="G117" s="431" t="s">
        <v>691</v>
      </c>
      <c r="H117" s="431" t="s">
        <v>2257</v>
      </c>
      <c r="I117" s="431" t="s">
        <v>2258</v>
      </c>
      <c r="J117" s="432">
        <v>46234</v>
      </c>
    </row>
    <row r="118" spans="1:10">
      <c r="A118" s="431">
        <v>121</v>
      </c>
      <c r="B118" s="431" t="s">
        <v>2253</v>
      </c>
      <c r="C118" s="431" t="s">
        <v>2254</v>
      </c>
      <c r="D118" s="431" t="s">
        <v>2435</v>
      </c>
      <c r="E118" s="431" t="s">
        <v>2436</v>
      </c>
      <c r="F118" s="431">
        <v>1</v>
      </c>
      <c r="G118" s="431" t="s">
        <v>328</v>
      </c>
      <c r="H118" s="431" t="s">
        <v>2257</v>
      </c>
      <c r="I118" s="431" t="s">
        <v>2258</v>
      </c>
      <c r="J118" s="432">
        <v>46234</v>
      </c>
    </row>
    <row r="119" spans="1:10">
      <c r="A119" s="431">
        <v>123</v>
      </c>
      <c r="B119" s="431" t="s">
        <v>2253</v>
      </c>
      <c r="C119" s="431" t="s">
        <v>2254</v>
      </c>
      <c r="D119" s="431" t="s">
        <v>2437</v>
      </c>
      <c r="E119" s="431" t="s">
        <v>2438</v>
      </c>
      <c r="F119" s="431">
        <v>1</v>
      </c>
      <c r="G119" s="431" t="s">
        <v>328</v>
      </c>
      <c r="H119" s="431" t="s">
        <v>2257</v>
      </c>
      <c r="I119" s="431" t="s">
        <v>2258</v>
      </c>
      <c r="J119" s="432">
        <v>46234</v>
      </c>
    </row>
    <row r="120" spans="1:10">
      <c r="A120" s="431">
        <v>124</v>
      </c>
      <c r="B120" s="431" t="s">
        <v>2253</v>
      </c>
      <c r="C120" s="431" t="s">
        <v>2254</v>
      </c>
      <c r="D120" s="431" t="s">
        <v>2439</v>
      </c>
      <c r="E120" s="431" t="s">
        <v>2440</v>
      </c>
      <c r="F120" s="431">
        <v>1</v>
      </c>
      <c r="G120" s="431" t="s">
        <v>328</v>
      </c>
      <c r="H120" s="431" t="s">
        <v>2257</v>
      </c>
      <c r="I120" s="431" t="s">
        <v>2258</v>
      </c>
      <c r="J120" s="432">
        <v>46234</v>
      </c>
    </row>
    <row r="121" spans="1:10">
      <c r="A121" s="431">
        <v>125</v>
      </c>
      <c r="B121" s="431" t="s">
        <v>2253</v>
      </c>
      <c r="C121" s="431" t="s">
        <v>2254</v>
      </c>
      <c r="D121" s="431" t="s">
        <v>2441</v>
      </c>
      <c r="E121" s="431" t="s">
        <v>2442</v>
      </c>
      <c r="F121" s="431">
        <v>714</v>
      </c>
      <c r="G121" s="431" t="s">
        <v>2443</v>
      </c>
      <c r="H121" s="431" t="s">
        <v>2257</v>
      </c>
      <c r="I121" s="431" t="s">
        <v>2258</v>
      </c>
      <c r="J121" s="432">
        <v>46234</v>
      </c>
    </row>
    <row r="122" spans="1:10">
      <c r="A122" s="431">
        <v>126</v>
      </c>
      <c r="B122" s="431" t="s">
        <v>2253</v>
      </c>
      <c r="C122" s="431" t="s">
        <v>2254</v>
      </c>
      <c r="D122" s="431" t="s">
        <v>2444</v>
      </c>
      <c r="E122" s="431" t="s">
        <v>2445</v>
      </c>
      <c r="F122" s="431">
        <v>1</v>
      </c>
      <c r="G122" s="431" t="s">
        <v>691</v>
      </c>
      <c r="H122" s="431" t="s">
        <v>2257</v>
      </c>
      <c r="I122" s="431" t="s">
        <v>2258</v>
      </c>
      <c r="J122" s="432">
        <v>46234</v>
      </c>
    </row>
    <row r="123" spans="1:10">
      <c r="A123" s="431">
        <v>127</v>
      </c>
      <c r="B123" s="431" t="s">
        <v>2253</v>
      </c>
      <c r="C123" s="431" t="s">
        <v>2254</v>
      </c>
      <c r="D123" s="431" t="s">
        <v>2446</v>
      </c>
      <c r="E123" s="431" t="s">
        <v>2447</v>
      </c>
      <c r="F123" s="431">
        <v>1</v>
      </c>
      <c r="G123" s="431" t="s">
        <v>691</v>
      </c>
      <c r="H123" s="431" t="s">
        <v>2257</v>
      </c>
      <c r="I123" s="431" t="s">
        <v>2258</v>
      </c>
      <c r="J123" s="432">
        <v>46234</v>
      </c>
    </row>
    <row r="124" spans="1:10">
      <c r="A124" s="431">
        <v>128</v>
      </c>
      <c r="B124" s="431" t="s">
        <v>2253</v>
      </c>
      <c r="C124" s="431" t="s">
        <v>2254</v>
      </c>
      <c r="D124" s="431" t="s">
        <v>2448</v>
      </c>
      <c r="E124" s="431" t="s">
        <v>2449</v>
      </c>
      <c r="F124" s="431">
        <v>1</v>
      </c>
      <c r="G124" s="431" t="s">
        <v>328</v>
      </c>
      <c r="H124" s="431" t="s">
        <v>2257</v>
      </c>
      <c r="I124" s="431" t="s">
        <v>2258</v>
      </c>
      <c r="J124" s="432">
        <v>46234</v>
      </c>
    </row>
    <row r="125" spans="1:10">
      <c r="A125" s="431">
        <v>129</v>
      </c>
      <c r="B125" s="431" t="s">
        <v>2253</v>
      </c>
      <c r="C125" s="431" t="s">
        <v>2254</v>
      </c>
      <c r="D125" s="431" t="s">
        <v>2450</v>
      </c>
      <c r="E125" s="431" t="s">
        <v>2451</v>
      </c>
      <c r="F125" s="431">
        <v>1</v>
      </c>
      <c r="G125" s="431" t="s">
        <v>21</v>
      </c>
      <c r="H125" s="431" t="s">
        <v>2257</v>
      </c>
      <c r="I125" s="431" t="s">
        <v>2258</v>
      </c>
      <c r="J125" s="432">
        <v>46234</v>
      </c>
    </row>
    <row r="126" spans="1:10">
      <c r="A126" s="431">
        <v>130</v>
      </c>
      <c r="B126" s="431" t="s">
        <v>2253</v>
      </c>
      <c r="C126" s="431" t="s">
        <v>2254</v>
      </c>
      <c r="D126" s="431" t="s">
        <v>2452</v>
      </c>
      <c r="E126" s="431" t="s">
        <v>2453</v>
      </c>
      <c r="F126" s="431">
        <v>1</v>
      </c>
      <c r="G126" s="431" t="s">
        <v>21</v>
      </c>
      <c r="H126" s="431" t="s">
        <v>2257</v>
      </c>
      <c r="I126" s="431" t="s">
        <v>2258</v>
      </c>
      <c r="J126" s="432">
        <v>46234</v>
      </c>
    </row>
    <row r="127" spans="1:10">
      <c r="A127" s="431">
        <v>131</v>
      </c>
      <c r="B127" s="431" t="s">
        <v>2253</v>
      </c>
      <c r="C127" s="431" t="s">
        <v>2254</v>
      </c>
      <c r="D127" s="431" t="s">
        <v>2454</v>
      </c>
      <c r="E127" s="431" t="s">
        <v>2455</v>
      </c>
      <c r="F127" s="431">
        <v>1</v>
      </c>
      <c r="G127" s="431" t="s">
        <v>46</v>
      </c>
      <c r="H127" s="431" t="s">
        <v>2257</v>
      </c>
      <c r="I127" s="431" t="s">
        <v>2258</v>
      </c>
      <c r="J127" s="432">
        <v>46234</v>
      </c>
    </row>
    <row r="128" spans="1:10">
      <c r="A128" s="431">
        <v>132</v>
      </c>
      <c r="B128" s="431" t="s">
        <v>2253</v>
      </c>
      <c r="C128" s="431" t="s">
        <v>2254</v>
      </c>
      <c r="D128" s="431" t="s">
        <v>2456</v>
      </c>
      <c r="E128" s="431" t="s">
        <v>2457</v>
      </c>
      <c r="F128" s="431">
        <v>1</v>
      </c>
      <c r="G128" s="431" t="s">
        <v>21</v>
      </c>
      <c r="H128" s="431" t="s">
        <v>2257</v>
      </c>
      <c r="I128" s="431" t="s">
        <v>2258</v>
      </c>
      <c r="J128" s="432">
        <v>46234</v>
      </c>
    </row>
    <row r="129" spans="1:10">
      <c r="A129" s="431">
        <v>133</v>
      </c>
      <c r="B129" s="431" t="s">
        <v>2253</v>
      </c>
      <c r="C129" s="431" t="s">
        <v>2254</v>
      </c>
      <c r="D129" s="431" t="s">
        <v>2458</v>
      </c>
      <c r="E129" s="431" t="s">
        <v>2459</v>
      </c>
      <c r="F129" s="431">
        <v>58000</v>
      </c>
      <c r="G129" s="431" t="s">
        <v>218</v>
      </c>
      <c r="H129" s="431" t="s">
        <v>2257</v>
      </c>
      <c r="I129" s="431" t="s">
        <v>2258</v>
      </c>
      <c r="J129" s="432">
        <v>46234</v>
      </c>
    </row>
    <row r="130" spans="1:10">
      <c r="A130" s="431">
        <v>134</v>
      </c>
      <c r="B130" s="431" t="s">
        <v>2253</v>
      </c>
      <c r="C130" s="431" t="s">
        <v>2254</v>
      </c>
      <c r="D130" s="431" t="s">
        <v>2460</v>
      </c>
      <c r="E130" s="431" t="s">
        <v>2461</v>
      </c>
      <c r="F130" s="431">
        <v>50</v>
      </c>
      <c r="G130" s="431" t="s">
        <v>328</v>
      </c>
      <c r="H130" s="431" t="s">
        <v>2257</v>
      </c>
      <c r="I130" s="431" t="s">
        <v>2258</v>
      </c>
      <c r="J130" s="432">
        <v>46234</v>
      </c>
    </row>
    <row r="131" spans="1:10">
      <c r="A131" s="431">
        <v>135</v>
      </c>
      <c r="B131" s="431" t="s">
        <v>2253</v>
      </c>
      <c r="C131" s="431" t="s">
        <v>2254</v>
      </c>
      <c r="D131" s="431" t="s">
        <v>2462</v>
      </c>
      <c r="E131" s="431" t="s">
        <v>2463</v>
      </c>
      <c r="F131" s="431">
        <v>1</v>
      </c>
      <c r="G131" s="431" t="s">
        <v>328</v>
      </c>
      <c r="H131" s="431" t="s">
        <v>2257</v>
      </c>
      <c r="I131" s="431" t="s">
        <v>2258</v>
      </c>
      <c r="J131" s="432">
        <v>46234</v>
      </c>
    </row>
    <row r="132" spans="1:10">
      <c r="A132" s="431">
        <v>136</v>
      </c>
      <c r="B132" s="431" t="s">
        <v>2253</v>
      </c>
      <c r="C132" s="431" t="s">
        <v>2254</v>
      </c>
      <c r="D132" s="431" t="s">
        <v>2464</v>
      </c>
      <c r="E132" s="431" t="s">
        <v>2465</v>
      </c>
      <c r="F132" s="431">
        <v>1</v>
      </c>
      <c r="G132" s="431" t="s">
        <v>2466</v>
      </c>
      <c r="H132" s="431" t="s">
        <v>2257</v>
      </c>
      <c r="I132" s="431" t="s">
        <v>2258</v>
      </c>
      <c r="J132" s="432">
        <v>46234</v>
      </c>
    </row>
    <row r="133" spans="1:10">
      <c r="A133" s="431">
        <v>137</v>
      </c>
      <c r="B133" s="431" t="s">
        <v>2253</v>
      </c>
      <c r="C133" s="431" t="s">
        <v>2254</v>
      </c>
      <c r="D133" s="431" t="s">
        <v>2467</v>
      </c>
      <c r="E133" s="431" t="s">
        <v>2468</v>
      </c>
      <c r="F133" s="431">
        <v>7500</v>
      </c>
      <c r="G133" s="431" t="s">
        <v>21</v>
      </c>
      <c r="H133" s="431" t="s">
        <v>2257</v>
      </c>
      <c r="I133" s="431" t="s">
        <v>2258</v>
      </c>
      <c r="J133" s="432">
        <v>46234</v>
      </c>
    </row>
    <row r="134" spans="1:10">
      <c r="A134" s="431">
        <v>138</v>
      </c>
      <c r="B134" s="431" t="s">
        <v>2253</v>
      </c>
      <c r="C134" s="431" t="s">
        <v>2254</v>
      </c>
      <c r="D134" s="431" t="s">
        <v>2469</v>
      </c>
      <c r="E134" s="431" t="s">
        <v>2470</v>
      </c>
      <c r="F134" s="431">
        <v>1</v>
      </c>
      <c r="G134" s="431" t="s">
        <v>21</v>
      </c>
      <c r="H134" s="431" t="s">
        <v>2257</v>
      </c>
      <c r="I134" s="431" t="s">
        <v>2258</v>
      </c>
      <c r="J134" s="432">
        <v>46234</v>
      </c>
    </row>
    <row r="135" spans="1:10">
      <c r="A135" s="431">
        <v>139</v>
      </c>
      <c r="B135" s="431" t="s">
        <v>2253</v>
      </c>
      <c r="C135" s="431" t="s">
        <v>2254</v>
      </c>
      <c r="D135" s="431" t="s">
        <v>2471</v>
      </c>
      <c r="E135" s="431" t="s">
        <v>2472</v>
      </c>
      <c r="F135" s="431">
        <v>1</v>
      </c>
      <c r="G135" s="431" t="s">
        <v>328</v>
      </c>
      <c r="H135" s="431" t="s">
        <v>2257</v>
      </c>
      <c r="I135" s="431" t="s">
        <v>2258</v>
      </c>
      <c r="J135" s="432">
        <v>46234</v>
      </c>
    </row>
    <row r="136" spans="1:10">
      <c r="A136" s="431">
        <v>140</v>
      </c>
      <c r="B136" s="431" t="s">
        <v>2253</v>
      </c>
      <c r="C136" s="431" t="s">
        <v>2254</v>
      </c>
      <c r="D136" s="431" t="s">
        <v>2473</v>
      </c>
      <c r="E136" s="431" t="s">
        <v>2474</v>
      </c>
      <c r="F136" s="431">
        <v>1</v>
      </c>
      <c r="G136" s="431" t="s">
        <v>21</v>
      </c>
      <c r="H136" s="431" t="s">
        <v>2257</v>
      </c>
      <c r="I136" s="431" t="s">
        <v>2258</v>
      </c>
      <c r="J136" s="432">
        <v>46234</v>
      </c>
    </row>
    <row r="137" spans="1:10">
      <c r="A137" s="431">
        <v>141</v>
      </c>
      <c r="B137" s="431" t="s">
        <v>2253</v>
      </c>
      <c r="C137" s="431" t="s">
        <v>2254</v>
      </c>
      <c r="D137" s="431" t="s">
        <v>2475</v>
      </c>
      <c r="E137" s="431" t="s">
        <v>2476</v>
      </c>
      <c r="F137" s="431">
        <v>1</v>
      </c>
      <c r="G137" s="431" t="s">
        <v>21</v>
      </c>
      <c r="H137" s="431" t="s">
        <v>2257</v>
      </c>
      <c r="I137" s="431" t="s">
        <v>2258</v>
      </c>
      <c r="J137" s="432">
        <v>46234</v>
      </c>
    </row>
    <row r="138" spans="1:10">
      <c r="A138" s="431">
        <v>142</v>
      </c>
      <c r="B138" s="431" t="s">
        <v>2253</v>
      </c>
      <c r="C138" s="431" t="s">
        <v>2254</v>
      </c>
      <c r="D138" s="431" t="s">
        <v>2477</v>
      </c>
      <c r="E138" s="431" t="s">
        <v>2478</v>
      </c>
      <c r="F138" s="431">
        <v>1</v>
      </c>
      <c r="G138" s="431" t="s">
        <v>1107</v>
      </c>
      <c r="H138" s="431" t="s">
        <v>2257</v>
      </c>
      <c r="I138" s="431" t="s">
        <v>2258</v>
      </c>
      <c r="J138" s="432">
        <v>46234</v>
      </c>
    </row>
    <row r="139" spans="1:10">
      <c r="A139" s="431">
        <v>143</v>
      </c>
      <c r="B139" s="431" t="s">
        <v>2253</v>
      </c>
      <c r="C139" s="431" t="s">
        <v>2254</v>
      </c>
      <c r="D139" s="431" t="s">
        <v>2479</v>
      </c>
      <c r="E139" s="431" t="s">
        <v>2472</v>
      </c>
      <c r="F139" s="431">
        <v>1</v>
      </c>
      <c r="G139" s="431" t="s">
        <v>21</v>
      </c>
      <c r="H139" s="431" t="s">
        <v>2257</v>
      </c>
      <c r="I139" s="431" t="s">
        <v>2258</v>
      </c>
      <c r="J139" s="432">
        <v>46234</v>
      </c>
    </row>
    <row r="140" spans="1:10">
      <c r="A140" s="431">
        <v>145</v>
      </c>
      <c r="B140" s="431" t="s">
        <v>2253</v>
      </c>
      <c r="C140" s="431" t="s">
        <v>2254</v>
      </c>
      <c r="D140" s="431" t="s">
        <v>2480</v>
      </c>
      <c r="E140" s="431" t="s">
        <v>2481</v>
      </c>
      <c r="F140" s="431">
        <v>1</v>
      </c>
      <c r="G140" s="431" t="s">
        <v>21</v>
      </c>
      <c r="H140" s="431" t="s">
        <v>2257</v>
      </c>
      <c r="I140" s="431" t="s">
        <v>2258</v>
      </c>
      <c r="J140" s="432">
        <v>46234</v>
      </c>
    </row>
    <row r="141" spans="1:10">
      <c r="A141" s="431">
        <v>147</v>
      </c>
      <c r="B141" s="431" t="s">
        <v>2253</v>
      </c>
      <c r="C141" s="431" t="s">
        <v>2254</v>
      </c>
      <c r="D141" s="431" t="s">
        <v>2482</v>
      </c>
      <c r="E141" s="431" t="s">
        <v>2483</v>
      </c>
      <c r="F141" s="431">
        <v>1</v>
      </c>
      <c r="G141" s="431" t="s">
        <v>691</v>
      </c>
      <c r="H141" s="431" t="s">
        <v>2257</v>
      </c>
      <c r="I141" s="431" t="s">
        <v>2258</v>
      </c>
      <c r="J141" s="432">
        <v>46234</v>
      </c>
    </row>
    <row r="142" spans="1:10">
      <c r="A142" s="431">
        <v>148</v>
      </c>
      <c r="B142" s="431" t="s">
        <v>2253</v>
      </c>
      <c r="C142" s="431" t="s">
        <v>2254</v>
      </c>
      <c r="D142" s="431" t="s">
        <v>2484</v>
      </c>
      <c r="E142" s="431" t="s">
        <v>2485</v>
      </c>
      <c r="F142" s="431">
        <v>1</v>
      </c>
      <c r="G142" s="431" t="s">
        <v>691</v>
      </c>
      <c r="H142" s="431" t="s">
        <v>2257</v>
      </c>
      <c r="I142" s="431" t="s">
        <v>2258</v>
      </c>
      <c r="J142" s="432">
        <v>46234</v>
      </c>
    </row>
    <row r="143" spans="1:10">
      <c r="A143" s="431">
        <v>149</v>
      </c>
      <c r="B143" s="431" t="s">
        <v>2253</v>
      </c>
      <c r="C143" s="431" t="s">
        <v>2254</v>
      </c>
      <c r="D143" s="431" t="s">
        <v>2486</v>
      </c>
      <c r="E143" s="431" t="s">
        <v>2487</v>
      </c>
      <c r="F143" s="431">
        <v>1</v>
      </c>
      <c r="G143" s="431" t="s">
        <v>691</v>
      </c>
      <c r="H143" s="431" t="s">
        <v>2257</v>
      </c>
      <c r="I143" s="431" t="s">
        <v>2258</v>
      </c>
      <c r="J143" s="432">
        <v>46234</v>
      </c>
    </row>
    <row r="144" spans="1:10">
      <c r="A144" s="431">
        <v>151</v>
      </c>
      <c r="B144" s="431" t="s">
        <v>2253</v>
      </c>
      <c r="C144" s="431" t="s">
        <v>2254</v>
      </c>
      <c r="D144" s="431" t="s">
        <v>2488</v>
      </c>
      <c r="E144" s="431" t="s">
        <v>2489</v>
      </c>
      <c r="F144" s="431">
        <v>1</v>
      </c>
      <c r="G144" s="431" t="s">
        <v>21</v>
      </c>
      <c r="H144" s="431" t="s">
        <v>2257</v>
      </c>
      <c r="I144" s="431" t="s">
        <v>2258</v>
      </c>
      <c r="J144" s="432">
        <v>46234</v>
      </c>
    </row>
    <row r="145" spans="1:10">
      <c r="A145" s="431">
        <v>152</v>
      </c>
      <c r="B145" s="431" t="s">
        <v>2253</v>
      </c>
      <c r="C145" s="431" t="s">
        <v>2254</v>
      </c>
      <c r="D145" s="431" t="s">
        <v>2490</v>
      </c>
      <c r="E145" s="431" t="s">
        <v>2491</v>
      </c>
      <c r="F145" s="431">
        <v>1</v>
      </c>
      <c r="G145" s="431" t="s">
        <v>21</v>
      </c>
      <c r="H145" s="431" t="s">
        <v>2257</v>
      </c>
      <c r="I145" s="431" t="s">
        <v>2258</v>
      </c>
      <c r="J145" s="432">
        <v>46234</v>
      </c>
    </row>
    <row r="146" spans="1:10">
      <c r="A146" s="431">
        <v>153</v>
      </c>
      <c r="B146" s="431" t="s">
        <v>2253</v>
      </c>
      <c r="C146" s="431" t="s">
        <v>2254</v>
      </c>
      <c r="D146" s="431" t="s">
        <v>2492</v>
      </c>
      <c r="E146" s="431" t="s">
        <v>2493</v>
      </c>
      <c r="F146" s="431">
        <v>1</v>
      </c>
      <c r="G146" s="431" t="s">
        <v>21</v>
      </c>
      <c r="H146" s="431" t="s">
        <v>2257</v>
      </c>
      <c r="I146" s="431" t="s">
        <v>2258</v>
      </c>
      <c r="J146" s="432">
        <v>46234</v>
      </c>
    </row>
    <row r="147" spans="1:10">
      <c r="A147" s="431">
        <v>154</v>
      </c>
      <c r="B147" s="431" t="s">
        <v>2253</v>
      </c>
      <c r="C147" s="431" t="s">
        <v>2254</v>
      </c>
      <c r="D147" s="431" t="s">
        <v>2494</v>
      </c>
      <c r="E147" s="431" t="s">
        <v>2495</v>
      </c>
      <c r="F147" s="431">
        <v>1</v>
      </c>
      <c r="G147" s="431" t="s">
        <v>21</v>
      </c>
      <c r="H147" s="431" t="s">
        <v>2257</v>
      </c>
      <c r="I147" s="431" t="s">
        <v>2258</v>
      </c>
      <c r="J147" s="432">
        <v>46234</v>
      </c>
    </row>
    <row r="148" spans="1:10">
      <c r="A148" s="431">
        <v>155</v>
      </c>
      <c r="B148" s="431" t="s">
        <v>2253</v>
      </c>
      <c r="C148" s="431" t="s">
        <v>2254</v>
      </c>
      <c r="D148" s="431" t="s">
        <v>2496</v>
      </c>
      <c r="E148" s="431" t="s">
        <v>2497</v>
      </c>
      <c r="F148" s="431">
        <v>1</v>
      </c>
      <c r="G148" s="431" t="s">
        <v>21</v>
      </c>
      <c r="H148" s="431" t="s">
        <v>2257</v>
      </c>
      <c r="I148" s="431" t="s">
        <v>2258</v>
      </c>
      <c r="J148" s="432">
        <v>46234</v>
      </c>
    </row>
    <row r="149" spans="1:10">
      <c r="A149" s="431">
        <v>156</v>
      </c>
      <c r="B149" s="431" t="s">
        <v>2253</v>
      </c>
      <c r="C149" s="431" t="s">
        <v>2254</v>
      </c>
      <c r="D149" s="431" t="s">
        <v>2498</v>
      </c>
      <c r="E149" s="431" t="s">
        <v>2499</v>
      </c>
      <c r="F149" s="431">
        <v>1</v>
      </c>
      <c r="G149" s="431" t="s">
        <v>21</v>
      </c>
      <c r="H149" s="431" t="s">
        <v>2257</v>
      </c>
      <c r="I149" s="431" t="s">
        <v>2258</v>
      </c>
      <c r="J149" s="432">
        <v>46234</v>
      </c>
    </row>
    <row r="150" spans="1:10">
      <c r="A150" s="431">
        <v>157</v>
      </c>
      <c r="B150" s="431" t="s">
        <v>2253</v>
      </c>
      <c r="C150" s="431" t="s">
        <v>2254</v>
      </c>
      <c r="D150" s="431" t="s">
        <v>2500</v>
      </c>
      <c r="E150" s="431" t="s">
        <v>2501</v>
      </c>
      <c r="F150" s="431">
        <v>22</v>
      </c>
      <c r="G150" s="431" t="s">
        <v>1107</v>
      </c>
      <c r="H150" s="431" t="s">
        <v>2257</v>
      </c>
      <c r="I150" s="431" t="s">
        <v>2258</v>
      </c>
      <c r="J150" s="432">
        <v>46234</v>
      </c>
    </row>
    <row r="151" spans="1:10">
      <c r="A151" s="431">
        <v>158</v>
      </c>
      <c r="B151" s="431" t="s">
        <v>2253</v>
      </c>
      <c r="C151" s="431" t="s">
        <v>2254</v>
      </c>
      <c r="D151" s="431" t="s">
        <v>2502</v>
      </c>
      <c r="E151" s="431" t="s">
        <v>2503</v>
      </c>
      <c r="F151" s="431">
        <v>1</v>
      </c>
      <c r="G151" s="431" t="s">
        <v>46</v>
      </c>
      <c r="H151" s="431" t="s">
        <v>2257</v>
      </c>
      <c r="I151" s="431" t="s">
        <v>2258</v>
      </c>
      <c r="J151" s="432">
        <v>46234</v>
      </c>
    </row>
    <row r="152" spans="1:10">
      <c r="A152" s="431">
        <v>159</v>
      </c>
      <c r="B152" s="431" t="s">
        <v>2253</v>
      </c>
      <c r="C152" s="431" t="s">
        <v>2254</v>
      </c>
      <c r="D152" s="431" t="s">
        <v>2504</v>
      </c>
      <c r="E152" s="431" t="s">
        <v>2505</v>
      </c>
      <c r="F152" s="431">
        <v>1</v>
      </c>
      <c r="G152" s="431" t="s">
        <v>46</v>
      </c>
      <c r="H152" s="431" t="s">
        <v>2257</v>
      </c>
      <c r="I152" s="431" t="s">
        <v>2258</v>
      </c>
      <c r="J152" s="432">
        <v>46234</v>
      </c>
    </row>
    <row r="153" spans="1:10">
      <c r="A153" s="431">
        <v>160</v>
      </c>
      <c r="B153" s="431" t="s">
        <v>2253</v>
      </c>
      <c r="C153" s="431" t="s">
        <v>2254</v>
      </c>
      <c r="D153" s="431" t="s">
        <v>2506</v>
      </c>
      <c r="E153" s="431" t="s">
        <v>2507</v>
      </c>
      <c r="F153" s="431">
        <v>1</v>
      </c>
      <c r="G153" s="431" t="s">
        <v>691</v>
      </c>
      <c r="H153" s="431" t="s">
        <v>2257</v>
      </c>
      <c r="I153" s="431" t="s">
        <v>2258</v>
      </c>
      <c r="J153" s="432">
        <v>46234</v>
      </c>
    </row>
    <row r="154" spans="1:10">
      <c r="A154" s="431">
        <v>161</v>
      </c>
      <c r="B154" s="431" t="s">
        <v>2253</v>
      </c>
      <c r="C154" s="431" t="s">
        <v>2254</v>
      </c>
      <c r="D154" s="431" t="s">
        <v>2508</v>
      </c>
      <c r="E154" s="431" t="s">
        <v>2509</v>
      </c>
      <c r="F154" s="431">
        <v>1</v>
      </c>
      <c r="G154" s="431" t="s">
        <v>46</v>
      </c>
      <c r="H154" s="431" t="s">
        <v>2257</v>
      </c>
      <c r="I154" s="431" t="s">
        <v>2258</v>
      </c>
      <c r="J154" s="432">
        <v>46234</v>
      </c>
    </row>
    <row r="155" spans="1:10">
      <c r="A155" s="431">
        <v>162</v>
      </c>
      <c r="B155" s="431" t="s">
        <v>2253</v>
      </c>
      <c r="C155" s="431" t="s">
        <v>2254</v>
      </c>
      <c r="D155" s="431" t="s">
        <v>2510</v>
      </c>
      <c r="E155" s="431" t="s">
        <v>2511</v>
      </c>
      <c r="F155" s="431">
        <v>180</v>
      </c>
      <c r="G155" s="431" t="s">
        <v>21</v>
      </c>
      <c r="H155" s="431" t="s">
        <v>2257</v>
      </c>
      <c r="I155" s="431" t="s">
        <v>2258</v>
      </c>
      <c r="J155" s="432">
        <v>46234</v>
      </c>
    </row>
    <row r="156" spans="1:10">
      <c r="A156" s="431">
        <v>163</v>
      </c>
      <c r="B156" s="431" t="s">
        <v>2253</v>
      </c>
      <c r="C156" s="431" t="s">
        <v>2254</v>
      </c>
      <c r="D156" s="431" t="s">
        <v>2513</v>
      </c>
      <c r="E156" s="431" t="s">
        <v>2514</v>
      </c>
      <c r="F156" s="431">
        <v>1</v>
      </c>
      <c r="G156" s="431" t="s">
        <v>812</v>
      </c>
      <c r="H156" s="431" t="s">
        <v>2257</v>
      </c>
      <c r="I156" s="431" t="s">
        <v>2258</v>
      </c>
      <c r="J156" s="432">
        <v>46234</v>
      </c>
    </row>
    <row r="157" spans="1:10">
      <c r="A157" s="431">
        <v>164</v>
      </c>
      <c r="B157" s="431" t="s">
        <v>2253</v>
      </c>
      <c r="C157" s="431" t="s">
        <v>2254</v>
      </c>
      <c r="D157" s="431" t="s">
        <v>2516</v>
      </c>
      <c r="E157" s="431" t="s">
        <v>2517</v>
      </c>
      <c r="F157" s="431">
        <v>1</v>
      </c>
      <c r="G157" s="431" t="s">
        <v>46</v>
      </c>
      <c r="H157" s="431" t="s">
        <v>2257</v>
      </c>
      <c r="I157" s="431" t="s">
        <v>2258</v>
      </c>
      <c r="J157" s="432">
        <v>46234</v>
      </c>
    </row>
    <row r="158" spans="1:10">
      <c r="A158" s="431">
        <v>165</v>
      </c>
      <c r="B158" s="431" t="s">
        <v>2253</v>
      </c>
      <c r="C158" s="431" t="s">
        <v>2254</v>
      </c>
      <c r="D158" s="431" t="s">
        <v>2518</v>
      </c>
      <c r="E158" s="431" t="s">
        <v>2519</v>
      </c>
      <c r="F158" s="431">
        <v>1</v>
      </c>
      <c r="G158" s="431" t="s">
        <v>46</v>
      </c>
      <c r="H158" s="431" t="s">
        <v>2257</v>
      </c>
      <c r="I158" s="431" t="s">
        <v>2258</v>
      </c>
      <c r="J158" s="432">
        <v>46234</v>
      </c>
    </row>
    <row r="159" spans="1:10">
      <c r="A159" s="431">
        <v>166</v>
      </c>
      <c r="B159" s="431" t="s">
        <v>2253</v>
      </c>
      <c r="C159" s="431" t="s">
        <v>2254</v>
      </c>
      <c r="D159" s="431" t="s">
        <v>2520</v>
      </c>
      <c r="E159" s="431" t="s">
        <v>2521</v>
      </c>
      <c r="F159" s="431">
        <v>1717</v>
      </c>
      <c r="G159" s="431" t="s">
        <v>691</v>
      </c>
      <c r="H159" s="431" t="s">
        <v>2257</v>
      </c>
      <c r="I159" s="431" t="s">
        <v>2258</v>
      </c>
      <c r="J159" s="432">
        <v>46234</v>
      </c>
    </row>
    <row r="160" spans="1:10">
      <c r="A160" s="431">
        <v>167</v>
      </c>
      <c r="B160" s="431" t="s">
        <v>2253</v>
      </c>
      <c r="C160" s="431" t="s">
        <v>2254</v>
      </c>
      <c r="D160" s="431" t="s">
        <v>2522</v>
      </c>
      <c r="E160" s="431" t="s">
        <v>2523</v>
      </c>
      <c r="F160" s="431">
        <v>1</v>
      </c>
      <c r="G160" s="431" t="s">
        <v>1107</v>
      </c>
      <c r="H160" s="431" t="s">
        <v>2257</v>
      </c>
      <c r="I160" s="431" t="s">
        <v>2258</v>
      </c>
      <c r="J160" s="432">
        <v>46234</v>
      </c>
    </row>
    <row r="161" spans="1:10">
      <c r="A161" s="431">
        <v>168</v>
      </c>
      <c r="B161" s="431" t="s">
        <v>2253</v>
      </c>
      <c r="C161" s="431" t="s">
        <v>2254</v>
      </c>
      <c r="D161" s="431" t="s">
        <v>2524</v>
      </c>
      <c r="E161" s="431" t="s">
        <v>2525</v>
      </c>
      <c r="F161" s="431">
        <v>1</v>
      </c>
      <c r="G161" s="431" t="s">
        <v>691</v>
      </c>
      <c r="H161" s="431" t="s">
        <v>2257</v>
      </c>
      <c r="I161" s="431" t="s">
        <v>2258</v>
      </c>
      <c r="J161" s="432">
        <v>46234</v>
      </c>
    </row>
    <row r="162" spans="1:10">
      <c r="A162" s="431">
        <v>169</v>
      </c>
      <c r="B162" s="431" t="s">
        <v>2253</v>
      </c>
      <c r="C162" s="431" t="s">
        <v>2254</v>
      </c>
      <c r="D162" s="431" t="s">
        <v>2526</v>
      </c>
      <c r="E162" s="431" t="s">
        <v>2527</v>
      </c>
      <c r="F162" s="431">
        <v>1</v>
      </c>
      <c r="G162" s="431" t="s">
        <v>691</v>
      </c>
      <c r="H162" s="431" t="s">
        <v>2257</v>
      </c>
      <c r="I162" s="431" t="s">
        <v>2258</v>
      </c>
      <c r="J162" s="432">
        <v>46234</v>
      </c>
    </row>
    <row r="163" spans="1:10">
      <c r="A163" s="431">
        <v>170</v>
      </c>
      <c r="B163" s="431" t="s">
        <v>2253</v>
      </c>
      <c r="C163" s="431" t="s">
        <v>2254</v>
      </c>
      <c r="D163" s="431" t="s">
        <v>2528</v>
      </c>
      <c r="E163" s="431" t="s">
        <v>2529</v>
      </c>
      <c r="F163" s="431">
        <v>1</v>
      </c>
      <c r="G163" s="431" t="s">
        <v>691</v>
      </c>
      <c r="H163" s="431" t="s">
        <v>2257</v>
      </c>
      <c r="I163" s="431" t="s">
        <v>2258</v>
      </c>
      <c r="J163" s="432">
        <v>46234</v>
      </c>
    </row>
    <row r="164" spans="1:10">
      <c r="A164" s="431">
        <v>171</v>
      </c>
      <c r="B164" s="431" t="s">
        <v>2253</v>
      </c>
      <c r="C164" s="431" t="s">
        <v>2254</v>
      </c>
      <c r="D164" s="431" t="s">
        <v>2530</v>
      </c>
      <c r="E164" s="431" t="s">
        <v>2531</v>
      </c>
      <c r="F164" s="431">
        <v>1</v>
      </c>
      <c r="G164" s="431" t="s">
        <v>328</v>
      </c>
      <c r="H164" s="431" t="s">
        <v>2257</v>
      </c>
      <c r="I164" s="431" t="s">
        <v>2258</v>
      </c>
      <c r="J164" s="432">
        <v>46234</v>
      </c>
    </row>
    <row r="165" spans="1:10">
      <c r="A165" s="431">
        <v>172</v>
      </c>
      <c r="B165" s="431" t="s">
        <v>2253</v>
      </c>
      <c r="C165" s="431" t="s">
        <v>2254</v>
      </c>
      <c r="D165" s="431" t="s">
        <v>2532</v>
      </c>
      <c r="E165" s="431" t="s">
        <v>2533</v>
      </c>
      <c r="F165" s="431">
        <v>1</v>
      </c>
      <c r="G165" s="431" t="s">
        <v>1107</v>
      </c>
      <c r="H165" s="431" t="s">
        <v>2257</v>
      </c>
      <c r="I165" s="431" t="s">
        <v>2258</v>
      </c>
      <c r="J165" s="432">
        <v>46234</v>
      </c>
    </row>
    <row r="166" spans="1:10">
      <c r="A166" s="431">
        <v>173</v>
      </c>
      <c r="B166" s="431" t="s">
        <v>2253</v>
      </c>
      <c r="C166" s="431" t="s">
        <v>2254</v>
      </c>
      <c r="D166" s="431" t="s">
        <v>2534</v>
      </c>
      <c r="E166" s="431" t="s">
        <v>2535</v>
      </c>
      <c r="F166" s="431">
        <v>7500</v>
      </c>
      <c r="G166" s="431" t="s">
        <v>21</v>
      </c>
      <c r="H166" s="431" t="s">
        <v>2257</v>
      </c>
      <c r="I166" s="431" t="s">
        <v>2258</v>
      </c>
      <c r="J166" s="432">
        <v>46234</v>
      </c>
    </row>
    <row r="167" spans="1:10">
      <c r="A167" s="431">
        <v>174</v>
      </c>
      <c r="B167" s="431" t="s">
        <v>2253</v>
      </c>
      <c r="C167" s="431" t="s">
        <v>2254</v>
      </c>
      <c r="D167" s="431" t="s">
        <v>2536</v>
      </c>
      <c r="E167" s="431" t="s">
        <v>2537</v>
      </c>
      <c r="F167" s="431">
        <v>1</v>
      </c>
      <c r="G167" s="431" t="s">
        <v>812</v>
      </c>
      <c r="H167" s="431" t="s">
        <v>2257</v>
      </c>
      <c r="I167" s="431" t="s">
        <v>2258</v>
      </c>
      <c r="J167" s="432">
        <v>46234</v>
      </c>
    </row>
    <row r="168" spans="1:10">
      <c r="A168" s="431">
        <v>175</v>
      </c>
      <c r="B168" s="431" t="s">
        <v>2253</v>
      </c>
      <c r="C168" s="431" t="s">
        <v>2254</v>
      </c>
      <c r="D168" s="431" t="s">
        <v>2538</v>
      </c>
      <c r="E168" s="431" t="s">
        <v>2539</v>
      </c>
      <c r="F168" s="431">
        <v>1</v>
      </c>
      <c r="G168" s="431" t="s">
        <v>1107</v>
      </c>
      <c r="H168" s="431" t="s">
        <v>2257</v>
      </c>
      <c r="I168" s="431" t="s">
        <v>2258</v>
      </c>
      <c r="J168" s="432">
        <v>46234</v>
      </c>
    </row>
    <row r="169" spans="1:10">
      <c r="A169" s="431">
        <v>176</v>
      </c>
      <c r="B169" s="431" t="s">
        <v>2253</v>
      </c>
      <c r="C169" s="431" t="s">
        <v>2254</v>
      </c>
      <c r="D169" s="431" t="s">
        <v>2540</v>
      </c>
      <c r="E169" s="431" t="s">
        <v>2541</v>
      </c>
      <c r="F169" s="431">
        <v>13</v>
      </c>
      <c r="G169" s="431" t="s">
        <v>2542</v>
      </c>
      <c r="H169" s="431" t="s">
        <v>2257</v>
      </c>
      <c r="I169" s="431" t="s">
        <v>2258</v>
      </c>
      <c r="J169" s="432">
        <v>46234</v>
      </c>
    </row>
    <row r="170" spans="1:10">
      <c r="A170" s="431">
        <v>177</v>
      </c>
      <c r="B170" s="431" t="s">
        <v>2253</v>
      </c>
      <c r="C170" s="431" t="s">
        <v>2254</v>
      </c>
      <c r="D170" s="431" t="s">
        <v>2543</v>
      </c>
      <c r="E170" s="431" t="s">
        <v>2544</v>
      </c>
      <c r="F170" s="431">
        <v>2900</v>
      </c>
      <c r="G170" s="431" t="s">
        <v>21</v>
      </c>
      <c r="H170" s="431" t="s">
        <v>2257</v>
      </c>
      <c r="I170" s="431" t="s">
        <v>2258</v>
      </c>
      <c r="J170" s="432">
        <v>46234</v>
      </c>
    </row>
    <row r="171" spans="1:10">
      <c r="A171" s="431">
        <v>179</v>
      </c>
      <c r="B171" s="431" t="s">
        <v>2253</v>
      </c>
      <c r="C171" s="431" t="s">
        <v>2254</v>
      </c>
      <c r="D171" s="431" t="s">
        <v>2545</v>
      </c>
      <c r="E171" s="431" t="s">
        <v>2546</v>
      </c>
      <c r="F171" s="431">
        <v>1</v>
      </c>
      <c r="G171" s="431" t="s">
        <v>812</v>
      </c>
      <c r="H171" s="431" t="s">
        <v>2257</v>
      </c>
      <c r="I171" s="431" t="s">
        <v>2258</v>
      </c>
      <c r="J171" s="432">
        <v>46234</v>
      </c>
    </row>
    <row r="172" spans="1:10">
      <c r="A172" s="431">
        <v>180</v>
      </c>
      <c r="B172" s="431" t="s">
        <v>2253</v>
      </c>
      <c r="C172" s="431" t="s">
        <v>2254</v>
      </c>
      <c r="D172" s="431" t="s">
        <v>2547</v>
      </c>
      <c r="E172" s="431" t="s">
        <v>2548</v>
      </c>
      <c r="F172" s="431">
        <v>1</v>
      </c>
      <c r="G172" s="431" t="s">
        <v>46</v>
      </c>
      <c r="H172" s="431" t="s">
        <v>2257</v>
      </c>
      <c r="I172" s="431" t="s">
        <v>2258</v>
      </c>
      <c r="J172" s="432">
        <v>46234</v>
      </c>
    </row>
    <row r="173" spans="1:10">
      <c r="A173" s="431">
        <v>181</v>
      </c>
      <c r="B173" s="431" t="s">
        <v>2253</v>
      </c>
      <c r="C173" s="431" t="s">
        <v>2254</v>
      </c>
      <c r="D173" s="431" t="s">
        <v>2549</v>
      </c>
      <c r="E173" s="431" t="s">
        <v>2550</v>
      </c>
      <c r="F173" s="431">
        <v>1</v>
      </c>
      <c r="G173" s="431" t="s">
        <v>691</v>
      </c>
      <c r="H173" s="431" t="s">
        <v>2257</v>
      </c>
      <c r="I173" s="431" t="s">
        <v>2258</v>
      </c>
      <c r="J173" s="432">
        <v>46234</v>
      </c>
    </row>
    <row r="174" spans="1:10">
      <c r="A174" s="431">
        <v>182</v>
      </c>
      <c r="B174" s="431" t="s">
        <v>2253</v>
      </c>
      <c r="C174" s="431" t="s">
        <v>2254</v>
      </c>
      <c r="D174" s="431" t="s">
        <v>2551</v>
      </c>
      <c r="E174" s="431" t="s">
        <v>2388</v>
      </c>
      <c r="F174" s="431">
        <v>2000</v>
      </c>
      <c r="G174" s="431" t="s">
        <v>691</v>
      </c>
      <c r="H174" s="431" t="s">
        <v>2257</v>
      </c>
      <c r="I174" s="431" t="s">
        <v>2258</v>
      </c>
      <c r="J174" s="432">
        <v>46234</v>
      </c>
    </row>
    <row r="175" spans="1:10">
      <c r="A175" s="431">
        <v>183</v>
      </c>
      <c r="B175" s="431" t="s">
        <v>2253</v>
      </c>
      <c r="C175" s="431" t="s">
        <v>2254</v>
      </c>
      <c r="D175" s="431" t="s">
        <v>2552</v>
      </c>
      <c r="E175" s="431" t="s">
        <v>2553</v>
      </c>
      <c r="F175" s="431">
        <v>39283</v>
      </c>
      <c r="G175" s="431" t="s">
        <v>218</v>
      </c>
      <c r="H175" s="431" t="s">
        <v>2257</v>
      </c>
      <c r="I175" s="431" t="s">
        <v>2258</v>
      </c>
      <c r="J175" s="432">
        <v>46234</v>
      </c>
    </row>
    <row r="176" spans="1:10">
      <c r="A176" s="431">
        <v>184</v>
      </c>
      <c r="B176" s="431" t="s">
        <v>2253</v>
      </c>
      <c r="C176" s="431" t="s">
        <v>2254</v>
      </c>
      <c r="D176" s="431" t="s">
        <v>2555</v>
      </c>
      <c r="E176" s="431" t="s">
        <v>2556</v>
      </c>
      <c r="F176" s="431">
        <v>460</v>
      </c>
      <c r="G176" s="431" t="s">
        <v>21</v>
      </c>
      <c r="H176" s="431" t="s">
        <v>2257</v>
      </c>
      <c r="I176" s="431" t="s">
        <v>2258</v>
      </c>
      <c r="J176" s="432">
        <v>46234</v>
      </c>
    </row>
    <row r="177" spans="1:10">
      <c r="A177" s="431">
        <v>185</v>
      </c>
      <c r="B177" s="431" t="s">
        <v>2253</v>
      </c>
      <c r="C177" s="431" t="s">
        <v>2254</v>
      </c>
      <c r="D177" s="431" t="s">
        <v>2557</v>
      </c>
      <c r="E177" s="431" t="s">
        <v>2559</v>
      </c>
      <c r="F177" s="431">
        <v>456</v>
      </c>
      <c r="G177" s="431" t="s">
        <v>812</v>
      </c>
      <c r="H177" s="431" t="s">
        <v>2257</v>
      </c>
      <c r="I177" s="431" t="s">
        <v>2258</v>
      </c>
      <c r="J177" s="432">
        <v>46234</v>
      </c>
    </row>
    <row r="178" spans="1:10">
      <c r="A178" s="431">
        <v>186</v>
      </c>
      <c r="B178" s="431" t="s">
        <v>2560</v>
      </c>
      <c r="C178" s="431" t="s">
        <v>2254</v>
      </c>
      <c r="D178" s="431" t="s">
        <v>2561</v>
      </c>
      <c r="E178" s="431" t="s">
        <v>2562</v>
      </c>
      <c r="F178" s="431">
        <v>322</v>
      </c>
      <c r="G178" s="431" t="s">
        <v>2443</v>
      </c>
      <c r="H178" s="431" t="s">
        <v>2257</v>
      </c>
      <c r="I178" s="431" t="s">
        <v>2258</v>
      </c>
      <c r="J178" s="432">
        <v>46234</v>
      </c>
    </row>
    <row r="179" spans="1:10">
      <c r="A179" s="431">
        <v>187</v>
      </c>
      <c r="B179" s="431" t="s">
        <v>2560</v>
      </c>
      <c r="C179" s="431" t="s">
        <v>2254</v>
      </c>
      <c r="D179" s="431" t="s">
        <v>2563</v>
      </c>
      <c r="E179" s="431" t="s">
        <v>2564</v>
      </c>
      <c r="F179" s="431">
        <v>2249</v>
      </c>
      <c r="G179" s="431" t="s">
        <v>2443</v>
      </c>
      <c r="H179" s="431" t="s">
        <v>2257</v>
      </c>
      <c r="I179" s="431" t="s">
        <v>2258</v>
      </c>
      <c r="J179" s="432">
        <v>46234</v>
      </c>
    </row>
    <row r="180" spans="1:10">
      <c r="A180" s="431">
        <v>188</v>
      </c>
      <c r="B180" s="431" t="s">
        <v>2560</v>
      </c>
      <c r="C180" s="431" t="s">
        <v>2254</v>
      </c>
      <c r="D180" s="431" t="s">
        <v>2565</v>
      </c>
      <c r="E180" s="431" t="s">
        <v>2566</v>
      </c>
      <c r="F180" s="431">
        <v>1873</v>
      </c>
      <c r="G180" s="431" t="s">
        <v>2443</v>
      </c>
      <c r="H180" s="431" t="s">
        <v>2257</v>
      </c>
      <c r="I180" s="431" t="s">
        <v>2258</v>
      </c>
      <c r="J180" s="432">
        <v>46234</v>
      </c>
    </row>
    <row r="181" spans="1:10">
      <c r="A181" s="431">
        <v>189</v>
      </c>
      <c r="B181" s="431" t="s">
        <v>2560</v>
      </c>
      <c r="C181" s="431" t="s">
        <v>2254</v>
      </c>
      <c r="D181" s="431" t="s">
        <v>2567</v>
      </c>
      <c r="E181" s="431" t="s">
        <v>2568</v>
      </c>
      <c r="F181" s="431">
        <v>1080</v>
      </c>
      <c r="G181" s="431" t="s">
        <v>2443</v>
      </c>
      <c r="H181" s="431" t="s">
        <v>2257</v>
      </c>
      <c r="I181" s="431" t="s">
        <v>2258</v>
      </c>
      <c r="J181" s="432">
        <v>46234</v>
      </c>
    </row>
    <row r="182" spans="1:10">
      <c r="A182" s="431">
        <v>190</v>
      </c>
      <c r="B182" s="431" t="s">
        <v>2560</v>
      </c>
      <c r="C182" s="431" t="s">
        <v>2254</v>
      </c>
      <c r="D182" s="431" t="s">
        <v>2569</v>
      </c>
      <c r="E182" s="431" t="s">
        <v>2570</v>
      </c>
      <c r="F182" s="431">
        <v>200</v>
      </c>
      <c r="G182" s="431" t="s">
        <v>2443</v>
      </c>
      <c r="H182" s="431" t="s">
        <v>2257</v>
      </c>
      <c r="I182" s="431" t="s">
        <v>2258</v>
      </c>
      <c r="J182" s="432">
        <v>46234</v>
      </c>
    </row>
    <row r="183" spans="1:10">
      <c r="A183" s="431">
        <v>191</v>
      </c>
      <c r="B183" s="431" t="s">
        <v>2560</v>
      </c>
      <c r="C183" s="431" t="s">
        <v>2254</v>
      </c>
      <c r="D183" s="431" t="s">
        <v>2571</v>
      </c>
      <c r="E183" s="431" t="s">
        <v>2572</v>
      </c>
      <c r="F183" s="431">
        <v>2888</v>
      </c>
      <c r="G183" s="431" t="s">
        <v>2443</v>
      </c>
      <c r="H183" s="431" t="s">
        <v>2573</v>
      </c>
      <c r="I183" s="431" t="s">
        <v>2574</v>
      </c>
      <c r="J183" s="432">
        <v>46234</v>
      </c>
    </row>
    <row r="184" spans="1:10">
      <c r="A184" s="431">
        <v>192</v>
      </c>
      <c r="B184" s="431" t="s">
        <v>2560</v>
      </c>
      <c r="C184" s="431" t="s">
        <v>2254</v>
      </c>
      <c r="D184" s="431" t="s">
        <v>2575</v>
      </c>
      <c r="E184" s="431" t="s">
        <v>2576</v>
      </c>
      <c r="F184" s="431">
        <v>258</v>
      </c>
      <c r="G184" s="431" t="s">
        <v>2443</v>
      </c>
      <c r="H184" s="431" t="s">
        <v>2257</v>
      </c>
      <c r="I184" s="431" t="s">
        <v>2258</v>
      </c>
      <c r="J184" s="432">
        <v>46234</v>
      </c>
    </row>
    <row r="185" spans="1:10">
      <c r="A185" s="431">
        <v>193</v>
      </c>
      <c r="B185" s="431" t="s">
        <v>2560</v>
      </c>
      <c r="C185" s="431" t="s">
        <v>2254</v>
      </c>
      <c r="D185" s="431" t="s">
        <v>2577</v>
      </c>
      <c r="E185" s="431" t="s">
        <v>2578</v>
      </c>
      <c r="F185" s="431">
        <v>16</v>
      </c>
      <c r="G185" s="431" t="s">
        <v>2443</v>
      </c>
      <c r="H185" s="431" t="s">
        <v>2257</v>
      </c>
      <c r="I185" s="431" t="s">
        <v>2258</v>
      </c>
      <c r="J185" s="432">
        <v>46234</v>
      </c>
    </row>
    <row r="186" spans="1:10">
      <c r="A186" s="431">
        <v>194</v>
      </c>
      <c r="B186" s="431" t="s">
        <v>2560</v>
      </c>
      <c r="C186" s="431" t="s">
        <v>2254</v>
      </c>
      <c r="D186" s="431" t="s">
        <v>2579</v>
      </c>
      <c r="E186" s="431" t="s">
        <v>2580</v>
      </c>
      <c r="F186" s="431">
        <v>234</v>
      </c>
      <c r="G186" s="431" t="s">
        <v>2443</v>
      </c>
      <c r="H186" s="431" t="s">
        <v>2257</v>
      </c>
      <c r="I186" s="431" t="s">
        <v>2258</v>
      </c>
      <c r="J186" s="432">
        <v>46234</v>
      </c>
    </row>
    <row r="187" spans="1:10">
      <c r="A187" s="431">
        <v>195</v>
      </c>
      <c r="B187" s="431" t="s">
        <v>2560</v>
      </c>
      <c r="C187" s="433" t="s">
        <v>2254</v>
      </c>
      <c r="D187" s="431" t="s">
        <v>2581</v>
      </c>
      <c r="E187" s="431" t="s">
        <v>2582</v>
      </c>
      <c r="F187" s="431">
        <v>234</v>
      </c>
      <c r="G187" s="431" t="s">
        <v>2443</v>
      </c>
      <c r="H187" s="431" t="s">
        <v>2257</v>
      </c>
      <c r="I187" s="431" t="s">
        <v>2258</v>
      </c>
      <c r="J187" s="432">
        <v>46234</v>
      </c>
    </row>
    <row r="188" spans="1:10">
      <c r="A188" s="431">
        <v>196</v>
      </c>
      <c r="B188" s="431" t="s">
        <v>2560</v>
      </c>
      <c r="C188" s="433" t="s">
        <v>2254</v>
      </c>
      <c r="D188" s="431" t="s">
        <v>2583</v>
      </c>
      <c r="E188" s="431" t="s">
        <v>2584</v>
      </c>
      <c r="F188" s="431">
        <v>1289</v>
      </c>
      <c r="G188" s="431" t="s">
        <v>2443</v>
      </c>
      <c r="H188" s="431" t="s">
        <v>2257</v>
      </c>
      <c r="I188" s="431" t="s">
        <v>2258</v>
      </c>
      <c r="J188" s="432">
        <v>46234</v>
      </c>
    </row>
    <row r="189" spans="1:10">
      <c r="A189" s="431">
        <v>197</v>
      </c>
      <c r="B189" s="431" t="s">
        <v>2560</v>
      </c>
      <c r="C189" s="433" t="s">
        <v>2254</v>
      </c>
      <c r="D189" s="431" t="s">
        <v>2585</v>
      </c>
      <c r="E189" s="431" t="s">
        <v>2586</v>
      </c>
      <c r="F189" s="431">
        <v>859</v>
      </c>
      <c r="G189" s="431" t="s">
        <v>2443</v>
      </c>
      <c r="H189" s="431" t="s">
        <v>2257</v>
      </c>
      <c r="I189" s="431" t="s">
        <v>2258</v>
      </c>
      <c r="J189" s="432">
        <v>46234</v>
      </c>
    </row>
    <row r="190" spans="1:10">
      <c r="A190" s="431">
        <v>198</v>
      </c>
      <c r="B190" s="431" t="s">
        <v>2560</v>
      </c>
      <c r="C190" s="433" t="s">
        <v>2254</v>
      </c>
      <c r="D190" s="431" t="s">
        <v>2587</v>
      </c>
      <c r="E190" s="431" t="s">
        <v>2588</v>
      </c>
      <c r="F190" s="431">
        <v>358</v>
      </c>
      <c r="G190" s="431" t="s">
        <v>2443</v>
      </c>
      <c r="H190" s="431" t="s">
        <v>2257</v>
      </c>
      <c r="I190" s="431" t="s">
        <v>2258</v>
      </c>
      <c r="J190" s="432">
        <v>46234</v>
      </c>
    </row>
    <row r="191" spans="1:10">
      <c r="A191" s="431">
        <v>199</v>
      </c>
      <c r="B191" s="431" t="s">
        <v>2560</v>
      </c>
      <c r="C191" s="433" t="s">
        <v>2254</v>
      </c>
      <c r="D191" s="431" t="s">
        <v>2589</v>
      </c>
      <c r="E191" s="431" t="s">
        <v>2590</v>
      </c>
      <c r="F191" s="431">
        <v>3748</v>
      </c>
      <c r="G191" s="431" t="s">
        <v>2443</v>
      </c>
      <c r="H191" s="431" t="s">
        <v>2257</v>
      </c>
      <c r="I191" s="431" t="s">
        <v>2258</v>
      </c>
      <c r="J191" s="432">
        <v>46234</v>
      </c>
    </row>
    <row r="192" spans="1:10">
      <c r="A192" s="431">
        <v>200</v>
      </c>
      <c r="B192" s="431" t="s">
        <v>2560</v>
      </c>
      <c r="C192" s="433" t="s">
        <v>2254</v>
      </c>
      <c r="D192" s="431" t="s">
        <v>2591</v>
      </c>
      <c r="E192" s="431" t="s">
        <v>2592</v>
      </c>
      <c r="F192" s="431">
        <v>2222</v>
      </c>
      <c r="G192" s="431" t="s">
        <v>2443</v>
      </c>
      <c r="H192" s="431" t="s">
        <v>2257</v>
      </c>
      <c r="I192" s="431" t="s">
        <v>2258</v>
      </c>
      <c r="J192" s="432">
        <v>46234</v>
      </c>
    </row>
    <row r="193" spans="1:10">
      <c r="A193" s="431">
        <v>201</v>
      </c>
      <c r="B193" s="431" t="s">
        <v>2560</v>
      </c>
      <c r="C193" s="433" t="s">
        <v>2254</v>
      </c>
      <c r="D193" s="431" t="s">
        <v>2593</v>
      </c>
      <c r="E193" s="431" t="s">
        <v>2594</v>
      </c>
      <c r="F193" s="431">
        <v>806</v>
      </c>
      <c r="G193" s="431" t="s">
        <v>2443</v>
      </c>
      <c r="H193" s="431" t="s">
        <v>2257</v>
      </c>
      <c r="I193" s="431" t="s">
        <v>2258</v>
      </c>
      <c r="J193" s="432">
        <v>46234</v>
      </c>
    </row>
    <row r="194" spans="1:10">
      <c r="A194" s="431">
        <v>202</v>
      </c>
      <c r="B194" s="431" t="s">
        <v>2560</v>
      </c>
      <c r="C194" s="433" t="s">
        <v>2254</v>
      </c>
      <c r="D194" s="431" t="s">
        <v>2595</v>
      </c>
      <c r="E194" s="431" t="s">
        <v>2596</v>
      </c>
      <c r="F194" s="431">
        <v>812</v>
      </c>
      <c r="G194" s="431" t="s">
        <v>2443</v>
      </c>
      <c r="H194" s="431" t="s">
        <v>2257</v>
      </c>
      <c r="I194" s="431" t="s">
        <v>2258</v>
      </c>
      <c r="J194" s="432">
        <v>46234</v>
      </c>
    </row>
    <row r="195" spans="1:10">
      <c r="A195" s="431">
        <v>203</v>
      </c>
      <c r="B195" s="431" t="s">
        <v>2560</v>
      </c>
      <c r="C195" s="433" t="s">
        <v>2254</v>
      </c>
      <c r="D195" s="431" t="s">
        <v>2597</v>
      </c>
      <c r="E195" s="431" t="s">
        <v>2598</v>
      </c>
      <c r="F195" s="431">
        <v>702</v>
      </c>
      <c r="G195" s="431" t="s">
        <v>2443</v>
      </c>
      <c r="H195" s="431" t="s">
        <v>2257</v>
      </c>
      <c r="I195" s="431" t="s">
        <v>2258</v>
      </c>
      <c r="J195" s="432">
        <v>46234</v>
      </c>
    </row>
    <row r="196" spans="1:10">
      <c r="A196" s="431">
        <v>204</v>
      </c>
      <c r="B196" s="431" t="s">
        <v>2560</v>
      </c>
      <c r="C196" s="433" t="s">
        <v>2254</v>
      </c>
      <c r="D196" s="431" t="s">
        <v>2599</v>
      </c>
      <c r="E196" s="431" t="s">
        <v>2600</v>
      </c>
      <c r="F196" s="431">
        <v>374</v>
      </c>
      <c r="G196" s="431" t="s">
        <v>2443</v>
      </c>
      <c r="H196" s="431" t="s">
        <v>2257</v>
      </c>
      <c r="I196" s="431" t="s">
        <v>2258</v>
      </c>
      <c r="J196" s="432">
        <v>46234</v>
      </c>
    </row>
    <row r="197" spans="1:10">
      <c r="A197" s="431">
        <v>205</v>
      </c>
      <c r="B197" s="431" t="s">
        <v>2560</v>
      </c>
      <c r="C197" s="433" t="s">
        <v>2254</v>
      </c>
      <c r="D197" s="431" t="s">
        <v>2601</v>
      </c>
      <c r="E197" s="431" t="s">
        <v>2602</v>
      </c>
      <c r="F197" s="431">
        <v>1046</v>
      </c>
      <c r="G197" s="431" t="s">
        <v>2443</v>
      </c>
      <c r="H197" s="431" t="s">
        <v>2257</v>
      </c>
      <c r="I197" s="431" t="s">
        <v>2258</v>
      </c>
      <c r="J197" s="432">
        <v>46234</v>
      </c>
    </row>
    <row r="198" spans="1:10">
      <c r="A198" s="431">
        <v>206</v>
      </c>
      <c r="B198" s="431" t="s">
        <v>2560</v>
      </c>
      <c r="C198" s="433" t="s">
        <v>2254</v>
      </c>
      <c r="D198" s="431" t="s">
        <v>2603</v>
      </c>
      <c r="E198" s="431" t="s">
        <v>2604</v>
      </c>
      <c r="F198" s="431">
        <v>23579</v>
      </c>
      <c r="G198" s="431" t="s">
        <v>2443</v>
      </c>
      <c r="H198" s="431" t="s">
        <v>2257</v>
      </c>
      <c r="I198" s="431" t="s">
        <v>2258</v>
      </c>
      <c r="J198" s="432">
        <v>46234</v>
      </c>
    </row>
    <row r="199" spans="1:10">
      <c r="A199" s="431">
        <v>207</v>
      </c>
      <c r="B199" s="431" t="s">
        <v>2560</v>
      </c>
      <c r="C199" s="433" t="s">
        <v>2254</v>
      </c>
      <c r="D199" s="431" t="s">
        <v>2605</v>
      </c>
      <c r="E199" s="431" t="s">
        <v>2606</v>
      </c>
      <c r="F199" s="431">
        <v>17438</v>
      </c>
      <c r="G199" s="431" t="s">
        <v>2443</v>
      </c>
      <c r="H199" s="431" t="s">
        <v>2257</v>
      </c>
      <c r="I199" s="431" t="s">
        <v>2258</v>
      </c>
      <c r="J199" s="432">
        <v>46234</v>
      </c>
    </row>
    <row r="200" spans="1:10">
      <c r="A200" s="431">
        <v>208</v>
      </c>
      <c r="B200" s="431" t="s">
        <v>2560</v>
      </c>
      <c r="C200" s="433" t="s">
        <v>2254</v>
      </c>
      <c r="D200" s="431" t="s">
        <v>2607</v>
      </c>
      <c r="E200" s="431" t="s">
        <v>2608</v>
      </c>
      <c r="F200" s="431">
        <v>13945</v>
      </c>
      <c r="G200" s="431" t="s">
        <v>2443</v>
      </c>
      <c r="H200" s="431" t="s">
        <v>2257</v>
      </c>
      <c r="I200" s="431" t="s">
        <v>2258</v>
      </c>
      <c r="J200" s="432">
        <v>46234</v>
      </c>
    </row>
    <row r="201" spans="1:10">
      <c r="A201" s="431">
        <v>209</v>
      </c>
      <c r="B201" s="431" t="s">
        <v>2560</v>
      </c>
      <c r="C201" s="433" t="s">
        <v>2254</v>
      </c>
      <c r="D201" s="431" t="s">
        <v>2609</v>
      </c>
      <c r="E201" s="431" t="s">
        <v>2610</v>
      </c>
      <c r="F201" s="431">
        <v>11165</v>
      </c>
      <c r="G201" s="431" t="s">
        <v>2443</v>
      </c>
      <c r="H201" s="431" t="s">
        <v>2257</v>
      </c>
      <c r="I201" s="431" t="s">
        <v>2258</v>
      </c>
      <c r="J201" s="432">
        <v>46234</v>
      </c>
    </row>
    <row r="202" spans="1:10">
      <c r="A202" s="431">
        <v>210</v>
      </c>
      <c r="B202" s="431" t="s">
        <v>2560</v>
      </c>
      <c r="C202" s="433" t="s">
        <v>2254</v>
      </c>
      <c r="D202" s="431" t="s">
        <v>2611</v>
      </c>
      <c r="E202" s="431" t="s">
        <v>2612</v>
      </c>
      <c r="F202" s="431">
        <v>2654</v>
      </c>
      <c r="G202" s="431" t="s">
        <v>2443</v>
      </c>
      <c r="H202" s="431" t="s">
        <v>2257</v>
      </c>
      <c r="I202" s="431" t="s">
        <v>2258</v>
      </c>
      <c r="J202" s="432">
        <v>46234</v>
      </c>
    </row>
    <row r="203" spans="1:10">
      <c r="A203" s="431">
        <v>211</v>
      </c>
      <c r="B203" s="431" t="s">
        <v>2560</v>
      </c>
      <c r="C203" s="433" t="s">
        <v>2254</v>
      </c>
      <c r="D203" s="431" t="s">
        <v>2613</v>
      </c>
      <c r="E203" s="431" t="s">
        <v>2614</v>
      </c>
      <c r="F203" s="431">
        <v>1312</v>
      </c>
      <c r="G203" s="431" t="s">
        <v>2443</v>
      </c>
      <c r="H203" s="431" t="s">
        <v>2257</v>
      </c>
      <c r="I203" s="431" t="s">
        <v>2258</v>
      </c>
      <c r="J203" s="432">
        <v>46234</v>
      </c>
    </row>
    <row r="204" spans="1:10">
      <c r="A204" s="431">
        <v>212</v>
      </c>
      <c r="B204" s="431" t="s">
        <v>2560</v>
      </c>
      <c r="C204" s="433" t="s">
        <v>2254</v>
      </c>
      <c r="D204" s="431" t="s">
        <v>2615</v>
      </c>
      <c r="E204" s="431" t="s">
        <v>2616</v>
      </c>
      <c r="F204" s="431">
        <v>8729</v>
      </c>
      <c r="G204" s="431" t="s">
        <v>2443</v>
      </c>
      <c r="H204" s="431" t="s">
        <v>2257</v>
      </c>
      <c r="I204" s="431" t="s">
        <v>2258</v>
      </c>
      <c r="J204" s="432">
        <v>46234</v>
      </c>
    </row>
    <row r="205" spans="1:10">
      <c r="A205" s="431">
        <v>213</v>
      </c>
      <c r="B205" s="431" t="s">
        <v>2560</v>
      </c>
      <c r="C205" s="433" t="s">
        <v>2254</v>
      </c>
      <c r="D205" s="431" t="s">
        <v>2617</v>
      </c>
      <c r="E205" s="431" t="s">
        <v>2618</v>
      </c>
      <c r="F205" s="431">
        <v>18365</v>
      </c>
      <c r="G205" s="431" t="s">
        <v>2443</v>
      </c>
      <c r="H205" s="431" t="s">
        <v>2257</v>
      </c>
      <c r="I205" s="431" t="s">
        <v>2258</v>
      </c>
      <c r="J205" s="432">
        <v>46234</v>
      </c>
    </row>
    <row r="206" spans="1:10">
      <c r="A206" s="431">
        <v>214</v>
      </c>
      <c r="B206" s="431" t="s">
        <v>2560</v>
      </c>
      <c r="C206" s="433" t="s">
        <v>2254</v>
      </c>
      <c r="D206" s="431" t="s">
        <v>2620</v>
      </c>
      <c r="E206" s="431" t="s">
        <v>2621</v>
      </c>
      <c r="F206" s="431">
        <v>312</v>
      </c>
      <c r="G206" s="431" t="s">
        <v>2443</v>
      </c>
      <c r="H206" s="431" t="s">
        <v>2257</v>
      </c>
      <c r="I206" s="431" t="s">
        <v>2258</v>
      </c>
      <c r="J206" s="432">
        <v>46234</v>
      </c>
    </row>
    <row r="207" spans="1:10">
      <c r="A207" s="431">
        <v>215</v>
      </c>
      <c r="B207" s="431" t="s">
        <v>2560</v>
      </c>
      <c r="C207" s="433" t="s">
        <v>2254</v>
      </c>
      <c r="D207" s="431" t="s">
        <v>2622</v>
      </c>
      <c r="E207" s="431" t="s">
        <v>2623</v>
      </c>
      <c r="F207" s="431">
        <v>62</v>
      </c>
      <c r="G207" s="431" t="s">
        <v>2443</v>
      </c>
      <c r="H207" s="431" t="s">
        <v>2257</v>
      </c>
      <c r="I207" s="431" t="s">
        <v>2258</v>
      </c>
      <c r="J207" s="432">
        <v>46234</v>
      </c>
    </row>
    <row r="208" spans="1:10">
      <c r="A208" s="431">
        <v>216</v>
      </c>
      <c r="B208" s="431" t="s">
        <v>2560</v>
      </c>
      <c r="C208" s="433" t="s">
        <v>2254</v>
      </c>
      <c r="D208" s="431" t="s">
        <v>2625</v>
      </c>
      <c r="E208" s="431" t="s">
        <v>2626</v>
      </c>
      <c r="F208" s="431">
        <v>358</v>
      </c>
      <c r="G208" s="431" t="s">
        <v>2443</v>
      </c>
      <c r="H208" s="431" t="s">
        <v>2257</v>
      </c>
      <c r="I208" s="431" t="s">
        <v>2258</v>
      </c>
      <c r="J208" s="432">
        <v>46234</v>
      </c>
    </row>
    <row r="209" spans="1:10">
      <c r="A209" s="431">
        <v>217</v>
      </c>
      <c r="B209" s="431" t="s">
        <v>2560</v>
      </c>
      <c r="C209" s="433" t="s">
        <v>2254</v>
      </c>
      <c r="D209" s="431" t="s">
        <v>2628</v>
      </c>
      <c r="E209" s="431" t="s">
        <v>2629</v>
      </c>
      <c r="F209" s="431">
        <v>2413</v>
      </c>
      <c r="G209" s="431" t="s">
        <v>2443</v>
      </c>
      <c r="H209" s="431" t="s">
        <v>2257</v>
      </c>
      <c r="I209" s="431" t="s">
        <v>2258</v>
      </c>
      <c r="J209" s="432">
        <v>46234</v>
      </c>
    </row>
    <row r="210" spans="1:10">
      <c r="A210" s="431">
        <v>219</v>
      </c>
      <c r="B210" s="431" t="s">
        <v>2560</v>
      </c>
      <c r="C210" s="433" t="s">
        <v>2254</v>
      </c>
      <c r="D210" s="431" t="s">
        <v>2630</v>
      </c>
      <c r="E210" s="431" t="s">
        <v>2631</v>
      </c>
      <c r="F210" s="431">
        <v>1015</v>
      </c>
      <c r="G210" s="431" t="s">
        <v>2443</v>
      </c>
      <c r="H210" s="431" t="s">
        <v>2257</v>
      </c>
      <c r="I210" s="431" t="s">
        <v>2258</v>
      </c>
      <c r="J210" s="432">
        <v>46234</v>
      </c>
    </row>
    <row r="211" spans="1:10">
      <c r="A211" s="431">
        <v>220</v>
      </c>
      <c r="B211" s="431" t="s">
        <v>2560</v>
      </c>
      <c r="C211" s="433" t="s">
        <v>2254</v>
      </c>
      <c r="D211" s="431" t="s">
        <v>2632</v>
      </c>
      <c r="E211" s="431" t="s">
        <v>2633</v>
      </c>
      <c r="F211" s="431">
        <v>983</v>
      </c>
      <c r="G211" s="431" t="s">
        <v>2443</v>
      </c>
      <c r="H211" s="431" t="s">
        <v>2257</v>
      </c>
      <c r="I211" s="431" t="s">
        <v>2258</v>
      </c>
      <c r="J211" s="432">
        <v>46234</v>
      </c>
    </row>
    <row r="212" spans="1:10">
      <c r="A212" s="431">
        <v>221</v>
      </c>
      <c r="B212" s="431" t="s">
        <v>2560</v>
      </c>
      <c r="C212" s="433" t="s">
        <v>2254</v>
      </c>
      <c r="D212" s="431" t="s">
        <v>2634</v>
      </c>
      <c r="E212" s="431" t="s">
        <v>2635</v>
      </c>
      <c r="F212" s="431">
        <v>5504</v>
      </c>
      <c r="G212" s="431" t="s">
        <v>2443</v>
      </c>
      <c r="H212" s="431" t="s">
        <v>2573</v>
      </c>
      <c r="I212" s="431" t="s">
        <v>2574</v>
      </c>
      <c r="J212" s="432">
        <v>46234</v>
      </c>
    </row>
    <row r="213" spans="1:10">
      <c r="A213" s="431">
        <v>222</v>
      </c>
      <c r="B213" s="431" t="s">
        <v>2560</v>
      </c>
      <c r="C213" s="433" t="s">
        <v>2254</v>
      </c>
      <c r="D213" s="431" t="s">
        <v>2636</v>
      </c>
      <c r="E213" s="431" t="s">
        <v>2637</v>
      </c>
      <c r="F213" s="431">
        <v>1252</v>
      </c>
      <c r="G213" s="431" t="s">
        <v>2443</v>
      </c>
      <c r="H213" s="431" t="s">
        <v>2257</v>
      </c>
      <c r="I213" s="431" t="s">
        <v>2258</v>
      </c>
      <c r="J213" s="432">
        <v>46234</v>
      </c>
    </row>
    <row r="214" spans="1:10">
      <c r="A214" s="431">
        <v>223</v>
      </c>
      <c r="B214" s="431" t="s">
        <v>2560</v>
      </c>
      <c r="C214" s="433" t="s">
        <v>2254</v>
      </c>
      <c r="D214" s="431" t="s">
        <v>2638</v>
      </c>
      <c r="E214" s="431" t="s">
        <v>2639</v>
      </c>
      <c r="F214" s="431">
        <v>4201</v>
      </c>
      <c r="G214" s="431" t="s">
        <v>2443</v>
      </c>
      <c r="H214" s="431" t="s">
        <v>2257</v>
      </c>
      <c r="I214" s="431" t="s">
        <v>2258</v>
      </c>
      <c r="J214" s="432">
        <v>46234</v>
      </c>
    </row>
    <row r="215" spans="1:10">
      <c r="A215" s="431">
        <v>224</v>
      </c>
      <c r="B215" s="431" t="s">
        <v>2560</v>
      </c>
      <c r="C215" s="433" t="s">
        <v>2254</v>
      </c>
      <c r="D215" s="431" t="s">
        <v>2640</v>
      </c>
      <c r="E215" s="431" t="s">
        <v>2641</v>
      </c>
      <c r="F215" s="431">
        <v>914</v>
      </c>
      <c r="G215" s="431" t="s">
        <v>2443</v>
      </c>
      <c r="H215" s="431" t="s">
        <v>2257</v>
      </c>
      <c r="I215" s="431" t="s">
        <v>2258</v>
      </c>
      <c r="J215" s="432">
        <v>46234</v>
      </c>
    </row>
    <row r="216" spans="1:10">
      <c r="A216" s="431">
        <v>225</v>
      </c>
      <c r="B216" s="431" t="s">
        <v>2560</v>
      </c>
      <c r="C216" s="433" t="s">
        <v>2254</v>
      </c>
      <c r="D216" s="431" t="s">
        <v>2642</v>
      </c>
      <c r="E216" s="431" t="s">
        <v>2643</v>
      </c>
      <c r="F216" s="431">
        <v>130</v>
      </c>
      <c r="G216" s="431" t="s">
        <v>2443</v>
      </c>
      <c r="H216" s="431" t="s">
        <v>2257</v>
      </c>
      <c r="I216" s="431" t="s">
        <v>2258</v>
      </c>
      <c r="J216" s="432">
        <v>46234</v>
      </c>
    </row>
    <row r="217" spans="1:10">
      <c r="A217" s="431">
        <v>226</v>
      </c>
      <c r="B217" s="431" t="s">
        <v>2560</v>
      </c>
      <c r="C217" s="433" t="s">
        <v>2254</v>
      </c>
      <c r="D217" s="431" t="s">
        <v>2644</v>
      </c>
      <c r="E217" s="431" t="s">
        <v>2645</v>
      </c>
      <c r="F217" s="431">
        <v>28</v>
      </c>
      <c r="G217" s="431" t="s">
        <v>2443</v>
      </c>
      <c r="H217" s="431" t="s">
        <v>2257</v>
      </c>
      <c r="I217" s="431" t="s">
        <v>2258</v>
      </c>
      <c r="J217" s="432">
        <v>46234</v>
      </c>
    </row>
    <row r="218" spans="1:10">
      <c r="A218" s="431">
        <v>227</v>
      </c>
      <c r="B218" s="431" t="s">
        <v>2560</v>
      </c>
      <c r="C218" s="433" t="s">
        <v>2254</v>
      </c>
      <c r="D218" s="431" t="s">
        <v>2646</v>
      </c>
      <c r="E218" s="431" t="s">
        <v>2647</v>
      </c>
      <c r="F218" s="431">
        <v>17</v>
      </c>
      <c r="G218" s="431" t="s">
        <v>2443</v>
      </c>
      <c r="H218" s="431" t="s">
        <v>2257</v>
      </c>
      <c r="I218" s="431" t="s">
        <v>2258</v>
      </c>
      <c r="J218" s="432">
        <v>46234</v>
      </c>
    </row>
    <row r="219" spans="1:10">
      <c r="A219" s="431">
        <v>228</v>
      </c>
      <c r="B219" s="431" t="s">
        <v>2560</v>
      </c>
      <c r="C219" s="431" t="s">
        <v>2254</v>
      </c>
      <c r="D219" s="431" t="s">
        <v>2648</v>
      </c>
      <c r="E219" s="431" t="s">
        <v>2649</v>
      </c>
      <c r="F219" s="431">
        <v>93</v>
      </c>
      <c r="G219" s="431" t="s">
        <v>2443</v>
      </c>
      <c r="H219" s="431" t="s">
        <v>2257</v>
      </c>
      <c r="I219" s="431" t="s">
        <v>2258</v>
      </c>
      <c r="J219" s="432">
        <v>46234</v>
      </c>
    </row>
    <row r="220" spans="1:10">
      <c r="A220" s="431">
        <v>229</v>
      </c>
      <c r="B220" s="431" t="s">
        <v>2560</v>
      </c>
      <c r="C220" s="433" t="s">
        <v>2254</v>
      </c>
      <c r="D220" s="431" t="s">
        <v>2650</v>
      </c>
      <c r="E220" s="431" t="s">
        <v>2651</v>
      </c>
      <c r="F220" s="431">
        <v>464</v>
      </c>
      <c r="G220" s="431" t="s">
        <v>2443</v>
      </c>
      <c r="H220" s="431" t="s">
        <v>2257</v>
      </c>
      <c r="I220" s="431" t="s">
        <v>2258</v>
      </c>
      <c r="J220" s="432">
        <v>46234</v>
      </c>
    </row>
    <row r="221" spans="1:10">
      <c r="A221" s="431">
        <v>230</v>
      </c>
      <c r="B221" s="431" t="s">
        <v>2560</v>
      </c>
      <c r="C221" s="433" t="s">
        <v>2254</v>
      </c>
      <c r="D221" s="431" t="s">
        <v>2652</v>
      </c>
      <c r="E221" s="431" t="s">
        <v>2653</v>
      </c>
      <c r="F221" s="431">
        <v>1152</v>
      </c>
      <c r="G221" s="431" t="s">
        <v>2443</v>
      </c>
      <c r="H221" s="431" t="s">
        <v>2257</v>
      </c>
      <c r="I221" s="431" t="s">
        <v>2258</v>
      </c>
      <c r="J221" s="432">
        <v>46234</v>
      </c>
    </row>
    <row r="222" spans="1:10">
      <c r="A222" s="431">
        <v>231</v>
      </c>
      <c r="B222" s="431" t="s">
        <v>2560</v>
      </c>
      <c r="C222" s="433" t="s">
        <v>2254</v>
      </c>
      <c r="D222" s="431" t="s">
        <v>2654</v>
      </c>
      <c r="E222" s="431" t="s">
        <v>2655</v>
      </c>
      <c r="F222" s="431">
        <v>3</v>
      </c>
      <c r="G222" s="431" t="s">
        <v>2656</v>
      </c>
      <c r="H222" s="431" t="s">
        <v>2257</v>
      </c>
      <c r="I222" s="431" t="s">
        <v>2258</v>
      </c>
      <c r="J222" s="432">
        <v>46234</v>
      </c>
    </row>
    <row r="223" spans="1:10">
      <c r="A223" s="431">
        <v>232</v>
      </c>
      <c r="B223" s="431" t="s">
        <v>2560</v>
      </c>
      <c r="C223" s="433" t="s">
        <v>2254</v>
      </c>
      <c r="D223" s="431" t="s">
        <v>2657</v>
      </c>
      <c r="E223" s="431" t="s">
        <v>2658</v>
      </c>
      <c r="F223" s="431">
        <v>312</v>
      </c>
      <c r="G223" s="431" t="s">
        <v>2443</v>
      </c>
      <c r="H223" s="431" t="s">
        <v>2257</v>
      </c>
      <c r="I223" s="431" t="s">
        <v>2258</v>
      </c>
      <c r="J223" s="432">
        <v>46234</v>
      </c>
    </row>
    <row r="224" spans="1:10">
      <c r="A224" s="431">
        <v>233</v>
      </c>
      <c r="B224" s="431" t="s">
        <v>2560</v>
      </c>
      <c r="C224" s="433" t="s">
        <v>2254</v>
      </c>
      <c r="D224" s="431" t="s">
        <v>2659</v>
      </c>
      <c r="E224" s="431" t="s">
        <v>2660</v>
      </c>
      <c r="F224" s="431">
        <v>938</v>
      </c>
      <c r="G224" s="431" t="s">
        <v>2443</v>
      </c>
      <c r="H224" s="431" t="s">
        <v>2257</v>
      </c>
      <c r="I224" s="431" t="s">
        <v>2258</v>
      </c>
      <c r="J224" s="432">
        <v>46234</v>
      </c>
    </row>
    <row r="225" spans="1:10">
      <c r="A225" s="431">
        <v>234</v>
      </c>
      <c r="B225" s="431" t="s">
        <v>2560</v>
      </c>
      <c r="C225" s="433" t="s">
        <v>2254</v>
      </c>
      <c r="D225" s="431" t="s">
        <v>2661</v>
      </c>
      <c r="E225" s="431" t="s">
        <v>2662</v>
      </c>
      <c r="F225" s="431">
        <v>859</v>
      </c>
      <c r="G225" s="431" t="s">
        <v>2443</v>
      </c>
      <c r="H225" s="431" t="s">
        <v>2257</v>
      </c>
      <c r="I225" s="431" t="s">
        <v>2258</v>
      </c>
      <c r="J225" s="432">
        <v>46234</v>
      </c>
    </row>
    <row r="226" spans="1:10">
      <c r="A226" s="431">
        <v>235</v>
      </c>
      <c r="B226" s="431" t="s">
        <v>2560</v>
      </c>
      <c r="C226" s="433" t="s">
        <v>2254</v>
      </c>
      <c r="D226" s="431" t="s">
        <v>2663</v>
      </c>
      <c r="E226" s="431" t="s">
        <v>2664</v>
      </c>
      <c r="F226" s="431">
        <v>365</v>
      </c>
      <c r="G226" s="431" t="s">
        <v>2443</v>
      </c>
      <c r="H226" s="431" t="s">
        <v>2257</v>
      </c>
      <c r="I226" s="431" t="s">
        <v>2258</v>
      </c>
      <c r="J226" s="432">
        <v>46234</v>
      </c>
    </row>
    <row r="227" spans="1:10">
      <c r="A227" s="431">
        <v>236</v>
      </c>
      <c r="B227" s="431" t="s">
        <v>2560</v>
      </c>
      <c r="C227" s="433" t="s">
        <v>2254</v>
      </c>
      <c r="D227" s="431" t="s">
        <v>2665</v>
      </c>
      <c r="E227" s="431" t="s">
        <v>2666</v>
      </c>
      <c r="F227" s="431">
        <v>382</v>
      </c>
      <c r="G227" s="431" t="s">
        <v>2443</v>
      </c>
      <c r="H227" s="431" t="s">
        <v>2257</v>
      </c>
      <c r="I227" s="431" t="s">
        <v>2258</v>
      </c>
      <c r="J227" s="432">
        <v>46234</v>
      </c>
    </row>
    <row r="228" spans="1:10">
      <c r="A228" s="431">
        <v>237</v>
      </c>
      <c r="B228" s="431" t="s">
        <v>2560</v>
      </c>
      <c r="C228" s="433" t="s">
        <v>2254</v>
      </c>
      <c r="D228" s="431" t="s">
        <v>2667</v>
      </c>
      <c r="E228" s="431" t="s">
        <v>2668</v>
      </c>
      <c r="F228" s="431">
        <v>393</v>
      </c>
      <c r="G228" s="431" t="s">
        <v>2443</v>
      </c>
      <c r="H228" s="431" t="s">
        <v>2257</v>
      </c>
      <c r="I228" s="431" t="s">
        <v>2258</v>
      </c>
      <c r="J228" s="432">
        <v>46234</v>
      </c>
    </row>
    <row r="229" spans="1:10">
      <c r="A229" s="431">
        <v>238</v>
      </c>
      <c r="B229" s="431" t="s">
        <v>2560</v>
      </c>
      <c r="C229" s="433" t="s">
        <v>2254</v>
      </c>
      <c r="D229" s="431" t="s">
        <v>2669</v>
      </c>
      <c r="E229" s="431" t="s">
        <v>2670</v>
      </c>
      <c r="F229" s="431">
        <v>23</v>
      </c>
      <c r="G229" s="431" t="s">
        <v>797</v>
      </c>
      <c r="H229" s="431" t="s">
        <v>2257</v>
      </c>
      <c r="I229" s="431" t="s">
        <v>2258</v>
      </c>
      <c r="J229" s="432">
        <v>46234</v>
      </c>
    </row>
    <row r="230" spans="1:10">
      <c r="A230" s="431">
        <v>239</v>
      </c>
      <c r="B230" s="431" t="s">
        <v>2560</v>
      </c>
      <c r="C230" s="433" t="s">
        <v>2254</v>
      </c>
      <c r="D230" s="431" t="s">
        <v>2671</v>
      </c>
      <c r="E230" s="431" t="s">
        <v>2670</v>
      </c>
      <c r="F230" s="431">
        <v>312</v>
      </c>
      <c r="G230" s="431" t="s">
        <v>2443</v>
      </c>
      <c r="H230" s="431" t="s">
        <v>2257</v>
      </c>
      <c r="I230" s="431" t="s">
        <v>2258</v>
      </c>
      <c r="J230" s="432">
        <v>46234</v>
      </c>
    </row>
    <row r="231" spans="1:10">
      <c r="A231" s="431">
        <v>240</v>
      </c>
      <c r="B231" s="431" t="s">
        <v>2560</v>
      </c>
      <c r="C231" s="433" t="s">
        <v>2254</v>
      </c>
      <c r="D231" s="431" t="s">
        <v>2672</v>
      </c>
      <c r="E231" s="431" t="s">
        <v>2670</v>
      </c>
      <c r="F231" s="431">
        <v>3</v>
      </c>
      <c r="G231" s="431" t="s">
        <v>2656</v>
      </c>
      <c r="H231" s="431" t="s">
        <v>2257</v>
      </c>
      <c r="I231" s="431" t="s">
        <v>2258</v>
      </c>
      <c r="J231" s="432">
        <v>46234</v>
      </c>
    </row>
    <row r="232" spans="1:10">
      <c r="A232" s="431">
        <v>241</v>
      </c>
      <c r="B232" s="431" t="s">
        <v>2560</v>
      </c>
      <c r="C232" s="433" t="s">
        <v>2254</v>
      </c>
      <c r="D232" s="431" t="s">
        <v>2673</v>
      </c>
      <c r="E232" s="431" t="s">
        <v>2674</v>
      </c>
      <c r="F232" s="431">
        <v>1553</v>
      </c>
      <c r="G232" s="431" t="s">
        <v>2443</v>
      </c>
      <c r="H232" s="431" t="s">
        <v>2257</v>
      </c>
      <c r="I232" s="431" t="s">
        <v>2258</v>
      </c>
      <c r="J232" s="432">
        <v>46234</v>
      </c>
    </row>
    <row r="233" spans="1:10">
      <c r="A233" s="431">
        <v>242</v>
      </c>
      <c r="B233" s="431" t="s">
        <v>2560</v>
      </c>
      <c r="C233" s="433" t="s">
        <v>2254</v>
      </c>
      <c r="D233" s="431" t="s">
        <v>2675</v>
      </c>
      <c r="E233" s="431" t="s">
        <v>2676</v>
      </c>
      <c r="F233" s="431">
        <v>250</v>
      </c>
      <c r="G233" s="431" t="s">
        <v>2443</v>
      </c>
      <c r="H233" s="431" t="s">
        <v>2257</v>
      </c>
      <c r="I233" s="431" t="s">
        <v>2258</v>
      </c>
      <c r="J233" s="432">
        <v>46234</v>
      </c>
    </row>
    <row r="234" spans="1:10">
      <c r="A234" s="431">
        <v>243</v>
      </c>
      <c r="B234" s="431" t="s">
        <v>2560</v>
      </c>
      <c r="C234" s="433" t="s">
        <v>2254</v>
      </c>
      <c r="D234" s="431" t="s">
        <v>2677</v>
      </c>
      <c r="E234" s="431" t="s">
        <v>2676</v>
      </c>
      <c r="F234" s="431">
        <v>25</v>
      </c>
      <c r="G234" s="431" t="s">
        <v>797</v>
      </c>
      <c r="H234" s="431" t="s">
        <v>2257</v>
      </c>
      <c r="I234" s="431" t="s">
        <v>2258</v>
      </c>
      <c r="J234" s="432">
        <v>46234</v>
      </c>
    </row>
    <row r="235" spans="1:10">
      <c r="A235" s="431">
        <v>244</v>
      </c>
      <c r="B235" s="431" t="s">
        <v>2560</v>
      </c>
      <c r="C235" s="433" t="s">
        <v>2254</v>
      </c>
      <c r="D235" s="431" t="s">
        <v>2679</v>
      </c>
      <c r="E235" s="431" t="s">
        <v>2680</v>
      </c>
      <c r="F235" s="431">
        <v>1213</v>
      </c>
      <c r="G235" s="431" t="s">
        <v>2443</v>
      </c>
      <c r="H235" s="431" t="s">
        <v>2257</v>
      </c>
      <c r="I235" s="431" t="s">
        <v>2258</v>
      </c>
      <c r="J235" s="432">
        <v>46234</v>
      </c>
    </row>
    <row r="236" spans="1:10">
      <c r="A236" s="431">
        <v>245</v>
      </c>
      <c r="B236" s="431" t="s">
        <v>2560</v>
      </c>
      <c r="C236" s="433" t="s">
        <v>2254</v>
      </c>
      <c r="D236" s="431" t="s">
        <v>2681</v>
      </c>
      <c r="E236" s="431" t="s">
        <v>2682</v>
      </c>
      <c r="F236" s="431">
        <v>322</v>
      </c>
      <c r="G236" s="431" t="s">
        <v>2443</v>
      </c>
      <c r="H236" s="431" t="s">
        <v>2257</v>
      </c>
      <c r="I236" s="431" t="s">
        <v>2258</v>
      </c>
      <c r="J236" s="432">
        <v>46234</v>
      </c>
    </row>
    <row r="237" spans="1:10">
      <c r="A237" s="431">
        <v>246</v>
      </c>
      <c r="B237" s="431" t="s">
        <v>2560</v>
      </c>
      <c r="C237" s="433" t="s">
        <v>2254</v>
      </c>
      <c r="D237" s="431" t="s">
        <v>2684</v>
      </c>
      <c r="E237" s="431" t="s">
        <v>2685</v>
      </c>
      <c r="F237" s="431">
        <v>358</v>
      </c>
      <c r="G237" s="431" t="s">
        <v>2443</v>
      </c>
      <c r="H237" s="431" t="s">
        <v>2257</v>
      </c>
      <c r="I237" s="431" t="s">
        <v>2258</v>
      </c>
      <c r="J237" s="432">
        <v>46234</v>
      </c>
    </row>
    <row r="238" spans="1:10">
      <c r="A238" s="431">
        <v>247</v>
      </c>
      <c r="B238" s="431" t="s">
        <v>2560</v>
      </c>
      <c r="C238" s="433" t="s">
        <v>2254</v>
      </c>
      <c r="D238" s="431" t="s">
        <v>2687</v>
      </c>
      <c r="E238" s="431" t="s">
        <v>2688</v>
      </c>
      <c r="F238" s="431">
        <v>46</v>
      </c>
      <c r="G238" s="431" t="s">
        <v>691</v>
      </c>
      <c r="H238" s="431" t="s">
        <v>2257</v>
      </c>
      <c r="I238" s="431" t="s">
        <v>2258</v>
      </c>
      <c r="J238" s="432">
        <v>46234</v>
      </c>
    </row>
    <row r="239" spans="1:10">
      <c r="A239" s="431">
        <v>248</v>
      </c>
      <c r="B239" s="431" t="s">
        <v>2560</v>
      </c>
      <c r="C239" s="433" t="s">
        <v>2254</v>
      </c>
      <c r="D239" s="431" t="s">
        <v>2689</v>
      </c>
      <c r="E239" s="431" t="s">
        <v>2690</v>
      </c>
      <c r="F239" s="431">
        <v>859</v>
      </c>
      <c r="G239" s="431" t="s">
        <v>2443</v>
      </c>
      <c r="H239" s="431" t="s">
        <v>2257</v>
      </c>
      <c r="I239" s="431" t="s">
        <v>2258</v>
      </c>
      <c r="J239" s="432">
        <v>46234</v>
      </c>
    </row>
    <row r="240" spans="1:10">
      <c r="A240" s="431">
        <v>249</v>
      </c>
      <c r="B240" s="431" t="s">
        <v>2560</v>
      </c>
      <c r="C240" s="433" t="s">
        <v>2254</v>
      </c>
      <c r="D240" s="431" t="s">
        <v>2691</v>
      </c>
      <c r="E240" s="431" t="s">
        <v>2692</v>
      </c>
      <c r="F240" s="431">
        <v>374</v>
      </c>
      <c r="G240" s="431" t="s">
        <v>2443</v>
      </c>
      <c r="H240" s="431" t="s">
        <v>2257</v>
      </c>
      <c r="I240" s="431" t="s">
        <v>2258</v>
      </c>
      <c r="J240" s="432">
        <v>46234</v>
      </c>
    </row>
    <row r="241" spans="1:10">
      <c r="A241" s="431">
        <v>250</v>
      </c>
      <c r="B241" s="431" t="s">
        <v>2560</v>
      </c>
      <c r="C241" s="433" t="s">
        <v>2254</v>
      </c>
      <c r="D241" s="431" t="s">
        <v>2693</v>
      </c>
      <c r="E241" s="431" t="s">
        <v>2694</v>
      </c>
      <c r="F241" s="431">
        <v>322</v>
      </c>
      <c r="G241" s="431" t="s">
        <v>2443</v>
      </c>
      <c r="H241" s="431" t="s">
        <v>2257</v>
      </c>
      <c r="I241" s="431" t="s">
        <v>2258</v>
      </c>
      <c r="J241" s="432">
        <v>46234</v>
      </c>
    </row>
    <row r="242" spans="1:10">
      <c r="A242" s="431">
        <v>251</v>
      </c>
      <c r="B242" s="431" t="s">
        <v>2560</v>
      </c>
      <c r="C242" s="433" t="s">
        <v>2254</v>
      </c>
      <c r="D242" s="431" t="s">
        <v>2695</v>
      </c>
      <c r="E242" s="431" t="s">
        <v>2696</v>
      </c>
      <c r="F242" s="431">
        <v>374</v>
      </c>
      <c r="G242" s="431" t="s">
        <v>2443</v>
      </c>
      <c r="H242" s="431" t="s">
        <v>2257</v>
      </c>
      <c r="I242" s="431" t="s">
        <v>2258</v>
      </c>
      <c r="J242" s="432">
        <v>46234</v>
      </c>
    </row>
    <row r="243" spans="1:10">
      <c r="A243" s="431">
        <v>252</v>
      </c>
      <c r="B243" s="431" t="s">
        <v>2560</v>
      </c>
      <c r="C243" s="433" t="s">
        <v>2254</v>
      </c>
      <c r="D243" s="431" t="s">
        <v>2697</v>
      </c>
      <c r="E243" s="431" t="s">
        <v>2698</v>
      </c>
      <c r="F243" s="431">
        <v>702</v>
      </c>
      <c r="G243" s="431" t="s">
        <v>2443</v>
      </c>
      <c r="H243" s="431" t="s">
        <v>2257</v>
      </c>
      <c r="I243" s="431" t="s">
        <v>2258</v>
      </c>
      <c r="J243" s="432">
        <v>46234</v>
      </c>
    </row>
    <row r="244" spans="1:10">
      <c r="A244" s="431">
        <v>253</v>
      </c>
      <c r="B244" s="431" t="s">
        <v>2560</v>
      </c>
      <c r="C244" s="433" t="s">
        <v>2254</v>
      </c>
      <c r="D244" s="431" t="s">
        <v>2699</v>
      </c>
      <c r="E244" s="431" t="s">
        <v>2700</v>
      </c>
      <c r="F244" s="431">
        <v>702</v>
      </c>
      <c r="G244" s="431" t="s">
        <v>2443</v>
      </c>
      <c r="H244" s="431" t="s">
        <v>2257</v>
      </c>
      <c r="I244" s="431" t="s">
        <v>2258</v>
      </c>
      <c r="J244" s="432">
        <v>46234</v>
      </c>
    </row>
    <row r="245" spans="1:10">
      <c r="A245" s="431">
        <v>254</v>
      </c>
      <c r="B245" s="431" t="s">
        <v>2560</v>
      </c>
      <c r="C245" s="433" t="s">
        <v>2254</v>
      </c>
      <c r="D245" s="431" t="s">
        <v>2701</v>
      </c>
      <c r="E245" s="431" t="s">
        <v>2702</v>
      </c>
      <c r="F245" s="431">
        <v>350</v>
      </c>
      <c r="G245" s="431" t="s">
        <v>328</v>
      </c>
      <c r="H245" s="431" t="s">
        <v>2257</v>
      </c>
      <c r="I245" s="431" t="s">
        <v>2258</v>
      </c>
      <c r="J245" s="432">
        <v>46234</v>
      </c>
    </row>
    <row r="246" spans="1:10">
      <c r="A246" s="431">
        <v>255</v>
      </c>
      <c r="B246" s="431" t="s">
        <v>2560</v>
      </c>
      <c r="C246" s="433" t="s">
        <v>2254</v>
      </c>
      <c r="D246" s="431" t="s">
        <v>2703</v>
      </c>
      <c r="E246" s="431" t="s">
        <v>2704</v>
      </c>
      <c r="F246" s="431">
        <v>1213</v>
      </c>
      <c r="G246" s="431" t="s">
        <v>2443</v>
      </c>
      <c r="H246" s="431" t="s">
        <v>2257</v>
      </c>
      <c r="I246" s="431" t="s">
        <v>2258</v>
      </c>
      <c r="J246" s="432">
        <v>46234</v>
      </c>
    </row>
    <row r="247" spans="1:10">
      <c r="A247" s="431">
        <v>256</v>
      </c>
      <c r="B247" s="431" t="s">
        <v>2560</v>
      </c>
      <c r="C247" s="433" t="s">
        <v>2254</v>
      </c>
      <c r="D247" s="431" t="s">
        <v>2705</v>
      </c>
      <c r="E247" s="431" t="s">
        <v>2706</v>
      </c>
      <c r="F247" s="431">
        <v>365</v>
      </c>
      <c r="G247" s="431" t="s">
        <v>2443</v>
      </c>
      <c r="H247" s="431" t="s">
        <v>2257</v>
      </c>
      <c r="I247" s="431" t="s">
        <v>2258</v>
      </c>
      <c r="J247" s="432">
        <v>46234</v>
      </c>
    </row>
    <row r="248" spans="1:10">
      <c r="A248" s="431">
        <v>257</v>
      </c>
      <c r="B248" s="431" t="s">
        <v>2560</v>
      </c>
      <c r="C248" s="433" t="s">
        <v>2254</v>
      </c>
      <c r="D248" s="431" t="s">
        <v>2707</v>
      </c>
      <c r="E248" s="431" t="s">
        <v>2708</v>
      </c>
      <c r="F248" s="431">
        <v>312</v>
      </c>
      <c r="G248" s="431" t="s">
        <v>2443</v>
      </c>
      <c r="H248" s="431" t="s">
        <v>2257</v>
      </c>
      <c r="I248" s="431" t="s">
        <v>2258</v>
      </c>
      <c r="J248" s="432">
        <v>46234</v>
      </c>
    </row>
    <row r="249" spans="1:10">
      <c r="A249" s="431">
        <v>258</v>
      </c>
      <c r="B249" s="431" t="s">
        <v>2560</v>
      </c>
      <c r="C249" s="433" t="s">
        <v>2254</v>
      </c>
      <c r="D249" s="431" t="s">
        <v>2709</v>
      </c>
      <c r="E249" s="431" t="s">
        <v>2710</v>
      </c>
      <c r="F249" s="431">
        <v>312</v>
      </c>
      <c r="G249" s="431" t="s">
        <v>2443</v>
      </c>
      <c r="H249" s="431" t="s">
        <v>2257</v>
      </c>
      <c r="I249" s="431" t="s">
        <v>2258</v>
      </c>
      <c r="J249" s="432">
        <v>46234</v>
      </c>
    </row>
    <row r="250" spans="1:10">
      <c r="A250" s="431">
        <v>259</v>
      </c>
      <c r="B250" s="431" t="s">
        <v>2560</v>
      </c>
      <c r="C250" s="433" t="s">
        <v>2254</v>
      </c>
      <c r="D250" s="431" t="s">
        <v>2711</v>
      </c>
      <c r="E250" s="431" t="s">
        <v>2712</v>
      </c>
      <c r="F250" s="431">
        <v>312</v>
      </c>
      <c r="G250" s="431" t="s">
        <v>2443</v>
      </c>
      <c r="H250" s="431" t="s">
        <v>2257</v>
      </c>
      <c r="I250" s="431" t="s">
        <v>2258</v>
      </c>
      <c r="J250" s="432">
        <v>46234</v>
      </c>
    </row>
    <row r="251" spans="1:10">
      <c r="A251" s="431">
        <v>260</v>
      </c>
      <c r="B251" s="431" t="s">
        <v>2560</v>
      </c>
      <c r="C251" s="433" t="s">
        <v>2254</v>
      </c>
      <c r="D251" s="431" t="s">
        <v>2713</v>
      </c>
      <c r="E251" s="431" t="s">
        <v>2714</v>
      </c>
      <c r="F251" s="431">
        <v>312</v>
      </c>
      <c r="G251" s="431" t="s">
        <v>2443</v>
      </c>
      <c r="H251" s="431" t="s">
        <v>2257</v>
      </c>
      <c r="I251" s="431" t="s">
        <v>2258</v>
      </c>
      <c r="J251" s="432">
        <v>46234</v>
      </c>
    </row>
    <row r="252" spans="1:10">
      <c r="A252" s="431">
        <v>261</v>
      </c>
      <c r="B252" s="431" t="s">
        <v>2560</v>
      </c>
      <c r="C252" s="433" t="s">
        <v>2254</v>
      </c>
      <c r="D252" s="431" t="s">
        <v>2715</v>
      </c>
      <c r="E252" s="431" t="s">
        <v>2716</v>
      </c>
      <c r="F252" s="431">
        <v>312</v>
      </c>
      <c r="G252" s="431" t="s">
        <v>2443</v>
      </c>
      <c r="H252" s="431" t="s">
        <v>2257</v>
      </c>
      <c r="I252" s="431" t="s">
        <v>2258</v>
      </c>
      <c r="J252" s="432">
        <v>46234</v>
      </c>
    </row>
    <row r="253" spans="1:10">
      <c r="A253" s="431">
        <v>262</v>
      </c>
      <c r="B253" s="431" t="s">
        <v>2253</v>
      </c>
      <c r="C253" s="433" t="s">
        <v>2254</v>
      </c>
      <c r="D253" s="431" t="s">
        <v>2717</v>
      </c>
      <c r="E253" s="431" t="s">
        <v>2718</v>
      </c>
      <c r="F253" s="431">
        <v>123</v>
      </c>
      <c r="G253" s="431" t="s">
        <v>812</v>
      </c>
      <c r="H253" s="431" t="s">
        <v>2257</v>
      </c>
      <c r="I253" s="431" t="s">
        <v>2258</v>
      </c>
      <c r="J253" s="432">
        <v>46234</v>
      </c>
    </row>
    <row r="254" spans="1:10">
      <c r="A254" s="431">
        <v>263</v>
      </c>
      <c r="B254" s="431" t="s">
        <v>2253</v>
      </c>
      <c r="C254" s="433" t="s">
        <v>2254</v>
      </c>
      <c r="D254" s="431" t="s">
        <v>2719</v>
      </c>
      <c r="E254" s="431" t="s">
        <v>2720</v>
      </c>
      <c r="F254" s="431">
        <v>4</v>
      </c>
      <c r="G254" s="431" t="s">
        <v>1107</v>
      </c>
      <c r="H254" s="431" t="s">
        <v>2257</v>
      </c>
      <c r="I254" s="431" t="s">
        <v>2258</v>
      </c>
      <c r="J254" s="432">
        <v>46234</v>
      </c>
    </row>
    <row r="255" spans="1:10">
      <c r="A255" s="431">
        <v>264</v>
      </c>
      <c r="B255" s="431" t="s">
        <v>2253</v>
      </c>
      <c r="C255" s="433" t="s">
        <v>2254</v>
      </c>
      <c r="D255" s="431" t="s">
        <v>1083</v>
      </c>
      <c r="E255" s="431" t="s">
        <v>1084</v>
      </c>
      <c r="F255" s="431">
        <v>70</v>
      </c>
      <c r="G255" s="431" t="s">
        <v>46</v>
      </c>
      <c r="H255" s="431" t="s">
        <v>2257</v>
      </c>
      <c r="I255" s="431" t="s">
        <v>2258</v>
      </c>
      <c r="J255" s="432">
        <v>46234</v>
      </c>
    </row>
    <row r="256" spans="1:10">
      <c r="A256" s="431">
        <v>265</v>
      </c>
      <c r="B256" s="431" t="s">
        <v>2253</v>
      </c>
      <c r="C256" s="433" t="s">
        <v>2254</v>
      </c>
      <c r="D256" s="431" t="s">
        <v>1094</v>
      </c>
      <c r="E256" s="431" t="s">
        <v>1096</v>
      </c>
      <c r="F256" s="431">
        <v>72</v>
      </c>
      <c r="G256" s="431" t="s">
        <v>21</v>
      </c>
      <c r="H256" s="431" t="s">
        <v>2257</v>
      </c>
      <c r="I256" s="431" t="s">
        <v>2258</v>
      </c>
      <c r="J256" s="432">
        <v>46234</v>
      </c>
    </row>
    <row r="257" spans="1:10">
      <c r="A257" s="431">
        <v>266</v>
      </c>
      <c r="B257" s="431" t="s">
        <v>2253</v>
      </c>
      <c r="C257" s="433" t="s">
        <v>2254</v>
      </c>
      <c r="D257" s="431" t="s">
        <v>1101</v>
      </c>
      <c r="E257" s="431" t="s">
        <v>1102</v>
      </c>
      <c r="F257" s="431">
        <v>230</v>
      </c>
      <c r="G257" s="431" t="s">
        <v>46</v>
      </c>
      <c r="H257" s="431" t="s">
        <v>2257</v>
      </c>
      <c r="I257" s="431" t="s">
        <v>2258</v>
      </c>
      <c r="J257" s="432">
        <v>46234</v>
      </c>
    </row>
    <row r="258" spans="1:10">
      <c r="A258" s="431">
        <v>267</v>
      </c>
      <c r="B258" s="431" t="s">
        <v>2721</v>
      </c>
      <c r="C258" s="433" t="s">
        <v>2254</v>
      </c>
      <c r="D258" s="431" t="s">
        <v>2722</v>
      </c>
      <c r="E258" s="431" t="s">
        <v>2723</v>
      </c>
      <c r="F258" s="431">
        <v>80</v>
      </c>
      <c r="G258" s="431" t="s">
        <v>21</v>
      </c>
      <c r="H258" s="431" t="s">
        <v>2257</v>
      </c>
      <c r="I258" s="431" t="s">
        <v>2258</v>
      </c>
      <c r="J258" s="432">
        <v>46234</v>
      </c>
    </row>
    <row r="259" spans="1:10">
      <c r="A259" s="431">
        <v>268</v>
      </c>
      <c r="B259" s="431" t="s">
        <v>2721</v>
      </c>
      <c r="C259" s="433" t="s">
        <v>2254</v>
      </c>
      <c r="D259" s="431" t="s">
        <v>2724</v>
      </c>
      <c r="E259" s="431" t="s">
        <v>2725</v>
      </c>
      <c r="F259" s="431">
        <v>16</v>
      </c>
      <c r="G259" s="431" t="s">
        <v>691</v>
      </c>
      <c r="H259" s="431" t="s">
        <v>2257</v>
      </c>
      <c r="I259" s="431" t="s">
        <v>2258</v>
      </c>
      <c r="J259" s="432">
        <v>46234</v>
      </c>
    </row>
    <row r="260" spans="1:10">
      <c r="A260" s="431">
        <v>269</v>
      </c>
      <c r="B260" s="431" t="s">
        <v>2721</v>
      </c>
      <c r="C260" s="433" t="s">
        <v>2254</v>
      </c>
      <c r="D260" s="431" t="s">
        <v>2726</v>
      </c>
      <c r="E260" s="431" t="s">
        <v>2727</v>
      </c>
      <c r="F260" s="431">
        <v>328</v>
      </c>
      <c r="G260" s="431" t="s">
        <v>21</v>
      </c>
      <c r="H260" s="431" t="s">
        <v>2257</v>
      </c>
      <c r="I260" s="431" t="s">
        <v>2258</v>
      </c>
      <c r="J260" s="432">
        <v>46234</v>
      </c>
    </row>
    <row r="261" spans="1:10">
      <c r="A261" s="431">
        <v>270</v>
      </c>
      <c r="B261" s="431" t="s">
        <v>2721</v>
      </c>
      <c r="C261" s="433" t="s">
        <v>2254</v>
      </c>
      <c r="D261" s="431" t="s">
        <v>2728</v>
      </c>
      <c r="E261" s="431" t="s">
        <v>2729</v>
      </c>
      <c r="F261" s="431">
        <v>40</v>
      </c>
      <c r="G261" s="431" t="s">
        <v>21</v>
      </c>
      <c r="H261" s="431" t="s">
        <v>2257</v>
      </c>
      <c r="I261" s="431" t="s">
        <v>2258</v>
      </c>
      <c r="J261" s="432">
        <v>46234</v>
      </c>
    </row>
    <row r="262" spans="1:10">
      <c r="A262" s="431">
        <v>271</v>
      </c>
      <c r="B262" s="431" t="s">
        <v>2721</v>
      </c>
      <c r="C262" s="433" t="s">
        <v>2254</v>
      </c>
      <c r="D262" s="431" t="s">
        <v>2730</v>
      </c>
      <c r="E262" s="431" t="s">
        <v>2731</v>
      </c>
      <c r="F262" s="431">
        <v>5</v>
      </c>
      <c r="G262" s="431" t="s">
        <v>1107</v>
      </c>
      <c r="H262" s="431" t="s">
        <v>2257</v>
      </c>
      <c r="I262" s="431" t="s">
        <v>2258</v>
      </c>
      <c r="J262" s="432">
        <v>46234</v>
      </c>
    </row>
    <row r="263" spans="1:10">
      <c r="A263" s="431">
        <v>272</v>
      </c>
      <c r="B263" s="431" t="s">
        <v>2253</v>
      </c>
      <c r="C263" s="431" t="s">
        <v>2254</v>
      </c>
      <c r="D263" s="431" t="s">
        <v>2732</v>
      </c>
      <c r="E263" s="431" t="s">
        <v>2733</v>
      </c>
      <c r="F263" s="431">
        <v>112</v>
      </c>
      <c r="G263" s="431" t="s">
        <v>691</v>
      </c>
      <c r="H263" s="431" t="s">
        <v>2257</v>
      </c>
      <c r="I263" s="431" t="s">
        <v>2258</v>
      </c>
      <c r="J263" s="432">
        <v>46234</v>
      </c>
    </row>
    <row r="264" spans="1:10">
      <c r="A264" s="431">
        <v>273</v>
      </c>
      <c r="B264" s="431" t="s">
        <v>2560</v>
      </c>
      <c r="C264" s="431" t="s">
        <v>2254</v>
      </c>
      <c r="D264" s="431" t="s">
        <v>2734</v>
      </c>
      <c r="E264" s="431" t="s">
        <v>2735</v>
      </c>
      <c r="F264" s="431">
        <v>200</v>
      </c>
      <c r="G264" s="431" t="s">
        <v>46</v>
      </c>
      <c r="H264" s="431" t="s">
        <v>2257</v>
      </c>
      <c r="I264" s="431" t="s">
        <v>2258</v>
      </c>
      <c r="J264" s="432">
        <v>46234</v>
      </c>
    </row>
    <row r="265" spans="1:10">
      <c r="A265" s="431">
        <v>274</v>
      </c>
      <c r="B265" s="431" t="s">
        <v>2253</v>
      </c>
      <c r="C265" s="431" t="s">
        <v>2254</v>
      </c>
      <c r="D265" s="431" t="s">
        <v>2738</v>
      </c>
      <c r="E265" s="431" t="s">
        <v>2739</v>
      </c>
      <c r="F265" s="431">
        <v>79</v>
      </c>
      <c r="G265" s="431" t="s">
        <v>328</v>
      </c>
      <c r="H265" s="431" t="s">
        <v>2257</v>
      </c>
      <c r="I265" s="431" t="s">
        <v>2258</v>
      </c>
      <c r="J265" s="432">
        <v>46234</v>
      </c>
    </row>
    <row r="266" spans="1:10">
      <c r="A266" s="431">
        <v>275</v>
      </c>
      <c r="B266" s="431" t="s">
        <v>2721</v>
      </c>
      <c r="C266" s="431" t="s">
        <v>2254</v>
      </c>
      <c r="D266" s="431" t="s">
        <v>2740</v>
      </c>
      <c r="E266" s="431" t="s">
        <v>2741</v>
      </c>
      <c r="F266" s="431">
        <v>563</v>
      </c>
      <c r="G266" s="431" t="s">
        <v>26</v>
      </c>
      <c r="H266" s="431" t="s">
        <v>2257</v>
      </c>
      <c r="I266" s="431" t="s">
        <v>2258</v>
      </c>
      <c r="J266" s="432">
        <v>46234</v>
      </c>
    </row>
    <row r="267" spans="1:10">
      <c r="A267" s="431">
        <v>276</v>
      </c>
      <c r="B267" s="431" t="s">
        <v>2721</v>
      </c>
      <c r="C267" s="431" t="s">
        <v>2254</v>
      </c>
      <c r="D267" s="431" t="s">
        <v>2742</v>
      </c>
      <c r="E267" s="431" t="s">
        <v>2743</v>
      </c>
      <c r="F267" s="431">
        <v>471</v>
      </c>
      <c r="G267" s="431" t="s">
        <v>26</v>
      </c>
      <c r="H267" s="431" t="s">
        <v>2257</v>
      </c>
      <c r="I267" s="431" t="s">
        <v>2258</v>
      </c>
      <c r="J267" s="432">
        <v>46234</v>
      </c>
    </row>
    <row r="268" spans="1:10">
      <c r="A268" s="431">
        <v>277</v>
      </c>
      <c r="B268" s="431" t="s">
        <v>2560</v>
      </c>
      <c r="C268" s="433" t="s">
        <v>2254</v>
      </c>
      <c r="D268" s="431" t="s">
        <v>2744</v>
      </c>
      <c r="E268" s="431" t="s">
        <v>2745</v>
      </c>
      <c r="F268" s="431">
        <v>694</v>
      </c>
      <c r="G268" s="431" t="s">
        <v>26</v>
      </c>
      <c r="H268" s="431" t="s">
        <v>2257</v>
      </c>
      <c r="I268" s="431" t="s">
        <v>2258</v>
      </c>
      <c r="J268" s="432">
        <v>46234</v>
      </c>
    </row>
    <row r="269" spans="1:10">
      <c r="A269" s="431">
        <v>278</v>
      </c>
      <c r="B269" s="431" t="s">
        <v>2560</v>
      </c>
      <c r="C269" s="433" t="s">
        <v>2254</v>
      </c>
      <c r="D269" s="431" t="s">
        <v>2746</v>
      </c>
      <c r="E269" s="431" t="s">
        <v>2747</v>
      </c>
      <c r="F269" s="431">
        <v>750</v>
      </c>
      <c r="G269" s="431" t="s">
        <v>26</v>
      </c>
      <c r="H269" s="431" t="s">
        <v>2257</v>
      </c>
      <c r="I269" s="431" t="s">
        <v>2258</v>
      </c>
      <c r="J269" s="432">
        <v>46234</v>
      </c>
    </row>
    <row r="270" spans="1:10">
      <c r="A270" s="431">
        <v>279</v>
      </c>
      <c r="B270" s="431" t="s">
        <v>2560</v>
      </c>
      <c r="C270" s="433" t="s">
        <v>2254</v>
      </c>
      <c r="D270" s="431" t="s">
        <v>2748</v>
      </c>
      <c r="E270" s="431" t="s">
        <v>2749</v>
      </c>
      <c r="F270" s="431">
        <v>200</v>
      </c>
      <c r="G270" s="431" t="s">
        <v>46</v>
      </c>
      <c r="H270" s="431" t="s">
        <v>2257</v>
      </c>
      <c r="I270" s="431" t="s">
        <v>2258</v>
      </c>
      <c r="J270" s="432">
        <v>46234</v>
      </c>
    </row>
    <row r="271" spans="1:10">
      <c r="A271" s="431">
        <v>280</v>
      </c>
      <c r="B271" s="431" t="s">
        <v>2253</v>
      </c>
      <c r="C271" s="433" t="s">
        <v>2254</v>
      </c>
      <c r="D271" s="431" t="s">
        <v>2750</v>
      </c>
      <c r="E271" s="431" t="s">
        <v>2751</v>
      </c>
      <c r="F271" s="431">
        <v>43643</v>
      </c>
      <c r="G271" s="431" t="s">
        <v>812</v>
      </c>
      <c r="H271" s="431" t="s">
        <v>2257</v>
      </c>
      <c r="I271" s="431" t="s">
        <v>2258</v>
      </c>
      <c r="J271" s="432">
        <v>46234</v>
      </c>
    </row>
    <row r="272" spans="1:10">
      <c r="A272" s="431">
        <v>281</v>
      </c>
      <c r="B272" s="431" t="s">
        <v>2560</v>
      </c>
      <c r="C272" s="433" t="s">
        <v>2254</v>
      </c>
      <c r="D272" s="431" t="s">
        <v>2752</v>
      </c>
      <c r="E272" s="431" t="s">
        <v>2753</v>
      </c>
      <c r="F272" s="431">
        <v>7</v>
      </c>
      <c r="G272" s="431" t="s">
        <v>62</v>
      </c>
      <c r="H272" s="431" t="s">
        <v>2257</v>
      </c>
      <c r="I272" s="431" t="s">
        <v>2258</v>
      </c>
      <c r="J272" s="432">
        <v>46234</v>
      </c>
    </row>
    <row r="273" spans="1:10">
      <c r="A273" s="431">
        <v>282</v>
      </c>
      <c r="B273" s="431" t="s">
        <v>2253</v>
      </c>
      <c r="C273" s="431" t="s">
        <v>2254</v>
      </c>
      <c r="D273" s="431" t="s">
        <v>2754</v>
      </c>
      <c r="E273" s="431" t="s">
        <v>2755</v>
      </c>
      <c r="F273" s="431">
        <v>1396</v>
      </c>
      <c r="G273" s="431" t="s">
        <v>21</v>
      </c>
      <c r="H273" s="431" t="s">
        <v>2257</v>
      </c>
      <c r="I273" s="431" t="s">
        <v>2258</v>
      </c>
      <c r="J273" s="432">
        <v>46234</v>
      </c>
    </row>
    <row r="274" spans="1:10">
      <c r="A274" s="431">
        <v>283</v>
      </c>
      <c r="B274" s="431" t="s">
        <v>2253</v>
      </c>
      <c r="C274" s="433" t="s">
        <v>2254</v>
      </c>
      <c r="D274" s="431" t="s">
        <v>2756</v>
      </c>
      <c r="E274" s="431" t="s">
        <v>2757</v>
      </c>
      <c r="F274" s="431">
        <v>15154</v>
      </c>
      <c r="G274" s="431" t="s">
        <v>328</v>
      </c>
      <c r="H274" s="431" t="s">
        <v>2257</v>
      </c>
      <c r="I274" s="431" t="s">
        <v>2258</v>
      </c>
      <c r="J274" s="432">
        <v>46234</v>
      </c>
    </row>
    <row r="275" spans="1:10">
      <c r="A275" s="431">
        <v>284</v>
      </c>
      <c r="B275" s="431" t="s">
        <v>2253</v>
      </c>
      <c r="C275" s="431" t="s">
        <v>2254</v>
      </c>
      <c r="D275" s="431" t="s">
        <v>2758</v>
      </c>
      <c r="E275" s="431" t="s">
        <v>2759</v>
      </c>
      <c r="F275" s="431">
        <v>409</v>
      </c>
      <c r="G275" s="431" t="s">
        <v>1107</v>
      </c>
      <c r="H275" s="431" t="s">
        <v>2257</v>
      </c>
      <c r="I275" s="431" t="s">
        <v>2258</v>
      </c>
      <c r="J275" s="432">
        <v>46234</v>
      </c>
    </row>
    <row r="276" spans="1:10">
      <c r="A276" s="431">
        <v>285</v>
      </c>
      <c r="B276" s="431" t="s">
        <v>2253</v>
      </c>
      <c r="C276" s="433" t="s">
        <v>2254</v>
      </c>
      <c r="D276" s="431" t="s">
        <v>2760</v>
      </c>
      <c r="E276" s="431" t="s">
        <v>2761</v>
      </c>
      <c r="F276" s="431">
        <v>429</v>
      </c>
      <c r="G276" s="431" t="s">
        <v>1107</v>
      </c>
      <c r="H276" s="431" t="s">
        <v>2257</v>
      </c>
      <c r="I276" s="431" t="s">
        <v>2258</v>
      </c>
      <c r="J276" s="432">
        <v>46234</v>
      </c>
    </row>
    <row r="277" spans="1:10">
      <c r="A277" s="431">
        <v>286</v>
      </c>
      <c r="B277" s="431" t="s">
        <v>2253</v>
      </c>
      <c r="C277" s="433" t="s">
        <v>2254</v>
      </c>
      <c r="D277" s="431" t="s">
        <v>2762</v>
      </c>
      <c r="E277" s="431" t="s">
        <v>2763</v>
      </c>
      <c r="F277" s="431">
        <v>454</v>
      </c>
      <c r="G277" s="431" t="s">
        <v>1107</v>
      </c>
      <c r="H277" s="431" t="s">
        <v>2257</v>
      </c>
      <c r="I277" s="431" t="s">
        <v>2258</v>
      </c>
      <c r="J277" s="432">
        <v>46234</v>
      </c>
    </row>
    <row r="278" spans="1:10">
      <c r="A278" s="431">
        <v>287</v>
      </c>
      <c r="B278" s="431" t="s">
        <v>2253</v>
      </c>
      <c r="C278" s="433" t="s">
        <v>2254</v>
      </c>
      <c r="D278" s="431" t="s">
        <v>2764</v>
      </c>
      <c r="E278" s="431" t="s">
        <v>2765</v>
      </c>
      <c r="F278" s="431">
        <v>431</v>
      </c>
      <c r="G278" s="431" t="s">
        <v>1107</v>
      </c>
      <c r="H278" s="431" t="s">
        <v>2257</v>
      </c>
      <c r="I278" s="431" t="s">
        <v>2258</v>
      </c>
      <c r="J278" s="432">
        <v>46234</v>
      </c>
    </row>
    <row r="279" spans="1:10">
      <c r="A279" s="431">
        <v>288</v>
      </c>
      <c r="B279" s="431" t="s">
        <v>2253</v>
      </c>
      <c r="C279" s="433" t="s">
        <v>2254</v>
      </c>
      <c r="D279" s="431" t="s">
        <v>2766</v>
      </c>
      <c r="E279" s="431" t="s">
        <v>2767</v>
      </c>
      <c r="F279" s="431">
        <v>443</v>
      </c>
      <c r="G279" s="431" t="s">
        <v>1107</v>
      </c>
      <c r="H279" s="431" t="s">
        <v>2257</v>
      </c>
      <c r="I279" s="431" t="s">
        <v>2258</v>
      </c>
      <c r="J279" s="432">
        <v>46234</v>
      </c>
    </row>
    <row r="280" spans="1:10">
      <c r="A280" s="431">
        <v>289</v>
      </c>
      <c r="B280" s="431" t="s">
        <v>2253</v>
      </c>
      <c r="C280" s="433" t="s">
        <v>2254</v>
      </c>
      <c r="D280" s="431" t="s">
        <v>2768</v>
      </c>
      <c r="E280" s="431" t="s">
        <v>2769</v>
      </c>
      <c r="F280" s="431">
        <v>435</v>
      </c>
      <c r="G280" s="431" t="s">
        <v>1107</v>
      </c>
      <c r="H280" s="431" t="s">
        <v>2257</v>
      </c>
      <c r="I280" s="431" t="s">
        <v>2258</v>
      </c>
      <c r="J280" s="432">
        <v>46234</v>
      </c>
    </row>
    <row r="281" spans="1:10">
      <c r="A281" s="431">
        <v>290</v>
      </c>
      <c r="B281" s="431" t="s">
        <v>2253</v>
      </c>
      <c r="C281" s="431" t="s">
        <v>2254</v>
      </c>
      <c r="D281" s="431" t="s">
        <v>2770</v>
      </c>
      <c r="E281" s="431" t="s">
        <v>2771</v>
      </c>
      <c r="F281" s="431">
        <v>441</v>
      </c>
      <c r="G281" s="431" t="s">
        <v>1107</v>
      </c>
      <c r="H281" s="431" t="s">
        <v>2257</v>
      </c>
      <c r="I281" s="431" t="s">
        <v>2258</v>
      </c>
      <c r="J281" s="432">
        <v>46234</v>
      </c>
    </row>
    <row r="282" spans="1:10">
      <c r="A282" s="431">
        <v>291</v>
      </c>
      <c r="B282" s="431" t="s">
        <v>2253</v>
      </c>
      <c r="C282" s="433" t="s">
        <v>2254</v>
      </c>
      <c r="D282" s="431" t="s">
        <v>2772</v>
      </c>
      <c r="E282" s="431" t="s">
        <v>2773</v>
      </c>
      <c r="F282" s="431">
        <v>414</v>
      </c>
      <c r="G282" s="431" t="s">
        <v>1107</v>
      </c>
      <c r="H282" s="431" t="s">
        <v>2257</v>
      </c>
      <c r="I282" s="431" t="s">
        <v>2258</v>
      </c>
      <c r="J282" s="432">
        <v>46234</v>
      </c>
    </row>
    <row r="283" spans="1:10">
      <c r="A283" s="431">
        <v>292</v>
      </c>
      <c r="B283" s="431" t="s">
        <v>2253</v>
      </c>
      <c r="C283" s="431" t="s">
        <v>2254</v>
      </c>
      <c r="D283" s="431" t="s">
        <v>2774</v>
      </c>
      <c r="E283" s="431" t="s">
        <v>2775</v>
      </c>
      <c r="F283" s="431">
        <v>165</v>
      </c>
      <c r="G283" s="431" t="s">
        <v>1107</v>
      </c>
      <c r="H283" s="431" t="s">
        <v>2257</v>
      </c>
      <c r="I283" s="431" t="s">
        <v>2258</v>
      </c>
      <c r="J283" s="432">
        <v>46234</v>
      </c>
    </row>
    <row r="284" spans="1:10">
      <c r="A284" s="431">
        <v>293</v>
      </c>
      <c r="B284" s="431" t="s">
        <v>2253</v>
      </c>
      <c r="C284" s="431" t="s">
        <v>2254</v>
      </c>
      <c r="D284" s="431" t="s">
        <v>2776</v>
      </c>
      <c r="E284" s="431" t="s">
        <v>2777</v>
      </c>
      <c r="F284" s="431">
        <v>520</v>
      </c>
      <c r="G284" s="431" t="s">
        <v>1107</v>
      </c>
      <c r="H284" s="431" t="s">
        <v>2257</v>
      </c>
      <c r="I284" s="431" t="s">
        <v>2258</v>
      </c>
      <c r="J284" s="432">
        <v>46234</v>
      </c>
    </row>
    <row r="285" spans="1:10">
      <c r="A285" s="431">
        <v>294</v>
      </c>
      <c r="B285" s="431" t="s">
        <v>2253</v>
      </c>
      <c r="C285" s="431" t="s">
        <v>2254</v>
      </c>
      <c r="D285" s="431" t="s">
        <v>2778</v>
      </c>
      <c r="E285" s="431" t="s">
        <v>2779</v>
      </c>
      <c r="F285" s="431">
        <v>554</v>
      </c>
      <c r="G285" s="431" t="s">
        <v>1107</v>
      </c>
      <c r="H285" s="431" t="s">
        <v>2257</v>
      </c>
      <c r="I285" s="431" t="s">
        <v>2258</v>
      </c>
      <c r="J285" s="432">
        <v>46234</v>
      </c>
    </row>
    <row r="286" spans="1:10">
      <c r="A286" s="431">
        <v>295</v>
      </c>
      <c r="B286" s="431" t="s">
        <v>2253</v>
      </c>
      <c r="C286" s="431" t="s">
        <v>2254</v>
      </c>
      <c r="D286" s="431" t="s">
        <v>2780</v>
      </c>
      <c r="E286" s="431" t="s">
        <v>2782</v>
      </c>
      <c r="F286" s="431">
        <v>595</v>
      </c>
      <c r="G286" s="431" t="s">
        <v>1107</v>
      </c>
      <c r="H286" s="431" t="s">
        <v>2257</v>
      </c>
      <c r="I286" s="431" t="s">
        <v>2258</v>
      </c>
      <c r="J286" s="432">
        <v>46234</v>
      </c>
    </row>
    <row r="287" spans="1:10">
      <c r="A287" s="431">
        <v>296</v>
      </c>
      <c r="B287" s="431" t="s">
        <v>2253</v>
      </c>
      <c r="C287" s="431" t="s">
        <v>2254</v>
      </c>
      <c r="D287" s="431" t="s">
        <v>2783</v>
      </c>
      <c r="E287" s="431" t="s">
        <v>2785</v>
      </c>
      <c r="F287" s="431">
        <v>556</v>
      </c>
      <c r="G287" s="431" t="s">
        <v>1107</v>
      </c>
      <c r="H287" s="431" t="s">
        <v>2257</v>
      </c>
      <c r="I287" s="431" t="s">
        <v>2258</v>
      </c>
      <c r="J287" s="432">
        <v>46234</v>
      </c>
    </row>
    <row r="288" spans="1:10">
      <c r="A288" s="431">
        <v>297</v>
      </c>
      <c r="B288" s="431" t="s">
        <v>2253</v>
      </c>
      <c r="C288" s="431" t="s">
        <v>2254</v>
      </c>
      <c r="D288" s="431" t="s">
        <v>2786</v>
      </c>
      <c r="E288" s="431" t="s">
        <v>2787</v>
      </c>
      <c r="F288" s="431">
        <v>576</v>
      </c>
      <c r="G288" s="431" t="s">
        <v>1107</v>
      </c>
      <c r="H288" s="431" t="s">
        <v>2257</v>
      </c>
      <c r="I288" s="431" t="s">
        <v>2258</v>
      </c>
      <c r="J288" s="432">
        <v>46234</v>
      </c>
    </row>
    <row r="289" spans="1:10">
      <c r="A289" s="431">
        <v>298</v>
      </c>
      <c r="B289" s="431" t="s">
        <v>2253</v>
      </c>
      <c r="C289" s="431" t="s">
        <v>2254</v>
      </c>
      <c r="D289" s="431" t="s">
        <v>2788</v>
      </c>
      <c r="E289" s="431" t="s">
        <v>2789</v>
      </c>
      <c r="F289" s="431">
        <v>563</v>
      </c>
      <c r="G289" s="431" t="s">
        <v>1107</v>
      </c>
      <c r="H289" s="431" t="s">
        <v>2257</v>
      </c>
      <c r="I289" s="431" t="s">
        <v>2258</v>
      </c>
      <c r="J289" s="432">
        <v>46234</v>
      </c>
    </row>
    <row r="290" spans="1:10">
      <c r="A290" s="431">
        <v>299</v>
      </c>
      <c r="B290" s="431" t="s">
        <v>2253</v>
      </c>
      <c r="C290" s="431" t="s">
        <v>2254</v>
      </c>
      <c r="D290" s="431" t="s">
        <v>2790</v>
      </c>
      <c r="E290" s="431" t="s">
        <v>2791</v>
      </c>
      <c r="F290" s="431">
        <v>572</v>
      </c>
      <c r="G290" s="431" t="s">
        <v>1107</v>
      </c>
      <c r="H290" s="431" t="s">
        <v>2257</v>
      </c>
      <c r="I290" s="431" t="s">
        <v>2258</v>
      </c>
      <c r="J290" s="432">
        <v>46234</v>
      </c>
    </row>
    <row r="291" spans="1:10">
      <c r="A291" s="431">
        <v>300</v>
      </c>
      <c r="B291" s="431" t="s">
        <v>2253</v>
      </c>
      <c r="C291" s="431" t="s">
        <v>2254</v>
      </c>
      <c r="D291" s="431" t="s">
        <v>2792</v>
      </c>
      <c r="E291" s="431" t="s">
        <v>2793</v>
      </c>
      <c r="F291" s="431">
        <v>528</v>
      </c>
      <c r="G291" s="431" t="s">
        <v>1107</v>
      </c>
      <c r="H291" s="431" t="s">
        <v>2257</v>
      </c>
      <c r="I291" s="431" t="s">
        <v>2258</v>
      </c>
      <c r="J291" s="432">
        <v>46234</v>
      </c>
    </row>
    <row r="292" spans="1:10">
      <c r="A292" s="431">
        <v>301</v>
      </c>
      <c r="B292" s="431" t="s">
        <v>2253</v>
      </c>
      <c r="C292" s="431" t="s">
        <v>2254</v>
      </c>
      <c r="D292" s="431" t="s">
        <v>2794</v>
      </c>
      <c r="E292" s="431" t="s">
        <v>2795</v>
      </c>
      <c r="F292" s="431">
        <v>276</v>
      </c>
      <c r="G292" s="431" t="s">
        <v>1107</v>
      </c>
      <c r="H292" s="431" t="s">
        <v>2257</v>
      </c>
      <c r="I292" s="431" t="s">
        <v>2258</v>
      </c>
      <c r="J292" s="432">
        <v>46234</v>
      </c>
    </row>
    <row r="293" spans="1:10">
      <c r="A293" s="431">
        <v>302</v>
      </c>
      <c r="B293" s="431" t="s">
        <v>2560</v>
      </c>
      <c r="C293" s="431" t="s">
        <v>2254</v>
      </c>
      <c r="D293" s="431" t="s">
        <v>2796</v>
      </c>
      <c r="E293" s="431" t="s">
        <v>2797</v>
      </c>
      <c r="F293" s="431">
        <v>15319</v>
      </c>
      <c r="G293" s="431" t="s">
        <v>26</v>
      </c>
      <c r="H293" s="431" t="s">
        <v>2257</v>
      </c>
      <c r="I293" s="431" t="s">
        <v>2258</v>
      </c>
      <c r="J293" s="432">
        <v>46234</v>
      </c>
    </row>
    <row r="294" spans="1:10">
      <c r="A294" s="431">
        <v>303</v>
      </c>
      <c r="B294" s="431" t="s">
        <v>2253</v>
      </c>
      <c r="C294" s="431" t="s">
        <v>2254</v>
      </c>
      <c r="D294" s="431" t="s">
        <v>2798</v>
      </c>
      <c r="E294" s="431" t="s">
        <v>2799</v>
      </c>
      <c r="F294" s="431">
        <v>2060</v>
      </c>
      <c r="G294" s="431" t="s">
        <v>812</v>
      </c>
      <c r="H294" s="431" t="s">
        <v>2257</v>
      </c>
      <c r="I294" s="431" t="s">
        <v>2258</v>
      </c>
      <c r="J294" s="432">
        <v>46234</v>
      </c>
    </row>
    <row r="295" spans="1:10">
      <c r="A295" s="431">
        <v>304</v>
      </c>
      <c r="B295" s="431" t="s">
        <v>2253</v>
      </c>
      <c r="C295" s="431" t="s">
        <v>2254</v>
      </c>
      <c r="D295" s="431" t="s">
        <v>2800</v>
      </c>
      <c r="E295" s="431" t="s">
        <v>2801</v>
      </c>
      <c r="F295" s="431">
        <v>2364</v>
      </c>
      <c r="G295" s="431" t="s">
        <v>812</v>
      </c>
      <c r="H295" s="431" t="s">
        <v>2257</v>
      </c>
      <c r="I295" s="431" t="s">
        <v>2258</v>
      </c>
      <c r="J295" s="432">
        <v>46234</v>
      </c>
    </row>
    <row r="296" spans="1:10">
      <c r="A296" s="431">
        <v>305</v>
      </c>
      <c r="B296" s="431" t="s">
        <v>2253</v>
      </c>
      <c r="C296" s="431" t="s">
        <v>2254</v>
      </c>
      <c r="D296" s="431" t="s">
        <v>2802</v>
      </c>
      <c r="E296" s="431" t="s">
        <v>2803</v>
      </c>
      <c r="F296" s="431">
        <v>2581</v>
      </c>
      <c r="G296" s="431" t="s">
        <v>812</v>
      </c>
      <c r="H296" s="431" t="s">
        <v>2257</v>
      </c>
      <c r="I296" s="431" t="s">
        <v>2258</v>
      </c>
      <c r="J296" s="432">
        <v>46234</v>
      </c>
    </row>
    <row r="297" spans="1:10">
      <c r="A297" s="431">
        <v>306</v>
      </c>
      <c r="B297" s="431" t="s">
        <v>2253</v>
      </c>
      <c r="C297" s="431" t="s">
        <v>2254</v>
      </c>
      <c r="D297" s="431" t="s">
        <v>2804</v>
      </c>
      <c r="E297" s="431" t="s">
        <v>2805</v>
      </c>
      <c r="F297" s="431">
        <v>2376</v>
      </c>
      <c r="G297" s="431" t="s">
        <v>812</v>
      </c>
      <c r="H297" s="431" t="s">
        <v>2257</v>
      </c>
      <c r="I297" s="431" t="s">
        <v>2258</v>
      </c>
      <c r="J297" s="432">
        <v>46234</v>
      </c>
    </row>
    <row r="298" spans="1:10">
      <c r="A298" s="431">
        <v>307</v>
      </c>
      <c r="B298" s="431" t="s">
        <v>2253</v>
      </c>
      <c r="C298" s="431" t="s">
        <v>2254</v>
      </c>
      <c r="D298" s="431" t="s">
        <v>2806</v>
      </c>
      <c r="E298" s="431" t="s">
        <v>2807</v>
      </c>
      <c r="F298" s="431">
        <v>2482</v>
      </c>
      <c r="G298" s="431" t="s">
        <v>812</v>
      </c>
      <c r="H298" s="431" t="s">
        <v>2257</v>
      </c>
      <c r="I298" s="431" t="s">
        <v>2258</v>
      </c>
      <c r="J298" s="432">
        <v>46234</v>
      </c>
    </row>
    <row r="299" spans="1:10">
      <c r="A299" s="431">
        <v>308</v>
      </c>
      <c r="B299" s="431" t="s">
        <v>2253</v>
      </c>
      <c r="C299" s="431" t="s">
        <v>2254</v>
      </c>
      <c r="D299" s="431" t="s">
        <v>2808</v>
      </c>
      <c r="E299" s="431" t="s">
        <v>2809</v>
      </c>
      <c r="F299" s="431">
        <v>2215</v>
      </c>
      <c r="G299" s="431" t="s">
        <v>812</v>
      </c>
      <c r="H299" s="431" t="s">
        <v>2257</v>
      </c>
      <c r="I299" s="431" t="s">
        <v>2258</v>
      </c>
      <c r="J299" s="432">
        <v>46234</v>
      </c>
    </row>
    <row r="300" spans="1:10">
      <c r="A300" s="431">
        <v>309</v>
      </c>
      <c r="B300" s="431" t="s">
        <v>2253</v>
      </c>
      <c r="C300" s="431" t="s">
        <v>2254</v>
      </c>
      <c r="D300" s="431" t="s">
        <v>2810</v>
      </c>
      <c r="E300" s="431" t="s">
        <v>2811</v>
      </c>
      <c r="F300" s="431">
        <v>2462</v>
      </c>
      <c r="G300" s="431" t="s">
        <v>812</v>
      </c>
      <c r="H300" s="431" t="s">
        <v>2257</v>
      </c>
      <c r="I300" s="431" t="s">
        <v>2258</v>
      </c>
      <c r="J300" s="432">
        <v>46234</v>
      </c>
    </row>
    <row r="301" spans="1:10">
      <c r="A301" s="431">
        <v>310</v>
      </c>
      <c r="B301" s="431" t="s">
        <v>2253</v>
      </c>
      <c r="C301" s="431" t="s">
        <v>2254</v>
      </c>
      <c r="D301" s="431" t="s">
        <v>2812</v>
      </c>
      <c r="E301" s="431" t="s">
        <v>2813</v>
      </c>
      <c r="F301" s="431">
        <v>2226</v>
      </c>
      <c r="G301" s="431" t="s">
        <v>812</v>
      </c>
      <c r="H301" s="431" t="s">
        <v>2573</v>
      </c>
      <c r="I301" s="431" t="s">
        <v>2574</v>
      </c>
      <c r="J301" s="432">
        <v>46234</v>
      </c>
    </row>
    <row r="302" spans="1:10">
      <c r="A302" s="431">
        <v>311</v>
      </c>
      <c r="B302" s="431" t="s">
        <v>2253</v>
      </c>
      <c r="C302" s="431" t="s">
        <v>2254</v>
      </c>
      <c r="D302" s="431" t="s">
        <v>2814</v>
      </c>
      <c r="E302" s="431" t="s">
        <v>2815</v>
      </c>
      <c r="F302" s="431">
        <v>2107</v>
      </c>
      <c r="G302" s="431" t="s">
        <v>812</v>
      </c>
      <c r="H302" s="431" t="s">
        <v>2257</v>
      </c>
      <c r="I302" s="431" t="s">
        <v>2258</v>
      </c>
      <c r="J302" s="432">
        <v>46234</v>
      </c>
    </row>
    <row r="303" spans="1:10">
      <c r="A303" s="431">
        <v>312</v>
      </c>
      <c r="B303" s="431" t="s">
        <v>2560</v>
      </c>
      <c r="C303" s="433" t="s">
        <v>2254</v>
      </c>
      <c r="D303" s="431" t="s">
        <v>2816</v>
      </c>
      <c r="E303" s="431" t="s">
        <v>2797</v>
      </c>
      <c r="F303" s="431">
        <v>53500</v>
      </c>
      <c r="G303" s="431" t="s">
        <v>26</v>
      </c>
      <c r="H303" s="431" t="s">
        <v>2257</v>
      </c>
      <c r="I303" s="431" t="s">
        <v>2258</v>
      </c>
      <c r="J303" s="432">
        <v>46234</v>
      </c>
    </row>
    <row r="304" spans="1:10">
      <c r="A304" s="431">
        <v>313</v>
      </c>
      <c r="B304" s="431" t="s">
        <v>2253</v>
      </c>
      <c r="C304" s="431" t="s">
        <v>2254</v>
      </c>
      <c r="D304" s="431" t="s">
        <v>2817</v>
      </c>
      <c r="E304" s="431" t="s">
        <v>2818</v>
      </c>
      <c r="F304" s="431">
        <v>371</v>
      </c>
      <c r="G304" s="431" t="s">
        <v>812</v>
      </c>
      <c r="H304" s="431" t="s">
        <v>2257</v>
      </c>
      <c r="I304" s="431" t="s">
        <v>2258</v>
      </c>
      <c r="J304" s="432">
        <v>46234</v>
      </c>
    </row>
    <row r="305" spans="1:10">
      <c r="A305" s="431">
        <v>314</v>
      </c>
      <c r="B305" s="431" t="s">
        <v>2253</v>
      </c>
      <c r="C305" s="431" t="s">
        <v>2254</v>
      </c>
      <c r="D305" s="431" t="s">
        <v>2819</v>
      </c>
      <c r="E305" s="431" t="s">
        <v>2820</v>
      </c>
      <c r="F305" s="431">
        <v>452</v>
      </c>
      <c r="G305" s="431" t="s">
        <v>812</v>
      </c>
      <c r="H305" s="431" t="s">
        <v>2257</v>
      </c>
      <c r="I305" s="431" t="s">
        <v>2258</v>
      </c>
      <c r="J305" s="432">
        <v>46234</v>
      </c>
    </row>
    <row r="306" spans="1:10">
      <c r="A306" s="431">
        <v>315</v>
      </c>
      <c r="B306" s="431" t="s">
        <v>2253</v>
      </c>
      <c r="C306" s="431" t="s">
        <v>2254</v>
      </c>
      <c r="D306" s="431" t="s">
        <v>2821</v>
      </c>
      <c r="E306" s="431" t="s">
        <v>2822</v>
      </c>
      <c r="F306" s="431">
        <v>436</v>
      </c>
      <c r="G306" s="431" t="s">
        <v>812</v>
      </c>
      <c r="H306" s="431" t="s">
        <v>2257</v>
      </c>
      <c r="I306" s="431" t="s">
        <v>2258</v>
      </c>
      <c r="J306" s="432">
        <v>46234</v>
      </c>
    </row>
    <row r="307" spans="1:10">
      <c r="A307" s="431">
        <v>316</v>
      </c>
      <c r="B307" s="431" t="s">
        <v>2253</v>
      </c>
      <c r="C307" s="431" t="s">
        <v>2254</v>
      </c>
      <c r="D307" s="431" t="s">
        <v>2825</v>
      </c>
      <c r="E307" s="431" t="s">
        <v>2826</v>
      </c>
      <c r="F307" s="431">
        <v>447</v>
      </c>
      <c r="G307" s="431" t="s">
        <v>812</v>
      </c>
      <c r="H307" s="431" t="s">
        <v>2257</v>
      </c>
      <c r="I307" s="431" t="s">
        <v>2258</v>
      </c>
      <c r="J307" s="432">
        <v>46234</v>
      </c>
    </row>
    <row r="308" spans="1:10">
      <c r="A308" s="431">
        <v>317</v>
      </c>
      <c r="B308" s="431" t="s">
        <v>2253</v>
      </c>
      <c r="C308" s="431" t="s">
        <v>2254</v>
      </c>
      <c r="D308" s="431" t="s">
        <v>2828</v>
      </c>
      <c r="E308" s="431" t="s">
        <v>2829</v>
      </c>
      <c r="F308" s="431">
        <v>428</v>
      </c>
      <c r="G308" s="431" t="s">
        <v>812</v>
      </c>
      <c r="H308" s="431" t="s">
        <v>2257</v>
      </c>
      <c r="I308" s="431" t="s">
        <v>2258</v>
      </c>
      <c r="J308" s="432">
        <v>46234</v>
      </c>
    </row>
    <row r="309" spans="1:10">
      <c r="A309" s="431">
        <v>318</v>
      </c>
      <c r="B309" s="431" t="s">
        <v>2253</v>
      </c>
      <c r="C309" s="431" t="s">
        <v>2254</v>
      </c>
      <c r="D309" s="431" t="s">
        <v>2830</v>
      </c>
      <c r="E309" s="431" t="s">
        <v>2831</v>
      </c>
      <c r="F309" s="431">
        <v>447</v>
      </c>
      <c r="G309" s="431" t="s">
        <v>812</v>
      </c>
      <c r="H309" s="431" t="s">
        <v>2257</v>
      </c>
      <c r="I309" s="431" t="s">
        <v>2258</v>
      </c>
      <c r="J309" s="432">
        <v>46234</v>
      </c>
    </row>
    <row r="310" spans="1:10">
      <c r="A310" s="431">
        <v>319</v>
      </c>
      <c r="B310" s="431" t="s">
        <v>2253</v>
      </c>
      <c r="C310" s="431" t="s">
        <v>2254</v>
      </c>
      <c r="D310" s="431" t="s">
        <v>2832</v>
      </c>
      <c r="E310" s="431" t="s">
        <v>2833</v>
      </c>
      <c r="F310" s="431">
        <v>523</v>
      </c>
      <c r="G310" s="431" t="s">
        <v>812</v>
      </c>
      <c r="H310" s="431" t="s">
        <v>2257</v>
      </c>
      <c r="I310" s="431" t="s">
        <v>2258</v>
      </c>
      <c r="J310" s="432">
        <v>46234</v>
      </c>
    </row>
    <row r="311" spans="1:10">
      <c r="A311" s="431">
        <v>320</v>
      </c>
      <c r="B311" s="431" t="s">
        <v>2253</v>
      </c>
      <c r="C311" s="431" t="s">
        <v>2254</v>
      </c>
      <c r="D311" s="431" t="s">
        <v>2834</v>
      </c>
      <c r="E311" s="431" t="s">
        <v>2835</v>
      </c>
      <c r="F311" s="431">
        <v>485</v>
      </c>
      <c r="G311" s="431" t="s">
        <v>812</v>
      </c>
      <c r="H311" s="431" t="s">
        <v>2257</v>
      </c>
      <c r="I311" s="431" t="s">
        <v>2258</v>
      </c>
      <c r="J311" s="432">
        <v>46234</v>
      </c>
    </row>
    <row r="312" spans="1:10">
      <c r="A312" s="431">
        <v>321</v>
      </c>
      <c r="B312" s="431" t="s">
        <v>2253</v>
      </c>
      <c r="C312" s="431" t="s">
        <v>2254</v>
      </c>
      <c r="D312" s="431" t="s">
        <v>2836</v>
      </c>
      <c r="E312" s="431" t="s">
        <v>2837</v>
      </c>
      <c r="F312" s="431">
        <v>447</v>
      </c>
      <c r="G312" s="431" t="s">
        <v>812</v>
      </c>
      <c r="H312" s="431" t="s">
        <v>2257</v>
      </c>
      <c r="I312" s="431" t="s">
        <v>2258</v>
      </c>
      <c r="J312" s="432">
        <v>46234</v>
      </c>
    </row>
    <row r="313" spans="1:10">
      <c r="A313" s="431">
        <v>322</v>
      </c>
      <c r="B313" s="431" t="s">
        <v>2253</v>
      </c>
      <c r="C313" s="433" t="s">
        <v>2254</v>
      </c>
      <c r="D313" s="431" t="s">
        <v>2838</v>
      </c>
      <c r="E313" s="431" t="s">
        <v>2839</v>
      </c>
      <c r="F313" s="431">
        <v>2032</v>
      </c>
      <c r="G313" s="431" t="s">
        <v>812</v>
      </c>
      <c r="H313" s="431" t="s">
        <v>2257</v>
      </c>
      <c r="I313" s="431" t="s">
        <v>2258</v>
      </c>
      <c r="J313" s="432">
        <v>46234</v>
      </c>
    </row>
    <row r="314" spans="1:10">
      <c r="A314" s="431">
        <v>323</v>
      </c>
      <c r="B314" s="431" t="s">
        <v>2253</v>
      </c>
      <c r="C314" s="431" t="s">
        <v>2254</v>
      </c>
      <c r="D314" s="431" t="s">
        <v>2840</v>
      </c>
      <c r="E314" s="431" t="s">
        <v>2841</v>
      </c>
      <c r="F314" s="431">
        <v>2331</v>
      </c>
      <c r="G314" s="431" t="s">
        <v>812</v>
      </c>
      <c r="H314" s="431" t="s">
        <v>2257</v>
      </c>
      <c r="I314" s="431" t="s">
        <v>2258</v>
      </c>
      <c r="J314" s="432">
        <v>46234</v>
      </c>
    </row>
    <row r="315" spans="1:10">
      <c r="A315" s="431">
        <v>324</v>
      </c>
      <c r="B315" s="431" t="s">
        <v>2253</v>
      </c>
      <c r="C315" s="431" t="s">
        <v>2254</v>
      </c>
      <c r="D315" s="431" t="s">
        <v>2842</v>
      </c>
      <c r="E315" s="431" t="s">
        <v>2843</v>
      </c>
      <c r="F315" s="431">
        <v>2543</v>
      </c>
      <c r="G315" s="431" t="s">
        <v>812</v>
      </c>
      <c r="H315" s="431" t="s">
        <v>2257</v>
      </c>
      <c r="I315" s="431" t="s">
        <v>2258</v>
      </c>
      <c r="J315" s="432">
        <v>46234</v>
      </c>
    </row>
    <row r="316" spans="1:10">
      <c r="A316" s="431">
        <v>325</v>
      </c>
      <c r="B316" s="431" t="s">
        <v>2253</v>
      </c>
      <c r="C316" s="431" t="s">
        <v>2254</v>
      </c>
      <c r="D316" s="431" t="s">
        <v>2844</v>
      </c>
      <c r="E316" s="431" t="s">
        <v>2845</v>
      </c>
      <c r="F316" s="431">
        <v>2342</v>
      </c>
      <c r="G316" s="431" t="s">
        <v>812</v>
      </c>
      <c r="H316" s="431" t="s">
        <v>2257</v>
      </c>
      <c r="I316" s="431" t="s">
        <v>2258</v>
      </c>
      <c r="J316" s="432">
        <v>46234</v>
      </c>
    </row>
    <row r="317" spans="1:10">
      <c r="A317" s="431">
        <v>326</v>
      </c>
      <c r="B317" s="431" t="s">
        <v>2253</v>
      </c>
      <c r="C317" s="431" t="s">
        <v>2254</v>
      </c>
      <c r="D317" s="431" t="s">
        <v>2846</v>
      </c>
      <c r="E317" s="431" t="s">
        <v>2847</v>
      </c>
      <c r="F317" s="431">
        <v>2446</v>
      </c>
      <c r="G317" s="431" t="s">
        <v>812</v>
      </c>
      <c r="H317" s="431" t="s">
        <v>2257</v>
      </c>
      <c r="I317" s="431" t="s">
        <v>2258</v>
      </c>
      <c r="J317" s="432">
        <v>46234</v>
      </c>
    </row>
    <row r="318" spans="1:10">
      <c r="A318" s="431">
        <v>327</v>
      </c>
      <c r="B318" s="431" t="s">
        <v>2253</v>
      </c>
      <c r="C318" s="431" t="s">
        <v>2254</v>
      </c>
      <c r="D318" s="431" t="s">
        <v>2848</v>
      </c>
      <c r="E318" s="431" t="s">
        <v>2849</v>
      </c>
      <c r="F318" s="431">
        <v>2184</v>
      </c>
      <c r="G318" s="431" t="s">
        <v>812</v>
      </c>
      <c r="H318" s="431" t="s">
        <v>2257</v>
      </c>
      <c r="I318" s="431" t="s">
        <v>2258</v>
      </c>
      <c r="J318" s="432">
        <v>46234</v>
      </c>
    </row>
    <row r="319" spans="1:10">
      <c r="A319" s="431">
        <v>328</v>
      </c>
      <c r="B319" s="431" t="s">
        <v>2253</v>
      </c>
      <c r="C319" s="431" t="s">
        <v>2254</v>
      </c>
      <c r="D319" s="431" t="s">
        <v>2850</v>
      </c>
      <c r="E319" s="431" t="s">
        <v>2851</v>
      </c>
      <c r="F319" s="431">
        <v>2427</v>
      </c>
      <c r="G319" s="431" t="s">
        <v>812</v>
      </c>
      <c r="H319" s="431" t="s">
        <v>2257</v>
      </c>
      <c r="I319" s="431" t="s">
        <v>2258</v>
      </c>
      <c r="J319" s="432">
        <v>46234</v>
      </c>
    </row>
    <row r="320" spans="1:10">
      <c r="A320" s="431">
        <v>329</v>
      </c>
      <c r="B320" s="431" t="s">
        <v>2253</v>
      </c>
      <c r="C320" s="431" t="s">
        <v>2254</v>
      </c>
      <c r="D320" s="431" t="s">
        <v>2852</v>
      </c>
      <c r="E320" s="431" t="s">
        <v>2853</v>
      </c>
      <c r="F320" s="431">
        <v>2195</v>
      </c>
      <c r="G320" s="431" t="s">
        <v>812</v>
      </c>
      <c r="H320" s="431" t="s">
        <v>2257</v>
      </c>
      <c r="I320" s="431" t="s">
        <v>2258</v>
      </c>
      <c r="J320" s="432">
        <v>46234</v>
      </c>
    </row>
    <row r="321" spans="1:10">
      <c r="A321" s="431">
        <v>330</v>
      </c>
      <c r="B321" s="431" t="s">
        <v>2253</v>
      </c>
      <c r="C321" s="431" t="s">
        <v>2254</v>
      </c>
      <c r="D321" s="431" t="s">
        <v>2854</v>
      </c>
      <c r="E321" s="431" t="s">
        <v>2855</v>
      </c>
      <c r="F321" s="431">
        <v>2079</v>
      </c>
      <c r="G321" s="431" t="s">
        <v>812</v>
      </c>
      <c r="H321" s="431" t="s">
        <v>2257</v>
      </c>
      <c r="I321" s="431" t="s">
        <v>2258</v>
      </c>
      <c r="J321" s="432">
        <v>46234</v>
      </c>
    </row>
    <row r="322" spans="1:10">
      <c r="A322" s="431">
        <v>331</v>
      </c>
      <c r="B322" s="431" t="s">
        <v>2560</v>
      </c>
      <c r="C322" s="431" t="s">
        <v>2254</v>
      </c>
      <c r="D322" s="431" t="s">
        <v>2856</v>
      </c>
      <c r="E322" s="431" t="s">
        <v>2857</v>
      </c>
      <c r="F322" s="431">
        <v>1213</v>
      </c>
      <c r="G322" s="431" t="s">
        <v>2443</v>
      </c>
      <c r="H322" s="431" t="s">
        <v>2257</v>
      </c>
      <c r="I322" s="431" t="s">
        <v>2258</v>
      </c>
      <c r="J322" s="432">
        <v>46234</v>
      </c>
    </row>
    <row r="323" spans="1:10">
      <c r="A323" s="431">
        <v>332</v>
      </c>
      <c r="B323" s="431" t="s">
        <v>2560</v>
      </c>
      <c r="C323" s="431" t="s">
        <v>2254</v>
      </c>
      <c r="D323" s="431" t="s">
        <v>2858</v>
      </c>
      <c r="E323" s="431" t="s">
        <v>2859</v>
      </c>
      <c r="F323" s="431">
        <v>3</v>
      </c>
      <c r="G323" s="431" t="s">
        <v>2656</v>
      </c>
      <c r="H323" s="431" t="s">
        <v>2257</v>
      </c>
      <c r="I323" s="431" t="s">
        <v>2258</v>
      </c>
      <c r="J323" s="432">
        <v>46234</v>
      </c>
    </row>
    <row r="324" spans="1:10">
      <c r="A324" s="431">
        <v>333</v>
      </c>
      <c r="B324" s="431" t="s">
        <v>2560</v>
      </c>
      <c r="C324" s="431" t="s">
        <v>2254</v>
      </c>
      <c r="D324" s="431" t="s">
        <v>2861</v>
      </c>
      <c r="E324" s="431" t="s">
        <v>2862</v>
      </c>
      <c r="F324" s="431">
        <v>20508</v>
      </c>
      <c r="G324" s="431" t="s">
        <v>2443</v>
      </c>
      <c r="H324" s="431" t="s">
        <v>2257</v>
      </c>
      <c r="I324" s="431" t="s">
        <v>2258</v>
      </c>
      <c r="J324" s="432">
        <v>46234</v>
      </c>
    </row>
    <row r="325" spans="1:10">
      <c r="A325" s="431">
        <v>334</v>
      </c>
      <c r="B325" s="431" t="s">
        <v>2560</v>
      </c>
      <c r="C325" s="431" t="s">
        <v>2254</v>
      </c>
      <c r="D325" s="431" t="s">
        <v>2864</v>
      </c>
      <c r="E325" s="431" t="s">
        <v>2865</v>
      </c>
      <c r="F325" s="431">
        <v>312</v>
      </c>
      <c r="G325" s="431" t="s">
        <v>2443</v>
      </c>
      <c r="H325" s="431" t="s">
        <v>2257</v>
      </c>
      <c r="I325" s="431" t="s">
        <v>2258</v>
      </c>
      <c r="J325" s="432">
        <v>46234</v>
      </c>
    </row>
    <row r="326" spans="1:10">
      <c r="A326" s="431">
        <v>335</v>
      </c>
      <c r="B326" s="431" t="s">
        <v>2560</v>
      </c>
      <c r="C326" s="431" t="s">
        <v>2254</v>
      </c>
      <c r="D326" s="431" t="s">
        <v>2867</v>
      </c>
      <c r="E326" s="431" t="s">
        <v>2868</v>
      </c>
      <c r="F326" s="431">
        <v>2694</v>
      </c>
      <c r="G326" s="431" t="s">
        <v>2443</v>
      </c>
      <c r="H326" s="431" t="s">
        <v>2257</v>
      </c>
      <c r="I326" s="431" t="s">
        <v>2258</v>
      </c>
      <c r="J326" s="432">
        <v>46234</v>
      </c>
    </row>
    <row r="327" spans="1:10">
      <c r="A327" s="431">
        <v>336</v>
      </c>
      <c r="B327" s="431" t="s">
        <v>2560</v>
      </c>
      <c r="C327" s="431" t="s">
        <v>2254</v>
      </c>
      <c r="D327" s="431" t="s">
        <v>2869</v>
      </c>
      <c r="E327" s="431" t="s">
        <v>2870</v>
      </c>
      <c r="F327" s="431">
        <v>2413</v>
      </c>
      <c r="G327" s="431" t="s">
        <v>2443</v>
      </c>
      <c r="H327" s="431" t="s">
        <v>2257</v>
      </c>
      <c r="I327" s="431" t="s">
        <v>2258</v>
      </c>
      <c r="J327" s="432">
        <v>46234</v>
      </c>
    </row>
    <row r="328" spans="1:10">
      <c r="A328" s="431">
        <v>337</v>
      </c>
      <c r="B328" s="431" t="s">
        <v>2253</v>
      </c>
      <c r="C328" s="431" t="s">
        <v>2254</v>
      </c>
      <c r="D328" s="431" t="s">
        <v>2871</v>
      </c>
      <c r="E328" s="431" t="s">
        <v>2872</v>
      </c>
      <c r="F328" s="431">
        <v>3495</v>
      </c>
      <c r="G328" s="431" t="s">
        <v>328</v>
      </c>
      <c r="H328" s="431" t="s">
        <v>2257</v>
      </c>
      <c r="I328" s="431" t="s">
        <v>2258</v>
      </c>
      <c r="J328" s="432">
        <v>46234</v>
      </c>
    </row>
    <row r="329" spans="1:10">
      <c r="A329" s="431">
        <v>338</v>
      </c>
      <c r="B329" s="431" t="s">
        <v>2253</v>
      </c>
      <c r="C329" s="431" t="s">
        <v>2254</v>
      </c>
      <c r="D329" s="431" t="s">
        <v>2873</v>
      </c>
      <c r="E329" s="431" t="s">
        <v>2874</v>
      </c>
      <c r="F329" s="431">
        <v>3495</v>
      </c>
      <c r="G329" s="431" t="s">
        <v>328</v>
      </c>
      <c r="H329" s="431" t="s">
        <v>2573</v>
      </c>
      <c r="I329" s="431" t="s">
        <v>2574</v>
      </c>
      <c r="J329" s="432">
        <v>46234</v>
      </c>
    </row>
    <row r="330" spans="1:10">
      <c r="A330" s="431">
        <v>339</v>
      </c>
      <c r="B330" s="431" t="s">
        <v>2253</v>
      </c>
      <c r="C330" s="431" t="s">
        <v>2254</v>
      </c>
      <c r="D330" s="431" t="s">
        <v>2875</v>
      </c>
      <c r="E330" s="431" t="s">
        <v>2876</v>
      </c>
      <c r="F330" s="431">
        <v>3495</v>
      </c>
      <c r="G330" s="431" t="s">
        <v>328</v>
      </c>
      <c r="H330" s="431" t="s">
        <v>2257</v>
      </c>
      <c r="I330" s="431" t="s">
        <v>2258</v>
      </c>
      <c r="J330" s="432">
        <v>46234</v>
      </c>
    </row>
    <row r="331" spans="1:10">
      <c r="A331" s="431">
        <v>340</v>
      </c>
      <c r="B331" s="431" t="s">
        <v>2560</v>
      </c>
      <c r="C331" s="431" t="s">
        <v>2254</v>
      </c>
      <c r="D331" s="431" t="s">
        <v>2877</v>
      </c>
      <c r="E331" s="431" t="s">
        <v>2878</v>
      </c>
      <c r="F331" s="431">
        <v>27</v>
      </c>
      <c r="G331" s="431" t="s">
        <v>2443</v>
      </c>
      <c r="H331" s="431" t="s">
        <v>2257</v>
      </c>
      <c r="I331" s="431" t="s">
        <v>2258</v>
      </c>
      <c r="J331" s="432">
        <v>46234</v>
      </c>
    </row>
    <row r="332" spans="1:10">
      <c r="A332" s="431">
        <v>341</v>
      </c>
      <c r="B332" s="431" t="s">
        <v>2560</v>
      </c>
      <c r="C332" s="433" t="s">
        <v>2254</v>
      </c>
      <c r="D332" s="431" t="s">
        <v>2879</v>
      </c>
      <c r="E332" s="431" t="s">
        <v>2880</v>
      </c>
      <c r="F332" s="431">
        <v>1</v>
      </c>
      <c r="G332" s="431" t="s">
        <v>2443</v>
      </c>
      <c r="H332" s="431" t="s">
        <v>2257</v>
      </c>
      <c r="I332" s="431" t="s">
        <v>2258</v>
      </c>
      <c r="J332" s="432">
        <v>46234</v>
      </c>
    </row>
    <row r="333" spans="1:10">
      <c r="A333" s="431">
        <v>342</v>
      </c>
      <c r="B333" s="431" t="s">
        <v>2560</v>
      </c>
      <c r="C333" s="433" t="s">
        <v>2254</v>
      </c>
      <c r="D333" s="431" t="s">
        <v>2881</v>
      </c>
      <c r="E333" s="431" t="s">
        <v>2882</v>
      </c>
      <c r="F333" s="431">
        <v>2694</v>
      </c>
      <c r="G333" s="431" t="s">
        <v>2443</v>
      </c>
      <c r="H333" s="431" t="s">
        <v>2257</v>
      </c>
      <c r="I333" s="431" t="s">
        <v>2258</v>
      </c>
      <c r="J333" s="432">
        <v>46234</v>
      </c>
    </row>
    <row r="334" spans="1:10">
      <c r="A334" s="431">
        <v>343</v>
      </c>
      <c r="B334" s="431" t="s">
        <v>2560</v>
      </c>
      <c r="C334" s="433" t="s">
        <v>2254</v>
      </c>
      <c r="D334" s="431" t="s">
        <v>2883</v>
      </c>
      <c r="E334" s="431" t="s">
        <v>2884</v>
      </c>
      <c r="F334" s="431">
        <v>234</v>
      </c>
      <c r="G334" s="431" t="s">
        <v>2443</v>
      </c>
      <c r="H334" s="431" t="s">
        <v>2257</v>
      </c>
      <c r="I334" s="431" t="s">
        <v>2258</v>
      </c>
      <c r="J334" s="432">
        <v>46234</v>
      </c>
    </row>
    <row r="335" spans="1:10">
      <c r="A335" s="431">
        <v>344</v>
      </c>
      <c r="B335" s="431" t="s">
        <v>2560</v>
      </c>
      <c r="C335" s="433" t="s">
        <v>2254</v>
      </c>
      <c r="D335" s="431" t="s">
        <v>2885</v>
      </c>
      <c r="E335" s="431" t="s">
        <v>2886</v>
      </c>
      <c r="F335" s="431">
        <v>1250</v>
      </c>
      <c r="G335" s="431" t="s">
        <v>2443</v>
      </c>
      <c r="H335" s="431" t="s">
        <v>2257</v>
      </c>
      <c r="I335" s="431" t="s">
        <v>2258</v>
      </c>
      <c r="J335" s="432">
        <v>46234</v>
      </c>
    </row>
    <row r="336" spans="1:10">
      <c r="A336" s="431">
        <v>345</v>
      </c>
      <c r="B336" s="431" t="s">
        <v>2560</v>
      </c>
      <c r="C336" s="433" t="s">
        <v>2254</v>
      </c>
      <c r="D336" s="431" t="s">
        <v>2887</v>
      </c>
      <c r="E336" s="431" t="s">
        <v>2888</v>
      </c>
      <c r="F336" s="431">
        <v>20508</v>
      </c>
      <c r="G336" s="431" t="s">
        <v>2443</v>
      </c>
      <c r="H336" s="431" t="s">
        <v>2257</v>
      </c>
      <c r="I336" s="431" t="s">
        <v>2258</v>
      </c>
      <c r="J336" s="432">
        <v>46234</v>
      </c>
    </row>
    <row r="337" spans="1:10">
      <c r="A337" s="431">
        <v>346</v>
      </c>
      <c r="B337" s="431" t="s">
        <v>2560</v>
      </c>
      <c r="C337" s="433" t="s">
        <v>2254</v>
      </c>
      <c r="D337" s="431" t="s">
        <v>2889</v>
      </c>
      <c r="E337" s="431" t="s">
        <v>2890</v>
      </c>
      <c r="F337" s="431">
        <v>1213</v>
      </c>
      <c r="G337" s="431" t="s">
        <v>2443</v>
      </c>
      <c r="H337" s="431" t="s">
        <v>2257</v>
      </c>
      <c r="I337" s="431" t="s">
        <v>2258</v>
      </c>
      <c r="J337" s="432">
        <v>46234</v>
      </c>
    </row>
    <row r="338" spans="1:10">
      <c r="A338" s="431">
        <v>347</v>
      </c>
      <c r="B338" s="431" t="s">
        <v>2560</v>
      </c>
      <c r="C338" s="431" t="s">
        <v>2254</v>
      </c>
      <c r="D338" s="431" t="s">
        <v>2891</v>
      </c>
      <c r="E338" s="431" t="s">
        <v>2892</v>
      </c>
      <c r="F338" s="431">
        <v>3</v>
      </c>
      <c r="G338" s="431" t="s">
        <v>2656</v>
      </c>
      <c r="H338" s="431" t="s">
        <v>2257</v>
      </c>
      <c r="I338" s="431" t="s">
        <v>2258</v>
      </c>
      <c r="J338" s="432">
        <v>46234</v>
      </c>
    </row>
    <row r="339" spans="1:10">
      <c r="A339" s="431">
        <v>348</v>
      </c>
      <c r="B339" s="431" t="s">
        <v>2560</v>
      </c>
      <c r="C339" s="431" t="s">
        <v>2254</v>
      </c>
      <c r="D339" s="431" t="s">
        <v>2893</v>
      </c>
      <c r="E339" s="431" t="s">
        <v>2886</v>
      </c>
      <c r="F339" s="431">
        <v>1250</v>
      </c>
      <c r="G339" s="431" t="s">
        <v>2443</v>
      </c>
      <c r="H339" s="431" t="s">
        <v>2257</v>
      </c>
      <c r="I339" s="431" t="s">
        <v>2258</v>
      </c>
      <c r="J339" s="432">
        <v>46234</v>
      </c>
    </row>
    <row r="340" spans="1:10">
      <c r="A340" s="431">
        <v>349</v>
      </c>
      <c r="B340" s="431" t="s">
        <v>2560</v>
      </c>
      <c r="C340" s="431" t="s">
        <v>2254</v>
      </c>
      <c r="D340" s="431" t="s">
        <v>2894</v>
      </c>
      <c r="E340" s="431" t="s">
        <v>2895</v>
      </c>
      <c r="F340" s="431">
        <v>3</v>
      </c>
      <c r="G340" s="431" t="s">
        <v>2656</v>
      </c>
      <c r="H340" s="431" t="s">
        <v>2257</v>
      </c>
      <c r="I340" s="431" t="s">
        <v>2258</v>
      </c>
      <c r="J340" s="432">
        <v>46234</v>
      </c>
    </row>
    <row r="341" spans="1:10">
      <c r="A341" s="431">
        <v>350</v>
      </c>
      <c r="B341" s="431" t="s">
        <v>2560</v>
      </c>
      <c r="C341" s="433" t="s">
        <v>2254</v>
      </c>
      <c r="D341" s="431" t="s">
        <v>2896</v>
      </c>
      <c r="E341" s="431" t="s">
        <v>2897</v>
      </c>
      <c r="F341" s="431">
        <v>20508</v>
      </c>
      <c r="G341" s="431" t="s">
        <v>2443</v>
      </c>
      <c r="H341" s="431" t="s">
        <v>2257</v>
      </c>
      <c r="I341" s="431" t="s">
        <v>2258</v>
      </c>
      <c r="J341" s="432">
        <v>46234</v>
      </c>
    </row>
    <row r="342" spans="1:10">
      <c r="A342" s="431">
        <v>351</v>
      </c>
      <c r="B342" s="431" t="s">
        <v>2560</v>
      </c>
      <c r="C342" s="433" t="s">
        <v>2254</v>
      </c>
      <c r="D342" s="431" t="s">
        <v>2898</v>
      </c>
      <c r="E342" s="431" t="s">
        <v>2899</v>
      </c>
      <c r="F342" s="431">
        <v>358</v>
      </c>
      <c r="G342" s="431" t="s">
        <v>2443</v>
      </c>
      <c r="H342" s="431" t="s">
        <v>2257</v>
      </c>
      <c r="I342" s="431" t="s">
        <v>2258</v>
      </c>
      <c r="J342" s="432">
        <v>46234</v>
      </c>
    </row>
    <row r="343" spans="1:10">
      <c r="A343" s="431">
        <v>352</v>
      </c>
      <c r="B343" s="431" t="s">
        <v>2560</v>
      </c>
      <c r="C343" s="433" t="s">
        <v>2254</v>
      </c>
      <c r="D343" s="431" t="s">
        <v>2900</v>
      </c>
      <c r="E343" s="431" t="s">
        <v>2901</v>
      </c>
      <c r="F343" s="431">
        <v>4375</v>
      </c>
      <c r="G343" s="431" t="s">
        <v>2443</v>
      </c>
      <c r="H343" s="431" t="s">
        <v>2257</v>
      </c>
      <c r="I343" s="431" t="s">
        <v>2258</v>
      </c>
      <c r="J343" s="432">
        <v>46234</v>
      </c>
    </row>
    <row r="344" spans="1:10">
      <c r="A344" s="431">
        <v>353</v>
      </c>
      <c r="B344" s="431" t="s">
        <v>2560</v>
      </c>
      <c r="C344" s="433" t="s">
        <v>2254</v>
      </c>
      <c r="D344" s="431" t="s">
        <v>2902</v>
      </c>
      <c r="E344" s="431" t="s">
        <v>2903</v>
      </c>
      <c r="F344" s="431">
        <v>4250</v>
      </c>
      <c r="G344" s="431" t="s">
        <v>2443</v>
      </c>
      <c r="H344" s="431" t="s">
        <v>2257</v>
      </c>
      <c r="I344" s="431" t="s">
        <v>2258</v>
      </c>
      <c r="J344" s="432">
        <v>46234</v>
      </c>
    </row>
    <row r="345" spans="1:10">
      <c r="A345" s="431">
        <v>354</v>
      </c>
      <c r="B345" s="431" t="s">
        <v>2560</v>
      </c>
      <c r="C345" s="433" t="s">
        <v>2254</v>
      </c>
      <c r="D345" s="431" t="s">
        <v>2904</v>
      </c>
      <c r="E345" s="431" t="s">
        <v>2905</v>
      </c>
      <c r="F345" s="431">
        <v>137</v>
      </c>
      <c r="G345" s="431" t="s">
        <v>2443</v>
      </c>
      <c r="H345" s="431" t="s">
        <v>2257</v>
      </c>
      <c r="I345" s="431" t="s">
        <v>2258</v>
      </c>
      <c r="J345" s="432">
        <v>46234</v>
      </c>
    </row>
    <row r="346" spans="1:10">
      <c r="A346" s="431">
        <v>355</v>
      </c>
      <c r="B346" s="431" t="s">
        <v>2560</v>
      </c>
      <c r="C346" s="433" t="s">
        <v>2254</v>
      </c>
      <c r="D346" s="431" t="s">
        <v>2906</v>
      </c>
      <c r="E346" s="431" t="s">
        <v>2907</v>
      </c>
      <c r="F346" s="431">
        <v>115</v>
      </c>
      <c r="G346" s="431" t="s">
        <v>2443</v>
      </c>
      <c r="H346" s="431" t="s">
        <v>2257</v>
      </c>
      <c r="I346" s="431" t="s">
        <v>2258</v>
      </c>
      <c r="J346" s="432">
        <v>46234</v>
      </c>
    </row>
    <row r="347" spans="1:10">
      <c r="A347" s="431">
        <v>356</v>
      </c>
      <c r="B347" s="431" t="s">
        <v>2560</v>
      </c>
      <c r="C347" s="433" t="s">
        <v>2254</v>
      </c>
      <c r="D347" s="431" t="s">
        <v>2908</v>
      </c>
      <c r="E347" s="431" t="s">
        <v>2909</v>
      </c>
      <c r="F347" s="431">
        <v>1250</v>
      </c>
      <c r="G347" s="431" t="s">
        <v>2443</v>
      </c>
      <c r="H347" s="431" t="s">
        <v>2257</v>
      </c>
      <c r="I347" s="431" t="s">
        <v>2258</v>
      </c>
      <c r="J347" s="432">
        <v>46234</v>
      </c>
    </row>
    <row r="348" spans="1:10">
      <c r="A348" s="431">
        <v>357</v>
      </c>
      <c r="B348" s="431" t="s">
        <v>2560</v>
      </c>
      <c r="C348" s="433" t="s">
        <v>2254</v>
      </c>
      <c r="D348" s="431" t="s">
        <v>2910</v>
      </c>
      <c r="E348" s="431" t="s">
        <v>2911</v>
      </c>
      <c r="F348" s="431">
        <v>1162</v>
      </c>
      <c r="G348" s="431" t="s">
        <v>2443</v>
      </c>
      <c r="H348" s="431" t="s">
        <v>2257</v>
      </c>
      <c r="I348" s="431" t="s">
        <v>2258</v>
      </c>
      <c r="J348" s="432">
        <v>46234</v>
      </c>
    </row>
    <row r="349" spans="1:10">
      <c r="A349" s="431">
        <v>358</v>
      </c>
      <c r="B349" s="431" t="s">
        <v>2560</v>
      </c>
      <c r="C349" s="433" t="s">
        <v>2254</v>
      </c>
      <c r="D349" s="431" t="s">
        <v>2912</v>
      </c>
      <c r="E349" s="431" t="s">
        <v>2878</v>
      </c>
      <c r="F349" s="431">
        <v>27</v>
      </c>
      <c r="G349" s="431" t="s">
        <v>2443</v>
      </c>
      <c r="H349" s="431" t="s">
        <v>2257</v>
      </c>
      <c r="I349" s="431" t="s">
        <v>2258</v>
      </c>
      <c r="J349" s="432">
        <v>46234</v>
      </c>
    </row>
    <row r="350" spans="1:10">
      <c r="A350" s="431">
        <v>359</v>
      </c>
      <c r="B350" s="431" t="s">
        <v>2253</v>
      </c>
      <c r="C350" s="433" t="s">
        <v>2254</v>
      </c>
      <c r="D350" s="431" t="s">
        <v>2914</v>
      </c>
      <c r="E350" s="431" t="s">
        <v>2915</v>
      </c>
      <c r="F350" s="431">
        <v>3495</v>
      </c>
      <c r="G350" s="431" t="s">
        <v>328</v>
      </c>
      <c r="H350" s="431" t="s">
        <v>2257</v>
      </c>
      <c r="I350" s="431" t="s">
        <v>2258</v>
      </c>
      <c r="J350" s="432">
        <v>46234</v>
      </c>
    </row>
    <row r="351" spans="1:10">
      <c r="A351" s="431">
        <v>360</v>
      </c>
      <c r="B351" s="431" t="s">
        <v>2253</v>
      </c>
      <c r="C351" s="433" t="s">
        <v>2254</v>
      </c>
      <c r="D351" s="431" t="s">
        <v>2916</v>
      </c>
      <c r="E351" s="431" t="s">
        <v>2917</v>
      </c>
      <c r="F351" s="431">
        <v>47</v>
      </c>
      <c r="G351" s="431" t="s">
        <v>21</v>
      </c>
      <c r="H351" s="431" t="s">
        <v>2257</v>
      </c>
      <c r="I351" s="431" t="s">
        <v>2258</v>
      </c>
      <c r="J351" s="432">
        <v>46234</v>
      </c>
    </row>
    <row r="352" spans="1:10">
      <c r="A352" s="431">
        <v>361</v>
      </c>
      <c r="B352" s="431" t="s">
        <v>2253</v>
      </c>
      <c r="C352" s="433" t="s">
        <v>2254</v>
      </c>
      <c r="D352" s="431" t="s">
        <v>2918</v>
      </c>
      <c r="E352" s="431" t="s">
        <v>2919</v>
      </c>
      <c r="F352" s="431">
        <v>1</v>
      </c>
      <c r="G352" s="431" t="s">
        <v>2466</v>
      </c>
      <c r="H352" s="431" t="s">
        <v>2257</v>
      </c>
      <c r="I352" s="431" t="s">
        <v>2258</v>
      </c>
      <c r="J352" s="432">
        <v>46234</v>
      </c>
    </row>
    <row r="353" spans="1:10">
      <c r="A353" s="431">
        <v>362</v>
      </c>
      <c r="B353" s="431" t="s">
        <v>2253</v>
      </c>
      <c r="C353" s="433" t="s">
        <v>2254</v>
      </c>
      <c r="D353" s="431" t="s">
        <v>2921</v>
      </c>
      <c r="E353" s="431" t="s">
        <v>2922</v>
      </c>
      <c r="F353" s="431">
        <v>160</v>
      </c>
      <c r="G353" s="431" t="s">
        <v>2466</v>
      </c>
      <c r="H353" s="431" t="s">
        <v>2257</v>
      </c>
      <c r="I353" s="431" t="s">
        <v>2258</v>
      </c>
      <c r="J353" s="432">
        <v>46234</v>
      </c>
    </row>
    <row r="354" spans="1:10">
      <c r="A354" s="431">
        <v>363</v>
      </c>
      <c r="B354" s="431" t="s">
        <v>2253</v>
      </c>
      <c r="C354" s="433" t="s">
        <v>2254</v>
      </c>
      <c r="D354" s="431" t="s">
        <v>2925</v>
      </c>
      <c r="E354" s="431" t="s">
        <v>2926</v>
      </c>
      <c r="F354" s="431">
        <v>1</v>
      </c>
      <c r="G354" s="431" t="s">
        <v>328</v>
      </c>
      <c r="H354" s="431" t="s">
        <v>2257</v>
      </c>
      <c r="I354" s="431" t="s">
        <v>2258</v>
      </c>
      <c r="J354" s="432">
        <v>46234</v>
      </c>
    </row>
    <row r="355" spans="1:10">
      <c r="A355" s="431">
        <v>364</v>
      </c>
      <c r="B355" s="431" t="s">
        <v>2253</v>
      </c>
      <c r="C355" s="433" t="s">
        <v>2254</v>
      </c>
      <c r="D355" s="431" t="s">
        <v>2927</v>
      </c>
      <c r="E355" s="431" t="s">
        <v>2928</v>
      </c>
      <c r="F355" s="431">
        <v>90</v>
      </c>
      <c r="G355" s="431" t="s">
        <v>21</v>
      </c>
      <c r="H355" s="431" t="s">
        <v>2257</v>
      </c>
      <c r="I355" s="431" t="s">
        <v>2258</v>
      </c>
      <c r="J355" s="432">
        <v>46234</v>
      </c>
    </row>
    <row r="356" spans="1:10">
      <c r="A356" s="431">
        <v>365</v>
      </c>
      <c r="B356" s="431" t="s">
        <v>2253</v>
      </c>
      <c r="C356" s="433" t="s">
        <v>2254</v>
      </c>
      <c r="D356" s="431" t="s">
        <v>2929</v>
      </c>
      <c r="E356" s="431" t="s">
        <v>2930</v>
      </c>
      <c r="F356" s="431">
        <v>137</v>
      </c>
      <c r="G356" s="431" t="s">
        <v>2443</v>
      </c>
      <c r="H356" s="431" t="s">
        <v>2573</v>
      </c>
      <c r="I356" s="431" t="s">
        <v>2574</v>
      </c>
      <c r="J356" s="432">
        <v>46234</v>
      </c>
    </row>
    <row r="357" spans="1:10">
      <c r="A357" s="431">
        <v>366</v>
      </c>
      <c r="B357" s="431" t="s">
        <v>2253</v>
      </c>
      <c r="C357" s="433" t="s">
        <v>2254</v>
      </c>
      <c r="D357" s="431" t="s">
        <v>2931</v>
      </c>
      <c r="E357" s="431" t="s">
        <v>2932</v>
      </c>
      <c r="F357" s="431">
        <v>337</v>
      </c>
      <c r="G357" s="431" t="s">
        <v>46</v>
      </c>
      <c r="H357" s="431" t="s">
        <v>2257</v>
      </c>
      <c r="I357" s="431" t="s">
        <v>2258</v>
      </c>
      <c r="J357" s="432">
        <v>46234</v>
      </c>
    </row>
    <row r="358" spans="1:10">
      <c r="A358" s="431">
        <v>367</v>
      </c>
      <c r="B358" s="431" t="s">
        <v>2253</v>
      </c>
      <c r="C358" s="433" t="s">
        <v>2254</v>
      </c>
      <c r="D358" s="431" t="s">
        <v>2933</v>
      </c>
      <c r="E358" s="431" t="s">
        <v>2934</v>
      </c>
      <c r="F358" s="431">
        <v>25</v>
      </c>
      <c r="G358" s="431" t="s">
        <v>21</v>
      </c>
      <c r="H358" s="431" t="s">
        <v>2257</v>
      </c>
      <c r="I358" s="431" t="s">
        <v>2258</v>
      </c>
      <c r="J358" s="432">
        <v>46234</v>
      </c>
    </row>
    <row r="359" spans="1:10">
      <c r="A359" s="431">
        <v>368</v>
      </c>
      <c r="B359" s="431" t="s">
        <v>2253</v>
      </c>
      <c r="C359" s="433" t="s">
        <v>2254</v>
      </c>
      <c r="D359" s="431" t="s">
        <v>2935</v>
      </c>
      <c r="E359" s="431" t="s">
        <v>2936</v>
      </c>
      <c r="F359" s="431">
        <v>115</v>
      </c>
      <c r="G359" s="431" t="s">
        <v>2443</v>
      </c>
      <c r="H359" s="431" t="s">
        <v>2257</v>
      </c>
      <c r="I359" s="431" t="s">
        <v>2258</v>
      </c>
      <c r="J359" s="432">
        <v>46234</v>
      </c>
    </row>
    <row r="360" spans="1:10">
      <c r="A360" s="431">
        <v>369</v>
      </c>
      <c r="B360" s="431" t="s">
        <v>2560</v>
      </c>
      <c r="C360" s="431" t="s">
        <v>2254</v>
      </c>
      <c r="D360" s="431" t="s">
        <v>2937</v>
      </c>
      <c r="E360" s="431" t="s">
        <v>2938</v>
      </c>
      <c r="F360" s="431">
        <v>20508</v>
      </c>
      <c r="G360" s="431" t="s">
        <v>2443</v>
      </c>
      <c r="H360" s="431" t="s">
        <v>2257</v>
      </c>
      <c r="I360" s="431" t="s">
        <v>2258</v>
      </c>
      <c r="J360" s="432">
        <v>46234</v>
      </c>
    </row>
    <row r="361" spans="1:10">
      <c r="A361" s="431">
        <v>370</v>
      </c>
      <c r="B361" s="431" t="s">
        <v>2560</v>
      </c>
      <c r="C361" s="431" t="s">
        <v>2254</v>
      </c>
      <c r="D361" s="431" t="s">
        <v>2939</v>
      </c>
      <c r="E361" s="431" t="s">
        <v>2940</v>
      </c>
      <c r="F361" s="431">
        <v>1</v>
      </c>
      <c r="G361" s="431" t="s">
        <v>2443</v>
      </c>
      <c r="H361" s="431" t="s">
        <v>2257</v>
      </c>
      <c r="I361" s="431" t="s">
        <v>2258</v>
      </c>
      <c r="J361" s="432">
        <v>46234</v>
      </c>
    </row>
    <row r="362" spans="1:10">
      <c r="A362" s="431">
        <v>371</v>
      </c>
      <c r="B362" s="431" t="s">
        <v>2560</v>
      </c>
      <c r="C362" s="431" t="s">
        <v>2254</v>
      </c>
      <c r="D362" s="431" t="s">
        <v>2941</v>
      </c>
      <c r="E362" s="431" t="s">
        <v>2942</v>
      </c>
      <c r="F362" s="431">
        <v>2249</v>
      </c>
      <c r="G362" s="431" t="s">
        <v>812</v>
      </c>
      <c r="H362" s="431" t="s">
        <v>2257</v>
      </c>
      <c r="I362" s="431" t="s">
        <v>2258</v>
      </c>
      <c r="J362" s="432">
        <v>46234</v>
      </c>
    </row>
    <row r="363" spans="1:10">
      <c r="A363" s="431">
        <v>372</v>
      </c>
      <c r="B363" s="431" t="s">
        <v>2253</v>
      </c>
      <c r="C363" s="431" t="s">
        <v>2254</v>
      </c>
      <c r="D363" s="431" t="s">
        <v>2943</v>
      </c>
      <c r="E363" s="431" t="s">
        <v>2944</v>
      </c>
      <c r="F363" s="431">
        <v>6216</v>
      </c>
      <c r="G363" s="431" t="s">
        <v>328</v>
      </c>
      <c r="H363" s="431" t="s">
        <v>2257</v>
      </c>
      <c r="I363" s="431" t="s">
        <v>2258</v>
      </c>
      <c r="J363" s="432">
        <v>46234</v>
      </c>
    </row>
    <row r="364" spans="1:10">
      <c r="A364" s="431">
        <v>373</v>
      </c>
      <c r="B364" s="431" t="s">
        <v>2560</v>
      </c>
      <c r="C364" s="431" t="s">
        <v>2254</v>
      </c>
      <c r="D364" s="431" t="s">
        <v>2945</v>
      </c>
      <c r="E364" s="431" t="s">
        <v>2946</v>
      </c>
      <c r="F364" s="431">
        <v>702</v>
      </c>
      <c r="G364" s="431" t="s">
        <v>2443</v>
      </c>
      <c r="H364" s="431" t="s">
        <v>2257</v>
      </c>
      <c r="I364" s="431" t="s">
        <v>2258</v>
      </c>
      <c r="J364" s="432">
        <v>46234</v>
      </c>
    </row>
    <row r="365" spans="1:10">
      <c r="A365" s="431">
        <v>374</v>
      </c>
      <c r="B365" s="431" t="s">
        <v>2253</v>
      </c>
      <c r="C365" s="431" t="s">
        <v>2254</v>
      </c>
      <c r="D365" s="431" t="s">
        <v>2947</v>
      </c>
      <c r="E365" s="431" t="s">
        <v>2948</v>
      </c>
      <c r="F365" s="431">
        <v>14</v>
      </c>
      <c r="G365" s="431" t="s">
        <v>46</v>
      </c>
      <c r="H365" s="431" t="s">
        <v>2257</v>
      </c>
      <c r="I365" s="431" t="s">
        <v>2258</v>
      </c>
      <c r="J365" s="432">
        <v>46234</v>
      </c>
    </row>
    <row r="366" spans="1:10">
      <c r="A366" s="431">
        <v>375</v>
      </c>
      <c r="B366" s="431" t="s">
        <v>2253</v>
      </c>
      <c r="C366" s="431" t="s">
        <v>2254</v>
      </c>
      <c r="D366" s="431" t="s">
        <v>2949</v>
      </c>
      <c r="E366" s="431" t="s">
        <v>2950</v>
      </c>
      <c r="F366" s="431">
        <v>2900</v>
      </c>
      <c r="G366" s="431" t="s">
        <v>46</v>
      </c>
      <c r="H366" s="431" t="s">
        <v>2257</v>
      </c>
      <c r="I366" s="431" t="s">
        <v>2258</v>
      </c>
      <c r="J366" s="432">
        <v>46234</v>
      </c>
    </row>
    <row r="367" spans="1:10">
      <c r="A367" s="431">
        <v>376</v>
      </c>
      <c r="B367" s="431" t="s">
        <v>2253</v>
      </c>
      <c r="C367" s="431" t="s">
        <v>2254</v>
      </c>
      <c r="D367" s="431" t="s">
        <v>2951</v>
      </c>
      <c r="E367" s="431" t="s">
        <v>2952</v>
      </c>
      <c r="F367" s="431">
        <v>6216</v>
      </c>
      <c r="G367" s="431" t="s">
        <v>328</v>
      </c>
      <c r="H367" s="431" t="s">
        <v>2257</v>
      </c>
      <c r="I367" s="431" t="s">
        <v>2258</v>
      </c>
      <c r="J367" s="432">
        <v>46234</v>
      </c>
    </row>
    <row r="368" spans="1:10">
      <c r="A368" s="431">
        <v>377</v>
      </c>
      <c r="B368" s="431" t="s">
        <v>2560</v>
      </c>
      <c r="C368" s="431" t="s">
        <v>2254</v>
      </c>
      <c r="D368" s="431" t="s">
        <v>2953</v>
      </c>
      <c r="E368" s="431" t="s">
        <v>2954</v>
      </c>
      <c r="F368" s="431">
        <v>312</v>
      </c>
      <c r="G368" s="431" t="s">
        <v>2443</v>
      </c>
      <c r="H368" s="431" t="s">
        <v>2257</v>
      </c>
      <c r="I368" s="431" t="s">
        <v>2258</v>
      </c>
      <c r="J368" s="432">
        <v>46234</v>
      </c>
    </row>
    <row r="369" spans="1:10">
      <c r="A369" s="431">
        <v>378</v>
      </c>
      <c r="B369" s="431" t="s">
        <v>2253</v>
      </c>
      <c r="C369" s="431" t="s">
        <v>2254</v>
      </c>
      <c r="D369" s="431" t="s">
        <v>2955</v>
      </c>
      <c r="E369" s="431" t="s">
        <v>2956</v>
      </c>
      <c r="F369" s="431">
        <v>74</v>
      </c>
      <c r="G369" s="431" t="s">
        <v>691</v>
      </c>
      <c r="H369" s="431" t="s">
        <v>2257</v>
      </c>
      <c r="I369" s="431" t="s">
        <v>2258</v>
      </c>
      <c r="J369" s="432">
        <v>46234</v>
      </c>
    </row>
    <row r="370" spans="1:10">
      <c r="A370" s="431">
        <v>379</v>
      </c>
      <c r="B370" s="431" t="s">
        <v>2560</v>
      </c>
      <c r="C370" s="433" t="s">
        <v>2254</v>
      </c>
      <c r="D370" s="431" t="s">
        <v>2957</v>
      </c>
      <c r="E370" s="431" t="s">
        <v>2958</v>
      </c>
      <c r="F370" s="431">
        <v>312</v>
      </c>
      <c r="G370" s="431" t="s">
        <v>2443</v>
      </c>
      <c r="H370" s="431" t="s">
        <v>2257</v>
      </c>
      <c r="I370" s="431" t="s">
        <v>2258</v>
      </c>
      <c r="J370" s="432">
        <v>46234</v>
      </c>
    </row>
    <row r="371" spans="1:10">
      <c r="A371" s="431">
        <v>380</v>
      </c>
      <c r="B371" s="431" t="s">
        <v>2253</v>
      </c>
      <c r="C371" s="433" t="s">
        <v>2254</v>
      </c>
      <c r="D371" s="431" t="s">
        <v>2959</v>
      </c>
      <c r="E371" s="431" t="s">
        <v>2960</v>
      </c>
      <c r="F371" s="431">
        <v>57</v>
      </c>
      <c r="G371" s="431" t="s">
        <v>691</v>
      </c>
      <c r="H371" s="431" t="s">
        <v>2257</v>
      </c>
      <c r="I371" s="431" t="s">
        <v>2258</v>
      </c>
      <c r="J371" s="432">
        <v>46234</v>
      </c>
    </row>
    <row r="372" spans="1:10">
      <c r="A372" s="431">
        <v>381</v>
      </c>
      <c r="B372" s="431" t="s">
        <v>2560</v>
      </c>
      <c r="C372" s="433" t="s">
        <v>2254</v>
      </c>
      <c r="D372" s="431" t="s">
        <v>2962</v>
      </c>
      <c r="E372" s="431" t="s">
        <v>2963</v>
      </c>
      <c r="F372" s="431">
        <v>2413</v>
      </c>
      <c r="G372" s="431" t="s">
        <v>2443</v>
      </c>
      <c r="H372" s="431" t="s">
        <v>2257</v>
      </c>
      <c r="I372" s="431" t="s">
        <v>2258</v>
      </c>
      <c r="J372" s="432">
        <v>46234</v>
      </c>
    </row>
    <row r="373" spans="1:10">
      <c r="A373" s="431">
        <v>382</v>
      </c>
      <c r="B373" s="431" t="s">
        <v>2560</v>
      </c>
      <c r="C373" s="431" t="s">
        <v>2254</v>
      </c>
      <c r="D373" s="431" t="s">
        <v>2964</v>
      </c>
      <c r="E373" s="431" t="s">
        <v>2965</v>
      </c>
      <c r="F373" s="431">
        <v>1</v>
      </c>
      <c r="G373" s="431" t="s">
        <v>2443</v>
      </c>
      <c r="H373" s="431" t="s">
        <v>2257</v>
      </c>
      <c r="I373" s="431" t="s">
        <v>2258</v>
      </c>
      <c r="J373" s="432">
        <v>46234</v>
      </c>
    </row>
    <row r="374" spans="1:10">
      <c r="A374" s="431">
        <v>383</v>
      </c>
      <c r="B374" s="431" t="s">
        <v>2560</v>
      </c>
      <c r="C374" s="433" t="s">
        <v>2254</v>
      </c>
      <c r="D374" s="431" t="s">
        <v>2967</v>
      </c>
      <c r="E374" s="431" t="s">
        <v>2968</v>
      </c>
      <c r="F374" s="431">
        <v>1</v>
      </c>
      <c r="G374" s="431" t="s">
        <v>2443</v>
      </c>
      <c r="H374" s="431" t="s">
        <v>2257</v>
      </c>
      <c r="I374" s="431" t="s">
        <v>2258</v>
      </c>
      <c r="J374" s="432">
        <v>46234</v>
      </c>
    </row>
    <row r="375" spans="1:10">
      <c r="A375" s="431">
        <v>384</v>
      </c>
      <c r="B375" s="431" t="s">
        <v>2560</v>
      </c>
      <c r="C375" s="431" t="s">
        <v>2254</v>
      </c>
      <c r="D375" s="431" t="s">
        <v>2969</v>
      </c>
      <c r="E375" s="431" t="s">
        <v>2970</v>
      </c>
      <c r="F375" s="431">
        <v>100000</v>
      </c>
      <c r="G375" s="431" t="s">
        <v>62</v>
      </c>
      <c r="H375" s="431" t="s">
        <v>2257</v>
      </c>
      <c r="I375" s="431" t="s">
        <v>2258</v>
      </c>
      <c r="J375" s="432">
        <v>46234</v>
      </c>
    </row>
    <row r="376" spans="1:10">
      <c r="A376" s="431">
        <v>385</v>
      </c>
      <c r="B376" s="431" t="s">
        <v>2560</v>
      </c>
      <c r="C376" s="431" t="s">
        <v>2254</v>
      </c>
      <c r="D376" s="431" t="s">
        <v>2971</v>
      </c>
      <c r="E376" s="431" t="s">
        <v>2972</v>
      </c>
      <c r="F376" s="431">
        <v>150000</v>
      </c>
      <c r="G376" s="431" t="s">
        <v>62</v>
      </c>
      <c r="H376" s="431" t="s">
        <v>2257</v>
      </c>
      <c r="I376" s="431" t="s">
        <v>2258</v>
      </c>
      <c r="J376" s="432">
        <v>46234</v>
      </c>
    </row>
    <row r="377" spans="1:10">
      <c r="A377" s="431">
        <v>386</v>
      </c>
      <c r="B377" s="431" t="s">
        <v>2560</v>
      </c>
      <c r="C377" s="431" t="s">
        <v>2254</v>
      </c>
      <c r="D377" s="431" t="s">
        <v>2973</v>
      </c>
      <c r="E377" s="431" t="s">
        <v>2974</v>
      </c>
      <c r="F377" s="431">
        <v>1</v>
      </c>
      <c r="G377" s="431" t="s">
        <v>2443</v>
      </c>
      <c r="H377" s="431" t="s">
        <v>2257</v>
      </c>
      <c r="I377" s="431" t="s">
        <v>2258</v>
      </c>
      <c r="J377" s="432">
        <v>46234</v>
      </c>
    </row>
    <row r="378" spans="1:10">
      <c r="A378" s="431">
        <v>387</v>
      </c>
      <c r="B378" s="431" t="s">
        <v>2560</v>
      </c>
      <c r="C378" s="433" t="s">
        <v>2254</v>
      </c>
      <c r="D378" s="431" t="s">
        <v>2975</v>
      </c>
      <c r="E378" s="431" t="s">
        <v>2911</v>
      </c>
      <c r="F378" s="431">
        <v>1162</v>
      </c>
      <c r="G378" s="431" t="s">
        <v>2443</v>
      </c>
      <c r="H378" s="431" t="s">
        <v>2257</v>
      </c>
      <c r="I378" s="431" t="s">
        <v>2258</v>
      </c>
      <c r="J378" s="432">
        <v>46234</v>
      </c>
    </row>
    <row r="379" spans="1:10">
      <c r="A379" s="431">
        <v>388</v>
      </c>
      <c r="B379" s="431" t="s">
        <v>2560</v>
      </c>
      <c r="C379" s="431" t="s">
        <v>2254</v>
      </c>
      <c r="D379" s="431" t="s">
        <v>2976</v>
      </c>
      <c r="E379" s="431" t="s">
        <v>2901</v>
      </c>
      <c r="F379" s="431">
        <v>4375</v>
      </c>
      <c r="G379" s="431" t="s">
        <v>2443</v>
      </c>
      <c r="H379" s="431" t="s">
        <v>2257</v>
      </c>
      <c r="I379" s="431" t="s">
        <v>2258</v>
      </c>
      <c r="J379" s="432">
        <v>46234</v>
      </c>
    </row>
    <row r="380" spans="1:10">
      <c r="A380" s="431">
        <v>389</v>
      </c>
      <c r="B380" s="431" t="s">
        <v>2560</v>
      </c>
      <c r="C380" s="433" t="s">
        <v>2254</v>
      </c>
      <c r="D380" s="431" t="s">
        <v>2977</v>
      </c>
      <c r="E380" s="431" t="s">
        <v>2899</v>
      </c>
      <c r="F380" s="431">
        <v>1</v>
      </c>
      <c r="G380" s="431" t="s">
        <v>2443</v>
      </c>
      <c r="H380" s="431" t="s">
        <v>2257</v>
      </c>
      <c r="I380" s="431" t="s">
        <v>2258</v>
      </c>
      <c r="J380" s="432">
        <v>46234</v>
      </c>
    </row>
    <row r="381" spans="1:10">
      <c r="A381" s="431">
        <v>390</v>
      </c>
      <c r="B381" s="431" t="s">
        <v>2560</v>
      </c>
      <c r="C381" s="431" t="s">
        <v>2254</v>
      </c>
      <c r="D381" s="431" t="s">
        <v>2978</v>
      </c>
      <c r="E381" s="431" t="s">
        <v>2979</v>
      </c>
      <c r="F381" s="431">
        <v>1</v>
      </c>
      <c r="G381" s="431" t="s">
        <v>2443</v>
      </c>
      <c r="H381" s="431" t="s">
        <v>2257</v>
      </c>
      <c r="I381" s="431" t="s">
        <v>2258</v>
      </c>
      <c r="J381" s="432">
        <v>46234</v>
      </c>
    </row>
    <row r="382" spans="1:10">
      <c r="A382" s="431">
        <v>391</v>
      </c>
      <c r="B382" s="431" t="s">
        <v>2560</v>
      </c>
      <c r="C382" s="433" t="s">
        <v>2254</v>
      </c>
      <c r="D382" s="431" t="s">
        <v>2980</v>
      </c>
      <c r="E382" s="431" t="s">
        <v>2981</v>
      </c>
      <c r="F382" s="431">
        <v>1</v>
      </c>
      <c r="G382" s="431" t="s">
        <v>26</v>
      </c>
      <c r="H382" s="431" t="s">
        <v>2257</v>
      </c>
      <c r="I382" s="431" t="s">
        <v>2258</v>
      </c>
      <c r="J382" s="432">
        <v>46234</v>
      </c>
    </row>
    <row r="383" spans="1:10">
      <c r="A383" s="431">
        <v>392</v>
      </c>
      <c r="B383" s="431" t="s">
        <v>2253</v>
      </c>
      <c r="C383" s="433" t="s">
        <v>2254</v>
      </c>
      <c r="D383" s="431" t="s">
        <v>2982</v>
      </c>
      <c r="E383" s="431" t="s">
        <v>2983</v>
      </c>
      <c r="F383" s="431">
        <v>1</v>
      </c>
      <c r="G383" s="431" t="s">
        <v>691</v>
      </c>
      <c r="H383" s="431" t="s">
        <v>2257</v>
      </c>
      <c r="I383" s="431" t="s">
        <v>2258</v>
      </c>
      <c r="J383" s="432">
        <v>46234</v>
      </c>
    </row>
    <row r="384" spans="1:10">
      <c r="A384" s="431">
        <v>393</v>
      </c>
      <c r="B384" s="431" t="s">
        <v>2253</v>
      </c>
      <c r="C384" s="433" t="s">
        <v>2254</v>
      </c>
      <c r="D384" s="431" t="s">
        <v>2984</v>
      </c>
      <c r="E384" s="431" t="s">
        <v>2985</v>
      </c>
      <c r="F384" s="431">
        <v>1</v>
      </c>
      <c r="G384" s="431" t="s">
        <v>328</v>
      </c>
      <c r="H384" s="431" t="s">
        <v>2257</v>
      </c>
      <c r="I384" s="431" t="s">
        <v>2258</v>
      </c>
      <c r="J384" s="432">
        <v>46234</v>
      </c>
    </row>
    <row r="385" spans="1:10">
      <c r="A385" s="431">
        <v>394</v>
      </c>
      <c r="B385" s="431" t="s">
        <v>2253</v>
      </c>
      <c r="C385" s="433" t="s">
        <v>2254</v>
      </c>
      <c r="D385" s="431" t="s">
        <v>2986</v>
      </c>
      <c r="E385" s="431" t="s">
        <v>2987</v>
      </c>
      <c r="F385" s="431">
        <v>437</v>
      </c>
      <c r="G385" s="431" t="s">
        <v>62</v>
      </c>
      <c r="H385" s="431" t="s">
        <v>2257</v>
      </c>
      <c r="I385" s="431" t="s">
        <v>2258</v>
      </c>
      <c r="J385" s="432">
        <v>46234</v>
      </c>
    </row>
    <row r="386" spans="1:10">
      <c r="A386" s="431">
        <v>395</v>
      </c>
      <c r="B386" s="431" t="s">
        <v>2253</v>
      </c>
      <c r="C386" s="433" t="s">
        <v>2254</v>
      </c>
      <c r="D386" s="431" t="s">
        <v>2988</v>
      </c>
      <c r="E386" s="431" t="s">
        <v>2989</v>
      </c>
      <c r="F386" s="431">
        <v>543</v>
      </c>
      <c r="G386" s="431" t="s">
        <v>62</v>
      </c>
      <c r="H386" s="431" t="s">
        <v>2257</v>
      </c>
      <c r="I386" s="431" t="s">
        <v>2258</v>
      </c>
      <c r="J386" s="432">
        <v>46234</v>
      </c>
    </row>
    <row r="387" spans="1:10">
      <c r="A387" s="431">
        <v>396</v>
      </c>
      <c r="B387" s="431" t="s">
        <v>2253</v>
      </c>
      <c r="C387" s="433" t="s">
        <v>2254</v>
      </c>
      <c r="D387" s="431" t="s">
        <v>2990</v>
      </c>
      <c r="E387" s="431" t="s">
        <v>2991</v>
      </c>
      <c r="F387" s="431">
        <v>1</v>
      </c>
      <c r="G387" s="431" t="s">
        <v>46</v>
      </c>
      <c r="H387" s="431" t="s">
        <v>2257</v>
      </c>
      <c r="I387" s="431" t="s">
        <v>2258</v>
      </c>
      <c r="J387" s="432">
        <v>46234</v>
      </c>
    </row>
    <row r="388" spans="1:10">
      <c r="A388" s="431">
        <v>397</v>
      </c>
      <c r="B388" s="431" t="s">
        <v>2560</v>
      </c>
      <c r="C388" s="433" t="s">
        <v>2254</v>
      </c>
      <c r="D388" s="431" t="s">
        <v>2992</v>
      </c>
      <c r="E388" s="431" t="s">
        <v>2993</v>
      </c>
      <c r="F388" s="431">
        <v>4</v>
      </c>
      <c r="G388" s="431" t="s">
        <v>2994</v>
      </c>
      <c r="H388" s="431" t="s">
        <v>2257</v>
      </c>
      <c r="I388" s="431" t="s">
        <v>2258</v>
      </c>
      <c r="J388" s="432">
        <v>46234</v>
      </c>
    </row>
    <row r="389" spans="1:10">
      <c r="A389" s="431">
        <v>398</v>
      </c>
      <c r="B389" s="431" t="s">
        <v>2560</v>
      </c>
      <c r="C389" s="433" t="s">
        <v>2254</v>
      </c>
      <c r="D389" s="431" t="s">
        <v>2995</v>
      </c>
      <c r="E389" s="431" t="s">
        <v>2996</v>
      </c>
      <c r="F389" s="431">
        <v>1</v>
      </c>
      <c r="G389" s="431" t="s">
        <v>2656</v>
      </c>
      <c r="H389" s="431" t="s">
        <v>2257</v>
      </c>
      <c r="I389" s="431" t="s">
        <v>2258</v>
      </c>
      <c r="J389" s="432">
        <v>46234</v>
      </c>
    </row>
    <row r="390" spans="1:10">
      <c r="A390" s="431">
        <v>399</v>
      </c>
      <c r="B390" s="431" t="s">
        <v>2560</v>
      </c>
      <c r="C390" s="433" t="s">
        <v>2254</v>
      </c>
      <c r="D390" s="431" t="s">
        <v>2997</v>
      </c>
      <c r="E390" s="431" t="s">
        <v>2963</v>
      </c>
      <c r="F390" s="431">
        <v>2413</v>
      </c>
      <c r="G390" s="431" t="s">
        <v>2443</v>
      </c>
      <c r="H390" s="431" t="s">
        <v>2257</v>
      </c>
      <c r="I390" s="431" t="s">
        <v>2258</v>
      </c>
      <c r="J390" s="432">
        <v>46234</v>
      </c>
    </row>
    <row r="391" spans="1:10">
      <c r="A391" s="431">
        <v>400</v>
      </c>
      <c r="B391" s="431" t="s">
        <v>2560</v>
      </c>
      <c r="C391" s="433" t="s">
        <v>2254</v>
      </c>
      <c r="D391" s="431" t="s">
        <v>2998</v>
      </c>
      <c r="E391" s="431" t="s">
        <v>2999</v>
      </c>
      <c r="F391" s="431">
        <v>7400</v>
      </c>
      <c r="G391" s="431" t="s">
        <v>2443</v>
      </c>
      <c r="H391" s="431" t="s">
        <v>2257</v>
      </c>
      <c r="I391" s="431" t="s">
        <v>2258</v>
      </c>
      <c r="J391" s="432">
        <v>46234</v>
      </c>
    </row>
    <row r="392" spans="1:10">
      <c r="A392" s="431">
        <v>401</v>
      </c>
      <c r="B392" s="431" t="s">
        <v>2560</v>
      </c>
      <c r="C392" s="433" t="s">
        <v>2254</v>
      </c>
      <c r="D392" s="431" t="s">
        <v>3000</v>
      </c>
      <c r="E392" s="431" t="s">
        <v>3001</v>
      </c>
      <c r="F392" s="431">
        <v>70</v>
      </c>
      <c r="G392" s="431" t="s">
        <v>2443</v>
      </c>
      <c r="H392" s="431" t="s">
        <v>2257</v>
      </c>
      <c r="I392" s="431" t="s">
        <v>2258</v>
      </c>
      <c r="J392" s="432">
        <v>46234</v>
      </c>
    </row>
    <row r="393" spans="1:10">
      <c r="A393" s="431">
        <v>403</v>
      </c>
      <c r="B393" s="431" t="s">
        <v>2560</v>
      </c>
      <c r="C393" s="431" t="s">
        <v>2254</v>
      </c>
      <c r="D393" s="431" t="s">
        <v>3003</v>
      </c>
      <c r="E393" s="431" t="s">
        <v>3004</v>
      </c>
      <c r="F393" s="431">
        <v>7400</v>
      </c>
      <c r="G393" s="431" t="s">
        <v>2443</v>
      </c>
      <c r="H393" s="431" t="s">
        <v>2257</v>
      </c>
      <c r="I393" s="431" t="s">
        <v>2258</v>
      </c>
      <c r="J393" s="432">
        <v>46234</v>
      </c>
    </row>
    <row r="394" spans="1:10">
      <c r="A394" s="431">
        <v>404</v>
      </c>
      <c r="B394" s="431" t="s">
        <v>2560</v>
      </c>
      <c r="C394" s="431" t="s">
        <v>2254</v>
      </c>
      <c r="D394" s="431" t="s">
        <v>3005</v>
      </c>
      <c r="E394" s="431" t="s">
        <v>3007</v>
      </c>
      <c r="F394" s="431">
        <v>1213</v>
      </c>
      <c r="G394" s="431" t="s">
        <v>2443</v>
      </c>
      <c r="H394" s="431" t="s">
        <v>2257</v>
      </c>
      <c r="I394" s="431" t="s">
        <v>2258</v>
      </c>
      <c r="J394" s="432">
        <v>46234</v>
      </c>
    </row>
    <row r="395" spans="1:10">
      <c r="A395" s="431">
        <v>405</v>
      </c>
      <c r="B395" s="431" t="s">
        <v>2560</v>
      </c>
      <c r="C395" s="431" t="s">
        <v>2254</v>
      </c>
      <c r="D395" s="431" t="s">
        <v>3008</v>
      </c>
      <c r="E395" s="431" t="s">
        <v>3009</v>
      </c>
      <c r="F395" s="431">
        <v>2222</v>
      </c>
      <c r="G395" s="431" t="s">
        <v>2443</v>
      </c>
      <c r="H395" s="431" t="s">
        <v>2257</v>
      </c>
      <c r="I395" s="431" t="s">
        <v>2258</v>
      </c>
      <c r="J395" s="432">
        <v>46234</v>
      </c>
    </row>
    <row r="396" spans="1:10">
      <c r="A396" s="431">
        <v>406</v>
      </c>
      <c r="B396" s="431" t="s">
        <v>2560</v>
      </c>
      <c r="C396" s="431" t="s">
        <v>2254</v>
      </c>
      <c r="D396" s="431" t="s">
        <v>3010</v>
      </c>
      <c r="E396" s="431" t="s">
        <v>3011</v>
      </c>
      <c r="F396" s="431">
        <v>312</v>
      </c>
      <c r="G396" s="431" t="s">
        <v>2443</v>
      </c>
      <c r="H396" s="431" t="s">
        <v>2257</v>
      </c>
      <c r="I396" s="431" t="s">
        <v>2258</v>
      </c>
      <c r="J396" s="432">
        <v>46234</v>
      </c>
    </row>
    <row r="397" spans="1:10">
      <c r="A397" s="431">
        <v>407</v>
      </c>
      <c r="B397" s="431" t="s">
        <v>2560</v>
      </c>
      <c r="C397" s="431" t="s">
        <v>2254</v>
      </c>
      <c r="D397" s="431" t="s">
        <v>3012</v>
      </c>
      <c r="E397" s="431" t="s">
        <v>3013</v>
      </c>
      <c r="F397" s="431">
        <v>5</v>
      </c>
      <c r="G397" s="431" t="s">
        <v>2443</v>
      </c>
      <c r="H397" s="431" t="s">
        <v>2257</v>
      </c>
      <c r="I397" s="431" t="s">
        <v>2258</v>
      </c>
      <c r="J397" s="432">
        <v>46234</v>
      </c>
    </row>
    <row r="398" spans="1:10">
      <c r="A398" s="431">
        <v>408</v>
      </c>
      <c r="B398" s="431" t="s">
        <v>2253</v>
      </c>
      <c r="C398" s="433" t="s">
        <v>2254</v>
      </c>
      <c r="D398" s="431" t="s">
        <v>3014</v>
      </c>
      <c r="E398" s="431" t="s">
        <v>3015</v>
      </c>
      <c r="F398" s="431">
        <v>919</v>
      </c>
      <c r="G398" s="431" t="s">
        <v>3016</v>
      </c>
      <c r="H398" s="431" t="s">
        <v>2257</v>
      </c>
      <c r="I398" s="431" t="s">
        <v>2258</v>
      </c>
      <c r="J398" s="432">
        <v>46234</v>
      </c>
    </row>
    <row r="399" spans="1:10">
      <c r="A399" s="431">
        <v>409</v>
      </c>
      <c r="B399" s="431" t="s">
        <v>2560</v>
      </c>
      <c r="C399" s="433" t="s">
        <v>2254</v>
      </c>
      <c r="D399" s="431" t="s">
        <v>3017</v>
      </c>
      <c r="E399" s="431" t="s">
        <v>3018</v>
      </c>
      <c r="F399" s="431">
        <v>195</v>
      </c>
      <c r="G399" s="431" t="s">
        <v>2443</v>
      </c>
      <c r="H399" s="431" t="s">
        <v>2257</v>
      </c>
      <c r="I399" s="431" t="s">
        <v>2258</v>
      </c>
      <c r="J399" s="432">
        <v>46234</v>
      </c>
    </row>
    <row r="400" spans="1:10">
      <c r="A400" s="431">
        <v>410</v>
      </c>
      <c r="B400" s="431" t="s">
        <v>2253</v>
      </c>
      <c r="C400" s="433" t="s">
        <v>2254</v>
      </c>
      <c r="D400" s="431" t="s">
        <v>3019</v>
      </c>
      <c r="E400" s="431" t="s">
        <v>3020</v>
      </c>
      <c r="F400" s="431">
        <v>220</v>
      </c>
      <c r="G400" s="431" t="s">
        <v>691</v>
      </c>
      <c r="H400" s="431" t="s">
        <v>2257</v>
      </c>
      <c r="I400" s="431" t="s">
        <v>2258</v>
      </c>
      <c r="J400" s="432">
        <v>46234</v>
      </c>
    </row>
    <row r="401" spans="1:10">
      <c r="A401" s="431">
        <v>411</v>
      </c>
      <c r="B401" s="431" t="s">
        <v>2253</v>
      </c>
      <c r="C401" s="433" t="s">
        <v>2254</v>
      </c>
      <c r="D401" s="431" t="s">
        <v>3021</v>
      </c>
      <c r="E401" s="431" t="s">
        <v>3022</v>
      </c>
      <c r="F401" s="431">
        <v>27</v>
      </c>
      <c r="G401" s="431" t="s">
        <v>1107</v>
      </c>
      <c r="H401" s="431" t="s">
        <v>2257</v>
      </c>
      <c r="I401" s="431" t="s">
        <v>2258</v>
      </c>
      <c r="J401" s="432">
        <v>46234</v>
      </c>
    </row>
    <row r="402" spans="1:10">
      <c r="A402" s="431">
        <v>412</v>
      </c>
      <c r="B402" s="431" t="s">
        <v>2253</v>
      </c>
      <c r="C402" s="433" t="s">
        <v>2254</v>
      </c>
      <c r="D402" s="431" t="s">
        <v>3023</v>
      </c>
      <c r="E402" s="431" t="s">
        <v>3024</v>
      </c>
      <c r="F402" s="431">
        <v>700</v>
      </c>
      <c r="G402" s="431" t="s">
        <v>812</v>
      </c>
      <c r="H402" s="431" t="s">
        <v>2257</v>
      </c>
      <c r="I402" s="431" t="s">
        <v>2258</v>
      </c>
      <c r="J402" s="432">
        <v>46234</v>
      </c>
    </row>
    <row r="403" spans="1:10">
      <c r="A403" s="431">
        <v>413</v>
      </c>
      <c r="B403" s="431" t="s">
        <v>2253</v>
      </c>
      <c r="C403" s="431" t="s">
        <v>2254</v>
      </c>
      <c r="D403" s="431" t="s">
        <v>3025</v>
      </c>
      <c r="E403" s="431" t="s">
        <v>3026</v>
      </c>
      <c r="F403" s="431">
        <v>50</v>
      </c>
      <c r="G403" s="431" t="s">
        <v>328</v>
      </c>
      <c r="H403" s="431" t="s">
        <v>2257</v>
      </c>
      <c r="I403" s="431" t="s">
        <v>2258</v>
      </c>
      <c r="J403" s="432">
        <v>46234</v>
      </c>
    </row>
    <row r="404" spans="1:10">
      <c r="A404" s="431">
        <v>414</v>
      </c>
      <c r="B404" s="431" t="s">
        <v>2253</v>
      </c>
      <c r="C404" s="433" t="s">
        <v>2254</v>
      </c>
      <c r="D404" s="431" t="s">
        <v>3027</v>
      </c>
      <c r="E404" s="431" t="s">
        <v>3028</v>
      </c>
      <c r="F404" s="431">
        <v>63</v>
      </c>
      <c r="G404" s="431" t="s">
        <v>1107</v>
      </c>
      <c r="H404" s="431" t="s">
        <v>2257</v>
      </c>
      <c r="I404" s="431" t="s">
        <v>2258</v>
      </c>
      <c r="J404" s="432">
        <v>46234</v>
      </c>
    </row>
    <row r="405" spans="1:10">
      <c r="A405" s="431">
        <v>415</v>
      </c>
      <c r="B405" s="431" t="s">
        <v>2253</v>
      </c>
      <c r="C405" s="433" t="s">
        <v>2254</v>
      </c>
      <c r="D405" s="431" t="s">
        <v>3029</v>
      </c>
      <c r="E405" s="431" t="s">
        <v>2423</v>
      </c>
      <c r="F405" s="431">
        <v>280</v>
      </c>
      <c r="G405" s="431" t="s">
        <v>2466</v>
      </c>
      <c r="H405" s="431" t="s">
        <v>2257</v>
      </c>
      <c r="I405" s="431" t="s">
        <v>2258</v>
      </c>
      <c r="J405" s="432">
        <v>46234</v>
      </c>
    </row>
    <row r="406" spans="1:10">
      <c r="A406" s="431">
        <v>419</v>
      </c>
      <c r="B406" s="431" t="s">
        <v>2560</v>
      </c>
      <c r="C406" s="433" t="s">
        <v>2254</v>
      </c>
      <c r="D406" s="431" t="s">
        <v>3030</v>
      </c>
      <c r="E406" s="431" t="s">
        <v>3031</v>
      </c>
      <c r="F406" s="431">
        <v>2411</v>
      </c>
      <c r="G406" s="431" t="s">
        <v>2443</v>
      </c>
      <c r="H406" s="431" t="s">
        <v>2573</v>
      </c>
      <c r="I406" s="431" t="s">
        <v>2574</v>
      </c>
      <c r="J406" s="432">
        <v>46234</v>
      </c>
    </row>
    <row r="407" spans="1:10">
      <c r="A407" s="431">
        <v>420</v>
      </c>
      <c r="B407" s="431" t="s">
        <v>2253</v>
      </c>
      <c r="C407" s="433" t="s">
        <v>2254</v>
      </c>
      <c r="D407" s="431" t="s">
        <v>3032</v>
      </c>
      <c r="E407" s="431" t="s">
        <v>3033</v>
      </c>
      <c r="F407" s="431">
        <v>12000</v>
      </c>
      <c r="G407" s="431" t="s">
        <v>21</v>
      </c>
      <c r="H407" s="431" t="s">
        <v>2257</v>
      </c>
      <c r="I407" s="431" t="s">
        <v>2258</v>
      </c>
      <c r="J407" s="432">
        <v>46234</v>
      </c>
    </row>
    <row r="408" spans="1:10">
      <c r="A408" s="431">
        <v>421</v>
      </c>
      <c r="B408" s="431" t="s">
        <v>2253</v>
      </c>
      <c r="C408" s="433" t="s">
        <v>2254</v>
      </c>
      <c r="D408" s="431" t="s">
        <v>3034</v>
      </c>
      <c r="E408" s="431" t="s">
        <v>3035</v>
      </c>
      <c r="F408" s="431">
        <v>80</v>
      </c>
      <c r="G408" s="431" t="s">
        <v>691</v>
      </c>
      <c r="H408" s="431" t="s">
        <v>2257</v>
      </c>
      <c r="I408" s="431" t="s">
        <v>2258</v>
      </c>
      <c r="J408" s="432">
        <v>46234</v>
      </c>
    </row>
    <row r="409" spans="1:10">
      <c r="A409" s="431">
        <v>422</v>
      </c>
      <c r="B409" s="431" t="s">
        <v>2253</v>
      </c>
      <c r="C409" s="431" t="s">
        <v>2254</v>
      </c>
      <c r="D409" s="431" t="s">
        <v>3036</v>
      </c>
      <c r="E409" s="431" t="s">
        <v>3037</v>
      </c>
      <c r="F409" s="431">
        <v>4500</v>
      </c>
      <c r="G409" s="431" t="s">
        <v>21</v>
      </c>
      <c r="H409" s="431" t="s">
        <v>2257</v>
      </c>
      <c r="I409" s="431" t="s">
        <v>2258</v>
      </c>
      <c r="J409" s="432">
        <v>46234</v>
      </c>
    </row>
    <row r="410" spans="1:10">
      <c r="A410" s="431">
        <v>423</v>
      </c>
      <c r="B410" s="431" t="s">
        <v>2253</v>
      </c>
      <c r="C410" s="433" t="s">
        <v>2254</v>
      </c>
      <c r="D410" s="431" t="s">
        <v>3038</v>
      </c>
      <c r="E410" s="431" t="s">
        <v>3039</v>
      </c>
      <c r="F410" s="431">
        <v>350</v>
      </c>
      <c r="G410" s="431" t="s">
        <v>328</v>
      </c>
      <c r="H410" s="431" t="s">
        <v>2257</v>
      </c>
      <c r="I410" s="431" t="s">
        <v>2258</v>
      </c>
      <c r="J410" s="432">
        <v>46234</v>
      </c>
    </row>
    <row r="411" spans="1:10">
      <c r="A411" s="431">
        <v>425</v>
      </c>
      <c r="B411" s="431" t="s">
        <v>2253</v>
      </c>
      <c r="C411" s="431" t="s">
        <v>2254</v>
      </c>
      <c r="D411" s="431" t="s">
        <v>3040</v>
      </c>
      <c r="E411" s="431" t="s">
        <v>3041</v>
      </c>
      <c r="F411" s="431">
        <v>22000</v>
      </c>
      <c r="G411" s="431" t="s">
        <v>218</v>
      </c>
      <c r="H411" s="431" t="s">
        <v>2257</v>
      </c>
      <c r="I411" s="431" t="s">
        <v>2258</v>
      </c>
      <c r="J411" s="432">
        <v>46234</v>
      </c>
    </row>
    <row r="412" spans="1:10">
      <c r="A412" s="431">
        <v>428</v>
      </c>
      <c r="B412" s="431" t="s">
        <v>2253</v>
      </c>
      <c r="C412" s="431" t="s">
        <v>2254</v>
      </c>
      <c r="D412" s="431" t="s">
        <v>3043</v>
      </c>
      <c r="E412" s="431" t="s">
        <v>3044</v>
      </c>
      <c r="F412" s="431">
        <v>2060</v>
      </c>
      <c r="G412" s="431" t="s">
        <v>812</v>
      </c>
      <c r="H412" s="431" t="s">
        <v>2257</v>
      </c>
      <c r="I412" s="431" t="s">
        <v>2258</v>
      </c>
      <c r="J412" s="432">
        <v>46234</v>
      </c>
    </row>
    <row r="413" spans="1:10">
      <c r="A413" s="431">
        <v>429</v>
      </c>
      <c r="B413" s="431" t="s">
        <v>2253</v>
      </c>
      <c r="C413" s="431" t="s">
        <v>2254</v>
      </c>
      <c r="D413" s="431" t="s">
        <v>3045</v>
      </c>
      <c r="E413" s="431" t="s">
        <v>3047</v>
      </c>
      <c r="F413" s="431">
        <v>2364</v>
      </c>
      <c r="G413" s="431" t="s">
        <v>812</v>
      </c>
      <c r="H413" s="431" t="s">
        <v>2257</v>
      </c>
      <c r="I413" s="431" t="s">
        <v>2258</v>
      </c>
      <c r="J413" s="432">
        <v>46234</v>
      </c>
    </row>
    <row r="414" spans="1:10">
      <c r="A414" s="431">
        <v>430</v>
      </c>
      <c r="B414" s="431" t="s">
        <v>2253</v>
      </c>
      <c r="C414" s="431" t="s">
        <v>2254</v>
      </c>
      <c r="D414" s="431" t="s">
        <v>3048</v>
      </c>
      <c r="E414" s="431" t="s">
        <v>3050</v>
      </c>
      <c r="F414" s="431">
        <v>2581</v>
      </c>
      <c r="G414" s="431" t="s">
        <v>812</v>
      </c>
      <c r="H414" s="431" t="s">
        <v>2257</v>
      </c>
      <c r="I414" s="431" t="s">
        <v>2258</v>
      </c>
      <c r="J414" s="432">
        <v>46234</v>
      </c>
    </row>
    <row r="415" spans="1:10">
      <c r="A415" s="431">
        <v>431</v>
      </c>
      <c r="B415" s="431" t="s">
        <v>2253</v>
      </c>
      <c r="C415" s="431" t="s">
        <v>2254</v>
      </c>
      <c r="D415" s="431" t="s">
        <v>3051</v>
      </c>
      <c r="E415" s="431" t="s">
        <v>3052</v>
      </c>
      <c r="F415" s="431">
        <v>2376</v>
      </c>
      <c r="G415" s="431" t="s">
        <v>812</v>
      </c>
      <c r="H415" s="431" t="s">
        <v>2257</v>
      </c>
      <c r="I415" s="431" t="s">
        <v>2258</v>
      </c>
      <c r="J415" s="432">
        <v>46234</v>
      </c>
    </row>
    <row r="416" spans="1:10">
      <c r="A416" s="431">
        <v>432</v>
      </c>
      <c r="B416" s="431" t="s">
        <v>2253</v>
      </c>
      <c r="C416" s="431" t="s">
        <v>2254</v>
      </c>
      <c r="D416" s="431" t="s">
        <v>3053</v>
      </c>
      <c r="E416" s="431" t="s">
        <v>3054</v>
      </c>
      <c r="F416" s="431">
        <v>2482</v>
      </c>
      <c r="G416" s="431" t="s">
        <v>812</v>
      </c>
      <c r="H416" s="431" t="s">
        <v>2257</v>
      </c>
      <c r="I416" s="431" t="s">
        <v>2258</v>
      </c>
      <c r="J416" s="432">
        <v>46234</v>
      </c>
    </row>
    <row r="417" spans="1:10">
      <c r="A417" s="431">
        <v>433</v>
      </c>
      <c r="B417" s="431" t="s">
        <v>2253</v>
      </c>
      <c r="C417" s="431" t="s">
        <v>2254</v>
      </c>
      <c r="D417" s="431" t="s">
        <v>3055</v>
      </c>
      <c r="E417" s="431" t="s">
        <v>3056</v>
      </c>
      <c r="F417" s="431">
        <v>2215</v>
      </c>
      <c r="G417" s="431" t="s">
        <v>812</v>
      </c>
      <c r="H417" s="431" t="s">
        <v>2257</v>
      </c>
      <c r="I417" s="431" t="s">
        <v>2258</v>
      </c>
      <c r="J417" s="432">
        <v>46234</v>
      </c>
    </row>
    <row r="418" spans="1:10">
      <c r="A418" s="431">
        <v>434</v>
      </c>
      <c r="B418" s="431" t="s">
        <v>2253</v>
      </c>
      <c r="C418" s="431" t="s">
        <v>2254</v>
      </c>
      <c r="D418" s="431" t="s">
        <v>3057</v>
      </c>
      <c r="E418" s="431" t="s">
        <v>3058</v>
      </c>
      <c r="F418" s="431">
        <v>2462</v>
      </c>
      <c r="G418" s="431" t="s">
        <v>812</v>
      </c>
      <c r="H418" s="431" t="s">
        <v>2257</v>
      </c>
      <c r="I418" s="431" t="s">
        <v>2258</v>
      </c>
      <c r="J418" s="432">
        <v>46234</v>
      </c>
    </row>
    <row r="419" spans="1:10">
      <c r="A419" s="431">
        <v>435</v>
      </c>
      <c r="B419" s="431" t="s">
        <v>2253</v>
      </c>
      <c r="C419" s="431" t="s">
        <v>2254</v>
      </c>
      <c r="D419" s="431" t="s">
        <v>3059</v>
      </c>
      <c r="E419" s="431" t="s">
        <v>3060</v>
      </c>
      <c r="F419" s="431">
        <v>2226</v>
      </c>
      <c r="G419" s="431" t="s">
        <v>812</v>
      </c>
      <c r="H419" s="431" t="s">
        <v>2257</v>
      </c>
      <c r="I419" s="431" t="s">
        <v>2258</v>
      </c>
      <c r="J419" s="432">
        <v>46234</v>
      </c>
    </row>
    <row r="420" spans="1:10">
      <c r="A420" s="431">
        <v>436</v>
      </c>
      <c r="B420" s="431" t="s">
        <v>2253</v>
      </c>
      <c r="C420" s="433" t="s">
        <v>2254</v>
      </c>
      <c r="D420" s="431" t="s">
        <v>3061</v>
      </c>
      <c r="E420" s="431" t="s">
        <v>3062</v>
      </c>
      <c r="F420" s="431">
        <v>2107</v>
      </c>
      <c r="G420" s="431" t="s">
        <v>812</v>
      </c>
      <c r="H420" s="431" t="s">
        <v>2257</v>
      </c>
      <c r="I420" s="431" t="s">
        <v>2258</v>
      </c>
      <c r="J420" s="432">
        <v>46234</v>
      </c>
    </row>
    <row r="421" spans="1:10">
      <c r="A421" s="431">
        <v>437</v>
      </c>
      <c r="B421" s="431" t="s">
        <v>2253</v>
      </c>
      <c r="C421" s="431" t="s">
        <v>2254</v>
      </c>
      <c r="D421" s="431" t="s">
        <v>3063</v>
      </c>
      <c r="E421" s="431" t="s">
        <v>3064</v>
      </c>
      <c r="F421" s="431">
        <v>92</v>
      </c>
      <c r="G421" s="431" t="s">
        <v>691</v>
      </c>
      <c r="H421" s="431" t="s">
        <v>2257</v>
      </c>
      <c r="I421" s="431" t="s">
        <v>2258</v>
      </c>
      <c r="J421" s="432">
        <v>46234</v>
      </c>
    </row>
    <row r="422" spans="1:10">
      <c r="A422" s="431">
        <v>438</v>
      </c>
      <c r="B422" s="431" t="s">
        <v>2253</v>
      </c>
      <c r="C422" s="431" t="s">
        <v>2254</v>
      </c>
      <c r="D422" s="431" t="s">
        <v>3065</v>
      </c>
      <c r="E422" s="431" t="s">
        <v>3066</v>
      </c>
      <c r="F422" s="431">
        <v>2156</v>
      </c>
      <c r="G422" s="431" t="s">
        <v>812</v>
      </c>
      <c r="H422" s="431" t="s">
        <v>2257</v>
      </c>
      <c r="I422" s="431" t="s">
        <v>2258</v>
      </c>
      <c r="J422" s="432">
        <v>46234</v>
      </c>
    </row>
    <row r="423" spans="1:10">
      <c r="A423" s="431">
        <v>439</v>
      </c>
      <c r="B423" s="431" t="s">
        <v>2253</v>
      </c>
      <c r="C423" s="431" t="s">
        <v>2254</v>
      </c>
      <c r="D423" s="431" t="s">
        <v>3067</v>
      </c>
      <c r="E423" s="431" t="s">
        <v>3068</v>
      </c>
      <c r="F423" s="431">
        <v>2417</v>
      </c>
      <c r="G423" s="431" t="s">
        <v>812</v>
      </c>
      <c r="H423" s="431" t="s">
        <v>2257</v>
      </c>
      <c r="I423" s="431" t="s">
        <v>2258</v>
      </c>
      <c r="J423" s="432">
        <v>46234</v>
      </c>
    </row>
    <row r="424" spans="1:10">
      <c r="A424" s="431">
        <v>440</v>
      </c>
      <c r="B424" s="431" t="s">
        <v>2253</v>
      </c>
      <c r="C424" s="431" t="s">
        <v>2254</v>
      </c>
      <c r="D424" s="431" t="s">
        <v>3069</v>
      </c>
      <c r="E424" s="431" t="s">
        <v>3070</v>
      </c>
      <c r="F424" s="431">
        <v>2651</v>
      </c>
      <c r="G424" s="431" t="s">
        <v>812</v>
      </c>
      <c r="H424" s="431" t="s">
        <v>2257</v>
      </c>
      <c r="I424" s="431" t="s">
        <v>2258</v>
      </c>
      <c r="J424" s="432">
        <v>46234</v>
      </c>
    </row>
    <row r="425" spans="1:10">
      <c r="A425" s="431">
        <v>441</v>
      </c>
      <c r="B425" s="431" t="s">
        <v>2253</v>
      </c>
      <c r="C425" s="431" t="s">
        <v>2254</v>
      </c>
      <c r="D425" s="431" t="s">
        <v>3071</v>
      </c>
      <c r="E425" s="431" t="s">
        <v>3072</v>
      </c>
      <c r="F425" s="431">
        <v>2429</v>
      </c>
      <c r="G425" s="431" t="s">
        <v>812</v>
      </c>
      <c r="H425" s="431" t="s">
        <v>2257</v>
      </c>
      <c r="I425" s="431" t="s">
        <v>2258</v>
      </c>
      <c r="J425" s="432">
        <v>46234</v>
      </c>
    </row>
    <row r="426" spans="1:10">
      <c r="A426" s="431">
        <v>442</v>
      </c>
      <c r="B426" s="431" t="s">
        <v>2253</v>
      </c>
      <c r="C426" s="431" t="s">
        <v>2254</v>
      </c>
      <c r="D426" s="431" t="s">
        <v>3074</v>
      </c>
      <c r="E426" s="431" t="s">
        <v>3075</v>
      </c>
      <c r="F426" s="431">
        <v>2544</v>
      </c>
      <c r="G426" s="431" t="s">
        <v>812</v>
      </c>
      <c r="H426" s="431" t="s">
        <v>2257</v>
      </c>
      <c r="I426" s="431" t="s">
        <v>2258</v>
      </c>
      <c r="J426" s="432">
        <v>46234</v>
      </c>
    </row>
    <row r="427" spans="1:10">
      <c r="A427" s="431">
        <v>443</v>
      </c>
      <c r="B427" s="431" t="s">
        <v>2253</v>
      </c>
      <c r="C427" s="431" t="s">
        <v>2254</v>
      </c>
      <c r="D427" s="431" t="s">
        <v>3076</v>
      </c>
      <c r="E427" s="431" t="s">
        <v>3077</v>
      </c>
      <c r="F427" s="431">
        <v>2255</v>
      </c>
      <c r="G427" s="431" t="s">
        <v>812</v>
      </c>
      <c r="H427" s="431" t="s">
        <v>2257</v>
      </c>
      <c r="I427" s="431" t="s">
        <v>2258</v>
      </c>
      <c r="J427" s="432">
        <v>46234</v>
      </c>
    </row>
    <row r="428" spans="1:10">
      <c r="A428" s="431">
        <v>444</v>
      </c>
      <c r="B428" s="431" t="s">
        <v>2253</v>
      </c>
      <c r="C428" s="431" t="s">
        <v>2254</v>
      </c>
      <c r="D428" s="431" t="s">
        <v>3079</v>
      </c>
      <c r="E428" s="431" t="s">
        <v>3080</v>
      </c>
      <c r="F428" s="431">
        <v>2523</v>
      </c>
      <c r="G428" s="431" t="s">
        <v>812</v>
      </c>
      <c r="H428" s="431" t="s">
        <v>2257</v>
      </c>
      <c r="I428" s="431" t="s">
        <v>2258</v>
      </c>
      <c r="J428" s="432">
        <v>46234</v>
      </c>
    </row>
    <row r="429" spans="1:10">
      <c r="A429" s="431">
        <v>445</v>
      </c>
      <c r="B429" s="431" t="s">
        <v>2253</v>
      </c>
      <c r="C429" s="431" t="s">
        <v>2254</v>
      </c>
      <c r="D429" s="431" t="s">
        <v>3081</v>
      </c>
      <c r="E429" s="431" t="s">
        <v>3082</v>
      </c>
      <c r="F429" s="431">
        <v>2267</v>
      </c>
      <c r="G429" s="431" t="s">
        <v>812</v>
      </c>
      <c r="H429" s="431" t="s">
        <v>2257</v>
      </c>
      <c r="I429" s="431" t="s">
        <v>2258</v>
      </c>
      <c r="J429" s="432">
        <v>46234</v>
      </c>
    </row>
    <row r="430" spans="1:10">
      <c r="A430" s="431">
        <v>446</v>
      </c>
      <c r="B430" s="431" t="s">
        <v>2253</v>
      </c>
      <c r="C430" s="431" t="s">
        <v>2254</v>
      </c>
      <c r="D430" s="431" t="s">
        <v>3083</v>
      </c>
      <c r="E430" s="431" t="s">
        <v>3084</v>
      </c>
      <c r="F430" s="431">
        <v>2139</v>
      </c>
      <c r="G430" s="431" t="s">
        <v>812</v>
      </c>
      <c r="H430" s="431" t="s">
        <v>2257</v>
      </c>
      <c r="I430" s="431" t="s">
        <v>2258</v>
      </c>
      <c r="J430" s="432">
        <v>46234</v>
      </c>
    </row>
    <row r="431" spans="1:10">
      <c r="A431" s="431">
        <v>447</v>
      </c>
      <c r="B431" s="431" t="s">
        <v>2560</v>
      </c>
      <c r="C431" s="431" t="s">
        <v>2254</v>
      </c>
      <c r="D431" s="431" t="s">
        <v>3085</v>
      </c>
      <c r="E431" s="431" t="s">
        <v>3086</v>
      </c>
      <c r="F431" s="431">
        <v>85</v>
      </c>
      <c r="G431" s="431" t="s">
        <v>26</v>
      </c>
      <c r="H431" s="431" t="s">
        <v>2257</v>
      </c>
      <c r="I431" s="431" t="s">
        <v>2258</v>
      </c>
      <c r="J431" s="432">
        <v>46234</v>
      </c>
    </row>
    <row r="432" spans="1:10">
      <c r="A432" s="431">
        <v>448</v>
      </c>
      <c r="B432" s="431" t="s">
        <v>2253</v>
      </c>
      <c r="C432" s="431" t="s">
        <v>2254</v>
      </c>
      <c r="D432" s="431" t="s">
        <v>3087</v>
      </c>
      <c r="E432" s="431" t="s">
        <v>3088</v>
      </c>
      <c r="F432" s="431">
        <v>2228</v>
      </c>
      <c r="G432" s="431" t="s">
        <v>812</v>
      </c>
      <c r="H432" s="431" t="s">
        <v>2257</v>
      </c>
      <c r="I432" s="431" t="s">
        <v>2258</v>
      </c>
      <c r="J432" s="432">
        <v>46234</v>
      </c>
    </row>
    <row r="433" spans="1:10">
      <c r="A433" s="431">
        <v>449</v>
      </c>
      <c r="B433" s="431" t="s">
        <v>2253</v>
      </c>
      <c r="C433" s="431" t="s">
        <v>2254</v>
      </c>
      <c r="D433" s="431" t="s">
        <v>3089</v>
      </c>
      <c r="E433" s="431" t="s">
        <v>3090</v>
      </c>
      <c r="F433" s="431">
        <v>2463</v>
      </c>
      <c r="G433" s="431" t="s">
        <v>812</v>
      </c>
      <c r="H433" s="431" t="s">
        <v>2257</v>
      </c>
      <c r="I433" s="431" t="s">
        <v>2258</v>
      </c>
      <c r="J433" s="432">
        <v>46234</v>
      </c>
    </row>
    <row r="434" spans="1:10">
      <c r="A434" s="431">
        <v>450</v>
      </c>
      <c r="B434" s="431" t="s">
        <v>2253</v>
      </c>
      <c r="C434" s="431" t="s">
        <v>2254</v>
      </c>
      <c r="D434" s="431" t="s">
        <v>3091</v>
      </c>
      <c r="E434" s="431" t="s">
        <v>3092</v>
      </c>
      <c r="F434" s="431">
        <v>2749</v>
      </c>
      <c r="G434" s="431" t="s">
        <v>812</v>
      </c>
      <c r="H434" s="431" t="s">
        <v>2257</v>
      </c>
      <c r="I434" s="431" t="s">
        <v>2258</v>
      </c>
      <c r="J434" s="432">
        <v>46234</v>
      </c>
    </row>
    <row r="435" spans="1:10">
      <c r="A435" s="431">
        <v>451</v>
      </c>
      <c r="B435" s="431" t="s">
        <v>2253</v>
      </c>
      <c r="C435" s="431" t="s">
        <v>2254</v>
      </c>
      <c r="D435" s="431" t="s">
        <v>3093</v>
      </c>
      <c r="E435" s="431" t="s">
        <v>3094</v>
      </c>
      <c r="F435" s="431">
        <v>2478</v>
      </c>
      <c r="G435" s="431" t="s">
        <v>812</v>
      </c>
      <c r="H435" s="431" t="s">
        <v>2257</v>
      </c>
      <c r="I435" s="431" t="s">
        <v>2258</v>
      </c>
      <c r="J435" s="432">
        <v>46234</v>
      </c>
    </row>
    <row r="436" spans="1:10">
      <c r="A436" s="431">
        <v>452</v>
      </c>
      <c r="B436" s="431" t="s">
        <v>2253</v>
      </c>
      <c r="C436" s="431" t="s">
        <v>2254</v>
      </c>
      <c r="D436" s="431" t="s">
        <v>3095</v>
      </c>
      <c r="E436" s="431" t="s">
        <v>3096</v>
      </c>
      <c r="F436" s="431">
        <v>2619</v>
      </c>
      <c r="G436" s="431" t="s">
        <v>812</v>
      </c>
      <c r="H436" s="431" t="s">
        <v>2257</v>
      </c>
      <c r="I436" s="431" t="s">
        <v>2258</v>
      </c>
      <c r="J436" s="432">
        <v>46234</v>
      </c>
    </row>
    <row r="437" spans="1:10">
      <c r="A437" s="431">
        <v>453</v>
      </c>
      <c r="B437" s="431" t="s">
        <v>2253</v>
      </c>
      <c r="C437" s="431" t="s">
        <v>2254</v>
      </c>
      <c r="D437" s="431" t="s">
        <v>3097</v>
      </c>
      <c r="E437" s="431" t="s">
        <v>3098</v>
      </c>
      <c r="F437" s="431">
        <v>2266</v>
      </c>
      <c r="G437" s="431" t="s">
        <v>812</v>
      </c>
      <c r="H437" s="431" t="s">
        <v>2257</v>
      </c>
      <c r="I437" s="431" t="s">
        <v>2258</v>
      </c>
      <c r="J437" s="432">
        <v>46234</v>
      </c>
    </row>
    <row r="438" spans="1:10">
      <c r="A438" s="431">
        <v>454</v>
      </c>
      <c r="B438" s="431" t="s">
        <v>2253</v>
      </c>
      <c r="C438" s="431" t="s">
        <v>2254</v>
      </c>
      <c r="D438" s="431" t="s">
        <v>3099</v>
      </c>
      <c r="E438" s="431" t="s">
        <v>3100</v>
      </c>
      <c r="F438" s="431">
        <v>2593</v>
      </c>
      <c r="G438" s="431" t="s">
        <v>812</v>
      </c>
      <c r="H438" s="431" t="s">
        <v>2257</v>
      </c>
      <c r="I438" s="431" t="s">
        <v>2258</v>
      </c>
      <c r="J438" s="432">
        <v>46234</v>
      </c>
    </row>
    <row r="439" spans="1:10">
      <c r="A439" s="431">
        <v>455</v>
      </c>
      <c r="B439" s="431" t="s">
        <v>2253</v>
      </c>
      <c r="C439" s="431" t="s">
        <v>2254</v>
      </c>
      <c r="D439" s="431" t="s">
        <v>3101</v>
      </c>
      <c r="E439" s="431" t="s">
        <v>3102</v>
      </c>
      <c r="F439" s="431">
        <v>2280</v>
      </c>
      <c r="G439" s="431" t="s">
        <v>812</v>
      </c>
      <c r="H439" s="431" t="s">
        <v>2257</v>
      </c>
      <c r="I439" s="431" t="s">
        <v>2258</v>
      </c>
      <c r="J439" s="432">
        <v>46234</v>
      </c>
    </row>
    <row r="440" spans="1:10">
      <c r="A440" s="431">
        <v>456</v>
      </c>
      <c r="B440" s="431" t="s">
        <v>2253</v>
      </c>
      <c r="C440" s="431" t="s">
        <v>2254</v>
      </c>
      <c r="D440" s="431" t="s">
        <v>3103</v>
      </c>
      <c r="E440" s="431" t="s">
        <v>3104</v>
      </c>
      <c r="F440" s="431">
        <v>2123</v>
      </c>
      <c r="G440" s="431" t="s">
        <v>812</v>
      </c>
      <c r="H440" s="431" t="s">
        <v>2257</v>
      </c>
      <c r="I440" s="431" t="s">
        <v>2258</v>
      </c>
      <c r="J440" s="432">
        <v>46234</v>
      </c>
    </row>
    <row r="441" spans="1:10">
      <c r="A441" s="431">
        <v>457</v>
      </c>
      <c r="B441" s="431" t="s">
        <v>2253</v>
      </c>
      <c r="C441" s="431" t="s">
        <v>2254</v>
      </c>
      <c r="D441" s="431" t="s">
        <v>3105</v>
      </c>
      <c r="E441" s="431" t="s">
        <v>3106</v>
      </c>
      <c r="F441" s="431">
        <v>825</v>
      </c>
      <c r="G441" s="431" t="s">
        <v>46</v>
      </c>
      <c r="H441" s="431" t="s">
        <v>2257</v>
      </c>
      <c r="I441" s="431" t="s">
        <v>2258</v>
      </c>
      <c r="J441" s="432">
        <v>46234</v>
      </c>
    </row>
    <row r="442" spans="1:10">
      <c r="A442" s="431">
        <v>458</v>
      </c>
      <c r="B442" s="431" t="s">
        <v>2253</v>
      </c>
      <c r="C442" s="431" t="s">
        <v>2254</v>
      </c>
      <c r="D442" s="431" t="s">
        <v>3107</v>
      </c>
      <c r="E442" s="431" t="s">
        <v>3108</v>
      </c>
      <c r="F442" s="431">
        <v>7500</v>
      </c>
      <c r="G442" s="431" t="s">
        <v>21</v>
      </c>
      <c r="H442" s="431" t="s">
        <v>2257</v>
      </c>
      <c r="I442" s="431" t="s">
        <v>2258</v>
      </c>
      <c r="J442" s="432">
        <v>46234</v>
      </c>
    </row>
    <row r="443" spans="1:10">
      <c r="A443" s="431">
        <v>459</v>
      </c>
      <c r="B443" s="431" t="s">
        <v>2253</v>
      </c>
      <c r="C443" s="431" t="s">
        <v>2254</v>
      </c>
      <c r="D443" s="431" t="s">
        <v>3109</v>
      </c>
      <c r="E443" s="431" t="s">
        <v>3110</v>
      </c>
      <c r="F443" s="431">
        <v>35000</v>
      </c>
      <c r="G443" s="431" t="s">
        <v>26</v>
      </c>
      <c r="H443" s="431" t="s">
        <v>2257</v>
      </c>
      <c r="I443" s="431" t="s">
        <v>2258</v>
      </c>
      <c r="J443" s="432">
        <v>46234</v>
      </c>
    </row>
    <row r="444" spans="1:10">
      <c r="A444" s="431">
        <v>460</v>
      </c>
      <c r="B444" s="431" t="s">
        <v>2253</v>
      </c>
      <c r="C444" s="431" t="s">
        <v>2254</v>
      </c>
      <c r="D444" s="431" t="s">
        <v>3111</v>
      </c>
      <c r="E444" s="431" t="s">
        <v>3112</v>
      </c>
      <c r="F444" s="431">
        <v>65000</v>
      </c>
      <c r="G444" s="431" t="s">
        <v>26</v>
      </c>
      <c r="H444" s="431" t="s">
        <v>2257</v>
      </c>
      <c r="I444" s="431" t="s">
        <v>2258</v>
      </c>
      <c r="J444" s="432">
        <v>46234</v>
      </c>
    </row>
    <row r="445" spans="1:10">
      <c r="A445" s="431">
        <v>461</v>
      </c>
      <c r="B445" s="431" t="s">
        <v>2560</v>
      </c>
      <c r="C445" s="431" t="s">
        <v>2254</v>
      </c>
      <c r="D445" s="431" t="s">
        <v>3113</v>
      </c>
      <c r="E445" s="431" t="s">
        <v>3114</v>
      </c>
      <c r="F445" s="431">
        <v>151</v>
      </c>
      <c r="G445" s="431" t="s">
        <v>26</v>
      </c>
      <c r="H445" s="431" t="s">
        <v>2257</v>
      </c>
      <c r="I445" s="431" t="s">
        <v>2258</v>
      </c>
      <c r="J445" s="432">
        <v>46234</v>
      </c>
    </row>
    <row r="446" spans="1:10">
      <c r="A446" s="431">
        <v>462</v>
      </c>
      <c r="B446" s="431" t="s">
        <v>2560</v>
      </c>
      <c r="C446" s="431" t="s">
        <v>2254</v>
      </c>
      <c r="D446" s="431" t="s">
        <v>3115</v>
      </c>
      <c r="E446" s="431" t="s">
        <v>3116</v>
      </c>
      <c r="F446" s="431">
        <v>163</v>
      </c>
      <c r="G446" s="431" t="s">
        <v>26</v>
      </c>
      <c r="H446" s="431" t="s">
        <v>2257</v>
      </c>
      <c r="I446" s="431" t="s">
        <v>2258</v>
      </c>
      <c r="J446" s="432">
        <v>46234</v>
      </c>
    </row>
    <row r="447" spans="1:10">
      <c r="A447" s="431">
        <v>463</v>
      </c>
      <c r="B447" s="431" t="s">
        <v>2560</v>
      </c>
      <c r="C447" s="431" t="s">
        <v>2254</v>
      </c>
      <c r="D447" s="431" t="s">
        <v>3117</v>
      </c>
      <c r="E447" s="431" t="s">
        <v>3118</v>
      </c>
      <c r="F447" s="431">
        <v>229</v>
      </c>
      <c r="G447" s="431" t="s">
        <v>26</v>
      </c>
      <c r="H447" s="431" t="s">
        <v>2257</v>
      </c>
      <c r="I447" s="431" t="s">
        <v>2258</v>
      </c>
      <c r="J447" s="432">
        <v>46234</v>
      </c>
    </row>
    <row r="448" spans="1:10">
      <c r="A448" s="431">
        <v>464</v>
      </c>
      <c r="B448" s="431" t="s">
        <v>2253</v>
      </c>
      <c r="C448" s="433" t="s">
        <v>2254</v>
      </c>
      <c r="D448" s="431" t="s">
        <v>3119</v>
      </c>
      <c r="E448" s="431" t="s">
        <v>3120</v>
      </c>
      <c r="F448" s="431">
        <v>2032</v>
      </c>
      <c r="G448" s="431" t="s">
        <v>812</v>
      </c>
      <c r="H448" s="431" t="s">
        <v>2257</v>
      </c>
      <c r="I448" s="431" t="s">
        <v>2258</v>
      </c>
      <c r="J448" s="432">
        <v>46234</v>
      </c>
    </row>
    <row r="449" spans="1:10">
      <c r="A449" s="431">
        <v>465</v>
      </c>
      <c r="B449" s="431" t="s">
        <v>2253</v>
      </c>
      <c r="C449" s="431" t="s">
        <v>2254</v>
      </c>
      <c r="D449" s="431" t="s">
        <v>3121</v>
      </c>
      <c r="E449" s="431" t="s">
        <v>3122</v>
      </c>
      <c r="F449" s="431">
        <v>2331</v>
      </c>
      <c r="G449" s="431" t="s">
        <v>812</v>
      </c>
      <c r="H449" s="431" t="s">
        <v>2257</v>
      </c>
      <c r="I449" s="431" t="s">
        <v>2258</v>
      </c>
      <c r="J449" s="432">
        <v>46234</v>
      </c>
    </row>
    <row r="450" spans="1:10">
      <c r="A450" s="431">
        <v>466</v>
      </c>
      <c r="B450" s="431" t="s">
        <v>2253</v>
      </c>
      <c r="C450" s="431" t="s">
        <v>2254</v>
      </c>
      <c r="D450" s="431" t="s">
        <v>3123</v>
      </c>
      <c r="E450" s="431" t="s">
        <v>3124</v>
      </c>
      <c r="F450" s="431">
        <v>2543</v>
      </c>
      <c r="G450" s="431" t="s">
        <v>812</v>
      </c>
      <c r="H450" s="431" t="s">
        <v>2257</v>
      </c>
      <c r="I450" s="431" t="s">
        <v>2258</v>
      </c>
      <c r="J450" s="432">
        <v>46234</v>
      </c>
    </row>
    <row r="451" spans="1:10">
      <c r="A451" s="431">
        <v>467</v>
      </c>
      <c r="B451" s="431" t="s">
        <v>2253</v>
      </c>
      <c r="C451" s="431" t="s">
        <v>2254</v>
      </c>
      <c r="D451" s="431" t="s">
        <v>3125</v>
      </c>
      <c r="E451" s="431" t="s">
        <v>3126</v>
      </c>
      <c r="F451" s="431">
        <v>2342</v>
      </c>
      <c r="G451" s="431" t="s">
        <v>812</v>
      </c>
      <c r="H451" s="431" t="s">
        <v>2257</v>
      </c>
      <c r="I451" s="431" t="s">
        <v>2258</v>
      </c>
      <c r="J451" s="432">
        <v>46234</v>
      </c>
    </row>
    <row r="452" spans="1:10">
      <c r="A452" s="431">
        <v>468</v>
      </c>
      <c r="B452" s="431" t="s">
        <v>2253</v>
      </c>
      <c r="C452" s="431" t="s">
        <v>2254</v>
      </c>
      <c r="D452" s="431" t="s">
        <v>3127</v>
      </c>
      <c r="E452" s="431" t="s">
        <v>3128</v>
      </c>
      <c r="F452" s="431">
        <v>2446</v>
      </c>
      <c r="G452" s="431" t="s">
        <v>812</v>
      </c>
      <c r="H452" s="431" t="s">
        <v>2257</v>
      </c>
      <c r="I452" s="431" t="s">
        <v>2258</v>
      </c>
      <c r="J452" s="432">
        <v>46234</v>
      </c>
    </row>
    <row r="453" spans="1:10">
      <c r="A453" s="431">
        <v>469</v>
      </c>
      <c r="B453" s="431" t="s">
        <v>2253</v>
      </c>
      <c r="C453" s="431" t="s">
        <v>2254</v>
      </c>
      <c r="D453" s="431" t="s">
        <v>3129</v>
      </c>
      <c r="E453" s="431" t="s">
        <v>3130</v>
      </c>
      <c r="F453" s="431">
        <v>2184</v>
      </c>
      <c r="G453" s="431" t="s">
        <v>812</v>
      </c>
      <c r="H453" s="431" t="s">
        <v>2257</v>
      </c>
      <c r="I453" s="431" t="s">
        <v>2258</v>
      </c>
      <c r="J453" s="432">
        <v>46234</v>
      </c>
    </row>
    <row r="454" spans="1:10">
      <c r="A454" s="431">
        <v>470</v>
      </c>
      <c r="B454" s="431" t="s">
        <v>2253</v>
      </c>
      <c r="C454" s="431" t="s">
        <v>2254</v>
      </c>
      <c r="D454" s="431" t="s">
        <v>3131</v>
      </c>
      <c r="E454" s="431" t="s">
        <v>3132</v>
      </c>
      <c r="F454" s="431">
        <v>2427</v>
      </c>
      <c r="G454" s="431" t="s">
        <v>812</v>
      </c>
      <c r="H454" s="431" t="s">
        <v>2257</v>
      </c>
      <c r="I454" s="431" t="s">
        <v>2258</v>
      </c>
      <c r="J454" s="432">
        <v>46234</v>
      </c>
    </row>
    <row r="455" spans="1:10">
      <c r="A455" s="431">
        <v>471</v>
      </c>
      <c r="B455" s="431" t="s">
        <v>2253</v>
      </c>
      <c r="C455" s="431" t="s">
        <v>2254</v>
      </c>
      <c r="D455" s="431" t="s">
        <v>3133</v>
      </c>
      <c r="E455" s="431" t="s">
        <v>3134</v>
      </c>
      <c r="F455" s="431">
        <v>2195</v>
      </c>
      <c r="G455" s="431" t="s">
        <v>812</v>
      </c>
      <c r="H455" s="431" t="s">
        <v>2257</v>
      </c>
      <c r="I455" s="431" t="s">
        <v>2258</v>
      </c>
      <c r="J455" s="432">
        <v>46234</v>
      </c>
    </row>
    <row r="456" spans="1:10">
      <c r="A456" s="431">
        <v>472</v>
      </c>
      <c r="B456" s="431" t="s">
        <v>2253</v>
      </c>
      <c r="C456" s="431" t="s">
        <v>2254</v>
      </c>
      <c r="D456" s="431" t="s">
        <v>3136</v>
      </c>
      <c r="E456" s="431" t="s">
        <v>3137</v>
      </c>
      <c r="F456" s="431">
        <v>2079</v>
      </c>
      <c r="G456" s="431" t="s">
        <v>812</v>
      </c>
      <c r="H456" s="431" t="s">
        <v>2257</v>
      </c>
      <c r="I456" s="431" t="s">
        <v>2258</v>
      </c>
      <c r="J456" s="432">
        <v>46234</v>
      </c>
    </row>
    <row r="457" spans="1:10">
      <c r="A457" s="431">
        <v>473</v>
      </c>
      <c r="B457" s="431" t="s">
        <v>2253</v>
      </c>
      <c r="C457" s="431" t="s">
        <v>2254</v>
      </c>
      <c r="D457" s="431" t="s">
        <v>3139</v>
      </c>
      <c r="E457" s="431" t="s">
        <v>3140</v>
      </c>
      <c r="F457" s="431">
        <v>631</v>
      </c>
      <c r="G457" s="431" t="s">
        <v>1107</v>
      </c>
      <c r="H457" s="431" t="s">
        <v>2257</v>
      </c>
      <c r="I457" s="431" t="s">
        <v>2258</v>
      </c>
      <c r="J457" s="432">
        <v>46234</v>
      </c>
    </row>
    <row r="458" spans="1:10">
      <c r="A458" s="431">
        <v>474</v>
      </c>
      <c r="B458" s="431" t="s">
        <v>2253</v>
      </c>
      <c r="C458" s="431" t="s">
        <v>2254</v>
      </c>
      <c r="D458" s="431" t="s">
        <v>3141</v>
      </c>
      <c r="E458" s="431" t="s">
        <v>3142</v>
      </c>
      <c r="F458" s="431">
        <v>678</v>
      </c>
      <c r="G458" s="431" t="s">
        <v>1107</v>
      </c>
      <c r="H458" s="431" t="s">
        <v>2257</v>
      </c>
      <c r="I458" s="431" t="s">
        <v>2258</v>
      </c>
      <c r="J458" s="432">
        <v>46234</v>
      </c>
    </row>
    <row r="459" spans="1:10">
      <c r="A459" s="431">
        <v>475</v>
      </c>
      <c r="B459" s="431" t="s">
        <v>2253</v>
      </c>
      <c r="C459" s="431" t="s">
        <v>2254</v>
      </c>
      <c r="D459" s="431" t="s">
        <v>3143</v>
      </c>
      <c r="E459" s="431" t="s">
        <v>3144</v>
      </c>
      <c r="F459" s="431">
        <v>735</v>
      </c>
      <c r="G459" s="431" t="s">
        <v>1107</v>
      </c>
      <c r="H459" s="431" t="s">
        <v>2257</v>
      </c>
      <c r="I459" s="431" t="s">
        <v>2258</v>
      </c>
      <c r="J459" s="432">
        <v>46234</v>
      </c>
    </row>
    <row r="460" spans="1:10">
      <c r="A460" s="431">
        <v>476</v>
      </c>
      <c r="B460" s="431" t="s">
        <v>2253</v>
      </c>
      <c r="C460" s="431" t="s">
        <v>2254</v>
      </c>
      <c r="D460" s="431" t="s">
        <v>3146</v>
      </c>
      <c r="E460" s="431" t="s">
        <v>3147</v>
      </c>
      <c r="F460" s="431">
        <v>681</v>
      </c>
      <c r="G460" s="431" t="s">
        <v>1107</v>
      </c>
      <c r="H460" s="431" t="s">
        <v>2257</v>
      </c>
      <c r="I460" s="431" t="s">
        <v>2258</v>
      </c>
      <c r="J460" s="432">
        <v>46234</v>
      </c>
    </row>
    <row r="461" spans="1:10">
      <c r="A461" s="431">
        <v>477</v>
      </c>
      <c r="B461" s="431" t="s">
        <v>2253</v>
      </c>
      <c r="C461" s="431" t="s">
        <v>2254</v>
      </c>
      <c r="D461" s="431" t="s">
        <v>3148</v>
      </c>
      <c r="E461" s="431" t="s">
        <v>3149</v>
      </c>
      <c r="F461" s="431">
        <v>709</v>
      </c>
      <c r="G461" s="431" t="s">
        <v>1107</v>
      </c>
      <c r="H461" s="431" t="s">
        <v>2257</v>
      </c>
      <c r="I461" s="431" t="s">
        <v>2258</v>
      </c>
      <c r="J461" s="432">
        <v>46234</v>
      </c>
    </row>
    <row r="462" spans="1:10">
      <c r="A462" s="431">
        <v>478</v>
      </c>
      <c r="B462" s="431" t="s">
        <v>2253</v>
      </c>
      <c r="C462" s="433" t="s">
        <v>2254</v>
      </c>
      <c r="D462" s="431" t="s">
        <v>3151</v>
      </c>
      <c r="E462" s="431" t="s">
        <v>3152</v>
      </c>
      <c r="F462" s="431">
        <v>691</v>
      </c>
      <c r="G462" s="431" t="s">
        <v>1107</v>
      </c>
      <c r="H462" s="431" t="s">
        <v>2257</v>
      </c>
      <c r="I462" s="431" t="s">
        <v>2258</v>
      </c>
      <c r="J462" s="432">
        <v>46234</v>
      </c>
    </row>
    <row r="463" spans="1:10">
      <c r="A463" s="431">
        <v>479</v>
      </c>
      <c r="B463" s="431" t="s">
        <v>2253</v>
      </c>
      <c r="C463" s="433" t="s">
        <v>2254</v>
      </c>
      <c r="D463" s="431" t="s">
        <v>3153</v>
      </c>
      <c r="E463" s="431" t="s">
        <v>3154</v>
      </c>
      <c r="F463" s="431">
        <v>704</v>
      </c>
      <c r="G463" s="431" t="s">
        <v>1107</v>
      </c>
      <c r="H463" s="431" t="s">
        <v>2257</v>
      </c>
      <c r="I463" s="431" t="s">
        <v>2258</v>
      </c>
      <c r="J463" s="432">
        <v>46234</v>
      </c>
    </row>
    <row r="464" spans="1:10">
      <c r="A464" s="431">
        <v>480</v>
      </c>
      <c r="B464" s="431" t="s">
        <v>2253</v>
      </c>
      <c r="C464" s="433" t="s">
        <v>2254</v>
      </c>
      <c r="D464" s="431" t="s">
        <v>3155</v>
      </c>
      <c r="E464" s="431" t="s">
        <v>3156</v>
      </c>
      <c r="F464" s="431">
        <v>641</v>
      </c>
      <c r="G464" s="431" t="s">
        <v>1107</v>
      </c>
      <c r="H464" s="431" t="s">
        <v>2257</v>
      </c>
      <c r="I464" s="431" t="s">
        <v>2258</v>
      </c>
      <c r="J464" s="432">
        <v>46234</v>
      </c>
    </row>
    <row r="465" spans="1:10">
      <c r="A465" s="431">
        <v>481</v>
      </c>
      <c r="B465" s="431" t="s">
        <v>2253</v>
      </c>
      <c r="C465" s="431" t="s">
        <v>2254</v>
      </c>
      <c r="D465" s="431" t="s">
        <v>3157</v>
      </c>
      <c r="E465" s="431" t="s">
        <v>3158</v>
      </c>
      <c r="F465" s="431">
        <v>543</v>
      </c>
      <c r="G465" s="431" t="s">
        <v>1107</v>
      </c>
      <c r="H465" s="431" t="s">
        <v>2257</v>
      </c>
      <c r="I465" s="431" t="s">
        <v>2258</v>
      </c>
      <c r="J465" s="432">
        <v>46234</v>
      </c>
    </row>
    <row r="466" spans="1:10">
      <c r="A466" s="431">
        <v>482</v>
      </c>
      <c r="B466" s="431" t="s">
        <v>2253</v>
      </c>
      <c r="C466" s="431" t="s">
        <v>2254</v>
      </c>
      <c r="D466" s="431" t="s">
        <v>3159</v>
      </c>
      <c r="E466" s="431" t="s">
        <v>3160</v>
      </c>
      <c r="F466" s="431">
        <v>5549</v>
      </c>
      <c r="G466" s="431" t="s">
        <v>328</v>
      </c>
      <c r="H466" s="431" t="s">
        <v>2257</v>
      </c>
      <c r="I466" s="431" t="s">
        <v>2258</v>
      </c>
      <c r="J466" s="432">
        <v>46234</v>
      </c>
    </row>
    <row r="467" spans="1:10">
      <c r="A467" s="431">
        <v>483</v>
      </c>
      <c r="B467" s="431" t="s">
        <v>2253</v>
      </c>
      <c r="C467" s="431" t="s">
        <v>2254</v>
      </c>
      <c r="D467" s="431" t="s">
        <v>3161</v>
      </c>
      <c r="E467" s="431" t="s">
        <v>3162</v>
      </c>
      <c r="F467" s="431">
        <v>289</v>
      </c>
      <c r="G467" s="431" t="s">
        <v>46</v>
      </c>
      <c r="H467" s="431" t="s">
        <v>2257</v>
      </c>
      <c r="I467" s="431" t="s">
        <v>2258</v>
      </c>
      <c r="J467" s="432">
        <v>46234</v>
      </c>
    </row>
    <row r="468" spans="1:10">
      <c r="A468" s="431">
        <v>484</v>
      </c>
      <c r="B468" s="431" t="s">
        <v>2253</v>
      </c>
      <c r="C468" s="431" t="s">
        <v>2254</v>
      </c>
      <c r="D468" s="431" t="s">
        <v>3163</v>
      </c>
      <c r="E468" s="431" t="s">
        <v>3164</v>
      </c>
      <c r="F468" s="431">
        <v>2800</v>
      </c>
      <c r="G468" s="431" t="s">
        <v>21</v>
      </c>
      <c r="H468" s="431" t="s">
        <v>2257</v>
      </c>
      <c r="I468" s="431" t="s">
        <v>2258</v>
      </c>
      <c r="J468" s="432">
        <v>46234</v>
      </c>
    </row>
    <row r="469" spans="1:10">
      <c r="A469" s="431">
        <v>486</v>
      </c>
      <c r="B469" s="431" t="s">
        <v>2560</v>
      </c>
      <c r="C469" s="431" t="s">
        <v>2254</v>
      </c>
      <c r="D469" s="431" t="s">
        <v>3165</v>
      </c>
      <c r="E469" s="431" t="s">
        <v>3166</v>
      </c>
      <c r="F469" s="431">
        <v>1500</v>
      </c>
      <c r="G469" s="431" t="s">
        <v>26</v>
      </c>
      <c r="H469" s="431" t="s">
        <v>2257</v>
      </c>
      <c r="I469" s="431" t="s">
        <v>2258</v>
      </c>
      <c r="J469" s="432">
        <v>46234</v>
      </c>
    </row>
    <row r="470" spans="1:10">
      <c r="A470" s="431">
        <v>490</v>
      </c>
      <c r="B470" s="431" t="s">
        <v>2560</v>
      </c>
      <c r="C470" s="431" t="s">
        <v>2254</v>
      </c>
      <c r="D470" s="431" t="s">
        <v>3167</v>
      </c>
      <c r="E470" s="431" t="s">
        <v>3168</v>
      </c>
      <c r="F470" s="431">
        <v>10000</v>
      </c>
      <c r="G470" s="431" t="s">
        <v>2443</v>
      </c>
      <c r="H470" s="431" t="s">
        <v>2257</v>
      </c>
      <c r="I470" s="431" t="s">
        <v>2258</v>
      </c>
      <c r="J470" s="432">
        <v>46234</v>
      </c>
    </row>
    <row r="471" spans="1:10">
      <c r="A471" s="431">
        <v>491</v>
      </c>
      <c r="B471" s="431" t="s">
        <v>2560</v>
      </c>
      <c r="C471" s="431" t="s">
        <v>2254</v>
      </c>
      <c r="D471" s="431" t="s">
        <v>3169</v>
      </c>
      <c r="E471" s="431" t="s">
        <v>3171</v>
      </c>
      <c r="F471" s="431">
        <v>1</v>
      </c>
      <c r="G471" s="431" t="s">
        <v>2443</v>
      </c>
      <c r="H471" s="431" t="s">
        <v>2257</v>
      </c>
      <c r="I471" s="431" t="s">
        <v>2258</v>
      </c>
      <c r="J471" s="432">
        <v>46234</v>
      </c>
    </row>
    <row r="472" spans="1:10">
      <c r="A472" s="431">
        <v>492</v>
      </c>
      <c r="B472" s="431" t="s">
        <v>2253</v>
      </c>
      <c r="C472" s="431" t="s">
        <v>2254</v>
      </c>
      <c r="D472" s="431" t="s">
        <v>3172</v>
      </c>
      <c r="E472" s="431" t="s">
        <v>3173</v>
      </c>
      <c r="F472" s="431">
        <v>1</v>
      </c>
      <c r="G472" s="431" t="s">
        <v>1107</v>
      </c>
      <c r="H472" s="431" t="s">
        <v>2257</v>
      </c>
      <c r="I472" s="431" t="s">
        <v>2258</v>
      </c>
      <c r="J472" s="432">
        <v>46234</v>
      </c>
    </row>
    <row r="473" spans="1:10">
      <c r="A473" s="431">
        <v>493</v>
      </c>
      <c r="B473" s="431" t="s">
        <v>2253</v>
      </c>
      <c r="C473" s="431" t="s">
        <v>2254</v>
      </c>
      <c r="D473" s="431" t="s">
        <v>3174</v>
      </c>
      <c r="E473" s="431" t="s">
        <v>3175</v>
      </c>
      <c r="F473" s="431">
        <v>830</v>
      </c>
      <c r="G473" s="431" t="s">
        <v>328</v>
      </c>
      <c r="H473" s="431" t="s">
        <v>2257</v>
      </c>
      <c r="I473" s="431" t="s">
        <v>2258</v>
      </c>
      <c r="J473" s="432">
        <v>46234</v>
      </c>
    </row>
    <row r="474" spans="1:10">
      <c r="A474" s="431">
        <v>494</v>
      </c>
      <c r="B474" s="431" t="s">
        <v>2253</v>
      </c>
      <c r="C474" s="431" t="s">
        <v>2254</v>
      </c>
      <c r="D474" s="431" t="s">
        <v>3176</v>
      </c>
      <c r="E474" s="431" t="s">
        <v>3177</v>
      </c>
      <c r="F474" s="431">
        <v>20</v>
      </c>
      <c r="G474" s="431" t="s">
        <v>691</v>
      </c>
      <c r="H474" s="431" t="s">
        <v>2257</v>
      </c>
      <c r="I474" s="431" t="s">
        <v>2258</v>
      </c>
      <c r="J474" s="432">
        <v>46234</v>
      </c>
    </row>
    <row r="475" spans="1:10">
      <c r="A475" s="431">
        <v>495</v>
      </c>
      <c r="B475" s="431" t="s">
        <v>2253</v>
      </c>
      <c r="C475" s="431" t="s">
        <v>2254</v>
      </c>
      <c r="D475" s="431" t="s">
        <v>3178</v>
      </c>
      <c r="E475" s="431" t="s">
        <v>3179</v>
      </c>
      <c r="F475" s="431">
        <v>420</v>
      </c>
      <c r="G475" s="431" t="s">
        <v>2466</v>
      </c>
      <c r="H475" s="431" t="s">
        <v>2257</v>
      </c>
      <c r="I475" s="431" t="s">
        <v>2258</v>
      </c>
      <c r="J475" s="432">
        <v>46234</v>
      </c>
    </row>
    <row r="476" spans="1:10">
      <c r="A476" s="431">
        <v>496</v>
      </c>
      <c r="B476" s="431" t="s">
        <v>2253</v>
      </c>
      <c r="C476" s="431" t="s">
        <v>2254</v>
      </c>
      <c r="D476" s="431" t="s">
        <v>3180</v>
      </c>
      <c r="E476" s="431" t="s">
        <v>3181</v>
      </c>
      <c r="F476" s="431">
        <v>2</v>
      </c>
      <c r="G476" s="431" t="s">
        <v>21</v>
      </c>
      <c r="H476" s="431" t="s">
        <v>2257</v>
      </c>
      <c r="I476" s="431" t="s">
        <v>2258</v>
      </c>
      <c r="J476" s="432">
        <v>46234</v>
      </c>
    </row>
    <row r="477" spans="1:10">
      <c r="A477" s="431">
        <v>497</v>
      </c>
      <c r="B477" s="431" t="s">
        <v>2253</v>
      </c>
      <c r="C477" s="431" t="s">
        <v>2254</v>
      </c>
      <c r="D477" s="431" t="s">
        <v>3183</v>
      </c>
      <c r="E477" s="431" t="s">
        <v>3184</v>
      </c>
      <c r="F477" s="431">
        <v>14</v>
      </c>
      <c r="G477" s="431" t="s">
        <v>21</v>
      </c>
      <c r="H477" s="431" t="s">
        <v>2257</v>
      </c>
      <c r="I477" s="431" t="s">
        <v>2258</v>
      </c>
      <c r="J477" s="432">
        <v>46234</v>
      </c>
    </row>
    <row r="478" spans="1:10">
      <c r="A478" s="431">
        <v>498</v>
      </c>
      <c r="B478" s="431" t="s">
        <v>2253</v>
      </c>
      <c r="C478" s="431" t="s">
        <v>2254</v>
      </c>
      <c r="D478" s="431" t="s">
        <v>3185</v>
      </c>
      <c r="E478" s="431" t="s">
        <v>3186</v>
      </c>
      <c r="F478" s="431">
        <v>0</v>
      </c>
      <c r="G478" s="431" t="s">
        <v>46</v>
      </c>
      <c r="H478" s="431" t="s">
        <v>2257</v>
      </c>
      <c r="I478" s="431" t="s">
        <v>2258</v>
      </c>
      <c r="J478" s="432">
        <v>46234</v>
      </c>
    </row>
    <row r="479" spans="1:10">
      <c r="A479" s="431">
        <v>499</v>
      </c>
      <c r="B479" s="431" t="s">
        <v>2253</v>
      </c>
      <c r="C479" s="431" t="s">
        <v>2254</v>
      </c>
      <c r="D479" s="431" t="s">
        <v>3187</v>
      </c>
      <c r="E479" s="431" t="s">
        <v>3188</v>
      </c>
      <c r="F479" s="431">
        <v>60</v>
      </c>
      <c r="G479" s="431" t="s">
        <v>2466</v>
      </c>
      <c r="H479" s="431" t="s">
        <v>2257</v>
      </c>
      <c r="I479" s="431" t="s">
        <v>2258</v>
      </c>
      <c r="J479" s="432">
        <v>46234</v>
      </c>
    </row>
    <row r="480" spans="1:10">
      <c r="A480" s="431">
        <v>500</v>
      </c>
      <c r="B480" s="431" t="s">
        <v>2253</v>
      </c>
      <c r="C480" s="431" t="s">
        <v>2254</v>
      </c>
      <c r="D480" s="431" t="s">
        <v>3189</v>
      </c>
      <c r="E480" s="431" t="s">
        <v>3190</v>
      </c>
      <c r="F480" s="431">
        <v>85</v>
      </c>
      <c r="G480" s="431" t="s">
        <v>2542</v>
      </c>
      <c r="H480" s="431" t="s">
        <v>2257</v>
      </c>
      <c r="I480" s="431" t="s">
        <v>2258</v>
      </c>
      <c r="J480" s="432">
        <v>46234</v>
      </c>
    </row>
    <row r="481" spans="1:10">
      <c r="A481" s="431">
        <v>502</v>
      </c>
      <c r="B481" s="431" t="s">
        <v>2253</v>
      </c>
      <c r="C481" s="431" t="s">
        <v>2254</v>
      </c>
      <c r="D481" s="431" t="s">
        <v>3192</v>
      </c>
      <c r="E481" s="431" t="s">
        <v>3193</v>
      </c>
      <c r="F481" s="431">
        <v>50</v>
      </c>
      <c r="G481" s="431" t="s">
        <v>691</v>
      </c>
      <c r="H481" s="431" t="s">
        <v>2257</v>
      </c>
      <c r="I481" s="431" t="s">
        <v>2258</v>
      </c>
      <c r="J481" s="432">
        <v>46234</v>
      </c>
    </row>
    <row r="482" spans="1:10">
      <c r="A482" s="431">
        <v>503</v>
      </c>
      <c r="B482" s="431" t="s">
        <v>2253</v>
      </c>
      <c r="C482" s="431" t="s">
        <v>2254</v>
      </c>
      <c r="D482" s="431" t="s">
        <v>3194</v>
      </c>
      <c r="E482" s="431" t="s">
        <v>3195</v>
      </c>
      <c r="F482" s="431">
        <v>405</v>
      </c>
      <c r="G482" s="431" t="s">
        <v>797</v>
      </c>
      <c r="H482" s="431" t="s">
        <v>2257</v>
      </c>
      <c r="I482" s="431" t="s">
        <v>2258</v>
      </c>
      <c r="J482" s="432">
        <v>46234</v>
      </c>
    </row>
    <row r="483" spans="1:10">
      <c r="A483" s="431">
        <v>504</v>
      </c>
      <c r="B483" s="431" t="s">
        <v>2253</v>
      </c>
      <c r="C483" s="431" t="s">
        <v>2254</v>
      </c>
      <c r="D483" s="431" t="s">
        <v>3196</v>
      </c>
      <c r="E483" s="431" t="s">
        <v>3197</v>
      </c>
      <c r="F483" s="431">
        <v>180</v>
      </c>
      <c r="G483" s="431" t="s">
        <v>797</v>
      </c>
      <c r="H483" s="431" t="s">
        <v>2257</v>
      </c>
      <c r="I483" s="431" t="s">
        <v>2258</v>
      </c>
      <c r="J483" s="432">
        <v>46234</v>
      </c>
    </row>
    <row r="484" spans="1:10">
      <c r="A484" s="431">
        <v>505</v>
      </c>
      <c r="B484" s="431" t="s">
        <v>2253</v>
      </c>
      <c r="C484" s="431" t="s">
        <v>2254</v>
      </c>
      <c r="D484" s="431" t="s">
        <v>3198</v>
      </c>
      <c r="E484" s="431" t="s">
        <v>3199</v>
      </c>
      <c r="F484" s="431">
        <v>68</v>
      </c>
      <c r="G484" s="431" t="s">
        <v>328</v>
      </c>
      <c r="H484" s="431" t="s">
        <v>2257</v>
      </c>
      <c r="I484" s="431" t="s">
        <v>2258</v>
      </c>
      <c r="J484" s="432">
        <v>46234</v>
      </c>
    </row>
    <row r="485" spans="1:10">
      <c r="A485" s="431">
        <v>506</v>
      </c>
      <c r="B485" s="431" t="s">
        <v>2560</v>
      </c>
      <c r="C485" s="431" t="s">
        <v>2254</v>
      </c>
      <c r="D485" s="431" t="s">
        <v>3201</v>
      </c>
      <c r="E485" s="431" t="s">
        <v>3203</v>
      </c>
      <c r="F485" s="431">
        <v>150</v>
      </c>
      <c r="G485" s="431" t="s">
        <v>2443</v>
      </c>
      <c r="H485" s="431" t="s">
        <v>2257</v>
      </c>
      <c r="I485" s="431" t="s">
        <v>2258</v>
      </c>
      <c r="J485" s="432">
        <v>46234</v>
      </c>
    </row>
    <row r="486" spans="1:10">
      <c r="A486" s="431">
        <v>507</v>
      </c>
      <c r="B486" s="431" t="s">
        <v>2253</v>
      </c>
      <c r="C486" s="431" t="s">
        <v>2254</v>
      </c>
      <c r="D486" s="431" t="s">
        <v>3204</v>
      </c>
      <c r="E486" s="431" t="s">
        <v>3205</v>
      </c>
      <c r="F486" s="431">
        <v>200</v>
      </c>
      <c r="G486" s="431" t="s">
        <v>62</v>
      </c>
      <c r="H486" s="431" t="s">
        <v>2257</v>
      </c>
      <c r="I486" s="431" t="s">
        <v>2258</v>
      </c>
      <c r="J486" s="432">
        <v>46234</v>
      </c>
    </row>
    <row r="487" spans="1:10">
      <c r="A487" s="431">
        <v>508</v>
      </c>
      <c r="B487" s="431" t="s">
        <v>2253</v>
      </c>
      <c r="C487" s="433" t="s">
        <v>2254</v>
      </c>
      <c r="D487" s="431" t="s">
        <v>3206</v>
      </c>
      <c r="E487" s="431" t="s">
        <v>3207</v>
      </c>
      <c r="F487" s="431">
        <v>500</v>
      </c>
      <c r="G487" s="431" t="s">
        <v>62</v>
      </c>
      <c r="H487" s="431" t="s">
        <v>2257</v>
      </c>
      <c r="I487" s="431" t="s">
        <v>2258</v>
      </c>
      <c r="J487" s="432">
        <v>46234</v>
      </c>
    </row>
    <row r="488" spans="1:10">
      <c r="A488" s="431">
        <v>509</v>
      </c>
      <c r="B488" s="431" t="s">
        <v>2253</v>
      </c>
      <c r="C488" s="431" t="s">
        <v>2254</v>
      </c>
      <c r="D488" s="431" t="s">
        <v>3208</v>
      </c>
      <c r="E488" s="431" t="s">
        <v>3209</v>
      </c>
      <c r="F488" s="431">
        <v>350</v>
      </c>
      <c r="G488" s="431" t="s">
        <v>62</v>
      </c>
      <c r="H488" s="431" t="s">
        <v>2257</v>
      </c>
      <c r="I488" s="431" t="s">
        <v>2258</v>
      </c>
      <c r="J488" s="432">
        <v>46234</v>
      </c>
    </row>
    <row r="489" spans="1:10">
      <c r="A489" s="431">
        <v>510</v>
      </c>
      <c r="B489" s="431" t="s">
        <v>2253</v>
      </c>
      <c r="C489" s="431" t="s">
        <v>2254</v>
      </c>
      <c r="D489" s="431" t="s">
        <v>3210</v>
      </c>
      <c r="E489" s="431" t="s">
        <v>3211</v>
      </c>
      <c r="F489" s="431">
        <v>300</v>
      </c>
      <c r="G489" s="431" t="s">
        <v>62</v>
      </c>
      <c r="H489" s="431" t="s">
        <v>2257</v>
      </c>
      <c r="I489" s="431" t="s">
        <v>2258</v>
      </c>
      <c r="J489" s="432">
        <v>46234</v>
      </c>
    </row>
    <row r="490" spans="1:10">
      <c r="A490" s="431">
        <v>511</v>
      </c>
      <c r="B490" s="431" t="s">
        <v>2253</v>
      </c>
      <c r="C490" s="431" t="s">
        <v>2254</v>
      </c>
      <c r="D490" s="431" t="s">
        <v>3213</v>
      </c>
      <c r="E490" s="431" t="s">
        <v>3214</v>
      </c>
      <c r="F490" s="431">
        <v>320</v>
      </c>
      <c r="G490" s="431" t="s">
        <v>328</v>
      </c>
      <c r="H490" s="431" t="s">
        <v>2257</v>
      </c>
      <c r="I490" s="431" t="s">
        <v>2258</v>
      </c>
      <c r="J490" s="432">
        <v>46234</v>
      </c>
    </row>
    <row r="491" spans="1:10">
      <c r="A491" s="431">
        <v>512</v>
      </c>
      <c r="B491" s="431" t="s">
        <v>2253</v>
      </c>
      <c r="C491" s="433" t="s">
        <v>2254</v>
      </c>
      <c r="D491" s="431" t="s">
        <v>3215</v>
      </c>
      <c r="E491" s="431" t="s">
        <v>2507</v>
      </c>
      <c r="F491" s="431">
        <v>32</v>
      </c>
      <c r="G491" s="431" t="s">
        <v>691</v>
      </c>
      <c r="H491" s="431" t="s">
        <v>2257</v>
      </c>
      <c r="I491" s="431" t="s">
        <v>2258</v>
      </c>
      <c r="J491" s="432">
        <v>46234</v>
      </c>
    </row>
    <row r="492" spans="1:10">
      <c r="A492" s="431">
        <v>513</v>
      </c>
      <c r="B492" s="431" t="s">
        <v>2253</v>
      </c>
      <c r="C492" s="433" t="s">
        <v>2254</v>
      </c>
      <c r="D492" s="431" t="s">
        <v>3216</v>
      </c>
      <c r="E492" s="431" t="s">
        <v>3217</v>
      </c>
      <c r="F492" s="431">
        <v>15</v>
      </c>
      <c r="G492" s="431" t="s">
        <v>328</v>
      </c>
      <c r="H492" s="431" t="s">
        <v>2257</v>
      </c>
      <c r="I492" s="431" t="s">
        <v>2258</v>
      </c>
      <c r="J492" s="432">
        <v>46234</v>
      </c>
    </row>
    <row r="493" spans="1:10">
      <c r="A493" s="431">
        <v>514</v>
      </c>
      <c r="B493" s="431" t="s">
        <v>2253</v>
      </c>
      <c r="C493" s="431" t="s">
        <v>2254</v>
      </c>
      <c r="D493" s="431" t="s">
        <v>3219</v>
      </c>
      <c r="E493" s="431" t="s">
        <v>3220</v>
      </c>
      <c r="F493" s="431">
        <v>4952</v>
      </c>
      <c r="G493" s="431" t="s">
        <v>812</v>
      </c>
      <c r="H493" s="431" t="s">
        <v>2257</v>
      </c>
      <c r="I493" s="431" t="s">
        <v>2258</v>
      </c>
      <c r="J493" s="432">
        <v>46234</v>
      </c>
    </row>
    <row r="494" spans="1:10">
      <c r="A494" s="431">
        <v>515</v>
      </c>
      <c r="B494" s="431" t="s">
        <v>2253</v>
      </c>
      <c r="C494" s="431" t="s">
        <v>2254</v>
      </c>
      <c r="D494" s="431" t="s">
        <v>3222</v>
      </c>
      <c r="E494" s="431" t="s">
        <v>3223</v>
      </c>
      <c r="F494" s="431">
        <v>145</v>
      </c>
      <c r="G494" s="431" t="s">
        <v>328</v>
      </c>
      <c r="H494" s="431" t="s">
        <v>2257</v>
      </c>
      <c r="I494" s="431" t="s">
        <v>2258</v>
      </c>
      <c r="J494" s="432">
        <v>46234</v>
      </c>
    </row>
    <row r="495" spans="1:10">
      <c r="A495" s="431">
        <v>517</v>
      </c>
      <c r="B495" s="431" t="s">
        <v>2253</v>
      </c>
      <c r="C495" s="431" t="s">
        <v>2254</v>
      </c>
      <c r="D495" s="431" t="s">
        <v>3224</v>
      </c>
      <c r="E495" s="431" t="s">
        <v>3225</v>
      </c>
      <c r="F495" s="431">
        <v>105</v>
      </c>
      <c r="G495" s="431" t="s">
        <v>1107</v>
      </c>
      <c r="H495" s="431" t="s">
        <v>2257</v>
      </c>
      <c r="I495" s="431" t="s">
        <v>2258</v>
      </c>
      <c r="J495" s="432">
        <v>46234</v>
      </c>
    </row>
    <row r="496" spans="1:10">
      <c r="A496" s="431">
        <v>519</v>
      </c>
      <c r="B496" s="431" t="s">
        <v>2253</v>
      </c>
      <c r="C496" s="431" t="s">
        <v>2254</v>
      </c>
      <c r="D496" s="431" t="s">
        <v>3226</v>
      </c>
      <c r="E496" s="431" t="s">
        <v>3227</v>
      </c>
      <c r="F496" s="431">
        <v>65</v>
      </c>
      <c r="G496" s="431" t="s">
        <v>1107</v>
      </c>
      <c r="H496" s="431" t="s">
        <v>2257</v>
      </c>
      <c r="I496" s="431" t="s">
        <v>2258</v>
      </c>
      <c r="J496" s="432">
        <v>46234</v>
      </c>
    </row>
    <row r="497" spans="1:10">
      <c r="A497" s="431">
        <v>520</v>
      </c>
      <c r="B497" s="431" t="s">
        <v>2560</v>
      </c>
      <c r="C497" s="431" t="s">
        <v>2254</v>
      </c>
      <c r="D497" s="431" t="s">
        <v>3229</v>
      </c>
      <c r="E497" s="431" t="s">
        <v>3230</v>
      </c>
      <c r="F497" s="431">
        <v>25000</v>
      </c>
      <c r="G497" s="431" t="s">
        <v>2443</v>
      </c>
      <c r="H497" s="431" t="s">
        <v>2257</v>
      </c>
      <c r="I497" s="431" t="s">
        <v>2258</v>
      </c>
      <c r="J497" s="432">
        <v>46234</v>
      </c>
    </row>
    <row r="498" spans="1:10">
      <c r="A498" s="431">
        <v>521</v>
      </c>
      <c r="B498" s="431" t="s">
        <v>2560</v>
      </c>
      <c r="C498" s="431" t="s">
        <v>2254</v>
      </c>
      <c r="D498" s="431" t="s">
        <v>3231</v>
      </c>
      <c r="E498" s="431" t="s">
        <v>3232</v>
      </c>
      <c r="F498" s="431">
        <v>7905</v>
      </c>
      <c r="G498" s="431" t="s">
        <v>2443</v>
      </c>
      <c r="H498" s="431" t="s">
        <v>2257</v>
      </c>
      <c r="I498" s="431" t="s">
        <v>2258</v>
      </c>
      <c r="J498" s="432">
        <v>46234</v>
      </c>
    </row>
    <row r="499" spans="1:10">
      <c r="A499" s="431">
        <v>522</v>
      </c>
      <c r="B499" s="431" t="s">
        <v>2560</v>
      </c>
      <c r="C499" s="431" t="s">
        <v>2254</v>
      </c>
      <c r="D499" s="431" t="s">
        <v>3233</v>
      </c>
      <c r="E499" s="431" t="s">
        <v>3234</v>
      </c>
      <c r="F499" s="431">
        <v>29344</v>
      </c>
      <c r="G499" s="431" t="s">
        <v>2443</v>
      </c>
      <c r="H499" s="431" t="s">
        <v>2257</v>
      </c>
      <c r="I499" s="431" t="s">
        <v>2258</v>
      </c>
      <c r="J499" s="432">
        <v>46234</v>
      </c>
    </row>
    <row r="500" spans="1:10">
      <c r="A500" s="431">
        <v>523</v>
      </c>
      <c r="B500" s="431" t="s">
        <v>2253</v>
      </c>
      <c r="C500" s="431" t="s">
        <v>2254</v>
      </c>
      <c r="D500" s="431" t="s">
        <v>3235</v>
      </c>
      <c r="E500" s="431" t="s">
        <v>3236</v>
      </c>
      <c r="F500" s="431">
        <v>425000</v>
      </c>
      <c r="G500" s="431" t="s">
        <v>218</v>
      </c>
      <c r="H500" s="431" t="s">
        <v>2257</v>
      </c>
      <c r="I500" s="431" t="s">
        <v>2258</v>
      </c>
      <c r="J500" s="432">
        <v>46234</v>
      </c>
    </row>
    <row r="501" spans="1:10">
      <c r="A501" s="431">
        <v>524</v>
      </c>
      <c r="B501" s="431" t="s">
        <v>2560</v>
      </c>
      <c r="C501" s="431" t="s">
        <v>2254</v>
      </c>
      <c r="D501" s="431" t="s">
        <v>3238</v>
      </c>
      <c r="E501" s="431" t="s">
        <v>3239</v>
      </c>
      <c r="F501" s="431">
        <v>5</v>
      </c>
      <c r="G501" s="431" t="s">
        <v>2656</v>
      </c>
      <c r="H501" s="431" t="s">
        <v>2257</v>
      </c>
      <c r="I501" s="431" t="s">
        <v>2258</v>
      </c>
      <c r="J501" s="432">
        <v>46234</v>
      </c>
    </row>
    <row r="502" spans="1:10">
      <c r="A502" s="431">
        <v>525</v>
      </c>
      <c r="B502" s="431" t="s">
        <v>2253</v>
      </c>
      <c r="C502" s="431" t="s">
        <v>2254</v>
      </c>
      <c r="D502" s="431" t="s">
        <v>3240</v>
      </c>
      <c r="E502" s="431" t="s">
        <v>3241</v>
      </c>
      <c r="F502" s="431">
        <v>650</v>
      </c>
      <c r="G502" s="431" t="s">
        <v>691</v>
      </c>
      <c r="H502" s="431" t="s">
        <v>2257</v>
      </c>
      <c r="I502" s="431" t="s">
        <v>2258</v>
      </c>
      <c r="J502" s="432">
        <v>46234</v>
      </c>
    </row>
    <row r="503" spans="1:10">
      <c r="A503" s="431">
        <v>526</v>
      </c>
      <c r="B503" s="431" t="s">
        <v>2560</v>
      </c>
      <c r="C503" s="431" t="s">
        <v>2254</v>
      </c>
      <c r="D503" s="431" t="s">
        <v>3242</v>
      </c>
      <c r="E503" s="431" t="s">
        <v>3243</v>
      </c>
      <c r="F503" s="431">
        <v>100</v>
      </c>
      <c r="G503" s="431" t="s">
        <v>62</v>
      </c>
      <c r="H503" s="431" t="s">
        <v>2257</v>
      </c>
      <c r="I503" s="431" t="s">
        <v>2258</v>
      </c>
      <c r="J503" s="432">
        <v>46234</v>
      </c>
    </row>
    <row r="504" spans="1:10">
      <c r="A504" s="431">
        <v>527</v>
      </c>
      <c r="B504" s="431" t="s">
        <v>2253</v>
      </c>
      <c r="C504" s="431" t="s">
        <v>2254</v>
      </c>
      <c r="D504" s="431" t="s">
        <v>3244</v>
      </c>
      <c r="E504" s="431" t="s">
        <v>3246</v>
      </c>
      <c r="F504" s="431">
        <v>750</v>
      </c>
      <c r="G504" s="431" t="s">
        <v>812</v>
      </c>
      <c r="H504" s="431" t="s">
        <v>2257</v>
      </c>
      <c r="I504" s="431" t="s">
        <v>2258</v>
      </c>
      <c r="J504" s="432">
        <v>46234</v>
      </c>
    </row>
    <row r="505" spans="1:10">
      <c r="A505" s="431">
        <v>528</v>
      </c>
      <c r="B505" s="431" t="s">
        <v>2560</v>
      </c>
      <c r="C505" s="431" t="s">
        <v>2254</v>
      </c>
      <c r="D505" s="431" t="s">
        <v>3248</v>
      </c>
      <c r="E505" s="431" t="s">
        <v>3249</v>
      </c>
      <c r="F505" s="431">
        <v>1750</v>
      </c>
      <c r="G505" s="431" t="s">
        <v>26</v>
      </c>
      <c r="H505" s="431" t="s">
        <v>2257</v>
      </c>
      <c r="I505" s="431" t="s">
        <v>2258</v>
      </c>
      <c r="J505" s="432">
        <v>46234</v>
      </c>
    </row>
    <row r="506" spans="1:10">
      <c r="A506" s="431">
        <v>529</v>
      </c>
      <c r="B506" s="431" t="s">
        <v>2560</v>
      </c>
      <c r="C506" s="431" t="s">
        <v>2254</v>
      </c>
      <c r="D506" s="431" t="s">
        <v>3252</v>
      </c>
      <c r="E506" s="431" t="s">
        <v>3253</v>
      </c>
      <c r="F506" s="431">
        <v>100</v>
      </c>
      <c r="G506" s="431" t="s">
        <v>26</v>
      </c>
      <c r="H506" s="431" t="s">
        <v>2257</v>
      </c>
      <c r="I506" s="431" t="s">
        <v>2258</v>
      </c>
      <c r="J506" s="432">
        <v>46234</v>
      </c>
    </row>
    <row r="507" spans="1:10">
      <c r="A507" s="431">
        <v>530</v>
      </c>
      <c r="B507" s="431" t="s">
        <v>2560</v>
      </c>
      <c r="C507" s="433" t="s">
        <v>2254</v>
      </c>
      <c r="D507" s="431" t="s">
        <v>3254</v>
      </c>
      <c r="E507" s="431" t="s">
        <v>3255</v>
      </c>
      <c r="F507" s="431">
        <v>750</v>
      </c>
      <c r="G507" s="431" t="s">
        <v>26</v>
      </c>
      <c r="H507" s="431" t="s">
        <v>2257</v>
      </c>
      <c r="I507" s="431" t="s">
        <v>2258</v>
      </c>
      <c r="J507" s="432">
        <v>46234</v>
      </c>
    </row>
    <row r="508" spans="1:10">
      <c r="A508" s="431">
        <v>531</v>
      </c>
      <c r="B508" s="431" t="s">
        <v>2560</v>
      </c>
      <c r="C508" s="431" t="s">
        <v>2254</v>
      </c>
      <c r="D508" s="431" t="s">
        <v>3256</v>
      </c>
      <c r="E508" s="431" t="s">
        <v>3257</v>
      </c>
      <c r="F508" s="431">
        <v>200</v>
      </c>
      <c r="G508" s="431" t="s">
        <v>26</v>
      </c>
      <c r="H508" s="431" t="s">
        <v>2257</v>
      </c>
      <c r="I508" s="431" t="s">
        <v>2258</v>
      </c>
      <c r="J508" s="432">
        <v>46234</v>
      </c>
    </row>
    <row r="509" spans="1:10">
      <c r="A509" s="431">
        <v>532</v>
      </c>
      <c r="B509" s="431" t="s">
        <v>2560</v>
      </c>
      <c r="C509" s="431" t="s">
        <v>2254</v>
      </c>
      <c r="D509" s="431" t="s">
        <v>3258</v>
      </c>
      <c r="E509" s="431" t="s">
        <v>3259</v>
      </c>
      <c r="F509" s="431">
        <v>70</v>
      </c>
      <c r="G509" s="431" t="s">
        <v>21</v>
      </c>
      <c r="H509" s="431" t="s">
        <v>2257</v>
      </c>
      <c r="I509" s="431" t="s">
        <v>2258</v>
      </c>
      <c r="J509" s="432">
        <v>46234</v>
      </c>
    </row>
    <row r="510" spans="1:10">
      <c r="A510" s="431">
        <v>533</v>
      </c>
      <c r="B510" s="431" t="s">
        <v>2253</v>
      </c>
      <c r="C510" s="431" t="s">
        <v>2254</v>
      </c>
      <c r="D510" s="431" t="s">
        <v>3260</v>
      </c>
      <c r="E510" s="431" t="s">
        <v>3261</v>
      </c>
      <c r="F510" s="431">
        <v>1200</v>
      </c>
      <c r="G510" s="431" t="s">
        <v>21</v>
      </c>
      <c r="H510" s="431" t="s">
        <v>2257</v>
      </c>
      <c r="I510" s="431" t="s">
        <v>2258</v>
      </c>
      <c r="J510" s="432">
        <v>46234</v>
      </c>
    </row>
    <row r="511" spans="1:10">
      <c r="A511" s="431">
        <v>534</v>
      </c>
      <c r="B511" s="431" t="s">
        <v>2253</v>
      </c>
      <c r="C511" s="431" t="s">
        <v>2254</v>
      </c>
      <c r="D511" s="431" t="s">
        <v>3262</v>
      </c>
      <c r="E511" s="431" t="s">
        <v>3263</v>
      </c>
      <c r="F511" s="431">
        <v>150</v>
      </c>
      <c r="G511" s="431" t="s">
        <v>691</v>
      </c>
      <c r="H511" s="431" t="s">
        <v>2257</v>
      </c>
      <c r="I511" s="431" t="s">
        <v>2258</v>
      </c>
      <c r="J511" s="432">
        <v>46234</v>
      </c>
    </row>
    <row r="512" spans="1:10">
      <c r="A512" s="431">
        <v>535</v>
      </c>
      <c r="B512" s="431" t="s">
        <v>2560</v>
      </c>
      <c r="C512" s="431" t="s">
        <v>2254</v>
      </c>
      <c r="D512" s="431" t="s">
        <v>3264</v>
      </c>
      <c r="E512" s="431" t="s">
        <v>3265</v>
      </c>
      <c r="F512" s="431">
        <v>5</v>
      </c>
      <c r="G512" s="431" t="s">
        <v>26</v>
      </c>
      <c r="H512" s="431" t="s">
        <v>2257</v>
      </c>
      <c r="I512" s="431" t="s">
        <v>2258</v>
      </c>
      <c r="J512" s="432">
        <v>46234</v>
      </c>
    </row>
    <row r="513" spans="1:10">
      <c r="A513" s="431">
        <v>536</v>
      </c>
      <c r="B513" s="431" t="s">
        <v>2253</v>
      </c>
      <c r="C513" s="431" t="s">
        <v>2254</v>
      </c>
      <c r="D513" s="431" t="s">
        <v>3266</v>
      </c>
      <c r="E513" s="431" t="s">
        <v>3267</v>
      </c>
      <c r="F513" s="431">
        <v>354</v>
      </c>
      <c r="G513" s="431" t="s">
        <v>691</v>
      </c>
      <c r="H513" s="431" t="s">
        <v>2257</v>
      </c>
      <c r="I513" s="431" t="s">
        <v>2258</v>
      </c>
      <c r="J513" s="432">
        <v>46234</v>
      </c>
    </row>
    <row r="514" spans="1:10">
      <c r="A514" s="431">
        <v>537</v>
      </c>
      <c r="B514" s="431" t="s">
        <v>2560</v>
      </c>
      <c r="C514" s="431" t="s">
        <v>2254</v>
      </c>
      <c r="D514" s="431" t="s">
        <v>3268</v>
      </c>
      <c r="E514" s="431" t="s">
        <v>3269</v>
      </c>
      <c r="F514" s="431">
        <v>3500</v>
      </c>
      <c r="G514" s="431" t="s">
        <v>26</v>
      </c>
      <c r="H514" s="431" t="s">
        <v>2573</v>
      </c>
      <c r="I514" s="431" t="s">
        <v>2574</v>
      </c>
      <c r="J514" s="432">
        <v>46234</v>
      </c>
    </row>
    <row r="515" spans="1:10">
      <c r="A515" s="431">
        <v>538</v>
      </c>
      <c r="B515" s="431" t="s">
        <v>2560</v>
      </c>
      <c r="C515" s="431" t="s">
        <v>2254</v>
      </c>
      <c r="D515" s="431" t="s">
        <v>3272</v>
      </c>
      <c r="E515" s="431" t="s">
        <v>3273</v>
      </c>
      <c r="F515" s="431">
        <v>1200</v>
      </c>
      <c r="G515" s="431" t="s">
        <v>26</v>
      </c>
      <c r="H515" s="431" t="s">
        <v>2257</v>
      </c>
      <c r="I515" s="431" t="s">
        <v>2258</v>
      </c>
      <c r="J515" s="432">
        <v>46234</v>
      </c>
    </row>
    <row r="516" spans="1:10">
      <c r="A516" s="431">
        <v>539</v>
      </c>
      <c r="B516" s="431" t="s">
        <v>2560</v>
      </c>
      <c r="C516" s="431" t="s">
        <v>2254</v>
      </c>
      <c r="D516" s="431" t="s">
        <v>3274</v>
      </c>
      <c r="E516" s="431" t="s">
        <v>3275</v>
      </c>
      <c r="F516" s="431">
        <v>1500</v>
      </c>
      <c r="G516" s="431" t="s">
        <v>46</v>
      </c>
      <c r="H516" s="431" t="s">
        <v>2257</v>
      </c>
      <c r="I516" s="431" t="s">
        <v>2258</v>
      </c>
      <c r="J516" s="432">
        <v>46234</v>
      </c>
    </row>
    <row r="517" spans="1:10">
      <c r="A517" s="431">
        <v>540</v>
      </c>
      <c r="B517" s="431" t="s">
        <v>2253</v>
      </c>
      <c r="C517" s="431" t="s">
        <v>2254</v>
      </c>
      <c r="D517" s="431" t="s">
        <v>3276</v>
      </c>
      <c r="E517" s="431" t="s">
        <v>3246</v>
      </c>
      <c r="F517" s="431">
        <v>750</v>
      </c>
      <c r="G517" s="431" t="s">
        <v>812</v>
      </c>
      <c r="H517" s="431" t="s">
        <v>2257</v>
      </c>
      <c r="I517" s="431" t="s">
        <v>2258</v>
      </c>
      <c r="J517" s="432">
        <v>46234</v>
      </c>
    </row>
    <row r="518" spans="1:10">
      <c r="A518" s="431">
        <v>541</v>
      </c>
      <c r="B518" s="431" t="s">
        <v>2253</v>
      </c>
      <c r="C518" s="431" t="s">
        <v>2254</v>
      </c>
      <c r="D518" s="431" t="s">
        <v>3277</v>
      </c>
      <c r="E518" s="431" t="s">
        <v>3278</v>
      </c>
      <c r="F518" s="431">
        <v>3060</v>
      </c>
      <c r="G518" s="431" t="s">
        <v>46</v>
      </c>
      <c r="H518" s="431" t="s">
        <v>2257</v>
      </c>
      <c r="I518" s="431" t="s">
        <v>2258</v>
      </c>
      <c r="J518" s="432">
        <v>46234</v>
      </c>
    </row>
    <row r="519" spans="1:10">
      <c r="A519" s="431">
        <v>542</v>
      </c>
      <c r="B519" s="431" t="s">
        <v>2253</v>
      </c>
      <c r="C519" s="431" t="s">
        <v>2254</v>
      </c>
      <c r="D519" s="431" t="s">
        <v>3280</v>
      </c>
      <c r="E519" s="431" t="s">
        <v>3281</v>
      </c>
      <c r="F519" s="431">
        <v>1100000</v>
      </c>
      <c r="G519" s="431" t="s">
        <v>46</v>
      </c>
      <c r="H519" s="431" t="s">
        <v>2257</v>
      </c>
      <c r="I519" s="431" t="s">
        <v>2258</v>
      </c>
      <c r="J519" s="432">
        <v>46234</v>
      </c>
    </row>
    <row r="520" spans="1:10">
      <c r="A520" s="431">
        <v>543</v>
      </c>
      <c r="B520" s="431" t="s">
        <v>2253</v>
      </c>
      <c r="C520" s="431" t="s">
        <v>2254</v>
      </c>
      <c r="D520" s="431" t="s">
        <v>3282</v>
      </c>
      <c r="E520" s="431" t="s">
        <v>3283</v>
      </c>
      <c r="F520" s="431">
        <v>14000</v>
      </c>
      <c r="G520" s="431" t="s">
        <v>46</v>
      </c>
      <c r="H520" s="431" t="s">
        <v>2257</v>
      </c>
      <c r="I520" s="431" t="s">
        <v>2258</v>
      </c>
      <c r="J520" s="432">
        <v>46234</v>
      </c>
    </row>
    <row r="521" spans="1:10">
      <c r="A521" s="431">
        <v>544</v>
      </c>
      <c r="B521" s="431" t="s">
        <v>2253</v>
      </c>
      <c r="C521" s="433" t="s">
        <v>2254</v>
      </c>
      <c r="D521" s="431" t="s">
        <v>3284</v>
      </c>
      <c r="E521" s="431" t="s">
        <v>3285</v>
      </c>
      <c r="F521" s="431">
        <v>1200000</v>
      </c>
      <c r="G521" s="431" t="s">
        <v>46</v>
      </c>
      <c r="H521" s="431" t="s">
        <v>2257</v>
      </c>
      <c r="I521" s="431" t="s">
        <v>2258</v>
      </c>
      <c r="J521" s="432">
        <v>46234</v>
      </c>
    </row>
    <row r="522" spans="1:10">
      <c r="A522" s="431">
        <v>545</v>
      </c>
      <c r="B522" s="431" t="s">
        <v>2560</v>
      </c>
      <c r="C522" s="433" t="s">
        <v>2254</v>
      </c>
      <c r="D522" s="431" t="s">
        <v>3286</v>
      </c>
      <c r="E522" s="431" t="s">
        <v>3287</v>
      </c>
      <c r="F522" s="431">
        <v>2500</v>
      </c>
      <c r="G522" s="431" t="s">
        <v>26</v>
      </c>
      <c r="H522" s="431" t="s">
        <v>2257</v>
      </c>
      <c r="I522" s="431" t="s">
        <v>2258</v>
      </c>
      <c r="J522" s="432">
        <v>46234</v>
      </c>
    </row>
    <row r="523" spans="1:10">
      <c r="A523" s="431">
        <v>546</v>
      </c>
      <c r="B523" s="431" t="s">
        <v>2721</v>
      </c>
      <c r="C523" s="433" t="s">
        <v>2254</v>
      </c>
      <c r="D523" s="431" t="s">
        <v>3288</v>
      </c>
      <c r="E523" s="431" t="s">
        <v>3289</v>
      </c>
      <c r="F523" s="431">
        <v>850</v>
      </c>
      <c r="G523" s="431" t="s">
        <v>46</v>
      </c>
      <c r="H523" s="431" t="s">
        <v>2257</v>
      </c>
      <c r="I523" s="431" t="s">
        <v>2258</v>
      </c>
      <c r="J523" s="432">
        <v>46234</v>
      </c>
    </row>
    <row r="524" spans="1:10">
      <c r="A524" s="431">
        <v>547</v>
      </c>
      <c r="B524" s="431" t="s">
        <v>2721</v>
      </c>
      <c r="C524" s="431" t="s">
        <v>2254</v>
      </c>
      <c r="D524" s="431" t="s">
        <v>3290</v>
      </c>
      <c r="E524" s="431" t="s">
        <v>3291</v>
      </c>
      <c r="F524" s="431">
        <v>700</v>
      </c>
      <c r="G524" s="431" t="s">
        <v>46</v>
      </c>
      <c r="H524" s="431" t="s">
        <v>2257</v>
      </c>
      <c r="I524" s="431" t="s">
        <v>2258</v>
      </c>
      <c r="J524" s="432">
        <v>46234</v>
      </c>
    </row>
    <row r="525" spans="1:10">
      <c r="A525" s="431">
        <v>548</v>
      </c>
      <c r="B525" s="431" t="s">
        <v>2253</v>
      </c>
      <c r="C525" s="433" t="s">
        <v>2254</v>
      </c>
      <c r="D525" s="431" t="s">
        <v>3292</v>
      </c>
      <c r="E525" s="431" t="s">
        <v>3293</v>
      </c>
      <c r="F525" s="431">
        <v>10</v>
      </c>
      <c r="G525" s="431" t="s">
        <v>46</v>
      </c>
      <c r="H525" s="431" t="s">
        <v>2257</v>
      </c>
      <c r="I525" s="431" t="s">
        <v>2258</v>
      </c>
      <c r="J525" s="432">
        <v>46234</v>
      </c>
    </row>
    <row r="526" spans="1:10">
      <c r="A526" s="431">
        <v>549</v>
      </c>
      <c r="B526" s="431" t="s">
        <v>2560</v>
      </c>
      <c r="C526" s="431" t="s">
        <v>2254</v>
      </c>
      <c r="D526" s="431" t="s">
        <v>3294</v>
      </c>
      <c r="E526" s="431" t="s">
        <v>3295</v>
      </c>
      <c r="F526" s="431">
        <v>5500</v>
      </c>
      <c r="G526" s="431" t="s">
        <v>26</v>
      </c>
      <c r="H526" s="431" t="s">
        <v>2257</v>
      </c>
      <c r="I526" s="431" t="s">
        <v>2258</v>
      </c>
      <c r="J526" s="432">
        <v>46234</v>
      </c>
    </row>
    <row r="527" spans="1:10">
      <c r="A527" s="431">
        <v>550</v>
      </c>
      <c r="B527" s="431" t="s">
        <v>2560</v>
      </c>
      <c r="C527" s="433" t="s">
        <v>2254</v>
      </c>
      <c r="D527" s="431" t="s">
        <v>3296</v>
      </c>
      <c r="E527" s="431" t="s">
        <v>3297</v>
      </c>
      <c r="F527" s="431">
        <v>4750</v>
      </c>
      <c r="G527" s="431" t="s">
        <v>26</v>
      </c>
      <c r="H527" s="431" t="s">
        <v>2257</v>
      </c>
      <c r="I527" s="431" t="s">
        <v>2258</v>
      </c>
      <c r="J527" s="432">
        <v>46234</v>
      </c>
    </row>
    <row r="528" spans="1:10">
      <c r="A528" s="431">
        <v>551</v>
      </c>
      <c r="B528" s="431" t="s">
        <v>2560</v>
      </c>
      <c r="C528" s="431" t="s">
        <v>2254</v>
      </c>
      <c r="D528" s="431" t="s">
        <v>3298</v>
      </c>
      <c r="E528" s="431" t="s">
        <v>3299</v>
      </c>
      <c r="F528" s="431">
        <v>12000</v>
      </c>
      <c r="G528" s="431" t="s">
        <v>26</v>
      </c>
      <c r="H528" s="431" t="s">
        <v>2257</v>
      </c>
      <c r="I528" s="431" t="s">
        <v>2258</v>
      </c>
      <c r="J528" s="432">
        <v>46234</v>
      </c>
    </row>
    <row r="529" spans="1:10">
      <c r="A529" s="431">
        <v>552</v>
      </c>
      <c r="B529" s="431" t="s">
        <v>2560</v>
      </c>
      <c r="C529" s="433" t="s">
        <v>2254</v>
      </c>
      <c r="D529" s="431" t="s">
        <v>3300</v>
      </c>
      <c r="E529" s="431" t="s">
        <v>3301</v>
      </c>
      <c r="F529" s="431">
        <v>15000</v>
      </c>
      <c r="G529" s="431" t="s">
        <v>26</v>
      </c>
      <c r="H529" s="431" t="s">
        <v>2257</v>
      </c>
      <c r="I529" s="431" t="s">
        <v>2258</v>
      </c>
      <c r="J529" s="432">
        <v>46234</v>
      </c>
    </row>
    <row r="530" spans="1:10">
      <c r="A530" s="431">
        <v>553</v>
      </c>
      <c r="B530" s="431" t="s">
        <v>2560</v>
      </c>
      <c r="C530" s="433" t="s">
        <v>2254</v>
      </c>
      <c r="D530" s="431" t="s">
        <v>3302</v>
      </c>
      <c r="E530" s="431" t="s">
        <v>3303</v>
      </c>
      <c r="F530" s="431">
        <v>4500</v>
      </c>
      <c r="G530" s="431" t="s">
        <v>26</v>
      </c>
      <c r="H530" s="431" t="s">
        <v>2257</v>
      </c>
      <c r="I530" s="431" t="s">
        <v>2258</v>
      </c>
      <c r="J530" s="432">
        <v>46234</v>
      </c>
    </row>
    <row r="531" spans="1:10">
      <c r="A531" s="431">
        <v>554</v>
      </c>
      <c r="B531" s="431" t="s">
        <v>2560</v>
      </c>
      <c r="C531" s="433" t="s">
        <v>2254</v>
      </c>
      <c r="D531" s="431" t="s">
        <v>3304</v>
      </c>
      <c r="E531" s="431" t="s">
        <v>3305</v>
      </c>
      <c r="F531" s="431">
        <v>3000</v>
      </c>
      <c r="G531" s="431" t="s">
        <v>26</v>
      </c>
      <c r="H531" s="431" t="s">
        <v>2257</v>
      </c>
      <c r="I531" s="431" t="s">
        <v>2258</v>
      </c>
      <c r="J531" s="432">
        <v>46234</v>
      </c>
    </row>
    <row r="532" spans="1:10">
      <c r="A532" s="431">
        <v>555</v>
      </c>
      <c r="B532" s="431" t="s">
        <v>2560</v>
      </c>
      <c r="C532" s="433" t="s">
        <v>2254</v>
      </c>
      <c r="D532" s="431" t="s">
        <v>3306</v>
      </c>
      <c r="E532" s="431" t="s">
        <v>3307</v>
      </c>
      <c r="F532" s="431">
        <v>5500</v>
      </c>
      <c r="G532" s="431" t="s">
        <v>26</v>
      </c>
      <c r="H532" s="431" t="s">
        <v>2257</v>
      </c>
      <c r="I532" s="431" t="s">
        <v>2258</v>
      </c>
      <c r="J532" s="432">
        <v>46234</v>
      </c>
    </row>
    <row r="533" spans="1:10">
      <c r="A533" s="431">
        <v>556</v>
      </c>
      <c r="B533" s="431" t="s">
        <v>2721</v>
      </c>
      <c r="C533" s="433" t="s">
        <v>2254</v>
      </c>
      <c r="D533" s="431" t="s">
        <v>3308</v>
      </c>
      <c r="E533" s="431" t="s">
        <v>3309</v>
      </c>
      <c r="F533" s="431">
        <v>1000</v>
      </c>
      <c r="G533" s="431" t="s">
        <v>46</v>
      </c>
      <c r="H533" s="431" t="s">
        <v>2257</v>
      </c>
      <c r="I533" s="431" t="s">
        <v>2258</v>
      </c>
      <c r="J533" s="432">
        <v>46234</v>
      </c>
    </row>
    <row r="534" spans="1:10">
      <c r="A534" s="431">
        <v>557</v>
      </c>
      <c r="B534" s="431" t="s">
        <v>2560</v>
      </c>
      <c r="C534" s="431" t="s">
        <v>2254</v>
      </c>
      <c r="D534" s="431" t="s">
        <v>3310</v>
      </c>
      <c r="E534" s="431" t="s">
        <v>3312</v>
      </c>
      <c r="F534" s="431">
        <v>10</v>
      </c>
      <c r="G534" s="431" t="s">
        <v>21</v>
      </c>
      <c r="H534" s="431" t="s">
        <v>2257</v>
      </c>
      <c r="I534" s="431" t="s">
        <v>2258</v>
      </c>
      <c r="J534" s="432">
        <v>46234</v>
      </c>
    </row>
    <row r="535" spans="1:10">
      <c r="A535" s="431">
        <v>558</v>
      </c>
      <c r="B535" s="431" t="s">
        <v>2721</v>
      </c>
      <c r="C535" s="431" t="s">
        <v>2254</v>
      </c>
      <c r="D535" s="431" t="s">
        <v>3313</v>
      </c>
      <c r="E535" s="431" t="s">
        <v>3314</v>
      </c>
      <c r="F535" s="431">
        <v>850</v>
      </c>
      <c r="G535" s="431" t="s">
        <v>46</v>
      </c>
      <c r="H535" s="431" t="s">
        <v>2257</v>
      </c>
      <c r="I535" s="431" t="s">
        <v>2258</v>
      </c>
      <c r="J535" s="432">
        <v>46234</v>
      </c>
    </row>
    <row r="536" spans="1:10">
      <c r="A536" s="431">
        <v>559</v>
      </c>
      <c r="B536" s="431" t="s">
        <v>2253</v>
      </c>
      <c r="C536" s="433" t="s">
        <v>2254</v>
      </c>
      <c r="D536" s="431" t="s">
        <v>3316</v>
      </c>
      <c r="E536" s="431" t="s">
        <v>3317</v>
      </c>
      <c r="F536" s="431">
        <v>60</v>
      </c>
      <c r="G536" s="431" t="s">
        <v>812</v>
      </c>
      <c r="H536" s="431" t="s">
        <v>2257</v>
      </c>
      <c r="I536" s="431" t="s">
        <v>2258</v>
      </c>
      <c r="J536" s="432">
        <v>46234</v>
      </c>
    </row>
    <row r="537" spans="1:10">
      <c r="A537" s="431">
        <v>560</v>
      </c>
      <c r="B537" s="431" t="s">
        <v>2253</v>
      </c>
      <c r="C537" s="431" t="s">
        <v>2254</v>
      </c>
      <c r="D537" s="431" t="s">
        <v>3319</v>
      </c>
      <c r="E537" s="431" t="s">
        <v>3320</v>
      </c>
      <c r="F537" s="431">
        <v>684</v>
      </c>
      <c r="G537" s="431" t="s">
        <v>218</v>
      </c>
      <c r="H537" s="431" t="s">
        <v>2257</v>
      </c>
      <c r="I537" s="431" t="s">
        <v>2258</v>
      </c>
      <c r="J537" s="432">
        <v>46234</v>
      </c>
    </row>
    <row r="538" spans="1:10">
      <c r="A538" s="431">
        <v>561</v>
      </c>
      <c r="B538" s="431" t="s">
        <v>2253</v>
      </c>
      <c r="C538" s="433" t="s">
        <v>2254</v>
      </c>
      <c r="D538" s="431" t="s">
        <v>3321</v>
      </c>
      <c r="E538" s="431" t="s">
        <v>3322</v>
      </c>
      <c r="F538" s="431">
        <v>626</v>
      </c>
      <c r="G538" s="431" t="s">
        <v>218</v>
      </c>
      <c r="H538" s="431" t="s">
        <v>2257</v>
      </c>
      <c r="I538" s="431" t="s">
        <v>2258</v>
      </c>
      <c r="J538" s="432">
        <v>46234</v>
      </c>
    </row>
    <row r="539" spans="1:10">
      <c r="A539" s="431">
        <v>562</v>
      </c>
      <c r="B539" s="431" t="s">
        <v>2253</v>
      </c>
      <c r="C539" s="433" t="s">
        <v>2254</v>
      </c>
      <c r="D539" s="431" t="s">
        <v>3324</v>
      </c>
      <c r="E539" s="431" t="s">
        <v>3325</v>
      </c>
      <c r="F539" s="431">
        <v>675</v>
      </c>
      <c r="G539" s="431" t="s">
        <v>218</v>
      </c>
      <c r="H539" s="431" t="s">
        <v>2257</v>
      </c>
      <c r="I539" s="431" t="s">
        <v>2258</v>
      </c>
      <c r="J539" s="432">
        <v>46234</v>
      </c>
    </row>
    <row r="540" spans="1:10">
      <c r="A540" s="431">
        <v>563</v>
      </c>
      <c r="B540" s="431" t="s">
        <v>2253</v>
      </c>
      <c r="C540" s="433" t="s">
        <v>2254</v>
      </c>
      <c r="D540" s="431" t="s">
        <v>3326</v>
      </c>
      <c r="E540" s="431" t="s">
        <v>3327</v>
      </c>
      <c r="F540" s="431">
        <v>617</v>
      </c>
      <c r="G540" s="431" t="s">
        <v>218</v>
      </c>
      <c r="H540" s="431" t="s">
        <v>2257</v>
      </c>
      <c r="I540" s="431" t="s">
        <v>2258</v>
      </c>
      <c r="J540" s="432">
        <v>46234</v>
      </c>
    </row>
    <row r="541" spans="1:10">
      <c r="A541" s="431">
        <v>564</v>
      </c>
      <c r="B541" s="431" t="s">
        <v>2253</v>
      </c>
      <c r="C541" s="431" t="s">
        <v>2254</v>
      </c>
      <c r="D541" s="431" t="s">
        <v>3328</v>
      </c>
      <c r="E541" s="431" t="s">
        <v>3329</v>
      </c>
      <c r="F541" s="431">
        <v>918</v>
      </c>
      <c r="G541" s="431" t="s">
        <v>218</v>
      </c>
      <c r="H541" s="431" t="s">
        <v>2257</v>
      </c>
      <c r="I541" s="431" t="s">
        <v>2258</v>
      </c>
      <c r="J541" s="432">
        <v>46234</v>
      </c>
    </row>
    <row r="542" spans="1:10">
      <c r="A542" s="431">
        <v>565</v>
      </c>
      <c r="B542" s="431" t="s">
        <v>2253</v>
      </c>
      <c r="C542" s="431" t="s">
        <v>2254</v>
      </c>
      <c r="D542" s="431" t="s">
        <v>3330</v>
      </c>
      <c r="E542" s="431" t="s">
        <v>3331</v>
      </c>
      <c r="F542" s="431">
        <v>860</v>
      </c>
      <c r="G542" s="431" t="s">
        <v>218</v>
      </c>
      <c r="H542" s="431" t="s">
        <v>2257</v>
      </c>
      <c r="I542" s="431" t="s">
        <v>2258</v>
      </c>
      <c r="J542" s="432">
        <v>46234</v>
      </c>
    </row>
    <row r="543" spans="1:10">
      <c r="A543" s="431">
        <v>566</v>
      </c>
      <c r="B543" s="431" t="s">
        <v>2253</v>
      </c>
      <c r="C543" s="431" t="s">
        <v>2254</v>
      </c>
      <c r="D543" s="431" t="s">
        <v>3332</v>
      </c>
      <c r="E543" s="431" t="s">
        <v>3333</v>
      </c>
      <c r="F543" s="431">
        <v>816</v>
      </c>
      <c r="G543" s="431" t="s">
        <v>218</v>
      </c>
      <c r="H543" s="431" t="s">
        <v>2257</v>
      </c>
      <c r="I543" s="431" t="s">
        <v>2258</v>
      </c>
      <c r="J543" s="432">
        <v>46234</v>
      </c>
    </row>
    <row r="544" spans="1:10">
      <c r="A544" s="431">
        <v>567</v>
      </c>
      <c r="B544" s="431" t="s">
        <v>2253</v>
      </c>
      <c r="C544" s="431" t="s">
        <v>2254</v>
      </c>
      <c r="D544" s="431" t="s">
        <v>3334</v>
      </c>
      <c r="E544" s="431" t="s">
        <v>3335</v>
      </c>
      <c r="F544" s="431">
        <v>758</v>
      </c>
      <c r="G544" s="431" t="s">
        <v>218</v>
      </c>
      <c r="H544" s="431" t="s">
        <v>2257</v>
      </c>
      <c r="I544" s="431" t="s">
        <v>2258</v>
      </c>
      <c r="J544" s="432">
        <v>46234</v>
      </c>
    </row>
    <row r="545" spans="1:10">
      <c r="A545" s="431">
        <v>568</v>
      </c>
      <c r="B545" s="431" t="s">
        <v>2253</v>
      </c>
      <c r="C545" s="431" t="s">
        <v>2254</v>
      </c>
      <c r="D545" s="431" t="s">
        <v>3336</v>
      </c>
      <c r="E545" s="431" t="s">
        <v>3337</v>
      </c>
      <c r="F545" s="431">
        <v>789</v>
      </c>
      <c r="G545" s="431" t="s">
        <v>218</v>
      </c>
      <c r="H545" s="431" t="s">
        <v>2257</v>
      </c>
      <c r="I545" s="431" t="s">
        <v>2258</v>
      </c>
      <c r="J545" s="432">
        <v>46234</v>
      </c>
    </row>
    <row r="546" spans="1:10">
      <c r="A546" s="431">
        <v>569</v>
      </c>
      <c r="B546" s="431" t="s">
        <v>2253</v>
      </c>
      <c r="C546" s="433" t="s">
        <v>2254</v>
      </c>
      <c r="D546" s="431" t="s">
        <v>3338</v>
      </c>
      <c r="E546" s="431" t="s">
        <v>3339</v>
      </c>
      <c r="F546" s="431">
        <v>730</v>
      </c>
      <c r="G546" s="431" t="s">
        <v>218</v>
      </c>
      <c r="H546" s="431" t="s">
        <v>2257</v>
      </c>
      <c r="I546" s="431" t="s">
        <v>2258</v>
      </c>
      <c r="J546" s="432">
        <v>46234</v>
      </c>
    </row>
    <row r="547" spans="1:10">
      <c r="A547" s="431">
        <v>570</v>
      </c>
      <c r="B547" s="431" t="s">
        <v>2253</v>
      </c>
      <c r="C547" s="433" t="s">
        <v>2254</v>
      </c>
      <c r="D547" s="431" t="s">
        <v>3340</v>
      </c>
      <c r="E547" s="431" t="s">
        <v>3341</v>
      </c>
      <c r="F547" s="431">
        <v>664</v>
      </c>
      <c r="G547" s="431" t="s">
        <v>218</v>
      </c>
      <c r="H547" s="431" t="s">
        <v>2257</v>
      </c>
      <c r="I547" s="431" t="s">
        <v>2258</v>
      </c>
      <c r="J547" s="432">
        <v>46234</v>
      </c>
    </row>
    <row r="548" spans="1:10">
      <c r="A548" s="431">
        <v>571</v>
      </c>
      <c r="B548" s="431" t="s">
        <v>2253</v>
      </c>
      <c r="C548" s="433" t="s">
        <v>2254</v>
      </c>
      <c r="D548" s="431" t="s">
        <v>3342</v>
      </c>
      <c r="E548" s="431" t="s">
        <v>3343</v>
      </c>
      <c r="F548" s="431">
        <v>605</v>
      </c>
      <c r="G548" s="431" t="s">
        <v>218</v>
      </c>
      <c r="H548" s="431" t="s">
        <v>2257</v>
      </c>
      <c r="I548" s="431" t="s">
        <v>2258</v>
      </c>
      <c r="J548" s="432">
        <v>46234</v>
      </c>
    </row>
    <row r="549" spans="1:10">
      <c r="A549" s="431">
        <v>572</v>
      </c>
      <c r="B549" s="431" t="s">
        <v>2253</v>
      </c>
      <c r="C549" s="431" t="s">
        <v>2254</v>
      </c>
      <c r="D549" s="431" t="s">
        <v>3344</v>
      </c>
      <c r="E549" s="431" t="s">
        <v>3345</v>
      </c>
      <c r="F549" s="431">
        <v>809</v>
      </c>
      <c r="G549" s="431" t="s">
        <v>218</v>
      </c>
      <c r="H549" s="431" t="s">
        <v>2573</v>
      </c>
      <c r="I549" s="431" t="s">
        <v>2574</v>
      </c>
      <c r="J549" s="432">
        <v>46234</v>
      </c>
    </row>
    <row r="550" spans="1:10">
      <c r="A550" s="431">
        <v>573</v>
      </c>
      <c r="B550" s="431" t="s">
        <v>2253</v>
      </c>
      <c r="C550" s="433" t="s">
        <v>2254</v>
      </c>
      <c r="D550" s="431" t="s">
        <v>3346</v>
      </c>
      <c r="E550" s="431" t="s">
        <v>3347</v>
      </c>
      <c r="F550" s="431">
        <v>750</v>
      </c>
      <c r="G550" s="431" t="s">
        <v>218</v>
      </c>
      <c r="H550" s="431" t="s">
        <v>2257</v>
      </c>
      <c r="I550" s="431" t="s">
        <v>2258</v>
      </c>
      <c r="J550" s="432">
        <v>46234</v>
      </c>
    </row>
    <row r="551" spans="1:10">
      <c r="A551" s="431">
        <v>574</v>
      </c>
      <c r="B551" s="431" t="s">
        <v>2253</v>
      </c>
      <c r="C551" s="433" t="s">
        <v>2254</v>
      </c>
      <c r="D551" s="431" t="s">
        <v>3348</v>
      </c>
      <c r="E551" s="431" t="s">
        <v>3349</v>
      </c>
      <c r="F551" s="431">
        <v>708</v>
      </c>
      <c r="G551" s="431" t="s">
        <v>218</v>
      </c>
      <c r="H551" s="431" t="s">
        <v>2257</v>
      </c>
      <c r="I551" s="431" t="s">
        <v>2258</v>
      </c>
      <c r="J551" s="432">
        <v>46234</v>
      </c>
    </row>
    <row r="552" spans="1:10">
      <c r="A552" s="431">
        <v>575</v>
      </c>
      <c r="B552" s="431" t="s">
        <v>2253</v>
      </c>
      <c r="C552" s="433" t="s">
        <v>2254</v>
      </c>
      <c r="D552" s="431" t="s">
        <v>3350</v>
      </c>
      <c r="E552" s="431" t="s">
        <v>3351</v>
      </c>
      <c r="F552" s="431">
        <v>649</v>
      </c>
      <c r="G552" s="431" t="s">
        <v>218</v>
      </c>
      <c r="H552" s="431" t="s">
        <v>2257</v>
      </c>
      <c r="I552" s="431" t="s">
        <v>2258</v>
      </c>
      <c r="J552" s="432">
        <v>46234</v>
      </c>
    </row>
    <row r="553" spans="1:10">
      <c r="A553" s="431">
        <v>576</v>
      </c>
      <c r="B553" s="431" t="s">
        <v>2253</v>
      </c>
      <c r="C553" s="433" t="s">
        <v>2254</v>
      </c>
      <c r="D553" s="431" t="s">
        <v>3352</v>
      </c>
      <c r="E553" s="431" t="s">
        <v>3353</v>
      </c>
      <c r="F553" s="431">
        <v>676</v>
      </c>
      <c r="G553" s="431" t="s">
        <v>218</v>
      </c>
      <c r="H553" s="431" t="s">
        <v>2257</v>
      </c>
      <c r="I553" s="431" t="s">
        <v>2258</v>
      </c>
      <c r="J553" s="432">
        <v>46234</v>
      </c>
    </row>
    <row r="554" spans="1:10">
      <c r="A554" s="431">
        <v>577</v>
      </c>
      <c r="B554" s="431" t="s">
        <v>2253</v>
      </c>
      <c r="C554" s="433" t="s">
        <v>2254</v>
      </c>
      <c r="D554" s="431" t="s">
        <v>3354</v>
      </c>
      <c r="E554" s="431" t="s">
        <v>3355</v>
      </c>
      <c r="F554" s="431">
        <v>617</v>
      </c>
      <c r="G554" s="431" t="s">
        <v>218</v>
      </c>
      <c r="H554" s="431" t="s">
        <v>2257</v>
      </c>
      <c r="I554" s="431" t="s">
        <v>2258</v>
      </c>
      <c r="J554" s="432">
        <v>46234</v>
      </c>
    </row>
    <row r="555" spans="1:10">
      <c r="A555" s="431">
        <v>578</v>
      </c>
      <c r="B555" s="431" t="s">
        <v>2560</v>
      </c>
      <c r="C555" s="433" t="s">
        <v>2254</v>
      </c>
      <c r="D555" s="431" t="s">
        <v>3356</v>
      </c>
      <c r="E555" s="431" t="s">
        <v>3357</v>
      </c>
      <c r="F555" s="431">
        <v>9207</v>
      </c>
      <c r="G555" s="431" t="s">
        <v>26</v>
      </c>
      <c r="H555" s="431" t="s">
        <v>2257</v>
      </c>
      <c r="I555" s="431" t="s">
        <v>2258</v>
      </c>
      <c r="J555" s="432">
        <v>46234</v>
      </c>
    </row>
    <row r="556" spans="1:10">
      <c r="A556" s="431">
        <v>579</v>
      </c>
      <c r="B556" s="431" t="s">
        <v>2560</v>
      </c>
      <c r="C556" s="433" t="s">
        <v>2254</v>
      </c>
      <c r="D556" s="431" t="s">
        <v>3358</v>
      </c>
      <c r="E556" s="431" t="s">
        <v>3359</v>
      </c>
      <c r="F556" s="431">
        <v>4603</v>
      </c>
      <c r="G556" s="431" t="s">
        <v>26</v>
      </c>
      <c r="H556" s="431" t="s">
        <v>2257</v>
      </c>
      <c r="I556" s="431" t="s">
        <v>2258</v>
      </c>
      <c r="J556" s="432">
        <v>46234</v>
      </c>
    </row>
    <row r="557" spans="1:10">
      <c r="A557" s="431">
        <v>580</v>
      </c>
      <c r="B557" s="431" t="s">
        <v>2560</v>
      </c>
      <c r="C557" s="433" t="s">
        <v>2254</v>
      </c>
      <c r="D557" s="431" t="s">
        <v>3360</v>
      </c>
      <c r="E557" s="431" t="s">
        <v>3361</v>
      </c>
      <c r="F557" s="431">
        <v>12000</v>
      </c>
      <c r="G557" s="431" t="s">
        <v>26</v>
      </c>
      <c r="H557" s="431" t="s">
        <v>2257</v>
      </c>
      <c r="I557" s="431" t="s">
        <v>2258</v>
      </c>
      <c r="J557" s="432">
        <v>46234</v>
      </c>
    </row>
    <row r="558" spans="1:10">
      <c r="A558" s="431">
        <v>581</v>
      </c>
      <c r="B558" s="431" t="s">
        <v>2560</v>
      </c>
      <c r="C558" s="433" t="s">
        <v>2254</v>
      </c>
      <c r="D558" s="431" t="s">
        <v>3362</v>
      </c>
      <c r="E558" s="431" t="s">
        <v>3363</v>
      </c>
      <c r="F558" s="431">
        <v>2</v>
      </c>
      <c r="G558" s="431" t="s">
        <v>812</v>
      </c>
      <c r="H558" s="431" t="s">
        <v>2257</v>
      </c>
      <c r="I558" s="431" t="s">
        <v>2258</v>
      </c>
      <c r="J558" s="432">
        <v>46234</v>
      </c>
    </row>
    <row r="559" spans="1:10">
      <c r="A559" s="431">
        <v>582</v>
      </c>
      <c r="B559" s="431" t="s">
        <v>2560</v>
      </c>
      <c r="C559" s="433" t="s">
        <v>2254</v>
      </c>
      <c r="D559" s="431" t="s">
        <v>3364</v>
      </c>
      <c r="E559" s="431" t="s">
        <v>3365</v>
      </c>
      <c r="F559" s="431">
        <v>28330</v>
      </c>
      <c r="G559" s="431" t="s">
        <v>26</v>
      </c>
      <c r="H559" s="431" t="s">
        <v>2257</v>
      </c>
      <c r="I559" s="431" t="s">
        <v>2258</v>
      </c>
      <c r="J559" s="432">
        <v>46234</v>
      </c>
    </row>
    <row r="560" spans="1:10">
      <c r="A560" s="431">
        <v>583</v>
      </c>
      <c r="B560" s="431" t="s">
        <v>2560</v>
      </c>
      <c r="C560" s="431" t="s">
        <v>2254</v>
      </c>
      <c r="D560" s="431" t="s">
        <v>3366</v>
      </c>
      <c r="E560" s="431" t="s">
        <v>3367</v>
      </c>
      <c r="F560" s="431">
        <v>7082</v>
      </c>
      <c r="G560" s="431" t="s">
        <v>26</v>
      </c>
      <c r="H560" s="431" t="s">
        <v>2257</v>
      </c>
      <c r="I560" s="431" t="s">
        <v>2258</v>
      </c>
      <c r="J560" s="432">
        <v>46234</v>
      </c>
    </row>
    <row r="561" spans="1:10">
      <c r="A561" s="431">
        <v>584</v>
      </c>
      <c r="B561" s="431" t="s">
        <v>2721</v>
      </c>
      <c r="C561" s="431" t="s">
        <v>2254</v>
      </c>
      <c r="D561" s="431" t="s">
        <v>3368</v>
      </c>
      <c r="E561" s="431" t="s">
        <v>3369</v>
      </c>
      <c r="F561" s="431">
        <v>11050</v>
      </c>
      <c r="G561" s="431" t="s">
        <v>26</v>
      </c>
      <c r="H561" s="431" t="s">
        <v>2257</v>
      </c>
      <c r="I561" s="431" t="s">
        <v>2258</v>
      </c>
      <c r="J561" s="432">
        <v>46234</v>
      </c>
    </row>
    <row r="562" spans="1:10">
      <c r="A562" s="431">
        <v>585</v>
      </c>
      <c r="B562" s="431" t="s">
        <v>2560</v>
      </c>
      <c r="C562" s="431" t="s">
        <v>2254</v>
      </c>
      <c r="D562" s="431" t="s">
        <v>3370</v>
      </c>
      <c r="E562" s="431" t="s">
        <v>3371</v>
      </c>
      <c r="F562" s="431">
        <v>15</v>
      </c>
      <c r="G562" s="431" t="s">
        <v>812</v>
      </c>
      <c r="H562" s="431" t="s">
        <v>2257</v>
      </c>
      <c r="I562" s="431" t="s">
        <v>2258</v>
      </c>
      <c r="J562" s="432">
        <v>46234</v>
      </c>
    </row>
    <row r="563" spans="1:10">
      <c r="A563" s="431">
        <v>586</v>
      </c>
      <c r="B563" s="431" t="s">
        <v>2560</v>
      </c>
      <c r="C563" s="431" t="s">
        <v>2254</v>
      </c>
      <c r="D563" s="431" t="s">
        <v>3372</v>
      </c>
      <c r="E563" s="431" t="s">
        <v>3373</v>
      </c>
      <c r="F563" s="431">
        <v>70825</v>
      </c>
      <c r="G563" s="431" t="s">
        <v>26</v>
      </c>
      <c r="H563" s="431" t="s">
        <v>2257</v>
      </c>
      <c r="I563" s="431" t="s">
        <v>2258</v>
      </c>
      <c r="J563" s="432">
        <v>46234</v>
      </c>
    </row>
    <row r="564" spans="1:10">
      <c r="A564" s="431">
        <v>587</v>
      </c>
      <c r="B564" s="431" t="s">
        <v>2560</v>
      </c>
      <c r="C564" s="431" t="s">
        <v>2254</v>
      </c>
      <c r="D564" s="431" t="s">
        <v>3374</v>
      </c>
      <c r="E564" s="431" t="s">
        <v>3375</v>
      </c>
      <c r="F564" s="431">
        <v>10623</v>
      </c>
      <c r="G564" s="431" t="s">
        <v>26</v>
      </c>
      <c r="H564" s="431" t="s">
        <v>2257</v>
      </c>
      <c r="I564" s="431" t="s">
        <v>2258</v>
      </c>
      <c r="J564" s="432">
        <v>46234</v>
      </c>
    </row>
    <row r="565" spans="1:10">
      <c r="A565" s="431">
        <v>588</v>
      </c>
      <c r="B565" s="431" t="s">
        <v>2721</v>
      </c>
      <c r="C565" s="431" t="s">
        <v>2254</v>
      </c>
      <c r="D565" s="431" t="s">
        <v>3376</v>
      </c>
      <c r="E565" s="431" t="s">
        <v>3377</v>
      </c>
      <c r="F565" s="431">
        <v>16575</v>
      </c>
      <c r="G565" s="431" t="s">
        <v>26</v>
      </c>
      <c r="H565" s="431" t="s">
        <v>2257</v>
      </c>
      <c r="I565" s="431" t="s">
        <v>2258</v>
      </c>
      <c r="J565" s="432">
        <v>46234</v>
      </c>
    </row>
    <row r="566" spans="1:10">
      <c r="A566" s="431">
        <v>589</v>
      </c>
      <c r="B566" s="431" t="s">
        <v>2560</v>
      </c>
      <c r="C566" s="431" t="s">
        <v>2254</v>
      </c>
      <c r="D566" s="431" t="s">
        <v>3378</v>
      </c>
      <c r="E566" s="431" t="s">
        <v>3379</v>
      </c>
      <c r="F566" s="431">
        <v>169980</v>
      </c>
      <c r="G566" s="431" t="s">
        <v>26</v>
      </c>
      <c r="H566" s="431" t="s">
        <v>2257</v>
      </c>
      <c r="I566" s="431" t="s">
        <v>2258</v>
      </c>
      <c r="J566" s="432">
        <v>46234</v>
      </c>
    </row>
    <row r="567" spans="1:10">
      <c r="A567" s="431">
        <v>590</v>
      </c>
      <c r="B567" s="431" t="s">
        <v>2560</v>
      </c>
      <c r="C567" s="431" t="s">
        <v>2254</v>
      </c>
      <c r="D567" s="431" t="s">
        <v>3380</v>
      </c>
      <c r="E567" s="431" t="s">
        <v>3381</v>
      </c>
      <c r="F567" s="431">
        <v>20397</v>
      </c>
      <c r="G567" s="431" t="s">
        <v>26</v>
      </c>
      <c r="H567" s="431" t="s">
        <v>2257</v>
      </c>
      <c r="I567" s="431" t="s">
        <v>2258</v>
      </c>
      <c r="J567" s="432">
        <v>46234</v>
      </c>
    </row>
    <row r="568" spans="1:10">
      <c r="A568" s="431">
        <v>591</v>
      </c>
      <c r="B568" s="431" t="s">
        <v>2721</v>
      </c>
      <c r="C568" s="431" t="s">
        <v>2254</v>
      </c>
      <c r="D568" s="431" t="s">
        <v>3382</v>
      </c>
      <c r="E568" s="431" t="s">
        <v>3383</v>
      </c>
      <c r="F568" s="431">
        <v>22100</v>
      </c>
      <c r="G568" s="431" t="s">
        <v>26</v>
      </c>
      <c r="H568" s="431" t="s">
        <v>2257</v>
      </c>
      <c r="I568" s="431" t="s">
        <v>2258</v>
      </c>
      <c r="J568" s="432">
        <v>46234</v>
      </c>
    </row>
    <row r="569" spans="1:10">
      <c r="A569" s="431">
        <v>592</v>
      </c>
      <c r="B569" s="431" t="s">
        <v>2560</v>
      </c>
      <c r="C569" s="431" t="s">
        <v>2254</v>
      </c>
      <c r="D569" s="431" t="s">
        <v>3384</v>
      </c>
      <c r="E569" s="431" t="s">
        <v>3385</v>
      </c>
      <c r="F569" s="431">
        <v>4500</v>
      </c>
      <c r="G569" s="431" t="s">
        <v>26</v>
      </c>
      <c r="H569" s="431" t="s">
        <v>2257</v>
      </c>
      <c r="I569" s="431" t="s">
        <v>2258</v>
      </c>
      <c r="J569" s="432">
        <v>46234</v>
      </c>
    </row>
    <row r="570" spans="1:10">
      <c r="A570" s="431">
        <v>593</v>
      </c>
      <c r="B570" s="431" t="s">
        <v>2560</v>
      </c>
      <c r="C570" s="431" t="s">
        <v>2254</v>
      </c>
      <c r="D570" s="431" t="s">
        <v>3386</v>
      </c>
      <c r="E570" s="431" t="s">
        <v>3387</v>
      </c>
      <c r="F570" s="431">
        <v>21247</v>
      </c>
      <c r="G570" s="431" t="s">
        <v>26</v>
      </c>
      <c r="H570" s="431" t="s">
        <v>2257</v>
      </c>
      <c r="I570" s="431" t="s">
        <v>2258</v>
      </c>
      <c r="J570" s="432">
        <v>46234</v>
      </c>
    </row>
    <row r="571" spans="1:10">
      <c r="A571" s="431">
        <v>594</v>
      </c>
      <c r="B571" s="431" t="s">
        <v>2253</v>
      </c>
      <c r="C571" s="431" t="s">
        <v>2254</v>
      </c>
      <c r="D571" s="431" t="s">
        <v>3388</v>
      </c>
      <c r="E571" s="431" t="s">
        <v>3389</v>
      </c>
      <c r="F571" s="431">
        <v>20000</v>
      </c>
      <c r="G571" s="431" t="s">
        <v>46</v>
      </c>
      <c r="H571" s="431" t="s">
        <v>2257</v>
      </c>
      <c r="I571" s="431" t="s">
        <v>2258</v>
      </c>
      <c r="J571" s="432">
        <v>46234</v>
      </c>
    </row>
    <row r="572" spans="1:10">
      <c r="A572" s="431">
        <v>595</v>
      </c>
      <c r="B572" s="431" t="s">
        <v>2560</v>
      </c>
      <c r="C572" s="431" t="s">
        <v>2254</v>
      </c>
      <c r="D572" s="431" t="s">
        <v>3390</v>
      </c>
      <c r="E572" s="431" t="s">
        <v>3391</v>
      </c>
      <c r="F572" s="431">
        <v>27</v>
      </c>
      <c r="G572" s="431" t="s">
        <v>46</v>
      </c>
      <c r="H572" s="431" t="s">
        <v>2257</v>
      </c>
      <c r="I572" s="431" t="s">
        <v>2258</v>
      </c>
      <c r="J572" s="432">
        <v>46234</v>
      </c>
    </row>
    <row r="573" spans="1:10">
      <c r="A573" s="431">
        <v>596</v>
      </c>
      <c r="B573" s="431" t="s">
        <v>2253</v>
      </c>
      <c r="C573" s="431" t="s">
        <v>2254</v>
      </c>
      <c r="D573" s="431" t="s">
        <v>205</v>
      </c>
      <c r="E573" s="431" t="s">
        <v>3392</v>
      </c>
      <c r="F573" s="431">
        <v>675</v>
      </c>
      <c r="G573" s="431" t="s">
        <v>209</v>
      </c>
      <c r="H573" s="431" t="s">
        <v>2257</v>
      </c>
      <c r="I573" s="431" t="s">
        <v>2258</v>
      </c>
      <c r="J573" s="432">
        <v>46234</v>
      </c>
    </row>
    <row r="574" spans="1:10">
      <c r="A574" s="431">
        <v>597</v>
      </c>
      <c r="B574" s="431" t="s">
        <v>2253</v>
      </c>
      <c r="C574" s="431" t="s">
        <v>2254</v>
      </c>
      <c r="D574" s="431" t="s">
        <v>3393</v>
      </c>
      <c r="E574" s="431" t="s">
        <v>3394</v>
      </c>
      <c r="F574" s="431">
        <v>47000</v>
      </c>
      <c r="G574" s="431" t="s">
        <v>46</v>
      </c>
      <c r="H574" s="431" t="s">
        <v>2257</v>
      </c>
      <c r="I574" s="431" t="s">
        <v>2258</v>
      </c>
      <c r="J574" s="432">
        <v>46234</v>
      </c>
    </row>
    <row r="575" spans="1:10">
      <c r="A575" s="431">
        <v>598</v>
      </c>
      <c r="B575" s="431" t="s">
        <v>2253</v>
      </c>
      <c r="C575" s="431" t="s">
        <v>2254</v>
      </c>
      <c r="D575" s="431" t="s">
        <v>3395</v>
      </c>
      <c r="E575" s="431" t="s">
        <v>3396</v>
      </c>
      <c r="F575" s="431">
        <v>65000</v>
      </c>
      <c r="G575" s="431" t="s">
        <v>46</v>
      </c>
      <c r="H575" s="431" t="s">
        <v>2257</v>
      </c>
      <c r="I575" s="431" t="s">
        <v>2258</v>
      </c>
      <c r="J575" s="432">
        <v>46234</v>
      </c>
    </row>
    <row r="576" spans="1:10">
      <c r="A576" s="431">
        <v>599</v>
      </c>
      <c r="B576" s="431" t="s">
        <v>2253</v>
      </c>
      <c r="C576" s="431" t="s">
        <v>2254</v>
      </c>
      <c r="D576" s="431" t="s">
        <v>3397</v>
      </c>
      <c r="E576" s="431" t="s">
        <v>3398</v>
      </c>
      <c r="F576" s="431">
        <v>4500</v>
      </c>
      <c r="G576" s="431" t="s">
        <v>46</v>
      </c>
      <c r="H576" s="431" t="s">
        <v>2257</v>
      </c>
      <c r="I576" s="431" t="s">
        <v>2258</v>
      </c>
      <c r="J576" s="432">
        <v>46234</v>
      </c>
    </row>
    <row r="577" spans="1:10">
      <c r="A577" s="431">
        <v>600</v>
      </c>
      <c r="B577" s="431" t="s">
        <v>2560</v>
      </c>
      <c r="C577" s="431" t="s">
        <v>2254</v>
      </c>
      <c r="D577" s="431" t="s">
        <v>3399</v>
      </c>
      <c r="E577" s="431" t="s">
        <v>3400</v>
      </c>
      <c r="F577" s="431">
        <v>578</v>
      </c>
      <c r="G577" s="431" t="s">
        <v>2443</v>
      </c>
      <c r="H577" s="431" t="s">
        <v>2257</v>
      </c>
      <c r="I577" s="431" t="s">
        <v>2258</v>
      </c>
      <c r="J577" s="432">
        <v>46234</v>
      </c>
    </row>
    <row r="578" spans="1:10">
      <c r="A578" s="431">
        <v>602</v>
      </c>
      <c r="B578" s="431" t="s">
        <v>2560</v>
      </c>
      <c r="C578" s="431" t="s">
        <v>2254</v>
      </c>
      <c r="D578" s="431" t="s">
        <v>3401</v>
      </c>
      <c r="E578" s="431" t="s">
        <v>3402</v>
      </c>
      <c r="F578" s="431">
        <v>1451</v>
      </c>
      <c r="G578" s="431" t="s">
        <v>2443</v>
      </c>
      <c r="H578" s="431" t="s">
        <v>2257</v>
      </c>
      <c r="I578" s="431" t="s">
        <v>2258</v>
      </c>
      <c r="J578" s="432">
        <v>46234</v>
      </c>
    </row>
    <row r="579" spans="1:10">
      <c r="A579" s="431">
        <v>603</v>
      </c>
      <c r="B579" s="431" t="s">
        <v>2560</v>
      </c>
      <c r="C579" s="433" t="s">
        <v>2254</v>
      </c>
      <c r="D579" s="431" t="s">
        <v>3403</v>
      </c>
      <c r="E579" s="431" t="s">
        <v>3404</v>
      </c>
      <c r="F579" s="431">
        <v>483</v>
      </c>
      <c r="G579" s="431" t="s">
        <v>2443</v>
      </c>
      <c r="H579" s="431" t="s">
        <v>2257</v>
      </c>
      <c r="I579" s="431" t="s">
        <v>2258</v>
      </c>
      <c r="J579" s="432">
        <v>46234</v>
      </c>
    </row>
    <row r="580" spans="1:10">
      <c r="A580" s="431">
        <v>604</v>
      </c>
      <c r="B580" s="431" t="s">
        <v>2560</v>
      </c>
      <c r="C580" s="433" t="s">
        <v>2254</v>
      </c>
      <c r="D580" s="431" t="s">
        <v>3405</v>
      </c>
      <c r="E580" s="431" t="s">
        <v>3406</v>
      </c>
      <c r="F580" s="431">
        <v>327</v>
      </c>
      <c r="G580" s="431" t="s">
        <v>2443</v>
      </c>
      <c r="H580" s="431" t="s">
        <v>2257</v>
      </c>
      <c r="I580" s="431" t="s">
        <v>2258</v>
      </c>
      <c r="J580" s="432">
        <v>46234</v>
      </c>
    </row>
    <row r="581" spans="1:10">
      <c r="A581" s="431">
        <v>605</v>
      </c>
      <c r="B581" s="431" t="s">
        <v>2253</v>
      </c>
      <c r="C581" s="433" t="s">
        <v>2254</v>
      </c>
      <c r="D581" s="431" t="s">
        <v>3407</v>
      </c>
      <c r="E581" s="431" t="s">
        <v>3408</v>
      </c>
      <c r="F581" s="431">
        <v>120</v>
      </c>
      <c r="G581" s="431" t="s">
        <v>46</v>
      </c>
      <c r="H581" s="431" t="s">
        <v>2257</v>
      </c>
      <c r="I581" s="431" t="s">
        <v>2258</v>
      </c>
      <c r="J581" s="432">
        <v>46234</v>
      </c>
    </row>
    <row r="582" spans="1:10">
      <c r="A582" s="431">
        <v>606</v>
      </c>
      <c r="B582" s="431" t="s">
        <v>2560</v>
      </c>
      <c r="C582" s="433" t="s">
        <v>2254</v>
      </c>
      <c r="D582" s="431" t="s">
        <v>3409</v>
      </c>
      <c r="E582" s="431" t="s">
        <v>3410</v>
      </c>
      <c r="F582" s="431">
        <v>259</v>
      </c>
      <c r="G582" s="431" t="s">
        <v>2443</v>
      </c>
      <c r="H582" s="431" t="s">
        <v>2257</v>
      </c>
      <c r="I582" s="431" t="s">
        <v>2258</v>
      </c>
      <c r="J582" s="432">
        <v>46234</v>
      </c>
    </row>
    <row r="583" spans="1:10">
      <c r="A583" s="431">
        <v>607</v>
      </c>
      <c r="B583" s="431" t="s">
        <v>2253</v>
      </c>
      <c r="C583" s="433" t="s">
        <v>2254</v>
      </c>
      <c r="D583" s="431" t="s">
        <v>3411</v>
      </c>
      <c r="E583" s="431" t="s">
        <v>3412</v>
      </c>
      <c r="F583" s="431">
        <v>5425</v>
      </c>
      <c r="G583" s="431" t="s">
        <v>328</v>
      </c>
      <c r="H583" s="431" t="s">
        <v>2257</v>
      </c>
      <c r="I583" s="431" t="s">
        <v>2258</v>
      </c>
      <c r="J583" s="432">
        <v>46234</v>
      </c>
    </row>
    <row r="584" spans="1:10">
      <c r="A584" s="431">
        <v>608</v>
      </c>
      <c r="B584" s="431" t="s">
        <v>2560</v>
      </c>
      <c r="C584" s="433" t="s">
        <v>2254</v>
      </c>
      <c r="D584" s="431" t="s">
        <v>3413</v>
      </c>
      <c r="E584" s="431" t="s">
        <v>3414</v>
      </c>
      <c r="F584" s="431">
        <v>774</v>
      </c>
      <c r="G584" s="431" t="s">
        <v>2443</v>
      </c>
      <c r="H584" s="431" t="s">
        <v>2257</v>
      </c>
      <c r="I584" s="431" t="s">
        <v>2258</v>
      </c>
      <c r="J584" s="432">
        <v>46234</v>
      </c>
    </row>
    <row r="585" spans="1:10">
      <c r="A585" s="431">
        <v>609</v>
      </c>
      <c r="B585" s="431" t="s">
        <v>2560</v>
      </c>
      <c r="C585" s="433" t="s">
        <v>2254</v>
      </c>
      <c r="D585" s="431" t="s">
        <v>3415</v>
      </c>
      <c r="E585" s="431" t="s">
        <v>3416</v>
      </c>
      <c r="F585" s="431">
        <v>1226</v>
      </c>
      <c r="G585" s="431" t="s">
        <v>2443</v>
      </c>
      <c r="H585" s="431" t="s">
        <v>2257</v>
      </c>
      <c r="I585" s="431" t="s">
        <v>2258</v>
      </c>
      <c r="J585" s="432">
        <v>46234</v>
      </c>
    </row>
    <row r="586" spans="1:10">
      <c r="A586" s="431">
        <v>616</v>
      </c>
      <c r="B586" s="431" t="s">
        <v>2253</v>
      </c>
      <c r="C586" s="433" t="s">
        <v>2254</v>
      </c>
      <c r="D586" s="431" t="s">
        <v>3417</v>
      </c>
      <c r="E586" s="431" t="s">
        <v>3418</v>
      </c>
      <c r="F586" s="431">
        <v>260</v>
      </c>
      <c r="G586" s="431" t="s">
        <v>691</v>
      </c>
      <c r="H586" s="431" t="s">
        <v>2257</v>
      </c>
      <c r="I586" s="431" t="s">
        <v>2258</v>
      </c>
      <c r="J586" s="432">
        <v>46234</v>
      </c>
    </row>
    <row r="587" spans="1:10">
      <c r="A587" s="431">
        <v>617</v>
      </c>
      <c r="B587" s="431" t="s">
        <v>2253</v>
      </c>
      <c r="C587" s="433" t="s">
        <v>2254</v>
      </c>
      <c r="D587" s="431" t="s">
        <v>3419</v>
      </c>
      <c r="E587" s="431" t="s">
        <v>3420</v>
      </c>
      <c r="F587" s="431">
        <v>65</v>
      </c>
      <c r="G587" s="431" t="s">
        <v>691</v>
      </c>
      <c r="H587" s="431" t="s">
        <v>2257</v>
      </c>
      <c r="I587" s="431" t="s">
        <v>2258</v>
      </c>
      <c r="J587" s="432">
        <v>46234</v>
      </c>
    </row>
    <row r="588" spans="1:10">
      <c r="A588" s="431">
        <v>618</v>
      </c>
      <c r="B588" s="431" t="s">
        <v>2253</v>
      </c>
      <c r="C588" s="433" t="s">
        <v>2254</v>
      </c>
      <c r="D588" s="431" t="s">
        <v>3421</v>
      </c>
      <c r="E588" s="431" t="s">
        <v>3422</v>
      </c>
      <c r="F588" s="431">
        <v>130</v>
      </c>
      <c r="G588" s="431" t="s">
        <v>691</v>
      </c>
      <c r="H588" s="431" t="s">
        <v>2257</v>
      </c>
      <c r="I588" s="431" t="s">
        <v>2258</v>
      </c>
      <c r="J588" s="432">
        <v>46234</v>
      </c>
    </row>
    <row r="589" spans="1:10">
      <c r="A589" s="431">
        <v>619</v>
      </c>
      <c r="B589" s="431" t="s">
        <v>2253</v>
      </c>
      <c r="C589" s="433" t="s">
        <v>2254</v>
      </c>
      <c r="D589" s="431" t="s">
        <v>3423</v>
      </c>
      <c r="E589" s="431" t="s">
        <v>3424</v>
      </c>
      <c r="F589" s="431">
        <v>111</v>
      </c>
      <c r="G589" s="431" t="s">
        <v>691</v>
      </c>
      <c r="H589" s="431" t="s">
        <v>2257</v>
      </c>
      <c r="I589" s="431" t="s">
        <v>2258</v>
      </c>
      <c r="J589" s="432">
        <v>46234</v>
      </c>
    </row>
    <row r="590" spans="1:10">
      <c r="A590" s="431">
        <v>620</v>
      </c>
      <c r="B590" s="431" t="s">
        <v>2253</v>
      </c>
      <c r="C590" s="433" t="s">
        <v>2254</v>
      </c>
      <c r="D590" s="431" t="s">
        <v>3425</v>
      </c>
      <c r="E590" s="431" t="s">
        <v>3426</v>
      </c>
      <c r="F590" s="431">
        <v>207</v>
      </c>
      <c r="G590" s="431" t="s">
        <v>691</v>
      </c>
      <c r="H590" s="431" t="s">
        <v>2257</v>
      </c>
      <c r="I590" s="431" t="s">
        <v>2258</v>
      </c>
      <c r="J590" s="432">
        <v>46234</v>
      </c>
    </row>
    <row r="591" spans="1:10">
      <c r="A591" s="431">
        <v>621</v>
      </c>
      <c r="B591" s="431" t="s">
        <v>2253</v>
      </c>
      <c r="C591" s="433" t="s">
        <v>2254</v>
      </c>
      <c r="D591" s="431" t="s">
        <v>3427</v>
      </c>
      <c r="E591" s="431" t="s">
        <v>3428</v>
      </c>
      <c r="F591" s="431">
        <v>7287</v>
      </c>
      <c r="G591" s="431" t="s">
        <v>1107</v>
      </c>
      <c r="H591" s="431" t="s">
        <v>2257</v>
      </c>
      <c r="I591" s="431" t="s">
        <v>2258</v>
      </c>
      <c r="J591" s="432">
        <v>46234</v>
      </c>
    </row>
    <row r="592" spans="1:10">
      <c r="A592" s="431">
        <v>622</v>
      </c>
      <c r="B592" s="431" t="s">
        <v>2253</v>
      </c>
      <c r="C592" s="433" t="s">
        <v>2254</v>
      </c>
      <c r="D592" s="431" t="s">
        <v>3429</v>
      </c>
      <c r="E592" s="431" t="s">
        <v>3430</v>
      </c>
      <c r="F592" s="431">
        <v>8163</v>
      </c>
      <c r="G592" s="431" t="s">
        <v>1107</v>
      </c>
      <c r="H592" s="431" t="s">
        <v>2257</v>
      </c>
      <c r="I592" s="431" t="s">
        <v>2258</v>
      </c>
      <c r="J592" s="432">
        <v>46234</v>
      </c>
    </row>
    <row r="593" spans="1:10">
      <c r="A593" s="431">
        <v>623</v>
      </c>
      <c r="B593" s="431" t="s">
        <v>2253</v>
      </c>
      <c r="C593" s="433" t="s">
        <v>2254</v>
      </c>
      <c r="D593" s="431" t="s">
        <v>3431</v>
      </c>
      <c r="E593" s="431" t="s">
        <v>3432</v>
      </c>
      <c r="F593" s="431">
        <v>9498</v>
      </c>
      <c r="G593" s="431" t="s">
        <v>1107</v>
      </c>
      <c r="H593" s="431" t="s">
        <v>2257</v>
      </c>
      <c r="I593" s="431" t="s">
        <v>2258</v>
      </c>
      <c r="J593" s="432">
        <v>46234</v>
      </c>
    </row>
    <row r="594" spans="1:10">
      <c r="A594" s="431">
        <v>624</v>
      </c>
      <c r="B594" s="431" t="s">
        <v>2253</v>
      </c>
      <c r="C594" s="433" t="s">
        <v>2254</v>
      </c>
      <c r="D594" s="431" t="s">
        <v>3433</v>
      </c>
      <c r="E594" s="431" t="s">
        <v>3434</v>
      </c>
      <c r="F594" s="431">
        <v>10928</v>
      </c>
      <c r="G594" s="431" t="s">
        <v>1107</v>
      </c>
      <c r="H594" s="431" t="s">
        <v>2257</v>
      </c>
      <c r="I594" s="431" t="s">
        <v>2258</v>
      </c>
      <c r="J594" s="432">
        <v>46234</v>
      </c>
    </row>
    <row r="595" spans="1:10">
      <c r="A595" s="431">
        <v>625</v>
      </c>
      <c r="B595" s="431" t="s">
        <v>2253</v>
      </c>
      <c r="C595" s="431" t="s">
        <v>2254</v>
      </c>
      <c r="D595" s="431" t="s">
        <v>3435</v>
      </c>
      <c r="E595" s="431" t="s">
        <v>3436</v>
      </c>
      <c r="F595" s="431">
        <v>448</v>
      </c>
      <c r="G595" s="431" t="s">
        <v>691</v>
      </c>
      <c r="H595" s="431" t="s">
        <v>2257</v>
      </c>
      <c r="I595" s="431" t="s">
        <v>2258</v>
      </c>
      <c r="J595" s="432">
        <v>46234</v>
      </c>
    </row>
    <row r="596" spans="1:10">
      <c r="A596" s="431">
        <v>626</v>
      </c>
      <c r="B596" s="431" t="s">
        <v>2253</v>
      </c>
      <c r="C596" s="433" t="s">
        <v>2254</v>
      </c>
      <c r="D596" s="431" t="s">
        <v>3437</v>
      </c>
      <c r="E596" s="431" t="s">
        <v>3438</v>
      </c>
      <c r="F596" s="431">
        <v>5270</v>
      </c>
      <c r="G596" s="431" t="s">
        <v>1107</v>
      </c>
      <c r="H596" s="431" t="s">
        <v>2257</v>
      </c>
      <c r="I596" s="431" t="s">
        <v>2258</v>
      </c>
      <c r="J596" s="432">
        <v>46234</v>
      </c>
    </row>
    <row r="597" spans="1:10">
      <c r="A597" s="431">
        <v>627</v>
      </c>
      <c r="B597" s="431" t="s">
        <v>2253</v>
      </c>
      <c r="C597" s="431" t="s">
        <v>2254</v>
      </c>
      <c r="D597" s="431" t="s">
        <v>3439</v>
      </c>
      <c r="E597" s="431" t="s">
        <v>3440</v>
      </c>
      <c r="F597" s="431">
        <v>5525</v>
      </c>
      <c r="G597" s="431" t="s">
        <v>1107</v>
      </c>
      <c r="H597" s="431" t="s">
        <v>2257</v>
      </c>
      <c r="I597" s="431" t="s">
        <v>2258</v>
      </c>
      <c r="J597" s="432">
        <v>46234</v>
      </c>
    </row>
    <row r="598" spans="1:10">
      <c r="A598" s="431">
        <v>628</v>
      </c>
      <c r="B598" s="431" t="s">
        <v>2253</v>
      </c>
      <c r="C598" s="431" t="s">
        <v>2254</v>
      </c>
      <c r="D598" s="431" t="s">
        <v>3441</v>
      </c>
      <c r="E598" s="431" t="s">
        <v>3442</v>
      </c>
      <c r="F598" s="431">
        <v>5728</v>
      </c>
      <c r="G598" s="431" t="s">
        <v>1107</v>
      </c>
      <c r="H598" s="431" t="s">
        <v>2257</v>
      </c>
      <c r="I598" s="431" t="s">
        <v>2258</v>
      </c>
      <c r="J598" s="432">
        <v>46234</v>
      </c>
    </row>
    <row r="599" spans="1:10">
      <c r="A599" s="431">
        <v>629</v>
      </c>
      <c r="B599" s="431" t="s">
        <v>2253</v>
      </c>
      <c r="C599" s="431" t="s">
        <v>2254</v>
      </c>
      <c r="D599" s="431" t="s">
        <v>3443</v>
      </c>
      <c r="E599" s="431" t="s">
        <v>3444</v>
      </c>
      <c r="F599" s="431">
        <v>56</v>
      </c>
      <c r="G599" s="431" t="s">
        <v>691</v>
      </c>
      <c r="H599" s="431" t="s">
        <v>2257</v>
      </c>
      <c r="I599" s="431" t="s">
        <v>2258</v>
      </c>
      <c r="J599" s="432">
        <v>46234</v>
      </c>
    </row>
    <row r="600" spans="1:10">
      <c r="A600" s="431">
        <v>630</v>
      </c>
      <c r="B600" s="431" t="s">
        <v>2253</v>
      </c>
      <c r="C600" s="431" t="s">
        <v>2254</v>
      </c>
      <c r="D600" s="431" t="s">
        <v>3445</v>
      </c>
      <c r="E600" s="431" t="s">
        <v>3446</v>
      </c>
      <c r="F600" s="431">
        <v>1019</v>
      </c>
      <c r="G600" s="431" t="s">
        <v>691</v>
      </c>
      <c r="H600" s="431" t="s">
        <v>2257</v>
      </c>
      <c r="I600" s="431" t="s">
        <v>2258</v>
      </c>
      <c r="J600" s="432">
        <v>46234</v>
      </c>
    </row>
    <row r="601" spans="1:10">
      <c r="A601" s="431">
        <v>631</v>
      </c>
      <c r="B601" s="431" t="s">
        <v>2253</v>
      </c>
      <c r="C601" s="433" t="s">
        <v>2254</v>
      </c>
      <c r="D601" s="431" t="s">
        <v>3447</v>
      </c>
      <c r="E601" s="431" t="s">
        <v>3448</v>
      </c>
      <c r="F601" s="431">
        <v>486</v>
      </c>
      <c r="G601" s="431" t="s">
        <v>691</v>
      </c>
      <c r="H601" s="431" t="s">
        <v>2257</v>
      </c>
      <c r="I601" s="431" t="s">
        <v>2258</v>
      </c>
      <c r="J601" s="432">
        <v>46234</v>
      </c>
    </row>
    <row r="602" spans="1:10">
      <c r="A602" s="431">
        <v>632</v>
      </c>
      <c r="B602" s="431" t="s">
        <v>2253</v>
      </c>
      <c r="C602" s="431" t="s">
        <v>2254</v>
      </c>
      <c r="D602" s="431" t="s">
        <v>3449</v>
      </c>
      <c r="E602" s="431" t="s">
        <v>3450</v>
      </c>
      <c r="F602" s="431">
        <v>486</v>
      </c>
      <c r="G602" s="431" t="s">
        <v>691</v>
      </c>
      <c r="H602" s="431" t="s">
        <v>2257</v>
      </c>
      <c r="I602" s="431" t="s">
        <v>2258</v>
      </c>
      <c r="J602" s="432">
        <v>46234</v>
      </c>
    </row>
    <row r="603" spans="1:10">
      <c r="A603" s="431">
        <v>633</v>
      </c>
      <c r="B603" s="431" t="s">
        <v>2253</v>
      </c>
      <c r="C603" s="433" t="s">
        <v>2254</v>
      </c>
      <c r="D603" s="431" t="s">
        <v>3451</v>
      </c>
      <c r="E603" s="431" t="s">
        <v>3452</v>
      </c>
      <c r="F603" s="431">
        <v>130</v>
      </c>
      <c r="G603" s="431" t="s">
        <v>691</v>
      </c>
      <c r="H603" s="431" t="s">
        <v>2257</v>
      </c>
      <c r="I603" s="431" t="s">
        <v>2258</v>
      </c>
      <c r="J603" s="432">
        <v>46234</v>
      </c>
    </row>
    <row r="604" spans="1:10">
      <c r="A604" s="431">
        <v>634</v>
      </c>
      <c r="B604" s="431" t="s">
        <v>2253</v>
      </c>
      <c r="C604" s="433" t="s">
        <v>2254</v>
      </c>
      <c r="D604" s="431" t="s">
        <v>3453</v>
      </c>
      <c r="E604" s="431" t="s">
        <v>3454</v>
      </c>
      <c r="F604" s="431">
        <v>10</v>
      </c>
      <c r="G604" s="431" t="s">
        <v>1107</v>
      </c>
      <c r="H604" s="431" t="s">
        <v>2257</v>
      </c>
      <c r="I604" s="431" t="s">
        <v>2258</v>
      </c>
      <c r="J604" s="432">
        <v>46234</v>
      </c>
    </row>
    <row r="605" spans="1:10">
      <c r="A605" s="431">
        <v>635</v>
      </c>
      <c r="B605" s="431" t="s">
        <v>2253</v>
      </c>
      <c r="C605" s="433" t="s">
        <v>2254</v>
      </c>
      <c r="D605" s="431" t="s">
        <v>3455</v>
      </c>
      <c r="E605" s="431" t="s">
        <v>3456</v>
      </c>
      <c r="F605" s="431">
        <v>100</v>
      </c>
      <c r="G605" s="431" t="s">
        <v>1107</v>
      </c>
      <c r="H605" s="431" t="s">
        <v>2257</v>
      </c>
      <c r="I605" s="431" t="s">
        <v>2258</v>
      </c>
      <c r="J605" s="432">
        <v>46234</v>
      </c>
    </row>
    <row r="606" spans="1:10">
      <c r="A606" s="431">
        <v>636</v>
      </c>
      <c r="B606" s="431" t="s">
        <v>2253</v>
      </c>
      <c r="C606" s="431" t="s">
        <v>2254</v>
      </c>
      <c r="D606" s="431" t="s">
        <v>3457</v>
      </c>
      <c r="E606" s="431" t="s">
        <v>3458</v>
      </c>
      <c r="F606" s="431">
        <v>75</v>
      </c>
      <c r="G606" s="431" t="s">
        <v>1107</v>
      </c>
      <c r="H606" s="431" t="s">
        <v>2257</v>
      </c>
      <c r="I606" s="431" t="s">
        <v>2258</v>
      </c>
      <c r="J606" s="432">
        <v>46234</v>
      </c>
    </row>
    <row r="607" spans="1:10">
      <c r="A607" s="431">
        <v>637</v>
      </c>
      <c r="B607" s="431" t="s">
        <v>2253</v>
      </c>
      <c r="C607" s="433" t="s">
        <v>2254</v>
      </c>
      <c r="D607" s="431" t="s">
        <v>3459</v>
      </c>
      <c r="E607" s="431" t="s">
        <v>3460</v>
      </c>
      <c r="F607" s="431">
        <v>75</v>
      </c>
      <c r="G607" s="431" t="s">
        <v>1107</v>
      </c>
      <c r="H607" s="431" t="s">
        <v>2257</v>
      </c>
      <c r="I607" s="431" t="s">
        <v>2258</v>
      </c>
      <c r="J607" s="432">
        <v>46234</v>
      </c>
    </row>
    <row r="608" spans="1:10">
      <c r="A608" s="431">
        <v>638</v>
      </c>
      <c r="B608" s="431" t="s">
        <v>2253</v>
      </c>
      <c r="C608" s="431" t="s">
        <v>2254</v>
      </c>
      <c r="D608" s="431" t="s">
        <v>3461</v>
      </c>
      <c r="E608" s="431" t="s">
        <v>3462</v>
      </c>
      <c r="F608" s="431">
        <v>850</v>
      </c>
      <c r="G608" s="431" t="s">
        <v>21</v>
      </c>
      <c r="H608" s="431" t="s">
        <v>2573</v>
      </c>
      <c r="I608" s="431" t="s">
        <v>2574</v>
      </c>
      <c r="J608" s="432">
        <v>46234</v>
      </c>
    </row>
    <row r="609" spans="1:10">
      <c r="A609" s="431">
        <v>639</v>
      </c>
      <c r="B609" s="431" t="s">
        <v>2253</v>
      </c>
      <c r="C609" s="433" t="s">
        <v>2254</v>
      </c>
      <c r="D609" s="431" t="s">
        <v>3463</v>
      </c>
      <c r="E609" s="431" t="s">
        <v>3464</v>
      </c>
      <c r="F609" s="431">
        <v>1750</v>
      </c>
      <c r="G609" s="431" t="s">
        <v>21</v>
      </c>
      <c r="H609" s="431" t="s">
        <v>2257</v>
      </c>
      <c r="I609" s="431" t="s">
        <v>2258</v>
      </c>
      <c r="J609" s="432">
        <v>46234</v>
      </c>
    </row>
    <row r="610" spans="1:10">
      <c r="A610" s="431">
        <v>640</v>
      </c>
      <c r="B610" s="431" t="s">
        <v>2253</v>
      </c>
      <c r="C610" s="433" t="s">
        <v>2254</v>
      </c>
      <c r="D610" s="431" t="s">
        <v>3465</v>
      </c>
      <c r="E610" s="431" t="s">
        <v>3466</v>
      </c>
      <c r="F610" s="431">
        <v>1500</v>
      </c>
      <c r="G610" s="431" t="s">
        <v>21</v>
      </c>
      <c r="H610" s="431" t="s">
        <v>2257</v>
      </c>
      <c r="I610" s="431" t="s">
        <v>2258</v>
      </c>
      <c r="J610" s="432">
        <v>46234</v>
      </c>
    </row>
    <row r="611" spans="1:10">
      <c r="A611" s="431">
        <v>641</v>
      </c>
      <c r="B611" s="431" t="s">
        <v>2253</v>
      </c>
      <c r="C611" s="431" t="s">
        <v>2254</v>
      </c>
      <c r="D611" s="431" t="s">
        <v>3467</v>
      </c>
      <c r="E611" s="431" t="s">
        <v>3468</v>
      </c>
      <c r="F611" s="431">
        <v>498</v>
      </c>
      <c r="G611" s="431" t="s">
        <v>209</v>
      </c>
      <c r="H611" s="431" t="s">
        <v>2257</v>
      </c>
      <c r="I611" s="431" t="s">
        <v>2258</v>
      </c>
      <c r="J611" s="432">
        <v>46234</v>
      </c>
    </row>
    <row r="612" spans="1:10">
      <c r="A612" s="431">
        <v>642</v>
      </c>
      <c r="B612" s="431" t="s">
        <v>2253</v>
      </c>
      <c r="C612" s="431" t="s">
        <v>2254</v>
      </c>
      <c r="D612" s="431" t="s">
        <v>3469</v>
      </c>
      <c r="E612" s="431" t="s">
        <v>3470</v>
      </c>
      <c r="F612" s="431">
        <v>670</v>
      </c>
      <c r="G612" s="431" t="s">
        <v>2466</v>
      </c>
      <c r="H612" s="431" t="s">
        <v>2257</v>
      </c>
      <c r="I612" s="431" t="s">
        <v>2258</v>
      </c>
      <c r="J612" s="432">
        <v>46234</v>
      </c>
    </row>
    <row r="613" spans="1:10">
      <c r="A613" s="431">
        <v>643</v>
      </c>
      <c r="B613" s="431" t="s">
        <v>2253</v>
      </c>
      <c r="C613" s="431" t="s">
        <v>2254</v>
      </c>
      <c r="D613" s="431" t="s">
        <v>3471</v>
      </c>
      <c r="E613" s="431" t="s">
        <v>3472</v>
      </c>
      <c r="F613" s="431">
        <v>65</v>
      </c>
      <c r="G613" s="431" t="s">
        <v>812</v>
      </c>
      <c r="H613" s="431" t="s">
        <v>2257</v>
      </c>
      <c r="I613" s="431" t="s">
        <v>2258</v>
      </c>
      <c r="J613" s="432">
        <v>46234</v>
      </c>
    </row>
    <row r="614" spans="1:10">
      <c r="A614" s="431">
        <v>644</v>
      </c>
      <c r="B614" s="431" t="s">
        <v>2253</v>
      </c>
      <c r="C614" s="431" t="s">
        <v>2254</v>
      </c>
      <c r="D614" s="431" t="s">
        <v>3473</v>
      </c>
      <c r="E614" s="431" t="s">
        <v>3474</v>
      </c>
      <c r="F614" s="431">
        <v>220</v>
      </c>
      <c r="G614" s="431" t="s">
        <v>812</v>
      </c>
      <c r="H614" s="431" t="s">
        <v>2257</v>
      </c>
      <c r="I614" s="431" t="s">
        <v>2258</v>
      </c>
      <c r="J614" s="432">
        <v>46234</v>
      </c>
    </row>
    <row r="615" spans="1:10">
      <c r="A615" s="431">
        <v>645</v>
      </c>
      <c r="B615" s="431" t="s">
        <v>2253</v>
      </c>
      <c r="C615" s="431" t="s">
        <v>2254</v>
      </c>
      <c r="D615" s="431" t="s">
        <v>3475</v>
      </c>
      <c r="E615" s="431" t="s">
        <v>3476</v>
      </c>
      <c r="F615" s="431">
        <v>11</v>
      </c>
      <c r="G615" s="431" t="s">
        <v>1107</v>
      </c>
      <c r="H615" s="431" t="s">
        <v>2257</v>
      </c>
      <c r="I615" s="431" t="s">
        <v>2258</v>
      </c>
      <c r="J615" s="432">
        <v>46234</v>
      </c>
    </row>
    <row r="616" spans="1:10">
      <c r="A616" s="431">
        <v>646</v>
      </c>
      <c r="B616" s="431" t="s">
        <v>2253</v>
      </c>
      <c r="C616" s="431" t="s">
        <v>2254</v>
      </c>
      <c r="D616" s="431" t="s">
        <v>3477</v>
      </c>
      <c r="E616" s="431" t="s">
        <v>3478</v>
      </c>
      <c r="F616" s="431">
        <v>18</v>
      </c>
      <c r="G616" s="431" t="s">
        <v>1107</v>
      </c>
      <c r="H616" s="431" t="s">
        <v>2257</v>
      </c>
      <c r="I616" s="431" t="s">
        <v>2258</v>
      </c>
      <c r="J616" s="432">
        <v>46234</v>
      </c>
    </row>
    <row r="617" spans="1:10">
      <c r="A617" s="431">
        <v>647</v>
      </c>
      <c r="B617" s="431" t="s">
        <v>2253</v>
      </c>
      <c r="C617" s="431" t="s">
        <v>2254</v>
      </c>
      <c r="D617" s="431" t="s">
        <v>3479</v>
      </c>
      <c r="E617" s="431" t="s">
        <v>3480</v>
      </c>
      <c r="F617" s="431">
        <v>35</v>
      </c>
      <c r="G617" s="431" t="s">
        <v>1107</v>
      </c>
      <c r="H617" s="431" t="s">
        <v>2257</v>
      </c>
      <c r="I617" s="431" t="s">
        <v>2258</v>
      </c>
      <c r="J617" s="432">
        <v>46234</v>
      </c>
    </row>
    <row r="618" spans="1:10">
      <c r="A618" s="431">
        <v>648</v>
      </c>
      <c r="B618" s="431" t="s">
        <v>2560</v>
      </c>
      <c r="C618" s="431" t="s">
        <v>2254</v>
      </c>
      <c r="D618" s="431" t="s">
        <v>3481</v>
      </c>
      <c r="E618" s="431" t="s">
        <v>3482</v>
      </c>
      <c r="F618" s="431">
        <v>7</v>
      </c>
      <c r="G618" s="431" t="s">
        <v>2443</v>
      </c>
      <c r="H618" s="431" t="s">
        <v>2257</v>
      </c>
      <c r="I618" s="431" t="s">
        <v>2258</v>
      </c>
      <c r="J618" s="432">
        <v>46234</v>
      </c>
    </row>
    <row r="619" spans="1:10">
      <c r="A619" s="431">
        <v>649</v>
      </c>
      <c r="B619" s="431" t="s">
        <v>2560</v>
      </c>
      <c r="C619" s="431" t="s">
        <v>2254</v>
      </c>
      <c r="D619" s="431" t="s">
        <v>3483</v>
      </c>
      <c r="E619" s="431" t="s">
        <v>3484</v>
      </c>
      <c r="F619" s="431">
        <v>10</v>
      </c>
      <c r="G619" s="431" t="s">
        <v>2443</v>
      </c>
      <c r="H619" s="431" t="s">
        <v>2257</v>
      </c>
      <c r="I619" s="431" t="s">
        <v>2258</v>
      </c>
      <c r="J619" s="432">
        <v>46234</v>
      </c>
    </row>
    <row r="620" spans="1:10">
      <c r="A620" s="431">
        <v>650</v>
      </c>
      <c r="B620" s="431" t="s">
        <v>2253</v>
      </c>
      <c r="C620" s="431" t="s">
        <v>2254</v>
      </c>
      <c r="D620" s="431" t="s">
        <v>3485</v>
      </c>
      <c r="E620" s="431" t="s">
        <v>3486</v>
      </c>
      <c r="F620" s="431">
        <v>25</v>
      </c>
      <c r="G620" s="431" t="s">
        <v>1107</v>
      </c>
      <c r="H620" s="431" t="s">
        <v>2257</v>
      </c>
      <c r="I620" s="431" t="s">
        <v>2258</v>
      </c>
      <c r="J620" s="432">
        <v>46234</v>
      </c>
    </row>
    <row r="621" spans="1:10">
      <c r="A621" s="431">
        <v>651</v>
      </c>
      <c r="B621" s="431" t="s">
        <v>2253</v>
      </c>
      <c r="C621" s="431" t="s">
        <v>2254</v>
      </c>
      <c r="D621" s="431" t="s">
        <v>3487</v>
      </c>
      <c r="E621" s="431" t="s">
        <v>3488</v>
      </c>
      <c r="F621" s="431">
        <v>40</v>
      </c>
      <c r="G621" s="431" t="s">
        <v>691</v>
      </c>
      <c r="H621" s="431" t="s">
        <v>2257</v>
      </c>
      <c r="I621" s="431" t="s">
        <v>2258</v>
      </c>
      <c r="J621" s="432">
        <v>46234</v>
      </c>
    </row>
    <row r="622" spans="1:10">
      <c r="A622" s="431">
        <v>652</v>
      </c>
      <c r="B622" s="431" t="s">
        <v>2253</v>
      </c>
      <c r="C622" s="431" t="s">
        <v>2254</v>
      </c>
      <c r="D622" s="431" t="s">
        <v>3489</v>
      </c>
      <c r="E622" s="431" t="s">
        <v>3490</v>
      </c>
      <c r="F622" s="431">
        <v>120</v>
      </c>
      <c r="G622" s="431" t="s">
        <v>691</v>
      </c>
      <c r="H622" s="431" t="s">
        <v>2257</v>
      </c>
      <c r="I622" s="431" t="s">
        <v>2258</v>
      </c>
      <c r="J622" s="432">
        <v>46234</v>
      </c>
    </row>
    <row r="623" spans="1:10">
      <c r="A623" s="431">
        <v>654</v>
      </c>
      <c r="B623" s="431" t="s">
        <v>2253</v>
      </c>
      <c r="C623" s="431" t="s">
        <v>2254</v>
      </c>
      <c r="D623" s="431" t="s">
        <v>3491</v>
      </c>
      <c r="E623" s="431" t="s">
        <v>3492</v>
      </c>
      <c r="F623" s="431">
        <v>500</v>
      </c>
      <c r="G623" s="431" t="s">
        <v>691</v>
      </c>
      <c r="H623" s="431" t="s">
        <v>2257</v>
      </c>
      <c r="I623" s="431" t="s">
        <v>2258</v>
      </c>
      <c r="J623" s="432">
        <v>46234</v>
      </c>
    </row>
    <row r="624" spans="1:10">
      <c r="A624" s="431">
        <v>655</v>
      </c>
      <c r="B624" s="431" t="s">
        <v>2560</v>
      </c>
      <c r="C624" s="431" t="s">
        <v>2254</v>
      </c>
      <c r="D624" s="431" t="s">
        <v>3493</v>
      </c>
      <c r="E624" s="431" t="s">
        <v>3494</v>
      </c>
      <c r="F624" s="431">
        <v>45</v>
      </c>
      <c r="G624" s="431" t="s">
        <v>2443</v>
      </c>
      <c r="H624" s="431" t="s">
        <v>2257</v>
      </c>
      <c r="I624" s="431" t="s">
        <v>2258</v>
      </c>
      <c r="J624" s="432">
        <v>46234</v>
      </c>
    </row>
    <row r="625" spans="1:10">
      <c r="A625" s="431">
        <v>656</v>
      </c>
      <c r="B625" s="431" t="s">
        <v>2560</v>
      </c>
      <c r="C625" s="431" t="s">
        <v>2254</v>
      </c>
      <c r="D625" s="431" t="s">
        <v>3495</v>
      </c>
      <c r="E625" s="431" t="s">
        <v>3496</v>
      </c>
      <c r="F625" s="431">
        <v>405</v>
      </c>
      <c r="G625" s="431" t="s">
        <v>2443</v>
      </c>
      <c r="H625" s="431" t="s">
        <v>2257</v>
      </c>
      <c r="I625" s="431" t="s">
        <v>2258</v>
      </c>
      <c r="J625" s="432">
        <v>46234</v>
      </c>
    </row>
    <row r="626" spans="1:10">
      <c r="A626" s="431">
        <v>657</v>
      </c>
      <c r="B626" s="431" t="s">
        <v>2560</v>
      </c>
      <c r="C626" s="431" t="s">
        <v>2254</v>
      </c>
      <c r="D626" s="431" t="s">
        <v>3497</v>
      </c>
      <c r="E626" s="431" t="s">
        <v>3498</v>
      </c>
      <c r="F626" s="431">
        <v>8</v>
      </c>
      <c r="G626" s="431" t="s">
        <v>2443</v>
      </c>
      <c r="H626" s="431" t="s">
        <v>2257</v>
      </c>
      <c r="I626" s="431" t="s">
        <v>2258</v>
      </c>
      <c r="J626" s="432">
        <v>46234</v>
      </c>
    </row>
    <row r="627" spans="1:10">
      <c r="A627" s="431">
        <v>658</v>
      </c>
      <c r="B627" s="431" t="s">
        <v>2560</v>
      </c>
      <c r="C627" s="431" t="s">
        <v>2254</v>
      </c>
      <c r="D627" s="431" t="s">
        <v>3499</v>
      </c>
      <c r="E627" s="431" t="s">
        <v>3500</v>
      </c>
      <c r="F627" s="431">
        <v>3173</v>
      </c>
      <c r="G627" s="431" t="s">
        <v>2443</v>
      </c>
      <c r="H627" s="431" t="s">
        <v>2257</v>
      </c>
      <c r="I627" s="431" t="s">
        <v>2258</v>
      </c>
      <c r="J627" s="432">
        <v>46234</v>
      </c>
    </row>
    <row r="628" spans="1:10">
      <c r="A628" s="431">
        <v>659</v>
      </c>
      <c r="B628" s="431" t="s">
        <v>2560</v>
      </c>
      <c r="C628" s="431" t="s">
        <v>2254</v>
      </c>
      <c r="D628" s="431" t="s">
        <v>3501</v>
      </c>
      <c r="E628" s="431" t="s">
        <v>3502</v>
      </c>
      <c r="F628" s="431">
        <v>88</v>
      </c>
      <c r="G628" s="431" t="s">
        <v>2443</v>
      </c>
      <c r="H628" s="431" t="s">
        <v>2257</v>
      </c>
      <c r="I628" s="431" t="s">
        <v>2258</v>
      </c>
      <c r="J628" s="432">
        <v>46234</v>
      </c>
    </row>
    <row r="629" spans="1:10">
      <c r="A629" s="431">
        <v>660</v>
      </c>
      <c r="B629" s="431" t="s">
        <v>2560</v>
      </c>
      <c r="C629" s="431" t="s">
        <v>2254</v>
      </c>
      <c r="D629" s="431" t="s">
        <v>3503</v>
      </c>
      <c r="E629" s="431" t="s">
        <v>3504</v>
      </c>
      <c r="F629" s="431">
        <v>234</v>
      </c>
      <c r="G629" s="431" t="s">
        <v>2443</v>
      </c>
      <c r="H629" s="431" t="s">
        <v>2257</v>
      </c>
      <c r="I629" s="431" t="s">
        <v>2258</v>
      </c>
      <c r="J629" s="432">
        <v>46234</v>
      </c>
    </row>
    <row r="630" spans="1:10">
      <c r="A630" s="431">
        <v>661</v>
      </c>
      <c r="B630" s="431" t="s">
        <v>2560</v>
      </c>
      <c r="C630" s="431" t="s">
        <v>2254</v>
      </c>
      <c r="D630" s="431" t="s">
        <v>3505</v>
      </c>
      <c r="E630" s="431" t="s">
        <v>3506</v>
      </c>
      <c r="F630" s="431">
        <v>272</v>
      </c>
      <c r="G630" s="431" t="s">
        <v>2443</v>
      </c>
      <c r="H630" s="431" t="s">
        <v>2257</v>
      </c>
      <c r="I630" s="431" t="s">
        <v>2258</v>
      </c>
      <c r="J630" s="432">
        <v>46234</v>
      </c>
    </row>
    <row r="631" spans="1:10">
      <c r="A631" s="431">
        <v>662</v>
      </c>
      <c r="B631" s="431" t="s">
        <v>2560</v>
      </c>
      <c r="C631" s="431" t="s">
        <v>2254</v>
      </c>
      <c r="D631" s="431" t="s">
        <v>3507</v>
      </c>
      <c r="E631" s="431" t="s">
        <v>3508</v>
      </c>
      <c r="F631" s="431">
        <v>1077</v>
      </c>
      <c r="G631" s="431" t="s">
        <v>2443</v>
      </c>
      <c r="H631" s="431" t="s">
        <v>2257</v>
      </c>
      <c r="I631" s="431" t="s">
        <v>2258</v>
      </c>
      <c r="J631" s="432">
        <v>46234</v>
      </c>
    </row>
    <row r="632" spans="1:10">
      <c r="A632" s="431">
        <v>663</v>
      </c>
      <c r="B632" s="431" t="s">
        <v>2560</v>
      </c>
      <c r="C632" s="431" t="s">
        <v>2254</v>
      </c>
      <c r="D632" s="431" t="s">
        <v>3509</v>
      </c>
      <c r="E632" s="431" t="s">
        <v>3510</v>
      </c>
      <c r="F632" s="431">
        <v>1383</v>
      </c>
      <c r="G632" s="431" t="s">
        <v>2443</v>
      </c>
      <c r="H632" s="431" t="s">
        <v>2257</v>
      </c>
      <c r="I632" s="431" t="s">
        <v>2258</v>
      </c>
      <c r="J632" s="432">
        <v>46234</v>
      </c>
    </row>
    <row r="633" spans="1:10">
      <c r="A633" s="431">
        <v>664</v>
      </c>
      <c r="B633" s="431" t="s">
        <v>2560</v>
      </c>
      <c r="C633" s="431" t="s">
        <v>2254</v>
      </c>
      <c r="D633" s="431" t="s">
        <v>3511</v>
      </c>
      <c r="E633" s="431" t="s">
        <v>3512</v>
      </c>
      <c r="F633" s="431">
        <v>2267</v>
      </c>
      <c r="G633" s="431" t="s">
        <v>2443</v>
      </c>
      <c r="H633" s="431" t="s">
        <v>2257</v>
      </c>
      <c r="I633" s="431" t="s">
        <v>2258</v>
      </c>
      <c r="J633" s="432">
        <v>46234</v>
      </c>
    </row>
    <row r="634" spans="1:10">
      <c r="A634" s="431">
        <v>665</v>
      </c>
      <c r="B634" s="431" t="s">
        <v>2560</v>
      </c>
      <c r="C634" s="431" t="s">
        <v>2254</v>
      </c>
      <c r="D634" s="431" t="s">
        <v>3513</v>
      </c>
      <c r="E634" s="431" t="s">
        <v>3514</v>
      </c>
      <c r="F634" s="431">
        <v>4175</v>
      </c>
      <c r="G634" s="431" t="s">
        <v>2443</v>
      </c>
      <c r="H634" s="431" t="s">
        <v>2257</v>
      </c>
      <c r="I634" s="431" t="s">
        <v>2258</v>
      </c>
      <c r="J634" s="432">
        <v>46234</v>
      </c>
    </row>
    <row r="635" spans="1:10">
      <c r="A635" s="431">
        <v>666</v>
      </c>
      <c r="B635" s="431" t="s">
        <v>2560</v>
      </c>
      <c r="C635" s="431" t="s">
        <v>2254</v>
      </c>
      <c r="D635" s="431" t="s">
        <v>3515</v>
      </c>
      <c r="E635" s="431" t="s">
        <v>3516</v>
      </c>
      <c r="F635" s="431">
        <v>551</v>
      </c>
      <c r="G635" s="431" t="s">
        <v>2443</v>
      </c>
      <c r="H635" s="431" t="s">
        <v>2257</v>
      </c>
      <c r="I635" s="431" t="s">
        <v>2258</v>
      </c>
      <c r="J635" s="432">
        <v>46234</v>
      </c>
    </row>
    <row r="636" spans="1:10">
      <c r="A636" s="431">
        <v>667</v>
      </c>
      <c r="B636" s="431" t="s">
        <v>2560</v>
      </c>
      <c r="C636" s="431" t="s">
        <v>2254</v>
      </c>
      <c r="D636" s="431" t="s">
        <v>3517</v>
      </c>
      <c r="E636" s="431" t="s">
        <v>3518</v>
      </c>
      <c r="F636" s="431">
        <v>66</v>
      </c>
      <c r="G636" s="431" t="s">
        <v>26</v>
      </c>
      <c r="H636" s="431" t="s">
        <v>2257</v>
      </c>
      <c r="I636" s="431" t="s">
        <v>2258</v>
      </c>
      <c r="J636" s="432">
        <v>46234</v>
      </c>
    </row>
    <row r="637" spans="1:10">
      <c r="A637" s="431">
        <v>668</v>
      </c>
      <c r="B637" s="431" t="s">
        <v>2560</v>
      </c>
      <c r="C637" s="431" t="s">
        <v>2254</v>
      </c>
      <c r="D637" s="431" t="s">
        <v>3519</v>
      </c>
      <c r="E637" s="431" t="s">
        <v>3520</v>
      </c>
      <c r="F637" s="431">
        <v>48</v>
      </c>
      <c r="G637" s="431" t="s">
        <v>26</v>
      </c>
      <c r="H637" s="431" t="s">
        <v>2573</v>
      </c>
      <c r="I637" s="431" t="s">
        <v>2574</v>
      </c>
      <c r="J637" s="432">
        <v>46234</v>
      </c>
    </row>
    <row r="638" spans="1:10">
      <c r="A638" s="431">
        <v>669</v>
      </c>
      <c r="B638" s="431" t="s">
        <v>2560</v>
      </c>
      <c r="C638" s="431" t="s">
        <v>2254</v>
      </c>
      <c r="D638" s="431" t="s">
        <v>3521</v>
      </c>
      <c r="E638" s="431" t="s">
        <v>3522</v>
      </c>
      <c r="F638" s="431">
        <v>1737</v>
      </c>
      <c r="G638" s="431" t="s">
        <v>26</v>
      </c>
      <c r="H638" s="431" t="s">
        <v>2257</v>
      </c>
      <c r="I638" s="431" t="s">
        <v>2258</v>
      </c>
      <c r="J638" s="432">
        <v>46234</v>
      </c>
    </row>
    <row r="639" spans="1:10">
      <c r="A639" s="431">
        <v>670</v>
      </c>
      <c r="B639" s="431" t="s">
        <v>2560</v>
      </c>
      <c r="C639" s="431" t="s">
        <v>2254</v>
      </c>
      <c r="D639" s="431" t="s">
        <v>3523</v>
      </c>
      <c r="E639" s="431" t="s">
        <v>3524</v>
      </c>
      <c r="F639" s="431">
        <v>27</v>
      </c>
      <c r="G639" s="431" t="s">
        <v>26</v>
      </c>
      <c r="H639" s="431" t="s">
        <v>2257</v>
      </c>
      <c r="I639" s="431" t="s">
        <v>2258</v>
      </c>
      <c r="J639" s="432">
        <v>46234</v>
      </c>
    </row>
    <row r="640" spans="1:10">
      <c r="A640" s="431">
        <v>672</v>
      </c>
      <c r="B640" s="431" t="s">
        <v>2253</v>
      </c>
      <c r="C640" s="431" t="s">
        <v>2254</v>
      </c>
      <c r="D640" s="431" t="s">
        <v>3525</v>
      </c>
      <c r="E640" s="431" t="s">
        <v>3526</v>
      </c>
      <c r="F640" s="431">
        <v>25</v>
      </c>
      <c r="G640" s="431" t="s">
        <v>1107</v>
      </c>
      <c r="H640" s="431" t="s">
        <v>2257</v>
      </c>
      <c r="I640" s="431" t="s">
        <v>2258</v>
      </c>
      <c r="J640" s="432">
        <v>46234</v>
      </c>
    </row>
    <row r="641" spans="1:10">
      <c r="A641" s="431">
        <v>673</v>
      </c>
      <c r="B641" s="431" t="s">
        <v>2253</v>
      </c>
      <c r="C641" s="431" t="s">
        <v>2254</v>
      </c>
      <c r="D641" s="431" t="s">
        <v>3527</v>
      </c>
      <c r="E641" s="431" t="s">
        <v>3528</v>
      </c>
      <c r="F641" s="431">
        <v>33750</v>
      </c>
      <c r="G641" s="431" t="s">
        <v>1107</v>
      </c>
      <c r="H641" s="431" t="s">
        <v>2257</v>
      </c>
      <c r="I641" s="431" t="s">
        <v>2258</v>
      </c>
      <c r="J641" s="432">
        <v>46234</v>
      </c>
    </row>
    <row r="642" spans="1:10">
      <c r="A642" s="431">
        <v>674</v>
      </c>
      <c r="B642" s="431" t="s">
        <v>2253</v>
      </c>
      <c r="C642" s="431" t="s">
        <v>2254</v>
      </c>
      <c r="D642" s="431" t="s">
        <v>3529</v>
      </c>
      <c r="E642" s="431" t="s">
        <v>3530</v>
      </c>
      <c r="F642" s="431">
        <v>26500</v>
      </c>
      <c r="G642" s="431" t="s">
        <v>1107</v>
      </c>
      <c r="H642" s="431" t="s">
        <v>2257</v>
      </c>
      <c r="I642" s="431" t="s">
        <v>2258</v>
      </c>
      <c r="J642" s="432">
        <v>46234</v>
      </c>
    </row>
    <row r="643" spans="1:10">
      <c r="A643" s="431">
        <v>675</v>
      </c>
      <c r="B643" s="431" t="s">
        <v>2253</v>
      </c>
      <c r="C643" s="431" t="s">
        <v>2254</v>
      </c>
      <c r="D643" s="431" t="s">
        <v>3531</v>
      </c>
      <c r="E643" s="431" t="s">
        <v>3532</v>
      </c>
      <c r="F643" s="431">
        <v>35000</v>
      </c>
      <c r="G643" s="431" t="s">
        <v>1107</v>
      </c>
      <c r="H643" s="431" t="s">
        <v>2257</v>
      </c>
      <c r="I643" s="431" t="s">
        <v>2258</v>
      </c>
      <c r="J643" s="432">
        <v>46234</v>
      </c>
    </row>
    <row r="644" spans="1:10">
      <c r="A644" s="431">
        <v>676</v>
      </c>
      <c r="B644" s="431" t="s">
        <v>2253</v>
      </c>
      <c r="C644" s="431" t="s">
        <v>2254</v>
      </c>
      <c r="D644" s="431" t="s">
        <v>3533</v>
      </c>
      <c r="E644" s="431" t="s">
        <v>3534</v>
      </c>
      <c r="F644" s="431">
        <v>51250</v>
      </c>
      <c r="G644" s="431" t="s">
        <v>1107</v>
      </c>
      <c r="H644" s="431" t="s">
        <v>2257</v>
      </c>
      <c r="I644" s="431" t="s">
        <v>2258</v>
      </c>
      <c r="J644" s="432">
        <v>46234</v>
      </c>
    </row>
    <row r="645" spans="1:10">
      <c r="A645" s="431">
        <v>677</v>
      </c>
      <c r="B645" s="431" t="s">
        <v>2253</v>
      </c>
      <c r="C645" s="431" t="s">
        <v>2254</v>
      </c>
      <c r="D645" s="431" t="s">
        <v>3535</v>
      </c>
      <c r="E645" s="431" t="s">
        <v>3536</v>
      </c>
      <c r="F645" s="431">
        <v>1750</v>
      </c>
      <c r="G645" s="431" t="s">
        <v>1107</v>
      </c>
      <c r="H645" s="431" t="s">
        <v>2257</v>
      </c>
      <c r="I645" s="431" t="s">
        <v>2258</v>
      </c>
      <c r="J645" s="432">
        <v>46234</v>
      </c>
    </row>
    <row r="646" spans="1:10">
      <c r="A646" s="431">
        <v>678</v>
      </c>
      <c r="B646" s="431" t="s">
        <v>2253</v>
      </c>
      <c r="C646" s="431" t="s">
        <v>2254</v>
      </c>
      <c r="D646" s="431" t="s">
        <v>3537</v>
      </c>
      <c r="E646" s="431" t="s">
        <v>3538</v>
      </c>
      <c r="F646" s="431">
        <v>36000</v>
      </c>
      <c r="G646" s="431" t="s">
        <v>1107</v>
      </c>
      <c r="H646" s="431" t="s">
        <v>2257</v>
      </c>
      <c r="I646" s="431" t="s">
        <v>2258</v>
      </c>
      <c r="J646" s="432">
        <v>46234</v>
      </c>
    </row>
    <row r="647" spans="1:10">
      <c r="A647" s="431">
        <v>679</v>
      </c>
      <c r="B647" s="431" t="s">
        <v>2253</v>
      </c>
      <c r="C647" s="431" t="s">
        <v>2254</v>
      </c>
      <c r="D647" s="431" t="s">
        <v>3539</v>
      </c>
      <c r="E647" s="431" t="s">
        <v>3540</v>
      </c>
      <c r="F647" s="431">
        <v>36000</v>
      </c>
      <c r="G647" s="431" t="s">
        <v>1107</v>
      </c>
      <c r="H647" s="431" t="s">
        <v>2257</v>
      </c>
      <c r="I647" s="431" t="s">
        <v>2258</v>
      </c>
      <c r="J647" s="432">
        <v>46234</v>
      </c>
    </row>
    <row r="648" spans="1:10">
      <c r="A648" s="431">
        <v>680</v>
      </c>
      <c r="B648" s="431" t="s">
        <v>2253</v>
      </c>
      <c r="C648" s="431" t="s">
        <v>2254</v>
      </c>
      <c r="D648" s="431" t="s">
        <v>3541</v>
      </c>
      <c r="E648" s="431" t="s">
        <v>3542</v>
      </c>
      <c r="F648" s="431">
        <v>50000</v>
      </c>
      <c r="G648" s="431" t="s">
        <v>1107</v>
      </c>
      <c r="H648" s="431" t="s">
        <v>2257</v>
      </c>
      <c r="I648" s="431" t="s">
        <v>2258</v>
      </c>
      <c r="J648" s="432">
        <v>46234</v>
      </c>
    </row>
    <row r="649" spans="1:10">
      <c r="A649" s="431">
        <v>681</v>
      </c>
      <c r="B649" s="431" t="s">
        <v>2253</v>
      </c>
      <c r="C649" s="433" t="s">
        <v>2254</v>
      </c>
      <c r="D649" s="431" t="s">
        <v>3543</v>
      </c>
      <c r="E649" s="431" t="s">
        <v>3544</v>
      </c>
      <c r="F649" s="431">
        <v>60000</v>
      </c>
      <c r="G649" s="431" t="s">
        <v>1107</v>
      </c>
      <c r="H649" s="431" t="s">
        <v>2257</v>
      </c>
      <c r="I649" s="431" t="s">
        <v>2258</v>
      </c>
      <c r="J649" s="432">
        <v>46234</v>
      </c>
    </row>
    <row r="650" spans="1:10">
      <c r="A650" s="431">
        <v>682</v>
      </c>
      <c r="B650" s="431" t="s">
        <v>2253</v>
      </c>
      <c r="C650" s="433" t="s">
        <v>2254</v>
      </c>
      <c r="D650" s="431" t="s">
        <v>3545</v>
      </c>
      <c r="E650" s="431" t="s">
        <v>3546</v>
      </c>
      <c r="F650" s="431">
        <v>9000</v>
      </c>
      <c r="G650" s="431" t="s">
        <v>1532</v>
      </c>
      <c r="H650" s="431" t="s">
        <v>2257</v>
      </c>
      <c r="I650" s="431" t="s">
        <v>2258</v>
      </c>
      <c r="J650" s="432">
        <v>46234</v>
      </c>
    </row>
    <row r="651" spans="1:10">
      <c r="A651" s="431">
        <v>683</v>
      </c>
      <c r="B651" s="431" t="s">
        <v>2253</v>
      </c>
      <c r="C651" s="431" t="s">
        <v>2254</v>
      </c>
      <c r="D651" s="431" t="s">
        <v>3547</v>
      </c>
      <c r="E651" s="431" t="s">
        <v>3548</v>
      </c>
      <c r="F651" s="431">
        <v>131</v>
      </c>
      <c r="G651" s="431" t="s">
        <v>691</v>
      </c>
      <c r="H651" s="431" t="s">
        <v>2257</v>
      </c>
      <c r="I651" s="431" t="s">
        <v>2258</v>
      </c>
      <c r="J651" s="432">
        <v>46234</v>
      </c>
    </row>
    <row r="652" spans="1:10">
      <c r="A652" s="431">
        <v>684</v>
      </c>
      <c r="B652" s="431" t="s">
        <v>2253</v>
      </c>
      <c r="C652" s="431" t="s">
        <v>2254</v>
      </c>
      <c r="D652" s="431" t="s">
        <v>3549</v>
      </c>
      <c r="E652" s="431" t="s">
        <v>3550</v>
      </c>
      <c r="F652" s="431">
        <v>160</v>
      </c>
      <c r="G652" s="431" t="s">
        <v>691</v>
      </c>
      <c r="H652" s="431" t="s">
        <v>2257</v>
      </c>
      <c r="I652" s="431" t="s">
        <v>2258</v>
      </c>
      <c r="J652" s="432">
        <v>46234</v>
      </c>
    </row>
    <row r="653" spans="1:10">
      <c r="A653" s="431">
        <v>685</v>
      </c>
      <c r="B653" s="431" t="s">
        <v>2253</v>
      </c>
      <c r="C653" s="431" t="s">
        <v>2254</v>
      </c>
      <c r="D653" s="431" t="s">
        <v>3551</v>
      </c>
      <c r="E653" s="431" t="s">
        <v>3552</v>
      </c>
      <c r="F653" s="431">
        <v>2000</v>
      </c>
      <c r="G653" s="431" t="s">
        <v>1107</v>
      </c>
      <c r="H653" s="431" t="s">
        <v>2257</v>
      </c>
      <c r="I653" s="431" t="s">
        <v>2258</v>
      </c>
      <c r="J653" s="432">
        <v>46234</v>
      </c>
    </row>
    <row r="654" spans="1:10">
      <c r="A654" s="431">
        <v>687</v>
      </c>
      <c r="B654" s="431" t="s">
        <v>2253</v>
      </c>
      <c r="C654" s="431" t="s">
        <v>2254</v>
      </c>
      <c r="D654" s="431" t="s">
        <v>3553</v>
      </c>
      <c r="E654" s="431" t="s">
        <v>3554</v>
      </c>
      <c r="F654" s="431">
        <v>8100</v>
      </c>
      <c r="G654" s="431" t="s">
        <v>1107</v>
      </c>
      <c r="H654" s="431" t="s">
        <v>2257</v>
      </c>
      <c r="I654" s="431" t="s">
        <v>2258</v>
      </c>
      <c r="J654" s="432">
        <v>46234</v>
      </c>
    </row>
    <row r="655" spans="1:10">
      <c r="A655" s="431">
        <v>688</v>
      </c>
      <c r="B655" s="431" t="s">
        <v>2253</v>
      </c>
      <c r="C655" s="431" t="s">
        <v>2254</v>
      </c>
      <c r="D655" s="431" t="s">
        <v>3555</v>
      </c>
      <c r="E655" s="431" t="s">
        <v>3556</v>
      </c>
      <c r="F655" s="431">
        <v>49000</v>
      </c>
      <c r="G655" s="431" t="s">
        <v>1107</v>
      </c>
      <c r="H655" s="431" t="s">
        <v>2573</v>
      </c>
      <c r="I655" s="431" t="s">
        <v>2574</v>
      </c>
      <c r="J655" s="432">
        <v>46234</v>
      </c>
    </row>
    <row r="656" spans="1:10">
      <c r="A656" s="431">
        <v>689</v>
      </c>
      <c r="B656" s="431" t="s">
        <v>2253</v>
      </c>
      <c r="C656" s="433" t="s">
        <v>2254</v>
      </c>
      <c r="D656" s="431" t="s">
        <v>3557</v>
      </c>
      <c r="E656" s="431" t="s">
        <v>3558</v>
      </c>
      <c r="F656" s="431">
        <v>7425</v>
      </c>
      <c r="G656" s="431" t="s">
        <v>1107</v>
      </c>
      <c r="H656" s="431" t="s">
        <v>2257</v>
      </c>
      <c r="I656" s="431" t="s">
        <v>2258</v>
      </c>
      <c r="J656" s="432">
        <v>46234</v>
      </c>
    </row>
    <row r="657" spans="1:10">
      <c r="A657" s="431">
        <v>690</v>
      </c>
      <c r="B657" s="431" t="s">
        <v>2253</v>
      </c>
      <c r="C657" s="433" t="s">
        <v>2254</v>
      </c>
      <c r="D657" s="431" t="s">
        <v>3559</v>
      </c>
      <c r="E657" s="431" t="s">
        <v>3560</v>
      </c>
      <c r="F657" s="431">
        <v>11880</v>
      </c>
      <c r="G657" s="431" t="s">
        <v>1107</v>
      </c>
      <c r="H657" s="431" t="s">
        <v>2257</v>
      </c>
      <c r="I657" s="431" t="s">
        <v>2258</v>
      </c>
      <c r="J657" s="432">
        <v>46234</v>
      </c>
    </row>
    <row r="658" spans="1:10">
      <c r="A658" s="431">
        <v>691</v>
      </c>
      <c r="B658" s="431" t="s">
        <v>2253</v>
      </c>
      <c r="C658" s="433" t="s">
        <v>2254</v>
      </c>
      <c r="D658" s="431" t="s">
        <v>3561</v>
      </c>
      <c r="E658" s="431" t="s">
        <v>3562</v>
      </c>
      <c r="F658" s="431">
        <v>45600</v>
      </c>
      <c r="G658" s="431" t="s">
        <v>1107</v>
      </c>
      <c r="H658" s="431" t="s">
        <v>2257</v>
      </c>
      <c r="I658" s="431" t="s">
        <v>2258</v>
      </c>
      <c r="J658" s="432">
        <v>46234</v>
      </c>
    </row>
    <row r="659" spans="1:10">
      <c r="A659" s="431">
        <v>692</v>
      </c>
      <c r="B659" s="431" t="s">
        <v>2253</v>
      </c>
      <c r="C659" s="433" t="s">
        <v>2254</v>
      </c>
      <c r="D659" s="431" t="s">
        <v>3563</v>
      </c>
      <c r="E659" s="431" t="s">
        <v>3564</v>
      </c>
      <c r="F659" s="431">
        <v>66650</v>
      </c>
      <c r="G659" s="431" t="s">
        <v>1107</v>
      </c>
      <c r="H659" s="431" t="s">
        <v>2257</v>
      </c>
      <c r="I659" s="431" t="s">
        <v>2258</v>
      </c>
      <c r="J659" s="432">
        <v>46234</v>
      </c>
    </row>
    <row r="660" spans="1:10">
      <c r="A660" s="431">
        <v>693</v>
      </c>
      <c r="B660" s="431" t="s">
        <v>2253</v>
      </c>
      <c r="C660" s="433" t="s">
        <v>2254</v>
      </c>
      <c r="D660" s="431" t="s">
        <v>3565</v>
      </c>
      <c r="E660" s="431" t="s">
        <v>3566</v>
      </c>
      <c r="F660" s="431">
        <v>9000</v>
      </c>
      <c r="G660" s="431" t="s">
        <v>1107</v>
      </c>
      <c r="H660" s="431" t="s">
        <v>2257</v>
      </c>
      <c r="I660" s="431" t="s">
        <v>2258</v>
      </c>
      <c r="J660" s="432">
        <v>46234</v>
      </c>
    </row>
    <row r="661" spans="1:10">
      <c r="A661" s="431">
        <v>694</v>
      </c>
      <c r="B661" s="431" t="s">
        <v>2253</v>
      </c>
      <c r="C661" s="433" t="s">
        <v>2254</v>
      </c>
      <c r="D661" s="431" t="s">
        <v>3567</v>
      </c>
      <c r="E661" s="431" t="s">
        <v>3568</v>
      </c>
      <c r="F661" s="431">
        <v>13500</v>
      </c>
      <c r="G661" s="431" t="s">
        <v>1107</v>
      </c>
      <c r="H661" s="431" t="s">
        <v>2257</v>
      </c>
      <c r="I661" s="431" t="s">
        <v>2258</v>
      </c>
      <c r="J661" s="432">
        <v>46234</v>
      </c>
    </row>
    <row r="662" spans="1:10">
      <c r="A662" s="431">
        <v>695</v>
      </c>
      <c r="B662" s="431" t="s">
        <v>2253</v>
      </c>
      <c r="C662" s="433" t="s">
        <v>2254</v>
      </c>
      <c r="D662" s="431" t="s">
        <v>3569</v>
      </c>
      <c r="E662" s="431" t="s">
        <v>3570</v>
      </c>
      <c r="F662" s="431">
        <v>43200</v>
      </c>
      <c r="G662" s="431" t="s">
        <v>1107</v>
      </c>
      <c r="H662" s="431" t="s">
        <v>2257</v>
      </c>
      <c r="I662" s="431" t="s">
        <v>2258</v>
      </c>
      <c r="J662" s="432">
        <v>46234</v>
      </c>
    </row>
    <row r="663" spans="1:10">
      <c r="A663" s="431">
        <v>696</v>
      </c>
      <c r="B663" s="431" t="s">
        <v>2253</v>
      </c>
      <c r="C663" s="433" t="s">
        <v>2254</v>
      </c>
      <c r="D663" s="431" t="s">
        <v>3571</v>
      </c>
      <c r="E663" s="431" t="s">
        <v>3572</v>
      </c>
      <c r="F663" s="431">
        <v>69250</v>
      </c>
      <c r="G663" s="431" t="s">
        <v>1107</v>
      </c>
      <c r="H663" s="431" t="s">
        <v>2257</v>
      </c>
      <c r="I663" s="431" t="s">
        <v>2258</v>
      </c>
      <c r="J663" s="432">
        <v>46234</v>
      </c>
    </row>
    <row r="664" spans="1:10">
      <c r="A664" s="431">
        <v>697</v>
      </c>
      <c r="B664" s="431" t="s">
        <v>2253</v>
      </c>
      <c r="C664" s="433" t="s">
        <v>2254</v>
      </c>
      <c r="D664" s="431" t="s">
        <v>3573</v>
      </c>
      <c r="E664" s="431" t="s">
        <v>3574</v>
      </c>
      <c r="F664" s="431">
        <v>10500</v>
      </c>
      <c r="G664" s="431" t="s">
        <v>1107</v>
      </c>
      <c r="H664" s="431" t="s">
        <v>2257</v>
      </c>
      <c r="I664" s="431" t="s">
        <v>2258</v>
      </c>
      <c r="J664" s="432">
        <v>46234</v>
      </c>
    </row>
    <row r="665" spans="1:10">
      <c r="A665" s="431">
        <v>698</v>
      </c>
      <c r="B665" s="431" t="s">
        <v>2253</v>
      </c>
      <c r="C665" s="433" t="s">
        <v>2254</v>
      </c>
      <c r="D665" s="431" t="s">
        <v>3575</v>
      </c>
      <c r="E665" s="431" t="s">
        <v>3576</v>
      </c>
      <c r="F665" s="431">
        <v>15120</v>
      </c>
      <c r="G665" s="431" t="s">
        <v>1107</v>
      </c>
      <c r="H665" s="431" t="s">
        <v>2257</v>
      </c>
      <c r="I665" s="431" t="s">
        <v>2258</v>
      </c>
      <c r="J665" s="432">
        <v>46234</v>
      </c>
    </row>
    <row r="666" spans="1:10">
      <c r="A666" s="431">
        <v>699</v>
      </c>
      <c r="B666" s="431" t="s">
        <v>2253</v>
      </c>
      <c r="C666" s="433" t="s">
        <v>2254</v>
      </c>
      <c r="D666" s="431" t="s">
        <v>3577</v>
      </c>
      <c r="E666" s="431" t="s">
        <v>3578</v>
      </c>
      <c r="F666" s="431">
        <v>42650</v>
      </c>
      <c r="G666" s="431" t="s">
        <v>1107</v>
      </c>
      <c r="H666" s="431" t="s">
        <v>2257</v>
      </c>
      <c r="I666" s="431" t="s">
        <v>2258</v>
      </c>
      <c r="J666" s="432">
        <v>46234</v>
      </c>
    </row>
    <row r="667" spans="1:10">
      <c r="A667" s="431">
        <v>700</v>
      </c>
      <c r="B667" s="431" t="s">
        <v>2253</v>
      </c>
      <c r="C667" s="433" t="s">
        <v>2254</v>
      </c>
      <c r="D667" s="431" t="s">
        <v>3579</v>
      </c>
      <c r="E667" s="431" t="s">
        <v>3580</v>
      </c>
      <c r="F667" s="431">
        <v>61410</v>
      </c>
      <c r="G667" s="431" t="s">
        <v>1107</v>
      </c>
      <c r="H667" s="431" t="s">
        <v>2257</v>
      </c>
      <c r="I667" s="431" t="s">
        <v>2258</v>
      </c>
      <c r="J667" s="432">
        <v>46234</v>
      </c>
    </row>
    <row r="668" spans="1:10">
      <c r="A668" s="431">
        <v>701</v>
      </c>
      <c r="B668" s="431" t="s">
        <v>2253</v>
      </c>
      <c r="C668" s="433" t="s">
        <v>2254</v>
      </c>
      <c r="D668" s="431" t="s">
        <v>3581</v>
      </c>
      <c r="E668" s="431" t="s">
        <v>3582</v>
      </c>
      <c r="F668" s="431">
        <v>9500</v>
      </c>
      <c r="G668" s="431" t="s">
        <v>1107</v>
      </c>
      <c r="H668" s="431" t="s">
        <v>2257</v>
      </c>
      <c r="I668" s="431" t="s">
        <v>2258</v>
      </c>
      <c r="J668" s="432">
        <v>46234</v>
      </c>
    </row>
    <row r="669" spans="1:10">
      <c r="A669" s="431">
        <v>702</v>
      </c>
      <c r="B669" s="431" t="s">
        <v>2253</v>
      </c>
      <c r="C669" s="433" t="s">
        <v>2254</v>
      </c>
      <c r="D669" s="431" t="s">
        <v>3583</v>
      </c>
      <c r="E669" s="431" t="s">
        <v>3584</v>
      </c>
      <c r="F669" s="431">
        <v>13500</v>
      </c>
      <c r="G669" s="431" t="s">
        <v>1107</v>
      </c>
      <c r="H669" s="431" t="s">
        <v>2257</v>
      </c>
      <c r="I669" s="431" t="s">
        <v>2258</v>
      </c>
      <c r="J669" s="432">
        <v>46234</v>
      </c>
    </row>
    <row r="670" spans="1:10">
      <c r="A670" s="431">
        <v>703</v>
      </c>
      <c r="B670" s="431" t="s">
        <v>2253</v>
      </c>
      <c r="C670" s="433" t="s">
        <v>2254</v>
      </c>
      <c r="D670" s="431" t="s">
        <v>3585</v>
      </c>
      <c r="E670" s="431" t="s">
        <v>3586</v>
      </c>
      <c r="F670" s="431">
        <v>36890</v>
      </c>
      <c r="G670" s="431" t="s">
        <v>1107</v>
      </c>
      <c r="H670" s="431" t="s">
        <v>2257</v>
      </c>
      <c r="I670" s="431" t="s">
        <v>2258</v>
      </c>
      <c r="J670" s="432">
        <v>46234</v>
      </c>
    </row>
    <row r="671" spans="1:10">
      <c r="A671" s="431">
        <v>704</v>
      </c>
      <c r="B671" s="431" t="s">
        <v>2253</v>
      </c>
      <c r="C671" s="433" t="s">
        <v>2254</v>
      </c>
      <c r="D671" s="431" t="s">
        <v>3587</v>
      </c>
      <c r="E671" s="431" t="s">
        <v>3588</v>
      </c>
      <c r="F671" s="431">
        <v>64025</v>
      </c>
      <c r="G671" s="431" t="s">
        <v>1107</v>
      </c>
      <c r="H671" s="431" t="s">
        <v>2257</v>
      </c>
      <c r="I671" s="431" t="s">
        <v>2258</v>
      </c>
      <c r="J671" s="432">
        <v>46234</v>
      </c>
    </row>
    <row r="672" spans="1:10">
      <c r="A672" s="431">
        <v>705</v>
      </c>
      <c r="B672" s="431" t="s">
        <v>2253</v>
      </c>
      <c r="C672" s="431" t="s">
        <v>2254</v>
      </c>
      <c r="D672" s="431" t="s">
        <v>3589</v>
      </c>
      <c r="E672" s="431" t="s">
        <v>3590</v>
      </c>
      <c r="F672" s="431">
        <v>9500</v>
      </c>
      <c r="G672" s="431" t="s">
        <v>1107</v>
      </c>
      <c r="H672" s="431" t="s">
        <v>2257</v>
      </c>
      <c r="I672" s="431" t="s">
        <v>2258</v>
      </c>
      <c r="J672" s="432">
        <v>46234</v>
      </c>
    </row>
    <row r="673" spans="1:10">
      <c r="A673" s="431">
        <v>706</v>
      </c>
      <c r="B673" s="431" t="s">
        <v>2253</v>
      </c>
      <c r="C673" s="431" t="s">
        <v>2254</v>
      </c>
      <c r="D673" s="431" t="s">
        <v>3591</v>
      </c>
      <c r="E673" s="431" t="s">
        <v>3592</v>
      </c>
      <c r="F673" s="431">
        <v>13500</v>
      </c>
      <c r="G673" s="431" t="s">
        <v>1107</v>
      </c>
      <c r="H673" s="431" t="s">
        <v>2257</v>
      </c>
      <c r="I673" s="431" t="s">
        <v>2258</v>
      </c>
      <c r="J673" s="432">
        <v>46234</v>
      </c>
    </row>
    <row r="674" spans="1:10">
      <c r="A674" s="431">
        <v>707</v>
      </c>
      <c r="B674" s="431" t="s">
        <v>2253</v>
      </c>
      <c r="C674" s="431" t="s">
        <v>2254</v>
      </c>
      <c r="D674" s="431" t="s">
        <v>3593</v>
      </c>
      <c r="E674" s="431" t="s">
        <v>3594</v>
      </c>
      <c r="F674" s="431">
        <v>43800</v>
      </c>
      <c r="G674" s="431" t="s">
        <v>1107</v>
      </c>
      <c r="H674" s="431" t="s">
        <v>2257</v>
      </c>
      <c r="I674" s="431" t="s">
        <v>2258</v>
      </c>
      <c r="J674" s="432">
        <v>46234</v>
      </c>
    </row>
    <row r="675" spans="1:10">
      <c r="A675" s="431">
        <v>708</v>
      </c>
      <c r="B675" s="431" t="s">
        <v>2253</v>
      </c>
      <c r="C675" s="431" t="s">
        <v>2254</v>
      </c>
      <c r="D675" s="431" t="s">
        <v>3595</v>
      </c>
      <c r="E675" s="431" t="s">
        <v>3596</v>
      </c>
      <c r="F675" s="431">
        <v>70560</v>
      </c>
      <c r="G675" s="431" t="s">
        <v>1107</v>
      </c>
      <c r="H675" s="431" t="s">
        <v>2257</v>
      </c>
      <c r="I675" s="431" t="s">
        <v>2258</v>
      </c>
      <c r="J675" s="432">
        <v>46234</v>
      </c>
    </row>
    <row r="676" spans="1:10">
      <c r="A676" s="431">
        <v>709</v>
      </c>
      <c r="B676" s="431" t="s">
        <v>2253</v>
      </c>
      <c r="C676" s="431" t="s">
        <v>2254</v>
      </c>
      <c r="D676" s="431" t="s">
        <v>3597</v>
      </c>
      <c r="E676" s="431" t="s">
        <v>3598</v>
      </c>
      <c r="F676" s="431">
        <v>207</v>
      </c>
      <c r="G676" s="431" t="s">
        <v>691</v>
      </c>
      <c r="H676" s="431" t="s">
        <v>2257</v>
      </c>
      <c r="I676" s="431" t="s">
        <v>2258</v>
      </c>
      <c r="J676" s="432">
        <v>46234</v>
      </c>
    </row>
    <row r="677" spans="1:10">
      <c r="A677" s="431">
        <v>710</v>
      </c>
      <c r="B677" s="431" t="s">
        <v>2253</v>
      </c>
      <c r="C677" s="431" t="s">
        <v>2254</v>
      </c>
      <c r="D677" s="431" t="s">
        <v>3599</v>
      </c>
      <c r="E677" s="431" t="s">
        <v>3600</v>
      </c>
      <c r="F677" s="431">
        <v>313</v>
      </c>
      <c r="G677" s="431" t="s">
        <v>691</v>
      </c>
      <c r="H677" s="431" t="s">
        <v>2257</v>
      </c>
      <c r="I677" s="431" t="s">
        <v>2258</v>
      </c>
      <c r="J677" s="432">
        <v>46234</v>
      </c>
    </row>
    <row r="678" spans="1:10">
      <c r="A678" s="431">
        <v>711</v>
      </c>
      <c r="B678" s="431" t="s">
        <v>2253</v>
      </c>
      <c r="C678" s="431" t="s">
        <v>2254</v>
      </c>
      <c r="D678" s="431" t="s">
        <v>3601</v>
      </c>
      <c r="E678" s="431" t="s">
        <v>3602</v>
      </c>
      <c r="F678" s="431">
        <v>1206</v>
      </c>
      <c r="G678" s="431" t="s">
        <v>691</v>
      </c>
      <c r="H678" s="431" t="s">
        <v>2257</v>
      </c>
      <c r="I678" s="431" t="s">
        <v>2258</v>
      </c>
      <c r="J678" s="432">
        <v>46234</v>
      </c>
    </row>
    <row r="679" spans="1:10">
      <c r="A679" s="431">
        <v>712</v>
      </c>
      <c r="B679" s="431" t="s">
        <v>2253</v>
      </c>
      <c r="C679" s="431" t="s">
        <v>2254</v>
      </c>
      <c r="D679" s="431" t="s">
        <v>3603</v>
      </c>
      <c r="E679" s="431" t="s">
        <v>3604</v>
      </c>
      <c r="F679" s="431">
        <v>184</v>
      </c>
      <c r="G679" s="431" t="s">
        <v>691</v>
      </c>
      <c r="H679" s="431" t="s">
        <v>2257</v>
      </c>
      <c r="I679" s="431" t="s">
        <v>2258</v>
      </c>
      <c r="J679" s="432">
        <v>46234</v>
      </c>
    </row>
    <row r="680" spans="1:10">
      <c r="A680" s="431">
        <v>713</v>
      </c>
      <c r="B680" s="431" t="s">
        <v>2253</v>
      </c>
      <c r="C680" s="431" t="s">
        <v>2254</v>
      </c>
      <c r="D680" s="431" t="s">
        <v>3605</v>
      </c>
      <c r="E680" s="431" t="s">
        <v>3606</v>
      </c>
      <c r="F680" s="431">
        <v>118</v>
      </c>
      <c r="G680" s="431" t="s">
        <v>691</v>
      </c>
      <c r="H680" s="431" t="s">
        <v>2257</v>
      </c>
      <c r="I680" s="431" t="s">
        <v>2258</v>
      </c>
      <c r="J680" s="432">
        <v>46234</v>
      </c>
    </row>
    <row r="681" spans="1:10">
      <c r="A681" s="431">
        <v>714</v>
      </c>
      <c r="B681" s="431" t="s">
        <v>2253</v>
      </c>
      <c r="C681" s="431" t="s">
        <v>2254</v>
      </c>
      <c r="D681" s="431" t="s">
        <v>3607</v>
      </c>
      <c r="E681" s="431" t="s">
        <v>3608</v>
      </c>
      <c r="F681" s="431">
        <v>920</v>
      </c>
      <c r="G681" s="431" t="s">
        <v>691</v>
      </c>
      <c r="H681" s="431" t="s">
        <v>2257</v>
      </c>
      <c r="I681" s="431" t="s">
        <v>2258</v>
      </c>
      <c r="J681" s="432">
        <v>46234</v>
      </c>
    </row>
    <row r="682" spans="1:10">
      <c r="A682" s="431">
        <v>715</v>
      </c>
      <c r="B682" s="431" t="s">
        <v>2253</v>
      </c>
      <c r="C682" s="431" t="s">
        <v>2254</v>
      </c>
      <c r="D682" s="431" t="s">
        <v>3609</v>
      </c>
      <c r="E682" s="431" t="s">
        <v>3610</v>
      </c>
      <c r="F682" s="431">
        <v>755</v>
      </c>
      <c r="G682" s="431" t="s">
        <v>691</v>
      </c>
      <c r="H682" s="431" t="s">
        <v>2257</v>
      </c>
      <c r="I682" s="431" t="s">
        <v>2258</v>
      </c>
      <c r="J682" s="432">
        <v>46234</v>
      </c>
    </row>
    <row r="683" spans="1:10">
      <c r="A683" s="431">
        <v>716</v>
      </c>
      <c r="B683" s="431" t="s">
        <v>2253</v>
      </c>
      <c r="C683" s="431" t="s">
        <v>2254</v>
      </c>
      <c r="D683" s="431" t="s">
        <v>3611</v>
      </c>
      <c r="E683" s="431" t="s">
        <v>3612</v>
      </c>
      <c r="F683" s="431">
        <v>130</v>
      </c>
      <c r="G683" s="431" t="s">
        <v>691</v>
      </c>
      <c r="H683" s="431" t="s">
        <v>2257</v>
      </c>
      <c r="I683" s="431" t="s">
        <v>2258</v>
      </c>
      <c r="J683" s="432">
        <v>46234</v>
      </c>
    </row>
    <row r="684" spans="1:10">
      <c r="A684" s="431">
        <v>717</v>
      </c>
      <c r="B684" s="431" t="s">
        <v>2253</v>
      </c>
      <c r="C684" s="431" t="s">
        <v>2254</v>
      </c>
      <c r="D684" s="431" t="s">
        <v>3613</v>
      </c>
      <c r="E684" s="431" t="s">
        <v>3614</v>
      </c>
      <c r="F684" s="431">
        <v>130</v>
      </c>
      <c r="G684" s="431" t="s">
        <v>691</v>
      </c>
      <c r="H684" s="431" t="s">
        <v>2257</v>
      </c>
      <c r="I684" s="431" t="s">
        <v>2258</v>
      </c>
      <c r="J684" s="432">
        <v>46234</v>
      </c>
    </row>
    <row r="685" spans="1:10">
      <c r="A685" s="431">
        <v>718</v>
      </c>
      <c r="B685" s="431" t="s">
        <v>2253</v>
      </c>
      <c r="C685" s="431" t="s">
        <v>2254</v>
      </c>
      <c r="D685" s="431" t="s">
        <v>3615</v>
      </c>
      <c r="E685" s="431" t="s">
        <v>3616</v>
      </c>
      <c r="F685" s="431">
        <v>5</v>
      </c>
      <c r="G685" s="431" t="s">
        <v>1107</v>
      </c>
      <c r="H685" s="431" t="s">
        <v>2257</v>
      </c>
      <c r="I685" s="431" t="s">
        <v>2258</v>
      </c>
      <c r="J685" s="432">
        <v>46234</v>
      </c>
    </row>
    <row r="686" spans="1:10">
      <c r="A686" s="431">
        <v>719</v>
      </c>
      <c r="B686" s="431" t="s">
        <v>2253</v>
      </c>
      <c r="C686" s="431" t="s">
        <v>2254</v>
      </c>
      <c r="D686" s="431" t="s">
        <v>3617</v>
      </c>
      <c r="E686" s="431" t="s">
        <v>3618</v>
      </c>
      <c r="F686" s="431">
        <v>1055</v>
      </c>
      <c r="G686" s="431" t="s">
        <v>691</v>
      </c>
      <c r="H686" s="431" t="s">
        <v>2257</v>
      </c>
      <c r="I686" s="431" t="s">
        <v>2258</v>
      </c>
      <c r="J686" s="432">
        <v>46234</v>
      </c>
    </row>
    <row r="687" spans="1:10">
      <c r="A687" s="431">
        <v>720</v>
      </c>
      <c r="B687" s="431" t="s">
        <v>2253</v>
      </c>
      <c r="C687" s="431" t="s">
        <v>2254</v>
      </c>
      <c r="D687" s="431" t="s">
        <v>3619</v>
      </c>
      <c r="E687" s="431" t="s">
        <v>3620</v>
      </c>
      <c r="F687" s="431">
        <v>100</v>
      </c>
      <c r="G687" s="431" t="s">
        <v>1107</v>
      </c>
      <c r="H687" s="431" t="s">
        <v>2257</v>
      </c>
      <c r="I687" s="431" t="s">
        <v>2258</v>
      </c>
      <c r="J687" s="432">
        <v>46234</v>
      </c>
    </row>
    <row r="688" spans="1:10">
      <c r="A688" s="431">
        <v>721</v>
      </c>
      <c r="B688" s="431" t="s">
        <v>2253</v>
      </c>
      <c r="C688" s="431" t="s">
        <v>2254</v>
      </c>
      <c r="D688" s="431" t="s">
        <v>3621</v>
      </c>
      <c r="E688" s="431" t="s">
        <v>3622</v>
      </c>
      <c r="F688" s="431">
        <v>232</v>
      </c>
      <c r="G688" s="431" t="s">
        <v>691</v>
      </c>
      <c r="H688" s="431" t="s">
        <v>2257</v>
      </c>
      <c r="I688" s="431" t="s">
        <v>2258</v>
      </c>
      <c r="J688" s="432">
        <v>46234</v>
      </c>
    </row>
    <row r="689" spans="1:10">
      <c r="A689" s="431">
        <v>722</v>
      </c>
      <c r="B689" s="431" t="s">
        <v>2253</v>
      </c>
      <c r="C689" s="431" t="s">
        <v>2254</v>
      </c>
      <c r="D689" s="431" t="s">
        <v>3623</v>
      </c>
      <c r="E689" s="431" t="s">
        <v>3624</v>
      </c>
      <c r="F689" s="431">
        <v>3000</v>
      </c>
      <c r="G689" s="431" t="s">
        <v>1107</v>
      </c>
      <c r="H689" s="431" t="s">
        <v>2257</v>
      </c>
      <c r="I689" s="431" t="s">
        <v>2258</v>
      </c>
      <c r="J689" s="432">
        <v>46234</v>
      </c>
    </row>
    <row r="690" spans="1:10">
      <c r="A690" s="431">
        <v>723</v>
      </c>
      <c r="B690" s="431" t="s">
        <v>2253</v>
      </c>
      <c r="C690" s="431" t="s">
        <v>2254</v>
      </c>
      <c r="D690" s="431" t="s">
        <v>3625</v>
      </c>
      <c r="E690" s="431" t="s">
        <v>3626</v>
      </c>
      <c r="F690" s="431">
        <v>11940</v>
      </c>
      <c r="G690" s="431" t="s">
        <v>1107</v>
      </c>
      <c r="H690" s="431" t="s">
        <v>2257</v>
      </c>
      <c r="I690" s="431" t="s">
        <v>2258</v>
      </c>
      <c r="J690" s="432">
        <v>46234</v>
      </c>
    </row>
    <row r="691" spans="1:10">
      <c r="A691" s="431">
        <v>724</v>
      </c>
      <c r="B691" s="431" t="s">
        <v>2253</v>
      </c>
      <c r="C691" s="431" t="s">
        <v>2254</v>
      </c>
      <c r="D691" s="431" t="s">
        <v>3627</v>
      </c>
      <c r="E691" s="431" t="s">
        <v>3628</v>
      </c>
      <c r="F691" s="431">
        <v>36890</v>
      </c>
      <c r="G691" s="431" t="s">
        <v>1107</v>
      </c>
      <c r="H691" s="431" t="s">
        <v>2257</v>
      </c>
      <c r="I691" s="431" t="s">
        <v>2258</v>
      </c>
      <c r="J691" s="432">
        <v>46234</v>
      </c>
    </row>
    <row r="692" spans="1:10">
      <c r="A692" s="431">
        <v>725</v>
      </c>
      <c r="B692" s="431" t="s">
        <v>2253</v>
      </c>
      <c r="C692" s="431" t="s">
        <v>2254</v>
      </c>
      <c r="D692" s="431" t="s">
        <v>3629</v>
      </c>
      <c r="E692" s="431" t="s">
        <v>3630</v>
      </c>
      <c r="F692" s="431">
        <v>64025</v>
      </c>
      <c r="G692" s="431" t="s">
        <v>1107</v>
      </c>
      <c r="H692" s="431" t="s">
        <v>2257</v>
      </c>
      <c r="I692" s="431" t="s">
        <v>2258</v>
      </c>
      <c r="J692" s="432">
        <v>46234</v>
      </c>
    </row>
    <row r="693" spans="1:10">
      <c r="A693" s="431">
        <v>726</v>
      </c>
      <c r="B693" s="431" t="s">
        <v>2253</v>
      </c>
      <c r="C693" s="431" t="s">
        <v>2254</v>
      </c>
      <c r="D693" s="431" t="s">
        <v>3631</v>
      </c>
      <c r="E693" s="431" t="s">
        <v>3632</v>
      </c>
      <c r="F693" s="431">
        <v>110</v>
      </c>
      <c r="G693" s="431" t="s">
        <v>691</v>
      </c>
      <c r="H693" s="431" t="s">
        <v>2257</v>
      </c>
      <c r="I693" s="431" t="s">
        <v>2258</v>
      </c>
      <c r="J693" s="432">
        <v>46234</v>
      </c>
    </row>
    <row r="694" spans="1:10">
      <c r="A694" s="431">
        <v>727</v>
      </c>
      <c r="B694" s="431" t="s">
        <v>2253</v>
      </c>
      <c r="C694" s="431" t="s">
        <v>2254</v>
      </c>
      <c r="D694" s="431" t="s">
        <v>3633</v>
      </c>
      <c r="E694" s="431" t="s">
        <v>3634</v>
      </c>
      <c r="F694" s="431">
        <v>28000</v>
      </c>
      <c r="G694" s="431" t="s">
        <v>1107</v>
      </c>
      <c r="H694" s="431" t="s">
        <v>2257</v>
      </c>
      <c r="I694" s="431" t="s">
        <v>2258</v>
      </c>
      <c r="J694" s="432">
        <v>46234</v>
      </c>
    </row>
    <row r="695" spans="1:10">
      <c r="A695" s="431">
        <v>728</v>
      </c>
      <c r="B695" s="431" t="s">
        <v>2253</v>
      </c>
      <c r="C695" s="431" t="s">
        <v>2254</v>
      </c>
      <c r="D695" s="431" t="s">
        <v>3635</v>
      </c>
      <c r="E695" s="431" t="s">
        <v>3636</v>
      </c>
      <c r="F695" s="431">
        <v>32000</v>
      </c>
      <c r="G695" s="431" t="s">
        <v>1107</v>
      </c>
      <c r="H695" s="431" t="s">
        <v>2257</v>
      </c>
      <c r="I695" s="431" t="s">
        <v>2258</v>
      </c>
      <c r="J695" s="432">
        <v>46234</v>
      </c>
    </row>
    <row r="696" spans="1:10">
      <c r="A696" s="431">
        <v>729</v>
      </c>
      <c r="B696" s="431" t="s">
        <v>2253</v>
      </c>
      <c r="C696" s="431" t="s">
        <v>2254</v>
      </c>
      <c r="D696" s="431" t="s">
        <v>3637</v>
      </c>
      <c r="E696" s="431" t="s">
        <v>3638</v>
      </c>
      <c r="F696" s="431">
        <v>110</v>
      </c>
      <c r="G696" s="431" t="s">
        <v>21</v>
      </c>
      <c r="H696" s="431" t="s">
        <v>2257</v>
      </c>
      <c r="I696" s="431" t="s">
        <v>2258</v>
      </c>
      <c r="J696" s="432">
        <v>46234</v>
      </c>
    </row>
    <row r="697" spans="1:10">
      <c r="A697" s="431">
        <v>730</v>
      </c>
      <c r="B697" s="431" t="s">
        <v>2253</v>
      </c>
      <c r="C697" s="431" t="s">
        <v>2254</v>
      </c>
      <c r="D697" s="431" t="s">
        <v>3639</v>
      </c>
      <c r="E697" s="431" t="s">
        <v>3640</v>
      </c>
      <c r="F697" s="431">
        <v>225</v>
      </c>
      <c r="G697" s="431" t="s">
        <v>21</v>
      </c>
      <c r="H697" s="431" t="s">
        <v>2257</v>
      </c>
      <c r="I697" s="431" t="s">
        <v>2258</v>
      </c>
      <c r="J697" s="432">
        <v>46234</v>
      </c>
    </row>
    <row r="698" spans="1:10">
      <c r="A698" s="431">
        <v>731</v>
      </c>
      <c r="B698" s="431" t="s">
        <v>2253</v>
      </c>
      <c r="C698" s="431" t="s">
        <v>2254</v>
      </c>
      <c r="D698" s="431" t="s">
        <v>3641</v>
      </c>
      <c r="E698" s="431" t="s">
        <v>3642</v>
      </c>
      <c r="F698" s="431">
        <v>210</v>
      </c>
      <c r="G698" s="431" t="s">
        <v>21</v>
      </c>
      <c r="H698" s="431" t="s">
        <v>2257</v>
      </c>
      <c r="I698" s="431" t="s">
        <v>2258</v>
      </c>
      <c r="J698" s="432">
        <v>46234</v>
      </c>
    </row>
    <row r="699" spans="1:10">
      <c r="A699" s="431">
        <v>732</v>
      </c>
      <c r="B699" s="431" t="s">
        <v>2253</v>
      </c>
      <c r="C699" s="431" t="s">
        <v>2254</v>
      </c>
      <c r="D699" s="431" t="s">
        <v>3643</v>
      </c>
      <c r="E699" s="431" t="s">
        <v>3644</v>
      </c>
      <c r="F699" s="431">
        <v>300</v>
      </c>
      <c r="G699" s="431" t="s">
        <v>21</v>
      </c>
      <c r="H699" s="431" t="s">
        <v>2257</v>
      </c>
      <c r="I699" s="431" t="s">
        <v>2258</v>
      </c>
      <c r="J699" s="432">
        <v>46234</v>
      </c>
    </row>
    <row r="700" spans="1:10">
      <c r="A700" s="431">
        <v>733</v>
      </c>
      <c r="B700" s="431" t="s">
        <v>2253</v>
      </c>
      <c r="C700" s="431" t="s">
        <v>2254</v>
      </c>
      <c r="D700" s="431" t="s">
        <v>3645</v>
      </c>
      <c r="E700" s="431" t="s">
        <v>3646</v>
      </c>
      <c r="F700" s="431">
        <v>266</v>
      </c>
      <c r="G700" s="431" t="s">
        <v>21</v>
      </c>
      <c r="H700" s="431" t="s">
        <v>2257</v>
      </c>
      <c r="I700" s="431" t="s">
        <v>2258</v>
      </c>
      <c r="J700" s="432">
        <v>46234</v>
      </c>
    </row>
    <row r="701" spans="1:10">
      <c r="A701" s="431">
        <v>734</v>
      </c>
      <c r="B701" s="431" t="s">
        <v>2253</v>
      </c>
      <c r="C701" s="431" t="s">
        <v>2254</v>
      </c>
      <c r="D701" s="431" t="s">
        <v>3647</v>
      </c>
      <c r="E701" s="431" t="s">
        <v>3648</v>
      </c>
      <c r="F701" s="431">
        <v>312</v>
      </c>
      <c r="G701" s="431" t="s">
        <v>21</v>
      </c>
      <c r="H701" s="431" t="s">
        <v>2257</v>
      </c>
      <c r="I701" s="431" t="s">
        <v>2258</v>
      </c>
      <c r="J701" s="432">
        <v>46234</v>
      </c>
    </row>
    <row r="702" spans="1:10">
      <c r="A702" s="431">
        <v>735</v>
      </c>
      <c r="B702" s="431" t="s">
        <v>2253</v>
      </c>
      <c r="C702" s="431" t="s">
        <v>2254</v>
      </c>
      <c r="D702" s="431" t="s">
        <v>3649</v>
      </c>
      <c r="E702" s="431" t="s">
        <v>3650</v>
      </c>
      <c r="F702" s="431">
        <v>400</v>
      </c>
      <c r="G702" s="431" t="s">
        <v>21</v>
      </c>
      <c r="H702" s="431" t="s">
        <v>2257</v>
      </c>
      <c r="I702" s="431" t="s">
        <v>2258</v>
      </c>
      <c r="J702" s="432">
        <v>46234</v>
      </c>
    </row>
    <row r="703" spans="1:10">
      <c r="A703" s="431">
        <v>736</v>
      </c>
      <c r="B703" s="431" t="s">
        <v>2253</v>
      </c>
      <c r="C703" s="431" t="s">
        <v>2254</v>
      </c>
      <c r="D703" s="431" t="s">
        <v>3651</v>
      </c>
      <c r="E703" s="431" t="s">
        <v>3652</v>
      </c>
      <c r="F703" s="431">
        <v>450</v>
      </c>
      <c r="G703" s="431" t="s">
        <v>21</v>
      </c>
      <c r="H703" s="431" t="s">
        <v>2257</v>
      </c>
      <c r="I703" s="431" t="s">
        <v>2258</v>
      </c>
      <c r="J703" s="432">
        <v>46234</v>
      </c>
    </row>
    <row r="704" spans="1:10">
      <c r="A704" s="431">
        <v>737</v>
      </c>
      <c r="B704" s="431" t="s">
        <v>2253</v>
      </c>
      <c r="C704" s="431" t="s">
        <v>2254</v>
      </c>
      <c r="D704" s="431" t="s">
        <v>3653</v>
      </c>
      <c r="E704" s="431" t="s">
        <v>3654</v>
      </c>
      <c r="F704" s="431">
        <v>500</v>
      </c>
      <c r="G704" s="431" t="s">
        <v>21</v>
      </c>
      <c r="H704" s="431" t="s">
        <v>2257</v>
      </c>
      <c r="I704" s="431" t="s">
        <v>2258</v>
      </c>
      <c r="J704" s="432">
        <v>46234</v>
      </c>
    </row>
    <row r="705" spans="1:10">
      <c r="A705" s="431">
        <v>738</v>
      </c>
      <c r="B705" s="431" t="s">
        <v>2253</v>
      </c>
      <c r="C705" s="431" t="s">
        <v>2254</v>
      </c>
      <c r="D705" s="431" t="s">
        <v>3655</v>
      </c>
      <c r="E705" s="431" t="s">
        <v>3656</v>
      </c>
      <c r="F705" s="431">
        <v>20000</v>
      </c>
      <c r="G705" s="431" t="s">
        <v>1107</v>
      </c>
      <c r="H705" s="431" t="s">
        <v>2257</v>
      </c>
      <c r="I705" s="431" t="s">
        <v>2258</v>
      </c>
      <c r="J705" s="432">
        <v>46234</v>
      </c>
    </row>
    <row r="706" spans="1:10">
      <c r="A706" s="431">
        <v>739</v>
      </c>
      <c r="B706" s="431" t="s">
        <v>2253</v>
      </c>
      <c r="C706" s="431" t="s">
        <v>2254</v>
      </c>
      <c r="D706" s="431" t="s">
        <v>3657</v>
      </c>
      <c r="E706" s="431" t="s">
        <v>3658</v>
      </c>
      <c r="F706" s="431">
        <v>1059</v>
      </c>
      <c r="G706" s="431" t="s">
        <v>21</v>
      </c>
      <c r="H706" s="431" t="s">
        <v>2257</v>
      </c>
      <c r="I706" s="431" t="s">
        <v>2258</v>
      </c>
      <c r="J706" s="432">
        <v>46234</v>
      </c>
    </row>
    <row r="707" spans="1:10">
      <c r="A707" s="431">
        <v>740</v>
      </c>
      <c r="B707" s="431" t="s">
        <v>2721</v>
      </c>
      <c r="C707" s="431" t="s">
        <v>2254</v>
      </c>
      <c r="D707" s="431" t="s">
        <v>3659</v>
      </c>
      <c r="E707" s="431" t="s">
        <v>3660</v>
      </c>
      <c r="F707" s="431">
        <v>700</v>
      </c>
      <c r="G707" s="431" t="s">
        <v>26</v>
      </c>
      <c r="H707" s="431" t="s">
        <v>2257</v>
      </c>
      <c r="I707" s="431" t="s">
        <v>2258</v>
      </c>
      <c r="J707" s="432">
        <v>46234</v>
      </c>
    </row>
    <row r="708" spans="1:10">
      <c r="A708" s="431">
        <v>741</v>
      </c>
      <c r="B708" s="431" t="s">
        <v>2253</v>
      </c>
      <c r="C708" s="431" t="s">
        <v>2254</v>
      </c>
      <c r="D708" s="431" t="s">
        <v>3661</v>
      </c>
      <c r="E708" s="431" t="s">
        <v>3662</v>
      </c>
      <c r="F708" s="431">
        <v>530</v>
      </c>
      <c r="G708" s="431" t="s">
        <v>46</v>
      </c>
      <c r="H708" s="431" t="s">
        <v>2257</v>
      </c>
      <c r="I708" s="431" t="s">
        <v>2258</v>
      </c>
      <c r="J708" s="432">
        <v>46234</v>
      </c>
    </row>
    <row r="709" spans="1:10">
      <c r="A709" s="431">
        <v>742</v>
      </c>
      <c r="B709" s="431" t="s">
        <v>2253</v>
      </c>
      <c r="C709" s="431" t="s">
        <v>2254</v>
      </c>
      <c r="D709" s="431" t="s">
        <v>3663</v>
      </c>
      <c r="E709" s="431" t="s">
        <v>1313</v>
      </c>
      <c r="F709" s="431">
        <v>860</v>
      </c>
      <c r="G709" s="431" t="s">
        <v>46</v>
      </c>
      <c r="H709" s="431" t="s">
        <v>2257</v>
      </c>
      <c r="I709" s="431" t="s">
        <v>2258</v>
      </c>
      <c r="J709" s="432">
        <v>46234</v>
      </c>
    </row>
    <row r="710" spans="1:10">
      <c r="A710" s="431">
        <v>743</v>
      </c>
      <c r="B710" s="431" t="s">
        <v>2253</v>
      </c>
      <c r="C710" s="431" t="s">
        <v>2254</v>
      </c>
      <c r="D710" s="431" t="s">
        <v>3664</v>
      </c>
      <c r="E710" s="431" t="s">
        <v>3665</v>
      </c>
      <c r="F710" s="431">
        <v>158</v>
      </c>
      <c r="G710" s="431" t="s">
        <v>46</v>
      </c>
      <c r="H710" s="431" t="s">
        <v>2257</v>
      </c>
      <c r="I710" s="431" t="s">
        <v>2258</v>
      </c>
      <c r="J710" s="432">
        <v>46234</v>
      </c>
    </row>
    <row r="711" spans="1:10">
      <c r="A711" s="431">
        <v>744</v>
      </c>
      <c r="B711" s="431" t="s">
        <v>2253</v>
      </c>
      <c r="C711" s="431" t="s">
        <v>2254</v>
      </c>
      <c r="D711" s="431" t="s">
        <v>3666</v>
      </c>
      <c r="E711" s="431" t="s">
        <v>3667</v>
      </c>
      <c r="F711" s="431">
        <v>2406</v>
      </c>
      <c r="G711" s="431" t="s">
        <v>46</v>
      </c>
      <c r="H711" s="431" t="s">
        <v>2257</v>
      </c>
      <c r="I711" s="431" t="s">
        <v>2258</v>
      </c>
      <c r="J711" s="432">
        <v>46234</v>
      </c>
    </row>
    <row r="712" spans="1:10">
      <c r="A712" s="431">
        <v>745</v>
      </c>
      <c r="B712" s="431" t="s">
        <v>2253</v>
      </c>
      <c r="C712" s="431" t="s">
        <v>2254</v>
      </c>
      <c r="D712" s="431" t="s">
        <v>3668</v>
      </c>
      <c r="E712" s="431" t="s">
        <v>3669</v>
      </c>
      <c r="F712" s="431">
        <v>111</v>
      </c>
      <c r="G712" s="431" t="s">
        <v>21</v>
      </c>
      <c r="H712" s="431" t="s">
        <v>2257</v>
      </c>
      <c r="I712" s="431" t="s">
        <v>2258</v>
      </c>
      <c r="J712" s="432">
        <v>46234</v>
      </c>
    </row>
    <row r="713" spans="1:10">
      <c r="A713" s="431">
        <v>746</v>
      </c>
      <c r="B713" s="431" t="s">
        <v>2253</v>
      </c>
      <c r="C713" s="431" t="s">
        <v>2254</v>
      </c>
      <c r="D713" s="431" t="s">
        <v>3670</v>
      </c>
      <c r="E713" s="431" t="s">
        <v>3671</v>
      </c>
      <c r="F713" s="431">
        <v>1600</v>
      </c>
      <c r="G713" s="431" t="s">
        <v>46</v>
      </c>
      <c r="H713" s="431" t="s">
        <v>2257</v>
      </c>
      <c r="I713" s="431" t="s">
        <v>2258</v>
      </c>
      <c r="J713" s="432">
        <v>46234</v>
      </c>
    </row>
    <row r="714" spans="1:10">
      <c r="A714" s="431">
        <v>747</v>
      </c>
      <c r="B714" s="431" t="s">
        <v>2253</v>
      </c>
      <c r="C714" s="431" t="s">
        <v>2254</v>
      </c>
      <c r="D714" s="431" t="s">
        <v>3672</v>
      </c>
      <c r="E714" s="431" t="s">
        <v>3673</v>
      </c>
      <c r="F714" s="431">
        <v>316</v>
      </c>
      <c r="G714" s="431" t="s">
        <v>46</v>
      </c>
      <c r="H714" s="431" t="s">
        <v>2257</v>
      </c>
      <c r="I714" s="431" t="s">
        <v>2258</v>
      </c>
      <c r="J714" s="432">
        <v>46234</v>
      </c>
    </row>
    <row r="715" spans="1:10">
      <c r="A715" s="431">
        <v>748</v>
      </c>
      <c r="B715" s="431" t="s">
        <v>2253</v>
      </c>
      <c r="C715" s="431" t="s">
        <v>2254</v>
      </c>
      <c r="D715" s="431" t="s">
        <v>3674</v>
      </c>
      <c r="E715" s="431" t="s">
        <v>3675</v>
      </c>
      <c r="F715" s="431">
        <v>250</v>
      </c>
      <c r="G715" s="431" t="s">
        <v>3676</v>
      </c>
      <c r="H715" s="431" t="s">
        <v>2257</v>
      </c>
      <c r="I715" s="431" t="s">
        <v>2258</v>
      </c>
      <c r="J715" s="432">
        <v>46234</v>
      </c>
    </row>
    <row r="716" spans="1:10">
      <c r="A716" s="431">
        <v>750</v>
      </c>
      <c r="B716" s="431" t="s">
        <v>2253</v>
      </c>
      <c r="C716" s="431" t="s">
        <v>2254</v>
      </c>
      <c r="D716" s="431" t="s">
        <v>3677</v>
      </c>
      <c r="E716" s="431" t="s">
        <v>3678</v>
      </c>
      <c r="F716" s="431">
        <v>86</v>
      </c>
      <c r="G716" s="431" t="s">
        <v>812</v>
      </c>
      <c r="H716" s="431" t="s">
        <v>2257</v>
      </c>
      <c r="I716" s="431" t="s">
        <v>2258</v>
      </c>
      <c r="J716" s="432">
        <v>46234</v>
      </c>
    </row>
    <row r="717" spans="1:10">
      <c r="A717" s="431">
        <v>751</v>
      </c>
      <c r="B717" s="431" t="s">
        <v>2253</v>
      </c>
      <c r="C717" s="431" t="s">
        <v>2254</v>
      </c>
      <c r="D717" s="431" t="s">
        <v>3679</v>
      </c>
      <c r="E717" s="431" t="s">
        <v>3680</v>
      </c>
      <c r="F717" s="431">
        <v>287</v>
      </c>
      <c r="G717" s="431" t="s">
        <v>812</v>
      </c>
      <c r="H717" s="431" t="s">
        <v>2257</v>
      </c>
      <c r="I717" s="431" t="s">
        <v>2258</v>
      </c>
      <c r="J717" s="432">
        <v>46234</v>
      </c>
    </row>
    <row r="718" spans="1:10">
      <c r="A718" s="431">
        <v>752</v>
      </c>
      <c r="B718" s="431" t="s">
        <v>2721</v>
      </c>
      <c r="C718" s="431" t="s">
        <v>2254</v>
      </c>
      <c r="D718" s="431" t="s">
        <v>3681</v>
      </c>
      <c r="E718" s="431" t="s">
        <v>3682</v>
      </c>
      <c r="F718" s="431">
        <v>293</v>
      </c>
      <c r="G718" s="431" t="s">
        <v>3683</v>
      </c>
      <c r="H718" s="431" t="s">
        <v>2257</v>
      </c>
      <c r="I718" s="431" t="s">
        <v>2258</v>
      </c>
      <c r="J718" s="432">
        <v>46234</v>
      </c>
    </row>
    <row r="719" spans="1:10">
      <c r="A719" s="431">
        <v>753</v>
      </c>
      <c r="B719" s="431" t="s">
        <v>2721</v>
      </c>
      <c r="C719" s="431" t="s">
        <v>2254</v>
      </c>
      <c r="D719" s="431" t="s">
        <v>3684</v>
      </c>
      <c r="E719" s="431" t="s">
        <v>3685</v>
      </c>
      <c r="F719" s="431">
        <v>293</v>
      </c>
      <c r="G719" s="431" t="s">
        <v>21</v>
      </c>
      <c r="H719" s="431" t="s">
        <v>2257</v>
      </c>
      <c r="I719" s="431" t="s">
        <v>2258</v>
      </c>
      <c r="J719" s="432">
        <v>46234</v>
      </c>
    </row>
    <row r="720" spans="1:10">
      <c r="A720" s="431">
        <v>754</v>
      </c>
      <c r="B720" s="431" t="s">
        <v>2253</v>
      </c>
      <c r="C720" s="431" t="s">
        <v>2254</v>
      </c>
      <c r="D720" s="431" t="s">
        <v>3686</v>
      </c>
      <c r="E720" s="431" t="s">
        <v>3687</v>
      </c>
      <c r="F720" s="431">
        <v>8000</v>
      </c>
      <c r="G720" s="431" t="s">
        <v>46</v>
      </c>
      <c r="H720" s="431" t="s">
        <v>2257</v>
      </c>
      <c r="I720" s="431" t="s">
        <v>2258</v>
      </c>
      <c r="J720" s="432">
        <v>46234</v>
      </c>
    </row>
    <row r="721" spans="1:10">
      <c r="A721" s="431">
        <v>755</v>
      </c>
      <c r="B721" s="431" t="s">
        <v>2253</v>
      </c>
      <c r="C721" s="431" t="s">
        <v>2254</v>
      </c>
      <c r="D721" s="431" t="s">
        <v>3688</v>
      </c>
      <c r="E721" s="431" t="s">
        <v>3689</v>
      </c>
      <c r="F721" s="431">
        <v>52</v>
      </c>
      <c r="G721" s="431" t="s">
        <v>3690</v>
      </c>
      <c r="H721" s="431" t="s">
        <v>2257</v>
      </c>
      <c r="I721" s="431" t="s">
        <v>2258</v>
      </c>
      <c r="J721" s="432">
        <v>46234</v>
      </c>
    </row>
    <row r="722" spans="1:10">
      <c r="A722" s="431">
        <v>756</v>
      </c>
      <c r="B722" s="431" t="s">
        <v>2253</v>
      </c>
      <c r="C722" s="431" t="s">
        <v>2254</v>
      </c>
      <c r="D722" s="431" t="s">
        <v>3691</v>
      </c>
      <c r="E722" s="431" t="s">
        <v>3692</v>
      </c>
      <c r="F722" s="431">
        <v>39</v>
      </c>
      <c r="G722" s="431" t="s">
        <v>3693</v>
      </c>
      <c r="H722" s="431" t="s">
        <v>2257</v>
      </c>
      <c r="I722" s="431" t="s">
        <v>2258</v>
      </c>
      <c r="J722" s="432">
        <v>46234</v>
      </c>
    </row>
    <row r="723" spans="1:10">
      <c r="A723" s="431">
        <v>757</v>
      </c>
      <c r="B723" s="431" t="s">
        <v>2253</v>
      </c>
      <c r="C723" s="431" t="s">
        <v>2254</v>
      </c>
      <c r="D723" s="431" t="s">
        <v>3694</v>
      </c>
      <c r="E723" s="431" t="s">
        <v>3695</v>
      </c>
      <c r="F723" s="431">
        <v>159</v>
      </c>
      <c r="G723" s="431" t="s">
        <v>691</v>
      </c>
      <c r="H723" s="431" t="s">
        <v>2257</v>
      </c>
      <c r="I723" s="431" t="s">
        <v>2258</v>
      </c>
      <c r="J723" s="432">
        <v>46234</v>
      </c>
    </row>
    <row r="724" spans="1:10">
      <c r="A724" s="431">
        <v>758</v>
      </c>
      <c r="B724" s="431" t="s">
        <v>2253</v>
      </c>
      <c r="C724" s="431" t="s">
        <v>2254</v>
      </c>
      <c r="D724" s="431" t="s">
        <v>3696</v>
      </c>
      <c r="E724" s="431" t="s">
        <v>3697</v>
      </c>
      <c r="F724" s="431">
        <v>52</v>
      </c>
      <c r="G724" s="431" t="s">
        <v>3690</v>
      </c>
      <c r="H724" s="431" t="s">
        <v>2257</v>
      </c>
      <c r="I724" s="431" t="s">
        <v>2258</v>
      </c>
      <c r="J724" s="432">
        <v>46234</v>
      </c>
    </row>
    <row r="725" spans="1:10">
      <c r="A725" s="431">
        <v>759</v>
      </c>
      <c r="B725" s="431" t="s">
        <v>2253</v>
      </c>
      <c r="C725" s="431" t="s">
        <v>2254</v>
      </c>
      <c r="D725" s="431" t="s">
        <v>3698</v>
      </c>
      <c r="E725" s="431" t="s">
        <v>3699</v>
      </c>
      <c r="F725" s="431">
        <v>596</v>
      </c>
      <c r="G725" s="431" t="s">
        <v>328</v>
      </c>
      <c r="H725" s="431" t="s">
        <v>2257</v>
      </c>
      <c r="I725" s="431" t="s">
        <v>2258</v>
      </c>
      <c r="J725" s="432">
        <v>46234</v>
      </c>
    </row>
    <row r="726" spans="1:10">
      <c r="A726" s="431">
        <v>760</v>
      </c>
      <c r="B726" s="431" t="s">
        <v>2253</v>
      </c>
      <c r="C726" s="431" t="s">
        <v>2254</v>
      </c>
      <c r="D726" s="431" t="s">
        <v>3700</v>
      </c>
      <c r="E726" s="431" t="s">
        <v>3701</v>
      </c>
      <c r="F726" s="431">
        <v>211</v>
      </c>
      <c r="G726" s="431" t="s">
        <v>3676</v>
      </c>
      <c r="H726" s="431" t="s">
        <v>2257</v>
      </c>
      <c r="I726" s="431" t="s">
        <v>2258</v>
      </c>
      <c r="J726" s="432">
        <v>46234</v>
      </c>
    </row>
    <row r="727" spans="1:10">
      <c r="A727" s="431">
        <v>761</v>
      </c>
      <c r="B727" s="431" t="s">
        <v>2253</v>
      </c>
      <c r="C727" s="431" t="s">
        <v>2254</v>
      </c>
      <c r="D727" s="431" t="s">
        <v>3702</v>
      </c>
      <c r="E727" s="431" t="s">
        <v>3703</v>
      </c>
      <c r="F727" s="431">
        <v>1000</v>
      </c>
      <c r="G727" s="431" t="s">
        <v>46</v>
      </c>
      <c r="H727" s="431" t="s">
        <v>2573</v>
      </c>
      <c r="I727" s="431" t="s">
        <v>2574</v>
      </c>
      <c r="J727" s="432">
        <v>46234</v>
      </c>
    </row>
    <row r="728" spans="1:10">
      <c r="A728" s="431">
        <v>762</v>
      </c>
      <c r="B728" s="431" t="s">
        <v>2253</v>
      </c>
      <c r="C728" s="431" t="s">
        <v>2254</v>
      </c>
      <c r="D728" s="431" t="s">
        <v>3704</v>
      </c>
      <c r="E728" s="431" t="s">
        <v>3705</v>
      </c>
      <c r="F728" s="431">
        <v>2600</v>
      </c>
      <c r="G728" s="431" t="s">
        <v>21</v>
      </c>
      <c r="H728" s="431" t="s">
        <v>2257</v>
      </c>
      <c r="I728" s="431" t="s">
        <v>2258</v>
      </c>
      <c r="J728" s="432">
        <v>46234</v>
      </c>
    </row>
    <row r="729" spans="1:10">
      <c r="A729" s="431">
        <v>763</v>
      </c>
      <c r="B729" s="431" t="s">
        <v>2253</v>
      </c>
      <c r="C729" s="431" t="s">
        <v>2254</v>
      </c>
      <c r="D729" s="431" t="s">
        <v>3706</v>
      </c>
      <c r="E729" s="431" t="s">
        <v>3707</v>
      </c>
      <c r="F729" s="431">
        <v>750</v>
      </c>
      <c r="G729" s="431" t="s">
        <v>328</v>
      </c>
      <c r="H729" s="431" t="s">
        <v>2257</v>
      </c>
      <c r="I729" s="431" t="s">
        <v>2258</v>
      </c>
      <c r="J729" s="432">
        <v>46234</v>
      </c>
    </row>
    <row r="730" spans="1:10">
      <c r="A730" s="431">
        <v>764</v>
      </c>
      <c r="B730" s="431" t="s">
        <v>2253</v>
      </c>
      <c r="C730" s="431" t="s">
        <v>2254</v>
      </c>
      <c r="D730" s="431" t="s">
        <v>3708</v>
      </c>
      <c r="E730" s="431" t="s">
        <v>3709</v>
      </c>
      <c r="F730" s="431">
        <v>150</v>
      </c>
      <c r="G730" s="431" t="s">
        <v>691</v>
      </c>
      <c r="H730" s="431" t="s">
        <v>2257</v>
      </c>
      <c r="I730" s="431" t="s">
        <v>2258</v>
      </c>
      <c r="J730" s="432">
        <v>46234</v>
      </c>
    </row>
    <row r="731" spans="1:10">
      <c r="A731" s="431">
        <v>765</v>
      </c>
      <c r="B731" s="431" t="s">
        <v>2253</v>
      </c>
      <c r="C731" s="431" t="s">
        <v>2254</v>
      </c>
      <c r="D731" s="431" t="s">
        <v>3710</v>
      </c>
      <c r="E731" s="431" t="s">
        <v>3711</v>
      </c>
      <c r="F731" s="431">
        <v>1600</v>
      </c>
      <c r="G731" s="431" t="s">
        <v>21</v>
      </c>
      <c r="H731" s="431" t="s">
        <v>2257</v>
      </c>
      <c r="I731" s="431" t="s">
        <v>2258</v>
      </c>
      <c r="J731" s="432">
        <v>46234</v>
      </c>
    </row>
    <row r="732" spans="1:10">
      <c r="A732" s="431">
        <v>766</v>
      </c>
      <c r="B732" s="431" t="s">
        <v>2253</v>
      </c>
      <c r="C732" s="431" t="s">
        <v>2254</v>
      </c>
      <c r="D732" s="431" t="s">
        <v>3712</v>
      </c>
      <c r="E732" s="431" t="s">
        <v>3713</v>
      </c>
      <c r="F732" s="431">
        <v>343</v>
      </c>
      <c r="G732" s="431" t="s">
        <v>21</v>
      </c>
      <c r="H732" s="431" t="s">
        <v>2257</v>
      </c>
      <c r="I732" s="431" t="s">
        <v>2258</v>
      </c>
      <c r="J732" s="432">
        <v>46234</v>
      </c>
    </row>
    <row r="733" spans="1:10">
      <c r="A733" s="431">
        <v>767</v>
      </c>
      <c r="B733" s="431" t="s">
        <v>2253</v>
      </c>
      <c r="C733" s="431" t="s">
        <v>2254</v>
      </c>
      <c r="D733" s="431" t="s">
        <v>3714</v>
      </c>
      <c r="E733" s="431" t="s">
        <v>3715</v>
      </c>
      <c r="F733" s="431">
        <v>78</v>
      </c>
      <c r="G733" s="431" t="s">
        <v>691</v>
      </c>
      <c r="H733" s="431" t="s">
        <v>2257</v>
      </c>
      <c r="I733" s="431" t="s">
        <v>2258</v>
      </c>
      <c r="J733" s="432">
        <v>46234</v>
      </c>
    </row>
    <row r="734" spans="1:10">
      <c r="A734" s="431">
        <v>768</v>
      </c>
      <c r="B734" s="431" t="s">
        <v>2253</v>
      </c>
      <c r="C734" s="431" t="s">
        <v>2254</v>
      </c>
      <c r="D734" s="431" t="s">
        <v>3716</v>
      </c>
      <c r="E734" s="431" t="s">
        <v>3717</v>
      </c>
      <c r="F734" s="431">
        <v>130</v>
      </c>
      <c r="G734" s="431" t="s">
        <v>3683</v>
      </c>
      <c r="H734" s="431" t="s">
        <v>2257</v>
      </c>
      <c r="I734" s="431" t="s">
        <v>2258</v>
      </c>
      <c r="J734" s="432">
        <v>46234</v>
      </c>
    </row>
    <row r="735" spans="1:10">
      <c r="A735" s="431">
        <v>769</v>
      </c>
      <c r="B735" s="431" t="s">
        <v>2253</v>
      </c>
      <c r="C735" s="431" t="s">
        <v>2254</v>
      </c>
      <c r="D735" s="431" t="s">
        <v>3718</v>
      </c>
      <c r="E735" s="431" t="s">
        <v>3719</v>
      </c>
      <c r="F735" s="431">
        <v>700</v>
      </c>
      <c r="G735" s="431" t="s">
        <v>46</v>
      </c>
      <c r="H735" s="431" t="s">
        <v>2257</v>
      </c>
      <c r="I735" s="431" t="s">
        <v>2258</v>
      </c>
      <c r="J735" s="432">
        <v>46234</v>
      </c>
    </row>
    <row r="736" spans="1:10">
      <c r="A736" s="431">
        <v>771</v>
      </c>
      <c r="B736" s="431" t="s">
        <v>2253</v>
      </c>
      <c r="C736" s="431" t="s">
        <v>2254</v>
      </c>
      <c r="D736" s="431" t="s">
        <v>3720</v>
      </c>
      <c r="E736" s="431" t="s">
        <v>3721</v>
      </c>
      <c r="F736" s="431">
        <v>8000</v>
      </c>
      <c r="G736" s="431" t="s">
        <v>1532</v>
      </c>
      <c r="H736" s="431" t="s">
        <v>2257</v>
      </c>
      <c r="I736" s="431" t="s">
        <v>2258</v>
      </c>
      <c r="J736" s="432">
        <v>46234</v>
      </c>
    </row>
    <row r="737" spans="1:10">
      <c r="A737" s="431">
        <v>772</v>
      </c>
      <c r="B737" s="431" t="s">
        <v>2253</v>
      </c>
      <c r="C737" s="431" t="s">
        <v>2254</v>
      </c>
      <c r="D737" s="431" t="s">
        <v>3722</v>
      </c>
      <c r="E737" s="431" t="s">
        <v>3723</v>
      </c>
      <c r="F737" s="431">
        <v>260</v>
      </c>
      <c r="G737" s="431" t="s">
        <v>21</v>
      </c>
      <c r="H737" s="431" t="s">
        <v>2257</v>
      </c>
      <c r="I737" s="431" t="s">
        <v>2258</v>
      </c>
      <c r="J737" s="432">
        <v>46234</v>
      </c>
    </row>
    <row r="738" spans="1:10">
      <c r="A738" s="431">
        <v>773</v>
      </c>
      <c r="B738" s="431" t="s">
        <v>2253</v>
      </c>
      <c r="C738" s="431" t="s">
        <v>2254</v>
      </c>
      <c r="D738" s="431" t="s">
        <v>3724</v>
      </c>
      <c r="E738" s="431" t="s">
        <v>3725</v>
      </c>
      <c r="F738" s="431">
        <v>320</v>
      </c>
      <c r="G738" s="431" t="s">
        <v>691</v>
      </c>
      <c r="H738" s="431" t="s">
        <v>2257</v>
      </c>
      <c r="I738" s="431" t="s">
        <v>2258</v>
      </c>
      <c r="J738" s="432">
        <v>46234</v>
      </c>
    </row>
    <row r="739" spans="1:10">
      <c r="A739" s="431">
        <v>774</v>
      </c>
      <c r="B739" s="431" t="s">
        <v>2253</v>
      </c>
      <c r="C739" s="431" t="s">
        <v>2254</v>
      </c>
      <c r="D739" s="431" t="s">
        <v>3726</v>
      </c>
      <c r="E739" s="431" t="s">
        <v>3727</v>
      </c>
      <c r="F739" s="431">
        <v>900</v>
      </c>
      <c r="G739" s="431" t="s">
        <v>46</v>
      </c>
      <c r="H739" s="431" t="s">
        <v>2257</v>
      </c>
      <c r="I739" s="431" t="s">
        <v>2258</v>
      </c>
      <c r="J739" s="432">
        <v>46234</v>
      </c>
    </row>
    <row r="740" spans="1:10">
      <c r="A740" s="431">
        <v>775</v>
      </c>
      <c r="B740" s="431" t="s">
        <v>2253</v>
      </c>
      <c r="C740" s="431" t="s">
        <v>2254</v>
      </c>
      <c r="D740" s="431" t="s">
        <v>3728</v>
      </c>
      <c r="E740" s="431" t="s">
        <v>3729</v>
      </c>
      <c r="F740" s="431">
        <v>630</v>
      </c>
      <c r="G740" s="431" t="s">
        <v>46</v>
      </c>
      <c r="H740" s="431" t="s">
        <v>2257</v>
      </c>
      <c r="I740" s="431" t="s">
        <v>2258</v>
      </c>
      <c r="J740" s="432">
        <v>46234</v>
      </c>
    </row>
    <row r="741" spans="1:10">
      <c r="A741" s="431">
        <v>776</v>
      </c>
      <c r="B741" s="431" t="s">
        <v>2253</v>
      </c>
      <c r="C741" s="433" t="s">
        <v>2254</v>
      </c>
      <c r="D741" s="431" t="s">
        <v>3730</v>
      </c>
      <c r="E741" s="431" t="s">
        <v>3731</v>
      </c>
      <c r="F741" s="431">
        <v>250</v>
      </c>
      <c r="G741" s="431" t="s">
        <v>46</v>
      </c>
      <c r="H741" s="431" t="s">
        <v>2257</v>
      </c>
      <c r="I741" s="431" t="s">
        <v>2258</v>
      </c>
      <c r="J741" s="432">
        <v>46234</v>
      </c>
    </row>
    <row r="742" spans="1:10">
      <c r="A742" s="431">
        <v>777</v>
      </c>
      <c r="B742" s="431" t="s">
        <v>2253</v>
      </c>
      <c r="C742" s="431" t="s">
        <v>2254</v>
      </c>
      <c r="D742" s="431" t="s">
        <v>3732</v>
      </c>
      <c r="E742" s="431" t="s">
        <v>3733</v>
      </c>
      <c r="F742" s="431">
        <v>6100</v>
      </c>
      <c r="G742" s="431" t="s">
        <v>46</v>
      </c>
      <c r="H742" s="431" t="s">
        <v>2257</v>
      </c>
      <c r="I742" s="431" t="s">
        <v>2258</v>
      </c>
      <c r="J742" s="432">
        <v>46234</v>
      </c>
    </row>
    <row r="743" spans="1:10">
      <c r="A743" s="431">
        <v>778</v>
      </c>
      <c r="B743" s="431" t="s">
        <v>2253</v>
      </c>
      <c r="C743" s="431" t="s">
        <v>2254</v>
      </c>
      <c r="D743" s="431" t="s">
        <v>3734</v>
      </c>
      <c r="E743" s="431" t="s">
        <v>3735</v>
      </c>
      <c r="F743" s="431">
        <v>65</v>
      </c>
      <c r="G743" s="431" t="s">
        <v>46</v>
      </c>
      <c r="H743" s="431" t="s">
        <v>2257</v>
      </c>
      <c r="I743" s="431" t="s">
        <v>2258</v>
      </c>
      <c r="J743" s="432">
        <v>46234</v>
      </c>
    </row>
    <row r="744" spans="1:10">
      <c r="A744" s="431">
        <v>779</v>
      </c>
      <c r="B744" s="431" t="s">
        <v>2253</v>
      </c>
      <c r="C744" s="431" t="s">
        <v>2254</v>
      </c>
      <c r="D744" s="431" t="s">
        <v>3736</v>
      </c>
      <c r="E744" s="431" t="s">
        <v>3737</v>
      </c>
      <c r="F744" s="431">
        <v>1600</v>
      </c>
      <c r="G744" s="431" t="s">
        <v>46</v>
      </c>
      <c r="H744" s="431" t="s">
        <v>2257</v>
      </c>
      <c r="I744" s="431" t="s">
        <v>2258</v>
      </c>
      <c r="J744" s="432">
        <v>46234</v>
      </c>
    </row>
    <row r="745" spans="1:10">
      <c r="A745" s="431">
        <v>780</v>
      </c>
      <c r="B745" s="431" t="s">
        <v>2253</v>
      </c>
      <c r="C745" s="431" t="s">
        <v>2254</v>
      </c>
      <c r="D745" s="431" t="s">
        <v>3738</v>
      </c>
      <c r="E745" s="431" t="s">
        <v>3739</v>
      </c>
      <c r="F745" s="431">
        <v>610</v>
      </c>
      <c r="G745" s="431" t="s">
        <v>46</v>
      </c>
      <c r="H745" s="431" t="s">
        <v>2257</v>
      </c>
      <c r="I745" s="431" t="s">
        <v>2258</v>
      </c>
      <c r="J745" s="432">
        <v>46234</v>
      </c>
    </row>
    <row r="746" spans="1:10">
      <c r="A746" s="431">
        <v>781</v>
      </c>
      <c r="B746" s="431" t="s">
        <v>2253</v>
      </c>
      <c r="C746" s="431" t="s">
        <v>2254</v>
      </c>
      <c r="D746" s="431" t="s">
        <v>3740</v>
      </c>
      <c r="E746" s="431" t="s">
        <v>3741</v>
      </c>
      <c r="F746" s="431">
        <v>1250</v>
      </c>
      <c r="G746" s="431" t="s">
        <v>46</v>
      </c>
      <c r="H746" s="431" t="s">
        <v>2257</v>
      </c>
      <c r="I746" s="431" t="s">
        <v>2258</v>
      </c>
      <c r="J746" s="432">
        <v>46234</v>
      </c>
    </row>
    <row r="747" spans="1:10">
      <c r="A747" s="431">
        <v>782</v>
      </c>
      <c r="B747" s="431" t="s">
        <v>2253</v>
      </c>
      <c r="C747" s="431" t="s">
        <v>2254</v>
      </c>
      <c r="D747" s="431" t="s">
        <v>3742</v>
      </c>
      <c r="E747" s="431" t="s">
        <v>3743</v>
      </c>
      <c r="F747" s="431">
        <v>900</v>
      </c>
      <c r="G747" s="431" t="s">
        <v>46</v>
      </c>
      <c r="H747" s="431" t="s">
        <v>2257</v>
      </c>
      <c r="I747" s="431" t="s">
        <v>2258</v>
      </c>
      <c r="J747" s="432">
        <v>46234</v>
      </c>
    </row>
    <row r="748" spans="1:10">
      <c r="A748" s="431">
        <v>783</v>
      </c>
      <c r="B748" s="431" t="s">
        <v>2253</v>
      </c>
      <c r="C748" s="431" t="s">
        <v>2254</v>
      </c>
      <c r="D748" s="431" t="s">
        <v>3744</v>
      </c>
      <c r="E748" s="431" t="s">
        <v>3745</v>
      </c>
      <c r="F748" s="431">
        <v>16</v>
      </c>
      <c r="G748" s="431" t="s">
        <v>46</v>
      </c>
      <c r="H748" s="431" t="s">
        <v>2257</v>
      </c>
      <c r="I748" s="431" t="s">
        <v>2258</v>
      </c>
      <c r="J748" s="432">
        <v>46234</v>
      </c>
    </row>
    <row r="749" spans="1:10">
      <c r="A749" s="431">
        <v>784</v>
      </c>
      <c r="B749" s="431" t="s">
        <v>2253</v>
      </c>
      <c r="C749" s="431" t="s">
        <v>2254</v>
      </c>
      <c r="D749" s="431" t="s">
        <v>3746</v>
      </c>
      <c r="E749" s="431" t="s">
        <v>3747</v>
      </c>
      <c r="F749" s="431">
        <v>170</v>
      </c>
      <c r="G749" s="431" t="s">
        <v>21</v>
      </c>
      <c r="H749" s="431" t="s">
        <v>2257</v>
      </c>
      <c r="I749" s="431" t="s">
        <v>2258</v>
      </c>
      <c r="J749" s="432">
        <v>46234</v>
      </c>
    </row>
    <row r="750" spans="1:10">
      <c r="A750" s="431">
        <v>785</v>
      </c>
      <c r="B750" s="431" t="s">
        <v>2253</v>
      </c>
      <c r="C750" s="431" t="s">
        <v>2254</v>
      </c>
      <c r="D750" s="431" t="s">
        <v>3748</v>
      </c>
      <c r="E750" s="431" t="s">
        <v>3749</v>
      </c>
      <c r="F750" s="431">
        <v>270</v>
      </c>
      <c r="G750" s="431" t="s">
        <v>21</v>
      </c>
      <c r="H750" s="431" t="s">
        <v>2257</v>
      </c>
      <c r="I750" s="431" t="s">
        <v>2258</v>
      </c>
      <c r="J750" s="432">
        <v>46234</v>
      </c>
    </row>
    <row r="751" spans="1:10">
      <c r="A751" s="431">
        <v>786</v>
      </c>
      <c r="B751" s="431" t="s">
        <v>2253</v>
      </c>
      <c r="C751" s="431" t="s">
        <v>2254</v>
      </c>
      <c r="D751" s="431" t="s">
        <v>3750</v>
      </c>
      <c r="E751" s="431" t="s">
        <v>3751</v>
      </c>
      <c r="F751" s="431">
        <v>125</v>
      </c>
      <c r="G751" s="431" t="s">
        <v>21</v>
      </c>
      <c r="H751" s="431" t="s">
        <v>2257</v>
      </c>
      <c r="I751" s="431" t="s">
        <v>2258</v>
      </c>
      <c r="J751" s="432">
        <v>46234</v>
      </c>
    </row>
    <row r="752" spans="1:10">
      <c r="A752" s="431">
        <v>787</v>
      </c>
      <c r="B752" s="431" t="s">
        <v>2253</v>
      </c>
      <c r="C752" s="431" t="s">
        <v>2254</v>
      </c>
      <c r="D752" s="431" t="s">
        <v>3752</v>
      </c>
      <c r="E752" s="431" t="s">
        <v>3753</v>
      </c>
      <c r="F752" s="431">
        <v>73</v>
      </c>
      <c r="G752" s="431" t="s">
        <v>1107</v>
      </c>
      <c r="H752" s="431" t="s">
        <v>2257</v>
      </c>
      <c r="I752" s="431" t="s">
        <v>2258</v>
      </c>
      <c r="J752" s="432">
        <v>46234</v>
      </c>
    </row>
    <row r="753" spans="1:10">
      <c r="A753" s="431">
        <v>788</v>
      </c>
      <c r="B753" s="431" t="s">
        <v>2253</v>
      </c>
      <c r="C753" s="433" t="s">
        <v>2254</v>
      </c>
      <c r="D753" s="431" t="s">
        <v>3754</v>
      </c>
      <c r="E753" s="431" t="s">
        <v>3755</v>
      </c>
      <c r="F753" s="431">
        <v>60</v>
      </c>
      <c r="G753" s="431" t="s">
        <v>46</v>
      </c>
      <c r="H753" s="431" t="s">
        <v>2257</v>
      </c>
      <c r="I753" s="431" t="s">
        <v>2258</v>
      </c>
      <c r="J753" s="432">
        <v>46234</v>
      </c>
    </row>
    <row r="754" spans="1:10">
      <c r="A754" s="431">
        <v>789</v>
      </c>
      <c r="B754" s="431" t="s">
        <v>2253</v>
      </c>
      <c r="C754" s="433" t="s">
        <v>2254</v>
      </c>
      <c r="D754" s="431" t="s">
        <v>3756</v>
      </c>
      <c r="E754" s="431" t="s">
        <v>3757</v>
      </c>
      <c r="F754" s="431">
        <v>60</v>
      </c>
      <c r="G754" s="431" t="s">
        <v>46</v>
      </c>
      <c r="H754" s="431" t="s">
        <v>2257</v>
      </c>
      <c r="I754" s="431" t="s">
        <v>2258</v>
      </c>
      <c r="J754" s="432">
        <v>46234</v>
      </c>
    </row>
    <row r="755" spans="1:10">
      <c r="A755" s="431">
        <v>790</v>
      </c>
      <c r="B755" s="431" t="s">
        <v>2253</v>
      </c>
      <c r="C755" s="431" t="s">
        <v>2254</v>
      </c>
      <c r="D755" s="431" t="s">
        <v>3758</v>
      </c>
      <c r="E755" s="431" t="s">
        <v>3759</v>
      </c>
      <c r="F755" s="431">
        <v>60</v>
      </c>
      <c r="G755" s="431" t="s">
        <v>46</v>
      </c>
      <c r="H755" s="431" t="s">
        <v>2257</v>
      </c>
      <c r="I755" s="431" t="s">
        <v>2258</v>
      </c>
      <c r="J755" s="432">
        <v>46234</v>
      </c>
    </row>
    <row r="756" spans="1:10">
      <c r="A756" s="431">
        <v>791</v>
      </c>
      <c r="B756" s="431" t="s">
        <v>2253</v>
      </c>
      <c r="C756" s="431" t="s">
        <v>2254</v>
      </c>
      <c r="D756" s="431" t="s">
        <v>3760</v>
      </c>
      <c r="E756" s="431" t="s">
        <v>3761</v>
      </c>
      <c r="F756" s="431">
        <v>10500</v>
      </c>
      <c r="G756" s="431" t="s">
        <v>46</v>
      </c>
      <c r="H756" s="431" t="s">
        <v>2257</v>
      </c>
      <c r="I756" s="431" t="s">
        <v>2258</v>
      </c>
      <c r="J756" s="432">
        <v>46234</v>
      </c>
    </row>
    <row r="757" spans="1:10">
      <c r="A757" s="431">
        <v>792</v>
      </c>
      <c r="B757" s="431" t="s">
        <v>2253</v>
      </c>
      <c r="C757" s="431" t="s">
        <v>2254</v>
      </c>
      <c r="D757" s="431" t="s">
        <v>3762</v>
      </c>
      <c r="E757" s="431" t="s">
        <v>3763</v>
      </c>
      <c r="F757" s="431">
        <v>1500</v>
      </c>
      <c r="G757" s="431" t="s">
        <v>46</v>
      </c>
      <c r="H757" s="431" t="s">
        <v>2257</v>
      </c>
      <c r="I757" s="431" t="s">
        <v>2258</v>
      </c>
      <c r="J757" s="432">
        <v>46234</v>
      </c>
    </row>
    <row r="758" spans="1:10">
      <c r="A758" s="431">
        <v>793</v>
      </c>
      <c r="B758" s="431" t="s">
        <v>2253</v>
      </c>
      <c r="C758" s="431" t="s">
        <v>2254</v>
      </c>
      <c r="D758" s="431" t="s">
        <v>3764</v>
      </c>
      <c r="E758" s="431" t="s">
        <v>3765</v>
      </c>
      <c r="F758" s="431">
        <v>140</v>
      </c>
      <c r="G758" s="431" t="s">
        <v>46</v>
      </c>
      <c r="H758" s="431" t="s">
        <v>2257</v>
      </c>
      <c r="I758" s="431" t="s">
        <v>2258</v>
      </c>
      <c r="J758" s="432">
        <v>46234</v>
      </c>
    </row>
    <row r="759" spans="1:10">
      <c r="A759" s="431">
        <v>794</v>
      </c>
      <c r="B759" s="431" t="s">
        <v>2253</v>
      </c>
      <c r="C759" s="431" t="s">
        <v>2254</v>
      </c>
      <c r="D759" s="431" t="s">
        <v>3766</v>
      </c>
      <c r="E759" s="431" t="s">
        <v>3767</v>
      </c>
      <c r="F759" s="431">
        <v>82</v>
      </c>
      <c r="G759" s="431" t="s">
        <v>797</v>
      </c>
      <c r="H759" s="431" t="s">
        <v>2257</v>
      </c>
      <c r="I759" s="431" t="s">
        <v>2258</v>
      </c>
      <c r="J759" s="432">
        <v>46234</v>
      </c>
    </row>
    <row r="760" spans="1:10">
      <c r="A760" s="431">
        <v>795</v>
      </c>
      <c r="B760" s="431" t="s">
        <v>2253</v>
      </c>
      <c r="C760" s="431" t="s">
        <v>2254</v>
      </c>
      <c r="D760" s="431" t="s">
        <v>3768</v>
      </c>
      <c r="E760" s="431" t="s">
        <v>3769</v>
      </c>
      <c r="F760" s="431">
        <v>590</v>
      </c>
      <c r="G760" s="431" t="s">
        <v>21</v>
      </c>
      <c r="H760" s="431" t="s">
        <v>2257</v>
      </c>
      <c r="I760" s="431" t="s">
        <v>2258</v>
      </c>
      <c r="J760" s="432">
        <v>46234</v>
      </c>
    </row>
    <row r="761" spans="1:10">
      <c r="A761" s="431">
        <v>796</v>
      </c>
      <c r="B761" s="431" t="s">
        <v>2253</v>
      </c>
      <c r="C761" s="431" t="s">
        <v>2254</v>
      </c>
      <c r="D761" s="431" t="s">
        <v>3770</v>
      </c>
      <c r="E761" s="431" t="s">
        <v>3771</v>
      </c>
      <c r="F761" s="431">
        <v>2700</v>
      </c>
      <c r="G761" s="431" t="s">
        <v>1107</v>
      </c>
      <c r="H761" s="431" t="s">
        <v>2257</v>
      </c>
      <c r="I761" s="431" t="s">
        <v>2258</v>
      </c>
      <c r="J761" s="432">
        <v>46234</v>
      </c>
    </row>
    <row r="762" spans="1:10">
      <c r="A762" s="431">
        <v>797</v>
      </c>
      <c r="B762" s="431" t="s">
        <v>2253</v>
      </c>
      <c r="C762" s="431" t="s">
        <v>2254</v>
      </c>
      <c r="D762" s="431" t="s">
        <v>3772</v>
      </c>
      <c r="E762" s="431" t="s">
        <v>3773</v>
      </c>
      <c r="F762" s="431">
        <v>4200</v>
      </c>
      <c r="G762" s="431" t="s">
        <v>328</v>
      </c>
      <c r="H762" s="431" t="s">
        <v>2257</v>
      </c>
      <c r="I762" s="431" t="s">
        <v>2258</v>
      </c>
      <c r="J762" s="432">
        <v>46234</v>
      </c>
    </row>
    <row r="763" spans="1:10">
      <c r="A763" s="431">
        <v>798</v>
      </c>
      <c r="B763" s="431" t="s">
        <v>2253</v>
      </c>
      <c r="C763" s="431" t="s">
        <v>2254</v>
      </c>
      <c r="D763" s="431" t="s">
        <v>3774</v>
      </c>
      <c r="E763" s="431" t="s">
        <v>3775</v>
      </c>
      <c r="F763" s="431">
        <v>380</v>
      </c>
      <c r="G763" s="431" t="s">
        <v>691</v>
      </c>
      <c r="H763" s="431" t="s">
        <v>2257</v>
      </c>
      <c r="I763" s="431" t="s">
        <v>2258</v>
      </c>
      <c r="J763" s="432">
        <v>46234</v>
      </c>
    </row>
    <row r="764" spans="1:10">
      <c r="A764" s="431">
        <v>799</v>
      </c>
      <c r="B764" s="431" t="s">
        <v>2253</v>
      </c>
      <c r="C764" s="431" t="s">
        <v>2254</v>
      </c>
      <c r="D764" s="431" t="s">
        <v>3776</v>
      </c>
      <c r="E764" s="431" t="s">
        <v>3777</v>
      </c>
      <c r="F764" s="431">
        <v>160</v>
      </c>
      <c r="G764" s="431" t="s">
        <v>2466</v>
      </c>
      <c r="H764" s="431" t="s">
        <v>2257</v>
      </c>
      <c r="I764" s="431" t="s">
        <v>2258</v>
      </c>
      <c r="J764" s="432">
        <v>46234</v>
      </c>
    </row>
    <row r="765" spans="1:10">
      <c r="A765" s="431">
        <v>801</v>
      </c>
      <c r="B765" s="431" t="s">
        <v>2560</v>
      </c>
      <c r="C765" s="431" t="s">
        <v>2254</v>
      </c>
      <c r="D765" s="431" t="s">
        <v>3778</v>
      </c>
      <c r="E765" s="431" t="s">
        <v>3779</v>
      </c>
      <c r="F765" s="431">
        <v>1200</v>
      </c>
      <c r="G765" s="431" t="s">
        <v>1532</v>
      </c>
      <c r="H765" s="431" t="s">
        <v>2257</v>
      </c>
      <c r="I765" s="431" t="s">
        <v>2258</v>
      </c>
      <c r="J765" s="432">
        <v>46234</v>
      </c>
    </row>
    <row r="766" spans="1:10">
      <c r="A766" s="431">
        <v>802</v>
      </c>
      <c r="B766" s="431" t="s">
        <v>2253</v>
      </c>
      <c r="C766" s="431" t="s">
        <v>2254</v>
      </c>
      <c r="D766" s="431" t="s">
        <v>3780</v>
      </c>
      <c r="E766" s="431" t="s">
        <v>3781</v>
      </c>
      <c r="F766" s="431">
        <v>3800</v>
      </c>
      <c r="G766" s="431" t="s">
        <v>46</v>
      </c>
      <c r="H766" s="431" t="s">
        <v>2257</v>
      </c>
      <c r="I766" s="431" t="s">
        <v>2258</v>
      </c>
      <c r="J766" s="432">
        <v>46234</v>
      </c>
    </row>
    <row r="767" spans="1:10">
      <c r="A767" s="431">
        <v>803</v>
      </c>
      <c r="B767" s="431" t="s">
        <v>2253</v>
      </c>
      <c r="C767" s="431" t="s">
        <v>2254</v>
      </c>
      <c r="D767" s="431" t="s">
        <v>3782</v>
      </c>
      <c r="E767" s="431" t="s">
        <v>3783</v>
      </c>
      <c r="F767" s="431">
        <v>58</v>
      </c>
      <c r="G767" s="431" t="s">
        <v>46</v>
      </c>
      <c r="H767" s="431" t="s">
        <v>2257</v>
      </c>
      <c r="I767" s="431" t="s">
        <v>2258</v>
      </c>
      <c r="J767" s="432">
        <v>46234</v>
      </c>
    </row>
    <row r="768" spans="1:10">
      <c r="A768" s="431">
        <v>804</v>
      </c>
      <c r="B768" s="431" t="s">
        <v>2253</v>
      </c>
      <c r="C768" s="431" t="s">
        <v>2254</v>
      </c>
      <c r="D768" s="431" t="s">
        <v>3784</v>
      </c>
      <c r="E768" s="431" t="s">
        <v>3785</v>
      </c>
      <c r="F768" s="431">
        <v>8</v>
      </c>
      <c r="G768" s="431" t="s">
        <v>46</v>
      </c>
      <c r="H768" s="431" t="s">
        <v>2257</v>
      </c>
      <c r="I768" s="431" t="s">
        <v>2258</v>
      </c>
      <c r="J768" s="432">
        <v>46234</v>
      </c>
    </row>
    <row r="769" spans="1:10">
      <c r="A769" s="431">
        <v>805</v>
      </c>
      <c r="B769" s="431" t="s">
        <v>2253</v>
      </c>
      <c r="C769" s="431" t="s">
        <v>2254</v>
      </c>
      <c r="D769" s="431" t="s">
        <v>3786</v>
      </c>
      <c r="E769" s="431" t="s">
        <v>3787</v>
      </c>
      <c r="F769" s="431">
        <v>64</v>
      </c>
      <c r="G769" s="431" t="s">
        <v>2466</v>
      </c>
      <c r="H769" s="431" t="s">
        <v>2257</v>
      </c>
      <c r="I769" s="431" t="s">
        <v>2258</v>
      </c>
      <c r="J769" s="432">
        <v>46234</v>
      </c>
    </row>
    <row r="770" spans="1:10">
      <c r="A770" s="431">
        <v>806</v>
      </c>
      <c r="B770" s="431" t="s">
        <v>2253</v>
      </c>
      <c r="C770" s="431" t="s">
        <v>2254</v>
      </c>
      <c r="D770" s="431" t="s">
        <v>3788</v>
      </c>
      <c r="E770" s="431" t="s">
        <v>3789</v>
      </c>
      <c r="F770" s="431">
        <v>230</v>
      </c>
      <c r="G770" s="431" t="s">
        <v>2466</v>
      </c>
      <c r="H770" s="431" t="s">
        <v>2257</v>
      </c>
      <c r="I770" s="431" t="s">
        <v>2258</v>
      </c>
      <c r="J770" s="432">
        <v>46234</v>
      </c>
    </row>
    <row r="771" spans="1:10">
      <c r="A771" s="431">
        <v>807</v>
      </c>
      <c r="B771" s="431" t="s">
        <v>2253</v>
      </c>
      <c r="C771" s="431" t="s">
        <v>2254</v>
      </c>
      <c r="D771" s="431" t="s">
        <v>3790</v>
      </c>
      <c r="E771" s="431" t="s">
        <v>3791</v>
      </c>
      <c r="F771" s="431">
        <v>10500</v>
      </c>
      <c r="G771" s="431" t="s">
        <v>46</v>
      </c>
      <c r="H771" s="431" t="s">
        <v>2257</v>
      </c>
      <c r="I771" s="431" t="s">
        <v>2258</v>
      </c>
      <c r="J771" s="432">
        <v>46234</v>
      </c>
    </row>
    <row r="772" spans="1:10">
      <c r="A772" s="431">
        <v>808</v>
      </c>
      <c r="B772" s="431" t="s">
        <v>2253</v>
      </c>
      <c r="C772" s="431" t="s">
        <v>2254</v>
      </c>
      <c r="D772" s="431" t="s">
        <v>3792</v>
      </c>
      <c r="E772" s="431" t="s">
        <v>3793</v>
      </c>
      <c r="F772" s="431">
        <v>450</v>
      </c>
      <c r="G772" s="431" t="s">
        <v>46</v>
      </c>
      <c r="H772" s="431" t="s">
        <v>2257</v>
      </c>
      <c r="I772" s="431" t="s">
        <v>2258</v>
      </c>
      <c r="J772" s="432">
        <v>46234</v>
      </c>
    </row>
    <row r="773" spans="1:10">
      <c r="A773" s="431">
        <v>809</v>
      </c>
      <c r="B773" s="431" t="s">
        <v>2253</v>
      </c>
      <c r="C773" s="431" t="s">
        <v>2254</v>
      </c>
      <c r="D773" s="431" t="s">
        <v>3794</v>
      </c>
      <c r="E773" s="431" t="s">
        <v>3795</v>
      </c>
      <c r="F773" s="431">
        <v>250</v>
      </c>
      <c r="G773" s="431" t="s">
        <v>46</v>
      </c>
      <c r="H773" s="431" t="s">
        <v>2257</v>
      </c>
      <c r="I773" s="431" t="s">
        <v>2258</v>
      </c>
      <c r="J773" s="432">
        <v>46234</v>
      </c>
    </row>
    <row r="774" spans="1:10">
      <c r="A774" s="431">
        <v>810</v>
      </c>
      <c r="B774" s="431" t="s">
        <v>2253</v>
      </c>
      <c r="C774" s="431" t="s">
        <v>2254</v>
      </c>
      <c r="D774" s="431" t="s">
        <v>3796</v>
      </c>
      <c r="E774" s="431" t="s">
        <v>3797</v>
      </c>
      <c r="F774" s="431">
        <v>1200</v>
      </c>
      <c r="G774" s="431" t="s">
        <v>46</v>
      </c>
      <c r="H774" s="431" t="s">
        <v>2257</v>
      </c>
      <c r="I774" s="431" t="s">
        <v>2258</v>
      </c>
      <c r="J774" s="432">
        <v>46234</v>
      </c>
    </row>
    <row r="775" spans="1:10">
      <c r="A775" s="431">
        <v>811</v>
      </c>
      <c r="B775" s="431" t="s">
        <v>2253</v>
      </c>
      <c r="C775" s="431" t="s">
        <v>2254</v>
      </c>
      <c r="D775" s="431" t="s">
        <v>3798</v>
      </c>
      <c r="E775" s="431" t="s">
        <v>3799</v>
      </c>
      <c r="F775" s="431">
        <v>1200</v>
      </c>
      <c r="G775" s="431" t="s">
        <v>46</v>
      </c>
      <c r="H775" s="431" t="s">
        <v>2257</v>
      </c>
      <c r="I775" s="431" t="s">
        <v>2258</v>
      </c>
      <c r="J775" s="432">
        <v>46234</v>
      </c>
    </row>
    <row r="776" spans="1:10">
      <c r="A776" s="431">
        <v>812</v>
      </c>
      <c r="B776" s="431" t="s">
        <v>2253</v>
      </c>
      <c r="C776" s="431" t="s">
        <v>2254</v>
      </c>
      <c r="D776" s="431" t="s">
        <v>3800</v>
      </c>
      <c r="E776" s="431" t="s">
        <v>3801</v>
      </c>
      <c r="F776" s="431">
        <v>1200</v>
      </c>
      <c r="G776" s="431" t="s">
        <v>46</v>
      </c>
      <c r="H776" s="431" t="s">
        <v>2257</v>
      </c>
      <c r="I776" s="431" t="s">
        <v>2258</v>
      </c>
      <c r="J776" s="432">
        <v>46234</v>
      </c>
    </row>
    <row r="777" spans="1:10">
      <c r="A777" s="431">
        <v>813</v>
      </c>
      <c r="B777" s="431" t="s">
        <v>2253</v>
      </c>
      <c r="C777" s="431" t="s">
        <v>2254</v>
      </c>
      <c r="D777" s="431" t="s">
        <v>3802</v>
      </c>
      <c r="E777" s="431" t="s">
        <v>3803</v>
      </c>
      <c r="F777" s="431">
        <v>300</v>
      </c>
      <c r="G777" s="431" t="s">
        <v>46</v>
      </c>
      <c r="H777" s="431" t="s">
        <v>2257</v>
      </c>
      <c r="I777" s="431" t="s">
        <v>2258</v>
      </c>
      <c r="J777" s="432">
        <v>46234</v>
      </c>
    </row>
    <row r="778" spans="1:10">
      <c r="A778" s="431">
        <v>814</v>
      </c>
      <c r="B778" s="431" t="s">
        <v>2253</v>
      </c>
      <c r="C778" s="431" t="s">
        <v>2254</v>
      </c>
      <c r="D778" s="431" t="s">
        <v>3804</v>
      </c>
      <c r="E778" s="431" t="s">
        <v>3805</v>
      </c>
      <c r="F778" s="431">
        <v>260</v>
      </c>
      <c r="G778" s="431" t="s">
        <v>21</v>
      </c>
      <c r="H778" s="431" t="s">
        <v>2257</v>
      </c>
      <c r="I778" s="431" t="s">
        <v>2258</v>
      </c>
      <c r="J778" s="432">
        <v>46234</v>
      </c>
    </row>
    <row r="779" spans="1:10">
      <c r="A779" s="431">
        <v>815</v>
      </c>
      <c r="B779" s="431" t="s">
        <v>2253</v>
      </c>
      <c r="C779" s="431" t="s">
        <v>2254</v>
      </c>
      <c r="D779" s="431" t="s">
        <v>3806</v>
      </c>
      <c r="E779" s="431" t="s">
        <v>3807</v>
      </c>
      <c r="F779" s="431">
        <v>700</v>
      </c>
      <c r="G779" s="431" t="s">
        <v>691</v>
      </c>
      <c r="H779" s="431" t="s">
        <v>2257</v>
      </c>
      <c r="I779" s="431" t="s">
        <v>2258</v>
      </c>
      <c r="J779" s="432">
        <v>46234</v>
      </c>
    </row>
    <row r="780" spans="1:10">
      <c r="A780" s="431">
        <v>816</v>
      </c>
      <c r="B780" s="431" t="s">
        <v>2253</v>
      </c>
      <c r="C780" s="431" t="s">
        <v>2254</v>
      </c>
      <c r="D780" s="431" t="s">
        <v>3808</v>
      </c>
      <c r="E780" s="431" t="s">
        <v>3809</v>
      </c>
      <c r="F780" s="431">
        <v>5000</v>
      </c>
      <c r="G780" s="431" t="s">
        <v>46</v>
      </c>
      <c r="H780" s="431" t="s">
        <v>2257</v>
      </c>
      <c r="I780" s="431" t="s">
        <v>2258</v>
      </c>
      <c r="J780" s="432">
        <v>46234</v>
      </c>
    </row>
    <row r="781" spans="1:10">
      <c r="A781" s="431">
        <v>817</v>
      </c>
      <c r="B781" s="431" t="s">
        <v>2253</v>
      </c>
      <c r="C781" s="431" t="s">
        <v>2254</v>
      </c>
      <c r="D781" s="431" t="s">
        <v>3810</v>
      </c>
      <c r="E781" s="431" t="s">
        <v>3811</v>
      </c>
      <c r="F781" s="431">
        <v>30</v>
      </c>
      <c r="G781" s="431" t="s">
        <v>1107</v>
      </c>
      <c r="H781" s="431" t="s">
        <v>2257</v>
      </c>
      <c r="I781" s="431" t="s">
        <v>2258</v>
      </c>
      <c r="J781" s="432">
        <v>46234</v>
      </c>
    </row>
    <row r="782" spans="1:10">
      <c r="A782" s="431">
        <v>818</v>
      </c>
      <c r="B782" s="431" t="s">
        <v>2253</v>
      </c>
      <c r="C782" s="431" t="s">
        <v>2254</v>
      </c>
      <c r="D782" s="431" t="s">
        <v>3812</v>
      </c>
      <c r="E782" s="431" t="s">
        <v>3813</v>
      </c>
      <c r="F782" s="431">
        <v>330</v>
      </c>
      <c r="G782" s="431" t="s">
        <v>691</v>
      </c>
      <c r="H782" s="431" t="s">
        <v>2257</v>
      </c>
      <c r="I782" s="431" t="s">
        <v>2258</v>
      </c>
      <c r="J782" s="432">
        <v>46234</v>
      </c>
    </row>
    <row r="783" spans="1:10">
      <c r="A783" s="431">
        <v>819</v>
      </c>
      <c r="B783" s="431" t="s">
        <v>2253</v>
      </c>
      <c r="C783" s="431" t="s">
        <v>2254</v>
      </c>
      <c r="D783" s="431" t="s">
        <v>3814</v>
      </c>
      <c r="E783" s="431" t="s">
        <v>3815</v>
      </c>
      <c r="F783" s="431">
        <v>65</v>
      </c>
      <c r="G783" s="431" t="s">
        <v>691</v>
      </c>
      <c r="H783" s="431" t="s">
        <v>2257</v>
      </c>
      <c r="I783" s="431" t="s">
        <v>2258</v>
      </c>
      <c r="J783" s="432">
        <v>46234</v>
      </c>
    </row>
    <row r="784" spans="1:10">
      <c r="A784" s="431">
        <v>820</v>
      </c>
      <c r="B784" s="431" t="s">
        <v>2253</v>
      </c>
      <c r="C784" s="431" t="s">
        <v>2254</v>
      </c>
      <c r="D784" s="431" t="s">
        <v>3816</v>
      </c>
      <c r="E784" s="431" t="s">
        <v>3817</v>
      </c>
      <c r="F784" s="431">
        <v>200</v>
      </c>
      <c r="G784" s="431" t="s">
        <v>46</v>
      </c>
      <c r="H784" s="431" t="s">
        <v>2573</v>
      </c>
      <c r="I784" s="431" t="s">
        <v>2574</v>
      </c>
      <c r="J784" s="432">
        <v>46234</v>
      </c>
    </row>
    <row r="785" spans="1:10">
      <c r="A785" s="431">
        <v>821</v>
      </c>
      <c r="B785" s="431" t="s">
        <v>2253</v>
      </c>
      <c r="C785" s="431" t="s">
        <v>2254</v>
      </c>
      <c r="D785" s="431" t="s">
        <v>3818</v>
      </c>
      <c r="E785" s="431" t="s">
        <v>3819</v>
      </c>
      <c r="F785" s="431">
        <v>90</v>
      </c>
      <c r="G785" s="431" t="s">
        <v>46</v>
      </c>
      <c r="H785" s="431" t="s">
        <v>2257</v>
      </c>
      <c r="I785" s="431" t="s">
        <v>2258</v>
      </c>
      <c r="J785" s="432">
        <v>46234</v>
      </c>
    </row>
    <row r="786" spans="1:10">
      <c r="A786" s="431">
        <v>822</v>
      </c>
      <c r="B786" s="431" t="s">
        <v>2253</v>
      </c>
      <c r="C786" s="431" t="s">
        <v>2254</v>
      </c>
      <c r="D786" s="431" t="s">
        <v>3820</v>
      </c>
      <c r="E786" s="431" t="s">
        <v>3821</v>
      </c>
      <c r="F786" s="431">
        <v>280</v>
      </c>
      <c r="G786" s="431" t="s">
        <v>46</v>
      </c>
      <c r="H786" s="431" t="s">
        <v>2257</v>
      </c>
      <c r="I786" s="431" t="s">
        <v>2258</v>
      </c>
      <c r="J786" s="432">
        <v>46234</v>
      </c>
    </row>
    <row r="787" spans="1:10">
      <c r="A787" s="431">
        <v>823</v>
      </c>
      <c r="B787" s="431" t="s">
        <v>2253</v>
      </c>
      <c r="C787" s="431" t="s">
        <v>2254</v>
      </c>
      <c r="D787" s="431" t="s">
        <v>3822</v>
      </c>
      <c r="E787" s="431" t="s">
        <v>3823</v>
      </c>
      <c r="F787" s="431">
        <v>60</v>
      </c>
      <c r="G787" s="431" t="s">
        <v>46</v>
      </c>
      <c r="H787" s="431" t="s">
        <v>2257</v>
      </c>
      <c r="I787" s="431" t="s">
        <v>2258</v>
      </c>
      <c r="J787" s="432">
        <v>46234</v>
      </c>
    </row>
    <row r="788" spans="1:10">
      <c r="A788" s="431">
        <v>824</v>
      </c>
      <c r="B788" s="431" t="s">
        <v>2253</v>
      </c>
      <c r="C788" s="431" t="s">
        <v>2254</v>
      </c>
      <c r="D788" s="431" t="s">
        <v>3824</v>
      </c>
      <c r="E788" s="431" t="s">
        <v>3825</v>
      </c>
      <c r="F788" s="431">
        <v>270</v>
      </c>
      <c r="G788" s="431" t="s">
        <v>2466</v>
      </c>
      <c r="H788" s="431" t="s">
        <v>2257</v>
      </c>
      <c r="I788" s="431" t="s">
        <v>2258</v>
      </c>
      <c r="J788" s="432">
        <v>46234</v>
      </c>
    </row>
    <row r="789" spans="1:10">
      <c r="A789" s="431">
        <v>825</v>
      </c>
      <c r="B789" s="431" t="s">
        <v>2253</v>
      </c>
      <c r="C789" s="431" t="s">
        <v>2254</v>
      </c>
      <c r="D789" s="431" t="s">
        <v>3826</v>
      </c>
      <c r="E789" s="431" t="s">
        <v>3827</v>
      </c>
      <c r="F789" s="431">
        <v>4000</v>
      </c>
      <c r="G789" s="431" t="s">
        <v>46</v>
      </c>
      <c r="H789" s="431" t="s">
        <v>2257</v>
      </c>
      <c r="I789" s="431" t="s">
        <v>2258</v>
      </c>
      <c r="J789" s="432">
        <v>46234</v>
      </c>
    </row>
    <row r="790" spans="1:10">
      <c r="A790" s="431">
        <v>826</v>
      </c>
      <c r="B790" s="431" t="s">
        <v>2253</v>
      </c>
      <c r="C790" s="431" t="s">
        <v>2254</v>
      </c>
      <c r="D790" s="431" t="s">
        <v>3828</v>
      </c>
      <c r="E790" s="431" t="s">
        <v>3829</v>
      </c>
      <c r="F790" s="431">
        <v>340</v>
      </c>
      <c r="G790" s="431" t="s">
        <v>2466</v>
      </c>
      <c r="H790" s="431" t="s">
        <v>2257</v>
      </c>
      <c r="I790" s="431" t="s">
        <v>2258</v>
      </c>
      <c r="J790" s="432">
        <v>46234</v>
      </c>
    </row>
    <row r="791" spans="1:10">
      <c r="A791" s="431">
        <v>827</v>
      </c>
      <c r="B791" s="431" t="s">
        <v>2253</v>
      </c>
      <c r="C791" s="431" t="s">
        <v>2254</v>
      </c>
      <c r="D791" s="431" t="s">
        <v>3830</v>
      </c>
      <c r="E791" s="431" t="s">
        <v>3831</v>
      </c>
      <c r="F791" s="431">
        <v>600</v>
      </c>
      <c r="G791" s="431" t="s">
        <v>46</v>
      </c>
      <c r="H791" s="431" t="s">
        <v>2257</v>
      </c>
      <c r="I791" s="431" t="s">
        <v>2258</v>
      </c>
      <c r="J791" s="432">
        <v>46234</v>
      </c>
    </row>
    <row r="792" spans="1:10">
      <c r="A792" s="431">
        <v>828</v>
      </c>
      <c r="B792" s="431" t="s">
        <v>2253</v>
      </c>
      <c r="C792" s="431" t="s">
        <v>2254</v>
      </c>
      <c r="D792" s="431" t="s">
        <v>3832</v>
      </c>
      <c r="E792" s="431" t="s">
        <v>3833</v>
      </c>
      <c r="F792" s="431">
        <v>5300</v>
      </c>
      <c r="G792" s="431" t="s">
        <v>46</v>
      </c>
      <c r="H792" s="431" t="s">
        <v>2257</v>
      </c>
      <c r="I792" s="431" t="s">
        <v>2258</v>
      </c>
      <c r="J792" s="432">
        <v>46234</v>
      </c>
    </row>
    <row r="793" spans="1:10">
      <c r="A793" s="431">
        <v>829</v>
      </c>
      <c r="B793" s="431" t="s">
        <v>2253</v>
      </c>
      <c r="C793" s="431" t="s">
        <v>2254</v>
      </c>
      <c r="D793" s="431" t="s">
        <v>3834</v>
      </c>
      <c r="E793" s="431" t="s">
        <v>3835</v>
      </c>
      <c r="F793" s="431">
        <v>2100</v>
      </c>
      <c r="G793" s="431" t="s">
        <v>46</v>
      </c>
      <c r="H793" s="431" t="s">
        <v>2257</v>
      </c>
      <c r="I793" s="431" t="s">
        <v>2258</v>
      </c>
      <c r="J793" s="432">
        <v>46234</v>
      </c>
    </row>
    <row r="794" spans="1:10">
      <c r="A794" s="431">
        <v>830</v>
      </c>
      <c r="B794" s="431" t="s">
        <v>2253</v>
      </c>
      <c r="C794" s="431" t="s">
        <v>2254</v>
      </c>
      <c r="D794" s="431" t="s">
        <v>3836</v>
      </c>
      <c r="E794" s="431" t="s">
        <v>3837</v>
      </c>
      <c r="F794" s="431">
        <v>2400</v>
      </c>
      <c r="G794" s="431" t="s">
        <v>46</v>
      </c>
      <c r="H794" s="431" t="s">
        <v>2257</v>
      </c>
      <c r="I794" s="431" t="s">
        <v>2258</v>
      </c>
      <c r="J794" s="432">
        <v>46234</v>
      </c>
    </row>
    <row r="795" spans="1:10">
      <c r="A795" s="431">
        <v>831</v>
      </c>
      <c r="B795" s="431" t="s">
        <v>2253</v>
      </c>
      <c r="C795" s="431" t="s">
        <v>2254</v>
      </c>
      <c r="D795" s="431" t="s">
        <v>3838</v>
      </c>
      <c r="E795" s="431" t="s">
        <v>3839</v>
      </c>
      <c r="F795" s="431">
        <v>25000</v>
      </c>
      <c r="G795" s="431" t="s">
        <v>46</v>
      </c>
      <c r="H795" s="431" t="s">
        <v>2257</v>
      </c>
      <c r="I795" s="431" t="s">
        <v>2258</v>
      </c>
      <c r="J795" s="432">
        <v>46234</v>
      </c>
    </row>
    <row r="796" spans="1:10">
      <c r="A796" s="431">
        <v>832</v>
      </c>
      <c r="B796" s="431" t="s">
        <v>2253</v>
      </c>
      <c r="C796" s="431" t="s">
        <v>2254</v>
      </c>
      <c r="D796" s="431" t="s">
        <v>3840</v>
      </c>
      <c r="E796" s="431" t="s">
        <v>3841</v>
      </c>
      <c r="F796" s="431">
        <v>15000</v>
      </c>
      <c r="G796" s="431" t="s">
        <v>46</v>
      </c>
      <c r="H796" s="431" t="s">
        <v>2257</v>
      </c>
      <c r="I796" s="431" t="s">
        <v>2258</v>
      </c>
      <c r="J796" s="432">
        <v>46234</v>
      </c>
    </row>
    <row r="797" spans="1:10">
      <c r="A797" s="431">
        <v>833</v>
      </c>
      <c r="B797" s="431" t="s">
        <v>2253</v>
      </c>
      <c r="C797" s="431" t="s">
        <v>2254</v>
      </c>
      <c r="D797" s="431" t="s">
        <v>3842</v>
      </c>
      <c r="E797" s="431" t="s">
        <v>3843</v>
      </c>
      <c r="F797" s="431">
        <v>1300</v>
      </c>
      <c r="G797" s="431" t="s">
        <v>46</v>
      </c>
      <c r="H797" s="431" t="s">
        <v>2257</v>
      </c>
      <c r="I797" s="431" t="s">
        <v>2258</v>
      </c>
      <c r="J797" s="432">
        <v>46234</v>
      </c>
    </row>
    <row r="798" spans="1:10">
      <c r="A798" s="431">
        <v>834</v>
      </c>
      <c r="B798" s="431" t="s">
        <v>2253</v>
      </c>
      <c r="C798" s="431" t="s">
        <v>2254</v>
      </c>
      <c r="D798" s="431" t="s">
        <v>3844</v>
      </c>
      <c r="E798" s="431" t="s">
        <v>3845</v>
      </c>
      <c r="F798" s="431">
        <v>80</v>
      </c>
      <c r="G798" s="431" t="s">
        <v>46</v>
      </c>
      <c r="H798" s="431" t="s">
        <v>2257</v>
      </c>
      <c r="I798" s="431" t="s">
        <v>2258</v>
      </c>
      <c r="J798" s="432">
        <v>46234</v>
      </c>
    </row>
    <row r="799" spans="1:10">
      <c r="A799" s="431">
        <v>835</v>
      </c>
      <c r="B799" s="431" t="s">
        <v>2253</v>
      </c>
      <c r="C799" s="431" t="s">
        <v>2254</v>
      </c>
      <c r="D799" s="431" t="s">
        <v>3846</v>
      </c>
      <c r="E799" s="431" t="s">
        <v>3847</v>
      </c>
      <c r="F799" s="431">
        <v>600</v>
      </c>
      <c r="G799" s="431" t="s">
        <v>21</v>
      </c>
      <c r="H799" s="431" t="s">
        <v>2257</v>
      </c>
      <c r="I799" s="431" t="s">
        <v>2258</v>
      </c>
      <c r="J799" s="432">
        <v>46234</v>
      </c>
    </row>
    <row r="800" spans="1:10">
      <c r="A800" s="431">
        <v>836</v>
      </c>
      <c r="B800" s="431" t="s">
        <v>2253</v>
      </c>
      <c r="C800" s="431" t="s">
        <v>2254</v>
      </c>
      <c r="D800" s="431" t="s">
        <v>3848</v>
      </c>
      <c r="E800" s="431" t="s">
        <v>3849</v>
      </c>
      <c r="F800" s="431">
        <v>35000</v>
      </c>
      <c r="G800" s="431" t="s">
        <v>46</v>
      </c>
      <c r="H800" s="431" t="s">
        <v>2257</v>
      </c>
      <c r="I800" s="431" t="s">
        <v>2258</v>
      </c>
      <c r="J800" s="432">
        <v>46234</v>
      </c>
    </row>
    <row r="801" spans="1:10">
      <c r="A801" s="431">
        <v>837</v>
      </c>
      <c r="B801" s="431" t="s">
        <v>2560</v>
      </c>
      <c r="C801" s="431" t="s">
        <v>2254</v>
      </c>
      <c r="D801" s="431" t="s">
        <v>3850</v>
      </c>
      <c r="E801" s="431" t="s">
        <v>3851</v>
      </c>
      <c r="F801" s="431">
        <v>2500</v>
      </c>
      <c r="G801" s="431" t="s">
        <v>26</v>
      </c>
      <c r="H801" s="431" t="s">
        <v>2257</v>
      </c>
      <c r="I801" s="431" t="s">
        <v>2258</v>
      </c>
      <c r="J801" s="432">
        <v>46234</v>
      </c>
    </row>
    <row r="802" spans="1:10">
      <c r="A802" s="431">
        <v>838</v>
      </c>
      <c r="B802" s="431" t="s">
        <v>2721</v>
      </c>
      <c r="C802" s="433" t="s">
        <v>2254</v>
      </c>
      <c r="D802" s="431" t="s">
        <v>3852</v>
      </c>
      <c r="E802" s="431" t="s">
        <v>3853</v>
      </c>
      <c r="F802" s="431">
        <v>1500</v>
      </c>
      <c r="G802" s="431" t="s">
        <v>46</v>
      </c>
      <c r="H802" s="431" t="s">
        <v>2257</v>
      </c>
      <c r="I802" s="431" t="s">
        <v>2258</v>
      </c>
      <c r="J802" s="432">
        <v>46234</v>
      </c>
    </row>
    <row r="803" spans="1:10">
      <c r="A803" s="431">
        <v>839</v>
      </c>
      <c r="B803" s="431" t="s">
        <v>2560</v>
      </c>
      <c r="C803" s="431" t="s">
        <v>2254</v>
      </c>
      <c r="D803" s="431" t="s">
        <v>3854</v>
      </c>
      <c r="E803" s="431" t="s">
        <v>3855</v>
      </c>
      <c r="F803" s="431">
        <v>1300</v>
      </c>
      <c r="G803" s="431" t="s">
        <v>26</v>
      </c>
      <c r="H803" s="431" t="s">
        <v>2257</v>
      </c>
      <c r="I803" s="431" t="s">
        <v>2258</v>
      </c>
      <c r="J803" s="432">
        <v>46234</v>
      </c>
    </row>
    <row r="804" spans="1:10">
      <c r="A804" s="431">
        <v>840</v>
      </c>
      <c r="B804" s="431" t="s">
        <v>2560</v>
      </c>
      <c r="C804" s="431" t="s">
        <v>2254</v>
      </c>
      <c r="D804" s="431" t="s">
        <v>3856</v>
      </c>
      <c r="E804" s="431" t="s">
        <v>3857</v>
      </c>
      <c r="F804" s="431">
        <v>1300</v>
      </c>
      <c r="G804" s="431" t="s">
        <v>26</v>
      </c>
      <c r="H804" s="431" t="s">
        <v>2257</v>
      </c>
      <c r="I804" s="431" t="s">
        <v>2258</v>
      </c>
      <c r="J804" s="432">
        <v>46234</v>
      </c>
    </row>
    <row r="805" spans="1:10">
      <c r="A805" s="431">
        <v>841</v>
      </c>
      <c r="B805" s="431" t="s">
        <v>2560</v>
      </c>
      <c r="C805" s="431" t="s">
        <v>2254</v>
      </c>
      <c r="D805" s="431" t="s">
        <v>3858</v>
      </c>
      <c r="E805" s="431" t="s">
        <v>3859</v>
      </c>
      <c r="F805" s="431">
        <v>1300</v>
      </c>
      <c r="G805" s="431" t="s">
        <v>26</v>
      </c>
      <c r="H805" s="431" t="s">
        <v>2257</v>
      </c>
      <c r="I805" s="431" t="s">
        <v>2258</v>
      </c>
      <c r="J805" s="432">
        <v>46234</v>
      </c>
    </row>
    <row r="806" spans="1:10">
      <c r="A806" s="431">
        <v>842</v>
      </c>
      <c r="B806" s="431" t="s">
        <v>2560</v>
      </c>
      <c r="C806" s="431" t="s">
        <v>2254</v>
      </c>
      <c r="D806" s="431" t="s">
        <v>3860</v>
      </c>
      <c r="E806" s="431" t="s">
        <v>3861</v>
      </c>
      <c r="F806" s="431">
        <v>1300</v>
      </c>
      <c r="G806" s="431" t="s">
        <v>26</v>
      </c>
      <c r="H806" s="431" t="s">
        <v>2257</v>
      </c>
      <c r="I806" s="431" t="s">
        <v>2258</v>
      </c>
      <c r="J806" s="432">
        <v>46234</v>
      </c>
    </row>
    <row r="807" spans="1:10">
      <c r="A807" s="431">
        <v>843</v>
      </c>
      <c r="B807" s="431" t="s">
        <v>2560</v>
      </c>
      <c r="C807" s="431" t="s">
        <v>2254</v>
      </c>
      <c r="D807" s="431" t="s">
        <v>3862</v>
      </c>
      <c r="E807" s="431" t="s">
        <v>3863</v>
      </c>
      <c r="F807" s="431">
        <v>1300</v>
      </c>
      <c r="G807" s="431" t="s">
        <v>26</v>
      </c>
      <c r="H807" s="431" t="s">
        <v>2257</v>
      </c>
      <c r="I807" s="431" t="s">
        <v>2258</v>
      </c>
      <c r="J807" s="432">
        <v>46234</v>
      </c>
    </row>
    <row r="808" spans="1:10">
      <c r="A808" s="431">
        <v>844</v>
      </c>
      <c r="B808" s="431" t="s">
        <v>2560</v>
      </c>
      <c r="C808" s="431" t="s">
        <v>2254</v>
      </c>
      <c r="D808" s="431" t="s">
        <v>3864</v>
      </c>
      <c r="E808" s="431" t="s">
        <v>3865</v>
      </c>
      <c r="F808" s="431">
        <v>1300</v>
      </c>
      <c r="G808" s="431" t="s">
        <v>26</v>
      </c>
      <c r="H808" s="431" t="s">
        <v>2257</v>
      </c>
      <c r="I808" s="431" t="s">
        <v>2258</v>
      </c>
      <c r="J808" s="432">
        <v>46234</v>
      </c>
    </row>
    <row r="809" spans="1:10">
      <c r="A809" s="431">
        <v>845</v>
      </c>
      <c r="B809" s="431" t="s">
        <v>2560</v>
      </c>
      <c r="C809" s="431" t="s">
        <v>2254</v>
      </c>
      <c r="D809" s="431" t="s">
        <v>3866</v>
      </c>
      <c r="E809" s="431" t="s">
        <v>3867</v>
      </c>
      <c r="F809" s="431">
        <v>1300</v>
      </c>
      <c r="G809" s="431" t="s">
        <v>26</v>
      </c>
      <c r="H809" s="431" t="s">
        <v>2257</v>
      </c>
      <c r="I809" s="431" t="s">
        <v>2258</v>
      </c>
      <c r="J809" s="432">
        <v>46234</v>
      </c>
    </row>
    <row r="810" spans="1:10">
      <c r="A810" s="431">
        <v>846</v>
      </c>
      <c r="B810" s="431" t="s">
        <v>2560</v>
      </c>
      <c r="C810" s="431" t="s">
        <v>2254</v>
      </c>
      <c r="D810" s="431" t="s">
        <v>3868</v>
      </c>
      <c r="E810" s="431" t="s">
        <v>3869</v>
      </c>
      <c r="F810" s="431">
        <v>1300</v>
      </c>
      <c r="G810" s="431" t="s">
        <v>26</v>
      </c>
      <c r="H810" s="431" t="s">
        <v>2257</v>
      </c>
      <c r="I810" s="431" t="s">
        <v>2258</v>
      </c>
      <c r="J810" s="432">
        <v>46234</v>
      </c>
    </row>
    <row r="811" spans="1:10">
      <c r="A811" s="431">
        <v>847</v>
      </c>
      <c r="B811" s="431" t="s">
        <v>2560</v>
      </c>
      <c r="C811" s="431" t="s">
        <v>2254</v>
      </c>
      <c r="D811" s="431" t="s">
        <v>3870</v>
      </c>
      <c r="E811" s="431" t="s">
        <v>3871</v>
      </c>
      <c r="F811" s="431">
        <v>1300</v>
      </c>
      <c r="G811" s="431" t="s">
        <v>26</v>
      </c>
      <c r="H811" s="431" t="s">
        <v>2257</v>
      </c>
      <c r="I811" s="431" t="s">
        <v>2258</v>
      </c>
      <c r="J811" s="432">
        <v>46234</v>
      </c>
    </row>
    <row r="812" spans="1:10">
      <c r="A812" s="431">
        <v>848</v>
      </c>
      <c r="B812" s="431" t="s">
        <v>2560</v>
      </c>
      <c r="C812" s="431" t="s">
        <v>2254</v>
      </c>
      <c r="D812" s="431" t="s">
        <v>3872</v>
      </c>
      <c r="E812" s="431" t="s">
        <v>3873</v>
      </c>
      <c r="F812" s="431">
        <v>30</v>
      </c>
      <c r="G812" s="431" t="s">
        <v>1107</v>
      </c>
      <c r="H812" s="431" t="s">
        <v>2257</v>
      </c>
      <c r="I812" s="431" t="s">
        <v>2258</v>
      </c>
      <c r="J812" s="432">
        <v>46234</v>
      </c>
    </row>
    <row r="813" spans="1:10">
      <c r="A813" s="431">
        <v>849</v>
      </c>
      <c r="B813" s="431" t="s">
        <v>2560</v>
      </c>
      <c r="C813" s="431" t="s">
        <v>2254</v>
      </c>
      <c r="D813" s="431" t="s">
        <v>3874</v>
      </c>
      <c r="E813" s="431" t="s">
        <v>3875</v>
      </c>
      <c r="F813" s="431">
        <v>42</v>
      </c>
      <c r="G813" s="431" t="s">
        <v>2443</v>
      </c>
      <c r="H813" s="431" t="s">
        <v>2257</v>
      </c>
      <c r="I813" s="431" t="s">
        <v>2258</v>
      </c>
      <c r="J813" s="432">
        <v>46234</v>
      </c>
    </row>
    <row r="814" spans="1:10">
      <c r="A814" s="431">
        <v>850</v>
      </c>
      <c r="B814" s="431" t="s">
        <v>2721</v>
      </c>
      <c r="C814" s="431" t="s">
        <v>2254</v>
      </c>
      <c r="D814" s="431" t="s">
        <v>3876</v>
      </c>
      <c r="E814" s="431" t="s">
        <v>3877</v>
      </c>
      <c r="F814" s="431">
        <v>1900</v>
      </c>
      <c r="G814" s="431" t="s">
        <v>62</v>
      </c>
      <c r="H814" s="431" t="s">
        <v>2257</v>
      </c>
      <c r="I814" s="431" t="s">
        <v>2258</v>
      </c>
      <c r="J814" s="432">
        <v>46234</v>
      </c>
    </row>
    <row r="815" spans="1:10">
      <c r="A815" s="431">
        <v>851</v>
      </c>
      <c r="B815" s="431" t="s">
        <v>2560</v>
      </c>
      <c r="C815" s="431" t="s">
        <v>2254</v>
      </c>
      <c r="D815" s="431" t="s">
        <v>3878</v>
      </c>
      <c r="E815" s="431" t="s">
        <v>3879</v>
      </c>
      <c r="F815" s="431">
        <v>1500</v>
      </c>
      <c r="G815" s="431" t="s">
        <v>62</v>
      </c>
      <c r="H815" s="431" t="s">
        <v>2257</v>
      </c>
      <c r="I815" s="431" t="s">
        <v>2258</v>
      </c>
      <c r="J815" s="432">
        <v>46234</v>
      </c>
    </row>
    <row r="816" spans="1:10">
      <c r="A816" s="431">
        <v>852</v>
      </c>
      <c r="B816" s="431" t="s">
        <v>2253</v>
      </c>
      <c r="C816" s="431" t="s">
        <v>2254</v>
      </c>
      <c r="D816" s="431" t="s">
        <v>3880</v>
      </c>
      <c r="E816" s="431" t="s">
        <v>3881</v>
      </c>
      <c r="F816" s="431">
        <v>800</v>
      </c>
      <c r="G816" s="431" t="s">
        <v>62</v>
      </c>
      <c r="H816" s="431" t="s">
        <v>2257</v>
      </c>
      <c r="I816" s="431" t="s">
        <v>2258</v>
      </c>
      <c r="J816" s="432">
        <v>46234</v>
      </c>
    </row>
    <row r="817" spans="1:10">
      <c r="A817" s="431">
        <v>853</v>
      </c>
      <c r="B817" s="431" t="s">
        <v>2721</v>
      </c>
      <c r="C817" s="431" t="s">
        <v>2254</v>
      </c>
      <c r="D817" s="431" t="s">
        <v>3882</v>
      </c>
      <c r="E817" s="431" t="s">
        <v>3883</v>
      </c>
      <c r="F817" s="431">
        <v>48</v>
      </c>
      <c r="G817" s="431" t="s">
        <v>62</v>
      </c>
      <c r="H817" s="431" t="s">
        <v>2257</v>
      </c>
      <c r="I817" s="431" t="s">
        <v>2258</v>
      </c>
      <c r="J817" s="432">
        <v>46234</v>
      </c>
    </row>
    <row r="818" spans="1:10">
      <c r="A818" s="431">
        <v>854</v>
      </c>
      <c r="B818" s="431" t="s">
        <v>2253</v>
      </c>
      <c r="C818" s="431" t="s">
        <v>2254</v>
      </c>
      <c r="D818" s="431" t="s">
        <v>3884</v>
      </c>
      <c r="E818" s="431" t="s">
        <v>3885</v>
      </c>
      <c r="F818" s="431">
        <v>60</v>
      </c>
      <c r="G818" s="431" t="s">
        <v>62</v>
      </c>
      <c r="H818" s="431" t="s">
        <v>2257</v>
      </c>
      <c r="I818" s="431" t="s">
        <v>2258</v>
      </c>
      <c r="J818" s="432">
        <v>46234</v>
      </c>
    </row>
    <row r="819" spans="1:10">
      <c r="A819" s="431">
        <v>855</v>
      </c>
      <c r="B819" s="431" t="s">
        <v>2560</v>
      </c>
      <c r="C819" s="431" t="s">
        <v>2254</v>
      </c>
      <c r="D819" s="431" t="s">
        <v>3886</v>
      </c>
      <c r="E819" s="431" t="s">
        <v>3887</v>
      </c>
      <c r="F819" s="431">
        <v>180</v>
      </c>
      <c r="G819" s="431" t="s">
        <v>62</v>
      </c>
      <c r="H819" s="431" t="s">
        <v>2257</v>
      </c>
      <c r="I819" s="431" t="s">
        <v>2258</v>
      </c>
      <c r="J819" s="432">
        <v>46234</v>
      </c>
    </row>
    <row r="820" spans="1:10">
      <c r="A820" s="431">
        <v>856</v>
      </c>
      <c r="B820" s="431" t="s">
        <v>2253</v>
      </c>
      <c r="C820" s="431" t="s">
        <v>2254</v>
      </c>
      <c r="D820" s="431" t="s">
        <v>3888</v>
      </c>
      <c r="E820" s="431" t="s">
        <v>3889</v>
      </c>
      <c r="F820" s="431">
        <v>4300</v>
      </c>
      <c r="G820" s="431" t="s">
        <v>1107</v>
      </c>
      <c r="H820" s="431" t="s">
        <v>2257</v>
      </c>
      <c r="I820" s="431" t="s">
        <v>2258</v>
      </c>
      <c r="J820" s="432">
        <v>46234</v>
      </c>
    </row>
    <row r="821" spans="1:10">
      <c r="A821" s="431">
        <v>857</v>
      </c>
      <c r="B821" s="431" t="s">
        <v>2721</v>
      </c>
      <c r="C821" s="431" t="s">
        <v>2254</v>
      </c>
      <c r="D821" s="431" t="s">
        <v>3890</v>
      </c>
      <c r="E821" s="431" t="s">
        <v>3891</v>
      </c>
      <c r="F821" s="431">
        <v>700</v>
      </c>
      <c r="G821" s="431" t="s">
        <v>46</v>
      </c>
      <c r="H821" s="431" t="s">
        <v>2257</v>
      </c>
      <c r="I821" s="431" t="s">
        <v>2258</v>
      </c>
      <c r="J821" s="432">
        <v>46234</v>
      </c>
    </row>
    <row r="822" spans="1:10">
      <c r="A822" s="431">
        <v>859</v>
      </c>
      <c r="B822" s="431" t="s">
        <v>2560</v>
      </c>
      <c r="C822" s="431" t="s">
        <v>2254</v>
      </c>
      <c r="D822" s="431" t="s">
        <v>3892</v>
      </c>
      <c r="E822" s="431" t="s">
        <v>3893</v>
      </c>
      <c r="F822" s="431">
        <v>46</v>
      </c>
      <c r="G822" s="431" t="s">
        <v>2443</v>
      </c>
      <c r="H822" s="431" t="s">
        <v>2257</v>
      </c>
      <c r="I822" s="431" t="s">
        <v>2258</v>
      </c>
      <c r="J822" s="432">
        <v>46234</v>
      </c>
    </row>
    <row r="823" spans="1:10">
      <c r="A823" s="431">
        <v>860</v>
      </c>
      <c r="B823" s="431" t="s">
        <v>2253</v>
      </c>
      <c r="C823" s="431" t="s">
        <v>2254</v>
      </c>
      <c r="D823" s="431" t="s">
        <v>3894</v>
      </c>
      <c r="E823" s="431" t="s">
        <v>3895</v>
      </c>
      <c r="F823" s="431">
        <v>9</v>
      </c>
      <c r="G823" s="431" t="s">
        <v>1107</v>
      </c>
      <c r="H823" s="431" t="s">
        <v>2257</v>
      </c>
      <c r="I823" s="431" t="s">
        <v>2258</v>
      </c>
      <c r="J823" s="432">
        <v>46234</v>
      </c>
    </row>
    <row r="824" spans="1:10">
      <c r="A824" s="431">
        <v>861</v>
      </c>
      <c r="B824" s="431" t="s">
        <v>2253</v>
      </c>
      <c r="C824" s="431" t="s">
        <v>2254</v>
      </c>
      <c r="D824" s="431" t="s">
        <v>3896</v>
      </c>
      <c r="E824" s="431" t="s">
        <v>3897</v>
      </c>
      <c r="F824" s="431">
        <v>8</v>
      </c>
      <c r="G824" s="431" t="s">
        <v>46</v>
      </c>
      <c r="H824" s="431" t="s">
        <v>2257</v>
      </c>
      <c r="I824" s="431" t="s">
        <v>2258</v>
      </c>
      <c r="J824" s="432">
        <v>46234</v>
      </c>
    </row>
    <row r="825" spans="1:10">
      <c r="A825" s="431">
        <v>862</v>
      </c>
      <c r="B825" s="431" t="s">
        <v>2253</v>
      </c>
      <c r="C825" s="431" t="s">
        <v>2254</v>
      </c>
      <c r="D825" s="431" t="s">
        <v>3898</v>
      </c>
      <c r="E825" s="431" t="s">
        <v>3899</v>
      </c>
      <c r="F825" s="431">
        <v>7</v>
      </c>
      <c r="G825" s="431" t="s">
        <v>46</v>
      </c>
      <c r="H825" s="431" t="s">
        <v>2257</v>
      </c>
      <c r="I825" s="431" t="s">
        <v>2258</v>
      </c>
      <c r="J825" s="432">
        <v>46234</v>
      </c>
    </row>
    <row r="826" spans="1:10">
      <c r="A826" s="431">
        <v>864</v>
      </c>
      <c r="B826" s="431" t="s">
        <v>2253</v>
      </c>
      <c r="C826" s="431" t="s">
        <v>2254</v>
      </c>
      <c r="D826" s="431" t="s">
        <v>3900</v>
      </c>
      <c r="E826" s="431" t="s">
        <v>3901</v>
      </c>
      <c r="F826" s="431">
        <v>300</v>
      </c>
      <c r="G826" s="431" t="s">
        <v>797</v>
      </c>
      <c r="H826" s="431" t="s">
        <v>2257</v>
      </c>
      <c r="I826" s="431" t="s">
        <v>2258</v>
      </c>
      <c r="J826" s="432">
        <v>46234</v>
      </c>
    </row>
    <row r="827" spans="1:10">
      <c r="A827" s="431">
        <v>865</v>
      </c>
      <c r="B827" s="431" t="s">
        <v>2253</v>
      </c>
      <c r="C827" s="431" t="s">
        <v>2254</v>
      </c>
      <c r="D827" s="431" t="s">
        <v>3902</v>
      </c>
      <c r="E827" s="431" t="s">
        <v>3903</v>
      </c>
      <c r="F827" s="431">
        <v>30000</v>
      </c>
      <c r="G827" s="431" t="s">
        <v>1107</v>
      </c>
      <c r="H827" s="431" t="s">
        <v>2257</v>
      </c>
      <c r="I827" s="431" t="s">
        <v>2258</v>
      </c>
      <c r="J827" s="432">
        <v>46234</v>
      </c>
    </row>
    <row r="828" spans="1:10">
      <c r="A828" s="431">
        <v>866</v>
      </c>
      <c r="B828" s="431" t="s">
        <v>2253</v>
      </c>
      <c r="C828" s="431" t="s">
        <v>2254</v>
      </c>
      <c r="D828" s="431" t="s">
        <v>3904</v>
      </c>
      <c r="E828" s="431" t="s">
        <v>3905</v>
      </c>
      <c r="F828" s="431">
        <v>80</v>
      </c>
      <c r="G828" s="431" t="s">
        <v>691</v>
      </c>
      <c r="H828" s="431" t="s">
        <v>2257</v>
      </c>
      <c r="I828" s="431" t="s">
        <v>2258</v>
      </c>
      <c r="J828" s="432">
        <v>46234</v>
      </c>
    </row>
    <row r="829" spans="1:10">
      <c r="A829" s="431">
        <v>867</v>
      </c>
      <c r="B829" s="431" t="s">
        <v>2253</v>
      </c>
      <c r="C829" s="431" t="s">
        <v>2254</v>
      </c>
      <c r="D829" s="431" t="s">
        <v>3906</v>
      </c>
      <c r="E829" s="431" t="s">
        <v>3907</v>
      </c>
      <c r="F829" s="431">
        <v>110</v>
      </c>
      <c r="G829" s="431" t="s">
        <v>2466</v>
      </c>
      <c r="H829" s="431" t="s">
        <v>2257</v>
      </c>
      <c r="I829" s="431" t="s">
        <v>2258</v>
      </c>
      <c r="J829" s="432">
        <v>46234</v>
      </c>
    </row>
    <row r="830" spans="1:10">
      <c r="A830" s="431">
        <v>868</v>
      </c>
      <c r="B830" s="431" t="s">
        <v>2253</v>
      </c>
      <c r="C830" s="431" t="s">
        <v>2254</v>
      </c>
      <c r="D830" s="431" t="s">
        <v>3908</v>
      </c>
      <c r="E830" s="431" t="s">
        <v>3909</v>
      </c>
      <c r="F830" s="431">
        <v>66</v>
      </c>
      <c r="G830" s="431" t="s">
        <v>21</v>
      </c>
      <c r="H830" s="431" t="s">
        <v>2257</v>
      </c>
      <c r="I830" s="431" t="s">
        <v>2258</v>
      </c>
      <c r="J830" s="432">
        <v>46234</v>
      </c>
    </row>
    <row r="831" spans="1:10">
      <c r="A831" s="431">
        <v>869</v>
      </c>
      <c r="B831" s="431" t="s">
        <v>2253</v>
      </c>
      <c r="C831" s="431" t="s">
        <v>2254</v>
      </c>
      <c r="D831" s="431" t="s">
        <v>3910</v>
      </c>
      <c r="E831" s="431" t="s">
        <v>3911</v>
      </c>
      <c r="F831" s="431">
        <v>76</v>
      </c>
      <c r="G831" s="431" t="s">
        <v>21</v>
      </c>
      <c r="H831" s="431" t="s">
        <v>2257</v>
      </c>
      <c r="I831" s="431" t="s">
        <v>2258</v>
      </c>
      <c r="J831" s="432">
        <v>46234</v>
      </c>
    </row>
    <row r="832" spans="1:10">
      <c r="A832" s="431">
        <v>870</v>
      </c>
      <c r="B832" s="431" t="s">
        <v>2253</v>
      </c>
      <c r="C832" s="431" t="s">
        <v>2254</v>
      </c>
      <c r="D832" s="431" t="s">
        <v>3912</v>
      </c>
      <c r="E832" s="431" t="s">
        <v>3913</v>
      </c>
      <c r="F832" s="431">
        <v>355</v>
      </c>
      <c r="G832" s="431" t="s">
        <v>46</v>
      </c>
      <c r="H832" s="431" t="s">
        <v>2257</v>
      </c>
      <c r="I832" s="431" t="s">
        <v>2258</v>
      </c>
      <c r="J832" s="432">
        <v>46234</v>
      </c>
    </row>
    <row r="833" spans="1:10">
      <c r="A833" s="431">
        <v>871</v>
      </c>
      <c r="B833" s="431" t="s">
        <v>2253</v>
      </c>
      <c r="C833" s="431" t="s">
        <v>2254</v>
      </c>
      <c r="D833" s="431" t="s">
        <v>3914</v>
      </c>
      <c r="E833" s="431" t="s">
        <v>3915</v>
      </c>
      <c r="F833" s="431">
        <v>920</v>
      </c>
      <c r="G833" s="431" t="s">
        <v>46</v>
      </c>
      <c r="H833" s="431" t="s">
        <v>2257</v>
      </c>
      <c r="I833" s="431" t="s">
        <v>2258</v>
      </c>
      <c r="J833" s="432">
        <v>46234</v>
      </c>
    </row>
    <row r="834" spans="1:10">
      <c r="A834" s="431">
        <v>872</v>
      </c>
      <c r="B834" s="431" t="s">
        <v>2253</v>
      </c>
      <c r="C834" s="431" t="s">
        <v>2254</v>
      </c>
      <c r="D834" s="431" t="s">
        <v>3916</v>
      </c>
      <c r="E834" s="431" t="s">
        <v>3917</v>
      </c>
      <c r="F834" s="431">
        <v>2006</v>
      </c>
      <c r="G834" s="431" t="s">
        <v>62</v>
      </c>
      <c r="H834" s="431" t="s">
        <v>2257</v>
      </c>
      <c r="I834" s="431" t="s">
        <v>2258</v>
      </c>
      <c r="J834" s="432">
        <v>46234</v>
      </c>
    </row>
    <row r="835" spans="1:10">
      <c r="A835" s="431">
        <v>873</v>
      </c>
      <c r="B835" s="431" t="s">
        <v>2253</v>
      </c>
      <c r="C835" s="431" t="s">
        <v>2254</v>
      </c>
      <c r="D835" s="431" t="s">
        <v>3918</v>
      </c>
      <c r="E835" s="431" t="s">
        <v>3919</v>
      </c>
      <c r="F835" s="431">
        <v>110</v>
      </c>
      <c r="G835" s="431" t="s">
        <v>21</v>
      </c>
      <c r="H835" s="431" t="s">
        <v>2257</v>
      </c>
      <c r="I835" s="431" t="s">
        <v>2258</v>
      </c>
      <c r="J835" s="432">
        <v>46234</v>
      </c>
    </row>
    <row r="836" spans="1:10">
      <c r="A836" s="431">
        <v>874</v>
      </c>
      <c r="B836" s="431" t="s">
        <v>2253</v>
      </c>
      <c r="C836" s="431" t="s">
        <v>2254</v>
      </c>
      <c r="D836" s="431" t="s">
        <v>3920</v>
      </c>
      <c r="E836" s="431" t="s">
        <v>3921</v>
      </c>
      <c r="F836" s="431">
        <v>3300</v>
      </c>
      <c r="G836" s="431" t="s">
        <v>1107</v>
      </c>
      <c r="H836" s="431" t="s">
        <v>2257</v>
      </c>
      <c r="I836" s="431" t="s">
        <v>2258</v>
      </c>
      <c r="J836" s="432">
        <v>46234</v>
      </c>
    </row>
    <row r="837" spans="1:10">
      <c r="A837" s="431">
        <v>875</v>
      </c>
      <c r="B837" s="431" t="s">
        <v>2253</v>
      </c>
      <c r="C837" s="431" t="s">
        <v>2254</v>
      </c>
      <c r="D837" s="431" t="s">
        <v>3922</v>
      </c>
      <c r="E837" s="431" t="s">
        <v>3923</v>
      </c>
      <c r="F837" s="431">
        <v>220</v>
      </c>
      <c r="G837" s="431" t="s">
        <v>21</v>
      </c>
      <c r="H837" s="431" t="s">
        <v>2257</v>
      </c>
      <c r="I837" s="431" t="s">
        <v>2258</v>
      </c>
      <c r="J837" s="432">
        <v>46234</v>
      </c>
    </row>
    <row r="838" spans="1:10">
      <c r="A838" s="431">
        <v>876</v>
      </c>
      <c r="B838" s="431" t="s">
        <v>2253</v>
      </c>
      <c r="C838" s="433" t="s">
        <v>2254</v>
      </c>
      <c r="D838" s="431" t="s">
        <v>3924</v>
      </c>
      <c r="E838" s="431" t="s">
        <v>3925</v>
      </c>
      <c r="F838" s="431">
        <v>640</v>
      </c>
      <c r="G838" s="431" t="s">
        <v>1107</v>
      </c>
      <c r="H838" s="431" t="s">
        <v>2257</v>
      </c>
      <c r="I838" s="431" t="s">
        <v>2258</v>
      </c>
      <c r="J838" s="432">
        <v>46234</v>
      </c>
    </row>
    <row r="839" spans="1:10">
      <c r="A839" s="431">
        <v>877</v>
      </c>
      <c r="B839" s="431" t="s">
        <v>2253</v>
      </c>
      <c r="C839" s="433" t="s">
        <v>2254</v>
      </c>
      <c r="D839" s="431" t="s">
        <v>3926</v>
      </c>
      <c r="E839" s="431" t="s">
        <v>3927</v>
      </c>
      <c r="F839" s="431">
        <v>850</v>
      </c>
      <c r="G839" s="431" t="s">
        <v>62</v>
      </c>
      <c r="H839" s="431" t="s">
        <v>2257</v>
      </c>
      <c r="I839" s="431" t="s">
        <v>2258</v>
      </c>
      <c r="J839" s="432">
        <v>46234</v>
      </c>
    </row>
    <row r="840" spans="1:10">
      <c r="A840" s="431">
        <v>878</v>
      </c>
      <c r="B840" s="431" t="s">
        <v>2253</v>
      </c>
      <c r="C840" s="433" t="s">
        <v>2254</v>
      </c>
      <c r="D840" s="431" t="s">
        <v>3928</v>
      </c>
      <c r="E840" s="431" t="s">
        <v>3929</v>
      </c>
      <c r="F840" s="431">
        <v>1000</v>
      </c>
      <c r="G840" s="431" t="s">
        <v>62</v>
      </c>
      <c r="H840" s="431" t="s">
        <v>2257</v>
      </c>
      <c r="I840" s="431" t="s">
        <v>2258</v>
      </c>
      <c r="J840" s="432">
        <v>46234</v>
      </c>
    </row>
    <row r="841" spans="1:10">
      <c r="A841" s="431">
        <v>879</v>
      </c>
      <c r="B841" s="431" t="s">
        <v>2253</v>
      </c>
      <c r="C841" s="433" t="s">
        <v>2254</v>
      </c>
      <c r="D841" s="431" t="s">
        <v>3930</v>
      </c>
      <c r="E841" s="431" t="s">
        <v>3931</v>
      </c>
      <c r="F841" s="431">
        <v>210</v>
      </c>
      <c r="G841" s="431" t="s">
        <v>691</v>
      </c>
      <c r="H841" s="431" t="s">
        <v>2573</v>
      </c>
      <c r="I841" s="431" t="s">
        <v>2574</v>
      </c>
      <c r="J841" s="432">
        <v>46234</v>
      </c>
    </row>
    <row r="842" spans="1:10">
      <c r="A842" s="431">
        <v>880</v>
      </c>
      <c r="B842" s="431" t="s">
        <v>2253</v>
      </c>
      <c r="C842" s="433" t="s">
        <v>2254</v>
      </c>
      <c r="D842" s="431" t="s">
        <v>3932</v>
      </c>
      <c r="E842" s="431" t="s">
        <v>3933</v>
      </c>
      <c r="F842" s="431">
        <v>175</v>
      </c>
      <c r="G842" s="431" t="s">
        <v>691</v>
      </c>
      <c r="H842" s="431" t="s">
        <v>2257</v>
      </c>
      <c r="I842" s="431" t="s">
        <v>2258</v>
      </c>
      <c r="J842" s="432">
        <v>46234</v>
      </c>
    </row>
    <row r="843" spans="1:10">
      <c r="A843" s="431">
        <v>881</v>
      </c>
      <c r="B843" s="431" t="s">
        <v>2253</v>
      </c>
      <c r="C843" s="433" t="s">
        <v>2254</v>
      </c>
      <c r="D843" s="431" t="s">
        <v>3934</v>
      </c>
      <c r="E843" s="431" t="s">
        <v>3935</v>
      </c>
      <c r="F843" s="431">
        <v>780</v>
      </c>
      <c r="G843" s="431" t="s">
        <v>2466</v>
      </c>
      <c r="H843" s="431" t="s">
        <v>2257</v>
      </c>
      <c r="I843" s="431" t="s">
        <v>2258</v>
      </c>
      <c r="J843" s="432">
        <v>46234</v>
      </c>
    </row>
    <row r="844" spans="1:10">
      <c r="A844" s="431">
        <v>882</v>
      </c>
      <c r="B844" s="431" t="s">
        <v>2253</v>
      </c>
      <c r="C844" s="433" t="s">
        <v>2254</v>
      </c>
      <c r="D844" s="431" t="s">
        <v>3936</v>
      </c>
      <c r="E844" s="431" t="s">
        <v>3937</v>
      </c>
      <c r="F844" s="431">
        <v>580</v>
      </c>
      <c r="G844" s="431" t="s">
        <v>2466</v>
      </c>
      <c r="H844" s="431" t="s">
        <v>2257</v>
      </c>
      <c r="I844" s="431" t="s">
        <v>2258</v>
      </c>
      <c r="J844" s="432">
        <v>46234</v>
      </c>
    </row>
    <row r="845" spans="1:10">
      <c r="A845" s="431">
        <v>883</v>
      </c>
      <c r="B845" s="431" t="s">
        <v>2253</v>
      </c>
      <c r="C845" s="433" t="s">
        <v>2254</v>
      </c>
      <c r="D845" s="431" t="s">
        <v>3938</v>
      </c>
      <c r="E845" s="431" t="s">
        <v>3939</v>
      </c>
      <c r="F845" s="431">
        <v>620</v>
      </c>
      <c r="G845" s="431" t="s">
        <v>691</v>
      </c>
      <c r="H845" s="431" t="s">
        <v>2257</v>
      </c>
      <c r="I845" s="431" t="s">
        <v>2258</v>
      </c>
      <c r="J845" s="432">
        <v>46234</v>
      </c>
    </row>
    <row r="846" spans="1:10">
      <c r="A846" s="431">
        <v>884</v>
      </c>
      <c r="B846" s="431" t="s">
        <v>2253</v>
      </c>
      <c r="C846" s="433" t="s">
        <v>2254</v>
      </c>
      <c r="D846" s="431" t="s">
        <v>3940</v>
      </c>
      <c r="E846" s="431" t="s">
        <v>3941</v>
      </c>
      <c r="F846" s="431">
        <v>160</v>
      </c>
      <c r="G846" s="431" t="s">
        <v>2466</v>
      </c>
      <c r="H846" s="431" t="s">
        <v>2257</v>
      </c>
      <c r="I846" s="431" t="s">
        <v>2258</v>
      </c>
      <c r="J846" s="432">
        <v>46234</v>
      </c>
    </row>
    <row r="847" spans="1:10">
      <c r="A847" s="431">
        <v>885</v>
      </c>
      <c r="B847" s="431" t="s">
        <v>2253</v>
      </c>
      <c r="C847" s="433" t="s">
        <v>2254</v>
      </c>
      <c r="D847" s="431" t="s">
        <v>3942</v>
      </c>
      <c r="E847" s="431" t="s">
        <v>3943</v>
      </c>
      <c r="F847" s="431">
        <v>250</v>
      </c>
      <c r="G847" s="431" t="s">
        <v>2466</v>
      </c>
      <c r="H847" s="431" t="s">
        <v>2257</v>
      </c>
      <c r="I847" s="431" t="s">
        <v>2258</v>
      </c>
      <c r="J847" s="432">
        <v>46234</v>
      </c>
    </row>
    <row r="848" spans="1:10">
      <c r="A848" s="431">
        <v>886</v>
      </c>
      <c r="B848" s="431" t="s">
        <v>2253</v>
      </c>
      <c r="C848" s="433" t="s">
        <v>2254</v>
      </c>
      <c r="D848" s="431" t="s">
        <v>3944</v>
      </c>
      <c r="E848" s="431" t="s">
        <v>3945</v>
      </c>
      <c r="F848" s="431">
        <v>38</v>
      </c>
      <c r="G848" s="431" t="s">
        <v>691</v>
      </c>
      <c r="H848" s="431" t="s">
        <v>2257</v>
      </c>
      <c r="I848" s="431" t="s">
        <v>2258</v>
      </c>
      <c r="J848" s="432">
        <v>46234</v>
      </c>
    </row>
    <row r="849" spans="1:10">
      <c r="A849" s="431">
        <v>887</v>
      </c>
      <c r="B849" s="431" t="s">
        <v>2253</v>
      </c>
      <c r="C849" s="433" t="s">
        <v>2254</v>
      </c>
      <c r="D849" s="431" t="s">
        <v>3946</v>
      </c>
      <c r="E849" s="431" t="s">
        <v>3947</v>
      </c>
      <c r="F849" s="431">
        <v>1700</v>
      </c>
      <c r="G849" s="431" t="s">
        <v>328</v>
      </c>
      <c r="H849" s="431" t="s">
        <v>2257</v>
      </c>
      <c r="I849" s="431" t="s">
        <v>2258</v>
      </c>
      <c r="J849" s="432">
        <v>46234</v>
      </c>
    </row>
    <row r="850" spans="1:10">
      <c r="A850" s="431">
        <v>888</v>
      </c>
      <c r="B850" s="431" t="s">
        <v>2253</v>
      </c>
      <c r="C850" s="433" t="s">
        <v>2254</v>
      </c>
      <c r="D850" s="431" t="s">
        <v>3948</v>
      </c>
      <c r="E850" s="431" t="s">
        <v>3949</v>
      </c>
      <c r="F850" s="431">
        <v>500</v>
      </c>
      <c r="G850" s="431" t="s">
        <v>1107</v>
      </c>
      <c r="H850" s="431" t="s">
        <v>2257</v>
      </c>
      <c r="I850" s="431" t="s">
        <v>2258</v>
      </c>
      <c r="J850" s="432">
        <v>46234</v>
      </c>
    </row>
    <row r="851" spans="1:10">
      <c r="A851" s="431">
        <v>889</v>
      </c>
      <c r="B851" s="431" t="s">
        <v>2253</v>
      </c>
      <c r="C851" s="433" t="s">
        <v>2254</v>
      </c>
      <c r="D851" s="431" t="s">
        <v>3950</v>
      </c>
      <c r="E851" s="431" t="s">
        <v>3951</v>
      </c>
      <c r="F851" s="431">
        <v>675</v>
      </c>
      <c r="G851" s="431" t="s">
        <v>1107</v>
      </c>
      <c r="H851" s="431" t="s">
        <v>2257</v>
      </c>
      <c r="I851" s="431" t="s">
        <v>2258</v>
      </c>
      <c r="J851" s="432">
        <v>46234</v>
      </c>
    </row>
    <row r="852" spans="1:10">
      <c r="A852" s="431">
        <v>890</v>
      </c>
      <c r="B852" s="431" t="s">
        <v>2253</v>
      </c>
      <c r="C852" s="433" t="s">
        <v>2254</v>
      </c>
      <c r="D852" s="431" t="s">
        <v>3952</v>
      </c>
      <c r="E852" s="431" t="s">
        <v>3953</v>
      </c>
      <c r="F852" s="431">
        <v>1350</v>
      </c>
      <c r="G852" s="431" t="s">
        <v>1107</v>
      </c>
      <c r="H852" s="431" t="s">
        <v>2257</v>
      </c>
      <c r="I852" s="431" t="s">
        <v>2258</v>
      </c>
      <c r="J852" s="432">
        <v>46234</v>
      </c>
    </row>
    <row r="853" spans="1:10">
      <c r="A853" s="431">
        <v>891</v>
      </c>
      <c r="B853" s="431" t="s">
        <v>2253</v>
      </c>
      <c r="C853" s="431" t="s">
        <v>2254</v>
      </c>
      <c r="D853" s="431" t="s">
        <v>3954</v>
      </c>
      <c r="E853" s="431" t="s">
        <v>3955</v>
      </c>
      <c r="F853" s="431">
        <v>5000</v>
      </c>
      <c r="G853" s="431" t="s">
        <v>1532</v>
      </c>
      <c r="H853" s="431" t="s">
        <v>2257</v>
      </c>
      <c r="I853" s="431" t="s">
        <v>2258</v>
      </c>
      <c r="J853" s="432">
        <v>46234</v>
      </c>
    </row>
    <row r="854" spans="1:10">
      <c r="A854" s="431">
        <v>892</v>
      </c>
      <c r="B854" s="431" t="s">
        <v>2253</v>
      </c>
      <c r="C854" s="433" t="s">
        <v>2254</v>
      </c>
      <c r="D854" s="431" t="s">
        <v>3956</v>
      </c>
      <c r="E854" s="431" t="s">
        <v>3957</v>
      </c>
      <c r="F854" s="431">
        <v>1375</v>
      </c>
      <c r="G854" s="431" t="s">
        <v>46</v>
      </c>
      <c r="H854" s="431" t="s">
        <v>2257</v>
      </c>
      <c r="I854" s="431" t="s">
        <v>2258</v>
      </c>
      <c r="J854" s="432">
        <v>46234</v>
      </c>
    </row>
    <row r="855" spans="1:10">
      <c r="A855" s="431">
        <v>893</v>
      </c>
      <c r="B855" s="431" t="s">
        <v>2253</v>
      </c>
      <c r="C855" s="431" t="s">
        <v>2254</v>
      </c>
      <c r="D855" s="431" t="s">
        <v>3958</v>
      </c>
      <c r="E855" s="431" t="s">
        <v>3959</v>
      </c>
      <c r="F855" s="431">
        <v>1450</v>
      </c>
      <c r="G855" s="431" t="s">
        <v>1107</v>
      </c>
      <c r="H855" s="431" t="s">
        <v>2257</v>
      </c>
      <c r="I855" s="431" t="s">
        <v>2258</v>
      </c>
      <c r="J855" s="432">
        <v>46234</v>
      </c>
    </row>
    <row r="856" spans="1:10">
      <c r="A856" s="431">
        <v>894</v>
      </c>
      <c r="B856" s="431" t="s">
        <v>2253</v>
      </c>
      <c r="C856" s="433" t="s">
        <v>2254</v>
      </c>
      <c r="D856" s="431" t="s">
        <v>3960</v>
      </c>
      <c r="E856" s="431" t="s">
        <v>3961</v>
      </c>
      <c r="F856" s="431">
        <v>1000</v>
      </c>
      <c r="G856" s="431" t="s">
        <v>1107</v>
      </c>
      <c r="H856" s="431" t="s">
        <v>2257</v>
      </c>
      <c r="I856" s="431" t="s">
        <v>2258</v>
      </c>
      <c r="J856" s="432">
        <v>46234</v>
      </c>
    </row>
    <row r="857" spans="1:10">
      <c r="A857" s="431">
        <v>895</v>
      </c>
      <c r="B857" s="431" t="s">
        <v>2253</v>
      </c>
      <c r="C857" s="431" t="s">
        <v>2254</v>
      </c>
      <c r="D857" s="431" t="s">
        <v>3962</v>
      </c>
      <c r="E857" s="431" t="s">
        <v>3963</v>
      </c>
      <c r="F857" s="431">
        <v>250</v>
      </c>
      <c r="G857" s="431" t="s">
        <v>1107</v>
      </c>
      <c r="H857" s="431" t="s">
        <v>2257</v>
      </c>
      <c r="I857" s="431" t="s">
        <v>2258</v>
      </c>
      <c r="J857" s="432">
        <v>46234</v>
      </c>
    </row>
    <row r="858" spans="1:10">
      <c r="A858" s="431">
        <v>896</v>
      </c>
      <c r="B858" s="431" t="s">
        <v>2253</v>
      </c>
      <c r="C858" s="433" t="s">
        <v>2254</v>
      </c>
      <c r="D858" s="431" t="s">
        <v>3964</v>
      </c>
      <c r="E858" s="431" t="s">
        <v>3965</v>
      </c>
      <c r="F858" s="431">
        <v>13000</v>
      </c>
      <c r="G858" s="431" t="s">
        <v>1107</v>
      </c>
      <c r="H858" s="431" t="s">
        <v>2257</v>
      </c>
      <c r="I858" s="431" t="s">
        <v>2258</v>
      </c>
      <c r="J858" s="432">
        <v>46234</v>
      </c>
    </row>
    <row r="859" spans="1:10">
      <c r="A859" s="431">
        <v>897</v>
      </c>
      <c r="B859" s="431" t="s">
        <v>2253</v>
      </c>
      <c r="C859" s="431" t="s">
        <v>2254</v>
      </c>
      <c r="D859" s="431" t="s">
        <v>3966</v>
      </c>
      <c r="E859" s="431" t="s">
        <v>3967</v>
      </c>
      <c r="F859" s="431">
        <v>2250</v>
      </c>
      <c r="G859" s="431" t="s">
        <v>1107</v>
      </c>
      <c r="H859" s="431" t="s">
        <v>2257</v>
      </c>
      <c r="I859" s="431" t="s">
        <v>2258</v>
      </c>
      <c r="J859" s="432">
        <v>46234</v>
      </c>
    </row>
    <row r="860" spans="1:10">
      <c r="A860" s="431">
        <v>898</v>
      </c>
      <c r="B860" s="431" t="s">
        <v>2253</v>
      </c>
      <c r="C860" s="433" t="s">
        <v>2254</v>
      </c>
      <c r="D860" s="431" t="s">
        <v>3968</v>
      </c>
      <c r="E860" s="431" t="s">
        <v>3969</v>
      </c>
      <c r="F860" s="431">
        <v>3100</v>
      </c>
      <c r="G860" s="431" t="s">
        <v>1107</v>
      </c>
      <c r="H860" s="431" t="s">
        <v>2257</v>
      </c>
      <c r="I860" s="431" t="s">
        <v>2258</v>
      </c>
      <c r="J860" s="432">
        <v>46234</v>
      </c>
    </row>
    <row r="861" spans="1:10">
      <c r="A861" s="431">
        <v>899</v>
      </c>
      <c r="B861" s="431" t="s">
        <v>2253</v>
      </c>
      <c r="C861" s="431" t="s">
        <v>2254</v>
      </c>
      <c r="D861" s="431" t="s">
        <v>3970</v>
      </c>
      <c r="E861" s="431" t="s">
        <v>3971</v>
      </c>
      <c r="F861" s="431">
        <v>925</v>
      </c>
      <c r="G861" s="431" t="s">
        <v>1107</v>
      </c>
      <c r="H861" s="431" t="s">
        <v>2257</v>
      </c>
      <c r="I861" s="431" t="s">
        <v>2258</v>
      </c>
      <c r="J861" s="432">
        <v>46234</v>
      </c>
    </row>
    <row r="862" spans="1:10">
      <c r="A862" s="431">
        <v>900</v>
      </c>
      <c r="B862" s="431" t="s">
        <v>2253</v>
      </c>
      <c r="C862" s="431" t="s">
        <v>2254</v>
      </c>
      <c r="D862" s="431" t="s">
        <v>3972</v>
      </c>
      <c r="E862" s="431" t="s">
        <v>3973</v>
      </c>
      <c r="F862" s="431">
        <v>175</v>
      </c>
      <c r="G862" s="431" t="s">
        <v>1107</v>
      </c>
      <c r="H862" s="431" t="s">
        <v>2257</v>
      </c>
      <c r="I862" s="431" t="s">
        <v>2258</v>
      </c>
      <c r="J862" s="432">
        <v>46234</v>
      </c>
    </row>
    <row r="863" spans="1:10">
      <c r="A863" s="431">
        <v>901</v>
      </c>
      <c r="B863" s="431" t="s">
        <v>2253</v>
      </c>
      <c r="C863" s="431" t="s">
        <v>2254</v>
      </c>
      <c r="D863" s="431" t="s">
        <v>3974</v>
      </c>
      <c r="E863" s="431" t="s">
        <v>3975</v>
      </c>
      <c r="F863" s="431">
        <v>175</v>
      </c>
      <c r="G863" s="431" t="s">
        <v>1107</v>
      </c>
      <c r="H863" s="431" t="s">
        <v>2257</v>
      </c>
      <c r="I863" s="431" t="s">
        <v>2258</v>
      </c>
      <c r="J863" s="432">
        <v>46234</v>
      </c>
    </row>
    <row r="864" spans="1:10">
      <c r="A864" s="431">
        <v>902</v>
      </c>
      <c r="B864" s="431" t="s">
        <v>2253</v>
      </c>
      <c r="C864" s="431" t="s">
        <v>2254</v>
      </c>
      <c r="D864" s="431" t="s">
        <v>3976</v>
      </c>
      <c r="E864" s="431" t="s">
        <v>3977</v>
      </c>
      <c r="F864" s="431">
        <v>650</v>
      </c>
      <c r="G864" s="431" t="s">
        <v>1107</v>
      </c>
      <c r="H864" s="431" t="s">
        <v>2257</v>
      </c>
      <c r="I864" s="431" t="s">
        <v>2258</v>
      </c>
      <c r="J864" s="432">
        <v>46234</v>
      </c>
    </row>
    <row r="865" spans="1:10">
      <c r="A865" s="431">
        <v>903</v>
      </c>
      <c r="B865" s="431" t="s">
        <v>2253</v>
      </c>
      <c r="C865" s="431" t="s">
        <v>2254</v>
      </c>
      <c r="D865" s="431" t="s">
        <v>3978</v>
      </c>
      <c r="E865" s="431" t="s">
        <v>3979</v>
      </c>
      <c r="F865" s="431">
        <v>1250</v>
      </c>
      <c r="G865" s="431" t="s">
        <v>1107</v>
      </c>
      <c r="H865" s="431" t="s">
        <v>2257</v>
      </c>
      <c r="I865" s="431" t="s">
        <v>2258</v>
      </c>
      <c r="J865" s="432">
        <v>46234</v>
      </c>
    </row>
    <row r="866" spans="1:10">
      <c r="A866" s="431">
        <v>904</v>
      </c>
      <c r="B866" s="431" t="s">
        <v>2253</v>
      </c>
      <c r="C866" s="431" t="s">
        <v>2254</v>
      </c>
      <c r="D866" s="431" t="s">
        <v>3980</v>
      </c>
      <c r="E866" s="431" t="s">
        <v>3981</v>
      </c>
      <c r="F866" s="431">
        <v>500</v>
      </c>
      <c r="G866" s="431" t="s">
        <v>1107</v>
      </c>
      <c r="H866" s="431" t="s">
        <v>2257</v>
      </c>
      <c r="I866" s="431" t="s">
        <v>2258</v>
      </c>
      <c r="J866" s="432">
        <v>46234</v>
      </c>
    </row>
    <row r="867" spans="1:10">
      <c r="A867" s="431">
        <v>905</v>
      </c>
      <c r="B867" s="431" t="s">
        <v>2253</v>
      </c>
      <c r="C867" s="431" t="s">
        <v>2254</v>
      </c>
      <c r="D867" s="431" t="s">
        <v>3982</v>
      </c>
      <c r="E867" s="431" t="s">
        <v>3983</v>
      </c>
      <c r="F867" s="431">
        <v>275</v>
      </c>
      <c r="G867" s="431" t="s">
        <v>1532</v>
      </c>
      <c r="H867" s="431" t="s">
        <v>2257</v>
      </c>
      <c r="I867" s="431" t="s">
        <v>2258</v>
      </c>
      <c r="J867" s="432">
        <v>46234</v>
      </c>
    </row>
    <row r="868" spans="1:10">
      <c r="A868" s="431">
        <v>906</v>
      </c>
      <c r="B868" s="431" t="s">
        <v>2253</v>
      </c>
      <c r="C868" s="431" t="s">
        <v>2254</v>
      </c>
      <c r="D868" s="431" t="s">
        <v>3984</v>
      </c>
      <c r="E868" s="431" t="s">
        <v>3985</v>
      </c>
      <c r="F868" s="431">
        <v>1250</v>
      </c>
      <c r="G868" s="431" t="s">
        <v>1107</v>
      </c>
      <c r="H868" s="431" t="s">
        <v>2257</v>
      </c>
      <c r="I868" s="431" t="s">
        <v>2258</v>
      </c>
      <c r="J868" s="432">
        <v>46234</v>
      </c>
    </row>
    <row r="869" spans="1:10">
      <c r="A869" s="431">
        <v>907</v>
      </c>
      <c r="B869" s="431" t="s">
        <v>2721</v>
      </c>
      <c r="C869" s="431" t="s">
        <v>2254</v>
      </c>
      <c r="D869" s="431" t="s">
        <v>3986</v>
      </c>
      <c r="E869" s="431" t="s">
        <v>3987</v>
      </c>
      <c r="F869" s="431">
        <v>800</v>
      </c>
      <c r="G869" s="431" t="s">
        <v>1107</v>
      </c>
      <c r="H869" s="431" t="s">
        <v>2257</v>
      </c>
      <c r="I869" s="431" t="s">
        <v>2258</v>
      </c>
      <c r="J869" s="432">
        <v>46234</v>
      </c>
    </row>
    <row r="870" spans="1:10">
      <c r="A870" s="431">
        <v>909</v>
      </c>
      <c r="B870" s="431" t="s">
        <v>2253</v>
      </c>
      <c r="C870" s="431" t="s">
        <v>2254</v>
      </c>
      <c r="D870" s="431" t="s">
        <v>3988</v>
      </c>
      <c r="E870" s="431" t="s">
        <v>3989</v>
      </c>
      <c r="F870" s="431">
        <v>8</v>
      </c>
      <c r="G870" s="431" t="s">
        <v>1107</v>
      </c>
      <c r="H870" s="431" t="s">
        <v>2573</v>
      </c>
      <c r="I870" s="431" t="s">
        <v>2574</v>
      </c>
      <c r="J870" s="432">
        <v>46234</v>
      </c>
    </row>
    <row r="871" spans="1:10">
      <c r="A871" s="431">
        <v>910</v>
      </c>
      <c r="B871" s="431" t="s">
        <v>2253</v>
      </c>
      <c r="C871" s="431" t="s">
        <v>2254</v>
      </c>
      <c r="D871" s="431" t="s">
        <v>3990</v>
      </c>
      <c r="E871" s="431" t="s">
        <v>3991</v>
      </c>
      <c r="F871" s="431">
        <v>250</v>
      </c>
      <c r="G871" s="431" t="s">
        <v>1107</v>
      </c>
      <c r="H871" s="431" t="s">
        <v>2257</v>
      </c>
      <c r="I871" s="431" t="s">
        <v>2258</v>
      </c>
      <c r="J871" s="432">
        <v>46234</v>
      </c>
    </row>
    <row r="872" spans="1:10">
      <c r="A872" s="431">
        <v>911</v>
      </c>
      <c r="B872" s="431" t="s">
        <v>2253</v>
      </c>
      <c r="C872" s="431" t="s">
        <v>2254</v>
      </c>
      <c r="D872" s="431" t="s">
        <v>3992</v>
      </c>
      <c r="E872" s="431" t="s">
        <v>3993</v>
      </c>
      <c r="F872" s="431">
        <v>1000</v>
      </c>
      <c r="G872" s="431" t="s">
        <v>1107</v>
      </c>
      <c r="H872" s="431" t="s">
        <v>2257</v>
      </c>
      <c r="I872" s="431" t="s">
        <v>2258</v>
      </c>
      <c r="J872" s="432">
        <v>46234</v>
      </c>
    </row>
    <row r="873" spans="1:10">
      <c r="A873" s="431">
        <v>912</v>
      </c>
      <c r="B873" s="431" t="s">
        <v>2253</v>
      </c>
      <c r="C873" s="431" t="s">
        <v>2254</v>
      </c>
      <c r="D873" s="431" t="s">
        <v>3994</v>
      </c>
      <c r="E873" s="431" t="s">
        <v>3995</v>
      </c>
      <c r="F873" s="431">
        <v>20</v>
      </c>
      <c r="G873" s="431" t="s">
        <v>1107</v>
      </c>
      <c r="H873" s="431" t="s">
        <v>2257</v>
      </c>
      <c r="I873" s="431" t="s">
        <v>2258</v>
      </c>
      <c r="J873" s="432">
        <v>46234</v>
      </c>
    </row>
    <row r="874" spans="1:10">
      <c r="A874" s="431">
        <v>913</v>
      </c>
      <c r="B874" s="431" t="s">
        <v>2253</v>
      </c>
      <c r="C874" s="431" t="s">
        <v>2254</v>
      </c>
      <c r="D874" s="431" t="s">
        <v>3996</v>
      </c>
      <c r="E874" s="431" t="s">
        <v>3997</v>
      </c>
      <c r="F874" s="431">
        <v>292</v>
      </c>
      <c r="G874" s="431" t="s">
        <v>46</v>
      </c>
      <c r="H874" s="431" t="s">
        <v>2257</v>
      </c>
      <c r="I874" s="431" t="s">
        <v>2258</v>
      </c>
      <c r="J874" s="432">
        <v>46234</v>
      </c>
    </row>
    <row r="875" spans="1:10">
      <c r="A875" s="431">
        <v>914</v>
      </c>
      <c r="B875" s="431" t="s">
        <v>2253</v>
      </c>
      <c r="C875" s="431" t="s">
        <v>2254</v>
      </c>
      <c r="D875" s="431" t="s">
        <v>3998</v>
      </c>
      <c r="E875" s="431" t="s">
        <v>3999</v>
      </c>
      <c r="F875" s="431">
        <v>328</v>
      </c>
      <c r="G875" s="431" t="s">
        <v>46</v>
      </c>
      <c r="H875" s="431" t="s">
        <v>2257</v>
      </c>
      <c r="I875" s="431" t="s">
        <v>2258</v>
      </c>
      <c r="J875" s="432">
        <v>46234</v>
      </c>
    </row>
    <row r="876" spans="1:10">
      <c r="A876" s="431">
        <v>915</v>
      </c>
      <c r="B876" s="431" t="s">
        <v>2253</v>
      </c>
      <c r="C876" s="431" t="s">
        <v>2254</v>
      </c>
      <c r="D876" s="431" t="s">
        <v>4000</v>
      </c>
      <c r="E876" s="431" t="s">
        <v>4001</v>
      </c>
      <c r="F876" s="431">
        <v>366</v>
      </c>
      <c r="G876" s="431" t="s">
        <v>46</v>
      </c>
      <c r="H876" s="431" t="s">
        <v>2257</v>
      </c>
      <c r="I876" s="431" t="s">
        <v>2258</v>
      </c>
      <c r="J876" s="432">
        <v>46234</v>
      </c>
    </row>
    <row r="877" spans="1:10">
      <c r="A877" s="431">
        <v>916</v>
      </c>
      <c r="B877" s="431" t="s">
        <v>2253</v>
      </c>
      <c r="C877" s="431" t="s">
        <v>2254</v>
      </c>
      <c r="D877" s="431" t="s">
        <v>4002</v>
      </c>
      <c r="E877" s="431" t="s">
        <v>4003</v>
      </c>
      <c r="F877" s="431">
        <v>447</v>
      </c>
      <c r="G877" s="431" t="s">
        <v>46</v>
      </c>
      <c r="H877" s="431" t="s">
        <v>2257</v>
      </c>
      <c r="I877" s="431" t="s">
        <v>2258</v>
      </c>
      <c r="J877" s="432">
        <v>46234</v>
      </c>
    </row>
    <row r="878" spans="1:10">
      <c r="A878" s="431">
        <v>917</v>
      </c>
      <c r="B878" s="431" t="s">
        <v>2253</v>
      </c>
      <c r="C878" s="431" t="s">
        <v>2254</v>
      </c>
      <c r="D878" s="431" t="s">
        <v>4004</v>
      </c>
      <c r="E878" s="431" t="s">
        <v>4005</v>
      </c>
      <c r="F878" s="431">
        <v>537</v>
      </c>
      <c r="G878" s="431" t="s">
        <v>46</v>
      </c>
      <c r="H878" s="431" t="s">
        <v>2257</v>
      </c>
      <c r="I878" s="431" t="s">
        <v>2258</v>
      </c>
      <c r="J878" s="432">
        <v>46234</v>
      </c>
    </row>
    <row r="879" spans="1:10">
      <c r="A879" s="431">
        <v>918</v>
      </c>
      <c r="B879" s="431" t="s">
        <v>2253</v>
      </c>
      <c r="C879" s="431" t="s">
        <v>2254</v>
      </c>
      <c r="D879" s="431" t="s">
        <v>4006</v>
      </c>
      <c r="E879" s="431" t="s">
        <v>4007</v>
      </c>
      <c r="F879" s="431">
        <v>634</v>
      </c>
      <c r="G879" s="431" t="s">
        <v>46</v>
      </c>
      <c r="H879" s="431" t="s">
        <v>2257</v>
      </c>
      <c r="I879" s="431" t="s">
        <v>2258</v>
      </c>
      <c r="J879" s="432">
        <v>46234</v>
      </c>
    </row>
    <row r="880" spans="1:10">
      <c r="A880" s="431">
        <v>919</v>
      </c>
      <c r="B880" s="431" t="s">
        <v>2253</v>
      </c>
      <c r="C880" s="431" t="s">
        <v>2254</v>
      </c>
      <c r="D880" s="431" t="s">
        <v>4008</v>
      </c>
      <c r="E880" s="431" t="s">
        <v>4009</v>
      </c>
      <c r="F880" s="431">
        <v>741</v>
      </c>
      <c r="G880" s="431" t="s">
        <v>46</v>
      </c>
      <c r="H880" s="431" t="s">
        <v>2257</v>
      </c>
      <c r="I880" s="431" t="s">
        <v>2258</v>
      </c>
      <c r="J880" s="432">
        <v>46234</v>
      </c>
    </row>
    <row r="881" spans="1:10">
      <c r="A881" s="431">
        <v>920</v>
      </c>
      <c r="B881" s="431" t="s">
        <v>2253</v>
      </c>
      <c r="C881" s="431" t="s">
        <v>2254</v>
      </c>
      <c r="D881" s="431" t="s">
        <v>4010</v>
      </c>
      <c r="E881" s="431" t="s">
        <v>4011</v>
      </c>
      <c r="F881" s="431">
        <v>60</v>
      </c>
      <c r="G881" s="431" t="s">
        <v>2542</v>
      </c>
      <c r="H881" s="431" t="s">
        <v>2257</v>
      </c>
      <c r="I881" s="431" t="s">
        <v>2258</v>
      </c>
      <c r="J881" s="432">
        <v>46234</v>
      </c>
    </row>
    <row r="882" spans="1:10">
      <c r="A882" s="431">
        <v>921</v>
      </c>
      <c r="B882" s="431" t="s">
        <v>2253</v>
      </c>
      <c r="C882" s="431" t="s">
        <v>2254</v>
      </c>
      <c r="D882" s="431" t="s">
        <v>4012</v>
      </c>
      <c r="E882" s="431" t="s">
        <v>4013</v>
      </c>
      <c r="F882" s="431">
        <v>212</v>
      </c>
      <c r="G882" s="431" t="s">
        <v>691</v>
      </c>
      <c r="H882" s="431" t="s">
        <v>2257</v>
      </c>
      <c r="I882" s="431" t="s">
        <v>2258</v>
      </c>
      <c r="J882" s="432">
        <v>46234</v>
      </c>
    </row>
    <row r="883" spans="1:10">
      <c r="A883" s="431">
        <v>922</v>
      </c>
      <c r="B883" s="431" t="s">
        <v>2253</v>
      </c>
      <c r="C883" s="431" t="s">
        <v>2254</v>
      </c>
      <c r="D883" s="431" t="s">
        <v>4014</v>
      </c>
      <c r="E883" s="431" t="s">
        <v>4015</v>
      </c>
      <c r="F883" s="431">
        <v>85</v>
      </c>
      <c r="G883" s="431" t="s">
        <v>691</v>
      </c>
      <c r="H883" s="431" t="s">
        <v>2257</v>
      </c>
      <c r="I883" s="431" t="s">
        <v>2258</v>
      </c>
      <c r="J883" s="432">
        <v>46234</v>
      </c>
    </row>
    <row r="884" spans="1:10">
      <c r="A884" s="431">
        <v>923</v>
      </c>
      <c r="B884" s="431" t="s">
        <v>2253</v>
      </c>
      <c r="C884" s="431" t="s">
        <v>2254</v>
      </c>
      <c r="D884" s="431" t="s">
        <v>4016</v>
      </c>
      <c r="E884" s="431" t="s">
        <v>4017</v>
      </c>
      <c r="F884" s="431">
        <v>36</v>
      </c>
      <c r="G884" s="431" t="s">
        <v>46</v>
      </c>
      <c r="H884" s="431" t="s">
        <v>2257</v>
      </c>
      <c r="I884" s="431" t="s">
        <v>2258</v>
      </c>
      <c r="J884" s="432">
        <v>46234</v>
      </c>
    </row>
    <row r="885" spans="1:10">
      <c r="A885" s="431">
        <v>924</v>
      </c>
      <c r="B885" s="431" t="s">
        <v>2253</v>
      </c>
      <c r="C885" s="431" t="s">
        <v>2254</v>
      </c>
      <c r="D885" s="431" t="s">
        <v>4018</v>
      </c>
      <c r="E885" s="431" t="s">
        <v>4019</v>
      </c>
      <c r="F885" s="431">
        <v>1593</v>
      </c>
      <c r="G885" s="431" t="s">
        <v>46</v>
      </c>
      <c r="H885" s="431" t="s">
        <v>2257</v>
      </c>
      <c r="I885" s="431" t="s">
        <v>2258</v>
      </c>
      <c r="J885" s="432">
        <v>46234</v>
      </c>
    </row>
    <row r="886" spans="1:10">
      <c r="A886" s="431">
        <v>925</v>
      </c>
      <c r="B886" s="431" t="s">
        <v>2253</v>
      </c>
      <c r="C886" s="431" t="s">
        <v>2254</v>
      </c>
      <c r="D886" s="431" t="s">
        <v>4020</v>
      </c>
      <c r="E886" s="431" t="s">
        <v>4021</v>
      </c>
      <c r="F886" s="431">
        <v>1715</v>
      </c>
      <c r="G886" s="431" t="s">
        <v>46</v>
      </c>
      <c r="H886" s="431" t="s">
        <v>2257</v>
      </c>
      <c r="I886" s="431" t="s">
        <v>2258</v>
      </c>
      <c r="J886" s="432">
        <v>46234</v>
      </c>
    </row>
    <row r="887" spans="1:10">
      <c r="A887" s="431">
        <v>926</v>
      </c>
      <c r="B887" s="431" t="s">
        <v>2253</v>
      </c>
      <c r="C887" s="431" t="s">
        <v>2254</v>
      </c>
      <c r="D887" s="431" t="s">
        <v>4022</v>
      </c>
      <c r="E887" s="431" t="s">
        <v>4023</v>
      </c>
      <c r="F887" s="431">
        <v>22</v>
      </c>
      <c r="G887" s="431" t="s">
        <v>21</v>
      </c>
      <c r="H887" s="431" t="s">
        <v>2257</v>
      </c>
      <c r="I887" s="431" t="s">
        <v>2258</v>
      </c>
      <c r="J887" s="432">
        <v>46234</v>
      </c>
    </row>
    <row r="888" spans="1:10">
      <c r="A888" s="431">
        <v>927</v>
      </c>
      <c r="B888" s="431" t="s">
        <v>2253</v>
      </c>
      <c r="C888" s="431" t="s">
        <v>2254</v>
      </c>
      <c r="D888" s="431" t="s">
        <v>4024</v>
      </c>
      <c r="E888" s="431" t="s">
        <v>4025</v>
      </c>
      <c r="F888" s="431">
        <v>1</v>
      </c>
      <c r="G888" s="431" t="s">
        <v>21</v>
      </c>
      <c r="H888" s="431" t="s">
        <v>2257</v>
      </c>
      <c r="I888" s="431" t="s">
        <v>2258</v>
      </c>
      <c r="J888" s="432">
        <v>46234</v>
      </c>
    </row>
    <row r="889" spans="1:10">
      <c r="A889" s="431">
        <v>928</v>
      </c>
      <c r="B889" s="431" t="s">
        <v>2253</v>
      </c>
      <c r="C889" s="431" t="s">
        <v>2254</v>
      </c>
      <c r="D889" s="431" t="s">
        <v>4026</v>
      </c>
      <c r="E889" s="431" t="s">
        <v>4027</v>
      </c>
      <c r="F889" s="431">
        <v>170</v>
      </c>
      <c r="G889" s="431" t="s">
        <v>691</v>
      </c>
      <c r="H889" s="431" t="s">
        <v>2257</v>
      </c>
      <c r="I889" s="431" t="s">
        <v>2258</v>
      </c>
      <c r="J889" s="432">
        <v>46234</v>
      </c>
    </row>
    <row r="890" spans="1:10">
      <c r="A890" s="431">
        <v>929</v>
      </c>
      <c r="B890" s="431" t="s">
        <v>2253</v>
      </c>
      <c r="C890" s="431" t="s">
        <v>2254</v>
      </c>
      <c r="D890" s="431" t="s">
        <v>4028</v>
      </c>
      <c r="E890" s="431" t="s">
        <v>4029</v>
      </c>
      <c r="F890" s="431">
        <v>1</v>
      </c>
      <c r="G890" s="431" t="s">
        <v>46</v>
      </c>
      <c r="H890" s="431" t="s">
        <v>2257</v>
      </c>
      <c r="I890" s="431" t="s">
        <v>2258</v>
      </c>
      <c r="J890" s="432">
        <v>46234</v>
      </c>
    </row>
    <row r="891" spans="1:10">
      <c r="A891" s="431">
        <v>930</v>
      </c>
      <c r="B891" s="431" t="s">
        <v>2253</v>
      </c>
      <c r="C891" s="431" t="s">
        <v>2254</v>
      </c>
      <c r="D891" s="431" t="s">
        <v>4030</v>
      </c>
      <c r="E891" s="431" t="s">
        <v>4031</v>
      </c>
      <c r="F891" s="431">
        <v>255</v>
      </c>
      <c r="G891" s="431" t="s">
        <v>812</v>
      </c>
      <c r="H891" s="431" t="s">
        <v>2257</v>
      </c>
      <c r="I891" s="431" t="s">
        <v>2258</v>
      </c>
      <c r="J891" s="432">
        <v>46234</v>
      </c>
    </row>
    <row r="892" spans="1:10">
      <c r="A892" s="431">
        <v>931</v>
      </c>
      <c r="B892" s="431" t="s">
        <v>2253</v>
      </c>
      <c r="C892" s="431" t="s">
        <v>2254</v>
      </c>
      <c r="D892" s="431" t="s">
        <v>4032</v>
      </c>
      <c r="E892" s="431" t="s">
        <v>4033</v>
      </c>
      <c r="F892" s="431">
        <v>58</v>
      </c>
      <c r="G892" s="431" t="s">
        <v>46</v>
      </c>
      <c r="H892" s="431" t="s">
        <v>2257</v>
      </c>
      <c r="I892" s="431" t="s">
        <v>2258</v>
      </c>
      <c r="J892" s="432">
        <v>46234</v>
      </c>
    </row>
    <row r="893" spans="1:10">
      <c r="A893" s="431">
        <v>932</v>
      </c>
      <c r="B893" s="431" t="s">
        <v>2253</v>
      </c>
      <c r="C893" s="431" t="s">
        <v>2254</v>
      </c>
      <c r="D893" s="431" t="s">
        <v>4034</v>
      </c>
      <c r="E893" s="431" t="s">
        <v>4035</v>
      </c>
      <c r="F893" s="431">
        <v>63</v>
      </c>
      <c r="G893" s="431" t="s">
        <v>46</v>
      </c>
      <c r="H893" s="431" t="s">
        <v>2257</v>
      </c>
      <c r="I893" s="431" t="s">
        <v>2258</v>
      </c>
      <c r="J893" s="432">
        <v>46234</v>
      </c>
    </row>
    <row r="894" spans="1:10">
      <c r="A894" s="431">
        <v>933</v>
      </c>
      <c r="B894" s="431" t="s">
        <v>2253</v>
      </c>
      <c r="C894" s="431" t="s">
        <v>2254</v>
      </c>
      <c r="D894" s="431" t="s">
        <v>4036</v>
      </c>
      <c r="E894" s="431" t="s">
        <v>4037</v>
      </c>
      <c r="F894" s="431">
        <v>78</v>
      </c>
      <c r="G894" s="431" t="s">
        <v>46</v>
      </c>
      <c r="H894" s="431" t="s">
        <v>2257</v>
      </c>
      <c r="I894" s="431" t="s">
        <v>2258</v>
      </c>
      <c r="J894" s="432">
        <v>46234</v>
      </c>
    </row>
    <row r="895" spans="1:10">
      <c r="A895" s="431">
        <v>934</v>
      </c>
      <c r="B895" s="431" t="s">
        <v>2253</v>
      </c>
      <c r="C895" s="431" t="s">
        <v>2254</v>
      </c>
      <c r="D895" s="431" t="s">
        <v>4038</v>
      </c>
      <c r="E895" s="431" t="s">
        <v>4039</v>
      </c>
      <c r="F895" s="431">
        <v>102</v>
      </c>
      <c r="G895" s="431" t="s">
        <v>46</v>
      </c>
      <c r="H895" s="431" t="s">
        <v>2257</v>
      </c>
      <c r="I895" s="431" t="s">
        <v>2258</v>
      </c>
      <c r="J895" s="432">
        <v>46234</v>
      </c>
    </row>
    <row r="896" spans="1:10">
      <c r="A896" s="431">
        <v>935</v>
      </c>
      <c r="B896" s="431" t="s">
        <v>2253</v>
      </c>
      <c r="C896" s="431" t="s">
        <v>2254</v>
      </c>
      <c r="D896" s="431" t="s">
        <v>1645</v>
      </c>
      <c r="E896" s="431" t="s">
        <v>1646</v>
      </c>
      <c r="F896" s="431">
        <v>52</v>
      </c>
      <c r="G896" s="431" t="s">
        <v>46</v>
      </c>
      <c r="H896" s="431" t="s">
        <v>2257</v>
      </c>
      <c r="I896" s="431" t="s">
        <v>2258</v>
      </c>
      <c r="J896" s="432">
        <v>46234</v>
      </c>
    </row>
    <row r="897" spans="1:10">
      <c r="A897" s="431">
        <v>936</v>
      </c>
      <c r="B897" s="431" t="s">
        <v>2253</v>
      </c>
      <c r="C897" s="431" t="s">
        <v>2254</v>
      </c>
      <c r="D897" s="431" t="s">
        <v>4040</v>
      </c>
      <c r="E897" s="431" t="s">
        <v>4041</v>
      </c>
      <c r="F897" s="431">
        <v>89</v>
      </c>
      <c r="G897" s="431" t="s">
        <v>46</v>
      </c>
      <c r="H897" s="431" t="s">
        <v>2257</v>
      </c>
      <c r="I897" s="431" t="s">
        <v>2258</v>
      </c>
      <c r="J897" s="432">
        <v>46234</v>
      </c>
    </row>
    <row r="898" spans="1:10">
      <c r="A898" s="431">
        <v>937</v>
      </c>
      <c r="B898" s="431" t="s">
        <v>2253</v>
      </c>
      <c r="C898" s="431" t="s">
        <v>2254</v>
      </c>
      <c r="D898" s="431" t="s">
        <v>1675</v>
      </c>
      <c r="E898" s="431" t="s">
        <v>1677</v>
      </c>
      <c r="F898" s="431">
        <v>160</v>
      </c>
      <c r="G898" s="431" t="s">
        <v>46</v>
      </c>
      <c r="H898" s="431" t="s">
        <v>2257</v>
      </c>
      <c r="I898" s="431" t="s">
        <v>2258</v>
      </c>
      <c r="J898" s="432">
        <v>46234</v>
      </c>
    </row>
    <row r="899" spans="1:10">
      <c r="A899" s="431">
        <v>938</v>
      </c>
      <c r="B899" s="431" t="s">
        <v>2253</v>
      </c>
      <c r="C899" s="431" t="s">
        <v>2254</v>
      </c>
      <c r="D899" s="431" t="s">
        <v>1691</v>
      </c>
      <c r="E899" s="431" t="s">
        <v>1692</v>
      </c>
      <c r="F899" s="431">
        <v>185</v>
      </c>
      <c r="G899" s="431" t="s">
        <v>46</v>
      </c>
      <c r="H899" s="431" t="s">
        <v>2257</v>
      </c>
      <c r="I899" s="431" t="s">
        <v>2258</v>
      </c>
      <c r="J899" s="432">
        <v>46234</v>
      </c>
    </row>
    <row r="900" spans="1:10">
      <c r="A900" s="431">
        <v>939</v>
      </c>
      <c r="B900" s="431" t="s">
        <v>2253</v>
      </c>
      <c r="C900" s="431" t="s">
        <v>2254</v>
      </c>
      <c r="D900" s="431" t="s">
        <v>1710</v>
      </c>
      <c r="E900" s="431" t="s">
        <v>1711</v>
      </c>
      <c r="F900" s="431">
        <v>211</v>
      </c>
      <c r="G900" s="431" t="s">
        <v>46</v>
      </c>
      <c r="H900" s="431" t="s">
        <v>2573</v>
      </c>
      <c r="I900" s="431" t="s">
        <v>2574</v>
      </c>
      <c r="J900" s="432">
        <v>46234</v>
      </c>
    </row>
    <row r="901" spans="1:10">
      <c r="A901" s="431">
        <v>940</v>
      </c>
      <c r="B901" s="431" t="s">
        <v>2253</v>
      </c>
      <c r="C901" s="431" t="s">
        <v>2254</v>
      </c>
      <c r="D901" s="431" t="s">
        <v>1719</v>
      </c>
      <c r="E901" s="431" t="s">
        <v>1720</v>
      </c>
      <c r="F901" s="431">
        <v>340</v>
      </c>
      <c r="G901" s="431" t="s">
        <v>46</v>
      </c>
      <c r="H901" s="431" t="s">
        <v>2257</v>
      </c>
      <c r="I901" s="431" t="s">
        <v>2258</v>
      </c>
      <c r="J901" s="432">
        <v>46234</v>
      </c>
    </row>
    <row r="902" spans="1:10">
      <c r="A902" s="431">
        <v>941</v>
      </c>
      <c r="B902" s="431" t="s">
        <v>2253</v>
      </c>
      <c r="C902" s="431" t="s">
        <v>2254</v>
      </c>
      <c r="D902" s="431" t="s">
        <v>1725</v>
      </c>
      <c r="E902" s="431" t="s">
        <v>1726</v>
      </c>
      <c r="F902" s="431">
        <v>893</v>
      </c>
      <c r="G902" s="431" t="s">
        <v>46</v>
      </c>
      <c r="H902" s="431" t="s">
        <v>2257</v>
      </c>
      <c r="I902" s="431" t="s">
        <v>2258</v>
      </c>
      <c r="J902" s="432">
        <v>46234</v>
      </c>
    </row>
    <row r="903" spans="1:10">
      <c r="A903" s="431">
        <v>942</v>
      </c>
      <c r="B903" s="431" t="s">
        <v>2253</v>
      </c>
      <c r="C903" s="431" t="s">
        <v>2254</v>
      </c>
      <c r="D903" s="431" t="s">
        <v>1737</v>
      </c>
      <c r="E903" s="431" t="s">
        <v>1738</v>
      </c>
      <c r="F903" s="431">
        <v>1000</v>
      </c>
      <c r="G903" s="431" t="s">
        <v>46</v>
      </c>
      <c r="H903" s="431" t="s">
        <v>2257</v>
      </c>
      <c r="I903" s="431" t="s">
        <v>2258</v>
      </c>
      <c r="J903" s="432">
        <v>46234</v>
      </c>
    </row>
    <row r="904" spans="1:10">
      <c r="A904" s="431">
        <v>943</v>
      </c>
      <c r="B904" s="431" t="s">
        <v>2253</v>
      </c>
      <c r="C904" s="431" t="s">
        <v>2254</v>
      </c>
      <c r="D904" s="431" t="s">
        <v>4042</v>
      </c>
      <c r="E904" s="431" t="s">
        <v>4043</v>
      </c>
      <c r="F904" s="431">
        <v>51</v>
      </c>
      <c r="G904" s="431" t="s">
        <v>46</v>
      </c>
      <c r="H904" s="431" t="s">
        <v>2257</v>
      </c>
      <c r="I904" s="431" t="s">
        <v>2258</v>
      </c>
      <c r="J904" s="432">
        <v>46234</v>
      </c>
    </row>
    <row r="905" spans="1:10">
      <c r="A905" s="431">
        <v>944</v>
      </c>
      <c r="B905" s="431" t="s">
        <v>2253</v>
      </c>
      <c r="C905" s="431" t="s">
        <v>2254</v>
      </c>
      <c r="D905" s="431" t="s">
        <v>4044</v>
      </c>
      <c r="E905" s="431" t="s">
        <v>4045</v>
      </c>
      <c r="F905" s="431">
        <v>93</v>
      </c>
      <c r="G905" s="431" t="s">
        <v>46</v>
      </c>
      <c r="H905" s="431" t="s">
        <v>2257</v>
      </c>
      <c r="I905" s="431" t="s">
        <v>2258</v>
      </c>
      <c r="J905" s="432">
        <v>46234</v>
      </c>
    </row>
    <row r="906" spans="1:10">
      <c r="A906" s="431">
        <v>945</v>
      </c>
      <c r="B906" s="431" t="s">
        <v>2253</v>
      </c>
      <c r="C906" s="431" t="s">
        <v>2254</v>
      </c>
      <c r="D906" s="431" t="s">
        <v>4046</v>
      </c>
      <c r="E906" s="431" t="s">
        <v>4047</v>
      </c>
      <c r="F906" s="431">
        <v>136</v>
      </c>
      <c r="G906" s="431" t="s">
        <v>46</v>
      </c>
      <c r="H906" s="431" t="s">
        <v>2257</v>
      </c>
      <c r="I906" s="431" t="s">
        <v>2258</v>
      </c>
      <c r="J906" s="432">
        <v>46234</v>
      </c>
    </row>
    <row r="907" spans="1:10">
      <c r="A907" s="431">
        <v>946</v>
      </c>
      <c r="B907" s="431" t="s">
        <v>2253</v>
      </c>
      <c r="C907" s="431" t="s">
        <v>2254</v>
      </c>
      <c r="D907" s="431" t="s">
        <v>4048</v>
      </c>
      <c r="E907" s="431" t="s">
        <v>4049</v>
      </c>
      <c r="F907" s="431">
        <v>178</v>
      </c>
      <c r="G907" s="431" t="s">
        <v>46</v>
      </c>
      <c r="H907" s="431" t="s">
        <v>2257</v>
      </c>
      <c r="I907" s="431" t="s">
        <v>2258</v>
      </c>
      <c r="J907" s="432">
        <v>46234</v>
      </c>
    </row>
    <row r="908" spans="1:10">
      <c r="A908" s="431">
        <v>947</v>
      </c>
      <c r="B908" s="431" t="s">
        <v>2253</v>
      </c>
      <c r="C908" s="433" t="s">
        <v>2254</v>
      </c>
      <c r="D908" s="431" t="s">
        <v>4050</v>
      </c>
      <c r="E908" s="431" t="s">
        <v>4051</v>
      </c>
      <c r="F908" s="431">
        <v>255</v>
      </c>
      <c r="G908" s="431" t="s">
        <v>46</v>
      </c>
      <c r="H908" s="431" t="s">
        <v>2257</v>
      </c>
      <c r="I908" s="431" t="s">
        <v>2258</v>
      </c>
      <c r="J908" s="432">
        <v>46234</v>
      </c>
    </row>
    <row r="909" spans="1:10">
      <c r="A909" s="431">
        <v>948</v>
      </c>
      <c r="B909" s="431" t="s">
        <v>2253</v>
      </c>
      <c r="C909" s="431" t="s">
        <v>2254</v>
      </c>
      <c r="D909" s="431" t="s">
        <v>4052</v>
      </c>
      <c r="E909" s="431" t="s">
        <v>4053</v>
      </c>
      <c r="F909" s="431">
        <v>357</v>
      </c>
      <c r="G909" s="431" t="s">
        <v>46</v>
      </c>
      <c r="H909" s="431" t="s">
        <v>2257</v>
      </c>
      <c r="I909" s="431" t="s">
        <v>2258</v>
      </c>
      <c r="J909" s="432">
        <v>46234</v>
      </c>
    </row>
    <row r="910" spans="1:10">
      <c r="A910" s="431">
        <v>949</v>
      </c>
      <c r="B910" s="431" t="s">
        <v>2253</v>
      </c>
      <c r="C910" s="431" t="s">
        <v>2254</v>
      </c>
      <c r="D910" s="431" t="s">
        <v>4054</v>
      </c>
      <c r="E910" s="431" t="s">
        <v>4055</v>
      </c>
      <c r="F910" s="431">
        <v>476</v>
      </c>
      <c r="G910" s="431" t="s">
        <v>46</v>
      </c>
      <c r="H910" s="431" t="s">
        <v>2257</v>
      </c>
      <c r="I910" s="431" t="s">
        <v>2258</v>
      </c>
      <c r="J910" s="432">
        <v>46234</v>
      </c>
    </row>
    <row r="911" spans="1:10">
      <c r="A911" s="431">
        <v>950</v>
      </c>
      <c r="B911" s="431" t="s">
        <v>2253</v>
      </c>
      <c r="C911" s="431" t="s">
        <v>2254</v>
      </c>
      <c r="D911" s="431" t="s">
        <v>4056</v>
      </c>
      <c r="E911" s="431" t="s">
        <v>4057</v>
      </c>
      <c r="F911" s="431">
        <v>638</v>
      </c>
      <c r="G911" s="431" t="s">
        <v>46</v>
      </c>
      <c r="H911" s="431" t="s">
        <v>2257</v>
      </c>
      <c r="I911" s="431" t="s">
        <v>2258</v>
      </c>
      <c r="J911" s="432">
        <v>46234</v>
      </c>
    </row>
    <row r="912" spans="1:10">
      <c r="A912" s="431">
        <v>951</v>
      </c>
      <c r="B912" s="431" t="s">
        <v>2253</v>
      </c>
      <c r="C912" s="431" t="s">
        <v>2254</v>
      </c>
      <c r="D912" s="431" t="s">
        <v>4058</v>
      </c>
      <c r="E912" s="431" t="s">
        <v>4059</v>
      </c>
      <c r="F912" s="431">
        <v>808</v>
      </c>
      <c r="G912" s="431" t="s">
        <v>46</v>
      </c>
      <c r="H912" s="431" t="s">
        <v>2257</v>
      </c>
      <c r="I912" s="431" t="s">
        <v>2258</v>
      </c>
      <c r="J912" s="432">
        <v>46234</v>
      </c>
    </row>
    <row r="913" spans="1:10">
      <c r="A913" s="431">
        <v>952</v>
      </c>
      <c r="B913" s="431" t="s">
        <v>2253</v>
      </c>
      <c r="C913" s="431" t="s">
        <v>2254</v>
      </c>
      <c r="D913" s="431" t="s">
        <v>4060</v>
      </c>
      <c r="E913" s="431" t="s">
        <v>4061</v>
      </c>
      <c r="F913" s="431">
        <v>978</v>
      </c>
      <c r="G913" s="431" t="s">
        <v>46</v>
      </c>
      <c r="H913" s="431" t="s">
        <v>2257</v>
      </c>
      <c r="I913" s="431" t="s">
        <v>2258</v>
      </c>
      <c r="J913" s="432">
        <v>46234</v>
      </c>
    </row>
    <row r="914" spans="1:10">
      <c r="A914" s="431">
        <v>953</v>
      </c>
      <c r="B914" s="431" t="s">
        <v>2253</v>
      </c>
      <c r="C914" s="431" t="s">
        <v>2254</v>
      </c>
      <c r="D914" s="431" t="s">
        <v>4062</v>
      </c>
      <c r="E914" s="431" t="s">
        <v>4063</v>
      </c>
      <c r="F914" s="431">
        <v>14</v>
      </c>
      <c r="G914" s="431" t="s">
        <v>46</v>
      </c>
      <c r="H914" s="431" t="s">
        <v>2257</v>
      </c>
      <c r="I914" s="431" t="s">
        <v>2258</v>
      </c>
      <c r="J914" s="432">
        <v>46234</v>
      </c>
    </row>
    <row r="915" spans="1:10">
      <c r="A915" s="431">
        <v>954</v>
      </c>
      <c r="B915" s="431" t="s">
        <v>2253</v>
      </c>
      <c r="C915" s="431" t="s">
        <v>2254</v>
      </c>
      <c r="D915" s="431" t="s">
        <v>4064</v>
      </c>
      <c r="E915" s="431" t="s">
        <v>4065</v>
      </c>
      <c r="F915" s="431">
        <v>20</v>
      </c>
      <c r="G915" s="431" t="s">
        <v>46</v>
      </c>
      <c r="H915" s="431" t="s">
        <v>2257</v>
      </c>
      <c r="I915" s="431" t="s">
        <v>2258</v>
      </c>
      <c r="J915" s="432">
        <v>46234</v>
      </c>
    </row>
    <row r="916" spans="1:10">
      <c r="A916" s="431">
        <v>955</v>
      </c>
      <c r="B916" s="431" t="s">
        <v>2253</v>
      </c>
      <c r="C916" s="431" t="s">
        <v>2254</v>
      </c>
      <c r="D916" s="431" t="s">
        <v>4066</v>
      </c>
      <c r="E916" s="431" t="s">
        <v>4067</v>
      </c>
      <c r="F916" s="431">
        <v>297</v>
      </c>
      <c r="G916" s="431" t="s">
        <v>21</v>
      </c>
      <c r="H916" s="431" t="s">
        <v>2257</v>
      </c>
      <c r="I916" s="431" t="s">
        <v>2258</v>
      </c>
      <c r="J916" s="432">
        <v>46234</v>
      </c>
    </row>
    <row r="917" spans="1:10">
      <c r="A917" s="431">
        <v>956</v>
      </c>
      <c r="B917" s="431" t="s">
        <v>2253</v>
      </c>
      <c r="C917" s="431" t="s">
        <v>2254</v>
      </c>
      <c r="D917" s="431" t="s">
        <v>817</v>
      </c>
      <c r="E917" s="431" t="s">
        <v>818</v>
      </c>
      <c r="F917" s="431">
        <v>6553</v>
      </c>
      <c r="G917" s="431" t="s">
        <v>812</v>
      </c>
      <c r="H917" s="431" t="s">
        <v>2257</v>
      </c>
      <c r="I917" s="431" t="s">
        <v>2258</v>
      </c>
      <c r="J917" s="432">
        <v>46234</v>
      </c>
    </row>
    <row r="918" spans="1:10">
      <c r="A918" s="431">
        <v>957</v>
      </c>
      <c r="B918" s="431" t="s">
        <v>2253</v>
      </c>
      <c r="C918" s="431" t="s">
        <v>2254</v>
      </c>
      <c r="D918" s="431" t="s">
        <v>2208</v>
      </c>
      <c r="E918" s="431" t="s">
        <v>2209</v>
      </c>
      <c r="F918" s="431">
        <v>6553</v>
      </c>
      <c r="G918" s="431" t="s">
        <v>812</v>
      </c>
      <c r="H918" s="431" t="s">
        <v>2257</v>
      </c>
      <c r="I918" s="431" t="s">
        <v>2258</v>
      </c>
      <c r="J918" s="432">
        <v>46234</v>
      </c>
    </row>
    <row r="919" spans="1:10">
      <c r="A919" s="431">
        <v>958</v>
      </c>
      <c r="B919" s="431" t="s">
        <v>2253</v>
      </c>
      <c r="C919" s="431" t="s">
        <v>2254</v>
      </c>
      <c r="D919" s="431" t="s">
        <v>4068</v>
      </c>
      <c r="E919" s="431" t="s">
        <v>4069</v>
      </c>
      <c r="F919" s="431">
        <v>6553</v>
      </c>
      <c r="G919" s="431" t="s">
        <v>812</v>
      </c>
      <c r="H919" s="431" t="s">
        <v>2257</v>
      </c>
      <c r="I919" s="431" t="s">
        <v>2258</v>
      </c>
      <c r="J919" s="432">
        <v>46234</v>
      </c>
    </row>
    <row r="920" spans="1:10">
      <c r="A920" s="431">
        <v>959</v>
      </c>
      <c r="B920" s="431" t="s">
        <v>2253</v>
      </c>
      <c r="C920" s="431" t="s">
        <v>2254</v>
      </c>
      <c r="D920" s="431" t="s">
        <v>4070</v>
      </c>
      <c r="E920" s="431" t="s">
        <v>4071</v>
      </c>
      <c r="F920" s="431">
        <v>8510</v>
      </c>
      <c r="G920" s="431" t="s">
        <v>812</v>
      </c>
      <c r="H920" s="431" t="s">
        <v>2257</v>
      </c>
      <c r="I920" s="431" t="s">
        <v>2258</v>
      </c>
      <c r="J920" s="432">
        <v>46234</v>
      </c>
    </row>
    <row r="921" spans="1:10">
      <c r="A921" s="431">
        <v>960</v>
      </c>
      <c r="B921" s="431" t="s">
        <v>2253</v>
      </c>
      <c r="C921" s="431" t="s">
        <v>2254</v>
      </c>
      <c r="D921" s="431" t="s">
        <v>1009</v>
      </c>
      <c r="E921" s="431" t="s">
        <v>2210</v>
      </c>
      <c r="F921" s="431">
        <v>64</v>
      </c>
      <c r="G921" s="431" t="s">
        <v>46</v>
      </c>
      <c r="H921" s="431" t="s">
        <v>2257</v>
      </c>
      <c r="I921" s="431" t="s">
        <v>2258</v>
      </c>
      <c r="J921" s="432">
        <v>46234</v>
      </c>
    </row>
    <row r="922" spans="1:10">
      <c r="A922" s="431">
        <v>961</v>
      </c>
      <c r="B922" s="431" t="s">
        <v>2253</v>
      </c>
      <c r="C922" s="431" t="s">
        <v>2254</v>
      </c>
      <c r="D922" s="431" t="s">
        <v>4072</v>
      </c>
      <c r="E922" s="431" t="s">
        <v>4073</v>
      </c>
      <c r="F922" s="431">
        <v>178</v>
      </c>
      <c r="G922" s="431" t="s">
        <v>46</v>
      </c>
      <c r="H922" s="431" t="s">
        <v>2257</v>
      </c>
      <c r="I922" s="431" t="s">
        <v>2258</v>
      </c>
      <c r="J922" s="432">
        <v>46234</v>
      </c>
    </row>
    <row r="923" spans="1:10">
      <c r="A923" s="431">
        <v>962</v>
      </c>
      <c r="B923" s="431" t="s">
        <v>2253</v>
      </c>
      <c r="C923" s="431" t="s">
        <v>2254</v>
      </c>
      <c r="D923" s="431" t="s">
        <v>4074</v>
      </c>
      <c r="E923" s="431" t="s">
        <v>4075</v>
      </c>
      <c r="F923" s="431">
        <v>462</v>
      </c>
      <c r="G923" s="431" t="s">
        <v>21</v>
      </c>
      <c r="H923" s="431" t="s">
        <v>2257</v>
      </c>
      <c r="I923" s="431" t="s">
        <v>2258</v>
      </c>
      <c r="J923" s="432">
        <v>46234</v>
      </c>
    </row>
    <row r="924" spans="1:10">
      <c r="A924" s="431">
        <v>963</v>
      </c>
      <c r="B924" s="431" t="s">
        <v>2253</v>
      </c>
      <c r="C924" s="431" t="s">
        <v>2254</v>
      </c>
      <c r="D924" s="431" t="s">
        <v>4076</v>
      </c>
      <c r="E924" s="431" t="s">
        <v>4077</v>
      </c>
      <c r="F924" s="431">
        <v>482</v>
      </c>
      <c r="G924" s="431" t="s">
        <v>46</v>
      </c>
      <c r="H924" s="431" t="s">
        <v>2257</v>
      </c>
      <c r="I924" s="431" t="s">
        <v>2258</v>
      </c>
      <c r="J924" s="432">
        <v>46234</v>
      </c>
    </row>
    <row r="925" spans="1:10">
      <c r="A925" s="431">
        <v>964</v>
      </c>
      <c r="B925" s="431" t="s">
        <v>2253</v>
      </c>
      <c r="C925" s="431" t="s">
        <v>2254</v>
      </c>
      <c r="D925" s="431" t="s">
        <v>4078</v>
      </c>
      <c r="E925" s="431" t="s">
        <v>4079</v>
      </c>
      <c r="F925" s="431">
        <v>787</v>
      </c>
      <c r="G925" s="431" t="s">
        <v>21</v>
      </c>
      <c r="H925" s="431" t="s">
        <v>2257</v>
      </c>
      <c r="I925" s="431" t="s">
        <v>2258</v>
      </c>
      <c r="J925" s="432">
        <v>46234</v>
      </c>
    </row>
    <row r="926" spans="1:10">
      <c r="A926" s="431">
        <v>965</v>
      </c>
      <c r="B926" s="431" t="s">
        <v>2253</v>
      </c>
      <c r="C926" s="431" t="s">
        <v>2254</v>
      </c>
      <c r="D926" s="431" t="s">
        <v>4080</v>
      </c>
      <c r="E926" s="431" t="s">
        <v>4081</v>
      </c>
      <c r="F926" s="431">
        <v>901</v>
      </c>
      <c r="G926" s="431" t="s">
        <v>21</v>
      </c>
      <c r="H926" s="431" t="s">
        <v>2257</v>
      </c>
      <c r="I926" s="431" t="s">
        <v>2258</v>
      </c>
      <c r="J926" s="432">
        <v>46234</v>
      </c>
    </row>
    <row r="927" spans="1:10">
      <c r="A927" s="431">
        <v>966</v>
      </c>
      <c r="B927" s="431" t="s">
        <v>2253</v>
      </c>
      <c r="C927" s="431" t="s">
        <v>2254</v>
      </c>
      <c r="D927" s="431" t="s">
        <v>4082</v>
      </c>
      <c r="E927" s="431" t="s">
        <v>4083</v>
      </c>
      <c r="F927" s="431">
        <v>350</v>
      </c>
      <c r="G927" s="431" t="s">
        <v>21</v>
      </c>
      <c r="H927" s="431" t="s">
        <v>2257</v>
      </c>
      <c r="I927" s="431" t="s">
        <v>2258</v>
      </c>
      <c r="J927" s="432">
        <v>46234</v>
      </c>
    </row>
    <row r="928" spans="1:10">
      <c r="A928" s="431">
        <v>967</v>
      </c>
      <c r="B928" s="431" t="s">
        <v>2253</v>
      </c>
      <c r="C928" s="431" t="s">
        <v>2254</v>
      </c>
      <c r="D928" s="431" t="s">
        <v>4084</v>
      </c>
      <c r="E928" s="431" t="s">
        <v>4085</v>
      </c>
      <c r="F928" s="431">
        <v>435</v>
      </c>
      <c r="G928" s="431" t="s">
        <v>21</v>
      </c>
      <c r="H928" s="431" t="s">
        <v>2257</v>
      </c>
      <c r="I928" s="431" t="s">
        <v>2258</v>
      </c>
      <c r="J928" s="432">
        <v>46234</v>
      </c>
    </row>
    <row r="929" spans="1:10">
      <c r="A929" s="431">
        <v>968</v>
      </c>
      <c r="B929" s="431" t="s">
        <v>2253</v>
      </c>
      <c r="C929" s="431" t="s">
        <v>2254</v>
      </c>
      <c r="D929" s="431" t="s">
        <v>4086</v>
      </c>
      <c r="E929" s="431" t="s">
        <v>4087</v>
      </c>
      <c r="F929" s="431">
        <v>645</v>
      </c>
      <c r="G929" s="431" t="s">
        <v>21</v>
      </c>
      <c r="H929" s="431" t="s">
        <v>2573</v>
      </c>
      <c r="I929" s="431" t="s">
        <v>2574</v>
      </c>
      <c r="J929" s="432">
        <v>46234</v>
      </c>
    </row>
    <row r="930" spans="1:10">
      <c r="A930" s="431">
        <v>969</v>
      </c>
      <c r="B930" s="431" t="s">
        <v>2253</v>
      </c>
      <c r="C930" s="431" t="s">
        <v>2254</v>
      </c>
      <c r="D930" s="431" t="s">
        <v>4088</v>
      </c>
      <c r="E930" s="431" t="s">
        <v>4089</v>
      </c>
      <c r="F930" s="431">
        <v>738</v>
      </c>
      <c r="G930" s="431" t="s">
        <v>21</v>
      </c>
      <c r="H930" s="431" t="s">
        <v>2257</v>
      </c>
      <c r="I930" s="431" t="s">
        <v>2258</v>
      </c>
      <c r="J930" s="432">
        <v>46234</v>
      </c>
    </row>
    <row r="931" spans="1:10">
      <c r="A931" s="431">
        <v>970</v>
      </c>
      <c r="B931" s="431" t="s">
        <v>2253</v>
      </c>
      <c r="C931" s="431" t="s">
        <v>2254</v>
      </c>
      <c r="D931" s="431" t="s">
        <v>4090</v>
      </c>
      <c r="E931" s="431" t="s">
        <v>4091</v>
      </c>
      <c r="F931" s="431">
        <v>647</v>
      </c>
      <c r="G931" s="431" t="s">
        <v>21</v>
      </c>
      <c r="H931" s="431" t="s">
        <v>2257</v>
      </c>
      <c r="I931" s="431" t="s">
        <v>2258</v>
      </c>
      <c r="J931" s="432">
        <v>46234</v>
      </c>
    </row>
    <row r="932" spans="1:10">
      <c r="A932" s="431">
        <v>971</v>
      </c>
      <c r="B932" s="431" t="s">
        <v>2253</v>
      </c>
      <c r="C932" s="431" t="s">
        <v>2254</v>
      </c>
      <c r="D932" s="431" t="s">
        <v>4092</v>
      </c>
      <c r="E932" s="431" t="s">
        <v>4093</v>
      </c>
      <c r="F932" s="431">
        <v>884</v>
      </c>
      <c r="G932" s="431" t="s">
        <v>21</v>
      </c>
      <c r="H932" s="431" t="s">
        <v>2257</v>
      </c>
      <c r="I932" s="431" t="s">
        <v>2258</v>
      </c>
      <c r="J932" s="432">
        <v>46234</v>
      </c>
    </row>
    <row r="933" spans="1:10">
      <c r="A933" s="431">
        <v>972</v>
      </c>
      <c r="B933" s="431" t="s">
        <v>2253</v>
      </c>
      <c r="C933" s="431" t="s">
        <v>2254</v>
      </c>
      <c r="D933" s="431" t="s">
        <v>4094</v>
      </c>
      <c r="E933" s="431" t="s">
        <v>4095</v>
      </c>
      <c r="F933" s="431">
        <v>1545</v>
      </c>
      <c r="G933" s="431" t="s">
        <v>21</v>
      </c>
      <c r="H933" s="431" t="s">
        <v>2257</v>
      </c>
      <c r="I933" s="431" t="s">
        <v>2258</v>
      </c>
      <c r="J933" s="432">
        <v>46234</v>
      </c>
    </row>
    <row r="934" spans="1:10">
      <c r="A934" s="431">
        <v>973</v>
      </c>
      <c r="B934" s="431" t="s">
        <v>2253</v>
      </c>
      <c r="C934" s="431" t="s">
        <v>2254</v>
      </c>
      <c r="D934" s="431" t="s">
        <v>4096</v>
      </c>
      <c r="E934" s="431" t="s">
        <v>4097</v>
      </c>
      <c r="F934" s="431">
        <v>1737</v>
      </c>
      <c r="G934" s="431" t="s">
        <v>21</v>
      </c>
      <c r="H934" s="431" t="s">
        <v>2257</v>
      </c>
      <c r="I934" s="431" t="s">
        <v>2258</v>
      </c>
      <c r="J934" s="432">
        <v>46234</v>
      </c>
    </row>
    <row r="935" spans="1:10">
      <c r="A935" s="431">
        <v>974</v>
      </c>
      <c r="B935" s="431" t="s">
        <v>2253</v>
      </c>
      <c r="C935" s="431" t="s">
        <v>2254</v>
      </c>
      <c r="D935" s="431" t="s">
        <v>4098</v>
      </c>
      <c r="E935" s="431" t="s">
        <v>4099</v>
      </c>
      <c r="F935" s="431">
        <v>1926</v>
      </c>
      <c r="G935" s="431" t="s">
        <v>21</v>
      </c>
      <c r="H935" s="431" t="s">
        <v>2257</v>
      </c>
      <c r="I935" s="431" t="s">
        <v>2258</v>
      </c>
      <c r="J935" s="432">
        <v>46234</v>
      </c>
    </row>
    <row r="936" spans="1:10">
      <c r="A936" s="431">
        <v>975</v>
      </c>
      <c r="B936" s="431" t="s">
        <v>2253</v>
      </c>
      <c r="C936" s="431" t="s">
        <v>2254</v>
      </c>
      <c r="D936" s="431" t="s">
        <v>4100</v>
      </c>
      <c r="E936" s="431" t="s">
        <v>4101</v>
      </c>
      <c r="F936" s="431">
        <v>2211</v>
      </c>
      <c r="G936" s="431" t="s">
        <v>21</v>
      </c>
      <c r="H936" s="431" t="s">
        <v>2257</v>
      </c>
      <c r="I936" s="431" t="s">
        <v>2258</v>
      </c>
      <c r="J936" s="432">
        <v>46234</v>
      </c>
    </row>
    <row r="937" spans="1:10">
      <c r="A937" s="431">
        <v>976</v>
      </c>
      <c r="B937" s="431" t="s">
        <v>2253</v>
      </c>
      <c r="C937" s="431" t="s">
        <v>2254</v>
      </c>
      <c r="D937" s="431" t="s">
        <v>4102</v>
      </c>
      <c r="E937" s="431" t="s">
        <v>4103</v>
      </c>
      <c r="F937" s="431">
        <v>2937</v>
      </c>
      <c r="G937" s="431" t="s">
        <v>21</v>
      </c>
      <c r="H937" s="431" t="s">
        <v>2257</v>
      </c>
      <c r="I937" s="431" t="s">
        <v>2258</v>
      </c>
      <c r="J937" s="432">
        <v>46234</v>
      </c>
    </row>
    <row r="938" spans="1:10">
      <c r="A938" s="431">
        <v>977</v>
      </c>
      <c r="B938" s="431" t="s">
        <v>2253</v>
      </c>
      <c r="C938" s="431" t="s">
        <v>2254</v>
      </c>
      <c r="D938" s="431" t="s">
        <v>4104</v>
      </c>
      <c r="E938" s="431" t="s">
        <v>4105</v>
      </c>
      <c r="F938" s="431">
        <v>3445</v>
      </c>
      <c r="G938" s="431" t="s">
        <v>21</v>
      </c>
      <c r="H938" s="431" t="s">
        <v>2257</v>
      </c>
      <c r="I938" s="431" t="s">
        <v>2258</v>
      </c>
      <c r="J938" s="432">
        <v>46234</v>
      </c>
    </row>
    <row r="939" spans="1:10">
      <c r="A939" s="431">
        <v>978</v>
      </c>
      <c r="B939" s="431" t="s">
        <v>2253</v>
      </c>
      <c r="C939" s="431" t="s">
        <v>2254</v>
      </c>
      <c r="D939" s="431" t="s">
        <v>4106</v>
      </c>
      <c r="E939" s="431" t="s">
        <v>4107</v>
      </c>
      <c r="F939" s="431">
        <v>4428</v>
      </c>
      <c r="G939" s="431" t="s">
        <v>21</v>
      </c>
      <c r="H939" s="431" t="s">
        <v>2257</v>
      </c>
      <c r="I939" s="431" t="s">
        <v>2258</v>
      </c>
      <c r="J939" s="432">
        <v>46234</v>
      </c>
    </row>
    <row r="940" spans="1:10">
      <c r="A940" s="431">
        <v>979</v>
      </c>
      <c r="B940" s="431" t="s">
        <v>2253</v>
      </c>
      <c r="C940" s="431" t="s">
        <v>2254</v>
      </c>
      <c r="D940" s="431" t="s">
        <v>4108</v>
      </c>
      <c r="E940" s="431" t="s">
        <v>4109</v>
      </c>
      <c r="F940" s="431">
        <v>4645</v>
      </c>
      <c r="G940" s="431" t="s">
        <v>21</v>
      </c>
      <c r="H940" s="431" t="s">
        <v>2257</v>
      </c>
      <c r="I940" s="431" t="s">
        <v>2258</v>
      </c>
      <c r="J940" s="432">
        <v>46234</v>
      </c>
    </row>
    <row r="941" spans="1:10">
      <c r="A941" s="431">
        <v>980</v>
      </c>
      <c r="B941" s="431" t="s">
        <v>2253</v>
      </c>
      <c r="C941" s="431" t="s">
        <v>2254</v>
      </c>
      <c r="D941" s="431" t="s">
        <v>4110</v>
      </c>
      <c r="E941" s="431" t="s">
        <v>4111</v>
      </c>
      <c r="F941" s="431">
        <v>5666</v>
      </c>
      <c r="G941" s="431" t="s">
        <v>21</v>
      </c>
      <c r="H941" s="431" t="s">
        <v>2257</v>
      </c>
      <c r="I941" s="431" t="s">
        <v>2258</v>
      </c>
      <c r="J941" s="432">
        <v>46234</v>
      </c>
    </row>
    <row r="942" spans="1:10">
      <c r="A942" s="431">
        <v>981</v>
      </c>
      <c r="B942" s="431" t="s">
        <v>2253</v>
      </c>
      <c r="C942" s="431" t="s">
        <v>2254</v>
      </c>
      <c r="D942" s="431" t="s">
        <v>4112</v>
      </c>
      <c r="E942" s="431" t="s">
        <v>4113</v>
      </c>
      <c r="F942" s="431">
        <v>7667</v>
      </c>
      <c r="G942" s="431" t="s">
        <v>21</v>
      </c>
      <c r="H942" s="431" t="s">
        <v>2257</v>
      </c>
      <c r="I942" s="431" t="s">
        <v>2258</v>
      </c>
      <c r="J942" s="432">
        <v>46234</v>
      </c>
    </row>
    <row r="943" spans="1:10">
      <c r="A943" s="431">
        <v>982</v>
      </c>
      <c r="B943" s="431" t="s">
        <v>2253</v>
      </c>
      <c r="C943" s="431" t="s">
        <v>2254</v>
      </c>
      <c r="D943" s="431" t="s">
        <v>4114</v>
      </c>
      <c r="E943" s="431" t="s">
        <v>4115</v>
      </c>
      <c r="F943" s="431">
        <v>386</v>
      </c>
      <c r="G943" s="431" t="s">
        <v>21</v>
      </c>
      <c r="H943" s="431" t="s">
        <v>2257</v>
      </c>
      <c r="I943" s="431" t="s">
        <v>2258</v>
      </c>
      <c r="J943" s="432">
        <v>46234</v>
      </c>
    </row>
    <row r="944" spans="1:10">
      <c r="A944" s="431">
        <v>983</v>
      </c>
      <c r="B944" s="431" t="s">
        <v>2253</v>
      </c>
      <c r="C944" s="431" t="s">
        <v>2254</v>
      </c>
      <c r="D944" s="431" t="s">
        <v>4116</v>
      </c>
      <c r="E944" s="431" t="s">
        <v>4117</v>
      </c>
      <c r="F944" s="431">
        <v>510</v>
      </c>
      <c r="G944" s="431" t="s">
        <v>21</v>
      </c>
      <c r="H944" s="431" t="s">
        <v>2257</v>
      </c>
      <c r="I944" s="431" t="s">
        <v>2258</v>
      </c>
      <c r="J944" s="432">
        <v>46234</v>
      </c>
    </row>
    <row r="945" spans="1:10">
      <c r="A945" s="431">
        <v>984</v>
      </c>
      <c r="B945" s="431" t="s">
        <v>2253</v>
      </c>
      <c r="C945" s="431" t="s">
        <v>2254</v>
      </c>
      <c r="D945" s="431" t="s">
        <v>4118</v>
      </c>
      <c r="E945" s="431" t="s">
        <v>4119</v>
      </c>
      <c r="F945" s="431">
        <v>737</v>
      </c>
      <c r="G945" s="431" t="s">
        <v>21</v>
      </c>
      <c r="H945" s="431" t="s">
        <v>2257</v>
      </c>
      <c r="I945" s="431" t="s">
        <v>2258</v>
      </c>
      <c r="J945" s="432">
        <v>46234</v>
      </c>
    </row>
    <row r="946" spans="1:10">
      <c r="A946" s="431">
        <v>985</v>
      </c>
      <c r="B946" s="431" t="s">
        <v>2253</v>
      </c>
      <c r="C946" s="431" t="s">
        <v>2254</v>
      </c>
      <c r="D946" s="431" t="s">
        <v>4120</v>
      </c>
      <c r="E946" s="431" t="s">
        <v>4121</v>
      </c>
      <c r="F946" s="431">
        <v>767</v>
      </c>
      <c r="G946" s="431" t="s">
        <v>21</v>
      </c>
      <c r="H946" s="431" t="s">
        <v>2257</v>
      </c>
      <c r="I946" s="431" t="s">
        <v>2258</v>
      </c>
      <c r="J946" s="432">
        <v>46234</v>
      </c>
    </row>
    <row r="947" spans="1:10">
      <c r="A947" s="431">
        <v>986</v>
      </c>
      <c r="B947" s="431" t="s">
        <v>2253</v>
      </c>
      <c r="C947" s="431" t="s">
        <v>2254</v>
      </c>
      <c r="D947" s="431" t="s">
        <v>4122</v>
      </c>
      <c r="E947" s="431" t="s">
        <v>4123</v>
      </c>
      <c r="F947" s="431">
        <v>797</v>
      </c>
      <c r="G947" s="431" t="s">
        <v>21</v>
      </c>
      <c r="H947" s="431" t="s">
        <v>2257</v>
      </c>
      <c r="I947" s="431" t="s">
        <v>2258</v>
      </c>
      <c r="J947" s="432">
        <v>46234</v>
      </c>
    </row>
    <row r="948" spans="1:10">
      <c r="A948" s="431">
        <v>987</v>
      </c>
      <c r="B948" s="431" t="s">
        <v>2253</v>
      </c>
      <c r="C948" s="431" t="s">
        <v>2254</v>
      </c>
      <c r="D948" s="431" t="s">
        <v>4124</v>
      </c>
      <c r="E948" s="431" t="s">
        <v>4125</v>
      </c>
      <c r="F948" s="431">
        <v>1038</v>
      </c>
      <c r="G948" s="431" t="s">
        <v>21</v>
      </c>
      <c r="H948" s="431" t="s">
        <v>2257</v>
      </c>
      <c r="I948" s="431" t="s">
        <v>2258</v>
      </c>
      <c r="J948" s="432">
        <v>46234</v>
      </c>
    </row>
    <row r="949" spans="1:10">
      <c r="A949" s="431">
        <v>988</v>
      </c>
      <c r="B949" s="431" t="s">
        <v>2253</v>
      </c>
      <c r="C949" s="431" t="s">
        <v>2254</v>
      </c>
      <c r="D949" s="431" t="s">
        <v>4126</v>
      </c>
      <c r="E949" s="431" t="s">
        <v>4127</v>
      </c>
      <c r="F949" s="431">
        <v>1743</v>
      </c>
      <c r="G949" s="431" t="s">
        <v>21</v>
      </c>
      <c r="H949" s="431" t="s">
        <v>2257</v>
      </c>
      <c r="I949" s="431" t="s">
        <v>2258</v>
      </c>
      <c r="J949" s="432">
        <v>46234</v>
      </c>
    </row>
    <row r="950" spans="1:10">
      <c r="A950" s="431">
        <v>989</v>
      </c>
      <c r="B950" s="431" t="s">
        <v>2253</v>
      </c>
      <c r="C950" s="431" t="s">
        <v>2254</v>
      </c>
      <c r="D950" s="431" t="s">
        <v>4128</v>
      </c>
      <c r="E950" s="431" t="s">
        <v>4129</v>
      </c>
      <c r="F950" s="431">
        <v>1980</v>
      </c>
      <c r="G950" s="431" t="s">
        <v>21</v>
      </c>
      <c r="H950" s="431" t="s">
        <v>2257</v>
      </c>
      <c r="I950" s="431" t="s">
        <v>2258</v>
      </c>
      <c r="J950" s="432">
        <v>46234</v>
      </c>
    </row>
    <row r="951" spans="1:10">
      <c r="A951" s="431">
        <v>990</v>
      </c>
      <c r="B951" s="431" t="s">
        <v>2253</v>
      </c>
      <c r="C951" s="431" t="s">
        <v>2254</v>
      </c>
      <c r="D951" s="431" t="s">
        <v>4130</v>
      </c>
      <c r="E951" s="431" t="s">
        <v>4131</v>
      </c>
      <c r="F951" s="431">
        <v>2633</v>
      </c>
      <c r="G951" s="431" t="s">
        <v>21</v>
      </c>
      <c r="H951" s="431" t="s">
        <v>2257</v>
      </c>
      <c r="I951" s="431" t="s">
        <v>2258</v>
      </c>
      <c r="J951" s="432">
        <v>46234</v>
      </c>
    </row>
    <row r="952" spans="1:10">
      <c r="A952" s="431">
        <v>991</v>
      </c>
      <c r="B952" s="431" t="s">
        <v>2253</v>
      </c>
      <c r="C952" s="431" t="s">
        <v>2254</v>
      </c>
      <c r="D952" s="431" t="s">
        <v>4132</v>
      </c>
      <c r="E952" s="431" t="s">
        <v>4133</v>
      </c>
      <c r="F952" s="431">
        <v>4250</v>
      </c>
      <c r="G952" s="431" t="s">
        <v>21</v>
      </c>
      <c r="H952" s="431" t="s">
        <v>2257</v>
      </c>
      <c r="I952" s="431" t="s">
        <v>2258</v>
      </c>
      <c r="J952" s="432">
        <v>46234</v>
      </c>
    </row>
    <row r="953" spans="1:10">
      <c r="A953" s="431">
        <v>992</v>
      </c>
      <c r="B953" s="431" t="s">
        <v>2253</v>
      </c>
      <c r="C953" s="431" t="s">
        <v>2254</v>
      </c>
      <c r="D953" s="431" t="s">
        <v>4134</v>
      </c>
      <c r="E953" s="431" t="s">
        <v>4135</v>
      </c>
      <c r="F953" s="431">
        <v>4680</v>
      </c>
      <c r="G953" s="431" t="s">
        <v>21</v>
      </c>
      <c r="H953" s="431" t="s">
        <v>2257</v>
      </c>
      <c r="I953" s="431" t="s">
        <v>2258</v>
      </c>
      <c r="J953" s="432">
        <v>46234</v>
      </c>
    </row>
    <row r="954" spans="1:10">
      <c r="A954" s="431">
        <v>993</v>
      </c>
      <c r="B954" s="431" t="s">
        <v>2253</v>
      </c>
      <c r="C954" s="431" t="s">
        <v>2254</v>
      </c>
      <c r="D954" s="431" t="s">
        <v>4136</v>
      </c>
      <c r="E954" s="431" t="s">
        <v>4137</v>
      </c>
      <c r="F954" s="431">
        <v>529</v>
      </c>
      <c r="G954" s="431" t="s">
        <v>46</v>
      </c>
      <c r="H954" s="431" t="s">
        <v>2257</v>
      </c>
      <c r="I954" s="431" t="s">
        <v>2258</v>
      </c>
      <c r="J954" s="432">
        <v>46234</v>
      </c>
    </row>
    <row r="955" spans="1:10">
      <c r="A955" s="431">
        <v>994</v>
      </c>
      <c r="B955" s="431" t="s">
        <v>2253</v>
      </c>
      <c r="C955" s="431" t="s">
        <v>2254</v>
      </c>
      <c r="D955" s="431" t="s">
        <v>4138</v>
      </c>
      <c r="E955" s="431" t="s">
        <v>4139</v>
      </c>
      <c r="F955" s="431">
        <v>1158</v>
      </c>
      <c r="G955" s="431" t="s">
        <v>21</v>
      </c>
      <c r="H955" s="431" t="s">
        <v>2257</v>
      </c>
      <c r="I955" s="431" t="s">
        <v>2258</v>
      </c>
      <c r="J955" s="432">
        <v>46234</v>
      </c>
    </row>
    <row r="956" spans="1:10">
      <c r="A956" s="431">
        <v>995</v>
      </c>
      <c r="B956" s="431" t="s">
        <v>2253</v>
      </c>
      <c r="C956" s="431" t="s">
        <v>2254</v>
      </c>
      <c r="D956" s="431" t="s">
        <v>4140</v>
      </c>
      <c r="E956" s="431" t="s">
        <v>4141</v>
      </c>
      <c r="F956" s="431">
        <v>1640</v>
      </c>
      <c r="G956" s="431" t="s">
        <v>21</v>
      </c>
      <c r="H956" s="431" t="s">
        <v>2257</v>
      </c>
      <c r="I956" s="431" t="s">
        <v>2258</v>
      </c>
      <c r="J956" s="432">
        <v>46234</v>
      </c>
    </row>
    <row r="957" spans="1:10">
      <c r="A957" s="431">
        <v>996</v>
      </c>
      <c r="B957" s="431" t="s">
        <v>2253</v>
      </c>
      <c r="C957" s="431" t="s">
        <v>2254</v>
      </c>
      <c r="D957" s="431" t="s">
        <v>4142</v>
      </c>
      <c r="E957" s="431" t="s">
        <v>4143</v>
      </c>
      <c r="F957" s="431">
        <v>2050</v>
      </c>
      <c r="G957" s="431" t="s">
        <v>21</v>
      </c>
      <c r="H957" s="431" t="s">
        <v>2257</v>
      </c>
      <c r="I957" s="431" t="s">
        <v>2258</v>
      </c>
      <c r="J957" s="432">
        <v>46234</v>
      </c>
    </row>
    <row r="958" spans="1:10">
      <c r="A958" s="431">
        <v>997</v>
      </c>
      <c r="B958" s="431" t="s">
        <v>2253</v>
      </c>
      <c r="C958" s="431" t="s">
        <v>2254</v>
      </c>
      <c r="D958" s="431" t="s">
        <v>4144</v>
      </c>
      <c r="E958" s="431" t="s">
        <v>4145</v>
      </c>
      <c r="F958" s="431">
        <v>2740</v>
      </c>
      <c r="G958" s="431" t="s">
        <v>21</v>
      </c>
      <c r="H958" s="431" t="s">
        <v>2257</v>
      </c>
      <c r="I958" s="431" t="s">
        <v>2258</v>
      </c>
      <c r="J958" s="432">
        <v>46234</v>
      </c>
    </row>
    <row r="959" spans="1:10">
      <c r="A959" s="431">
        <v>998</v>
      </c>
      <c r="B959" s="431" t="s">
        <v>2253</v>
      </c>
      <c r="C959" s="431" t="s">
        <v>2254</v>
      </c>
      <c r="D959" s="431" t="s">
        <v>4146</v>
      </c>
      <c r="E959" s="431" t="s">
        <v>4147</v>
      </c>
      <c r="F959" s="431">
        <v>3478</v>
      </c>
      <c r="G959" s="431" t="s">
        <v>21</v>
      </c>
      <c r="H959" s="431" t="s">
        <v>2573</v>
      </c>
      <c r="I959" s="431" t="s">
        <v>2574</v>
      </c>
      <c r="J959" s="432">
        <v>46234</v>
      </c>
    </row>
    <row r="960" spans="1:10">
      <c r="A960" s="431">
        <v>999</v>
      </c>
      <c r="B960" s="431" t="s">
        <v>2253</v>
      </c>
      <c r="C960" s="431" t="s">
        <v>2254</v>
      </c>
      <c r="D960" s="431" t="s">
        <v>4148</v>
      </c>
      <c r="E960" s="431" t="s">
        <v>4149</v>
      </c>
      <c r="F960" s="431">
        <v>4015</v>
      </c>
      <c r="G960" s="431" t="s">
        <v>21</v>
      </c>
      <c r="H960" s="431" t="s">
        <v>2257</v>
      </c>
      <c r="I960" s="431" t="s">
        <v>2258</v>
      </c>
      <c r="J960" s="432">
        <v>46234</v>
      </c>
    </row>
    <row r="961" spans="1:10">
      <c r="A961" s="431">
        <v>1000</v>
      </c>
      <c r="B961" s="431" t="s">
        <v>2253</v>
      </c>
      <c r="C961" s="431" t="s">
        <v>2254</v>
      </c>
      <c r="D961" s="431" t="s">
        <v>4150</v>
      </c>
      <c r="E961" s="431" t="s">
        <v>4151</v>
      </c>
      <c r="F961" s="431">
        <v>4778</v>
      </c>
      <c r="G961" s="431" t="s">
        <v>21</v>
      </c>
      <c r="H961" s="431" t="s">
        <v>2257</v>
      </c>
      <c r="I961" s="431" t="s">
        <v>2258</v>
      </c>
      <c r="J961" s="432">
        <v>46234</v>
      </c>
    </row>
    <row r="962" spans="1:10">
      <c r="A962" s="431">
        <v>1001</v>
      </c>
      <c r="B962" s="431" t="s">
        <v>2253</v>
      </c>
      <c r="C962" s="431" t="s">
        <v>2254</v>
      </c>
      <c r="D962" s="431" t="s">
        <v>4152</v>
      </c>
      <c r="E962" s="431" t="s">
        <v>4153</v>
      </c>
      <c r="F962" s="431">
        <v>5657</v>
      </c>
      <c r="G962" s="431" t="s">
        <v>21</v>
      </c>
      <c r="H962" s="431" t="s">
        <v>2257</v>
      </c>
      <c r="I962" s="431" t="s">
        <v>2258</v>
      </c>
      <c r="J962" s="432">
        <v>46234</v>
      </c>
    </row>
    <row r="963" spans="1:10">
      <c r="A963" s="431">
        <v>1002</v>
      </c>
      <c r="B963" s="431" t="s">
        <v>2253</v>
      </c>
      <c r="C963" s="431" t="s">
        <v>2254</v>
      </c>
      <c r="D963" s="431" t="s">
        <v>4154</v>
      </c>
      <c r="E963" s="431" t="s">
        <v>4155</v>
      </c>
      <c r="F963" s="431">
        <v>6552</v>
      </c>
      <c r="G963" s="431" t="s">
        <v>21</v>
      </c>
      <c r="H963" s="431" t="s">
        <v>2257</v>
      </c>
      <c r="I963" s="431" t="s">
        <v>2258</v>
      </c>
      <c r="J963" s="432">
        <v>46234</v>
      </c>
    </row>
    <row r="964" spans="1:10">
      <c r="A964" s="431">
        <v>1003</v>
      </c>
      <c r="B964" s="431" t="s">
        <v>2253</v>
      </c>
      <c r="C964" s="431" t="s">
        <v>2254</v>
      </c>
      <c r="D964" s="431" t="s">
        <v>4156</v>
      </c>
      <c r="E964" s="431" t="s">
        <v>4157</v>
      </c>
      <c r="F964" s="431">
        <v>8573</v>
      </c>
      <c r="G964" s="431" t="s">
        <v>21</v>
      </c>
      <c r="H964" s="431" t="s">
        <v>2257</v>
      </c>
      <c r="I964" s="431" t="s">
        <v>2258</v>
      </c>
      <c r="J964" s="432">
        <v>46234</v>
      </c>
    </row>
    <row r="965" spans="1:10">
      <c r="A965" s="431">
        <v>1004</v>
      </c>
      <c r="B965" s="431" t="s">
        <v>2253</v>
      </c>
      <c r="C965" s="431" t="s">
        <v>2254</v>
      </c>
      <c r="D965" s="431" t="s">
        <v>4158</v>
      </c>
      <c r="E965" s="431" t="s">
        <v>4159</v>
      </c>
      <c r="F965" s="431">
        <v>11643</v>
      </c>
      <c r="G965" s="431" t="s">
        <v>21</v>
      </c>
      <c r="H965" s="431" t="s">
        <v>2257</v>
      </c>
      <c r="I965" s="431" t="s">
        <v>2258</v>
      </c>
      <c r="J965" s="432">
        <v>46234</v>
      </c>
    </row>
    <row r="966" spans="1:10">
      <c r="A966" s="431">
        <v>1005</v>
      </c>
      <c r="B966" s="431" t="s">
        <v>2253</v>
      </c>
      <c r="C966" s="431" t="s">
        <v>2254</v>
      </c>
      <c r="D966" s="431" t="s">
        <v>4160</v>
      </c>
      <c r="E966" s="431" t="s">
        <v>4161</v>
      </c>
      <c r="F966" s="431">
        <v>14980</v>
      </c>
      <c r="G966" s="431" t="s">
        <v>21</v>
      </c>
      <c r="H966" s="431" t="s">
        <v>2257</v>
      </c>
      <c r="I966" s="431" t="s">
        <v>2258</v>
      </c>
      <c r="J966" s="432">
        <v>46234</v>
      </c>
    </row>
    <row r="967" spans="1:10">
      <c r="A967" s="431">
        <v>1006</v>
      </c>
      <c r="B967" s="431" t="s">
        <v>2253</v>
      </c>
      <c r="C967" s="431" t="s">
        <v>2254</v>
      </c>
      <c r="D967" s="431" t="s">
        <v>4162</v>
      </c>
      <c r="E967" s="431" t="s">
        <v>4163</v>
      </c>
      <c r="F967" s="431">
        <v>18446</v>
      </c>
      <c r="G967" s="431" t="s">
        <v>21</v>
      </c>
      <c r="H967" s="431" t="s">
        <v>2257</v>
      </c>
      <c r="I967" s="431" t="s">
        <v>2258</v>
      </c>
      <c r="J967" s="432">
        <v>46234</v>
      </c>
    </row>
    <row r="968" spans="1:10">
      <c r="A968" s="431">
        <v>1007</v>
      </c>
      <c r="B968" s="431" t="s">
        <v>2253</v>
      </c>
      <c r="C968" s="431" t="s">
        <v>2254</v>
      </c>
      <c r="D968" s="431" t="s">
        <v>4164</v>
      </c>
      <c r="E968" s="431" t="s">
        <v>4165</v>
      </c>
      <c r="F968" s="431">
        <v>22030</v>
      </c>
      <c r="G968" s="431" t="s">
        <v>21</v>
      </c>
      <c r="H968" s="431" t="s">
        <v>2257</v>
      </c>
      <c r="I968" s="431" t="s">
        <v>2258</v>
      </c>
      <c r="J968" s="432">
        <v>46234</v>
      </c>
    </row>
    <row r="969" spans="1:10">
      <c r="A969" s="431">
        <v>1008</v>
      </c>
      <c r="B969" s="431" t="s">
        <v>2253</v>
      </c>
      <c r="C969" s="431" t="s">
        <v>2254</v>
      </c>
      <c r="D969" s="431" t="s">
        <v>4166</v>
      </c>
      <c r="E969" s="431" t="s">
        <v>4167</v>
      </c>
      <c r="F969" s="431">
        <v>1332</v>
      </c>
      <c r="G969" s="431" t="s">
        <v>21</v>
      </c>
      <c r="H969" s="431" t="s">
        <v>2257</v>
      </c>
      <c r="I969" s="431" t="s">
        <v>2258</v>
      </c>
      <c r="J969" s="432">
        <v>46234</v>
      </c>
    </row>
    <row r="970" spans="1:10">
      <c r="A970" s="431">
        <v>1009</v>
      </c>
      <c r="B970" s="431" t="s">
        <v>2253</v>
      </c>
      <c r="C970" s="431" t="s">
        <v>2254</v>
      </c>
      <c r="D970" s="431" t="s">
        <v>4168</v>
      </c>
      <c r="E970" s="431" t="s">
        <v>4169</v>
      </c>
      <c r="F970" s="431">
        <v>1895</v>
      </c>
      <c r="G970" s="431" t="s">
        <v>21</v>
      </c>
      <c r="H970" s="431" t="s">
        <v>2257</v>
      </c>
      <c r="I970" s="431" t="s">
        <v>2258</v>
      </c>
      <c r="J970" s="432">
        <v>46234</v>
      </c>
    </row>
    <row r="971" spans="1:10">
      <c r="A971" s="431">
        <v>1010</v>
      </c>
      <c r="B971" s="431" t="s">
        <v>2253</v>
      </c>
      <c r="C971" s="431" t="s">
        <v>2254</v>
      </c>
      <c r="D971" s="431" t="s">
        <v>4170</v>
      </c>
      <c r="E971" s="431" t="s">
        <v>4171</v>
      </c>
      <c r="F971" s="431">
        <v>2491</v>
      </c>
      <c r="G971" s="431" t="s">
        <v>21</v>
      </c>
      <c r="H971" s="431" t="s">
        <v>2257</v>
      </c>
      <c r="I971" s="431" t="s">
        <v>2258</v>
      </c>
      <c r="J971" s="432">
        <v>46234</v>
      </c>
    </row>
    <row r="972" spans="1:10">
      <c r="A972" s="431">
        <v>1011</v>
      </c>
      <c r="B972" s="431" t="s">
        <v>2253</v>
      </c>
      <c r="C972" s="431" t="s">
        <v>2254</v>
      </c>
      <c r="D972" s="431" t="s">
        <v>4172</v>
      </c>
      <c r="E972" s="431" t="s">
        <v>4173</v>
      </c>
      <c r="F972" s="431">
        <v>3326</v>
      </c>
      <c r="G972" s="431" t="s">
        <v>21</v>
      </c>
      <c r="H972" s="431" t="s">
        <v>2257</v>
      </c>
      <c r="I972" s="431" t="s">
        <v>2258</v>
      </c>
      <c r="J972" s="432">
        <v>46234</v>
      </c>
    </row>
    <row r="973" spans="1:10">
      <c r="A973" s="431">
        <v>1012</v>
      </c>
      <c r="B973" s="431" t="s">
        <v>2253</v>
      </c>
      <c r="C973" s="431" t="s">
        <v>2254</v>
      </c>
      <c r="D973" s="431" t="s">
        <v>4174</v>
      </c>
      <c r="E973" s="431" t="s">
        <v>4175</v>
      </c>
      <c r="F973" s="431">
        <v>4212</v>
      </c>
      <c r="G973" s="431" t="s">
        <v>21</v>
      </c>
      <c r="H973" s="431" t="s">
        <v>2257</v>
      </c>
      <c r="I973" s="431" t="s">
        <v>2258</v>
      </c>
      <c r="J973" s="432">
        <v>46234</v>
      </c>
    </row>
    <row r="974" spans="1:10">
      <c r="A974" s="431">
        <v>1013</v>
      </c>
      <c r="B974" s="431" t="s">
        <v>2253</v>
      </c>
      <c r="C974" s="431" t="s">
        <v>2254</v>
      </c>
      <c r="D974" s="431" t="s">
        <v>4176</v>
      </c>
      <c r="E974" s="431" t="s">
        <v>4177</v>
      </c>
      <c r="F974" s="431">
        <v>4904</v>
      </c>
      <c r="G974" s="431" t="s">
        <v>21</v>
      </c>
      <c r="H974" s="431" t="s">
        <v>2257</v>
      </c>
      <c r="I974" s="431" t="s">
        <v>2258</v>
      </c>
      <c r="J974" s="432">
        <v>46234</v>
      </c>
    </row>
    <row r="975" spans="1:10">
      <c r="A975" s="431">
        <v>1014</v>
      </c>
      <c r="B975" s="431" t="s">
        <v>2253</v>
      </c>
      <c r="C975" s="431" t="s">
        <v>2254</v>
      </c>
      <c r="D975" s="431" t="s">
        <v>4178</v>
      </c>
      <c r="E975" s="431" t="s">
        <v>4179</v>
      </c>
      <c r="F975" s="431">
        <v>5720</v>
      </c>
      <c r="G975" s="431" t="s">
        <v>21</v>
      </c>
      <c r="H975" s="431" t="s">
        <v>2257</v>
      </c>
      <c r="I975" s="431" t="s">
        <v>2258</v>
      </c>
      <c r="J975" s="432">
        <v>46234</v>
      </c>
    </row>
    <row r="976" spans="1:10">
      <c r="A976" s="431">
        <v>1015</v>
      </c>
      <c r="B976" s="431" t="s">
        <v>2253</v>
      </c>
      <c r="C976" s="431" t="s">
        <v>2254</v>
      </c>
      <c r="D976" s="431" t="s">
        <v>4180</v>
      </c>
      <c r="E976" s="431" t="s">
        <v>4181</v>
      </c>
      <c r="F976" s="431">
        <v>6870</v>
      </c>
      <c r="G976" s="431" t="s">
        <v>21</v>
      </c>
      <c r="H976" s="431" t="s">
        <v>2257</v>
      </c>
      <c r="I976" s="431" t="s">
        <v>2258</v>
      </c>
      <c r="J976" s="432">
        <v>46234</v>
      </c>
    </row>
    <row r="977" spans="1:10">
      <c r="A977" s="431">
        <v>1016</v>
      </c>
      <c r="B977" s="431" t="s">
        <v>2253</v>
      </c>
      <c r="C977" s="431" t="s">
        <v>2254</v>
      </c>
      <c r="D977" s="431" t="s">
        <v>4182</v>
      </c>
      <c r="E977" s="431" t="s">
        <v>4183</v>
      </c>
      <c r="F977" s="431">
        <v>7930</v>
      </c>
      <c r="G977" s="431" t="s">
        <v>21</v>
      </c>
      <c r="H977" s="431" t="s">
        <v>2257</v>
      </c>
      <c r="I977" s="431" t="s">
        <v>2258</v>
      </c>
      <c r="J977" s="432">
        <v>46234</v>
      </c>
    </row>
    <row r="978" spans="1:10">
      <c r="A978" s="431">
        <v>1017</v>
      </c>
      <c r="B978" s="431" t="s">
        <v>2253</v>
      </c>
      <c r="C978" s="431" t="s">
        <v>2254</v>
      </c>
      <c r="D978" s="431" t="s">
        <v>4184</v>
      </c>
      <c r="E978" s="431" t="s">
        <v>4185</v>
      </c>
      <c r="F978" s="431">
        <v>10512</v>
      </c>
      <c r="G978" s="431" t="s">
        <v>21</v>
      </c>
      <c r="H978" s="431" t="s">
        <v>2257</v>
      </c>
      <c r="I978" s="431" t="s">
        <v>2258</v>
      </c>
      <c r="J978" s="432">
        <v>46234</v>
      </c>
    </row>
    <row r="979" spans="1:10">
      <c r="A979" s="431">
        <v>1018</v>
      </c>
      <c r="B979" s="431" t="s">
        <v>2253</v>
      </c>
      <c r="C979" s="431" t="s">
        <v>2254</v>
      </c>
      <c r="D979" s="431" t="s">
        <v>4186</v>
      </c>
      <c r="E979" s="431" t="s">
        <v>4187</v>
      </c>
      <c r="F979" s="431">
        <v>13267</v>
      </c>
      <c r="G979" s="431" t="s">
        <v>21</v>
      </c>
      <c r="H979" s="431" t="s">
        <v>2257</v>
      </c>
      <c r="I979" s="431" t="s">
        <v>2258</v>
      </c>
      <c r="J979" s="432">
        <v>46234</v>
      </c>
    </row>
    <row r="980" spans="1:10">
      <c r="A980" s="431">
        <v>1019</v>
      </c>
      <c r="B980" s="431" t="s">
        <v>2253</v>
      </c>
      <c r="C980" s="431" t="s">
        <v>2254</v>
      </c>
      <c r="D980" s="431" t="s">
        <v>4188</v>
      </c>
      <c r="E980" s="431" t="s">
        <v>4189</v>
      </c>
      <c r="F980" s="431">
        <v>14934</v>
      </c>
      <c r="G980" s="431" t="s">
        <v>21</v>
      </c>
      <c r="H980" s="431" t="s">
        <v>2257</v>
      </c>
      <c r="I980" s="431" t="s">
        <v>2258</v>
      </c>
      <c r="J980" s="432">
        <v>46234</v>
      </c>
    </row>
    <row r="981" spans="1:10">
      <c r="A981" s="431">
        <v>1020</v>
      </c>
      <c r="B981" s="431" t="s">
        <v>2253</v>
      </c>
      <c r="C981" s="431" t="s">
        <v>2254</v>
      </c>
      <c r="D981" s="431" t="s">
        <v>4190</v>
      </c>
      <c r="E981" s="431" t="s">
        <v>4191</v>
      </c>
      <c r="F981" s="431">
        <v>16272</v>
      </c>
      <c r="G981" s="431" t="s">
        <v>21</v>
      </c>
      <c r="H981" s="431" t="s">
        <v>2257</v>
      </c>
      <c r="I981" s="431" t="s">
        <v>2258</v>
      </c>
      <c r="J981" s="432">
        <v>46234</v>
      </c>
    </row>
    <row r="982" spans="1:10">
      <c r="A982" s="431">
        <v>1021</v>
      </c>
      <c r="B982" s="431" t="s">
        <v>2253</v>
      </c>
      <c r="C982" s="431" t="s">
        <v>2254</v>
      </c>
      <c r="D982" s="431" t="s">
        <v>4192</v>
      </c>
      <c r="E982" s="431" t="s">
        <v>4193</v>
      </c>
      <c r="F982" s="431">
        <v>20178</v>
      </c>
      <c r="G982" s="431" t="s">
        <v>21</v>
      </c>
      <c r="H982" s="431" t="s">
        <v>2257</v>
      </c>
      <c r="I982" s="431" t="s">
        <v>2258</v>
      </c>
      <c r="J982" s="432">
        <v>46234</v>
      </c>
    </row>
    <row r="983" spans="1:10">
      <c r="A983" s="431">
        <v>1022</v>
      </c>
      <c r="B983" s="431" t="s">
        <v>2253</v>
      </c>
      <c r="C983" s="431" t="s">
        <v>2254</v>
      </c>
      <c r="D983" s="431" t="s">
        <v>4194</v>
      </c>
      <c r="E983" s="431" t="s">
        <v>4195</v>
      </c>
      <c r="F983" s="431">
        <v>24108</v>
      </c>
      <c r="G983" s="431" t="s">
        <v>21</v>
      </c>
      <c r="H983" s="431" t="s">
        <v>2257</v>
      </c>
      <c r="I983" s="431" t="s">
        <v>2258</v>
      </c>
      <c r="J983" s="432">
        <v>46234</v>
      </c>
    </row>
    <row r="984" spans="1:10">
      <c r="A984" s="431">
        <v>1023</v>
      </c>
      <c r="B984" s="431" t="s">
        <v>2253</v>
      </c>
      <c r="C984" s="431" t="s">
        <v>2254</v>
      </c>
      <c r="D984" s="431" t="s">
        <v>4196</v>
      </c>
      <c r="E984" s="431" t="s">
        <v>4197</v>
      </c>
      <c r="F984" s="431">
        <v>29763</v>
      </c>
      <c r="G984" s="431" t="s">
        <v>21</v>
      </c>
      <c r="H984" s="431" t="s">
        <v>2257</v>
      </c>
      <c r="I984" s="431" t="s">
        <v>2258</v>
      </c>
      <c r="J984" s="432">
        <v>46234</v>
      </c>
    </row>
    <row r="985" spans="1:10">
      <c r="A985" s="431">
        <v>1024</v>
      </c>
      <c r="B985" s="431" t="s">
        <v>2253</v>
      </c>
      <c r="C985" s="431" t="s">
        <v>2254</v>
      </c>
      <c r="D985" s="431" t="s">
        <v>2196</v>
      </c>
      <c r="E985" s="431" t="s">
        <v>4198</v>
      </c>
      <c r="F985" s="431">
        <v>54</v>
      </c>
      <c r="G985" s="431" t="s">
        <v>21</v>
      </c>
      <c r="H985" s="431" t="s">
        <v>2257</v>
      </c>
      <c r="I985" s="431" t="s">
        <v>2258</v>
      </c>
      <c r="J985" s="432">
        <v>46234</v>
      </c>
    </row>
    <row r="986" spans="1:10">
      <c r="A986" s="431">
        <v>1025</v>
      </c>
      <c r="B986" s="431" t="s">
        <v>2253</v>
      </c>
      <c r="C986" s="431" t="s">
        <v>2254</v>
      </c>
      <c r="D986" s="431" t="s">
        <v>2198</v>
      </c>
      <c r="E986" s="431" t="s">
        <v>2199</v>
      </c>
      <c r="F986" s="431">
        <v>87</v>
      </c>
      <c r="G986" s="431" t="s">
        <v>21</v>
      </c>
      <c r="H986" s="431" t="s">
        <v>2257</v>
      </c>
      <c r="I986" s="431" t="s">
        <v>2258</v>
      </c>
      <c r="J986" s="432">
        <v>46234</v>
      </c>
    </row>
    <row r="987" spans="1:10">
      <c r="A987" s="431">
        <v>1026</v>
      </c>
      <c r="B987" s="431" t="s">
        <v>2253</v>
      </c>
      <c r="C987" s="431" t="s">
        <v>2254</v>
      </c>
      <c r="D987" s="431" t="s">
        <v>4199</v>
      </c>
      <c r="E987" s="431" t="s">
        <v>4200</v>
      </c>
      <c r="F987" s="431">
        <v>123</v>
      </c>
      <c r="G987" s="431" t="s">
        <v>21</v>
      </c>
      <c r="H987" s="431" t="s">
        <v>2257</v>
      </c>
      <c r="I987" s="431" t="s">
        <v>2258</v>
      </c>
      <c r="J987" s="432">
        <v>46234</v>
      </c>
    </row>
    <row r="988" spans="1:10">
      <c r="A988" s="431">
        <v>1027</v>
      </c>
      <c r="B988" s="431" t="s">
        <v>2253</v>
      </c>
      <c r="C988" s="431" t="s">
        <v>2254</v>
      </c>
      <c r="D988" s="431" t="s">
        <v>4201</v>
      </c>
      <c r="E988" s="431" t="s">
        <v>4202</v>
      </c>
      <c r="F988" s="431">
        <v>174</v>
      </c>
      <c r="G988" s="431" t="s">
        <v>21</v>
      </c>
      <c r="H988" s="431" t="s">
        <v>2257</v>
      </c>
      <c r="I988" s="431" t="s">
        <v>2258</v>
      </c>
      <c r="J988" s="432">
        <v>46234</v>
      </c>
    </row>
    <row r="989" spans="1:10">
      <c r="A989" s="431">
        <v>1028</v>
      </c>
      <c r="B989" s="431" t="s">
        <v>2253</v>
      </c>
      <c r="C989" s="431" t="s">
        <v>2254</v>
      </c>
      <c r="D989" s="431" t="s">
        <v>4203</v>
      </c>
      <c r="E989" s="431" t="s">
        <v>4204</v>
      </c>
      <c r="F989" s="431">
        <v>260</v>
      </c>
      <c r="G989" s="431" t="s">
        <v>21</v>
      </c>
      <c r="H989" s="431" t="s">
        <v>2257</v>
      </c>
      <c r="I989" s="431" t="s">
        <v>2258</v>
      </c>
      <c r="J989" s="432">
        <v>46234</v>
      </c>
    </row>
    <row r="990" spans="1:10">
      <c r="A990" s="431">
        <v>1029</v>
      </c>
      <c r="B990" s="431" t="s">
        <v>2253</v>
      </c>
      <c r="C990" s="431" t="s">
        <v>2254</v>
      </c>
      <c r="D990" s="431" t="s">
        <v>4205</v>
      </c>
      <c r="E990" s="431" t="s">
        <v>4206</v>
      </c>
      <c r="F990" s="431">
        <v>336</v>
      </c>
      <c r="G990" s="431" t="s">
        <v>21</v>
      </c>
      <c r="H990" s="431" t="s">
        <v>2257</v>
      </c>
      <c r="I990" s="431" t="s">
        <v>2258</v>
      </c>
      <c r="J990" s="432">
        <v>46234</v>
      </c>
    </row>
    <row r="991" spans="1:10">
      <c r="A991" s="431">
        <v>1030</v>
      </c>
      <c r="B991" s="431" t="s">
        <v>2253</v>
      </c>
      <c r="C991" s="431" t="s">
        <v>2254</v>
      </c>
      <c r="D991" s="431" t="s">
        <v>4207</v>
      </c>
      <c r="E991" s="431" t="s">
        <v>4208</v>
      </c>
      <c r="F991" s="431">
        <v>422</v>
      </c>
      <c r="G991" s="431" t="s">
        <v>21</v>
      </c>
      <c r="H991" s="431" t="s">
        <v>2257</v>
      </c>
      <c r="I991" s="431" t="s">
        <v>2258</v>
      </c>
      <c r="J991" s="432">
        <v>46234</v>
      </c>
    </row>
    <row r="992" spans="1:10">
      <c r="A992" s="431">
        <v>1031</v>
      </c>
      <c r="B992" s="431" t="s">
        <v>2253</v>
      </c>
      <c r="C992" s="431" t="s">
        <v>2254</v>
      </c>
      <c r="D992" s="431" t="s">
        <v>4209</v>
      </c>
      <c r="E992" s="431" t="s">
        <v>4210</v>
      </c>
      <c r="F992" s="431">
        <v>551</v>
      </c>
      <c r="G992" s="431" t="s">
        <v>21</v>
      </c>
      <c r="H992" s="431" t="s">
        <v>2257</v>
      </c>
      <c r="I992" s="431" t="s">
        <v>2258</v>
      </c>
      <c r="J992" s="432">
        <v>46234</v>
      </c>
    </row>
    <row r="993" spans="1:10">
      <c r="A993" s="431">
        <v>1032</v>
      </c>
      <c r="B993" s="431" t="s">
        <v>2253</v>
      </c>
      <c r="C993" s="431" t="s">
        <v>2254</v>
      </c>
      <c r="D993" s="431" t="s">
        <v>4211</v>
      </c>
      <c r="E993" s="431" t="s">
        <v>4212</v>
      </c>
      <c r="F993" s="431">
        <v>691</v>
      </c>
      <c r="G993" s="431" t="s">
        <v>21</v>
      </c>
      <c r="H993" s="431" t="s">
        <v>2257</v>
      </c>
      <c r="I993" s="431" t="s">
        <v>2258</v>
      </c>
      <c r="J993" s="432">
        <v>46234</v>
      </c>
    </row>
    <row r="994" spans="1:10">
      <c r="A994" s="431">
        <v>1033</v>
      </c>
      <c r="B994" s="431" t="s">
        <v>2253</v>
      </c>
      <c r="C994" s="431" t="s">
        <v>2254</v>
      </c>
      <c r="D994" s="431" t="s">
        <v>4213</v>
      </c>
      <c r="E994" s="431" t="s">
        <v>4214</v>
      </c>
      <c r="F994" s="431">
        <v>854</v>
      </c>
      <c r="G994" s="431" t="s">
        <v>21</v>
      </c>
      <c r="H994" s="431" t="s">
        <v>2257</v>
      </c>
      <c r="I994" s="431" t="s">
        <v>2258</v>
      </c>
      <c r="J994" s="432">
        <v>46234</v>
      </c>
    </row>
    <row r="995" spans="1:10">
      <c r="A995" s="431">
        <v>1034</v>
      </c>
      <c r="B995" s="431" t="s">
        <v>2253</v>
      </c>
      <c r="C995" s="431" t="s">
        <v>2254</v>
      </c>
      <c r="D995" s="431" t="s">
        <v>4215</v>
      </c>
      <c r="E995" s="431" t="s">
        <v>4216</v>
      </c>
      <c r="F995" s="431">
        <v>1084</v>
      </c>
      <c r="G995" s="431" t="s">
        <v>21</v>
      </c>
      <c r="H995" s="431" t="s">
        <v>2257</v>
      </c>
      <c r="I995" s="431" t="s">
        <v>2258</v>
      </c>
      <c r="J995" s="432">
        <v>46234</v>
      </c>
    </row>
    <row r="996" spans="1:10">
      <c r="A996" s="431">
        <v>1035</v>
      </c>
      <c r="B996" s="431" t="s">
        <v>2253</v>
      </c>
      <c r="C996" s="431" t="s">
        <v>2254</v>
      </c>
      <c r="D996" s="431" t="s">
        <v>4217</v>
      </c>
      <c r="E996" s="431" t="s">
        <v>4218</v>
      </c>
      <c r="F996" s="431">
        <v>1338</v>
      </c>
      <c r="G996" s="431" t="s">
        <v>21</v>
      </c>
      <c r="H996" s="431" t="s">
        <v>2257</v>
      </c>
      <c r="I996" s="431" t="s">
        <v>2258</v>
      </c>
      <c r="J996" s="432">
        <v>46234</v>
      </c>
    </row>
    <row r="997" spans="1:10">
      <c r="A997" s="431">
        <v>1036</v>
      </c>
      <c r="B997" s="431" t="s">
        <v>2253</v>
      </c>
      <c r="C997" s="431" t="s">
        <v>2254</v>
      </c>
      <c r="D997" s="431" t="s">
        <v>4219</v>
      </c>
      <c r="E997" s="431" t="s">
        <v>4220</v>
      </c>
      <c r="F997" s="431">
        <v>1672</v>
      </c>
      <c r="G997" s="431" t="s">
        <v>21</v>
      </c>
      <c r="H997" s="431" t="s">
        <v>2257</v>
      </c>
      <c r="I997" s="431" t="s">
        <v>2258</v>
      </c>
      <c r="J997" s="432">
        <v>46234</v>
      </c>
    </row>
    <row r="998" spans="1:10">
      <c r="A998" s="431">
        <v>1037</v>
      </c>
      <c r="B998" s="431" t="s">
        <v>2253</v>
      </c>
      <c r="C998" s="431" t="s">
        <v>2254</v>
      </c>
      <c r="D998" s="431" t="s">
        <v>4221</v>
      </c>
      <c r="E998" s="431" t="s">
        <v>4222</v>
      </c>
      <c r="F998" s="431">
        <v>2118</v>
      </c>
      <c r="G998" s="431" t="s">
        <v>21</v>
      </c>
      <c r="H998" s="431" t="s">
        <v>2257</v>
      </c>
      <c r="I998" s="431" t="s">
        <v>2258</v>
      </c>
      <c r="J998" s="432">
        <v>46234</v>
      </c>
    </row>
    <row r="999" spans="1:10">
      <c r="A999" s="431">
        <v>1038</v>
      </c>
      <c r="B999" s="431" t="s">
        <v>2253</v>
      </c>
      <c r="C999" s="431" t="s">
        <v>2254</v>
      </c>
      <c r="D999" s="431" t="s">
        <v>4223</v>
      </c>
      <c r="E999" s="431" t="s">
        <v>4224</v>
      </c>
      <c r="F999" s="431">
        <v>3076</v>
      </c>
      <c r="G999" s="431" t="s">
        <v>21</v>
      </c>
      <c r="H999" s="431" t="s">
        <v>2257</v>
      </c>
      <c r="I999" s="431" t="s">
        <v>2258</v>
      </c>
      <c r="J999" s="432">
        <v>46234</v>
      </c>
    </row>
    <row r="1000" spans="1:10">
      <c r="A1000" s="431">
        <v>1039</v>
      </c>
      <c r="B1000" s="431" t="s">
        <v>2253</v>
      </c>
      <c r="C1000" s="431" t="s">
        <v>2254</v>
      </c>
      <c r="D1000" s="431" t="s">
        <v>4225</v>
      </c>
      <c r="E1000" s="431" t="s">
        <v>4226</v>
      </c>
      <c r="F1000" s="431">
        <v>3914</v>
      </c>
      <c r="G1000" s="431" t="s">
        <v>21</v>
      </c>
      <c r="H1000" s="431" t="s">
        <v>2257</v>
      </c>
      <c r="I1000" s="431" t="s">
        <v>2258</v>
      </c>
      <c r="J1000" s="432">
        <v>46234</v>
      </c>
    </row>
    <row r="1001" spans="1:10">
      <c r="A1001" s="431">
        <v>1040</v>
      </c>
      <c r="B1001" s="431" t="s">
        <v>2253</v>
      </c>
      <c r="C1001" s="431" t="s">
        <v>2254</v>
      </c>
      <c r="D1001" s="431" t="s">
        <v>4227</v>
      </c>
      <c r="E1001" s="431" t="s">
        <v>4228</v>
      </c>
      <c r="F1001" s="431">
        <v>4944</v>
      </c>
      <c r="G1001" s="431" t="s">
        <v>21</v>
      </c>
      <c r="H1001" s="431" t="s">
        <v>2257</v>
      </c>
      <c r="I1001" s="431" t="s">
        <v>2258</v>
      </c>
      <c r="J1001" s="432">
        <v>46234</v>
      </c>
    </row>
    <row r="1002" spans="1:10">
      <c r="A1002" s="431">
        <v>1041</v>
      </c>
      <c r="B1002" s="431" t="s">
        <v>2253</v>
      </c>
      <c r="C1002" s="431" t="s">
        <v>2254</v>
      </c>
      <c r="D1002" s="431" t="s">
        <v>4229</v>
      </c>
      <c r="E1002" s="431" t="s">
        <v>4230</v>
      </c>
      <c r="F1002" s="431">
        <v>6113</v>
      </c>
      <c r="G1002" s="431" t="s">
        <v>21</v>
      </c>
      <c r="H1002" s="431" t="s">
        <v>2257</v>
      </c>
      <c r="I1002" s="431" t="s">
        <v>2258</v>
      </c>
      <c r="J1002" s="432">
        <v>46234</v>
      </c>
    </row>
    <row r="1003" spans="1:10">
      <c r="A1003" s="431">
        <v>1042</v>
      </c>
      <c r="B1003" s="431" t="s">
        <v>2253</v>
      </c>
      <c r="C1003" s="431" t="s">
        <v>2254</v>
      </c>
      <c r="D1003" s="431" t="s">
        <v>4231</v>
      </c>
      <c r="E1003" s="431" t="s">
        <v>4232</v>
      </c>
      <c r="F1003" s="431">
        <v>7653</v>
      </c>
      <c r="G1003" s="431" t="s">
        <v>21</v>
      </c>
      <c r="H1003" s="431" t="s">
        <v>2257</v>
      </c>
      <c r="I1003" s="431" t="s">
        <v>2258</v>
      </c>
      <c r="J1003" s="432">
        <v>46234</v>
      </c>
    </row>
    <row r="1004" spans="1:10">
      <c r="A1004" s="431">
        <v>1043</v>
      </c>
      <c r="B1004" s="431" t="s">
        <v>2253</v>
      </c>
      <c r="C1004" s="431" t="s">
        <v>2254</v>
      </c>
      <c r="D1004" s="431" t="s">
        <v>4233</v>
      </c>
      <c r="E1004" s="431" t="s">
        <v>4234</v>
      </c>
      <c r="F1004" s="431">
        <v>9677</v>
      </c>
      <c r="G1004" s="431" t="s">
        <v>21</v>
      </c>
      <c r="H1004" s="431" t="s">
        <v>2257</v>
      </c>
      <c r="I1004" s="431" t="s">
        <v>2258</v>
      </c>
      <c r="J1004" s="432">
        <v>46234</v>
      </c>
    </row>
    <row r="1005" spans="1:10">
      <c r="A1005" s="431">
        <v>1044</v>
      </c>
      <c r="B1005" s="431" t="s">
        <v>2253</v>
      </c>
      <c r="C1005" s="431" t="s">
        <v>2254</v>
      </c>
      <c r="D1005" s="431" t="s">
        <v>4235</v>
      </c>
      <c r="E1005" s="431" t="s">
        <v>4236</v>
      </c>
      <c r="F1005" s="431">
        <v>66</v>
      </c>
      <c r="G1005" s="431" t="s">
        <v>21</v>
      </c>
      <c r="H1005" s="431" t="s">
        <v>2257</v>
      </c>
      <c r="I1005" s="431" t="s">
        <v>2258</v>
      </c>
      <c r="J1005" s="432">
        <v>46234</v>
      </c>
    </row>
    <row r="1006" spans="1:10">
      <c r="A1006" s="431">
        <v>1045</v>
      </c>
      <c r="B1006" s="431" t="s">
        <v>2253</v>
      </c>
      <c r="C1006" s="431" t="s">
        <v>2254</v>
      </c>
      <c r="D1006" s="431" t="s">
        <v>4237</v>
      </c>
      <c r="E1006" s="431" t="s">
        <v>4238</v>
      </c>
      <c r="F1006" s="431">
        <v>106</v>
      </c>
      <c r="G1006" s="431" t="s">
        <v>21</v>
      </c>
      <c r="H1006" s="431" t="s">
        <v>2257</v>
      </c>
      <c r="I1006" s="431" t="s">
        <v>2258</v>
      </c>
      <c r="J1006" s="432">
        <v>46234</v>
      </c>
    </row>
    <row r="1007" spans="1:10">
      <c r="A1007" s="431">
        <v>1046</v>
      </c>
      <c r="B1007" s="431" t="s">
        <v>2253</v>
      </c>
      <c r="C1007" s="431" t="s">
        <v>2254</v>
      </c>
      <c r="D1007" s="431" t="s">
        <v>4239</v>
      </c>
      <c r="E1007" s="431" t="s">
        <v>4240</v>
      </c>
      <c r="F1007" s="431">
        <v>150</v>
      </c>
      <c r="G1007" s="431" t="s">
        <v>21</v>
      </c>
      <c r="H1007" s="431" t="s">
        <v>2257</v>
      </c>
      <c r="I1007" s="431" t="s">
        <v>2258</v>
      </c>
      <c r="J1007" s="432">
        <v>46234</v>
      </c>
    </row>
    <row r="1008" spans="1:10">
      <c r="A1008" s="431">
        <v>1047</v>
      </c>
      <c r="B1008" s="431" t="s">
        <v>2253</v>
      </c>
      <c r="C1008" s="431" t="s">
        <v>2254</v>
      </c>
      <c r="D1008" s="431" t="s">
        <v>4241</v>
      </c>
      <c r="E1008" s="431" t="s">
        <v>4242</v>
      </c>
      <c r="F1008" s="431">
        <v>215</v>
      </c>
      <c r="G1008" s="431" t="s">
        <v>21</v>
      </c>
      <c r="H1008" s="431" t="s">
        <v>2257</v>
      </c>
      <c r="I1008" s="431" t="s">
        <v>2258</v>
      </c>
      <c r="J1008" s="432">
        <v>46234</v>
      </c>
    </row>
    <row r="1009" spans="1:10">
      <c r="A1009" s="431">
        <v>1048</v>
      </c>
      <c r="B1009" s="431" t="s">
        <v>2253</v>
      </c>
      <c r="C1009" s="431" t="s">
        <v>2254</v>
      </c>
      <c r="D1009" s="431" t="s">
        <v>4243</v>
      </c>
      <c r="E1009" s="431" t="s">
        <v>4244</v>
      </c>
      <c r="F1009" s="431">
        <v>319</v>
      </c>
      <c r="G1009" s="431" t="s">
        <v>21</v>
      </c>
      <c r="H1009" s="431" t="s">
        <v>2257</v>
      </c>
      <c r="I1009" s="431" t="s">
        <v>2258</v>
      </c>
      <c r="J1009" s="432">
        <v>46234</v>
      </c>
    </row>
    <row r="1010" spans="1:10">
      <c r="A1010" s="431">
        <v>1049</v>
      </c>
      <c r="B1010" s="431" t="s">
        <v>2253</v>
      </c>
      <c r="C1010" s="431" t="s">
        <v>2254</v>
      </c>
      <c r="D1010" s="431" t="s">
        <v>4245</v>
      </c>
      <c r="E1010" s="431" t="s">
        <v>4246</v>
      </c>
      <c r="F1010" s="431">
        <v>411</v>
      </c>
      <c r="G1010" s="431" t="s">
        <v>21</v>
      </c>
      <c r="H1010" s="431" t="s">
        <v>2257</v>
      </c>
      <c r="I1010" s="431" t="s">
        <v>2258</v>
      </c>
      <c r="J1010" s="432">
        <v>46234</v>
      </c>
    </row>
    <row r="1011" spans="1:10">
      <c r="A1011" s="431">
        <v>1050</v>
      </c>
      <c r="B1011" s="431" t="s">
        <v>2253</v>
      </c>
      <c r="C1011" s="431" t="s">
        <v>2254</v>
      </c>
      <c r="D1011" s="431" t="s">
        <v>4247</v>
      </c>
      <c r="E1011" s="431" t="s">
        <v>4248</v>
      </c>
      <c r="F1011" s="431">
        <v>514</v>
      </c>
      <c r="G1011" s="431" t="s">
        <v>21</v>
      </c>
      <c r="H1011" s="431" t="s">
        <v>2257</v>
      </c>
      <c r="I1011" s="431" t="s">
        <v>2258</v>
      </c>
      <c r="J1011" s="432">
        <v>46234</v>
      </c>
    </row>
    <row r="1012" spans="1:10">
      <c r="A1012" s="431">
        <v>1051</v>
      </c>
      <c r="B1012" s="431" t="s">
        <v>2253</v>
      </c>
      <c r="C1012" s="431" t="s">
        <v>2254</v>
      </c>
      <c r="D1012" s="431" t="s">
        <v>4249</v>
      </c>
      <c r="E1012" s="431" t="s">
        <v>4250</v>
      </c>
      <c r="F1012" s="431">
        <v>672</v>
      </c>
      <c r="G1012" s="431" t="s">
        <v>21</v>
      </c>
      <c r="H1012" s="431" t="s">
        <v>2257</v>
      </c>
      <c r="I1012" s="431" t="s">
        <v>2258</v>
      </c>
      <c r="J1012" s="432">
        <v>46234</v>
      </c>
    </row>
    <row r="1013" spans="1:10">
      <c r="A1013" s="431">
        <v>1052</v>
      </c>
      <c r="B1013" s="431" t="s">
        <v>2253</v>
      </c>
      <c r="C1013" s="431" t="s">
        <v>2254</v>
      </c>
      <c r="D1013" s="431" t="s">
        <v>4251</v>
      </c>
      <c r="E1013" s="431" t="s">
        <v>4252</v>
      </c>
      <c r="F1013" s="431">
        <v>853</v>
      </c>
      <c r="G1013" s="431" t="s">
        <v>21</v>
      </c>
      <c r="H1013" s="431" t="s">
        <v>2257</v>
      </c>
      <c r="I1013" s="431" t="s">
        <v>2258</v>
      </c>
      <c r="J1013" s="432">
        <v>46234</v>
      </c>
    </row>
    <row r="1014" spans="1:10">
      <c r="A1014" s="431">
        <v>1053</v>
      </c>
      <c r="B1014" s="431" t="s">
        <v>2253</v>
      </c>
      <c r="C1014" s="431" t="s">
        <v>2254</v>
      </c>
      <c r="D1014" s="431" t="s">
        <v>4253</v>
      </c>
      <c r="E1014" s="431" t="s">
        <v>4254</v>
      </c>
      <c r="F1014" s="431">
        <v>1052</v>
      </c>
      <c r="G1014" s="431" t="s">
        <v>21</v>
      </c>
      <c r="H1014" s="431" t="s">
        <v>2257</v>
      </c>
      <c r="I1014" s="431" t="s">
        <v>2258</v>
      </c>
      <c r="J1014" s="432">
        <v>46234</v>
      </c>
    </row>
    <row r="1015" spans="1:10">
      <c r="A1015" s="431">
        <v>1054</v>
      </c>
      <c r="B1015" s="431" t="s">
        <v>2253</v>
      </c>
      <c r="C1015" s="431" t="s">
        <v>2254</v>
      </c>
      <c r="D1015" s="431" t="s">
        <v>4255</v>
      </c>
      <c r="E1015" s="431" t="s">
        <v>4256</v>
      </c>
      <c r="F1015" s="431">
        <v>1328</v>
      </c>
      <c r="G1015" s="431" t="s">
        <v>21</v>
      </c>
      <c r="H1015" s="431" t="s">
        <v>2257</v>
      </c>
      <c r="I1015" s="431" t="s">
        <v>2258</v>
      </c>
      <c r="J1015" s="432">
        <v>46234</v>
      </c>
    </row>
    <row r="1016" spans="1:10">
      <c r="A1016" s="431">
        <v>1055</v>
      </c>
      <c r="B1016" s="431" t="s">
        <v>2253</v>
      </c>
      <c r="C1016" s="431" t="s">
        <v>2254</v>
      </c>
      <c r="D1016" s="431" t="s">
        <v>4257</v>
      </c>
      <c r="E1016" s="431" t="s">
        <v>4258</v>
      </c>
      <c r="F1016" s="431">
        <v>1636</v>
      </c>
      <c r="G1016" s="431" t="s">
        <v>21</v>
      </c>
      <c r="H1016" s="431" t="s">
        <v>2257</v>
      </c>
      <c r="I1016" s="431" t="s">
        <v>2258</v>
      </c>
      <c r="J1016" s="432">
        <v>46234</v>
      </c>
    </row>
    <row r="1017" spans="1:10">
      <c r="A1017" s="431">
        <v>1056</v>
      </c>
      <c r="B1017" s="431" t="s">
        <v>2253</v>
      </c>
      <c r="C1017" s="431" t="s">
        <v>2254</v>
      </c>
      <c r="D1017" s="431" t="s">
        <v>4259</v>
      </c>
      <c r="E1017" s="431" t="s">
        <v>4260</v>
      </c>
      <c r="F1017" s="431">
        <v>2051</v>
      </c>
      <c r="G1017" s="431" t="s">
        <v>21</v>
      </c>
      <c r="H1017" s="431" t="s">
        <v>2257</v>
      </c>
      <c r="I1017" s="431" t="s">
        <v>2258</v>
      </c>
      <c r="J1017" s="432">
        <v>46234</v>
      </c>
    </row>
    <row r="1018" spans="1:10">
      <c r="A1018" s="431">
        <v>1057</v>
      </c>
      <c r="B1018" s="431" t="s">
        <v>2253</v>
      </c>
      <c r="C1018" s="431" t="s">
        <v>2254</v>
      </c>
      <c r="D1018" s="431" t="s">
        <v>4261</v>
      </c>
      <c r="E1018" s="431" t="s">
        <v>4262</v>
      </c>
      <c r="F1018" s="431">
        <v>2599</v>
      </c>
      <c r="G1018" s="431" t="s">
        <v>21</v>
      </c>
      <c r="H1018" s="431" t="s">
        <v>2257</v>
      </c>
      <c r="I1018" s="431" t="s">
        <v>2258</v>
      </c>
      <c r="J1018" s="432">
        <v>46234</v>
      </c>
    </row>
    <row r="1019" spans="1:10">
      <c r="A1019" s="431">
        <v>1058</v>
      </c>
      <c r="B1019" s="431" t="s">
        <v>2253</v>
      </c>
      <c r="C1019" s="431" t="s">
        <v>2254</v>
      </c>
      <c r="D1019" s="431" t="s">
        <v>4263</v>
      </c>
      <c r="E1019" s="431" t="s">
        <v>4264</v>
      </c>
      <c r="F1019" s="431">
        <v>3775</v>
      </c>
      <c r="G1019" s="431" t="s">
        <v>21</v>
      </c>
      <c r="H1019" s="431" t="s">
        <v>2257</v>
      </c>
      <c r="I1019" s="431" t="s">
        <v>2258</v>
      </c>
      <c r="J1019" s="432">
        <v>46234</v>
      </c>
    </row>
    <row r="1020" spans="1:10">
      <c r="A1020" s="431">
        <v>1059</v>
      </c>
      <c r="B1020" s="431" t="s">
        <v>2253</v>
      </c>
      <c r="C1020" s="431" t="s">
        <v>2254</v>
      </c>
      <c r="D1020" s="431" t="s">
        <v>4265</v>
      </c>
      <c r="E1020" s="431" t="s">
        <v>4266</v>
      </c>
      <c r="F1020" s="431">
        <v>4810</v>
      </c>
      <c r="G1020" s="431" t="s">
        <v>21</v>
      </c>
      <c r="H1020" s="431" t="s">
        <v>2257</v>
      </c>
      <c r="I1020" s="431" t="s">
        <v>2258</v>
      </c>
      <c r="J1020" s="432">
        <v>46234</v>
      </c>
    </row>
    <row r="1021" spans="1:10">
      <c r="A1021" s="431">
        <v>1060</v>
      </c>
      <c r="B1021" s="431" t="s">
        <v>2253</v>
      </c>
      <c r="C1021" s="431" t="s">
        <v>2254</v>
      </c>
      <c r="D1021" s="431" t="s">
        <v>4267</v>
      </c>
      <c r="E1021" s="431" t="s">
        <v>4268</v>
      </c>
      <c r="F1021" s="431">
        <v>6067</v>
      </c>
      <c r="G1021" s="431" t="s">
        <v>21</v>
      </c>
      <c r="H1021" s="431" t="s">
        <v>2257</v>
      </c>
      <c r="I1021" s="431" t="s">
        <v>2258</v>
      </c>
      <c r="J1021" s="432">
        <v>46234</v>
      </c>
    </row>
    <row r="1022" spans="1:10">
      <c r="A1022" s="431">
        <v>1061</v>
      </c>
      <c r="B1022" s="431" t="s">
        <v>2253</v>
      </c>
      <c r="C1022" s="431" t="s">
        <v>2254</v>
      </c>
      <c r="D1022" s="431" t="s">
        <v>4269</v>
      </c>
      <c r="E1022" s="431" t="s">
        <v>4270</v>
      </c>
      <c r="F1022" s="431">
        <v>7496</v>
      </c>
      <c r="G1022" s="431" t="s">
        <v>21</v>
      </c>
      <c r="H1022" s="431" t="s">
        <v>2257</v>
      </c>
      <c r="I1022" s="431" t="s">
        <v>2258</v>
      </c>
      <c r="J1022" s="432">
        <v>46234</v>
      </c>
    </row>
    <row r="1023" spans="1:10">
      <c r="A1023" s="431">
        <v>1062</v>
      </c>
      <c r="B1023" s="431" t="s">
        <v>2253</v>
      </c>
      <c r="C1023" s="431" t="s">
        <v>2254</v>
      </c>
      <c r="D1023" s="431" t="s">
        <v>4271</v>
      </c>
      <c r="E1023" s="431" t="s">
        <v>4272</v>
      </c>
      <c r="F1023" s="431">
        <v>9394</v>
      </c>
      <c r="G1023" s="431" t="s">
        <v>21</v>
      </c>
      <c r="H1023" s="431" t="s">
        <v>2257</v>
      </c>
      <c r="I1023" s="431" t="s">
        <v>2258</v>
      </c>
      <c r="J1023" s="432">
        <v>46234</v>
      </c>
    </row>
    <row r="1024" spans="1:10">
      <c r="A1024" s="431">
        <v>1063</v>
      </c>
      <c r="B1024" s="431" t="s">
        <v>2253</v>
      </c>
      <c r="C1024" s="431" t="s">
        <v>2254</v>
      </c>
      <c r="D1024" s="431" t="s">
        <v>4273</v>
      </c>
      <c r="E1024" s="431" t="s">
        <v>4274</v>
      </c>
      <c r="F1024" s="431">
        <v>11898</v>
      </c>
      <c r="G1024" s="431" t="s">
        <v>21</v>
      </c>
      <c r="H1024" s="431" t="s">
        <v>2257</v>
      </c>
      <c r="I1024" s="431" t="s">
        <v>2258</v>
      </c>
      <c r="J1024" s="432">
        <v>46234</v>
      </c>
    </row>
    <row r="1025" spans="1:10">
      <c r="A1025" s="431">
        <v>1064</v>
      </c>
      <c r="B1025" s="431" t="s">
        <v>2253</v>
      </c>
      <c r="C1025" s="431" t="s">
        <v>2254</v>
      </c>
      <c r="D1025" s="431" t="s">
        <v>4275</v>
      </c>
      <c r="E1025" s="431" t="s">
        <v>4276</v>
      </c>
      <c r="F1025" s="431">
        <v>80</v>
      </c>
      <c r="G1025" s="431" t="s">
        <v>21</v>
      </c>
      <c r="H1025" s="431" t="s">
        <v>2257</v>
      </c>
      <c r="I1025" s="431" t="s">
        <v>2258</v>
      </c>
      <c r="J1025" s="432">
        <v>46234</v>
      </c>
    </row>
    <row r="1026" spans="1:10">
      <c r="A1026" s="431">
        <v>1065</v>
      </c>
      <c r="B1026" s="431" t="s">
        <v>2253</v>
      </c>
      <c r="C1026" s="431" t="s">
        <v>2254</v>
      </c>
      <c r="D1026" s="431" t="s">
        <v>4277</v>
      </c>
      <c r="E1026" s="431" t="s">
        <v>4278</v>
      </c>
      <c r="F1026" s="431">
        <v>127</v>
      </c>
      <c r="G1026" s="431" t="s">
        <v>21</v>
      </c>
      <c r="H1026" s="431" t="s">
        <v>2257</v>
      </c>
      <c r="I1026" s="431" t="s">
        <v>2258</v>
      </c>
      <c r="J1026" s="432">
        <v>46234</v>
      </c>
    </row>
    <row r="1027" spans="1:10">
      <c r="A1027" s="431">
        <v>1066</v>
      </c>
      <c r="B1027" s="431" t="s">
        <v>2253</v>
      </c>
      <c r="C1027" s="431" t="s">
        <v>2254</v>
      </c>
      <c r="D1027" s="431" t="s">
        <v>4279</v>
      </c>
      <c r="E1027" s="431" t="s">
        <v>4280</v>
      </c>
      <c r="F1027" s="431">
        <v>180</v>
      </c>
      <c r="G1027" s="431" t="s">
        <v>21</v>
      </c>
      <c r="H1027" s="431" t="s">
        <v>2257</v>
      </c>
      <c r="I1027" s="431" t="s">
        <v>2258</v>
      </c>
      <c r="J1027" s="432">
        <v>46234</v>
      </c>
    </row>
    <row r="1028" spans="1:10">
      <c r="A1028" s="431">
        <v>1067</v>
      </c>
      <c r="B1028" s="431" t="s">
        <v>2253</v>
      </c>
      <c r="C1028" s="431" t="s">
        <v>2254</v>
      </c>
      <c r="D1028" s="431" t="s">
        <v>4281</v>
      </c>
      <c r="E1028" s="431" t="s">
        <v>4282</v>
      </c>
      <c r="F1028" s="431">
        <v>258</v>
      </c>
      <c r="G1028" s="431" t="s">
        <v>21</v>
      </c>
      <c r="H1028" s="431" t="s">
        <v>2257</v>
      </c>
      <c r="I1028" s="431" t="s">
        <v>2258</v>
      </c>
      <c r="J1028" s="432">
        <v>46234</v>
      </c>
    </row>
    <row r="1029" spans="1:10">
      <c r="A1029" s="431">
        <v>1068</v>
      </c>
      <c r="B1029" s="431" t="s">
        <v>2253</v>
      </c>
      <c r="C1029" s="431" t="s">
        <v>2254</v>
      </c>
      <c r="D1029" s="431" t="s">
        <v>4283</v>
      </c>
      <c r="E1029" s="431" t="s">
        <v>4284</v>
      </c>
      <c r="F1029" s="431">
        <v>383</v>
      </c>
      <c r="G1029" s="431" t="s">
        <v>21</v>
      </c>
      <c r="H1029" s="431" t="s">
        <v>2257</v>
      </c>
      <c r="I1029" s="431" t="s">
        <v>2258</v>
      </c>
      <c r="J1029" s="432">
        <v>46234</v>
      </c>
    </row>
    <row r="1030" spans="1:10">
      <c r="A1030" s="431">
        <v>1069</v>
      </c>
      <c r="B1030" s="431" t="s">
        <v>2253</v>
      </c>
      <c r="C1030" s="431" t="s">
        <v>2254</v>
      </c>
      <c r="D1030" s="431" t="s">
        <v>4285</v>
      </c>
      <c r="E1030" s="431" t="s">
        <v>4286</v>
      </c>
      <c r="F1030" s="431">
        <v>497</v>
      </c>
      <c r="G1030" s="431" t="s">
        <v>21</v>
      </c>
      <c r="H1030" s="431" t="s">
        <v>2257</v>
      </c>
      <c r="I1030" s="431" t="s">
        <v>2258</v>
      </c>
      <c r="J1030" s="432">
        <v>46234</v>
      </c>
    </row>
    <row r="1031" spans="1:10">
      <c r="A1031" s="431">
        <v>1070</v>
      </c>
      <c r="B1031" s="431" t="s">
        <v>2253</v>
      </c>
      <c r="C1031" s="431" t="s">
        <v>2254</v>
      </c>
      <c r="D1031" s="431" t="s">
        <v>4287</v>
      </c>
      <c r="E1031" s="431" t="s">
        <v>4288</v>
      </c>
      <c r="F1031" s="431">
        <v>624</v>
      </c>
      <c r="G1031" s="431" t="s">
        <v>21</v>
      </c>
      <c r="H1031" s="431" t="s">
        <v>2257</v>
      </c>
      <c r="I1031" s="431" t="s">
        <v>2258</v>
      </c>
      <c r="J1031" s="432">
        <v>46234</v>
      </c>
    </row>
    <row r="1032" spans="1:10">
      <c r="A1032" s="431">
        <v>1071</v>
      </c>
      <c r="B1032" s="431" t="s">
        <v>2253</v>
      </c>
      <c r="C1032" s="431" t="s">
        <v>2254</v>
      </c>
      <c r="D1032" s="431" t="s">
        <v>4289</v>
      </c>
      <c r="E1032" s="431" t="s">
        <v>4290</v>
      </c>
      <c r="F1032" s="431">
        <v>814</v>
      </c>
      <c r="G1032" s="431" t="s">
        <v>21</v>
      </c>
      <c r="H1032" s="431" t="s">
        <v>2257</v>
      </c>
      <c r="I1032" s="431" t="s">
        <v>2258</v>
      </c>
      <c r="J1032" s="432">
        <v>46234</v>
      </c>
    </row>
    <row r="1033" spans="1:10">
      <c r="A1033" s="431">
        <v>1072</v>
      </c>
      <c r="B1033" s="431" t="s">
        <v>2253</v>
      </c>
      <c r="C1033" s="431" t="s">
        <v>2254</v>
      </c>
      <c r="D1033" s="431" t="s">
        <v>4291</v>
      </c>
      <c r="E1033" s="431" t="s">
        <v>4292</v>
      </c>
      <c r="F1033" s="431">
        <v>1029</v>
      </c>
      <c r="G1033" s="431" t="s">
        <v>21</v>
      </c>
      <c r="H1033" s="431" t="s">
        <v>2257</v>
      </c>
      <c r="I1033" s="431" t="s">
        <v>2258</v>
      </c>
      <c r="J1033" s="432">
        <v>46234</v>
      </c>
    </row>
    <row r="1034" spans="1:10">
      <c r="A1034" s="431">
        <v>1073</v>
      </c>
      <c r="B1034" s="431" t="s">
        <v>2253</v>
      </c>
      <c r="C1034" s="431" t="s">
        <v>2254</v>
      </c>
      <c r="D1034" s="431" t="s">
        <v>4293</v>
      </c>
      <c r="E1034" s="431" t="s">
        <v>4294</v>
      </c>
      <c r="F1034" s="431">
        <v>1270</v>
      </c>
      <c r="G1034" s="431" t="s">
        <v>21</v>
      </c>
      <c r="H1034" s="431" t="s">
        <v>2257</v>
      </c>
      <c r="I1034" s="431" t="s">
        <v>2258</v>
      </c>
      <c r="J1034" s="432">
        <v>46234</v>
      </c>
    </row>
    <row r="1035" spans="1:10">
      <c r="A1035" s="431">
        <v>1074</v>
      </c>
      <c r="B1035" s="431" t="s">
        <v>2253</v>
      </c>
      <c r="C1035" s="431" t="s">
        <v>2254</v>
      </c>
      <c r="D1035" s="431" t="s">
        <v>4295</v>
      </c>
      <c r="E1035" s="431" t="s">
        <v>4296</v>
      </c>
      <c r="F1035" s="431">
        <v>1607</v>
      </c>
      <c r="G1035" s="431" t="s">
        <v>21</v>
      </c>
      <c r="H1035" s="431" t="s">
        <v>2257</v>
      </c>
      <c r="I1035" s="431" t="s">
        <v>2258</v>
      </c>
      <c r="J1035" s="432">
        <v>46234</v>
      </c>
    </row>
    <row r="1036" spans="1:10">
      <c r="A1036" s="431">
        <v>1075</v>
      </c>
      <c r="B1036" s="431" t="s">
        <v>2253</v>
      </c>
      <c r="C1036" s="431" t="s">
        <v>2254</v>
      </c>
      <c r="D1036" s="431" t="s">
        <v>4297</v>
      </c>
      <c r="E1036" s="431" t="s">
        <v>4298</v>
      </c>
      <c r="F1036" s="431">
        <v>1984</v>
      </c>
      <c r="G1036" s="431" t="s">
        <v>21</v>
      </c>
      <c r="H1036" s="431" t="s">
        <v>2257</v>
      </c>
      <c r="I1036" s="431" t="s">
        <v>2258</v>
      </c>
      <c r="J1036" s="432">
        <v>46234</v>
      </c>
    </row>
    <row r="1037" spans="1:10">
      <c r="A1037" s="431">
        <v>1076</v>
      </c>
      <c r="B1037" s="431" t="s">
        <v>2253</v>
      </c>
      <c r="C1037" s="431" t="s">
        <v>2254</v>
      </c>
      <c r="D1037" s="431" t="s">
        <v>4299</v>
      </c>
      <c r="E1037" s="431" t="s">
        <v>4300</v>
      </c>
      <c r="F1037" s="431">
        <v>2487</v>
      </c>
      <c r="G1037" s="431" t="s">
        <v>21</v>
      </c>
      <c r="H1037" s="431" t="s">
        <v>2257</v>
      </c>
      <c r="I1037" s="431" t="s">
        <v>2258</v>
      </c>
      <c r="J1037" s="432">
        <v>46234</v>
      </c>
    </row>
    <row r="1038" spans="1:10">
      <c r="A1038" s="431">
        <v>1077</v>
      </c>
      <c r="B1038" s="431" t="s">
        <v>2253</v>
      </c>
      <c r="C1038" s="431" t="s">
        <v>2254</v>
      </c>
      <c r="D1038" s="431" t="s">
        <v>4301</v>
      </c>
      <c r="E1038" s="431" t="s">
        <v>4302</v>
      </c>
      <c r="F1038" s="431">
        <v>3147</v>
      </c>
      <c r="G1038" s="431" t="s">
        <v>21</v>
      </c>
      <c r="H1038" s="431" t="s">
        <v>2257</v>
      </c>
      <c r="I1038" s="431" t="s">
        <v>2258</v>
      </c>
      <c r="J1038" s="432">
        <v>46234</v>
      </c>
    </row>
    <row r="1039" spans="1:10">
      <c r="A1039" s="431">
        <v>1078</v>
      </c>
      <c r="B1039" s="431" t="s">
        <v>2253</v>
      </c>
      <c r="C1039" s="431" t="s">
        <v>2254</v>
      </c>
      <c r="D1039" s="431" t="s">
        <v>4303</v>
      </c>
      <c r="E1039" s="431" t="s">
        <v>4304</v>
      </c>
      <c r="F1039" s="431">
        <v>4577</v>
      </c>
      <c r="G1039" s="431" t="s">
        <v>21</v>
      </c>
      <c r="H1039" s="431" t="s">
        <v>2257</v>
      </c>
      <c r="I1039" s="431" t="s">
        <v>2258</v>
      </c>
      <c r="J1039" s="432">
        <v>46234</v>
      </c>
    </row>
    <row r="1040" spans="1:10">
      <c r="A1040" s="431">
        <v>1079</v>
      </c>
      <c r="B1040" s="431" t="s">
        <v>2253</v>
      </c>
      <c r="C1040" s="431" t="s">
        <v>2254</v>
      </c>
      <c r="D1040" s="431" t="s">
        <v>4305</v>
      </c>
      <c r="E1040" s="431" t="s">
        <v>4306</v>
      </c>
      <c r="F1040" s="431">
        <v>5810</v>
      </c>
      <c r="G1040" s="431" t="s">
        <v>21</v>
      </c>
      <c r="H1040" s="431" t="s">
        <v>2257</v>
      </c>
      <c r="I1040" s="431" t="s">
        <v>2258</v>
      </c>
      <c r="J1040" s="432">
        <v>46234</v>
      </c>
    </row>
    <row r="1041" spans="1:10">
      <c r="A1041" s="431">
        <v>1080</v>
      </c>
      <c r="B1041" s="431" t="s">
        <v>2253</v>
      </c>
      <c r="C1041" s="431" t="s">
        <v>2254</v>
      </c>
      <c r="D1041" s="431" t="s">
        <v>4307</v>
      </c>
      <c r="E1041" s="431" t="s">
        <v>4308</v>
      </c>
      <c r="F1041" s="431">
        <v>7349</v>
      </c>
      <c r="G1041" s="431" t="s">
        <v>21</v>
      </c>
      <c r="H1041" s="431" t="s">
        <v>2257</v>
      </c>
      <c r="I1041" s="431" t="s">
        <v>2258</v>
      </c>
      <c r="J1041" s="432">
        <v>46234</v>
      </c>
    </row>
    <row r="1042" spans="1:10">
      <c r="A1042" s="431">
        <v>1081</v>
      </c>
      <c r="B1042" s="431" t="s">
        <v>2253</v>
      </c>
      <c r="C1042" s="431" t="s">
        <v>2254</v>
      </c>
      <c r="D1042" s="431" t="s">
        <v>4309</v>
      </c>
      <c r="E1042" s="431" t="s">
        <v>4310</v>
      </c>
      <c r="F1042" s="431">
        <v>9085</v>
      </c>
      <c r="G1042" s="431" t="s">
        <v>21</v>
      </c>
      <c r="H1042" s="431" t="s">
        <v>2257</v>
      </c>
      <c r="I1042" s="431" t="s">
        <v>2258</v>
      </c>
      <c r="J1042" s="432">
        <v>46234</v>
      </c>
    </row>
    <row r="1043" spans="1:10">
      <c r="A1043" s="431">
        <v>1082</v>
      </c>
      <c r="B1043" s="431" t="s">
        <v>2253</v>
      </c>
      <c r="C1043" s="431" t="s">
        <v>2254</v>
      </c>
      <c r="D1043" s="431" t="s">
        <v>4311</v>
      </c>
      <c r="E1043" s="431" t="s">
        <v>4312</v>
      </c>
      <c r="F1043" s="431">
        <v>11379</v>
      </c>
      <c r="G1043" s="431" t="s">
        <v>21</v>
      </c>
      <c r="H1043" s="431" t="s">
        <v>2257</v>
      </c>
      <c r="I1043" s="431" t="s">
        <v>2258</v>
      </c>
      <c r="J1043" s="432">
        <v>46234</v>
      </c>
    </row>
    <row r="1044" spans="1:10">
      <c r="A1044" s="431">
        <v>1083</v>
      </c>
      <c r="B1044" s="431" t="s">
        <v>2253</v>
      </c>
      <c r="C1044" s="431" t="s">
        <v>2254</v>
      </c>
      <c r="D1044" s="431" t="s">
        <v>4313</v>
      </c>
      <c r="E1044" s="431" t="s">
        <v>4290</v>
      </c>
      <c r="F1044" s="431">
        <v>14404</v>
      </c>
      <c r="G1044" s="431" t="s">
        <v>21</v>
      </c>
      <c r="H1044" s="431" t="s">
        <v>2257</v>
      </c>
      <c r="I1044" s="431" t="s">
        <v>2258</v>
      </c>
      <c r="J1044" s="432">
        <v>46234</v>
      </c>
    </row>
    <row r="1045" spans="1:10">
      <c r="A1045" s="431">
        <v>1084</v>
      </c>
      <c r="B1045" s="431" t="s">
        <v>2253</v>
      </c>
      <c r="C1045" s="431" t="s">
        <v>2254</v>
      </c>
      <c r="D1045" s="431" t="s">
        <v>4314</v>
      </c>
      <c r="E1045" s="431" t="s">
        <v>4315</v>
      </c>
      <c r="F1045" s="431">
        <v>95</v>
      </c>
      <c r="G1045" s="431" t="s">
        <v>21</v>
      </c>
      <c r="H1045" s="431" t="s">
        <v>2257</v>
      </c>
      <c r="I1045" s="431" t="s">
        <v>2258</v>
      </c>
      <c r="J1045" s="432">
        <v>46234</v>
      </c>
    </row>
    <row r="1046" spans="1:10">
      <c r="A1046" s="431">
        <v>1085</v>
      </c>
      <c r="B1046" s="431" t="s">
        <v>2253</v>
      </c>
      <c r="C1046" s="431" t="s">
        <v>2254</v>
      </c>
      <c r="D1046" s="431" t="s">
        <v>4316</v>
      </c>
      <c r="E1046" s="431" t="s">
        <v>4317</v>
      </c>
      <c r="F1046" s="431">
        <v>150</v>
      </c>
      <c r="G1046" s="431" t="s">
        <v>21</v>
      </c>
      <c r="H1046" s="431" t="s">
        <v>2257</v>
      </c>
      <c r="I1046" s="431" t="s">
        <v>2258</v>
      </c>
      <c r="J1046" s="432">
        <v>46234</v>
      </c>
    </row>
    <row r="1047" spans="1:10">
      <c r="A1047" s="431">
        <v>1086</v>
      </c>
      <c r="B1047" s="431" t="s">
        <v>2253</v>
      </c>
      <c r="C1047" s="431" t="s">
        <v>2254</v>
      </c>
      <c r="D1047" s="431" t="s">
        <v>4318</v>
      </c>
      <c r="E1047" s="431" t="s">
        <v>4319</v>
      </c>
      <c r="F1047" s="431">
        <v>215</v>
      </c>
      <c r="G1047" s="431" t="s">
        <v>21</v>
      </c>
      <c r="H1047" s="431" t="s">
        <v>2257</v>
      </c>
      <c r="I1047" s="431" t="s">
        <v>2258</v>
      </c>
      <c r="J1047" s="432">
        <v>46234</v>
      </c>
    </row>
    <row r="1048" spans="1:10">
      <c r="A1048" s="431">
        <v>1087</v>
      </c>
      <c r="B1048" s="431" t="s">
        <v>2253</v>
      </c>
      <c r="C1048" s="431" t="s">
        <v>2254</v>
      </c>
      <c r="D1048" s="431" t="s">
        <v>4320</v>
      </c>
      <c r="E1048" s="431" t="s">
        <v>4321</v>
      </c>
      <c r="F1048" s="431">
        <v>306</v>
      </c>
      <c r="G1048" s="431" t="s">
        <v>21</v>
      </c>
      <c r="H1048" s="431" t="s">
        <v>2257</v>
      </c>
      <c r="I1048" s="431" t="s">
        <v>2258</v>
      </c>
      <c r="J1048" s="432">
        <v>46234</v>
      </c>
    </row>
    <row r="1049" spans="1:10">
      <c r="A1049" s="431">
        <v>1088</v>
      </c>
      <c r="B1049" s="431" t="s">
        <v>2253</v>
      </c>
      <c r="C1049" s="431" t="s">
        <v>2254</v>
      </c>
      <c r="D1049" s="431" t="s">
        <v>4322</v>
      </c>
      <c r="E1049" s="431" t="s">
        <v>4323</v>
      </c>
      <c r="F1049" s="431">
        <v>461</v>
      </c>
      <c r="G1049" s="431" t="s">
        <v>21</v>
      </c>
      <c r="H1049" s="431" t="s">
        <v>2257</v>
      </c>
      <c r="I1049" s="431" t="s">
        <v>2258</v>
      </c>
      <c r="J1049" s="432">
        <v>46234</v>
      </c>
    </row>
    <row r="1050" spans="1:10">
      <c r="A1050" s="431">
        <v>1089</v>
      </c>
      <c r="B1050" s="431" t="s">
        <v>2253</v>
      </c>
      <c r="C1050" s="431" t="s">
        <v>2254</v>
      </c>
      <c r="D1050" s="431" t="s">
        <v>4324</v>
      </c>
      <c r="E1050" s="431" t="s">
        <v>4325</v>
      </c>
      <c r="F1050" s="431">
        <v>591</v>
      </c>
      <c r="G1050" s="431" t="s">
        <v>21</v>
      </c>
      <c r="H1050" s="431" t="s">
        <v>2257</v>
      </c>
      <c r="I1050" s="431" t="s">
        <v>2258</v>
      </c>
      <c r="J1050" s="432">
        <v>46234</v>
      </c>
    </row>
    <row r="1051" spans="1:10">
      <c r="A1051" s="431">
        <v>1090</v>
      </c>
      <c r="B1051" s="431" t="s">
        <v>2253</v>
      </c>
      <c r="C1051" s="431" t="s">
        <v>2254</v>
      </c>
      <c r="D1051" s="431" t="s">
        <v>4326</v>
      </c>
      <c r="E1051" s="431" t="s">
        <v>4327</v>
      </c>
      <c r="F1051" s="431">
        <v>743</v>
      </c>
      <c r="G1051" s="431" t="s">
        <v>21</v>
      </c>
      <c r="H1051" s="431" t="s">
        <v>2257</v>
      </c>
      <c r="I1051" s="431" t="s">
        <v>2258</v>
      </c>
      <c r="J1051" s="432">
        <v>46234</v>
      </c>
    </row>
    <row r="1052" spans="1:10">
      <c r="A1052" s="431">
        <v>1091</v>
      </c>
      <c r="B1052" s="431" t="s">
        <v>2253</v>
      </c>
      <c r="C1052" s="431" t="s">
        <v>2254</v>
      </c>
      <c r="D1052" s="431" t="s">
        <v>4328</v>
      </c>
      <c r="E1052" s="431" t="s">
        <v>4329</v>
      </c>
      <c r="F1052" s="431">
        <v>969</v>
      </c>
      <c r="G1052" s="431" t="s">
        <v>21</v>
      </c>
      <c r="H1052" s="431" t="s">
        <v>2257</v>
      </c>
      <c r="I1052" s="431" t="s">
        <v>2258</v>
      </c>
      <c r="J1052" s="432">
        <v>46234</v>
      </c>
    </row>
    <row r="1053" spans="1:10">
      <c r="A1053" s="431">
        <v>1092</v>
      </c>
      <c r="B1053" s="431" t="s">
        <v>2253</v>
      </c>
      <c r="C1053" s="431" t="s">
        <v>2254</v>
      </c>
      <c r="D1053" s="431" t="s">
        <v>4330</v>
      </c>
      <c r="E1053" s="431" t="s">
        <v>4331</v>
      </c>
      <c r="F1053" s="431">
        <v>1224</v>
      </c>
      <c r="G1053" s="431" t="s">
        <v>21</v>
      </c>
      <c r="H1053" s="431" t="s">
        <v>2257</v>
      </c>
      <c r="I1053" s="431" t="s">
        <v>2258</v>
      </c>
      <c r="J1053" s="432">
        <v>46234</v>
      </c>
    </row>
    <row r="1054" spans="1:10">
      <c r="A1054" s="431">
        <v>1093</v>
      </c>
      <c r="B1054" s="431" t="s">
        <v>2253</v>
      </c>
      <c r="C1054" s="431" t="s">
        <v>2254</v>
      </c>
      <c r="D1054" s="431" t="s">
        <v>4332</v>
      </c>
      <c r="E1054" s="431" t="s">
        <v>4333</v>
      </c>
      <c r="F1054" s="431">
        <v>1517</v>
      </c>
      <c r="G1054" s="431" t="s">
        <v>21</v>
      </c>
      <c r="H1054" s="431" t="s">
        <v>2257</v>
      </c>
      <c r="I1054" s="431" t="s">
        <v>2258</v>
      </c>
      <c r="J1054" s="432">
        <v>46234</v>
      </c>
    </row>
    <row r="1055" spans="1:10">
      <c r="A1055" s="431">
        <v>1094</v>
      </c>
      <c r="B1055" s="431" t="s">
        <v>2253</v>
      </c>
      <c r="C1055" s="431" t="s">
        <v>2254</v>
      </c>
      <c r="D1055" s="431" t="s">
        <v>4334</v>
      </c>
      <c r="E1055" s="431" t="s">
        <v>4335</v>
      </c>
      <c r="F1055" s="431">
        <v>1912</v>
      </c>
      <c r="G1055" s="431" t="s">
        <v>21</v>
      </c>
      <c r="H1055" s="431" t="s">
        <v>2257</v>
      </c>
      <c r="I1055" s="431" t="s">
        <v>2258</v>
      </c>
      <c r="J1055" s="432">
        <v>46234</v>
      </c>
    </row>
    <row r="1056" spans="1:10">
      <c r="A1056" s="431">
        <v>1095</v>
      </c>
      <c r="B1056" s="431" t="s">
        <v>2253</v>
      </c>
      <c r="C1056" s="431" t="s">
        <v>2254</v>
      </c>
      <c r="D1056" s="431" t="s">
        <v>4336</v>
      </c>
      <c r="E1056" s="431" t="s">
        <v>4337</v>
      </c>
      <c r="F1056" s="431">
        <v>2362</v>
      </c>
      <c r="G1056" s="431" t="s">
        <v>21</v>
      </c>
      <c r="H1056" s="431" t="s">
        <v>2257</v>
      </c>
      <c r="I1056" s="431" t="s">
        <v>2258</v>
      </c>
      <c r="J1056" s="432">
        <v>46234</v>
      </c>
    </row>
    <row r="1057" spans="1:10">
      <c r="A1057" s="431">
        <v>1096</v>
      </c>
      <c r="B1057" s="431" t="s">
        <v>2253</v>
      </c>
      <c r="C1057" s="431" t="s">
        <v>2254</v>
      </c>
      <c r="D1057" s="431" t="s">
        <v>4338</v>
      </c>
      <c r="E1057" s="431" t="s">
        <v>4339</v>
      </c>
      <c r="F1057" s="431">
        <v>2970</v>
      </c>
      <c r="G1057" s="431" t="s">
        <v>21</v>
      </c>
      <c r="H1057" s="431" t="s">
        <v>2257</v>
      </c>
      <c r="I1057" s="431" t="s">
        <v>2258</v>
      </c>
      <c r="J1057" s="432">
        <v>46234</v>
      </c>
    </row>
    <row r="1058" spans="1:10">
      <c r="A1058" s="431">
        <v>1097</v>
      </c>
      <c r="B1058" s="431" t="s">
        <v>2253</v>
      </c>
      <c r="C1058" s="431" t="s">
        <v>2254</v>
      </c>
      <c r="D1058" s="431" t="s">
        <v>4340</v>
      </c>
      <c r="E1058" s="431" t="s">
        <v>4341</v>
      </c>
      <c r="F1058" s="431">
        <v>3745</v>
      </c>
      <c r="G1058" s="431" t="s">
        <v>21</v>
      </c>
      <c r="H1058" s="431" t="s">
        <v>2257</v>
      </c>
      <c r="I1058" s="431" t="s">
        <v>2258</v>
      </c>
      <c r="J1058" s="432">
        <v>46234</v>
      </c>
    </row>
    <row r="1059" spans="1:10">
      <c r="A1059" s="431">
        <v>1098</v>
      </c>
      <c r="B1059" s="431" t="s">
        <v>2253</v>
      </c>
      <c r="C1059" s="431" t="s">
        <v>2254</v>
      </c>
      <c r="D1059" s="431" t="s">
        <v>4342</v>
      </c>
      <c r="E1059" s="431" t="s">
        <v>4343</v>
      </c>
      <c r="F1059" s="431">
        <v>5470</v>
      </c>
      <c r="G1059" s="431" t="s">
        <v>21</v>
      </c>
      <c r="H1059" s="431" t="s">
        <v>2257</v>
      </c>
      <c r="I1059" s="431" t="s">
        <v>2258</v>
      </c>
      <c r="J1059" s="432">
        <v>46234</v>
      </c>
    </row>
    <row r="1060" spans="1:10">
      <c r="A1060" s="431">
        <v>1099</v>
      </c>
      <c r="B1060" s="431" t="s">
        <v>2253</v>
      </c>
      <c r="C1060" s="431" t="s">
        <v>2254</v>
      </c>
      <c r="D1060" s="431" t="s">
        <v>4344</v>
      </c>
      <c r="E1060" s="431" t="s">
        <v>4345</v>
      </c>
      <c r="F1060" s="431">
        <v>6941</v>
      </c>
      <c r="G1060" s="431" t="s">
        <v>21</v>
      </c>
      <c r="H1060" s="431" t="s">
        <v>2257</v>
      </c>
      <c r="I1060" s="431" t="s">
        <v>2258</v>
      </c>
      <c r="J1060" s="432">
        <v>46234</v>
      </c>
    </row>
    <row r="1061" spans="1:10">
      <c r="A1061" s="431">
        <v>1100</v>
      </c>
      <c r="B1061" s="431" t="s">
        <v>2253</v>
      </c>
      <c r="C1061" s="431" t="s">
        <v>2254</v>
      </c>
      <c r="D1061" s="431" t="s">
        <v>4346</v>
      </c>
      <c r="E1061" s="431" t="s">
        <v>4347</v>
      </c>
      <c r="F1061" s="431">
        <v>8771</v>
      </c>
      <c r="G1061" s="431" t="s">
        <v>21</v>
      </c>
      <c r="H1061" s="431" t="s">
        <v>2257</v>
      </c>
      <c r="I1061" s="431" t="s">
        <v>2258</v>
      </c>
      <c r="J1061" s="432">
        <v>46234</v>
      </c>
    </row>
    <row r="1062" spans="1:10">
      <c r="A1062" s="431">
        <v>1101</v>
      </c>
      <c r="B1062" s="431" t="s">
        <v>2253</v>
      </c>
      <c r="C1062" s="431" t="s">
        <v>2254</v>
      </c>
      <c r="D1062" s="431" t="s">
        <v>4348</v>
      </c>
      <c r="E1062" s="431" t="s">
        <v>4349</v>
      </c>
      <c r="F1062" s="431">
        <v>10838</v>
      </c>
      <c r="G1062" s="431" t="s">
        <v>21</v>
      </c>
      <c r="H1062" s="431" t="s">
        <v>2257</v>
      </c>
      <c r="I1062" s="431" t="s">
        <v>2258</v>
      </c>
      <c r="J1062" s="432">
        <v>46234</v>
      </c>
    </row>
    <row r="1063" spans="1:10">
      <c r="A1063" s="431">
        <v>1102</v>
      </c>
      <c r="B1063" s="431" t="s">
        <v>2253</v>
      </c>
      <c r="C1063" s="431" t="s">
        <v>2254</v>
      </c>
      <c r="D1063" s="431" t="s">
        <v>4350</v>
      </c>
      <c r="E1063" s="431" t="s">
        <v>4351</v>
      </c>
      <c r="F1063" s="431">
        <v>26</v>
      </c>
      <c r="G1063" s="431" t="s">
        <v>21</v>
      </c>
      <c r="H1063" s="431" t="s">
        <v>2257</v>
      </c>
      <c r="I1063" s="431" t="s">
        <v>2258</v>
      </c>
      <c r="J1063" s="432">
        <v>46234</v>
      </c>
    </row>
    <row r="1064" spans="1:10">
      <c r="A1064" s="431">
        <v>1103</v>
      </c>
      <c r="B1064" s="431" t="s">
        <v>2253</v>
      </c>
      <c r="C1064" s="431" t="s">
        <v>2254</v>
      </c>
      <c r="D1064" s="431" t="s">
        <v>4352</v>
      </c>
      <c r="E1064" s="431" t="s">
        <v>4353</v>
      </c>
      <c r="F1064" s="431">
        <v>39</v>
      </c>
      <c r="G1064" s="431" t="s">
        <v>21</v>
      </c>
      <c r="H1064" s="431" t="s">
        <v>2257</v>
      </c>
      <c r="I1064" s="431" t="s">
        <v>2258</v>
      </c>
      <c r="J1064" s="432">
        <v>46234</v>
      </c>
    </row>
    <row r="1065" spans="1:10">
      <c r="A1065" s="431">
        <v>1104</v>
      </c>
      <c r="B1065" s="431" t="s">
        <v>2253</v>
      </c>
      <c r="C1065" s="431" t="s">
        <v>2254</v>
      </c>
      <c r="D1065" s="431" t="s">
        <v>4354</v>
      </c>
      <c r="E1065" s="431" t="s">
        <v>4355</v>
      </c>
      <c r="F1065" s="431">
        <v>64</v>
      </c>
      <c r="G1065" s="431" t="s">
        <v>21</v>
      </c>
      <c r="H1065" s="431" t="s">
        <v>2257</v>
      </c>
      <c r="I1065" s="431" t="s">
        <v>2258</v>
      </c>
      <c r="J1065" s="432">
        <v>46234</v>
      </c>
    </row>
    <row r="1066" spans="1:10">
      <c r="A1066" s="431">
        <v>1105</v>
      </c>
      <c r="B1066" s="431" t="s">
        <v>2253</v>
      </c>
      <c r="C1066" s="431" t="s">
        <v>2254</v>
      </c>
      <c r="D1066" s="431" t="s">
        <v>4356</v>
      </c>
      <c r="E1066" s="431" t="s">
        <v>4357</v>
      </c>
      <c r="F1066" s="431">
        <v>90</v>
      </c>
      <c r="G1066" s="431" t="s">
        <v>21</v>
      </c>
      <c r="H1066" s="431" t="s">
        <v>2257</v>
      </c>
      <c r="I1066" s="431" t="s">
        <v>2258</v>
      </c>
      <c r="J1066" s="432">
        <v>46234</v>
      </c>
    </row>
    <row r="1067" spans="1:10">
      <c r="A1067" s="431">
        <v>1106</v>
      </c>
      <c r="B1067" s="431" t="s">
        <v>2253</v>
      </c>
      <c r="C1067" s="431" t="s">
        <v>2254</v>
      </c>
      <c r="D1067" s="431" t="s">
        <v>1772</v>
      </c>
      <c r="E1067" s="431" t="s">
        <v>1908</v>
      </c>
      <c r="F1067" s="431">
        <v>128</v>
      </c>
      <c r="G1067" s="431" t="s">
        <v>21</v>
      </c>
      <c r="H1067" s="431" t="s">
        <v>2257</v>
      </c>
      <c r="I1067" s="431" t="s">
        <v>2258</v>
      </c>
      <c r="J1067" s="432">
        <v>46234</v>
      </c>
    </row>
    <row r="1068" spans="1:10">
      <c r="A1068" s="431">
        <v>1107</v>
      </c>
      <c r="B1068" s="431" t="s">
        <v>2253</v>
      </c>
      <c r="C1068" s="431" t="s">
        <v>2254</v>
      </c>
      <c r="D1068" s="431" t="s">
        <v>541</v>
      </c>
      <c r="E1068" s="431" t="s">
        <v>542</v>
      </c>
      <c r="F1068" s="431">
        <v>180</v>
      </c>
      <c r="G1068" s="431" t="s">
        <v>21</v>
      </c>
      <c r="H1068" s="431" t="s">
        <v>2257</v>
      </c>
      <c r="I1068" s="431" t="s">
        <v>2258</v>
      </c>
      <c r="J1068" s="432">
        <v>46234</v>
      </c>
    </row>
    <row r="1069" spans="1:10">
      <c r="A1069" s="431">
        <v>1108</v>
      </c>
      <c r="B1069" s="431" t="s">
        <v>2253</v>
      </c>
      <c r="C1069" s="431" t="s">
        <v>2254</v>
      </c>
      <c r="D1069" s="431" t="s">
        <v>19</v>
      </c>
      <c r="E1069" s="431" t="s">
        <v>2207</v>
      </c>
      <c r="F1069" s="431">
        <v>281</v>
      </c>
      <c r="G1069" s="431" t="s">
        <v>21</v>
      </c>
      <c r="H1069" s="431" t="s">
        <v>2257</v>
      </c>
      <c r="I1069" s="431" t="s">
        <v>2258</v>
      </c>
      <c r="J1069" s="432">
        <v>46234</v>
      </c>
    </row>
    <row r="1070" spans="1:10">
      <c r="A1070" s="431">
        <v>1109</v>
      </c>
      <c r="B1070" s="431" t="s">
        <v>2253</v>
      </c>
      <c r="C1070" s="431" t="s">
        <v>2254</v>
      </c>
      <c r="D1070" s="431" t="s">
        <v>173</v>
      </c>
      <c r="E1070" s="431" t="s">
        <v>2189</v>
      </c>
      <c r="F1070" s="431">
        <v>387</v>
      </c>
      <c r="G1070" s="431" t="s">
        <v>21</v>
      </c>
      <c r="H1070" s="431" t="s">
        <v>2257</v>
      </c>
      <c r="I1070" s="431" t="s">
        <v>2258</v>
      </c>
      <c r="J1070" s="432">
        <v>46234</v>
      </c>
    </row>
    <row r="1071" spans="1:10">
      <c r="A1071" s="431">
        <v>1110</v>
      </c>
      <c r="B1071" s="431" t="s">
        <v>2253</v>
      </c>
      <c r="C1071" s="431" t="s">
        <v>2254</v>
      </c>
      <c r="D1071" s="431" t="s">
        <v>2192</v>
      </c>
      <c r="E1071" s="431" t="s">
        <v>2193</v>
      </c>
      <c r="F1071" s="431">
        <v>586</v>
      </c>
      <c r="G1071" s="431" t="s">
        <v>21</v>
      </c>
      <c r="H1071" s="431" t="s">
        <v>2257</v>
      </c>
      <c r="I1071" s="431" t="s">
        <v>2258</v>
      </c>
      <c r="J1071" s="432">
        <v>46234</v>
      </c>
    </row>
    <row r="1072" spans="1:10">
      <c r="A1072" s="431">
        <v>1111</v>
      </c>
      <c r="B1072" s="431" t="s">
        <v>2253</v>
      </c>
      <c r="C1072" s="431" t="s">
        <v>2254</v>
      </c>
      <c r="D1072" s="431" t="s">
        <v>4358</v>
      </c>
      <c r="E1072" s="431" t="s">
        <v>4359</v>
      </c>
      <c r="F1072" s="431">
        <v>22</v>
      </c>
      <c r="G1072" s="431" t="s">
        <v>21</v>
      </c>
      <c r="H1072" s="431" t="s">
        <v>2257</v>
      </c>
      <c r="I1072" s="431" t="s">
        <v>2258</v>
      </c>
      <c r="J1072" s="432">
        <v>46234</v>
      </c>
    </row>
    <row r="1073" spans="1:10">
      <c r="A1073" s="431">
        <v>1112</v>
      </c>
      <c r="B1073" s="431" t="s">
        <v>2253</v>
      </c>
      <c r="C1073" s="431" t="s">
        <v>2254</v>
      </c>
      <c r="D1073" s="431" t="s">
        <v>4360</v>
      </c>
      <c r="E1073" s="431" t="s">
        <v>4361</v>
      </c>
      <c r="F1073" s="431">
        <v>32</v>
      </c>
      <c r="G1073" s="431" t="s">
        <v>21</v>
      </c>
      <c r="H1073" s="431" t="s">
        <v>2257</v>
      </c>
      <c r="I1073" s="431" t="s">
        <v>2258</v>
      </c>
      <c r="J1073" s="432">
        <v>46234</v>
      </c>
    </row>
    <row r="1074" spans="1:10">
      <c r="A1074" s="431">
        <v>1113</v>
      </c>
      <c r="B1074" s="431" t="s">
        <v>2253</v>
      </c>
      <c r="C1074" s="431" t="s">
        <v>2254</v>
      </c>
      <c r="D1074" s="431" t="s">
        <v>4362</v>
      </c>
      <c r="E1074" s="431" t="s">
        <v>4363</v>
      </c>
      <c r="F1074" s="431">
        <v>48</v>
      </c>
      <c r="G1074" s="431" t="s">
        <v>21</v>
      </c>
      <c r="H1074" s="431" t="s">
        <v>2257</v>
      </c>
      <c r="I1074" s="431" t="s">
        <v>2258</v>
      </c>
      <c r="J1074" s="432">
        <v>46234</v>
      </c>
    </row>
    <row r="1075" spans="1:10">
      <c r="A1075" s="431">
        <v>1114</v>
      </c>
      <c r="B1075" s="431" t="s">
        <v>2253</v>
      </c>
      <c r="C1075" s="431" t="s">
        <v>2254</v>
      </c>
      <c r="D1075" s="431" t="s">
        <v>4364</v>
      </c>
      <c r="E1075" s="431" t="s">
        <v>4365</v>
      </c>
      <c r="F1075" s="431">
        <v>79</v>
      </c>
      <c r="G1075" s="431" t="s">
        <v>21</v>
      </c>
      <c r="H1075" s="431" t="s">
        <v>2257</v>
      </c>
      <c r="I1075" s="431" t="s">
        <v>2258</v>
      </c>
      <c r="J1075" s="432">
        <v>46234</v>
      </c>
    </row>
    <row r="1076" spans="1:10">
      <c r="A1076" s="431">
        <v>1115</v>
      </c>
      <c r="B1076" s="431" t="s">
        <v>2253</v>
      </c>
      <c r="C1076" s="431" t="s">
        <v>2254</v>
      </c>
      <c r="D1076" s="431" t="s">
        <v>4366</v>
      </c>
      <c r="E1076" s="431" t="s">
        <v>4367</v>
      </c>
      <c r="F1076" s="431">
        <v>112</v>
      </c>
      <c r="G1076" s="431" t="s">
        <v>21</v>
      </c>
      <c r="H1076" s="431" t="s">
        <v>2257</v>
      </c>
      <c r="I1076" s="431" t="s">
        <v>2258</v>
      </c>
      <c r="J1076" s="432">
        <v>46234</v>
      </c>
    </row>
    <row r="1077" spans="1:10">
      <c r="A1077" s="431">
        <v>1116</v>
      </c>
      <c r="B1077" s="431" t="s">
        <v>2253</v>
      </c>
      <c r="C1077" s="431" t="s">
        <v>2254</v>
      </c>
      <c r="D1077" s="431" t="s">
        <v>4368</v>
      </c>
      <c r="E1077" s="431" t="s">
        <v>4369</v>
      </c>
      <c r="F1077" s="431">
        <v>159</v>
      </c>
      <c r="G1077" s="431" t="s">
        <v>21</v>
      </c>
      <c r="H1077" s="431" t="s">
        <v>2573</v>
      </c>
      <c r="I1077" s="431" t="s">
        <v>2574</v>
      </c>
      <c r="J1077" s="432">
        <v>46234</v>
      </c>
    </row>
    <row r="1078" spans="1:10">
      <c r="A1078" s="431">
        <v>1117</v>
      </c>
      <c r="B1078" s="431" t="s">
        <v>2253</v>
      </c>
      <c r="C1078" s="431" t="s">
        <v>2254</v>
      </c>
      <c r="D1078" s="431" t="s">
        <v>4370</v>
      </c>
      <c r="E1078" s="431" t="s">
        <v>4371</v>
      </c>
      <c r="F1078" s="431">
        <v>244</v>
      </c>
      <c r="G1078" s="431" t="s">
        <v>21</v>
      </c>
      <c r="H1078" s="431" t="s">
        <v>2257</v>
      </c>
      <c r="I1078" s="431" t="s">
        <v>2258</v>
      </c>
      <c r="J1078" s="432">
        <v>46234</v>
      </c>
    </row>
    <row r="1079" spans="1:10">
      <c r="A1079" s="431">
        <v>1118</v>
      </c>
      <c r="B1079" s="431" t="s">
        <v>2253</v>
      </c>
      <c r="C1079" s="431" t="s">
        <v>2254</v>
      </c>
      <c r="D1079" s="431" t="s">
        <v>94</v>
      </c>
      <c r="E1079" s="431" t="s">
        <v>95</v>
      </c>
      <c r="F1079" s="431">
        <v>398</v>
      </c>
      <c r="G1079" s="431" t="s">
        <v>21</v>
      </c>
      <c r="H1079" s="431" t="s">
        <v>2257</v>
      </c>
      <c r="I1079" s="431" t="s">
        <v>2258</v>
      </c>
      <c r="J1079" s="432">
        <v>46234</v>
      </c>
    </row>
    <row r="1080" spans="1:10">
      <c r="A1080" s="431">
        <v>1119</v>
      </c>
      <c r="B1080" s="431" t="s">
        <v>2253</v>
      </c>
      <c r="C1080" s="431" t="s">
        <v>2254</v>
      </c>
      <c r="D1080" s="431" t="s">
        <v>4372</v>
      </c>
      <c r="E1080" s="431" t="s">
        <v>4373</v>
      </c>
      <c r="F1080" s="431">
        <v>515</v>
      </c>
      <c r="G1080" s="431" t="s">
        <v>21</v>
      </c>
      <c r="H1080" s="431" t="s">
        <v>2257</v>
      </c>
      <c r="I1080" s="431" t="s">
        <v>2258</v>
      </c>
      <c r="J1080" s="432">
        <v>46234</v>
      </c>
    </row>
    <row r="1081" spans="1:10">
      <c r="A1081" s="431">
        <v>1120</v>
      </c>
      <c r="B1081" s="431" t="s">
        <v>2253</v>
      </c>
      <c r="C1081" s="431" t="s">
        <v>2254</v>
      </c>
      <c r="D1081" s="431" t="s">
        <v>436</v>
      </c>
      <c r="E1081" s="431" t="s">
        <v>437</v>
      </c>
      <c r="F1081" s="431">
        <v>813</v>
      </c>
      <c r="G1081" s="431" t="s">
        <v>21</v>
      </c>
      <c r="H1081" s="431" t="s">
        <v>2257</v>
      </c>
      <c r="I1081" s="431" t="s">
        <v>2258</v>
      </c>
      <c r="J1081" s="432">
        <v>46234</v>
      </c>
    </row>
    <row r="1082" spans="1:10">
      <c r="A1082" s="431">
        <v>1121</v>
      </c>
      <c r="B1082" s="431" t="s">
        <v>2253</v>
      </c>
      <c r="C1082" s="431" t="s">
        <v>2254</v>
      </c>
      <c r="D1082" s="431" t="s">
        <v>311</v>
      </c>
      <c r="E1082" s="431" t="s">
        <v>313</v>
      </c>
      <c r="F1082" s="431">
        <v>654</v>
      </c>
      <c r="G1082" s="431" t="s">
        <v>21</v>
      </c>
      <c r="H1082" s="431" t="s">
        <v>2257</v>
      </c>
      <c r="I1082" s="431" t="s">
        <v>2258</v>
      </c>
      <c r="J1082" s="432">
        <v>46234</v>
      </c>
    </row>
    <row r="1083" spans="1:10">
      <c r="A1083" s="431">
        <v>1122</v>
      </c>
      <c r="B1083" s="431" t="s">
        <v>2253</v>
      </c>
      <c r="C1083" s="431" t="s">
        <v>2254</v>
      </c>
      <c r="D1083" s="431" t="s">
        <v>4374</v>
      </c>
      <c r="E1083" s="431" t="s">
        <v>4375</v>
      </c>
      <c r="F1083" s="431">
        <v>10</v>
      </c>
      <c r="G1083" s="431" t="s">
        <v>21</v>
      </c>
      <c r="H1083" s="431" t="s">
        <v>2257</v>
      </c>
      <c r="I1083" s="431" t="s">
        <v>2258</v>
      </c>
      <c r="J1083" s="432">
        <v>46234</v>
      </c>
    </row>
    <row r="1084" spans="1:10">
      <c r="A1084" s="431">
        <v>1123</v>
      </c>
      <c r="B1084" s="431" t="s">
        <v>2253</v>
      </c>
      <c r="C1084" s="431" t="s">
        <v>2254</v>
      </c>
      <c r="D1084" s="431" t="s">
        <v>4376</v>
      </c>
      <c r="E1084" s="431" t="s">
        <v>4377</v>
      </c>
      <c r="F1084" s="431">
        <v>16</v>
      </c>
      <c r="G1084" s="431" t="s">
        <v>21</v>
      </c>
      <c r="H1084" s="431" t="s">
        <v>2257</v>
      </c>
      <c r="I1084" s="431" t="s">
        <v>2258</v>
      </c>
      <c r="J1084" s="432">
        <v>46234</v>
      </c>
    </row>
    <row r="1085" spans="1:10">
      <c r="A1085" s="431">
        <v>1124</v>
      </c>
      <c r="B1085" s="431" t="s">
        <v>2253</v>
      </c>
      <c r="C1085" s="431" t="s">
        <v>2254</v>
      </c>
      <c r="D1085" s="431" t="s">
        <v>4378</v>
      </c>
      <c r="E1085" s="431" t="s">
        <v>4379</v>
      </c>
      <c r="F1085" s="431">
        <v>25</v>
      </c>
      <c r="G1085" s="431" t="s">
        <v>21</v>
      </c>
      <c r="H1085" s="431" t="s">
        <v>2257</v>
      </c>
      <c r="I1085" s="431" t="s">
        <v>2258</v>
      </c>
      <c r="J1085" s="432">
        <v>46234</v>
      </c>
    </row>
    <row r="1086" spans="1:10">
      <c r="A1086" s="431">
        <v>1125</v>
      </c>
      <c r="B1086" s="431" t="s">
        <v>2253</v>
      </c>
      <c r="C1086" s="431" t="s">
        <v>2254</v>
      </c>
      <c r="D1086" s="431" t="s">
        <v>4380</v>
      </c>
      <c r="E1086" s="431" t="s">
        <v>4381</v>
      </c>
      <c r="F1086" s="431">
        <v>38</v>
      </c>
      <c r="G1086" s="431" t="s">
        <v>21</v>
      </c>
      <c r="H1086" s="431" t="s">
        <v>2257</v>
      </c>
      <c r="I1086" s="431" t="s">
        <v>2258</v>
      </c>
      <c r="J1086" s="432">
        <v>46234</v>
      </c>
    </row>
    <row r="1087" spans="1:10">
      <c r="A1087" s="431">
        <v>1126</v>
      </c>
      <c r="B1087" s="431" t="s">
        <v>2253</v>
      </c>
      <c r="C1087" s="431" t="s">
        <v>2254</v>
      </c>
      <c r="D1087" s="431" t="s">
        <v>4382</v>
      </c>
      <c r="E1087" s="431" t="s">
        <v>4383</v>
      </c>
      <c r="F1087" s="431">
        <v>62</v>
      </c>
      <c r="G1087" s="431" t="s">
        <v>21</v>
      </c>
      <c r="H1087" s="431" t="s">
        <v>2257</v>
      </c>
      <c r="I1087" s="431" t="s">
        <v>2258</v>
      </c>
      <c r="J1087" s="432">
        <v>46234</v>
      </c>
    </row>
    <row r="1088" spans="1:10">
      <c r="A1088" s="431">
        <v>1127</v>
      </c>
      <c r="B1088" s="431" t="s">
        <v>2253</v>
      </c>
      <c r="C1088" s="431" t="s">
        <v>2254</v>
      </c>
      <c r="D1088" s="431" t="s">
        <v>1887</v>
      </c>
      <c r="E1088" s="431" t="s">
        <v>1889</v>
      </c>
      <c r="F1088" s="431">
        <v>97</v>
      </c>
      <c r="G1088" s="431" t="s">
        <v>21</v>
      </c>
      <c r="H1088" s="431" t="s">
        <v>2257</v>
      </c>
      <c r="I1088" s="431" t="s">
        <v>2258</v>
      </c>
      <c r="J1088" s="432">
        <v>46234</v>
      </c>
    </row>
    <row r="1089" spans="1:10">
      <c r="A1089" s="431">
        <v>1128</v>
      </c>
      <c r="B1089" s="431" t="s">
        <v>2253</v>
      </c>
      <c r="C1089" s="431" t="s">
        <v>2254</v>
      </c>
      <c r="D1089" s="431" t="s">
        <v>4384</v>
      </c>
      <c r="E1089" s="431" t="s">
        <v>4385</v>
      </c>
      <c r="F1089" s="431">
        <v>140</v>
      </c>
      <c r="G1089" s="431" t="s">
        <v>21</v>
      </c>
      <c r="H1089" s="431" t="s">
        <v>2257</v>
      </c>
      <c r="I1089" s="431" t="s">
        <v>2258</v>
      </c>
      <c r="J1089" s="432">
        <v>46234</v>
      </c>
    </row>
    <row r="1090" spans="1:10">
      <c r="A1090" s="431">
        <v>1129</v>
      </c>
      <c r="B1090" s="431" t="s">
        <v>2253</v>
      </c>
      <c r="C1090" s="431" t="s">
        <v>2254</v>
      </c>
      <c r="D1090" s="431" t="s">
        <v>1897</v>
      </c>
      <c r="E1090" s="431" t="s">
        <v>1898</v>
      </c>
      <c r="F1090" s="431">
        <v>195</v>
      </c>
      <c r="G1090" s="431" t="s">
        <v>21</v>
      </c>
      <c r="H1090" s="431" t="s">
        <v>2257</v>
      </c>
      <c r="I1090" s="431" t="s">
        <v>2258</v>
      </c>
      <c r="J1090" s="432">
        <v>46234</v>
      </c>
    </row>
    <row r="1091" spans="1:10">
      <c r="A1091" s="431">
        <v>1130</v>
      </c>
      <c r="B1091" s="431" t="s">
        <v>2253</v>
      </c>
      <c r="C1091" s="431" t="s">
        <v>2254</v>
      </c>
      <c r="D1091" s="431" t="s">
        <v>4386</v>
      </c>
      <c r="E1091" s="431" t="s">
        <v>4387</v>
      </c>
      <c r="F1091" s="431">
        <v>292</v>
      </c>
      <c r="G1091" s="431" t="s">
        <v>21</v>
      </c>
      <c r="H1091" s="431" t="s">
        <v>2257</v>
      </c>
      <c r="I1091" s="431" t="s">
        <v>2258</v>
      </c>
      <c r="J1091" s="432">
        <v>46234</v>
      </c>
    </row>
    <row r="1092" spans="1:10">
      <c r="A1092" s="431">
        <v>1131</v>
      </c>
      <c r="B1092" s="431" t="s">
        <v>2253</v>
      </c>
      <c r="C1092" s="431" t="s">
        <v>2254</v>
      </c>
      <c r="D1092" s="431" t="s">
        <v>639</v>
      </c>
      <c r="E1092" s="431" t="s">
        <v>640</v>
      </c>
      <c r="F1092" s="431">
        <v>480</v>
      </c>
      <c r="G1092" s="431" t="s">
        <v>21</v>
      </c>
      <c r="H1092" s="431" t="s">
        <v>2257</v>
      </c>
      <c r="I1092" s="431" t="s">
        <v>2258</v>
      </c>
      <c r="J1092" s="432">
        <v>46234</v>
      </c>
    </row>
    <row r="1093" spans="1:10">
      <c r="A1093" s="431">
        <v>1132</v>
      </c>
      <c r="B1093" s="431" t="s">
        <v>2253</v>
      </c>
      <c r="C1093" s="431" t="s">
        <v>2254</v>
      </c>
      <c r="D1093" s="431" t="s">
        <v>2194</v>
      </c>
      <c r="E1093" s="431" t="s">
        <v>2195</v>
      </c>
      <c r="F1093" s="431">
        <v>617</v>
      </c>
      <c r="G1093" s="431" t="s">
        <v>21</v>
      </c>
      <c r="H1093" s="431" t="s">
        <v>2257</v>
      </c>
      <c r="I1093" s="431" t="s">
        <v>2258</v>
      </c>
      <c r="J1093" s="432">
        <v>46234</v>
      </c>
    </row>
    <row r="1094" spans="1:10">
      <c r="A1094" s="431">
        <v>1133</v>
      </c>
      <c r="B1094" s="431" t="s">
        <v>2253</v>
      </c>
      <c r="C1094" s="431" t="s">
        <v>2254</v>
      </c>
      <c r="D1094" s="431" t="s">
        <v>505</v>
      </c>
      <c r="E1094" s="431" t="s">
        <v>506</v>
      </c>
      <c r="F1094" s="431">
        <v>957</v>
      </c>
      <c r="G1094" s="431" t="s">
        <v>21</v>
      </c>
      <c r="H1094" s="431" t="s">
        <v>2257</v>
      </c>
      <c r="I1094" s="431" t="s">
        <v>2258</v>
      </c>
      <c r="J1094" s="432">
        <v>46234</v>
      </c>
    </row>
    <row r="1095" spans="1:10">
      <c r="A1095" s="431">
        <v>1134</v>
      </c>
      <c r="B1095" s="431" t="s">
        <v>2253</v>
      </c>
      <c r="C1095" s="431" t="s">
        <v>2254</v>
      </c>
      <c r="D1095" s="431" t="s">
        <v>4388</v>
      </c>
      <c r="E1095" s="431" t="s">
        <v>4389</v>
      </c>
      <c r="F1095" s="431">
        <v>5912</v>
      </c>
      <c r="G1095" s="431" t="s">
        <v>46</v>
      </c>
      <c r="H1095" s="431" t="s">
        <v>2257</v>
      </c>
      <c r="I1095" s="431" t="s">
        <v>2258</v>
      </c>
      <c r="J1095" s="432">
        <v>46234</v>
      </c>
    </row>
    <row r="1096" spans="1:10">
      <c r="A1096" s="431">
        <v>1135</v>
      </c>
      <c r="B1096" s="431" t="s">
        <v>2253</v>
      </c>
      <c r="C1096" s="431" t="s">
        <v>2254</v>
      </c>
      <c r="D1096" s="431" t="s">
        <v>4390</v>
      </c>
      <c r="E1096" s="431" t="s">
        <v>4391</v>
      </c>
      <c r="F1096" s="431">
        <v>7680</v>
      </c>
      <c r="G1096" s="431" t="s">
        <v>46</v>
      </c>
      <c r="H1096" s="431" t="s">
        <v>2257</v>
      </c>
      <c r="I1096" s="431" t="s">
        <v>2258</v>
      </c>
      <c r="J1096" s="432">
        <v>46234</v>
      </c>
    </row>
    <row r="1097" spans="1:10">
      <c r="A1097" s="431">
        <v>1136</v>
      </c>
      <c r="B1097" s="431" t="s">
        <v>2253</v>
      </c>
      <c r="C1097" s="431" t="s">
        <v>2254</v>
      </c>
      <c r="D1097" s="431" t="s">
        <v>4392</v>
      </c>
      <c r="E1097" s="431" t="s">
        <v>4393</v>
      </c>
      <c r="F1097" s="431">
        <v>9643</v>
      </c>
      <c r="G1097" s="431" t="s">
        <v>46</v>
      </c>
      <c r="H1097" s="431" t="s">
        <v>2257</v>
      </c>
      <c r="I1097" s="431" t="s">
        <v>2258</v>
      </c>
      <c r="J1097" s="432">
        <v>46234</v>
      </c>
    </row>
    <row r="1098" spans="1:10">
      <c r="A1098" s="431">
        <v>1137</v>
      </c>
      <c r="B1098" s="431" t="s">
        <v>2253</v>
      </c>
      <c r="C1098" s="431" t="s">
        <v>2254</v>
      </c>
      <c r="D1098" s="431" t="s">
        <v>4394</v>
      </c>
      <c r="E1098" s="431" t="s">
        <v>4395</v>
      </c>
      <c r="F1098" s="431">
        <v>11388</v>
      </c>
      <c r="G1098" s="431" t="s">
        <v>46</v>
      </c>
      <c r="H1098" s="431" t="s">
        <v>2257</v>
      </c>
      <c r="I1098" s="431" t="s">
        <v>2258</v>
      </c>
      <c r="J1098" s="432">
        <v>46234</v>
      </c>
    </row>
    <row r="1099" spans="1:10">
      <c r="A1099" s="431">
        <v>1138</v>
      </c>
      <c r="B1099" s="431" t="s">
        <v>2253</v>
      </c>
      <c r="C1099" s="431" t="s">
        <v>2254</v>
      </c>
      <c r="D1099" s="431" t="s">
        <v>4396</v>
      </c>
      <c r="E1099" s="431" t="s">
        <v>4397</v>
      </c>
      <c r="F1099" s="431">
        <v>19623</v>
      </c>
      <c r="G1099" s="431" t="s">
        <v>46</v>
      </c>
      <c r="H1099" s="431" t="s">
        <v>2257</v>
      </c>
      <c r="I1099" s="431" t="s">
        <v>2258</v>
      </c>
      <c r="J1099" s="432">
        <v>46234</v>
      </c>
    </row>
    <row r="1100" spans="1:10">
      <c r="A1100" s="431">
        <v>1139</v>
      </c>
      <c r="B1100" s="431" t="s">
        <v>2253</v>
      </c>
      <c r="C1100" s="431" t="s">
        <v>2254</v>
      </c>
      <c r="D1100" s="431" t="s">
        <v>4398</v>
      </c>
      <c r="E1100" s="431" t="s">
        <v>4399</v>
      </c>
      <c r="F1100" s="431">
        <v>32086</v>
      </c>
      <c r="G1100" s="431" t="s">
        <v>46</v>
      </c>
      <c r="H1100" s="431" t="s">
        <v>2257</v>
      </c>
      <c r="I1100" s="431" t="s">
        <v>2258</v>
      </c>
      <c r="J1100" s="432">
        <v>46234</v>
      </c>
    </row>
    <row r="1101" spans="1:10">
      <c r="A1101" s="431">
        <v>1140</v>
      </c>
      <c r="B1101" s="431" t="s">
        <v>2253</v>
      </c>
      <c r="C1101" s="431" t="s">
        <v>2254</v>
      </c>
      <c r="D1101" s="431" t="s">
        <v>4400</v>
      </c>
      <c r="E1101" s="431" t="s">
        <v>4401</v>
      </c>
      <c r="F1101" s="431">
        <v>47973</v>
      </c>
      <c r="G1101" s="431" t="s">
        <v>46</v>
      </c>
      <c r="H1101" s="431" t="s">
        <v>2257</v>
      </c>
      <c r="I1101" s="431" t="s">
        <v>2258</v>
      </c>
      <c r="J1101" s="432">
        <v>46234</v>
      </c>
    </row>
    <row r="1102" spans="1:10">
      <c r="A1102" s="431">
        <v>1141</v>
      </c>
      <c r="B1102" s="431" t="s">
        <v>2253</v>
      </c>
      <c r="C1102" s="431" t="s">
        <v>2254</v>
      </c>
      <c r="D1102" s="431" t="s">
        <v>4402</v>
      </c>
      <c r="E1102" s="431" t="s">
        <v>4403</v>
      </c>
      <c r="F1102" s="431">
        <v>4688</v>
      </c>
      <c r="G1102" s="431" t="s">
        <v>46</v>
      </c>
      <c r="H1102" s="431" t="s">
        <v>2257</v>
      </c>
      <c r="I1102" s="431" t="s">
        <v>2258</v>
      </c>
      <c r="J1102" s="432">
        <v>46234</v>
      </c>
    </row>
    <row r="1103" spans="1:10">
      <c r="A1103" s="431">
        <v>1142</v>
      </c>
      <c r="B1103" s="431" t="s">
        <v>2253</v>
      </c>
      <c r="C1103" s="431" t="s">
        <v>2254</v>
      </c>
      <c r="D1103" s="431" t="s">
        <v>4404</v>
      </c>
      <c r="E1103" s="431" t="s">
        <v>4405</v>
      </c>
      <c r="F1103" s="431">
        <v>6035</v>
      </c>
      <c r="G1103" s="431" t="s">
        <v>46</v>
      </c>
      <c r="H1103" s="431" t="s">
        <v>2257</v>
      </c>
      <c r="I1103" s="431" t="s">
        <v>2258</v>
      </c>
      <c r="J1103" s="432">
        <v>46234</v>
      </c>
    </row>
    <row r="1104" spans="1:10">
      <c r="A1104" s="431">
        <v>1143</v>
      </c>
      <c r="B1104" s="431" t="s">
        <v>2253</v>
      </c>
      <c r="C1104" s="431" t="s">
        <v>2254</v>
      </c>
      <c r="D1104" s="431" t="s">
        <v>4406</v>
      </c>
      <c r="E1104" s="431" t="s">
        <v>4407</v>
      </c>
      <c r="F1104" s="431">
        <v>8438</v>
      </c>
      <c r="G1104" s="431" t="s">
        <v>46</v>
      </c>
      <c r="H1104" s="431" t="s">
        <v>2257</v>
      </c>
      <c r="I1104" s="431" t="s">
        <v>2258</v>
      </c>
      <c r="J1104" s="432">
        <v>46234</v>
      </c>
    </row>
    <row r="1105" spans="1:10">
      <c r="A1105" s="431">
        <v>1144</v>
      </c>
      <c r="B1105" s="431" t="s">
        <v>2253</v>
      </c>
      <c r="C1105" s="431" t="s">
        <v>2254</v>
      </c>
      <c r="D1105" s="431" t="s">
        <v>4408</v>
      </c>
      <c r="E1105" s="431" t="s">
        <v>4409</v>
      </c>
      <c r="F1105" s="431">
        <v>17969</v>
      </c>
      <c r="G1105" s="431" t="s">
        <v>46</v>
      </c>
      <c r="H1105" s="431" t="s">
        <v>2257</v>
      </c>
      <c r="I1105" s="431" t="s">
        <v>2258</v>
      </c>
      <c r="J1105" s="432">
        <v>46234</v>
      </c>
    </row>
    <row r="1106" spans="1:10">
      <c r="A1106" s="431">
        <v>1145</v>
      </c>
      <c r="B1106" s="431" t="s">
        <v>2253</v>
      </c>
      <c r="C1106" s="431" t="s">
        <v>2254</v>
      </c>
      <c r="D1106" s="431" t="s">
        <v>4410</v>
      </c>
      <c r="E1106" s="431" t="s">
        <v>4411</v>
      </c>
      <c r="F1106" s="431">
        <v>1250</v>
      </c>
      <c r="G1106" s="431" t="s">
        <v>46</v>
      </c>
      <c r="H1106" s="431" t="s">
        <v>2257</v>
      </c>
      <c r="I1106" s="431" t="s">
        <v>2258</v>
      </c>
      <c r="J1106" s="432">
        <v>46234</v>
      </c>
    </row>
    <row r="1107" spans="1:10">
      <c r="A1107" s="431">
        <v>1146</v>
      </c>
      <c r="B1107" s="431" t="s">
        <v>2253</v>
      </c>
      <c r="C1107" s="431" t="s">
        <v>2254</v>
      </c>
      <c r="D1107" s="431" t="s">
        <v>4412</v>
      </c>
      <c r="E1107" s="431" t="s">
        <v>4413</v>
      </c>
      <c r="F1107" s="431">
        <v>1813</v>
      </c>
      <c r="G1107" s="431" t="s">
        <v>46</v>
      </c>
      <c r="H1107" s="431" t="s">
        <v>2257</v>
      </c>
      <c r="I1107" s="431" t="s">
        <v>2258</v>
      </c>
      <c r="J1107" s="432">
        <v>46234</v>
      </c>
    </row>
    <row r="1108" spans="1:10">
      <c r="A1108" s="431">
        <v>1147</v>
      </c>
      <c r="B1108" s="431" t="s">
        <v>2253</v>
      </c>
      <c r="C1108" s="431" t="s">
        <v>2254</v>
      </c>
      <c r="D1108" s="431" t="s">
        <v>4414</v>
      </c>
      <c r="E1108" s="431" t="s">
        <v>4415</v>
      </c>
      <c r="F1108" s="431">
        <v>2116</v>
      </c>
      <c r="G1108" s="431" t="s">
        <v>46</v>
      </c>
      <c r="H1108" s="431" t="s">
        <v>2257</v>
      </c>
      <c r="I1108" s="431" t="s">
        <v>2258</v>
      </c>
      <c r="J1108" s="432">
        <v>46234</v>
      </c>
    </row>
    <row r="1109" spans="1:10">
      <c r="A1109" s="431">
        <v>1148</v>
      </c>
      <c r="B1109" s="431" t="s">
        <v>2253</v>
      </c>
      <c r="C1109" s="431" t="s">
        <v>2254</v>
      </c>
      <c r="D1109" s="431" t="s">
        <v>4416</v>
      </c>
      <c r="E1109" s="431" t="s">
        <v>4417</v>
      </c>
      <c r="F1109" s="431">
        <v>1445</v>
      </c>
      <c r="G1109" s="431" t="s">
        <v>46</v>
      </c>
      <c r="H1109" s="431" t="s">
        <v>2257</v>
      </c>
      <c r="I1109" s="431" t="s">
        <v>2258</v>
      </c>
      <c r="J1109" s="432">
        <v>46234</v>
      </c>
    </row>
    <row r="1110" spans="1:10">
      <c r="A1110" s="431">
        <v>1149</v>
      </c>
      <c r="B1110" s="431" t="s">
        <v>2253</v>
      </c>
      <c r="C1110" s="431" t="s">
        <v>2254</v>
      </c>
      <c r="D1110" s="431" t="s">
        <v>4418</v>
      </c>
      <c r="E1110" s="431" t="s">
        <v>4419</v>
      </c>
      <c r="F1110" s="431">
        <v>1997</v>
      </c>
      <c r="G1110" s="431" t="s">
        <v>46</v>
      </c>
      <c r="H1110" s="431" t="s">
        <v>2257</v>
      </c>
      <c r="I1110" s="431" t="s">
        <v>2258</v>
      </c>
      <c r="J1110" s="432">
        <v>46234</v>
      </c>
    </row>
    <row r="1111" spans="1:10">
      <c r="A1111" s="431">
        <v>1150</v>
      </c>
      <c r="B1111" s="431" t="s">
        <v>2253</v>
      </c>
      <c r="C1111" s="431" t="s">
        <v>2254</v>
      </c>
      <c r="D1111" s="431" t="s">
        <v>4420</v>
      </c>
      <c r="E1111" s="431" t="s">
        <v>4421</v>
      </c>
      <c r="F1111" s="431">
        <v>2350</v>
      </c>
      <c r="G1111" s="431" t="s">
        <v>46</v>
      </c>
      <c r="H1111" s="431" t="s">
        <v>2257</v>
      </c>
      <c r="I1111" s="431" t="s">
        <v>2258</v>
      </c>
      <c r="J1111" s="432">
        <v>46234</v>
      </c>
    </row>
    <row r="1112" spans="1:10">
      <c r="A1112" s="431">
        <v>1151</v>
      </c>
      <c r="B1112" s="431" t="s">
        <v>2253</v>
      </c>
      <c r="C1112" s="431" t="s">
        <v>2254</v>
      </c>
      <c r="D1112" s="431" t="s">
        <v>4422</v>
      </c>
      <c r="E1112" s="431" t="s">
        <v>4423</v>
      </c>
      <c r="F1112" s="431">
        <v>3750</v>
      </c>
      <c r="G1112" s="431" t="s">
        <v>46</v>
      </c>
      <c r="H1112" s="431" t="s">
        <v>2257</v>
      </c>
      <c r="I1112" s="431" t="s">
        <v>2258</v>
      </c>
      <c r="J1112" s="432">
        <v>46234</v>
      </c>
    </row>
    <row r="1113" spans="1:10">
      <c r="A1113" s="431">
        <v>1152</v>
      </c>
      <c r="B1113" s="431" t="s">
        <v>2253</v>
      </c>
      <c r="C1113" s="431" t="s">
        <v>2254</v>
      </c>
      <c r="D1113" s="431" t="s">
        <v>4424</v>
      </c>
      <c r="E1113" s="431" t="s">
        <v>4425</v>
      </c>
      <c r="F1113" s="431">
        <v>4219</v>
      </c>
      <c r="G1113" s="431" t="s">
        <v>46</v>
      </c>
      <c r="H1113" s="431" t="s">
        <v>2257</v>
      </c>
      <c r="I1113" s="431" t="s">
        <v>2258</v>
      </c>
      <c r="J1113" s="432">
        <v>46234</v>
      </c>
    </row>
    <row r="1114" spans="1:10">
      <c r="A1114" s="431">
        <v>1153</v>
      </c>
      <c r="B1114" s="431" t="s">
        <v>2253</v>
      </c>
      <c r="C1114" s="431" t="s">
        <v>2254</v>
      </c>
      <c r="D1114" s="431" t="s">
        <v>4426</v>
      </c>
      <c r="E1114" s="431" t="s">
        <v>4427</v>
      </c>
      <c r="F1114" s="431">
        <v>28438</v>
      </c>
      <c r="G1114" s="431" t="s">
        <v>46</v>
      </c>
      <c r="H1114" s="431" t="s">
        <v>2257</v>
      </c>
      <c r="I1114" s="431" t="s">
        <v>2258</v>
      </c>
      <c r="J1114" s="432">
        <v>46234</v>
      </c>
    </row>
    <row r="1115" spans="1:10">
      <c r="A1115" s="431">
        <v>1154</v>
      </c>
      <c r="B1115" s="431" t="s">
        <v>2253</v>
      </c>
      <c r="C1115" s="431" t="s">
        <v>2254</v>
      </c>
      <c r="D1115" s="431" t="s">
        <v>4428</v>
      </c>
      <c r="E1115" s="431" t="s">
        <v>4429</v>
      </c>
      <c r="F1115" s="431">
        <v>4063</v>
      </c>
      <c r="G1115" s="431" t="s">
        <v>46</v>
      </c>
      <c r="H1115" s="431" t="s">
        <v>2257</v>
      </c>
      <c r="I1115" s="431" t="s">
        <v>2258</v>
      </c>
      <c r="J1115" s="432">
        <v>46234</v>
      </c>
    </row>
    <row r="1116" spans="1:10">
      <c r="A1116" s="431">
        <v>1155</v>
      </c>
      <c r="B1116" s="431" t="s">
        <v>2253</v>
      </c>
      <c r="C1116" s="431" t="s">
        <v>2254</v>
      </c>
      <c r="D1116" s="431" t="s">
        <v>4430</v>
      </c>
      <c r="E1116" s="431" t="s">
        <v>4431</v>
      </c>
      <c r="F1116" s="431">
        <v>4610</v>
      </c>
      <c r="G1116" s="431" t="s">
        <v>46</v>
      </c>
      <c r="H1116" s="431" t="s">
        <v>2257</v>
      </c>
      <c r="I1116" s="431" t="s">
        <v>2258</v>
      </c>
      <c r="J1116" s="432">
        <v>46234</v>
      </c>
    </row>
    <row r="1117" spans="1:10">
      <c r="A1117" s="431">
        <v>1156</v>
      </c>
      <c r="B1117" s="431" t="s">
        <v>2253</v>
      </c>
      <c r="C1117" s="431" t="s">
        <v>2254</v>
      </c>
      <c r="D1117" s="431" t="s">
        <v>4432</v>
      </c>
      <c r="E1117" s="431" t="s">
        <v>4433</v>
      </c>
      <c r="F1117" s="431">
        <v>6485</v>
      </c>
      <c r="G1117" s="431" t="s">
        <v>46</v>
      </c>
      <c r="H1117" s="431" t="s">
        <v>2257</v>
      </c>
      <c r="I1117" s="431" t="s">
        <v>2258</v>
      </c>
      <c r="J1117" s="432">
        <v>46234</v>
      </c>
    </row>
    <row r="1118" spans="1:10">
      <c r="A1118" s="431">
        <v>1157</v>
      </c>
      <c r="B1118" s="431" t="s">
        <v>2253</v>
      </c>
      <c r="C1118" s="431" t="s">
        <v>2254</v>
      </c>
      <c r="D1118" s="431" t="s">
        <v>4434</v>
      </c>
      <c r="E1118" s="431" t="s">
        <v>4435</v>
      </c>
      <c r="F1118" s="431">
        <v>9219</v>
      </c>
      <c r="G1118" s="431" t="s">
        <v>46</v>
      </c>
      <c r="H1118" s="431" t="s">
        <v>2257</v>
      </c>
      <c r="I1118" s="431" t="s">
        <v>2258</v>
      </c>
      <c r="J1118" s="432">
        <v>46234</v>
      </c>
    </row>
    <row r="1119" spans="1:10">
      <c r="A1119" s="431">
        <v>1158</v>
      </c>
      <c r="B1119" s="431" t="s">
        <v>2253</v>
      </c>
      <c r="C1119" s="431" t="s">
        <v>2254</v>
      </c>
      <c r="D1119" s="431" t="s">
        <v>4436</v>
      </c>
      <c r="E1119" s="431" t="s">
        <v>4437</v>
      </c>
      <c r="F1119" s="431">
        <v>14688</v>
      </c>
      <c r="G1119" s="431" t="s">
        <v>46</v>
      </c>
      <c r="H1119" s="431" t="s">
        <v>2257</v>
      </c>
      <c r="I1119" s="431" t="s">
        <v>2258</v>
      </c>
      <c r="J1119" s="432">
        <v>46234</v>
      </c>
    </row>
    <row r="1120" spans="1:10">
      <c r="A1120" s="431">
        <v>1159</v>
      </c>
      <c r="B1120" s="431" t="s">
        <v>2253</v>
      </c>
      <c r="C1120" s="431" t="s">
        <v>2254</v>
      </c>
      <c r="D1120" s="431" t="s">
        <v>4438</v>
      </c>
      <c r="E1120" s="431" t="s">
        <v>4439</v>
      </c>
      <c r="F1120" s="431">
        <v>29531</v>
      </c>
      <c r="G1120" s="431" t="s">
        <v>46</v>
      </c>
      <c r="H1120" s="431" t="s">
        <v>2257</v>
      </c>
      <c r="I1120" s="431" t="s">
        <v>2258</v>
      </c>
      <c r="J1120" s="432">
        <v>46234</v>
      </c>
    </row>
    <row r="1121" spans="1:10">
      <c r="A1121" s="431">
        <v>1160</v>
      </c>
      <c r="B1121" s="431" t="s">
        <v>2253</v>
      </c>
      <c r="C1121" s="431" t="s">
        <v>2254</v>
      </c>
      <c r="D1121" s="431" t="s">
        <v>4440</v>
      </c>
      <c r="E1121" s="431" t="s">
        <v>4441</v>
      </c>
      <c r="F1121" s="431">
        <v>5313</v>
      </c>
      <c r="G1121" s="431" t="s">
        <v>46</v>
      </c>
      <c r="H1121" s="431" t="s">
        <v>2257</v>
      </c>
      <c r="I1121" s="431" t="s">
        <v>2258</v>
      </c>
      <c r="J1121" s="432">
        <v>46234</v>
      </c>
    </row>
    <row r="1122" spans="1:10">
      <c r="A1122" s="431">
        <v>1161</v>
      </c>
      <c r="B1122" s="431" t="s">
        <v>2253</v>
      </c>
      <c r="C1122" s="431" t="s">
        <v>2254</v>
      </c>
      <c r="D1122" s="431" t="s">
        <v>4442</v>
      </c>
      <c r="E1122" s="431" t="s">
        <v>4443</v>
      </c>
      <c r="F1122" s="431">
        <v>8438</v>
      </c>
      <c r="G1122" s="431" t="s">
        <v>46</v>
      </c>
      <c r="H1122" s="431" t="s">
        <v>2257</v>
      </c>
      <c r="I1122" s="431" t="s">
        <v>2258</v>
      </c>
      <c r="J1122" s="432">
        <v>46234</v>
      </c>
    </row>
    <row r="1123" spans="1:10">
      <c r="A1123" s="431">
        <v>1162</v>
      </c>
      <c r="B1123" s="431" t="s">
        <v>2253</v>
      </c>
      <c r="C1123" s="431" t="s">
        <v>2254</v>
      </c>
      <c r="D1123" s="431" t="s">
        <v>4444</v>
      </c>
      <c r="E1123" s="431" t="s">
        <v>4445</v>
      </c>
      <c r="F1123" s="431">
        <v>13438</v>
      </c>
      <c r="G1123" s="431" t="s">
        <v>46</v>
      </c>
      <c r="H1123" s="431" t="s">
        <v>2257</v>
      </c>
      <c r="I1123" s="431" t="s">
        <v>2258</v>
      </c>
      <c r="J1123" s="432">
        <v>46234</v>
      </c>
    </row>
    <row r="1124" spans="1:10">
      <c r="A1124" s="431">
        <v>1163</v>
      </c>
      <c r="B1124" s="431" t="s">
        <v>2253</v>
      </c>
      <c r="C1124" s="431" t="s">
        <v>2254</v>
      </c>
      <c r="D1124" s="431" t="s">
        <v>4446</v>
      </c>
      <c r="E1124" s="431" t="s">
        <v>4447</v>
      </c>
      <c r="F1124" s="431">
        <v>4280</v>
      </c>
      <c r="G1124" s="431" t="s">
        <v>46</v>
      </c>
      <c r="H1124" s="431" t="s">
        <v>2257</v>
      </c>
      <c r="I1124" s="431" t="s">
        <v>2258</v>
      </c>
      <c r="J1124" s="432">
        <v>46234</v>
      </c>
    </row>
    <row r="1125" spans="1:10">
      <c r="A1125" s="431">
        <v>1164</v>
      </c>
      <c r="B1125" s="431" t="s">
        <v>2253</v>
      </c>
      <c r="C1125" s="431" t="s">
        <v>2254</v>
      </c>
      <c r="D1125" s="431" t="s">
        <v>4448</v>
      </c>
      <c r="E1125" s="431" t="s">
        <v>4449</v>
      </c>
      <c r="F1125" s="431">
        <v>5760</v>
      </c>
      <c r="G1125" s="431" t="s">
        <v>46</v>
      </c>
      <c r="H1125" s="431" t="s">
        <v>2257</v>
      </c>
      <c r="I1125" s="431" t="s">
        <v>2258</v>
      </c>
      <c r="J1125" s="432">
        <v>46234</v>
      </c>
    </row>
    <row r="1126" spans="1:10">
      <c r="A1126" s="431">
        <v>1165</v>
      </c>
      <c r="B1126" s="431" t="s">
        <v>2253</v>
      </c>
      <c r="C1126" s="431" t="s">
        <v>2254</v>
      </c>
      <c r="D1126" s="431" t="s">
        <v>4450</v>
      </c>
      <c r="E1126" s="431" t="s">
        <v>4451</v>
      </c>
      <c r="F1126" s="431">
        <v>7250</v>
      </c>
      <c r="G1126" s="431" t="s">
        <v>46</v>
      </c>
      <c r="H1126" s="431" t="s">
        <v>2257</v>
      </c>
      <c r="I1126" s="431" t="s">
        <v>2258</v>
      </c>
      <c r="J1126" s="432">
        <v>46234</v>
      </c>
    </row>
    <row r="1127" spans="1:10">
      <c r="A1127" s="431">
        <v>1166</v>
      </c>
      <c r="B1127" s="431" t="s">
        <v>2253</v>
      </c>
      <c r="C1127" s="431" t="s">
        <v>2254</v>
      </c>
      <c r="D1127" s="431" t="s">
        <v>4452</v>
      </c>
      <c r="E1127" s="431" t="s">
        <v>4453</v>
      </c>
      <c r="F1127" s="431">
        <v>8700</v>
      </c>
      <c r="G1127" s="431" t="s">
        <v>46</v>
      </c>
      <c r="H1127" s="431" t="s">
        <v>2257</v>
      </c>
      <c r="I1127" s="431" t="s">
        <v>2258</v>
      </c>
      <c r="J1127" s="432">
        <v>46234</v>
      </c>
    </row>
    <row r="1128" spans="1:10">
      <c r="A1128" s="431">
        <v>1167</v>
      </c>
      <c r="B1128" s="431" t="s">
        <v>2253</v>
      </c>
      <c r="C1128" s="431" t="s">
        <v>2254</v>
      </c>
      <c r="D1128" s="431" t="s">
        <v>4454</v>
      </c>
      <c r="E1128" s="431" t="s">
        <v>4455</v>
      </c>
      <c r="F1128" s="431">
        <v>14560</v>
      </c>
      <c r="G1128" s="431" t="s">
        <v>46</v>
      </c>
      <c r="H1128" s="431" t="s">
        <v>2257</v>
      </c>
      <c r="I1128" s="431" t="s">
        <v>2258</v>
      </c>
      <c r="J1128" s="432">
        <v>46234</v>
      </c>
    </row>
    <row r="1129" spans="1:10">
      <c r="A1129" s="431">
        <v>1168</v>
      </c>
      <c r="B1129" s="431" t="s">
        <v>2253</v>
      </c>
      <c r="C1129" s="431" t="s">
        <v>2254</v>
      </c>
      <c r="D1129" s="431" t="s">
        <v>4456</v>
      </c>
      <c r="E1129" s="431" t="s">
        <v>4457</v>
      </c>
      <c r="F1129" s="431">
        <v>22800</v>
      </c>
      <c r="G1129" s="431" t="s">
        <v>46</v>
      </c>
      <c r="H1129" s="431" t="s">
        <v>2257</v>
      </c>
      <c r="I1129" s="431" t="s">
        <v>2258</v>
      </c>
      <c r="J1129" s="432">
        <v>46234</v>
      </c>
    </row>
    <row r="1130" spans="1:10">
      <c r="A1130" s="431">
        <v>1169</v>
      </c>
      <c r="B1130" s="431" t="s">
        <v>2253</v>
      </c>
      <c r="C1130" s="431" t="s">
        <v>2254</v>
      </c>
      <c r="D1130" s="431" t="s">
        <v>4458</v>
      </c>
      <c r="E1130" s="431" t="s">
        <v>4459</v>
      </c>
      <c r="F1130" s="431">
        <v>28100</v>
      </c>
      <c r="G1130" s="431" t="s">
        <v>46</v>
      </c>
      <c r="H1130" s="431" t="s">
        <v>2257</v>
      </c>
      <c r="I1130" s="431" t="s">
        <v>2258</v>
      </c>
      <c r="J1130" s="432">
        <v>46234</v>
      </c>
    </row>
    <row r="1131" spans="1:10">
      <c r="A1131" s="431">
        <v>1170</v>
      </c>
      <c r="B1131" s="431" t="s">
        <v>2253</v>
      </c>
      <c r="C1131" s="431" t="s">
        <v>2254</v>
      </c>
      <c r="D1131" s="431" t="s">
        <v>4460</v>
      </c>
      <c r="E1131" s="431" t="s">
        <v>4461</v>
      </c>
      <c r="F1131" s="431">
        <v>58700</v>
      </c>
      <c r="G1131" s="431" t="s">
        <v>46</v>
      </c>
      <c r="H1131" s="431" t="s">
        <v>2257</v>
      </c>
      <c r="I1131" s="431" t="s">
        <v>2258</v>
      </c>
      <c r="J1131" s="432">
        <v>46234</v>
      </c>
    </row>
    <row r="1132" spans="1:10">
      <c r="A1132" s="431">
        <v>1171</v>
      </c>
      <c r="B1132" s="431" t="s">
        <v>2253</v>
      </c>
      <c r="C1132" s="431" t="s">
        <v>2254</v>
      </c>
      <c r="D1132" s="431" t="s">
        <v>4462</v>
      </c>
      <c r="E1132" s="431" t="s">
        <v>4463</v>
      </c>
      <c r="F1132" s="431">
        <v>78650</v>
      </c>
      <c r="G1132" s="431" t="s">
        <v>46</v>
      </c>
      <c r="H1132" s="431" t="s">
        <v>2257</v>
      </c>
      <c r="I1132" s="431" t="s">
        <v>2258</v>
      </c>
      <c r="J1132" s="432">
        <v>46234</v>
      </c>
    </row>
    <row r="1133" spans="1:10">
      <c r="A1133" s="431">
        <v>1172</v>
      </c>
      <c r="B1133" s="431" t="s">
        <v>2253</v>
      </c>
      <c r="C1133" s="431" t="s">
        <v>2254</v>
      </c>
      <c r="D1133" s="431" t="s">
        <v>4464</v>
      </c>
      <c r="E1133" s="431" t="s">
        <v>4465</v>
      </c>
      <c r="F1133" s="431">
        <v>106700</v>
      </c>
      <c r="G1133" s="431" t="s">
        <v>46</v>
      </c>
      <c r="H1133" s="431" t="s">
        <v>2257</v>
      </c>
      <c r="I1133" s="431" t="s">
        <v>2258</v>
      </c>
      <c r="J1133" s="432">
        <v>46234</v>
      </c>
    </row>
    <row r="1134" spans="1:10">
      <c r="A1134" s="431">
        <v>1173</v>
      </c>
      <c r="B1134" s="431" t="s">
        <v>2253</v>
      </c>
      <c r="C1134" s="431" t="s">
        <v>2254</v>
      </c>
      <c r="D1134" s="431" t="s">
        <v>4466</v>
      </c>
      <c r="E1134" s="431" t="s">
        <v>4467</v>
      </c>
      <c r="F1134" s="431">
        <v>143279</v>
      </c>
      <c r="G1134" s="431" t="s">
        <v>46</v>
      </c>
      <c r="H1134" s="431" t="s">
        <v>2257</v>
      </c>
      <c r="I1134" s="431" t="s">
        <v>2258</v>
      </c>
      <c r="J1134" s="432">
        <v>46234</v>
      </c>
    </row>
    <row r="1135" spans="1:10">
      <c r="A1135" s="431">
        <v>1174</v>
      </c>
      <c r="B1135" s="431" t="s">
        <v>2253</v>
      </c>
      <c r="C1135" s="431" t="s">
        <v>2254</v>
      </c>
      <c r="D1135" s="431" t="s">
        <v>4468</v>
      </c>
      <c r="E1135" s="431" t="s">
        <v>4469</v>
      </c>
      <c r="F1135" s="431">
        <v>185750</v>
      </c>
      <c r="G1135" s="431" t="s">
        <v>46</v>
      </c>
      <c r="H1135" s="431" t="s">
        <v>2257</v>
      </c>
      <c r="I1135" s="431" t="s">
        <v>2258</v>
      </c>
      <c r="J1135" s="432">
        <v>46234</v>
      </c>
    </row>
    <row r="1136" spans="1:10">
      <c r="A1136" s="431">
        <v>1175</v>
      </c>
      <c r="B1136" s="431" t="s">
        <v>2253</v>
      </c>
      <c r="C1136" s="431" t="s">
        <v>2254</v>
      </c>
      <c r="D1136" s="431" t="s">
        <v>4470</v>
      </c>
      <c r="E1136" s="431" t="s">
        <v>4471</v>
      </c>
      <c r="F1136" s="431">
        <v>4120</v>
      </c>
      <c r="G1136" s="431" t="s">
        <v>46</v>
      </c>
      <c r="H1136" s="431" t="s">
        <v>2257</v>
      </c>
      <c r="I1136" s="431" t="s">
        <v>2258</v>
      </c>
      <c r="J1136" s="432">
        <v>46234</v>
      </c>
    </row>
    <row r="1137" spans="1:10">
      <c r="A1137" s="431">
        <v>1176</v>
      </c>
      <c r="B1137" s="431" t="s">
        <v>2253</v>
      </c>
      <c r="C1137" s="431" t="s">
        <v>2254</v>
      </c>
      <c r="D1137" s="431" t="s">
        <v>4472</v>
      </c>
      <c r="E1137" s="431" t="s">
        <v>4473</v>
      </c>
      <c r="F1137" s="431">
        <v>5640</v>
      </c>
      <c r="G1137" s="431" t="s">
        <v>46</v>
      </c>
      <c r="H1137" s="431" t="s">
        <v>2257</v>
      </c>
      <c r="I1137" s="431" t="s">
        <v>2258</v>
      </c>
      <c r="J1137" s="432">
        <v>46234</v>
      </c>
    </row>
    <row r="1138" spans="1:10">
      <c r="A1138" s="431">
        <v>1177</v>
      </c>
      <c r="B1138" s="431" t="s">
        <v>2253</v>
      </c>
      <c r="C1138" s="431" t="s">
        <v>2254</v>
      </c>
      <c r="D1138" s="431" t="s">
        <v>4474</v>
      </c>
      <c r="E1138" s="431" t="s">
        <v>4475</v>
      </c>
      <c r="F1138" s="431">
        <v>7120</v>
      </c>
      <c r="G1138" s="431" t="s">
        <v>46</v>
      </c>
      <c r="H1138" s="431" t="s">
        <v>2257</v>
      </c>
      <c r="I1138" s="431" t="s">
        <v>2258</v>
      </c>
      <c r="J1138" s="432">
        <v>46234</v>
      </c>
    </row>
    <row r="1139" spans="1:10">
      <c r="A1139" s="431">
        <v>1178</v>
      </c>
      <c r="B1139" s="431" t="s">
        <v>2253</v>
      </c>
      <c r="C1139" s="431" t="s">
        <v>2254</v>
      </c>
      <c r="D1139" s="431" t="s">
        <v>4476</v>
      </c>
      <c r="E1139" s="431" t="s">
        <v>4477</v>
      </c>
      <c r="F1139" s="431">
        <v>8590</v>
      </c>
      <c r="G1139" s="431" t="s">
        <v>46</v>
      </c>
      <c r="H1139" s="431" t="s">
        <v>2257</v>
      </c>
      <c r="I1139" s="431" t="s">
        <v>2258</v>
      </c>
      <c r="J1139" s="432">
        <v>46234</v>
      </c>
    </row>
    <row r="1140" spans="1:10">
      <c r="A1140" s="431">
        <v>1179</v>
      </c>
      <c r="B1140" s="431" t="s">
        <v>2253</v>
      </c>
      <c r="C1140" s="431" t="s">
        <v>2254</v>
      </c>
      <c r="D1140" s="431" t="s">
        <v>4478</v>
      </c>
      <c r="E1140" s="431" t="s">
        <v>4479</v>
      </c>
      <c r="F1140" s="431">
        <v>14470</v>
      </c>
      <c r="G1140" s="431" t="s">
        <v>46</v>
      </c>
      <c r="H1140" s="431" t="s">
        <v>2257</v>
      </c>
      <c r="I1140" s="431" t="s">
        <v>2258</v>
      </c>
      <c r="J1140" s="432">
        <v>46234</v>
      </c>
    </row>
    <row r="1141" spans="1:10">
      <c r="A1141" s="431">
        <v>1180</v>
      </c>
      <c r="B1141" s="431" t="s">
        <v>2253</v>
      </c>
      <c r="C1141" s="431" t="s">
        <v>2254</v>
      </c>
      <c r="D1141" s="431" t="s">
        <v>4480</v>
      </c>
      <c r="E1141" s="431" t="s">
        <v>4481</v>
      </c>
      <c r="F1141" s="431">
        <v>22000</v>
      </c>
      <c r="G1141" s="431" t="s">
        <v>46</v>
      </c>
      <c r="H1141" s="431" t="s">
        <v>2257</v>
      </c>
      <c r="I1141" s="431" t="s">
        <v>2258</v>
      </c>
      <c r="J1141" s="432">
        <v>46234</v>
      </c>
    </row>
    <row r="1142" spans="1:10">
      <c r="A1142" s="431">
        <v>1181</v>
      </c>
      <c r="B1142" s="431" t="s">
        <v>2253</v>
      </c>
      <c r="C1142" s="431" t="s">
        <v>2254</v>
      </c>
      <c r="D1142" s="431" t="s">
        <v>4482</v>
      </c>
      <c r="E1142" s="431" t="s">
        <v>4483</v>
      </c>
      <c r="F1142" s="431">
        <v>27900</v>
      </c>
      <c r="G1142" s="431" t="s">
        <v>46</v>
      </c>
      <c r="H1142" s="431" t="s">
        <v>2257</v>
      </c>
      <c r="I1142" s="431" t="s">
        <v>2258</v>
      </c>
      <c r="J1142" s="432">
        <v>46234</v>
      </c>
    </row>
    <row r="1143" spans="1:10">
      <c r="A1143" s="431">
        <v>1182</v>
      </c>
      <c r="B1143" s="431" t="s">
        <v>2253</v>
      </c>
      <c r="C1143" s="431" t="s">
        <v>2254</v>
      </c>
      <c r="D1143" s="431" t="s">
        <v>4484</v>
      </c>
      <c r="E1143" s="431" t="s">
        <v>4485</v>
      </c>
      <c r="F1143" s="431">
        <v>36000</v>
      </c>
      <c r="G1143" s="431" t="s">
        <v>46</v>
      </c>
      <c r="H1143" s="431" t="s">
        <v>2257</v>
      </c>
      <c r="I1143" s="431" t="s">
        <v>2258</v>
      </c>
      <c r="J1143" s="432">
        <v>46234</v>
      </c>
    </row>
    <row r="1144" spans="1:10">
      <c r="A1144" s="431">
        <v>1183</v>
      </c>
      <c r="B1144" s="431" t="s">
        <v>2253</v>
      </c>
      <c r="C1144" s="431" t="s">
        <v>2254</v>
      </c>
      <c r="D1144" s="431" t="s">
        <v>4486</v>
      </c>
      <c r="E1144" s="431" t="s">
        <v>4487</v>
      </c>
      <c r="F1144" s="431">
        <v>48000</v>
      </c>
      <c r="G1144" s="431" t="s">
        <v>46</v>
      </c>
      <c r="H1144" s="431" t="s">
        <v>2257</v>
      </c>
      <c r="I1144" s="431" t="s">
        <v>2258</v>
      </c>
      <c r="J1144" s="432">
        <v>46234</v>
      </c>
    </row>
    <row r="1145" spans="1:10">
      <c r="A1145" s="431">
        <v>1184</v>
      </c>
      <c r="B1145" s="431" t="s">
        <v>2253</v>
      </c>
      <c r="C1145" s="431" t="s">
        <v>2254</v>
      </c>
      <c r="D1145" s="431" t="s">
        <v>4488</v>
      </c>
      <c r="E1145" s="431" t="s">
        <v>4489</v>
      </c>
      <c r="F1145" s="431">
        <v>65500</v>
      </c>
      <c r="G1145" s="431" t="s">
        <v>46</v>
      </c>
      <c r="H1145" s="431" t="s">
        <v>2257</v>
      </c>
      <c r="I1145" s="431" t="s">
        <v>2258</v>
      </c>
      <c r="J1145" s="432">
        <v>46234</v>
      </c>
    </row>
    <row r="1146" spans="1:10">
      <c r="A1146" s="431">
        <v>1185</v>
      </c>
      <c r="B1146" s="431" t="s">
        <v>2253</v>
      </c>
      <c r="C1146" s="431" t="s">
        <v>2254</v>
      </c>
      <c r="D1146" s="431" t="s">
        <v>4490</v>
      </c>
      <c r="E1146" s="431" t="s">
        <v>4491</v>
      </c>
      <c r="F1146" s="431">
        <v>90000</v>
      </c>
      <c r="G1146" s="431" t="s">
        <v>46</v>
      </c>
      <c r="H1146" s="431" t="s">
        <v>2257</v>
      </c>
      <c r="I1146" s="431" t="s">
        <v>2258</v>
      </c>
      <c r="J1146" s="432">
        <v>46234</v>
      </c>
    </row>
    <row r="1147" spans="1:10">
      <c r="A1147" s="431">
        <v>1186</v>
      </c>
      <c r="B1147" s="431" t="s">
        <v>2253</v>
      </c>
      <c r="C1147" s="431" t="s">
        <v>2254</v>
      </c>
      <c r="D1147" s="431" t="s">
        <v>4492</v>
      </c>
      <c r="E1147" s="431" t="s">
        <v>4493</v>
      </c>
      <c r="F1147" s="431">
        <v>118000</v>
      </c>
      <c r="G1147" s="431" t="s">
        <v>46</v>
      </c>
      <c r="H1147" s="431" t="s">
        <v>2257</v>
      </c>
      <c r="I1147" s="431" t="s">
        <v>2258</v>
      </c>
      <c r="J1147" s="432">
        <v>46234</v>
      </c>
    </row>
    <row r="1148" spans="1:10">
      <c r="A1148" s="431">
        <v>1187</v>
      </c>
      <c r="B1148" s="431" t="s">
        <v>2253</v>
      </c>
      <c r="C1148" s="431" t="s">
        <v>2254</v>
      </c>
      <c r="D1148" s="431" t="s">
        <v>4494</v>
      </c>
      <c r="E1148" s="431" t="s">
        <v>4495</v>
      </c>
      <c r="F1148" s="431">
        <v>4390</v>
      </c>
      <c r="G1148" s="431" t="s">
        <v>46</v>
      </c>
      <c r="H1148" s="431" t="s">
        <v>2257</v>
      </c>
      <c r="I1148" s="431" t="s">
        <v>2258</v>
      </c>
      <c r="J1148" s="432">
        <v>46234</v>
      </c>
    </row>
    <row r="1149" spans="1:10">
      <c r="A1149" s="431">
        <v>1188</v>
      </c>
      <c r="B1149" s="431" t="s">
        <v>2253</v>
      </c>
      <c r="C1149" s="431" t="s">
        <v>2254</v>
      </c>
      <c r="D1149" s="431" t="s">
        <v>4496</v>
      </c>
      <c r="E1149" s="431" t="s">
        <v>4497</v>
      </c>
      <c r="F1149" s="431">
        <v>5910</v>
      </c>
      <c r="G1149" s="431" t="s">
        <v>46</v>
      </c>
      <c r="H1149" s="431" t="s">
        <v>2257</v>
      </c>
      <c r="I1149" s="431" t="s">
        <v>2258</v>
      </c>
      <c r="J1149" s="432">
        <v>46234</v>
      </c>
    </row>
    <row r="1150" spans="1:10">
      <c r="A1150" s="431">
        <v>1189</v>
      </c>
      <c r="B1150" s="431" t="s">
        <v>2253</v>
      </c>
      <c r="C1150" s="431" t="s">
        <v>2254</v>
      </c>
      <c r="D1150" s="431" t="s">
        <v>4498</v>
      </c>
      <c r="E1150" s="431" t="s">
        <v>4499</v>
      </c>
      <c r="F1150" s="431">
        <v>7390</v>
      </c>
      <c r="G1150" s="431" t="s">
        <v>46</v>
      </c>
      <c r="H1150" s="431" t="s">
        <v>2257</v>
      </c>
      <c r="I1150" s="431" t="s">
        <v>2258</v>
      </c>
      <c r="J1150" s="432">
        <v>46234</v>
      </c>
    </row>
    <row r="1151" spans="1:10">
      <c r="A1151" s="431">
        <v>1190</v>
      </c>
      <c r="B1151" s="431" t="s">
        <v>2253</v>
      </c>
      <c r="C1151" s="431" t="s">
        <v>2254</v>
      </c>
      <c r="D1151" s="431" t="s">
        <v>4500</v>
      </c>
      <c r="E1151" s="431" t="s">
        <v>4501</v>
      </c>
      <c r="F1151" s="431">
        <v>8900</v>
      </c>
      <c r="G1151" s="431" t="s">
        <v>46</v>
      </c>
      <c r="H1151" s="431" t="s">
        <v>2257</v>
      </c>
      <c r="I1151" s="431" t="s">
        <v>2258</v>
      </c>
      <c r="J1151" s="432">
        <v>46234</v>
      </c>
    </row>
    <row r="1152" spans="1:10">
      <c r="A1152" s="431">
        <v>1191</v>
      </c>
      <c r="B1152" s="431" t="s">
        <v>2253</v>
      </c>
      <c r="C1152" s="431" t="s">
        <v>2254</v>
      </c>
      <c r="D1152" s="431" t="s">
        <v>4502</v>
      </c>
      <c r="E1152" s="431" t="s">
        <v>4503</v>
      </c>
      <c r="F1152" s="431">
        <v>14890</v>
      </c>
      <c r="G1152" s="431" t="s">
        <v>46</v>
      </c>
      <c r="H1152" s="431" t="s">
        <v>2257</v>
      </c>
      <c r="I1152" s="431" t="s">
        <v>2258</v>
      </c>
      <c r="J1152" s="432">
        <v>46234</v>
      </c>
    </row>
    <row r="1153" spans="1:10">
      <c r="A1153" s="431">
        <v>1192</v>
      </c>
      <c r="B1153" s="431" t="s">
        <v>2253</v>
      </c>
      <c r="C1153" s="431" t="s">
        <v>2254</v>
      </c>
      <c r="D1153" s="431" t="s">
        <v>4504</v>
      </c>
      <c r="E1153" s="431" t="s">
        <v>4505</v>
      </c>
      <c r="F1153" s="431">
        <v>23150</v>
      </c>
      <c r="G1153" s="431" t="s">
        <v>46</v>
      </c>
      <c r="H1153" s="431" t="s">
        <v>2257</v>
      </c>
      <c r="I1153" s="431" t="s">
        <v>2258</v>
      </c>
      <c r="J1153" s="432">
        <v>46234</v>
      </c>
    </row>
    <row r="1154" spans="1:10">
      <c r="A1154" s="431">
        <v>1193</v>
      </c>
      <c r="B1154" s="431" t="s">
        <v>2253</v>
      </c>
      <c r="C1154" s="431" t="s">
        <v>2254</v>
      </c>
      <c r="D1154" s="431" t="s">
        <v>4506</v>
      </c>
      <c r="E1154" s="431" t="s">
        <v>4507</v>
      </c>
      <c r="F1154" s="431">
        <v>29000</v>
      </c>
      <c r="G1154" s="431" t="s">
        <v>46</v>
      </c>
      <c r="H1154" s="431" t="s">
        <v>2257</v>
      </c>
      <c r="I1154" s="431" t="s">
        <v>2258</v>
      </c>
      <c r="J1154" s="432">
        <v>46234</v>
      </c>
    </row>
    <row r="1155" spans="1:10">
      <c r="A1155" s="431">
        <v>1194</v>
      </c>
      <c r="B1155" s="431" t="s">
        <v>2253</v>
      </c>
      <c r="C1155" s="431" t="s">
        <v>2254</v>
      </c>
      <c r="D1155" s="431" t="s">
        <v>4508</v>
      </c>
      <c r="E1155" s="431" t="s">
        <v>4509</v>
      </c>
      <c r="F1155" s="431">
        <v>59500</v>
      </c>
      <c r="G1155" s="431" t="s">
        <v>46</v>
      </c>
      <c r="H1155" s="431" t="s">
        <v>2257</v>
      </c>
      <c r="I1155" s="431" t="s">
        <v>2258</v>
      </c>
      <c r="J1155" s="432">
        <v>46234</v>
      </c>
    </row>
    <row r="1156" spans="1:10">
      <c r="A1156" s="431">
        <v>1195</v>
      </c>
      <c r="B1156" s="431" t="s">
        <v>2253</v>
      </c>
      <c r="C1156" s="431" t="s">
        <v>2254</v>
      </c>
      <c r="D1156" s="431" t="s">
        <v>4510</v>
      </c>
      <c r="E1156" s="431" t="s">
        <v>4511</v>
      </c>
      <c r="F1156" s="431">
        <v>79700</v>
      </c>
      <c r="G1156" s="431" t="s">
        <v>46</v>
      </c>
      <c r="H1156" s="431" t="s">
        <v>2257</v>
      </c>
      <c r="I1156" s="431" t="s">
        <v>2258</v>
      </c>
      <c r="J1156" s="432">
        <v>46234</v>
      </c>
    </row>
    <row r="1157" spans="1:10">
      <c r="A1157" s="431">
        <v>1196</v>
      </c>
      <c r="B1157" s="431" t="s">
        <v>2253</v>
      </c>
      <c r="C1157" s="431" t="s">
        <v>2254</v>
      </c>
      <c r="D1157" s="431" t="s">
        <v>4512</v>
      </c>
      <c r="E1157" s="431" t="s">
        <v>4513</v>
      </c>
      <c r="F1157" s="431">
        <v>107100</v>
      </c>
      <c r="G1157" s="431" t="s">
        <v>46</v>
      </c>
      <c r="H1157" s="431" t="s">
        <v>2257</v>
      </c>
      <c r="I1157" s="431" t="s">
        <v>2258</v>
      </c>
      <c r="J1157" s="432">
        <v>46234</v>
      </c>
    </row>
    <row r="1158" spans="1:10">
      <c r="A1158" s="431">
        <v>1197</v>
      </c>
      <c r="B1158" s="431" t="s">
        <v>2253</v>
      </c>
      <c r="C1158" s="431" t="s">
        <v>2254</v>
      </c>
      <c r="D1158" s="431" t="s">
        <v>4514</v>
      </c>
      <c r="E1158" s="431" t="s">
        <v>4515</v>
      </c>
      <c r="F1158" s="431">
        <v>145600</v>
      </c>
      <c r="G1158" s="431" t="s">
        <v>46</v>
      </c>
      <c r="H1158" s="431" t="s">
        <v>2257</v>
      </c>
      <c r="I1158" s="431" t="s">
        <v>2258</v>
      </c>
      <c r="J1158" s="432">
        <v>46234</v>
      </c>
    </row>
    <row r="1159" spans="1:10">
      <c r="A1159" s="431">
        <v>1198</v>
      </c>
      <c r="B1159" s="431" t="s">
        <v>2253</v>
      </c>
      <c r="C1159" s="431" t="s">
        <v>2254</v>
      </c>
      <c r="D1159" s="431" t="s">
        <v>4516</v>
      </c>
      <c r="E1159" s="431" t="s">
        <v>4517</v>
      </c>
      <c r="F1159" s="431">
        <v>188650</v>
      </c>
      <c r="G1159" s="431" t="s">
        <v>46</v>
      </c>
      <c r="H1159" s="431" t="s">
        <v>2257</v>
      </c>
      <c r="I1159" s="431" t="s">
        <v>2258</v>
      </c>
      <c r="J1159" s="432">
        <v>46234</v>
      </c>
    </row>
    <row r="1160" spans="1:10">
      <c r="A1160" s="431">
        <v>1199</v>
      </c>
      <c r="B1160" s="431" t="s">
        <v>2253</v>
      </c>
      <c r="C1160" s="431" t="s">
        <v>2254</v>
      </c>
      <c r="D1160" s="431" t="s">
        <v>4518</v>
      </c>
      <c r="E1160" s="431" t="s">
        <v>4519</v>
      </c>
      <c r="F1160" s="431">
        <v>4230</v>
      </c>
      <c r="G1160" s="431" t="s">
        <v>46</v>
      </c>
      <c r="H1160" s="431" t="s">
        <v>2257</v>
      </c>
      <c r="I1160" s="431" t="s">
        <v>2258</v>
      </c>
      <c r="J1160" s="432">
        <v>46234</v>
      </c>
    </row>
    <row r="1161" spans="1:10">
      <c r="A1161" s="431">
        <v>1200</v>
      </c>
      <c r="B1161" s="431" t="s">
        <v>2253</v>
      </c>
      <c r="C1161" s="431" t="s">
        <v>2254</v>
      </c>
      <c r="D1161" s="431" t="s">
        <v>4520</v>
      </c>
      <c r="E1161" s="431" t="s">
        <v>4521</v>
      </c>
      <c r="F1161" s="431">
        <v>5790</v>
      </c>
      <c r="G1161" s="431" t="s">
        <v>46</v>
      </c>
      <c r="H1161" s="431" t="s">
        <v>2257</v>
      </c>
      <c r="I1161" s="431" t="s">
        <v>2258</v>
      </c>
      <c r="J1161" s="432">
        <v>46234</v>
      </c>
    </row>
    <row r="1162" spans="1:10">
      <c r="A1162" s="431">
        <v>1201</v>
      </c>
      <c r="B1162" s="431" t="s">
        <v>2253</v>
      </c>
      <c r="C1162" s="431" t="s">
        <v>2254</v>
      </c>
      <c r="D1162" s="431" t="s">
        <v>4522</v>
      </c>
      <c r="E1162" s="431" t="s">
        <v>4523</v>
      </c>
      <c r="F1162" s="431">
        <v>7310</v>
      </c>
      <c r="G1162" s="431" t="s">
        <v>46</v>
      </c>
      <c r="H1162" s="431" t="s">
        <v>2257</v>
      </c>
      <c r="I1162" s="431" t="s">
        <v>2258</v>
      </c>
      <c r="J1162" s="432">
        <v>46234</v>
      </c>
    </row>
    <row r="1163" spans="1:10">
      <c r="A1163" s="431">
        <v>1202</v>
      </c>
      <c r="B1163" s="431" t="s">
        <v>2253</v>
      </c>
      <c r="C1163" s="431" t="s">
        <v>2254</v>
      </c>
      <c r="D1163" s="431" t="s">
        <v>4524</v>
      </c>
      <c r="E1163" s="431" t="s">
        <v>4525</v>
      </c>
      <c r="F1163" s="431">
        <v>8790</v>
      </c>
      <c r="G1163" s="431" t="s">
        <v>46</v>
      </c>
      <c r="H1163" s="431" t="s">
        <v>2257</v>
      </c>
      <c r="I1163" s="431" t="s">
        <v>2258</v>
      </c>
      <c r="J1163" s="432">
        <v>46234</v>
      </c>
    </row>
    <row r="1164" spans="1:10">
      <c r="A1164" s="431">
        <v>1203</v>
      </c>
      <c r="B1164" s="431" t="s">
        <v>2253</v>
      </c>
      <c r="C1164" s="431" t="s">
        <v>2254</v>
      </c>
      <c r="D1164" s="431" t="s">
        <v>4526</v>
      </c>
      <c r="E1164" s="431" t="s">
        <v>4527</v>
      </c>
      <c r="F1164" s="431">
        <v>14600</v>
      </c>
      <c r="G1164" s="431" t="s">
        <v>46</v>
      </c>
      <c r="H1164" s="431" t="s">
        <v>2257</v>
      </c>
      <c r="I1164" s="431" t="s">
        <v>2258</v>
      </c>
      <c r="J1164" s="432">
        <v>46234</v>
      </c>
    </row>
    <row r="1165" spans="1:10">
      <c r="A1165" s="431">
        <v>1204</v>
      </c>
      <c r="B1165" s="431" t="s">
        <v>2253</v>
      </c>
      <c r="C1165" s="431" t="s">
        <v>2254</v>
      </c>
      <c r="D1165" s="431" t="s">
        <v>4528</v>
      </c>
      <c r="E1165" s="431" t="s">
        <v>4527</v>
      </c>
      <c r="F1165" s="431">
        <v>22900</v>
      </c>
      <c r="G1165" s="431" t="s">
        <v>46</v>
      </c>
      <c r="H1165" s="431" t="s">
        <v>2257</v>
      </c>
      <c r="I1165" s="431" t="s">
        <v>2258</v>
      </c>
      <c r="J1165" s="432">
        <v>46234</v>
      </c>
    </row>
    <row r="1166" spans="1:10">
      <c r="A1166" s="431">
        <v>1205</v>
      </c>
      <c r="B1166" s="431" t="s">
        <v>2253</v>
      </c>
      <c r="C1166" s="431" t="s">
        <v>2254</v>
      </c>
      <c r="D1166" s="431" t="s">
        <v>4529</v>
      </c>
      <c r="E1166" s="431" t="s">
        <v>4530</v>
      </c>
      <c r="F1166" s="431">
        <v>28300</v>
      </c>
      <c r="G1166" s="431" t="s">
        <v>46</v>
      </c>
      <c r="H1166" s="431" t="s">
        <v>2257</v>
      </c>
      <c r="I1166" s="431" t="s">
        <v>2258</v>
      </c>
      <c r="J1166" s="432">
        <v>46234</v>
      </c>
    </row>
    <row r="1167" spans="1:10">
      <c r="A1167" s="431">
        <v>1206</v>
      </c>
      <c r="B1167" s="431" t="s">
        <v>2253</v>
      </c>
      <c r="C1167" s="431" t="s">
        <v>2254</v>
      </c>
      <c r="D1167" s="431" t="s">
        <v>4531</v>
      </c>
      <c r="E1167" s="431" t="s">
        <v>4532</v>
      </c>
      <c r="F1167" s="431">
        <v>58700</v>
      </c>
      <c r="G1167" s="431" t="s">
        <v>46</v>
      </c>
      <c r="H1167" s="431" t="s">
        <v>2257</v>
      </c>
      <c r="I1167" s="431" t="s">
        <v>2258</v>
      </c>
      <c r="J1167" s="432">
        <v>46234</v>
      </c>
    </row>
    <row r="1168" spans="1:10">
      <c r="A1168" s="431">
        <v>1207</v>
      </c>
      <c r="B1168" s="431" t="s">
        <v>2253</v>
      </c>
      <c r="C1168" s="431" t="s">
        <v>2254</v>
      </c>
      <c r="D1168" s="431" t="s">
        <v>4533</v>
      </c>
      <c r="E1168" s="431" t="s">
        <v>4534</v>
      </c>
      <c r="F1168" s="431">
        <v>79010</v>
      </c>
      <c r="G1168" s="431" t="s">
        <v>46</v>
      </c>
      <c r="H1168" s="431" t="s">
        <v>2257</v>
      </c>
      <c r="I1168" s="431" t="s">
        <v>2258</v>
      </c>
      <c r="J1168" s="432">
        <v>46234</v>
      </c>
    </row>
    <row r="1169" spans="1:10">
      <c r="A1169" s="431">
        <v>1208</v>
      </c>
      <c r="B1169" s="431" t="s">
        <v>2253</v>
      </c>
      <c r="C1169" s="431" t="s">
        <v>2254</v>
      </c>
      <c r="D1169" s="431" t="s">
        <v>4535</v>
      </c>
      <c r="E1169" s="431" t="s">
        <v>4536</v>
      </c>
      <c r="F1169" s="431">
        <v>104083</v>
      </c>
      <c r="G1169" s="431" t="s">
        <v>46</v>
      </c>
      <c r="H1169" s="431" t="s">
        <v>2257</v>
      </c>
      <c r="I1169" s="431" t="s">
        <v>2258</v>
      </c>
      <c r="J1169" s="432">
        <v>46234</v>
      </c>
    </row>
    <row r="1170" spans="1:10">
      <c r="A1170" s="431">
        <v>1209</v>
      </c>
      <c r="B1170" s="431" t="s">
        <v>2253</v>
      </c>
      <c r="C1170" s="431" t="s">
        <v>2254</v>
      </c>
      <c r="D1170" s="431" t="s">
        <v>4537</v>
      </c>
      <c r="E1170" s="431" t="s">
        <v>4538</v>
      </c>
      <c r="F1170" s="431">
        <v>129806</v>
      </c>
      <c r="G1170" s="431" t="s">
        <v>46</v>
      </c>
      <c r="H1170" s="431" t="s">
        <v>2257</v>
      </c>
      <c r="I1170" s="431" t="s">
        <v>2258</v>
      </c>
      <c r="J1170" s="432">
        <v>46234</v>
      </c>
    </row>
    <row r="1171" spans="1:10">
      <c r="A1171" s="431">
        <v>1210</v>
      </c>
      <c r="B1171" s="431" t="s">
        <v>2253</v>
      </c>
      <c r="C1171" s="431" t="s">
        <v>2254</v>
      </c>
      <c r="D1171" s="431" t="s">
        <v>4539</v>
      </c>
      <c r="E1171" s="431" t="s">
        <v>4540</v>
      </c>
      <c r="F1171" s="431">
        <v>183052</v>
      </c>
      <c r="G1171" s="431" t="s">
        <v>46</v>
      </c>
      <c r="H1171" s="431" t="s">
        <v>2573</v>
      </c>
      <c r="I1171" s="431" t="s">
        <v>2574</v>
      </c>
      <c r="J1171" s="432">
        <v>46234</v>
      </c>
    </row>
    <row r="1172" spans="1:10">
      <c r="A1172" s="431">
        <v>1211</v>
      </c>
      <c r="B1172" s="431" t="s">
        <v>2253</v>
      </c>
      <c r="C1172" s="431" t="s">
        <v>2254</v>
      </c>
      <c r="D1172" s="431" t="s">
        <v>4541</v>
      </c>
      <c r="E1172" s="431" t="s">
        <v>4542</v>
      </c>
      <c r="F1172" s="431">
        <v>5472</v>
      </c>
      <c r="G1172" s="431" t="s">
        <v>46</v>
      </c>
      <c r="H1172" s="431" t="s">
        <v>2257</v>
      </c>
      <c r="I1172" s="431" t="s">
        <v>2258</v>
      </c>
      <c r="J1172" s="432">
        <v>46234</v>
      </c>
    </row>
    <row r="1173" spans="1:10">
      <c r="A1173" s="431">
        <v>1212</v>
      </c>
      <c r="B1173" s="431" t="s">
        <v>2253</v>
      </c>
      <c r="C1173" s="431" t="s">
        <v>2254</v>
      </c>
      <c r="D1173" s="431" t="s">
        <v>4543</v>
      </c>
      <c r="E1173" s="431" t="s">
        <v>4544</v>
      </c>
      <c r="F1173" s="431">
        <v>7300</v>
      </c>
      <c r="G1173" s="431" t="s">
        <v>46</v>
      </c>
      <c r="H1173" s="431" t="s">
        <v>2257</v>
      </c>
      <c r="I1173" s="431" t="s">
        <v>2258</v>
      </c>
      <c r="J1173" s="432">
        <v>46234</v>
      </c>
    </row>
    <row r="1174" spans="1:10">
      <c r="A1174" s="431">
        <v>1213</v>
      </c>
      <c r="B1174" s="431" t="s">
        <v>2253</v>
      </c>
      <c r="C1174" s="431" t="s">
        <v>2254</v>
      </c>
      <c r="D1174" s="431" t="s">
        <v>4545</v>
      </c>
      <c r="E1174" s="431" t="s">
        <v>4546</v>
      </c>
      <c r="F1174" s="431">
        <v>9000</v>
      </c>
      <c r="G1174" s="431" t="s">
        <v>46</v>
      </c>
      <c r="H1174" s="431" t="s">
        <v>2257</v>
      </c>
      <c r="I1174" s="431" t="s">
        <v>2258</v>
      </c>
      <c r="J1174" s="432">
        <v>46234</v>
      </c>
    </row>
    <row r="1175" spans="1:10">
      <c r="A1175" s="431">
        <v>1214</v>
      </c>
      <c r="B1175" s="431" t="s">
        <v>2253</v>
      </c>
      <c r="C1175" s="431" t="s">
        <v>2254</v>
      </c>
      <c r="D1175" s="431" t="s">
        <v>4547</v>
      </c>
      <c r="E1175" s="431" t="s">
        <v>4548</v>
      </c>
      <c r="F1175" s="431">
        <v>10800</v>
      </c>
      <c r="G1175" s="431" t="s">
        <v>46</v>
      </c>
      <c r="H1175" s="431" t="s">
        <v>2257</v>
      </c>
      <c r="I1175" s="431" t="s">
        <v>2258</v>
      </c>
      <c r="J1175" s="432">
        <v>46234</v>
      </c>
    </row>
    <row r="1176" spans="1:10">
      <c r="A1176" s="431">
        <v>1215</v>
      </c>
      <c r="B1176" s="431" t="s">
        <v>2253</v>
      </c>
      <c r="C1176" s="431" t="s">
        <v>2254</v>
      </c>
      <c r="D1176" s="431" t="s">
        <v>4549</v>
      </c>
      <c r="E1176" s="431" t="s">
        <v>4550</v>
      </c>
      <c r="F1176" s="431">
        <v>19900</v>
      </c>
      <c r="G1176" s="431" t="s">
        <v>46</v>
      </c>
      <c r="H1176" s="431" t="s">
        <v>2257</v>
      </c>
      <c r="I1176" s="431" t="s">
        <v>2258</v>
      </c>
      <c r="J1176" s="432">
        <v>46234</v>
      </c>
    </row>
    <row r="1177" spans="1:10">
      <c r="A1177" s="431">
        <v>1216</v>
      </c>
      <c r="B1177" s="431" t="s">
        <v>2253</v>
      </c>
      <c r="C1177" s="431" t="s">
        <v>2254</v>
      </c>
      <c r="D1177" s="431" t="s">
        <v>4551</v>
      </c>
      <c r="E1177" s="431" t="s">
        <v>4552</v>
      </c>
      <c r="F1177" s="431">
        <v>29300</v>
      </c>
      <c r="G1177" s="431" t="s">
        <v>46</v>
      </c>
      <c r="H1177" s="431" t="s">
        <v>2257</v>
      </c>
      <c r="I1177" s="431" t="s">
        <v>2258</v>
      </c>
      <c r="J1177" s="432">
        <v>46234</v>
      </c>
    </row>
    <row r="1178" spans="1:10">
      <c r="A1178" s="431">
        <v>1217</v>
      </c>
      <c r="B1178" s="431" t="s">
        <v>2253</v>
      </c>
      <c r="C1178" s="431" t="s">
        <v>2254</v>
      </c>
      <c r="D1178" s="431" t="s">
        <v>4553</v>
      </c>
      <c r="E1178" s="431" t="s">
        <v>4554</v>
      </c>
      <c r="F1178" s="431">
        <v>38900</v>
      </c>
      <c r="G1178" s="431" t="s">
        <v>46</v>
      </c>
      <c r="H1178" s="431" t="s">
        <v>2257</v>
      </c>
      <c r="I1178" s="431" t="s">
        <v>2258</v>
      </c>
      <c r="J1178" s="432">
        <v>46234</v>
      </c>
    </row>
    <row r="1179" spans="1:10">
      <c r="A1179" s="431">
        <v>1218</v>
      </c>
      <c r="B1179" s="431" t="s">
        <v>2253</v>
      </c>
      <c r="C1179" s="431" t="s">
        <v>2254</v>
      </c>
      <c r="D1179" s="431" t="s">
        <v>4555</v>
      </c>
      <c r="E1179" s="431" t="s">
        <v>4556</v>
      </c>
      <c r="F1179" s="431">
        <v>5472</v>
      </c>
      <c r="G1179" s="431" t="s">
        <v>46</v>
      </c>
      <c r="H1179" s="431" t="s">
        <v>2257</v>
      </c>
      <c r="I1179" s="431" t="s">
        <v>2258</v>
      </c>
      <c r="J1179" s="432">
        <v>46234</v>
      </c>
    </row>
    <row r="1180" spans="1:10">
      <c r="A1180" s="431">
        <v>1219</v>
      </c>
      <c r="B1180" s="431" t="s">
        <v>2253</v>
      </c>
      <c r="C1180" s="431" t="s">
        <v>2254</v>
      </c>
      <c r="D1180" s="431" t="s">
        <v>4557</v>
      </c>
      <c r="E1180" s="431" t="s">
        <v>4558</v>
      </c>
      <c r="F1180" s="431">
        <v>7300</v>
      </c>
      <c r="G1180" s="431" t="s">
        <v>46</v>
      </c>
      <c r="H1180" s="431" t="s">
        <v>2257</v>
      </c>
      <c r="I1180" s="431" t="s">
        <v>2258</v>
      </c>
      <c r="J1180" s="432">
        <v>46234</v>
      </c>
    </row>
    <row r="1181" spans="1:10">
      <c r="A1181" s="431">
        <v>1220</v>
      </c>
      <c r="B1181" s="431" t="s">
        <v>2253</v>
      </c>
      <c r="C1181" s="431" t="s">
        <v>2254</v>
      </c>
      <c r="D1181" s="431" t="s">
        <v>4559</v>
      </c>
      <c r="E1181" s="431" t="s">
        <v>4560</v>
      </c>
      <c r="F1181" s="431">
        <v>9000</v>
      </c>
      <c r="G1181" s="431" t="s">
        <v>46</v>
      </c>
      <c r="H1181" s="431" t="s">
        <v>2257</v>
      </c>
      <c r="I1181" s="431" t="s">
        <v>2258</v>
      </c>
      <c r="J1181" s="432">
        <v>46234</v>
      </c>
    </row>
    <row r="1182" spans="1:10">
      <c r="A1182" s="431">
        <v>1221</v>
      </c>
      <c r="B1182" s="431" t="s">
        <v>2253</v>
      </c>
      <c r="C1182" s="431" t="s">
        <v>2254</v>
      </c>
      <c r="D1182" s="431" t="s">
        <v>4561</v>
      </c>
      <c r="E1182" s="431" t="s">
        <v>4562</v>
      </c>
      <c r="F1182" s="431">
        <v>10800</v>
      </c>
      <c r="G1182" s="431" t="s">
        <v>46</v>
      </c>
      <c r="H1182" s="431" t="s">
        <v>2257</v>
      </c>
      <c r="I1182" s="431" t="s">
        <v>2258</v>
      </c>
      <c r="J1182" s="432">
        <v>46234</v>
      </c>
    </row>
    <row r="1183" spans="1:10">
      <c r="A1183" s="431">
        <v>1222</v>
      </c>
      <c r="B1183" s="431" t="s">
        <v>2253</v>
      </c>
      <c r="C1183" s="431" t="s">
        <v>2254</v>
      </c>
      <c r="D1183" s="431" t="s">
        <v>4563</v>
      </c>
      <c r="E1183" s="431" t="s">
        <v>4564</v>
      </c>
      <c r="F1183" s="431">
        <v>19900</v>
      </c>
      <c r="G1183" s="431" t="s">
        <v>46</v>
      </c>
      <c r="H1183" s="431" t="s">
        <v>2257</v>
      </c>
      <c r="I1183" s="431" t="s">
        <v>2258</v>
      </c>
      <c r="J1183" s="432">
        <v>46234</v>
      </c>
    </row>
    <row r="1184" spans="1:10">
      <c r="A1184" s="431">
        <v>1223</v>
      </c>
      <c r="B1184" s="431" t="s">
        <v>2253</v>
      </c>
      <c r="C1184" s="431" t="s">
        <v>2254</v>
      </c>
      <c r="D1184" s="431" t="s">
        <v>4565</v>
      </c>
      <c r="E1184" s="431" t="s">
        <v>4566</v>
      </c>
      <c r="F1184" s="431">
        <v>29300</v>
      </c>
      <c r="G1184" s="431" t="s">
        <v>46</v>
      </c>
      <c r="H1184" s="431" t="s">
        <v>2257</v>
      </c>
      <c r="I1184" s="431" t="s">
        <v>2258</v>
      </c>
      <c r="J1184" s="432">
        <v>46234</v>
      </c>
    </row>
    <row r="1185" spans="1:10">
      <c r="A1185" s="431">
        <v>1224</v>
      </c>
      <c r="B1185" s="431" t="s">
        <v>2253</v>
      </c>
      <c r="C1185" s="431" t="s">
        <v>2254</v>
      </c>
      <c r="D1185" s="431" t="s">
        <v>4567</v>
      </c>
      <c r="E1185" s="431" t="s">
        <v>4568</v>
      </c>
      <c r="F1185" s="431">
        <v>38900</v>
      </c>
      <c r="G1185" s="431" t="s">
        <v>46</v>
      </c>
      <c r="H1185" s="431" t="s">
        <v>2257</v>
      </c>
      <c r="I1185" s="431" t="s">
        <v>2258</v>
      </c>
      <c r="J1185" s="432">
        <v>46234</v>
      </c>
    </row>
    <row r="1186" spans="1:10">
      <c r="A1186" s="431">
        <v>1225</v>
      </c>
      <c r="B1186" s="431" t="s">
        <v>2253</v>
      </c>
      <c r="C1186" s="431" t="s">
        <v>2254</v>
      </c>
      <c r="D1186" s="431" t="s">
        <v>4569</v>
      </c>
      <c r="E1186" s="431" t="s">
        <v>4570</v>
      </c>
      <c r="F1186" s="431">
        <v>17</v>
      </c>
      <c r="G1186" s="431" t="s">
        <v>691</v>
      </c>
      <c r="H1186" s="431" t="s">
        <v>2257</v>
      </c>
      <c r="I1186" s="431" t="s">
        <v>2258</v>
      </c>
      <c r="J1186" s="432">
        <v>46234</v>
      </c>
    </row>
    <row r="1187" spans="1:10">
      <c r="A1187" s="431">
        <v>1226</v>
      </c>
      <c r="B1187" s="431" t="s">
        <v>2560</v>
      </c>
      <c r="C1187" s="431" t="s">
        <v>2254</v>
      </c>
      <c r="D1187" s="431" t="s">
        <v>4571</v>
      </c>
      <c r="E1187" s="431" t="s">
        <v>4572</v>
      </c>
      <c r="F1187" s="431">
        <v>811</v>
      </c>
      <c r="G1187" s="431" t="s">
        <v>26</v>
      </c>
      <c r="H1187" s="431" t="s">
        <v>2257</v>
      </c>
      <c r="I1187" s="431" t="s">
        <v>2258</v>
      </c>
      <c r="J1187" s="432">
        <v>46234</v>
      </c>
    </row>
    <row r="1188" spans="1:10">
      <c r="A1188" s="431">
        <v>1227</v>
      </c>
      <c r="B1188" s="431" t="s">
        <v>2560</v>
      </c>
      <c r="C1188" s="431" t="s">
        <v>2254</v>
      </c>
      <c r="D1188" s="431" t="s">
        <v>4573</v>
      </c>
      <c r="E1188" s="431" t="s">
        <v>4574</v>
      </c>
      <c r="F1188" s="431">
        <v>349</v>
      </c>
      <c r="G1188" s="431" t="s">
        <v>26</v>
      </c>
      <c r="H1188" s="431" t="s">
        <v>2257</v>
      </c>
      <c r="I1188" s="431" t="s">
        <v>2258</v>
      </c>
      <c r="J1188" s="432">
        <v>46234</v>
      </c>
    </row>
    <row r="1189" spans="1:10">
      <c r="A1189" s="431">
        <v>1228</v>
      </c>
      <c r="B1189" s="431" t="s">
        <v>2560</v>
      </c>
      <c r="C1189" s="431" t="s">
        <v>2254</v>
      </c>
      <c r="D1189" s="431" t="s">
        <v>4575</v>
      </c>
      <c r="E1189" s="431" t="s">
        <v>4576</v>
      </c>
      <c r="F1189" s="431">
        <v>1191</v>
      </c>
      <c r="G1189" s="431" t="s">
        <v>26</v>
      </c>
      <c r="H1189" s="431" t="s">
        <v>2257</v>
      </c>
      <c r="I1189" s="431" t="s">
        <v>2258</v>
      </c>
      <c r="J1189" s="432">
        <v>46234</v>
      </c>
    </row>
    <row r="1190" spans="1:10">
      <c r="A1190" s="431">
        <v>1229</v>
      </c>
      <c r="B1190" s="431" t="s">
        <v>2253</v>
      </c>
      <c r="C1190" s="431" t="s">
        <v>2254</v>
      </c>
      <c r="D1190" s="431" t="s">
        <v>4577</v>
      </c>
      <c r="E1190" s="431" t="s">
        <v>4578</v>
      </c>
      <c r="F1190" s="431">
        <v>1</v>
      </c>
      <c r="G1190" s="431" t="s">
        <v>62</v>
      </c>
      <c r="H1190" s="431" t="s">
        <v>2257</v>
      </c>
      <c r="I1190" s="431" t="s">
        <v>2258</v>
      </c>
      <c r="J1190" s="432">
        <v>46234</v>
      </c>
    </row>
    <row r="1191" spans="1:10">
      <c r="A1191" s="431">
        <v>1230</v>
      </c>
      <c r="B1191" s="431" t="s">
        <v>2560</v>
      </c>
      <c r="C1191" s="431" t="s">
        <v>2254</v>
      </c>
      <c r="D1191" s="431" t="s">
        <v>4579</v>
      </c>
      <c r="E1191" s="431" t="s">
        <v>4580</v>
      </c>
      <c r="F1191" s="431">
        <v>5</v>
      </c>
      <c r="G1191" s="431" t="s">
        <v>21</v>
      </c>
      <c r="H1191" s="431" t="s">
        <v>2257</v>
      </c>
      <c r="I1191" s="431" t="s">
        <v>2258</v>
      </c>
      <c r="J1191" s="432">
        <v>46234</v>
      </c>
    </row>
    <row r="1192" spans="1:10">
      <c r="A1192" s="431">
        <v>1231</v>
      </c>
      <c r="B1192" s="431" t="s">
        <v>2721</v>
      </c>
      <c r="C1192" s="431" t="s">
        <v>2254</v>
      </c>
      <c r="D1192" s="431" t="s">
        <v>4581</v>
      </c>
      <c r="E1192" s="431" t="s">
        <v>4582</v>
      </c>
      <c r="F1192" s="431">
        <v>134</v>
      </c>
      <c r="G1192" s="431" t="s">
        <v>812</v>
      </c>
      <c r="H1192" s="431" t="s">
        <v>2257</v>
      </c>
      <c r="I1192" s="431" t="s">
        <v>2258</v>
      </c>
      <c r="J1192" s="432">
        <v>46234</v>
      </c>
    </row>
    <row r="1193" spans="1:10">
      <c r="A1193" s="431">
        <v>1232</v>
      </c>
      <c r="B1193" s="431" t="s">
        <v>2721</v>
      </c>
      <c r="C1193" s="431" t="s">
        <v>2254</v>
      </c>
      <c r="D1193" s="431" t="s">
        <v>4583</v>
      </c>
      <c r="E1193" s="431" t="s">
        <v>4584</v>
      </c>
      <c r="F1193" s="431">
        <v>37</v>
      </c>
      <c r="G1193" s="431" t="s">
        <v>21</v>
      </c>
      <c r="H1193" s="431" t="s">
        <v>2257</v>
      </c>
      <c r="I1193" s="431" t="s">
        <v>2258</v>
      </c>
      <c r="J1193" s="432">
        <v>46234</v>
      </c>
    </row>
    <row r="1194" spans="1:10">
      <c r="A1194" s="431">
        <v>1233</v>
      </c>
      <c r="B1194" s="431" t="s">
        <v>2253</v>
      </c>
      <c r="C1194" s="431" t="s">
        <v>2254</v>
      </c>
      <c r="D1194" s="431" t="s">
        <v>4585</v>
      </c>
      <c r="E1194" s="431" t="s">
        <v>4586</v>
      </c>
      <c r="F1194" s="431">
        <v>20</v>
      </c>
      <c r="G1194" s="431" t="s">
        <v>691</v>
      </c>
      <c r="H1194" s="431" t="s">
        <v>2257</v>
      </c>
      <c r="I1194" s="431" t="s">
        <v>2258</v>
      </c>
      <c r="J1194" s="432">
        <v>46234</v>
      </c>
    </row>
    <row r="1195" spans="1:10">
      <c r="A1195" s="431">
        <v>1234</v>
      </c>
      <c r="B1195" s="431" t="s">
        <v>2253</v>
      </c>
      <c r="C1195" s="431" t="s">
        <v>2254</v>
      </c>
      <c r="D1195" s="431" t="s">
        <v>2111</v>
      </c>
      <c r="E1195" s="431" t="s">
        <v>2214</v>
      </c>
      <c r="F1195" s="431">
        <v>875</v>
      </c>
      <c r="G1195" s="431" t="s">
        <v>1107</v>
      </c>
      <c r="H1195" s="431" t="s">
        <v>2257</v>
      </c>
      <c r="I1195" s="431" t="s">
        <v>2258</v>
      </c>
      <c r="J1195" s="432">
        <v>46234</v>
      </c>
    </row>
    <row r="1196" spans="1:10">
      <c r="A1196" s="431">
        <v>1235</v>
      </c>
      <c r="B1196" s="431" t="s">
        <v>2253</v>
      </c>
      <c r="C1196" s="431" t="s">
        <v>2254</v>
      </c>
      <c r="D1196" s="431" t="s">
        <v>2121</v>
      </c>
      <c r="E1196" s="431" t="s">
        <v>2215</v>
      </c>
      <c r="F1196" s="431">
        <v>1228</v>
      </c>
      <c r="G1196" s="431" t="s">
        <v>1107</v>
      </c>
      <c r="H1196" s="431" t="s">
        <v>2257</v>
      </c>
      <c r="I1196" s="431" t="s">
        <v>2258</v>
      </c>
      <c r="J1196" s="432">
        <v>46234</v>
      </c>
    </row>
    <row r="1197" spans="1:10">
      <c r="A1197" s="431">
        <v>1236</v>
      </c>
      <c r="B1197" s="431" t="s">
        <v>2253</v>
      </c>
      <c r="C1197" s="431" t="s">
        <v>2254</v>
      </c>
      <c r="D1197" s="431" t="s">
        <v>4587</v>
      </c>
      <c r="E1197" s="431" t="s">
        <v>4588</v>
      </c>
      <c r="F1197" s="431">
        <v>54</v>
      </c>
      <c r="G1197" s="431" t="s">
        <v>1107</v>
      </c>
      <c r="H1197" s="431" t="s">
        <v>2257</v>
      </c>
      <c r="I1197" s="431" t="s">
        <v>2258</v>
      </c>
      <c r="J1197" s="432">
        <v>46234</v>
      </c>
    </row>
    <row r="1198" spans="1:10">
      <c r="A1198" s="431">
        <v>1237</v>
      </c>
      <c r="B1198" s="431" t="s">
        <v>2253</v>
      </c>
      <c r="C1198" s="431" t="s">
        <v>2254</v>
      </c>
      <c r="D1198" s="431" t="s">
        <v>4589</v>
      </c>
      <c r="E1198" s="431" t="s">
        <v>4590</v>
      </c>
      <c r="F1198" s="431">
        <v>54</v>
      </c>
      <c r="G1198" s="431" t="s">
        <v>1107</v>
      </c>
      <c r="H1198" s="431" t="s">
        <v>2257</v>
      </c>
      <c r="I1198" s="431" t="s">
        <v>2258</v>
      </c>
      <c r="J1198" s="432">
        <v>46234</v>
      </c>
    </row>
    <row r="1199" spans="1:10">
      <c r="A1199" s="431">
        <v>1238</v>
      </c>
      <c r="B1199" s="431" t="s">
        <v>2253</v>
      </c>
      <c r="C1199" s="431" t="s">
        <v>2254</v>
      </c>
      <c r="D1199" s="431" t="s">
        <v>4591</v>
      </c>
      <c r="E1199" s="431" t="s">
        <v>4592</v>
      </c>
      <c r="F1199" s="431">
        <v>66</v>
      </c>
      <c r="G1199" s="431" t="s">
        <v>1107</v>
      </c>
      <c r="H1199" s="431" t="s">
        <v>2257</v>
      </c>
      <c r="I1199" s="431" t="s">
        <v>2258</v>
      </c>
      <c r="J1199" s="432">
        <v>46234</v>
      </c>
    </row>
    <row r="1200" spans="1:10">
      <c r="A1200" s="431">
        <v>1239</v>
      </c>
      <c r="B1200" s="431" t="s">
        <v>2253</v>
      </c>
      <c r="C1200" s="431" t="s">
        <v>2254</v>
      </c>
      <c r="D1200" s="431" t="s">
        <v>4593</v>
      </c>
      <c r="E1200" s="431" t="s">
        <v>4594</v>
      </c>
      <c r="F1200" s="431">
        <v>66</v>
      </c>
      <c r="G1200" s="431" t="s">
        <v>1107</v>
      </c>
      <c r="H1200" s="431" t="s">
        <v>2257</v>
      </c>
      <c r="I1200" s="431" t="s">
        <v>2258</v>
      </c>
      <c r="J1200" s="432">
        <v>46234</v>
      </c>
    </row>
    <row r="1201" spans="1:10">
      <c r="A1201" s="431">
        <v>1240</v>
      </c>
      <c r="B1201" s="431" t="s">
        <v>2253</v>
      </c>
      <c r="C1201" s="431" t="s">
        <v>2254</v>
      </c>
      <c r="D1201" s="431" t="s">
        <v>4595</v>
      </c>
      <c r="E1201" s="431" t="s">
        <v>4596</v>
      </c>
      <c r="F1201" s="431">
        <v>107</v>
      </c>
      <c r="G1201" s="431" t="s">
        <v>1107</v>
      </c>
      <c r="H1201" s="431" t="s">
        <v>2257</v>
      </c>
      <c r="I1201" s="431" t="s">
        <v>2258</v>
      </c>
      <c r="J1201" s="432">
        <v>46234</v>
      </c>
    </row>
    <row r="1202" spans="1:10">
      <c r="A1202" s="431">
        <v>1241</v>
      </c>
      <c r="B1202" s="431" t="s">
        <v>2253</v>
      </c>
      <c r="C1202" s="431" t="s">
        <v>2254</v>
      </c>
      <c r="D1202" s="431" t="s">
        <v>4597</v>
      </c>
      <c r="E1202" s="431" t="s">
        <v>4598</v>
      </c>
      <c r="F1202" s="431">
        <v>107</v>
      </c>
      <c r="G1202" s="431" t="s">
        <v>1107</v>
      </c>
      <c r="H1202" s="431" t="s">
        <v>2257</v>
      </c>
      <c r="I1202" s="431" t="s">
        <v>2258</v>
      </c>
      <c r="J1202" s="432">
        <v>46234</v>
      </c>
    </row>
    <row r="1203" spans="1:10">
      <c r="A1203" s="431">
        <v>1242</v>
      </c>
      <c r="B1203" s="431" t="s">
        <v>2253</v>
      </c>
      <c r="C1203" s="431" t="s">
        <v>2254</v>
      </c>
      <c r="D1203" s="431" t="s">
        <v>4599</v>
      </c>
      <c r="E1203" s="431" t="s">
        <v>4600</v>
      </c>
      <c r="F1203" s="431">
        <v>117</v>
      </c>
      <c r="G1203" s="431" t="s">
        <v>1107</v>
      </c>
      <c r="H1203" s="431" t="s">
        <v>2257</v>
      </c>
      <c r="I1203" s="431" t="s">
        <v>2258</v>
      </c>
      <c r="J1203" s="432">
        <v>46234</v>
      </c>
    </row>
    <row r="1204" spans="1:10">
      <c r="A1204" s="431">
        <v>1243</v>
      </c>
      <c r="B1204" s="431" t="s">
        <v>2253</v>
      </c>
      <c r="C1204" s="431" t="s">
        <v>2254</v>
      </c>
      <c r="D1204" s="431" t="s">
        <v>4601</v>
      </c>
      <c r="E1204" s="431" t="s">
        <v>4602</v>
      </c>
      <c r="F1204" s="431">
        <v>117</v>
      </c>
      <c r="G1204" s="431" t="s">
        <v>1107</v>
      </c>
      <c r="H1204" s="431" t="s">
        <v>2257</v>
      </c>
      <c r="I1204" s="431" t="s">
        <v>2258</v>
      </c>
      <c r="J1204" s="432">
        <v>46234</v>
      </c>
    </row>
    <row r="1205" spans="1:10">
      <c r="A1205" s="431">
        <v>1244</v>
      </c>
      <c r="B1205" s="431" t="s">
        <v>2253</v>
      </c>
      <c r="C1205" s="431" t="s">
        <v>2254</v>
      </c>
      <c r="D1205" s="431" t="s">
        <v>4603</v>
      </c>
      <c r="E1205" s="431" t="s">
        <v>4604</v>
      </c>
      <c r="F1205" s="431">
        <v>135</v>
      </c>
      <c r="G1205" s="431" t="s">
        <v>1107</v>
      </c>
      <c r="H1205" s="431" t="s">
        <v>2257</v>
      </c>
      <c r="I1205" s="431" t="s">
        <v>2258</v>
      </c>
      <c r="J1205" s="432">
        <v>46234</v>
      </c>
    </row>
    <row r="1206" spans="1:10">
      <c r="A1206" s="431">
        <v>1245</v>
      </c>
      <c r="B1206" s="431" t="s">
        <v>2253</v>
      </c>
      <c r="C1206" s="431" t="s">
        <v>2254</v>
      </c>
      <c r="D1206" s="431" t="s">
        <v>4605</v>
      </c>
      <c r="E1206" s="431" t="s">
        <v>4606</v>
      </c>
      <c r="F1206" s="431">
        <v>135</v>
      </c>
      <c r="G1206" s="431" t="s">
        <v>1107</v>
      </c>
      <c r="H1206" s="431" t="s">
        <v>2257</v>
      </c>
      <c r="I1206" s="431" t="s">
        <v>2258</v>
      </c>
      <c r="J1206" s="432">
        <v>46234</v>
      </c>
    </row>
    <row r="1207" spans="1:10">
      <c r="A1207" s="431">
        <v>1246</v>
      </c>
      <c r="B1207" s="431" t="s">
        <v>2253</v>
      </c>
      <c r="C1207" s="431" t="s">
        <v>2254</v>
      </c>
      <c r="D1207" s="431" t="s">
        <v>4607</v>
      </c>
      <c r="E1207" s="431" t="s">
        <v>4608</v>
      </c>
      <c r="F1207" s="431">
        <v>96</v>
      </c>
      <c r="G1207" s="431" t="s">
        <v>1107</v>
      </c>
      <c r="H1207" s="431" t="s">
        <v>2257</v>
      </c>
      <c r="I1207" s="431" t="s">
        <v>2258</v>
      </c>
      <c r="J1207" s="432">
        <v>46234</v>
      </c>
    </row>
    <row r="1208" spans="1:10">
      <c r="A1208" s="431">
        <v>1247</v>
      </c>
      <c r="B1208" s="431" t="s">
        <v>2253</v>
      </c>
      <c r="C1208" s="431" t="s">
        <v>2254</v>
      </c>
      <c r="D1208" s="431" t="s">
        <v>4609</v>
      </c>
      <c r="E1208" s="431" t="s">
        <v>4610</v>
      </c>
      <c r="F1208" s="431">
        <v>151</v>
      </c>
      <c r="G1208" s="431" t="s">
        <v>1107</v>
      </c>
      <c r="H1208" s="431" t="s">
        <v>2257</v>
      </c>
      <c r="I1208" s="431" t="s">
        <v>2258</v>
      </c>
      <c r="J1208" s="432">
        <v>46234</v>
      </c>
    </row>
    <row r="1209" spans="1:10">
      <c r="A1209" s="431">
        <v>1248</v>
      </c>
      <c r="B1209" s="431" t="s">
        <v>2253</v>
      </c>
      <c r="C1209" s="431" t="s">
        <v>2254</v>
      </c>
      <c r="D1209" s="431" t="s">
        <v>4611</v>
      </c>
      <c r="E1209" s="431" t="s">
        <v>4612</v>
      </c>
      <c r="F1209" s="431">
        <v>151</v>
      </c>
      <c r="G1209" s="431" t="s">
        <v>1107</v>
      </c>
      <c r="H1209" s="431" t="s">
        <v>2257</v>
      </c>
      <c r="I1209" s="431" t="s">
        <v>2258</v>
      </c>
      <c r="J1209" s="432">
        <v>46234</v>
      </c>
    </row>
    <row r="1210" spans="1:10">
      <c r="A1210" s="431">
        <v>1249</v>
      </c>
      <c r="B1210" s="431" t="s">
        <v>2253</v>
      </c>
      <c r="C1210" s="431" t="s">
        <v>2254</v>
      </c>
      <c r="D1210" s="431" t="s">
        <v>4613</v>
      </c>
      <c r="E1210" s="431" t="s">
        <v>4614</v>
      </c>
      <c r="F1210" s="431">
        <v>178</v>
      </c>
      <c r="G1210" s="431" t="s">
        <v>1107</v>
      </c>
      <c r="H1210" s="431" t="s">
        <v>2257</v>
      </c>
      <c r="I1210" s="431" t="s">
        <v>2258</v>
      </c>
      <c r="J1210" s="432">
        <v>46234</v>
      </c>
    </row>
    <row r="1211" spans="1:10">
      <c r="A1211" s="431">
        <v>1250</v>
      </c>
      <c r="B1211" s="431" t="s">
        <v>2253</v>
      </c>
      <c r="C1211" s="431" t="s">
        <v>2254</v>
      </c>
      <c r="D1211" s="431" t="s">
        <v>4615</v>
      </c>
      <c r="E1211" s="431" t="s">
        <v>4616</v>
      </c>
      <c r="F1211" s="431">
        <v>178</v>
      </c>
      <c r="G1211" s="431" t="s">
        <v>1107</v>
      </c>
      <c r="H1211" s="431" t="s">
        <v>2257</v>
      </c>
      <c r="I1211" s="431" t="s">
        <v>2258</v>
      </c>
      <c r="J1211" s="432">
        <v>46234</v>
      </c>
    </row>
    <row r="1212" spans="1:10">
      <c r="A1212" s="431">
        <v>1251</v>
      </c>
      <c r="B1212" s="431" t="s">
        <v>2253</v>
      </c>
      <c r="C1212" s="431" t="s">
        <v>2254</v>
      </c>
      <c r="D1212" s="431" t="s">
        <v>4617</v>
      </c>
      <c r="E1212" s="431" t="s">
        <v>4618</v>
      </c>
      <c r="F1212" s="431">
        <v>197</v>
      </c>
      <c r="G1212" s="431" t="s">
        <v>1107</v>
      </c>
      <c r="H1212" s="431" t="s">
        <v>2257</v>
      </c>
      <c r="I1212" s="431" t="s">
        <v>2258</v>
      </c>
      <c r="J1212" s="432">
        <v>46234</v>
      </c>
    </row>
    <row r="1213" spans="1:10">
      <c r="A1213" s="431">
        <v>1252</v>
      </c>
      <c r="B1213" s="431" t="s">
        <v>2253</v>
      </c>
      <c r="C1213" s="431" t="s">
        <v>2254</v>
      </c>
      <c r="D1213" s="431" t="s">
        <v>4619</v>
      </c>
      <c r="E1213" s="431" t="s">
        <v>4620</v>
      </c>
      <c r="F1213" s="431">
        <v>197</v>
      </c>
      <c r="G1213" s="431" t="s">
        <v>1107</v>
      </c>
      <c r="H1213" s="431" t="s">
        <v>2257</v>
      </c>
      <c r="I1213" s="431" t="s">
        <v>2258</v>
      </c>
      <c r="J1213" s="432">
        <v>46234</v>
      </c>
    </row>
    <row r="1214" spans="1:10">
      <c r="A1214" s="431">
        <v>1253</v>
      </c>
      <c r="B1214" s="431" t="s">
        <v>2253</v>
      </c>
      <c r="C1214" s="431" t="s">
        <v>2254</v>
      </c>
      <c r="D1214" s="431" t="s">
        <v>4621</v>
      </c>
      <c r="E1214" s="431" t="s">
        <v>4622</v>
      </c>
      <c r="F1214" s="431">
        <v>175</v>
      </c>
      <c r="G1214" s="431" t="s">
        <v>1107</v>
      </c>
      <c r="H1214" s="431" t="s">
        <v>2257</v>
      </c>
      <c r="I1214" s="431" t="s">
        <v>2258</v>
      </c>
      <c r="J1214" s="432">
        <v>46234</v>
      </c>
    </row>
    <row r="1215" spans="1:10">
      <c r="A1215" s="431">
        <v>1254</v>
      </c>
      <c r="B1215" s="431" t="s">
        <v>2253</v>
      </c>
      <c r="C1215" s="431" t="s">
        <v>2254</v>
      </c>
      <c r="D1215" s="431" t="s">
        <v>4623</v>
      </c>
      <c r="E1215" s="431" t="s">
        <v>4624</v>
      </c>
      <c r="F1215" s="431">
        <v>161</v>
      </c>
      <c r="G1215" s="431" t="s">
        <v>1107</v>
      </c>
      <c r="H1215" s="431" t="s">
        <v>2257</v>
      </c>
      <c r="I1215" s="431" t="s">
        <v>2258</v>
      </c>
      <c r="J1215" s="432">
        <v>46234</v>
      </c>
    </row>
    <row r="1216" spans="1:10">
      <c r="A1216" s="431">
        <v>1255</v>
      </c>
      <c r="B1216" s="431" t="s">
        <v>2253</v>
      </c>
      <c r="C1216" s="431" t="s">
        <v>2254</v>
      </c>
      <c r="D1216" s="431" t="s">
        <v>4625</v>
      </c>
      <c r="E1216" s="431" t="s">
        <v>4626</v>
      </c>
      <c r="F1216" s="431">
        <v>161</v>
      </c>
      <c r="G1216" s="431" t="s">
        <v>1107</v>
      </c>
      <c r="H1216" s="431" t="s">
        <v>2257</v>
      </c>
      <c r="I1216" s="431" t="s">
        <v>2258</v>
      </c>
      <c r="J1216" s="432">
        <v>46234</v>
      </c>
    </row>
    <row r="1217" spans="1:10">
      <c r="A1217" s="431">
        <v>1256</v>
      </c>
      <c r="B1217" s="431" t="s">
        <v>2253</v>
      </c>
      <c r="C1217" s="431" t="s">
        <v>2254</v>
      </c>
      <c r="D1217" s="431" t="s">
        <v>4627</v>
      </c>
      <c r="E1217" s="431" t="s">
        <v>4628</v>
      </c>
      <c r="F1217" s="431">
        <v>177</v>
      </c>
      <c r="G1217" s="431" t="s">
        <v>1107</v>
      </c>
      <c r="H1217" s="431" t="s">
        <v>2257</v>
      </c>
      <c r="I1217" s="431" t="s">
        <v>2258</v>
      </c>
      <c r="J1217" s="432">
        <v>46234</v>
      </c>
    </row>
    <row r="1218" spans="1:10">
      <c r="A1218" s="431">
        <v>1257</v>
      </c>
      <c r="B1218" s="431" t="s">
        <v>2253</v>
      </c>
      <c r="C1218" s="431" t="s">
        <v>2254</v>
      </c>
      <c r="D1218" s="431" t="s">
        <v>4629</v>
      </c>
      <c r="E1218" s="431" t="s">
        <v>4630</v>
      </c>
      <c r="F1218" s="431">
        <v>177</v>
      </c>
      <c r="G1218" s="431" t="s">
        <v>1107</v>
      </c>
      <c r="H1218" s="431" t="s">
        <v>2257</v>
      </c>
      <c r="I1218" s="431" t="s">
        <v>2258</v>
      </c>
      <c r="J1218" s="432">
        <v>46234</v>
      </c>
    </row>
    <row r="1219" spans="1:10">
      <c r="A1219" s="431">
        <v>1258</v>
      </c>
      <c r="B1219" s="431" t="s">
        <v>2253</v>
      </c>
      <c r="C1219" s="431" t="s">
        <v>2254</v>
      </c>
      <c r="D1219" s="431" t="s">
        <v>4631</v>
      </c>
      <c r="E1219" s="431" t="s">
        <v>4632</v>
      </c>
      <c r="F1219" s="431">
        <v>193</v>
      </c>
      <c r="G1219" s="431" t="s">
        <v>1107</v>
      </c>
      <c r="H1219" s="431" t="s">
        <v>2257</v>
      </c>
      <c r="I1219" s="431" t="s">
        <v>2258</v>
      </c>
      <c r="J1219" s="432">
        <v>46234</v>
      </c>
    </row>
    <row r="1220" spans="1:10">
      <c r="A1220" s="431">
        <v>1259</v>
      </c>
      <c r="B1220" s="431" t="s">
        <v>2253</v>
      </c>
      <c r="C1220" s="431" t="s">
        <v>2254</v>
      </c>
      <c r="D1220" s="431" t="s">
        <v>4633</v>
      </c>
      <c r="E1220" s="431" t="s">
        <v>4634</v>
      </c>
      <c r="F1220" s="431">
        <v>193</v>
      </c>
      <c r="G1220" s="431" t="s">
        <v>1107</v>
      </c>
      <c r="H1220" s="431" t="s">
        <v>2257</v>
      </c>
      <c r="I1220" s="431" t="s">
        <v>2258</v>
      </c>
      <c r="J1220" s="432">
        <v>46234</v>
      </c>
    </row>
    <row r="1221" spans="1:10">
      <c r="A1221" s="431">
        <v>1260</v>
      </c>
      <c r="B1221" s="431" t="s">
        <v>2253</v>
      </c>
      <c r="C1221" s="431" t="s">
        <v>2254</v>
      </c>
      <c r="D1221" s="431" t="s">
        <v>4635</v>
      </c>
      <c r="E1221" s="431" t="s">
        <v>4636</v>
      </c>
      <c r="F1221" s="431">
        <v>209</v>
      </c>
      <c r="G1221" s="431" t="s">
        <v>1107</v>
      </c>
      <c r="H1221" s="431" t="s">
        <v>2257</v>
      </c>
      <c r="I1221" s="431" t="s">
        <v>2258</v>
      </c>
      <c r="J1221" s="432">
        <v>46234</v>
      </c>
    </row>
    <row r="1222" spans="1:10">
      <c r="A1222" s="431">
        <v>1261</v>
      </c>
      <c r="B1222" s="431" t="s">
        <v>2253</v>
      </c>
      <c r="C1222" s="431" t="s">
        <v>2254</v>
      </c>
      <c r="D1222" s="431" t="s">
        <v>4637</v>
      </c>
      <c r="E1222" s="431" t="s">
        <v>4638</v>
      </c>
      <c r="F1222" s="431">
        <v>209</v>
      </c>
      <c r="G1222" s="431" t="s">
        <v>1107</v>
      </c>
      <c r="H1222" s="431" t="s">
        <v>2257</v>
      </c>
      <c r="I1222" s="431" t="s">
        <v>2258</v>
      </c>
      <c r="J1222" s="432">
        <v>46234</v>
      </c>
    </row>
    <row r="1223" spans="1:10">
      <c r="A1223" s="431">
        <v>1262</v>
      </c>
      <c r="B1223" s="431" t="s">
        <v>2253</v>
      </c>
      <c r="C1223" s="431" t="s">
        <v>2254</v>
      </c>
      <c r="D1223" s="431" t="s">
        <v>4639</v>
      </c>
      <c r="E1223" s="431" t="s">
        <v>4640</v>
      </c>
      <c r="F1223" s="431">
        <v>225</v>
      </c>
      <c r="G1223" s="431" t="s">
        <v>1107</v>
      </c>
      <c r="H1223" s="431" t="s">
        <v>2257</v>
      </c>
      <c r="I1223" s="431" t="s">
        <v>2258</v>
      </c>
      <c r="J1223" s="432">
        <v>46234</v>
      </c>
    </row>
    <row r="1224" spans="1:10">
      <c r="A1224" s="431">
        <v>1263</v>
      </c>
      <c r="B1224" s="431" t="s">
        <v>2253</v>
      </c>
      <c r="C1224" s="431" t="s">
        <v>2254</v>
      </c>
      <c r="D1224" s="431" t="s">
        <v>4641</v>
      </c>
      <c r="E1224" s="431" t="s">
        <v>4642</v>
      </c>
      <c r="F1224" s="431">
        <v>225</v>
      </c>
      <c r="G1224" s="431" t="s">
        <v>1107</v>
      </c>
      <c r="H1224" s="431" t="s">
        <v>2257</v>
      </c>
      <c r="I1224" s="431" t="s">
        <v>2258</v>
      </c>
      <c r="J1224" s="432">
        <v>46234</v>
      </c>
    </row>
    <row r="1225" spans="1:10">
      <c r="A1225" s="431">
        <v>1264</v>
      </c>
      <c r="B1225" s="431" t="s">
        <v>2253</v>
      </c>
      <c r="C1225" s="431" t="s">
        <v>2254</v>
      </c>
      <c r="D1225" s="431" t="s">
        <v>4643</v>
      </c>
      <c r="E1225" s="431" t="s">
        <v>4644</v>
      </c>
      <c r="F1225" s="431">
        <v>193</v>
      </c>
      <c r="G1225" s="431" t="s">
        <v>1107</v>
      </c>
      <c r="H1225" s="431" t="s">
        <v>2257</v>
      </c>
      <c r="I1225" s="431" t="s">
        <v>2258</v>
      </c>
      <c r="J1225" s="432">
        <v>46234</v>
      </c>
    </row>
    <row r="1226" spans="1:10">
      <c r="A1226" s="431">
        <v>1265</v>
      </c>
      <c r="B1226" s="431" t="s">
        <v>2253</v>
      </c>
      <c r="C1226" s="431" t="s">
        <v>2254</v>
      </c>
      <c r="D1226" s="431" t="s">
        <v>4645</v>
      </c>
      <c r="E1226" s="431" t="s">
        <v>4646</v>
      </c>
      <c r="F1226" s="431">
        <v>246</v>
      </c>
      <c r="G1226" s="431" t="s">
        <v>1107</v>
      </c>
      <c r="H1226" s="431" t="s">
        <v>2257</v>
      </c>
      <c r="I1226" s="431" t="s">
        <v>2258</v>
      </c>
      <c r="J1226" s="432">
        <v>46234</v>
      </c>
    </row>
    <row r="1227" spans="1:10">
      <c r="A1227" s="431">
        <v>1266</v>
      </c>
      <c r="B1227" s="431" t="s">
        <v>2253</v>
      </c>
      <c r="C1227" s="433" t="s">
        <v>2254</v>
      </c>
      <c r="D1227" s="431" t="s">
        <v>4647</v>
      </c>
      <c r="E1227" s="431" t="s">
        <v>4648</v>
      </c>
      <c r="F1227" s="431">
        <v>246</v>
      </c>
      <c r="G1227" s="431" t="s">
        <v>1107</v>
      </c>
      <c r="H1227" s="431" t="s">
        <v>2257</v>
      </c>
      <c r="I1227" s="431" t="s">
        <v>2258</v>
      </c>
      <c r="J1227" s="432">
        <v>46234</v>
      </c>
    </row>
    <row r="1228" spans="1:10">
      <c r="A1228" s="431">
        <v>1267</v>
      </c>
      <c r="B1228" s="431" t="s">
        <v>2253</v>
      </c>
      <c r="C1228" s="433" t="s">
        <v>2254</v>
      </c>
      <c r="D1228" s="431" t="s">
        <v>4649</v>
      </c>
      <c r="E1228" s="431" t="s">
        <v>4650</v>
      </c>
      <c r="F1228" s="431">
        <v>257</v>
      </c>
      <c r="G1228" s="431" t="s">
        <v>1107</v>
      </c>
      <c r="H1228" s="431" t="s">
        <v>2257</v>
      </c>
      <c r="I1228" s="431" t="s">
        <v>2258</v>
      </c>
      <c r="J1228" s="432">
        <v>46234</v>
      </c>
    </row>
    <row r="1229" spans="1:10">
      <c r="A1229" s="431">
        <v>1268</v>
      </c>
      <c r="B1229" s="431" t="s">
        <v>2253</v>
      </c>
      <c r="C1229" s="433" t="s">
        <v>2254</v>
      </c>
      <c r="D1229" s="431" t="s">
        <v>4651</v>
      </c>
      <c r="E1229" s="431" t="s">
        <v>4652</v>
      </c>
      <c r="F1229" s="431">
        <v>257</v>
      </c>
      <c r="G1229" s="431" t="s">
        <v>1107</v>
      </c>
      <c r="H1229" s="431" t="s">
        <v>2257</v>
      </c>
      <c r="I1229" s="431" t="s">
        <v>2258</v>
      </c>
      <c r="J1229" s="432">
        <v>46234</v>
      </c>
    </row>
    <row r="1230" spans="1:10">
      <c r="A1230" s="431">
        <v>1269</v>
      </c>
      <c r="B1230" s="431" t="s">
        <v>2253</v>
      </c>
      <c r="C1230" s="431" t="s">
        <v>2254</v>
      </c>
      <c r="D1230" s="431" t="s">
        <v>4653</v>
      </c>
      <c r="E1230" s="431" t="s">
        <v>4654</v>
      </c>
      <c r="F1230" s="431">
        <v>300</v>
      </c>
      <c r="G1230" s="431" t="s">
        <v>1107</v>
      </c>
      <c r="H1230" s="431" t="s">
        <v>2257</v>
      </c>
      <c r="I1230" s="431" t="s">
        <v>2258</v>
      </c>
      <c r="J1230" s="432">
        <v>46234</v>
      </c>
    </row>
    <row r="1231" spans="1:10">
      <c r="A1231" s="431">
        <v>1270</v>
      </c>
      <c r="B1231" s="431" t="s">
        <v>2253</v>
      </c>
      <c r="C1231" s="433" t="s">
        <v>2254</v>
      </c>
      <c r="D1231" s="431" t="s">
        <v>4655</v>
      </c>
      <c r="E1231" s="431" t="s">
        <v>4656</v>
      </c>
      <c r="F1231" s="431">
        <v>300</v>
      </c>
      <c r="G1231" s="431" t="s">
        <v>1107</v>
      </c>
      <c r="H1231" s="431" t="s">
        <v>2257</v>
      </c>
      <c r="I1231" s="431" t="s">
        <v>2258</v>
      </c>
      <c r="J1231" s="432">
        <v>46234</v>
      </c>
    </row>
    <row r="1232" spans="1:10">
      <c r="A1232" s="431">
        <v>1271</v>
      </c>
      <c r="B1232" s="431" t="s">
        <v>2253</v>
      </c>
      <c r="C1232" s="433" t="s">
        <v>2254</v>
      </c>
      <c r="D1232" s="431" t="s">
        <v>4657</v>
      </c>
      <c r="E1232" s="431" t="s">
        <v>4658</v>
      </c>
      <c r="F1232" s="431">
        <v>268</v>
      </c>
      <c r="G1232" s="431" t="s">
        <v>1107</v>
      </c>
      <c r="H1232" s="431" t="s">
        <v>2257</v>
      </c>
      <c r="I1232" s="431" t="s">
        <v>2258</v>
      </c>
      <c r="J1232" s="432">
        <v>46234</v>
      </c>
    </row>
    <row r="1233" spans="1:10">
      <c r="A1233" s="431">
        <v>1272</v>
      </c>
      <c r="B1233" s="431" t="s">
        <v>2253</v>
      </c>
      <c r="C1233" s="433" t="s">
        <v>2254</v>
      </c>
      <c r="D1233" s="431" t="s">
        <v>4659</v>
      </c>
      <c r="E1233" s="431" t="s">
        <v>4660</v>
      </c>
      <c r="F1233" s="431">
        <v>317</v>
      </c>
      <c r="G1233" s="431" t="s">
        <v>1107</v>
      </c>
      <c r="H1233" s="431" t="s">
        <v>2257</v>
      </c>
      <c r="I1233" s="431" t="s">
        <v>2258</v>
      </c>
      <c r="J1233" s="432">
        <v>46234</v>
      </c>
    </row>
    <row r="1234" spans="1:10">
      <c r="A1234" s="431">
        <v>1273</v>
      </c>
      <c r="B1234" s="431" t="s">
        <v>2253</v>
      </c>
      <c r="C1234" s="431" t="s">
        <v>2254</v>
      </c>
      <c r="D1234" s="431" t="s">
        <v>4661</v>
      </c>
      <c r="E1234" s="431" t="s">
        <v>4662</v>
      </c>
      <c r="F1234" s="431">
        <v>550</v>
      </c>
      <c r="G1234" s="431" t="s">
        <v>1107</v>
      </c>
      <c r="H1234" s="431" t="s">
        <v>2257</v>
      </c>
      <c r="I1234" s="431" t="s">
        <v>2258</v>
      </c>
      <c r="J1234" s="432">
        <v>46234</v>
      </c>
    </row>
    <row r="1235" spans="1:10">
      <c r="A1235" s="431">
        <v>1274</v>
      </c>
      <c r="B1235" s="431" t="s">
        <v>2253</v>
      </c>
      <c r="C1235" s="431" t="s">
        <v>2254</v>
      </c>
      <c r="D1235" s="431" t="s">
        <v>2216</v>
      </c>
      <c r="E1235" s="431" t="s">
        <v>2217</v>
      </c>
      <c r="F1235" s="431">
        <v>720</v>
      </c>
      <c r="G1235" s="431" t="s">
        <v>1107</v>
      </c>
      <c r="H1235" s="431" t="s">
        <v>2257</v>
      </c>
      <c r="I1235" s="431" t="s">
        <v>2258</v>
      </c>
      <c r="J1235" s="432">
        <v>46234</v>
      </c>
    </row>
    <row r="1236" spans="1:10">
      <c r="A1236" s="431">
        <v>1275</v>
      </c>
      <c r="B1236" s="431" t="s">
        <v>2253</v>
      </c>
      <c r="C1236" s="431" t="s">
        <v>2254</v>
      </c>
      <c r="D1236" s="431" t="s">
        <v>4663</v>
      </c>
      <c r="E1236" s="431" t="s">
        <v>4664</v>
      </c>
      <c r="F1236" s="431">
        <v>254</v>
      </c>
      <c r="G1236" s="431" t="s">
        <v>1107</v>
      </c>
      <c r="H1236" s="431" t="s">
        <v>2257</v>
      </c>
      <c r="I1236" s="431" t="s">
        <v>2258</v>
      </c>
      <c r="J1236" s="432">
        <v>46234</v>
      </c>
    </row>
    <row r="1237" spans="1:10">
      <c r="A1237" s="431">
        <v>1276</v>
      </c>
      <c r="B1237" s="431" t="s">
        <v>2253</v>
      </c>
      <c r="C1237" s="431" t="s">
        <v>2254</v>
      </c>
      <c r="D1237" s="431" t="s">
        <v>4665</v>
      </c>
      <c r="E1237" s="431" t="s">
        <v>4666</v>
      </c>
      <c r="F1237" s="431">
        <v>381</v>
      </c>
      <c r="G1237" s="431" t="s">
        <v>1107</v>
      </c>
      <c r="H1237" s="431" t="s">
        <v>2257</v>
      </c>
      <c r="I1237" s="431" t="s">
        <v>2258</v>
      </c>
      <c r="J1237" s="432">
        <v>46234</v>
      </c>
    </row>
    <row r="1238" spans="1:10">
      <c r="A1238" s="431">
        <v>1277</v>
      </c>
      <c r="B1238" s="431" t="s">
        <v>2253</v>
      </c>
      <c r="C1238" s="431" t="s">
        <v>2254</v>
      </c>
      <c r="D1238" s="431" t="s">
        <v>4667</v>
      </c>
      <c r="E1238" s="431" t="s">
        <v>4668</v>
      </c>
      <c r="F1238" s="431">
        <v>216</v>
      </c>
      <c r="G1238" s="431" t="s">
        <v>1107</v>
      </c>
      <c r="H1238" s="431" t="s">
        <v>2257</v>
      </c>
      <c r="I1238" s="431" t="s">
        <v>2258</v>
      </c>
      <c r="J1238" s="432">
        <v>46234</v>
      </c>
    </row>
    <row r="1239" spans="1:10">
      <c r="A1239" s="431">
        <v>1278</v>
      </c>
      <c r="B1239" s="431" t="s">
        <v>2253</v>
      </c>
      <c r="C1239" s="431" t="s">
        <v>2254</v>
      </c>
      <c r="D1239" s="431" t="s">
        <v>4669</v>
      </c>
      <c r="E1239" s="431" t="s">
        <v>4670</v>
      </c>
      <c r="F1239" s="431">
        <v>309</v>
      </c>
      <c r="G1239" s="431" t="s">
        <v>1107</v>
      </c>
      <c r="H1239" s="431" t="s">
        <v>2257</v>
      </c>
      <c r="I1239" s="431" t="s">
        <v>2258</v>
      </c>
      <c r="J1239" s="432">
        <v>46234</v>
      </c>
    </row>
    <row r="1240" spans="1:10">
      <c r="A1240" s="431">
        <v>1279</v>
      </c>
      <c r="B1240" s="431" t="s">
        <v>2253</v>
      </c>
      <c r="C1240" s="431" t="s">
        <v>2254</v>
      </c>
      <c r="D1240" s="431" t="s">
        <v>4671</v>
      </c>
      <c r="E1240" s="431" t="s">
        <v>4672</v>
      </c>
      <c r="F1240" s="431">
        <v>127</v>
      </c>
      <c r="G1240" s="431" t="s">
        <v>1107</v>
      </c>
      <c r="H1240" s="431" t="s">
        <v>2257</v>
      </c>
      <c r="I1240" s="431" t="s">
        <v>2258</v>
      </c>
      <c r="J1240" s="432">
        <v>46234</v>
      </c>
    </row>
    <row r="1241" spans="1:10">
      <c r="A1241" s="431">
        <v>1280</v>
      </c>
      <c r="B1241" s="431" t="s">
        <v>2253</v>
      </c>
      <c r="C1241" s="431" t="s">
        <v>2254</v>
      </c>
      <c r="D1241" s="431" t="s">
        <v>4673</v>
      </c>
      <c r="E1241" s="431" t="s">
        <v>4674</v>
      </c>
      <c r="F1241" s="431">
        <v>212</v>
      </c>
      <c r="G1241" s="431" t="s">
        <v>1107</v>
      </c>
      <c r="H1241" s="431" t="s">
        <v>2257</v>
      </c>
      <c r="I1241" s="431" t="s">
        <v>2258</v>
      </c>
      <c r="J1241" s="432">
        <v>46234</v>
      </c>
    </row>
    <row r="1242" spans="1:10">
      <c r="A1242" s="431">
        <v>1281</v>
      </c>
      <c r="B1242" s="431" t="s">
        <v>2253</v>
      </c>
      <c r="C1242" s="431" t="s">
        <v>2254</v>
      </c>
      <c r="D1242" s="431" t="s">
        <v>4675</v>
      </c>
      <c r="E1242" s="431" t="s">
        <v>4676</v>
      </c>
      <c r="F1242" s="431">
        <v>60</v>
      </c>
      <c r="G1242" s="431" t="s">
        <v>1107</v>
      </c>
      <c r="H1242" s="431" t="s">
        <v>2573</v>
      </c>
      <c r="I1242" s="431" t="s">
        <v>2574</v>
      </c>
      <c r="J1242" s="432">
        <v>46234</v>
      </c>
    </row>
    <row r="1243" spans="1:10">
      <c r="A1243" s="431">
        <v>1282</v>
      </c>
      <c r="B1243" s="431" t="s">
        <v>2253</v>
      </c>
      <c r="C1243" s="431" t="s">
        <v>2254</v>
      </c>
      <c r="D1243" s="431" t="s">
        <v>4677</v>
      </c>
      <c r="E1243" s="431" t="s">
        <v>4678</v>
      </c>
      <c r="F1243" s="431">
        <v>103</v>
      </c>
      <c r="G1243" s="431" t="s">
        <v>1107</v>
      </c>
      <c r="H1243" s="431" t="s">
        <v>2257</v>
      </c>
      <c r="I1243" s="431" t="s">
        <v>2258</v>
      </c>
      <c r="J1243" s="432">
        <v>46234</v>
      </c>
    </row>
    <row r="1244" spans="1:10">
      <c r="A1244" s="431">
        <v>1283</v>
      </c>
      <c r="B1244" s="431" t="s">
        <v>2253</v>
      </c>
      <c r="C1244" s="431" t="s">
        <v>2254</v>
      </c>
      <c r="D1244" s="431" t="s">
        <v>4679</v>
      </c>
      <c r="E1244" s="431" t="s">
        <v>4680</v>
      </c>
      <c r="F1244" s="431">
        <v>28</v>
      </c>
      <c r="G1244" s="431" t="s">
        <v>1107</v>
      </c>
      <c r="H1244" s="431" t="s">
        <v>2257</v>
      </c>
      <c r="I1244" s="431" t="s">
        <v>2258</v>
      </c>
      <c r="J1244" s="432">
        <v>46234</v>
      </c>
    </row>
    <row r="1245" spans="1:10">
      <c r="A1245" s="431">
        <v>1284</v>
      </c>
      <c r="B1245" s="431" t="s">
        <v>2253</v>
      </c>
      <c r="C1245" s="431" t="s">
        <v>2254</v>
      </c>
      <c r="D1245" s="431" t="s">
        <v>4681</v>
      </c>
      <c r="E1245" s="431" t="s">
        <v>4682</v>
      </c>
      <c r="F1245" s="431">
        <v>41</v>
      </c>
      <c r="G1245" s="431" t="s">
        <v>1107</v>
      </c>
      <c r="H1245" s="431" t="s">
        <v>2257</v>
      </c>
      <c r="I1245" s="431" t="s">
        <v>2258</v>
      </c>
      <c r="J1245" s="432">
        <v>46234</v>
      </c>
    </row>
    <row r="1246" spans="1:10">
      <c r="A1246" s="431">
        <v>1285</v>
      </c>
      <c r="B1246" s="431" t="s">
        <v>2253</v>
      </c>
      <c r="C1246" s="431" t="s">
        <v>2254</v>
      </c>
      <c r="D1246" s="431" t="s">
        <v>4683</v>
      </c>
      <c r="E1246" s="431" t="s">
        <v>4684</v>
      </c>
      <c r="F1246" s="431">
        <v>41</v>
      </c>
      <c r="G1246" s="431" t="s">
        <v>1107</v>
      </c>
      <c r="H1246" s="431" t="s">
        <v>2257</v>
      </c>
      <c r="I1246" s="431" t="s">
        <v>2258</v>
      </c>
      <c r="J1246" s="432">
        <v>46234</v>
      </c>
    </row>
    <row r="1247" spans="1:10">
      <c r="A1247" s="431">
        <v>1286</v>
      </c>
      <c r="B1247" s="431" t="s">
        <v>2253</v>
      </c>
      <c r="C1247" s="431" t="s">
        <v>2254</v>
      </c>
      <c r="D1247" s="431" t="s">
        <v>4685</v>
      </c>
      <c r="E1247" s="431" t="s">
        <v>4686</v>
      </c>
      <c r="F1247" s="431">
        <v>35</v>
      </c>
      <c r="G1247" s="431" t="s">
        <v>1107</v>
      </c>
      <c r="H1247" s="431" t="s">
        <v>2257</v>
      </c>
      <c r="I1247" s="431" t="s">
        <v>2258</v>
      </c>
      <c r="J1247" s="432">
        <v>46234</v>
      </c>
    </row>
    <row r="1248" spans="1:10">
      <c r="A1248" s="431">
        <v>1287</v>
      </c>
      <c r="B1248" s="431" t="s">
        <v>2253</v>
      </c>
      <c r="C1248" s="431" t="s">
        <v>2254</v>
      </c>
      <c r="D1248" s="431" t="s">
        <v>4687</v>
      </c>
      <c r="E1248" s="431" t="s">
        <v>4688</v>
      </c>
      <c r="F1248" s="431">
        <v>51</v>
      </c>
      <c r="G1248" s="431" t="s">
        <v>1107</v>
      </c>
      <c r="H1248" s="431" t="s">
        <v>2257</v>
      </c>
      <c r="I1248" s="431" t="s">
        <v>2258</v>
      </c>
      <c r="J1248" s="432">
        <v>46234</v>
      </c>
    </row>
    <row r="1249" spans="1:10">
      <c r="A1249" s="431">
        <v>1288</v>
      </c>
      <c r="B1249" s="431" t="s">
        <v>2253</v>
      </c>
      <c r="C1249" s="431" t="s">
        <v>2254</v>
      </c>
      <c r="D1249" s="431" t="s">
        <v>4689</v>
      </c>
      <c r="E1249" s="431" t="s">
        <v>4690</v>
      </c>
      <c r="F1249" s="431">
        <v>51</v>
      </c>
      <c r="G1249" s="431" t="s">
        <v>1107</v>
      </c>
      <c r="H1249" s="431" t="s">
        <v>2257</v>
      </c>
      <c r="I1249" s="431" t="s">
        <v>2258</v>
      </c>
      <c r="J1249" s="432">
        <v>46234</v>
      </c>
    </row>
    <row r="1250" spans="1:10">
      <c r="A1250" s="431">
        <v>1289</v>
      </c>
      <c r="B1250" s="431" t="s">
        <v>2253</v>
      </c>
      <c r="C1250" s="431" t="s">
        <v>2254</v>
      </c>
      <c r="D1250" s="431" t="s">
        <v>4691</v>
      </c>
      <c r="E1250" s="431" t="s">
        <v>4692</v>
      </c>
      <c r="F1250" s="431">
        <v>7</v>
      </c>
      <c r="G1250" s="431" t="s">
        <v>1107</v>
      </c>
      <c r="H1250" s="431" t="s">
        <v>2257</v>
      </c>
      <c r="I1250" s="431" t="s">
        <v>2258</v>
      </c>
      <c r="J1250" s="432">
        <v>46234</v>
      </c>
    </row>
    <row r="1251" spans="1:10">
      <c r="A1251" s="431">
        <v>1290</v>
      </c>
      <c r="B1251" s="431" t="s">
        <v>2253</v>
      </c>
      <c r="C1251" s="431" t="s">
        <v>2254</v>
      </c>
      <c r="D1251" s="431" t="s">
        <v>4693</v>
      </c>
      <c r="E1251" s="431" t="s">
        <v>4694</v>
      </c>
      <c r="F1251" s="431">
        <v>14</v>
      </c>
      <c r="G1251" s="431" t="s">
        <v>1107</v>
      </c>
      <c r="H1251" s="431" t="s">
        <v>2257</v>
      </c>
      <c r="I1251" s="431" t="s">
        <v>2258</v>
      </c>
      <c r="J1251" s="432">
        <v>46234</v>
      </c>
    </row>
    <row r="1252" spans="1:10">
      <c r="A1252" s="431">
        <v>1291</v>
      </c>
      <c r="B1252" s="431" t="s">
        <v>2253</v>
      </c>
      <c r="C1252" s="431" t="s">
        <v>2254</v>
      </c>
      <c r="D1252" s="431" t="s">
        <v>4695</v>
      </c>
      <c r="E1252" s="431" t="s">
        <v>4696</v>
      </c>
      <c r="F1252" s="431">
        <v>11</v>
      </c>
      <c r="G1252" s="431" t="s">
        <v>1107</v>
      </c>
      <c r="H1252" s="431" t="s">
        <v>2257</v>
      </c>
      <c r="I1252" s="431" t="s">
        <v>2258</v>
      </c>
      <c r="J1252" s="432">
        <v>46234</v>
      </c>
    </row>
    <row r="1253" spans="1:10">
      <c r="A1253" s="431">
        <v>1292</v>
      </c>
      <c r="B1253" s="431" t="s">
        <v>2253</v>
      </c>
      <c r="C1253" s="431" t="s">
        <v>2254</v>
      </c>
      <c r="D1253" s="431" t="s">
        <v>4697</v>
      </c>
      <c r="E1253" s="431" t="s">
        <v>4698</v>
      </c>
      <c r="F1253" s="431">
        <v>10</v>
      </c>
      <c r="G1253" s="431" t="s">
        <v>1107</v>
      </c>
      <c r="H1253" s="431" t="s">
        <v>2257</v>
      </c>
      <c r="I1253" s="431" t="s">
        <v>2258</v>
      </c>
      <c r="J1253" s="432">
        <v>46234</v>
      </c>
    </row>
    <row r="1254" spans="1:10">
      <c r="A1254" s="431">
        <v>1293</v>
      </c>
      <c r="B1254" s="431" t="s">
        <v>2253</v>
      </c>
      <c r="C1254" s="431" t="s">
        <v>2254</v>
      </c>
      <c r="D1254" s="431" t="s">
        <v>4699</v>
      </c>
      <c r="E1254" s="431" t="s">
        <v>4700</v>
      </c>
      <c r="F1254" s="431">
        <v>16</v>
      </c>
      <c r="G1254" s="431" t="s">
        <v>1107</v>
      </c>
      <c r="H1254" s="431" t="s">
        <v>2257</v>
      </c>
      <c r="I1254" s="431" t="s">
        <v>2258</v>
      </c>
      <c r="J1254" s="432">
        <v>46234</v>
      </c>
    </row>
    <row r="1255" spans="1:10">
      <c r="A1255" s="431">
        <v>1294</v>
      </c>
      <c r="B1255" s="431" t="s">
        <v>2253</v>
      </c>
      <c r="C1255" s="431" t="s">
        <v>2254</v>
      </c>
      <c r="D1255" s="431" t="s">
        <v>4701</v>
      </c>
      <c r="E1255" s="431" t="s">
        <v>4702</v>
      </c>
      <c r="F1255" s="431">
        <v>9</v>
      </c>
      <c r="G1255" s="431" t="s">
        <v>1107</v>
      </c>
      <c r="H1255" s="431" t="s">
        <v>2257</v>
      </c>
      <c r="I1255" s="431" t="s">
        <v>2258</v>
      </c>
      <c r="J1255" s="432">
        <v>46234</v>
      </c>
    </row>
    <row r="1256" spans="1:10">
      <c r="A1256" s="431">
        <v>1295</v>
      </c>
      <c r="B1256" s="431" t="s">
        <v>2253</v>
      </c>
      <c r="C1256" s="431" t="s">
        <v>2254</v>
      </c>
      <c r="D1256" s="431" t="s">
        <v>4703</v>
      </c>
      <c r="E1256" s="431" t="s">
        <v>4704</v>
      </c>
      <c r="F1256" s="431">
        <v>13</v>
      </c>
      <c r="G1256" s="431" t="s">
        <v>1107</v>
      </c>
      <c r="H1256" s="431" t="s">
        <v>2257</v>
      </c>
      <c r="I1256" s="431" t="s">
        <v>2258</v>
      </c>
      <c r="J1256" s="432">
        <v>46234</v>
      </c>
    </row>
    <row r="1257" spans="1:10">
      <c r="A1257" s="431">
        <v>1296</v>
      </c>
      <c r="B1257" s="431" t="s">
        <v>2253</v>
      </c>
      <c r="C1257" s="431" t="s">
        <v>2254</v>
      </c>
      <c r="D1257" s="431" t="s">
        <v>4705</v>
      </c>
      <c r="E1257" s="431" t="s">
        <v>4706</v>
      </c>
      <c r="F1257" s="431">
        <v>51</v>
      </c>
      <c r="G1257" s="431" t="s">
        <v>1107</v>
      </c>
      <c r="H1257" s="431" t="s">
        <v>2257</v>
      </c>
      <c r="I1257" s="431" t="s">
        <v>2258</v>
      </c>
      <c r="J1257" s="432">
        <v>46234</v>
      </c>
    </row>
    <row r="1258" spans="1:10">
      <c r="A1258" s="431">
        <v>1297</v>
      </c>
      <c r="B1258" s="431" t="s">
        <v>2253</v>
      </c>
      <c r="C1258" s="431" t="s">
        <v>2254</v>
      </c>
      <c r="D1258" s="431" t="s">
        <v>4707</v>
      </c>
      <c r="E1258" s="431" t="s">
        <v>4708</v>
      </c>
      <c r="F1258" s="431">
        <v>74</v>
      </c>
      <c r="G1258" s="431" t="s">
        <v>1107</v>
      </c>
      <c r="H1258" s="431" t="s">
        <v>2257</v>
      </c>
      <c r="I1258" s="431" t="s">
        <v>2258</v>
      </c>
      <c r="J1258" s="432">
        <v>46234</v>
      </c>
    </row>
    <row r="1259" spans="1:10">
      <c r="A1259" s="431">
        <v>1298</v>
      </c>
      <c r="B1259" s="431" t="s">
        <v>2253</v>
      </c>
      <c r="C1259" s="431" t="s">
        <v>2254</v>
      </c>
      <c r="D1259" s="431" t="s">
        <v>4709</v>
      </c>
      <c r="E1259" s="431" t="s">
        <v>4710</v>
      </c>
      <c r="F1259" s="431">
        <v>6</v>
      </c>
      <c r="G1259" s="431" t="s">
        <v>1107</v>
      </c>
      <c r="H1259" s="431" t="s">
        <v>2257</v>
      </c>
      <c r="I1259" s="431" t="s">
        <v>2258</v>
      </c>
      <c r="J1259" s="432">
        <v>46234</v>
      </c>
    </row>
    <row r="1260" spans="1:10">
      <c r="A1260" s="431">
        <v>1299</v>
      </c>
      <c r="B1260" s="431" t="s">
        <v>2253</v>
      </c>
      <c r="C1260" s="431" t="s">
        <v>2254</v>
      </c>
      <c r="D1260" s="431" t="s">
        <v>4711</v>
      </c>
      <c r="E1260" s="431" t="s">
        <v>4712</v>
      </c>
      <c r="F1260" s="431">
        <v>9</v>
      </c>
      <c r="G1260" s="431" t="s">
        <v>1107</v>
      </c>
      <c r="H1260" s="431" t="s">
        <v>2257</v>
      </c>
      <c r="I1260" s="431" t="s">
        <v>2258</v>
      </c>
      <c r="J1260" s="432">
        <v>46234</v>
      </c>
    </row>
    <row r="1261" spans="1:10">
      <c r="A1261" s="431">
        <v>1300</v>
      </c>
      <c r="B1261" s="431" t="s">
        <v>2253</v>
      </c>
      <c r="C1261" s="431" t="s">
        <v>2254</v>
      </c>
      <c r="D1261" s="431" t="s">
        <v>4713</v>
      </c>
      <c r="E1261" s="431" t="s">
        <v>4714</v>
      </c>
      <c r="F1261" s="431">
        <v>12</v>
      </c>
      <c r="G1261" s="431" t="s">
        <v>21</v>
      </c>
      <c r="H1261" s="431" t="s">
        <v>2257</v>
      </c>
      <c r="I1261" s="431" t="s">
        <v>2258</v>
      </c>
      <c r="J1261" s="432">
        <v>46234</v>
      </c>
    </row>
    <row r="1262" spans="1:10">
      <c r="A1262" s="431">
        <v>1301</v>
      </c>
      <c r="B1262" s="431" t="s">
        <v>2253</v>
      </c>
      <c r="C1262" s="431" t="s">
        <v>2254</v>
      </c>
      <c r="D1262" s="431" t="s">
        <v>4715</v>
      </c>
      <c r="E1262" s="431" t="s">
        <v>4716</v>
      </c>
      <c r="F1262" s="431">
        <v>18</v>
      </c>
      <c r="G1262" s="431" t="s">
        <v>21</v>
      </c>
      <c r="H1262" s="431" t="s">
        <v>2257</v>
      </c>
      <c r="I1262" s="431" t="s">
        <v>2258</v>
      </c>
      <c r="J1262" s="432">
        <v>46234</v>
      </c>
    </row>
    <row r="1263" spans="1:10">
      <c r="A1263" s="431">
        <v>1302</v>
      </c>
      <c r="B1263" s="431" t="s">
        <v>2253</v>
      </c>
      <c r="C1263" s="431" t="s">
        <v>2254</v>
      </c>
      <c r="D1263" s="431" t="s">
        <v>4717</v>
      </c>
      <c r="E1263" s="431" t="s">
        <v>4718</v>
      </c>
      <c r="F1263" s="431">
        <v>18</v>
      </c>
      <c r="G1263" s="431" t="s">
        <v>21</v>
      </c>
      <c r="H1263" s="431" t="s">
        <v>2257</v>
      </c>
      <c r="I1263" s="431" t="s">
        <v>2258</v>
      </c>
      <c r="J1263" s="432">
        <v>46234</v>
      </c>
    </row>
    <row r="1264" spans="1:10">
      <c r="A1264" s="431">
        <v>1303</v>
      </c>
      <c r="B1264" s="431" t="s">
        <v>2253</v>
      </c>
      <c r="C1264" s="431" t="s">
        <v>2254</v>
      </c>
      <c r="D1264" s="431" t="s">
        <v>4719</v>
      </c>
      <c r="E1264" s="431" t="s">
        <v>4720</v>
      </c>
      <c r="F1264" s="431">
        <v>28</v>
      </c>
      <c r="G1264" s="431" t="s">
        <v>21</v>
      </c>
      <c r="H1264" s="431" t="s">
        <v>2257</v>
      </c>
      <c r="I1264" s="431" t="s">
        <v>2258</v>
      </c>
      <c r="J1264" s="432">
        <v>46234</v>
      </c>
    </row>
    <row r="1265" spans="1:10">
      <c r="A1265" s="431">
        <v>1304</v>
      </c>
      <c r="B1265" s="431" t="s">
        <v>2253</v>
      </c>
      <c r="C1265" s="431" t="s">
        <v>2254</v>
      </c>
      <c r="D1265" s="431" t="s">
        <v>4721</v>
      </c>
      <c r="E1265" s="431" t="s">
        <v>4722</v>
      </c>
      <c r="F1265" s="431">
        <v>60</v>
      </c>
      <c r="G1265" s="431" t="s">
        <v>1107</v>
      </c>
      <c r="H1265" s="431" t="s">
        <v>2257</v>
      </c>
      <c r="I1265" s="431" t="s">
        <v>2258</v>
      </c>
      <c r="J1265" s="432">
        <v>46234</v>
      </c>
    </row>
    <row r="1266" spans="1:10">
      <c r="A1266" s="431">
        <v>1305</v>
      </c>
      <c r="B1266" s="431" t="s">
        <v>2253</v>
      </c>
      <c r="C1266" s="431" t="s">
        <v>2254</v>
      </c>
      <c r="D1266" s="431" t="s">
        <v>4723</v>
      </c>
      <c r="E1266" s="431" t="s">
        <v>4724</v>
      </c>
      <c r="F1266" s="431">
        <v>90</v>
      </c>
      <c r="G1266" s="431" t="s">
        <v>1107</v>
      </c>
      <c r="H1266" s="431" t="s">
        <v>2257</v>
      </c>
      <c r="I1266" s="431" t="s">
        <v>2258</v>
      </c>
      <c r="J1266" s="432">
        <v>46234</v>
      </c>
    </row>
    <row r="1267" spans="1:10">
      <c r="A1267" s="431">
        <v>1306</v>
      </c>
      <c r="B1267" s="431" t="s">
        <v>2253</v>
      </c>
      <c r="C1267" s="431" t="s">
        <v>2254</v>
      </c>
      <c r="D1267" s="431" t="s">
        <v>4725</v>
      </c>
      <c r="E1267" s="431" t="s">
        <v>4726</v>
      </c>
      <c r="F1267" s="431">
        <v>59</v>
      </c>
      <c r="G1267" s="431" t="s">
        <v>1107</v>
      </c>
      <c r="H1267" s="431" t="s">
        <v>2257</v>
      </c>
      <c r="I1267" s="431" t="s">
        <v>2258</v>
      </c>
      <c r="J1267" s="432">
        <v>46234</v>
      </c>
    </row>
    <row r="1268" spans="1:10">
      <c r="A1268" s="431">
        <v>1307</v>
      </c>
      <c r="B1268" s="431" t="s">
        <v>2253</v>
      </c>
      <c r="C1268" s="431" t="s">
        <v>2254</v>
      </c>
      <c r="D1268" s="431" t="s">
        <v>4727</v>
      </c>
      <c r="E1268" s="431" t="s">
        <v>4728</v>
      </c>
      <c r="F1268" s="431">
        <v>76</v>
      </c>
      <c r="G1268" s="431" t="s">
        <v>1107</v>
      </c>
      <c r="H1268" s="431" t="s">
        <v>2257</v>
      </c>
      <c r="I1268" s="431" t="s">
        <v>2258</v>
      </c>
      <c r="J1268" s="432">
        <v>46234</v>
      </c>
    </row>
    <row r="1269" spans="1:10">
      <c r="A1269" s="431">
        <v>1308</v>
      </c>
      <c r="B1269" s="431" t="s">
        <v>2253</v>
      </c>
      <c r="C1269" s="431" t="s">
        <v>2254</v>
      </c>
      <c r="D1269" s="431" t="s">
        <v>4729</v>
      </c>
      <c r="E1269" s="431" t="s">
        <v>4730</v>
      </c>
      <c r="F1269" s="431">
        <v>65</v>
      </c>
      <c r="G1269" s="431" t="s">
        <v>1107</v>
      </c>
      <c r="H1269" s="431" t="s">
        <v>2257</v>
      </c>
      <c r="I1269" s="431" t="s">
        <v>2258</v>
      </c>
      <c r="J1269" s="432">
        <v>46234</v>
      </c>
    </row>
    <row r="1270" spans="1:10">
      <c r="A1270" s="431">
        <v>1309</v>
      </c>
      <c r="B1270" s="431" t="s">
        <v>2253</v>
      </c>
      <c r="C1270" s="431" t="s">
        <v>2254</v>
      </c>
      <c r="D1270" s="431" t="s">
        <v>4731</v>
      </c>
      <c r="E1270" s="431" t="s">
        <v>4732</v>
      </c>
      <c r="F1270" s="431">
        <v>115</v>
      </c>
      <c r="G1270" s="431" t="s">
        <v>1107</v>
      </c>
      <c r="H1270" s="431" t="s">
        <v>2257</v>
      </c>
      <c r="I1270" s="431" t="s">
        <v>2258</v>
      </c>
      <c r="J1270" s="432">
        <v>46234</v>
      </c>
    </row>
    <row r="1271" spans="1:10">
      <c r="A1271" s="431">
        <v>1310</v>
      </c>
      <c r="B1271" s="431" t="s">
        <v>2253</v>
      </c>
      <c r="C1271" s="431" t="s">
        <v>2254</v>
      </c>
      <c r="D1271" s="431" t="s">
        <v>4733</v>
      </c>
      <c r="E1271" s="431" t="s">
        <v>4734</v>
      </c>
      <c r="F1271" s="431">
        <v>65</v>
      </c>
      <c r="G1271" s="431" t="s">
        <v>1107</v>
      </c>
      <c r="H1271" s="431" t="s">
        <v>2257</v>
      </c>
      <c r="I1271" s="431" t="s">
        <v>2258</v>
      </c>
      <c r="J1271" s="432">
        <v>46234</v>
      </c>
    </row>
    <row r="1272" spans="1:10">
      <c r="A1272" s="431">
        <v>1311</v>
      </c>
      <c r="B1272" s="431" t="s">
        <v>2253</v>
      </c>
      <c r="C1272" s="431" t="s">
        <v>2254</v>
      </c>
      <c r="D1272" s="431" t="s">
        <v>4735</v>
      </c>
      <c r="E1272" s="431" t="s">
        <v>4736</v>
      </c>
      <c r="F1272" s="431">
        <v>115</v>
      </c>
      <c r="G1272" s="431" t="s">
        <v>1107</v>
      </c>
      <c r="H1272" s="431" t="s">
        <v>2257</v>
      </c>
      <c r="I1272" s="431" t="s">
        <v>2258</v>
      </c>
      <c r="J1272" s="432">
        <v>46234</v>
      </c>
    </row>
    <row r="1273" spans="1:10">
      <c r="A1273" s="431">
        <v>1312</v>
      </c>
      <c r="B1273" s="431" t="s">
        <v>2253</v>
      </c>
      <c r="C1273" s="431" t="s">
        <v>2254</v>
      </c>
      <c r="D1273" s="431" t="s">
        <v>4737</v>
      </c>
      <c r="E1273" s="431" t="s">
        <v>4738</v>
      </c>
      <c r="F1273" s="431">
        <v>97</v>
      </c>
      <c r="G1273" s="431" t="s">
        <v>1107</v>
      </c>
      <c r="H1273" s="431" t="s">
        <v>2257</v>
      </c>
      <c r="I1273" s="431" t="s">
        <v>2258</v>
      </c>
      <c r="J1273" s="432">
        <v>46234</v>
      </c>
    </row>
    <row r="1274" spans="1:10">
      <c r="A1274" s="431">
        <v>1313</v>
      </c>
      <c r="B1274" s="431" t="s">
        <v>2253</v>
      </c>
      <c r="C1274" s="431" t="s">
        <v>2254</v>
      </c>
      <c r="D1274" s="431" t="s">
        <v>4739</v>
      </c>
      <c r="E1274" s="431" t="s">
        <v>4740</v>
      </c>
      <c r="F1274" s="431">
        <v>127</v>
      </c>
      <c r="G1274" s="431" t="s">
        <v>1107</v>
      </c>
      <c r="H1274" s="431" t="s">
        <v>2257</v>
      </c>
      <c r="I1274" s="431" t="s">
        <v>2258</v>
      </c>
      <c r="J1274" s="432">
        <v>46234</v>
      </c>
    </row>
    <row r="1275" spans="1:10">
      <c r="A1275" s="431">
        <v>1314</v>
      </c>
      <c r="B1275" s="431" t="s">
        <v>2253</v>
      </c>
      <c r="C1275" s="431" t="s">
        <v>2254</v>
      </c>
      <c r="D1275" s="431" t="s">
        <v>4741</v>
      </c>
      <c r="E1275" s="431" t="s">
        <v>4742</v>
      </c>
      <c r="F1275" s="431">
        <v>106</v>
      </c>
      <c r="G1275" s="431" t="s">
        <v>1107</v>
      </c>
      <c r="H1275" s="431" t="s">
        <v>2257</v>
      </c>
      <c r="I1275" s="431" t="s">
        <v>2258</v>
      </c>
      <c r="J1275" s="432">
        <v>46234</v>
      </c>
    </row>
    <row r="1276" spans="1:10">
      <c r="A1276" s="431">
        <v>1315</v>
      </c>
      <c r="B1276" s="431" t="s">
        <v>2253</v>
      </c>
      <c r="C1276" s="431" t="s">
        <v>2254</v>
      </c>
      <c r="D1276" s="431" t="s">
        <v>4743</v>
      </c>
      <c r="E1276" s="431" t="s">
        <v>4744</v>
      </c>
      <c r="F1276" s="431">
        <v>135</v>
      </c>
      <c r="G1276" s="431" t="s">
        <v>1107</v>
      </c>
      <c r="H1276" s="431" t="s">
        <v>2257</v>
      </c>
      <c r="I1276" s="431" t="s">
        <v>2258</v>
      </c>
      <c r="J1276" s="432">
        <v>46234</v>
      </c>
    </row>
    <row r="1277" spans="1:10">
      <c r="A1277" s="431">
        <v>1316</v>
      </c>
      <c r="B1277" s="431" t="s">
        <v>2253</v>
      </c>
      <c r="C1277" s="431" t="s">
        <v>2254</v>
      </c>
      <c r="D1277" s="431" t="s">
        <v>4745</v>
      </c>
      <c r="E1277" s="431" t="s">
        <v>4746</v>
      </c>
      <c r="F1277" s="431">
        <v>130</v>
      </c>
      <c r="G1277" s="431" t="s">
        <v>1107</v>
      </c>
      <c r="H1277" s="431" t="s">
        <v>2257</v>
      </c>
      <c r="I1277" s="431" t="s">
        <v>2258</v>
      </c>
      <c r="J1277" s="432">
        <v>46234</v>
      </c>
    </row>
    <row r="1278" spans="1:10">
      <c r="A1278" s="431">
        <v>1317</v>
      </c>
      <c r="B1278" s="431" t="s">
        <v>2253</v>
      </c>
      <c r="C1278" s="431" t="s">
        <v>2254</v>
      </c>
      <c r="D1278" s="431" t="s">
        <v>4747</v>
      </c>
      <c r="E1278" s="431" t="s">
        <v>4748</v>
      </c>
      <c r="F1278" s="431">
        <v>250</v>
      </c>
      <c r="G1278" s="431" t="s">
        <v>1107</v>
      </c>
      <c r="H1278" s="431" t="s">
        <v>2257</v>
      </c>
      <c r="I1278" s="431" t="s">
        <v>2258</v>
      </c>
      <c r="J1278" s="432">
        <v>46234</v>
      </c>
    </row>
    <row r="1279" spans="1:10">
      <c r="A1279" s="431">
        <v>1318</v>
      </c>
      <c r="B1279" s="431" t="s">
        <v>2253</v>
      </c>
      <c r="C1279" s="431" t="s">
        <v>2254</v>
      </c>
      <c r="D1279" s="431" t="s">
        <v>4749</v>
      </c>
      <c r="E1279" s="431" t="s">
        <v>4750</v>
      </c>
      <c r="F1279" s="431">
        <v>110</v>
      </c>
      <c r="G1279" s="431" t="s">
        <v>1107</v>
      </c>
      <c r="H1279" s="431" t="s">
        <v>2257</v>
      </c>
      <c r="I1279" s="431" t="s">
        <v>2258</v>
      </c>
      <c r="J1279" s="432">
        <v>46234</v>
      </c>
    </row>
    <row r="1280" spans="1:10">
      <c r="A1280" s="431">
        <v>1319</v>
      </c>
      <c r="B1280" s="431" t="s">
        <v>2253</v>
      </c>
      <c r="C1280" s="431" t="s">
        <v>2254</v>
      </c>
      <c r="D1280" s="431" t="s">
        <v>4751</v>
      </c>
      <c r="E1280" s="431" t="s">
        <v>4752</v>
      </c>
      <c r="F1280" s="431">
        <v>135</v>
      </c>
      <c r="G1280" s="431" t="s">
        <v>1107</v>
      </c>
      <c r="H1280" s="431" t="s">
        <v>2257</v>
      </c>
      <c r="I1280" s="431" t="s">
        <v>2258</v>
      </c>
      <c r="J1280" s="432">
        <v>46234</v>
      </c>
    </row>
    <row r="1281" spans="1:10">
      <c r="A1281" s="431">
        <v>1320</v>
      </c>
      <c r="B1281" s="431" t="s">
        <v>2253</v>
      </c>
      <c r="C1281" s="431" t="s">
        <v>2254</v>
      </c>
      <c r="D1281" s="431" t="s">
        <v>4753</v>
      </c>
      <c r="E1281" s="431" t="s">
        <v>4754</v>
      </c>
      <c r="F1281" s="431">
        <v>110</v>
      </c>
      <c r="G1281" s="431" t="s">
        <v>1107</v>
      </c>
      <c r="H1281" s="431" t="s">
        <v>2257</v>
      </c>
      <c r="I1281" s="431" t="s">
        <v>2258</v>
      </c>
      <c r="J1281" s="432">
        <v>46234</v>
      </c>
    </row>
    <row r="1282" spans="1:10">
      <c r="A1282" s="431">
        <v>1321</v>
      </c>
      <c r="B1282" s="431" t="s">
        <v>2253</v>
      </c>
      <c r="C1282" s="431" t="s">
        <v>2254</v>
      </c>
      <c r="D1282" s="431" t="s">
        <v>4755</v>
      </c>
      <c r="E1282" s="431" t="s">
        <v>4756</v>
      </c>
      <c r="F1282" s="431">
        <v>135</v>
      </c>
      <c r="G1282" s="431" t="s">
        <v>1107</v>
      </c>
      <c r="H1282" s="431" t="s">
        <v>2257</v>
      </c>
      <c r="I1282" s="431" t="s">
        <v>2258</v>
      </c>
      <c r="J1282" s="432">
        <v>46234</v>
      </c>
    </row>
    <row r="1283" spans="1:10">
      <c r="A1283" s="431">
        <v>1322</v>
      </c>
      <c r="B1283" s="431" t="s">
        <v>2253</v>
      </c>
      <c r="C1283" s="431" t="s">
        <v>2254</v>
      </c>
      <c r="D1283" s="431" t="s">
        <v>4757</v>
      </c>
      <c r="E1283" s="431" t="s">
        <v>4758</v>
      </c>
      <c r="F1283" s="431">
        <v>120</v>
      </c>
      <c r="G1283" s="431" t="s">
        <v>1107</v>
      </c>
      <c r="H1283" s="431" t="s">
        <v>2257</v>
      </c>
      <c r="I1283" s="431" t="s">
        <v>2258</v>
      </c>
      <c r="J1283" s="432">
        <v>46234</v>
      </c>
    </row>
    <row r="1284" spans="1:10">
      <c r="A1284" s="431">
        <v>1323</v>
      </c>
      <c r="B1284" s="431" t="s">
        <v>2253</v>
      </c>
      <c r="C1284" s="431" t="s">
        <v>2254</v>
      </c>
      <c r="D1284" s="431" t="s">
        <v>4759</v>
      </c>
      <c r="E1284" s="431" t="s">
        <v>4760</v>
      </c>
      <c r="F1284" s="431">
        <v>150</v>
      </c>
      <c r="G1284" s="431" t="s">
        <v>1107</v>
      </c>
      <c r="H1284" s="431" t="s">
        <v>2257</v>
      </c>
      <c r="I1284" s="431" t="s">
        <v>2258</v>
      </c>
      <c r="J1284" s="432">
        <v>46234</v>
      </c>
    </row>
    <row r="1285" spans="1:10">
      <c r="A1285" s="431">
        <v>1324</v>
      </c>
      <c r="B1285" s="431" t="s">
        <v>2253</v>
      </c>
      <c r="C1285" s="431" t="s">
        <v>2254</v>
      </c>
      <c r="D1285" s="431" t="s">
        <v>4761</v>
      </c>
      <c r="E1285" s="431" t="s">
        <v>4762</v>
      </c>
      <c r="F1285" s="431">
        <v>120</v>
      </c>
      <c r="G1285" s="431" t="s">
        <v>1107</v>
      </c>
      <c r="H1285" s="431" t="s">
        <v>2257</v>
      </c>
      <c r="I1285" s="431" t="s">
        <v>2258</v>
      </c>
      <c r="J1285" s="432">
        <v>46234</v>
      </c>
    </row>
    <row r="1286" spans="1:10">
      <c r="A1286" s="431">
        <v>1325</v>
      </c>
      <c r="B1286" s="431" t="s">
        <v>2253</v>
      </c>
      <c r="C1286" s="431" t="s">
        <v>2254</v>
      </c>
      <c r="D1286" s="431" t="s">
        <v>4763</v>
      </c>
      <c r="E1286" s="431" t="s">
        <v>4764</v>
      </c>
      <c r="F1286" s="431">
        <v>150</v>
      </c>
      <c r="G1286" s="431" t="s">
        <v>1107</v>
      </c>
      <c r="H1286" s="431" t="s">
        <v>2257</v>
      </c>
      <c r="I1286" s="431" t="s">
        <v>2258</v>
      </c>
      <c r="J1286" s="432">
        <v>46234</v>
      </c>
    </row>
    <row r="1287" spans="1:10">
      <c r="A1287" s="431">
        <v>1326</v>
      </c>
      <c r="B1287" s="431" t="s">
        <v>2253</v>
      </c>
      <c r="C1287" s="431" t="s">
        <v>2254</v>
      </c>
      <c r="D1287" s="431" t="s">
        <v>4765</v>
      </c>
      <c r="E1287" s="431" t="s">
        <v>4766</v>
      </c>
      <c r="F1287" s="431">
        <v>160</v>
      </c>
      <c r="G1287" s="431" t="s">
        <v>1107</v>
      </c>
      <c r="H1287" s="431" t="s">
        <v>2257</v>
      </c>
      <c r="I1287" s="431" t="s">
        <v>2258</v>
      </c>
      <c r="J1287" s="432">
        <v>46234</v>
      </c>
    </row>
    <row r="1288" spans="1:10">
      <c r="A1288" s="431">
        <v>1327</v>
      </c>
      <c r="B1288" s="431" t="s">
        <v>2253</v>
      </c>
      <c r="C1288" s="431" t="s">
        <v>2254</v>
      </c>
      <c r="D1288" s="431" t="s">
        <v>4767</v>
      </c>
      <c r="E1288" s="431" t="s">
        <v>4768</v>
      </c>
      <c r="F1288" s="431">
        <v>280</v>
      </c>
      <c r="G1288" s="431" t="s">
        <v>1107</v>
      </c>
      <c r="H1288" s="431" t="s">
        <v>2257</v>
      </c>
      <c r="I1288" s="431" t="s">
        <v>2258</v>
      </c>
      <c r="J1288" s="432">
        <v>46234</v>
      </c>
    </row>
    <row r="1289" spans="1:10">
      <c r="A1289" s="431">
        <v>1328</v>
      </c>
      <c r="B1289" s="431" t="s">
        <v>2253</v>
      </c>
      <c r="C1289" s="431" t="s">
        <v>2254</v>
      </c>
      <c r="D1289" s="431" t="s">
        <v>4769</v>
      </c>
      <c r="E1289" s="431" t="s">
        <v>4770</v>
      </c>
      <c r="F1289" s="431">
        <v>76</v>
      </c>
      <c r="G1289" s="431" t="s">
        <v>1107</v>
      </c>
      <c r="H1289" s="431" t="s">
        <v>2257</v>
      </c>
      <c r="I1289" s="431" t="s">
        <v>2258</v>
      </c>
      <c r="J1289" s="432">
        <v>46234</v>
      </c>
    </row>
    <row r="1290" spans="1:10">
      <c r="A1290" s="431">
        <v>1329</v>
      </c>
      <c r="B1290" s="431" t="s">
        <v>2253</v>
      </c>
      <c r="C1290" s="431" t="s">
        <v>2254</v>
      </c>
      <c r="D1290" s="431" t="s">
        <v>4771</v>
      </c>
      <c r="E1290" s="431" t="s">
        <v>4772</v>
      </c>
      <c r="F1290" s="431">
        <v>84</v>
      </c>
      <c r="G1290" s="431" t="s">
        <v>1107</v>
      </c>
      <c r="H1290" s="431" t="s">
        <v>2257</v>
      </c>
      <c r="I1290" s="431" t="s">
        <v>2258</v>
      </c>
      <c r="J1290" s="432">
        <v>46234</v>
      </c>
    </row>
    <row r="1291" spans="1:10">
      <c r="A1291" s="431">
        <v>1330</v>
      </c>
      <c r="B1291" s="431" t="s">
        <v>2253</v>
      </c>
      <c r="C1291" s="431" t="s">
        <v>2254</v>
      </c>
      <c r="D1291" s="431" t="s">
        <v>4773</v>
      </c>
      <c r="E1291" s="431" t="s">
        <v>4774</v>
      </c>
      <c r="F1291" s="431">
        <v>84</v>
      </c>
      <c r="G1291" s="431" t="s">
        <v>1107</v>
      </c>
      <c r="H1291" s="431" t="s">
        <v>2257</v>
      </c>
      <c r="I1291" s="431" t="s">
        <v>2258</v>
      </c>
      <c r="J1291" s="432">
        <v>46234</v>
      </c>
    </row>
    <row r="1292" spans="1:10">
      <c r="A1292" s="431">
        <v>1331</v>
      </c>
      <c r="B1292" s="431" t="s">
        <v>2253</v>
      </c>
      <c r="C1292" s="431" t="s">
        <v>2254</v>
      </c>
      <c r="D1292" s="431" t="s">
        <v>4775</v>
      </c>
      <c r="E1292" s="431" t="s">
        <v>4776</v>
      </c>
      <c r="F1292" s="431">
        <v>101</v>
      </c>
      <c r="G1292" s="431" t="s">
        <v>1107</v>
      </c>
      <c r="H1292" s="431" t="s">
        <v>2257</v>
      </c>
      <c r="I1292" s="431" t="s">
        <v>2258</v>
      </c>
      <c r="J1292" s="432">
        <v>46234</v>
      </c>
    </row>
    <row r="1293" spans="1:10">
      <c r="A1293" s="431">
        <v>1332</v>
      </c>
      <c r="B1293" s="431" t="s">
        <v>2253</v>
      </c>
      <c r="C1293" s="431" t="s">
        <v>2254</v>
      </c>
      <c r="D1293" s="431" t="s">
        <v>4777</v>
      </c>
      <c r="E1293" s="431" t="s">
        <v>4778</v>
      </c>
      <c r="F1293" s="431">
        <v>93</v>
      </c>
      <c r="G1293" s="431" t="s">
        <v>1107</v>
      </c>
      <c r="H1293" s="431" t="s">
        <v>2257</v>
      </c>
      <c r="I1293" s="431" t="s">
        <v>2258</v>
      </c>
      <c r="J1293" s="432">
        <v>46234</v>
      </c>
    </row>
    <row r="1294" spans="1:10">
      <c r="A1294" s="431">
        <v>1333</v>
      </c>
      <c r="B1294" s="431" t="s">
        <v>2253</v>
      </c>
      <c r="C1294" s="431" t="s">
        <v>2254</v>
      </c>
      <c r="D1294" s="431" t="s">
        <v>4779</v>
      </c>
      <c r="E1294" s="431" t="s">
        <v>4780</v>
      </c>
      <c r="F1294" s="431">
        <v>7</v>
      </c>
      <c r="G1294" s="431" t="s">
        <v>1107</v>
      </c>
      <c r="H1294" s="431" t="s">
        <v>2257</v>
      </c>
      <c r="I1294" s="431" t="s">
        <v>2258</v>
      </c>
      <c r="J1294" s="432">
        <v>46234</v>
      </c>
    </row>
    <row r="1295" spans="1:10">
      <c r="A1295" s="431">
        <v>1334</v>
      </c>
      <c r="B1295" s="431" t="s">
        <v>2253</v>
      </c>
      <c r="C1295" s="431" t="s">
        <v>2254</v>
      </c>
      <c r="D1295" s="431" t="s">
        <v>4781</v>
      </c>
      <c r="E1295" s="431" t="s">
        <v>4782</v>
      </c>
      <c r="F1295" s="431">
        <v>8</v>
      </c>
      <c r="G1295" s="431" t="s">
        <v>1107</v>
      </c>
      <c r="H1295" s="431" t="s">
        <v>2257</v>
      </c>
      <c r="I1295" s="431" t="s">
        <v>2258</v>
      </c>
      <c r="J1295" s="432">
        <v>46234</v>
      </c>
    </row>
    <row r="1296" spans="1:10">
      <c r="A1296" s="431">
        <v>1335</v>
      </c>
      <c r="B1296" s="431" t="s">
        <v>2253</v>
      </c>
      <c r="C1296" s="431" t="s">
        <v>2254</v>
      </c>
      <c r="D1296" s="431" t="s">
        <v>4783</v>
      </c>
      <c r="E1296" s="431" t="s">
        <v>4784</v>
      </c>
      <c r="F1296" s="431">
        <v>5</v>
      </c>
      <c r="G1296" s="431" t="s">
        <v>1107</v>
      </c>
      <c r="H1296" s="431" t="s">
        <v>2257</v>
      </c>
      <c r="I1296" s="431" t="s">
        <v>2258</v>
      </c>
      <c r="J1296" s="432">
        <v>46234</v>
      </c>
    </row>
    <row r="1297" spans="1:10">
      <c r="A1297" s="431">
        <v>1336</v>
      </c>
      <c r="B1297" s="431" t="s">
        <v>2253</v>
      </c>
      <c r="C1297" s="431" t="s">
        <v>2254</v>
      </c>
      <c r="D1297" s="431" t="s">
        <v>4785</v>
      </c>
      <c r="E1297" s="431" t="s">
        <v>4786</v>
      </c>
      <c r="F1297" s="431">
        <v>6</v>
      </c>
      <c r="G1297" s="431" t="s">
        <v>1107</v>
      </c>
      <c r="H1297" s="431" t="s">
        <v>2257</v>
      </c>
      <c r="I1297" s="431" t="s">
        <v>2258</v>
      </c>
      <c r="J1297" s="432">
        <v>46234</v>
      </c>
    </row>
    <row r="1298" spans="1:10">
      <c r="A1298" s="431">
        <v>1337</v>
      </c>
      <c r="B1298" s="431" t="s">
        <v>2253</v>
      </c>
      <c r="C1298" s="431" t="s">
        <v>2254</v>
      </c>
      <c r="D1298" s="431" t="s">
        <v>4787</v>
      </c>
      <c r="E1298" s="431" t="s">
        <v>4788</v>
      </c>
      <c r="F1298" s="431">
        <v>55000</v>
      </c>
      <c r="G1298" s="431" t="s">
        <v>812</v>
      </c>
      <c r="H1298" s="431" t="s">
        <v>2257</v>
      </c>
      <c r="I1298" s="431" t="s">
        <v>2258</v>
      </c>
      <c r="J1298" s="432">
        <v>46234</v>
      </c>
    </row>
    <row r="1299" spans="1:10">
      <c r="A1299" s="431">
        <v>1338</v>
      </c>
      <c r="B1299" s="431" t="s">
        <v>2253</v>
      </c>
      <c r="C1299" s="431" t="s">
        <v>2254</v>
      </c>
      <c r="D1299" s="431" t="s">
        <v>4789</v>
      </c>
      <c r="E1299" s="431" t="s">
        <v>4790</v>
      </c>
      <c r="F1299" s="431">
        <v>790</v>
      </c>
      <c r="G1299" s="431" t="s">
        <v>21</v>
      </c>
      <c r="H1299" s="431" t="s">
        <v>2257</v>
      </c>
      <c r="I1299" s="431" t="s">
        <v>2258</v>
      </c>
      <c r="J1299" s="432">
        <v>46234</v>
      </c>
    </row>
    <row r="1300" spans="1:10">
      <c r="A1300" s="431">
        <v>1339</v>
      </c>
      <c r="B1300" s="431" t="s">
        <v>2253</v>
      </c>
      <c r="C1300" s="431" t="s">
        <v>2254</v>
      </c>
      <c r="D1300" s="431" t="s">
        <v>4791</v>
      </c>
      <c r="E1300" s="431" t="s">
        <v>4792</v>
      </c>
      <c r="F1300" s="431">
        <v>1290</v>
      </c>
      <c r="G1300" s="431" t="s">
        <v>21</v>
      </c>
      <c r="H1300" s="431" t="s">
        <v>2257</v>
      </c>
      <c r="I1300" s="431" t="s">
        <v>2258</v>
      </c>
      <c r="J1300" s="432">
        <v>46234</v>
      </c>
    </row>
    <row r="1301" spans="1:10">
      <c r="A1301" s="431">
        <v>1340</v>
      </c>
      <c r="B1301" s="431" t="s">
        <v>2253</v>
      </c>
      <c r="C1301" s="431" t="s">
        <v>2254</v>
      </c>
      <c r="D1301" s="431" t="s">
        <v>4793</v>
      </c>
      <c r="E1301" s="431" t="s">
        <v>4794</v>
      </c>
      <c r="F1301" s="431">
        <v>1725</v>
      </c>
      <c r="G1301" s="431" t="s">
        <v>21</v>
      </c>
      <c r="H1301" s="431" t="s">
        <v>2257</v>
      </c>
      <c r="I1301" s="431" t="s">
        <v>2258</v>
      </c>
      <c r="J1301" s="432">
        <v>46234</v>
      </c>
    </row>
    <row r="1302" spans="1:10">
      <c r="A1302" s="431">
        <v>1341</v>
      </c>
      <c r="B1302" s="431" t="s">
        <v>2253</v>
      </c>
      <c r="C1302" s="431" t="s">
        <v>2254</v>
      </c>
      <c r="D1302" s="431" t="s">
        <v>4795</v>
      </c>
      <c r="E1302" s="431" t="s">
        <v>4796</v>
      </c>
      <c r="F1302" s="431">
        <v>2340</v>
      </c>
      <c r="G1302" s="431" t="s">
        <v>21</v>
      </c>
      <c r="H1302" s="431" t="s">
        <v>2257</v>
      </c>
      <c r="I1302" s="431" t="s">
        <v>2258</v>
      </c>
      <c r="J1302" s="432">
        <v>46234</v>
      </c>
    </row>
    <row r="1303" spans="1:10">
      <c r="A1303" s="431">
        <v>1342</v>
      </c>
      <c r="B1303" s="431" t="s">
        <v>2253</v>
      </c>
      <c r="C1303" s="431" t="s">
        <v>2254</v>
      </c>
      <c r="D1303" s="431" t="s">
        <v>4797</v>
      </c>
      <c r="E1303" s="431" t="s">
        <v>4798</v>
      </c>
      <c r="F1303" s="431">
        <v>3055</v>
      </c>
      <c r="G1303" s="431" t="s">
        <v>21</v>
      </c>
      <c r="H1303" s="431" t="s">
        <v>2257</v>
      </c>
      <c r="I1303" s="431" t="s">
        <v>2258</v>
      </c>
      <c r="J1303" s="432">
        <v>46234</v>
      </c>
    </row>
    <row r="1304" spans="1:10">
      <c r="A1304" s="431">
        <v>1343</v>
      </c>
      <c r="B1304" s="431" t="s">
        <v>2253</v>
      </c>
      <c r="C1304" s="431" t="s">
        <v>2254</v>
      </c>
      <c r="D1304" s="431" t="s">
        <v>4799</v>
      </c>
      <c r="E1304" s="431" t="s">
        <v>4800</v>
      </c>
      <c r="F1304" s="431">
        <v>4570</v>
      </c>
      <c r="G1304" s="431" t="s">
        <v>21</v>
      </c>
      <c r="H1304" s="431" t="s">
        <v>2257</v>
      </c>
      <c r="I1304" s="431" t="s">
        <v>2258</v>
      </c>
      <c r="J1304" s="432">
        <v>46234</v>
      </c>
    </row>
    <row r="1305" spans="1:10">
      <c r="A1305" s="431">
        <v>1344</v>
      </c>
      <c r="B1305" s="431" t="s">
        <v>2253</v>
      </c>
      <c r="C1305" s="431" t="s">
        <v>2254</v>
      </c>
      <c r="D1305" s="431" t="s">
        <v>4801</v>
      </c>
      <c r="E1305" s="431" t="s">
        <v>4802</v>
      </c>
      <c r="F1305" s="431">
        <v>870</v>
      </c>
      <c r="G1305" s="431" t="s">
        <v>21</v>
      </c>
      <c r="H1305" s="431" t="s">
        <v>2257</v>
      </c>
      <c r="I1305" s="431" t="s">
        <v>2258</v>
      </c>
      <c r="J1305" s="432">
        <v>46234</v>
      </c>
    </row>
    <row r="1306" spans="1:10">
      <c r="A1306" s="431">
        <v>1345</v>
      </c>
      <c r="B1306" s="431" t="s">
        <v>2253</v>
      </c>
      <c r="C1306" s="431" t="s">
        <v>2254</v>
      </c>
      <c r="D1306" s="431" t="s">
        <v>4803</v>
      </c>
      <c r="E1306" s="431" t="s">
        <v>4804</v>
      </c>
      <c r="F1306" s="431">
        <v>1440</v>
      </c>
      <c r="G1306" s="431" t="s">
        <v>21</v>
      </c>
      <c r="H1306" s="431" t="s">
        <v>2257</v>
      </c>
      <c r="I1306" s="431" t="s">
        <v>2258</v>
      </c>
      <c r="J1306" s="432">
        <v>46234</v>
      </c>
    </row>
    <row r="1307" spans="1:10">
      <c r="A1307" s="431">
        <v>1346</v>
      </c>
      <c r="B1307" s="431" t="s">
        <v>2253</v>
      </c>
      <c r="C1307" s="431" t="s">
        <v>2254</v>
      </c>
      <c r="D1307" s="431" t="s">
        <v>4805</v>
      </c>
      <c r="E1307" s="431" t="s">
        <v>4806</v>
      </c>
      <c r="F1307" s="431">
        <v>1930</v>
      </c>
      <c r="G1307" s="431" t="s">
        <v>21</v>
      </c>
      <c r="H1307" s="431" t="s">
        <v>2257</v>
      </c>
      <c r="I1307" s="431" t="s">
        <v>2258</v>
      </c>
      <c r="J1307" s="432">
        <v>46234</v>
      </c>
    </row>
    <row r="1308" spans="1:10">
      <c r="A1308" s="431">
        <v>1347</v>
      </c>
      <c r="B1308" s="431" t="s">
        <v>2253</v>
      </c>
      <c r="C1308" s="431" t="s">
        <v>2254</v>
      </c>
      <c r="D1308" s="431" t="s">
        <v>4807</v>
      </c>
      <c r="E1308" s="431" t="s">
        <v>4808</v>
      </c>
      <c r="F1308" s="431">
        <v>2640</v>
      </c>
      <c r="G1308" s="431" t="s">
        <v>21</v>
      </c>
      <c r="H1308" s="431" t="s">
        <v>2257</v>
      </c>
      <c r="I1308" s="431" t="s">
        <v>2258</v>
      </c>
      <c r="J1308" s="432">
        <v>46234</v>
      </c>
    </row>
    <row r="1309" spans="1:10">
      <c r="A1309" s="431">
        <v>1348</v>
      </c>
      <c r="B1309" s="431" t="s">
        <v>2253</v>
      </c>
      <c r="C1309" s="431" t="s">
        <v>2254</v>
      </c>
      <c r="D1309" s="431" t="s">
        <v>4809</v>
      </c>
      <c r="E1309" s="431" t="s">
        <v>4810</v>
      </c>
      <c r="F1309" s="431">
        <v>3590</v>
      </c>
      <c r="G1309" s="431" t="s">
        <v>21</v>
      </c>
      <c r="H1309" s="431" t="s">
        <v>2257</v>
      </c>
      <c r="I1309" s="431" t="s">
        <v>2258</v>
      </c>
      <c r="J1309" s="432">
        <v>46234</v>
      </c>
    </row>
    <row r="1310" spans="1:10">
      <c r="A1310" s="431">
        <v>1349</v>
      </c>
      <c r="B1310" s="431" t="s">
        <v>2253</v>
      </c>
      <c r="C1310" s="431" t="s">
        <v>2254</v>
      </c>
      <c r="D1310" s="431" t="s">
        <v>4811</v>
      </c>
      <c r="E1310" s="431" t="s">
        <v>4812</v>
      </c>
      <c r="F1310" s="431">
        <v>5435</v>
      </c>
      <c r="G1310" s="431" t="s">
        <v>21</v>
      </c>
      <c r="H1310" s="431" t="s">
        <v>2257</v>
      </c>
      <c r="I1310" s="431" t="s">
        <v>2258</v>
      </c>
      <c r="J1310" s="432">
        <v>46234</v>
      </c>
    </row>
    <row r="1311" spans="1:10">
      <c r="A1311" s="431">
        <v>1350</v>
      </c>
      <c r="B1311" s="431" t="s">
        <v>2253</v>
      </c>
      <c r="C1311" s="431" t="s">
        <v>2254</v>
      </c>
      <c r="D1311" s="431" t="s">
        <v>4813</v>
      </c>
      <c r="E1311" s="431" t="s">
        <v>4814</v>
      </c>
      <c r="F1311" s="431">
        <v>751</v>
      </c>
      <c r="G1311" s="431" t="s">
        <v>21</v>
      </c>
      <c r="H1311" s="431" t="s">
        <v>2257</v>
      </c>
      <c r="I1311" s="431" t="s">
        <v>2258</v>
      </c>
      <c r="J1311" s="432">
        <v>46234</v>
      </c>
    </row>
    <row r="1312" spans="1:10">
      <c r="A1312" s="431">
        <v>1351</v>
      </c>
      <c r="B1312" s="431" t="s">
        <v>2253</v>
      </c>
      <c r="C1312" s="431" t="s">
        <v>2254</v>
      </c>
      <c r="D1312" s="431" t="s">
        <v>4815</v>
      </c>
      <c r="E1312" s="431" t="s">
        <v>4816</v>
      </c>
      <c r="F1312" s="431">
        <v>1010</v>
      </c>
      <c r="G1312" s="431" t="s">
        <v>21</v>
      </c>
      <c r="H1312" s="431" t="s">
        <v>2257</v>
      </c>
      <c r="I1312" s="431" t="s">
        <v>2258</v>
      </c>
      <c r="J1312" s="432">
        <v>46234</v>
      </c>
    </row>
    <row r="1313" spans="1:10">
      <c r="A1313" s="431">
        <v>1352</v>
      </c>
      <c r="B1313" s="431" t="s">
        <v>2253</v>
      </c>
      <c r="C1313" s="431" t="s">
        <v>2254</v>
      </c>
      <c r="D1313" s="431" t="s">
        <v>4817</v>
      </c>
      <c r="E1313" s="431" t="s">
        <v>4818</v>
      </c>
      <c r="F1313" s="431">
        <v>1183</v>
      </c>
      <c r="G1313" s="431" t="s">
        <v>21</v>
      </c>
      <c r="H1313" s="431" t="s">
        <v>2257</v>
      </c>
      <c r="I1313" s="431" t="s">
        <v>2258</v>
      </c>
      <c r="J1313" s="432">
        <v>46234</v>
      </c>
    </row>
    <row r="1314" spans="1:10">
      <c r="A1314" s="431">
        <v>1353</v>
      </c>
      <c r="B1314" s="431" t="s">
        <v>2253</v>
      </c>
      <c r="C1314" s="431" t="s">
        <v>2254</v>
      </c>
      <c r="D1314" s="431" t="s">
        <v>4819</v>
      </c>
      <c r="E1314" s="431" t="s">
        <v>4820</v>
      </c>
      <c r="F1314" s="431">
        <v>85</v>
      </c>
      <c r="G1314" s="431" t="s">
        <v>21</v>
      </c>
      <c r="H1314" s="431" t="s">
        <v>2257</v>
      </c>
      <c r="I1314" s="431" t="s">
        <v>2258</v>
      </c>
      <c r="J1314" s="432">
        <v>46235</v>
      </c>
    </row>
    <row r="1315" spans="1:10">
      <c r="A1315" s="431">
        <v>1354</v>
      </c>
      <c r="B1315" s="431" t="s">
        <v>2253</v>
      </c>
      <c r="C1315" s="431" t="s">
        <v>2254</v>
      </c>
      <c r="D1315" s="431" t="s">
        <v>4821</v>
      </c>
      <c r="E1315" s="431" t="s">
        <v>4822</v>
      </c>
      <c r="F1315" s="431">
        <v>109</v>
      </c>
      <c r="G1315" s="431" t="s">
        <v>21</v>
      </c>
      <c r="H1315" s="431" t="s">
        <v>2257</v>
      </c>
      <c r="I1315" s="431" t="s">
        <v>2258</v>
      </c>
      <c r="J1315" s="432">
        <v>46235</v>
      </c>
    </row>
    <row r="1316" spans="1:10">
      <c r="A1316" s="431">
        <v>1355</v>
      </c>
      <c r="B1316" s="431" t="s">
        <v>2253</v>
      </c>
      <c r="C1316" s="431" t="s">
        <v>2254</v>
      </c>
      <c r="D1316" s="431" t="s">
        <v>4823</v>
      </c>
      <c r="E1316" s="431" t="s">
        <v>4824</v>
      </c>
      <c r="F1316" s="431">
        <v>162</v>
      </c>
      <c r="G1316" s="431" t="s">
        <v>21</v>
      </c>
      <c r="H1316" s="431" t="s">
        <v>2257</v>
      </c>
      <c r="I1316" s="431" t="s">
        <v>2258</v>
      </c>
      <c r="J1316" s="432">
        <v>46235</v>
      </c>
    </row>
    <row r="1317" spans="1:10">
      <c r="A1317" s="431">
        <v>1356</v>
      </c>
      <c r="B1317" s="431" t="s">
        <v>2253</v>
      </c>
      <c r="C1317" s="431" t="s">
        <v>2254</v>
      </c>
      <c r="D1317" s="431" t="s">
        <v>4825</v>
      </c>
      <c r="E1317" s="431" t="s">
        <v>4826</v>
      </c>
      <c r="F1317" s="431">
        <v>197</v>
      </c>
      <c r="G1317" s="431" t="s">
        <v>21</v>
      </c>
      <c r="H1317" s="431" t="s">
        <v>2257</v>
      </c>
      <c r="I1317" s="431" t="s">
        <v>2258</v>
      </c>
      <c r="J1317" s="432">
        <v>46235</v>
      </c>
    </row>
    <row r="1318" spans="1:10">
      <c r="A1318" s="431">
        <v>1357</v>
      </c>
      <c r="B1318" s="431" t="s">
        <v>2253</v>
      </c>
      <c r="C1318" s="431" t="s">
        <v>2254</v>
      </c>
      <c r="D1318" s="431" t="s">
        <v>4827</v>
      </c>
      <c r="E1318" s="431" t="s">
        <v>4828</v>
      </c>
      <c r="F1318" s="431">
        <v>226</v>
      </c>
      <c r="G1318" s="431" t="s">
        <v>21</v>
      </c>
      <c r="H1318" s="431" t="s">
        <v>2257</v>
      </c>
      <c r="I1318" s="431" t="s">
        <v>2258</v>
      </c>
      <c r="J1318" s="432">
        <v>46235</v>
      </c>
    </row>
    <row r="1319" spans="1:10">
      <c r="A1319" s="431">
        <v>1358</v>
      </c>
      <c r="B1319" s="431" t="s">
        <v>2253</v>
      </c>
      <c r="C1319" s="431" t="s">
        <v>2254</v>
      </c>
      <c r="D1319" s="431" t="s">
        <v>4829</v>
      </c>
      <c r="E1319" s="431" t="s">
        <v>4830</v>
      </c>
      <c r="F1319" s="431">
        <v>313</v>
      </c>
      <c r="G1319" s="431" t="s">
        <v>21</v>
      </c>
      <c r="H1319" s="431" t="s">
        <v>2257</v>
      </c>
      <c r="I1319" s="431" t="s">
        <v>2258</v>
      </c>
      <c r="J1319" s="432">
        <v>46235</v>
      </c>
    </row>
    <row r="1320" spans="1:10">
      <c r="A1320" s="431">
        <v>1359</v>
      </c>
      <c r="B1320" s="431" t="s">
        <v>2253</v>
      </c>
      <c r="C1320" s="431" t="s">
        <v>2254</v>
      </c>
      <c r="D1320" s="431" t="s">
        <v>4831</v>
      </c>
      <c r="E1320" s="431" t="s">
        <v>4832</v>
      </c>
      <c r="F1320" s="431">
        <v>400</v>
      </c>
      <c r="G1320" s="431" t="s">
        <v>21</v>
      </c>
      <c r="H1320" s="431" t="s">
        <v>2257</v>
      </c>
      <c r="I1320" s="431" t="s">
        <v>2258</v>
      </c>
      <c r="J1320" s="432">
        <v>46235</v>
      </c>
    </row>
    <row r="1321" spans="1:10">
      <c r="A1321" s="431">
        <v>1360</v>
      </c>
      <c r="B1321" s="431" t="s">
        <v>2253</v>
      </c>
      <c r="C1321" s="431" t="s">
        <v>2254</v>
      </c>
      <c r="D1321" s="431" t="s">
        <v>4833</v>
      </c>
      <c r="E1321" s="431" t="s">
        <v>4834</v>
      </c>
      <c r="F1321" s="431">
        <v>527</v>
      </c>
      <c r="G1321" s="431" t="s">
        <v>21</v>
      </c>
      <c r="H1321" s="431" t="s">
        <v>2257</v>
      </c>
      <c r="I1321" s="431" t="s">
        <v>2258</v>
      </c>
      <c r="J1321" s="432">
        <v>46235</v>
      </c>
    </row>
    <row r="1322" spans="1:10">
      <c r="A1322" s="431">
        <v>1361</v>
      </c>
      <c r="B1322" s="431" t="s">
        <v>2253</v>
      </c>
      <c r="C1322" s="431" t="s">
        <v>2254</v>
      </c>
      <c r="D1322" s="431" t="s">
        <v>4835</v>
      </c>
      <c r="E1322" s="431" t="s">
        <v>4836</v>
      </c>
      <c r="F1322" s="431">
        <v>16450</v>
      </c>
      <c r="G1322" s="431" t="s">
        <v>4837</v>
      </c>
      <c r="H1322" s="431" t="s">
        <v>2257</v>
      </c>
      <c r="I1322" s="431" t="s">
        <v>2258</v>
      </c>
      <c r="J1322" s="432">
        <v>46234</v>
      </c>
    </row>
    <row r="1323" spans="1:10">
      <c r="A1323" s="431">
        <v>1362</v>
      </c>
      <c r="B1323" s="431" t="s">
        <v>2253</v>
      </c>
      <c r="C1323" s="431" t="s">
        <v>2254</v>
      </c>
      <c r="D1323" s="431" t="s">
        <v>4838</v>
      </c>
      <c r="E1323" s="431" t="s">
        <v>4839</v>
      </c>
      <c r="F1323" s="431">
        <v>18666</v>
      </c>
      <c r="G1323" s="431" t="s">
        <v>4837</v>
      </c>
      <c r="H1323" s="431" t="s">
        <v>2257</v>
      </c>
      <c r="I1323" s="431" t="s">
        <v>2258</v>
      </c>
      <c r="J1323" s="432">
        <v>46234</v>
      </c>
    </row>
    <row r="1324" spans="1:10">
      <c r="A1324" s="431">
        <v>1363</v>
      </c>
      <c r="B1324" s="431" t="s">
        <v>2253</v>
      </c>
      <c r="C1324" s="431" t="s">
        <v>2254</v>
      </c>
      <c r="D1324" s="431" t="s">
        <v>4840</v>
      </c>
      <c r="E1324" s="431" t="s">
        <v>4841</v>
      </c>
      <c r="F1324" s="431">
        <v>22222</v>
      </c>
      <c r="G1324" s="431" t="s">
        <v>4837</v>
      </c>
      <c r="H1324" s="431" t="s">
        <v>2257</v>
      </c>
      <c r="I1324" s="431" t="s">
        <v>2258</v>
      </c>
      <c r="J1324" s="432">
        <v>46234</v>
      </c>
    </row>
    <row r="1325" spans="1:10">
      <c r="A1325" s="431">
        <v>1364</v>
      </c>
      <c r="B1325" s="431" t="s">
        <v>2253</v>
      </c>
      <c r="C1325" s="431" t="s">
        <v>2254</v>
      </c>
      <c r="D1325" s="431" t="s">
        <v>4842</v>
      </c>
      <c r="E1325" s="431" t="s">
        <v>4843</v>
      </c>
      <c r="F1325" s="431">
        <v>23900</v>
      </c>
      <c r="G1325" s="431" t="s">
        <v>4837</v>
      </c>
      <c r="H1325" s="431" t="s">
        <v>2257</v>
      </c>
      <c r="I1325" s="431" t="s">
        <v>2258</v>
      </c>
      <c r="J1325" s="432">
        <v>46234</v>
      </c>
    </row>
    <row r="1326" spans="1:10">
      <c r="A1326" s="431">
        <v>1365</v>
      </c>
      <c r="B1326" s="431" t="s">
        <v>2253</v>
      </c>
      <c r="C1326" s="431" t="s">
        <v>2254</v>
      </c>
      <c r="D1326" s="431" t="s">
        <v>4844</v>
      </c>
      <c r="E1326" s="431" t="s">
        <v>4845</v>
      </c>
      <c r="F1326" s="431">
        <v>22500</v>
      </c>
      <c r="G1326" s="431" t="s">
        <v>4837</v>
      </c>
      <c r="H1326" s="431" t="s">
        <v>2257</v>
      </c>
      <c r="I1326" s="431" t="s">
        <v>2258</v>
      </c>
      <c r="J1326" s="432">
        <v>46234</v>
      </c>
    </row>
    <row r="1327" spans="1:10">
      <c r="A1327" s="431">
        <v>1366</v>
      </c>
      <c r="B1327" s="431" t="s">
        <v>2253</v>
      </c>
      <c r="C1327" s="431" t="s">
        <v>2254</v>
      </c>
      <c r="D1327" s="431" t="s">
        <v>4846</v>
      </c>
      <c r="E1327" s="431" t="s">
        <v>4847</v>
      </c>
      <c r="F1327" s="431">
        <v>22000</v>
      </c>
      <c r="G1327" s="431" t="s">
        <v>4837</v>
      </c>
      <c r="H1327" s="431" t="s">
        <v>2257</v>
      </c>
      <c r="I1327" s="431" t="s">
        <v>2258</v>
      </c>
      <c r="J1327" s="432">
        <v>46234</v>
      </c>
    </row>
    <row r="1328" spans="1:10">
      <c r="A1328" s="431">
        <v>1367</v>
      </c>
      <c r="B1328" s="431" t="s">
        <v>2253</v>
      </c>
      <c r="C1328" s="431" t="s">
        <v>2254</v>
      </c>
      <c r="D1328" s="431" t="s">
        <v>4848</v>
      </c>
      <c r="E1328" s="431" t="s">
        <v>4849</v>
      </c>
      <c r="F1328" s="431">
        <v>21500</v>
      </c>
      <c r="G1328" s="431" t="s">
        <v>4837</v>
      </c>
      <c r="H1328" s="431" t="s">
        <v>2257</v>
      </c>
      <c r="I1328" s="431" t="s">
        <v>2258</v>
      </c>
      <c r="J1328" s="432">
        <v>46234</v>
      </c>
    </row>
    <row r="1329" spans="1:10">
      <c r="A1329" s="431">
        <v>1368</v>
      </c>
      <c r="B1329" s="431" t="s">
        <v>2253</v>
      </c>
      <c r="C1329" s="431" t="s">
        <v>2254</v>
      </c>
      <c r="D1329" s="431" t="s">
        <v>4850</v>
      </c>
      <c r="E1329" s="431" t="s">
        <v>4851</v>
      </c>
      <c r="F1329" s="431">
        <v>20600</v>
      </c>
      <c r="G1329" s="431" t="s">
        <v>4837</v>
      </c>
      <c r="H1329" s="431" t="s">
        <v>2257</v>
      </c>
      <c r="I1329" s="431" t="s">
        <v>2258</v>
      </c>
      <c r="J1329" s="432">
        <v>46234</v>
      </c>
    </row>
    <row r="1330" spans="1:10">
      <c r="A1330" s="431">
        <v>1369</v>
      </c>
      <c r="B1330" s="431" t="s">
        <v>2253</v>
      </c>
      <c r="C1330" s="431" t="s">
        <v>2254</v>
      </c>
      <c r="D1330" s="431" t="s">
        <v>4852</v>
      </c>
      <c r="E1330" s="431" t="s">
        <v>4853</v>
      </c>
      <c r="F1330" s="431">
        <v>18850</v>
      </c>
      <c r="G1330" s="431" t="s">
        <v>4837</v>
      </c>
      <c r="H1330" s="431" t="s">
        <v>2257</v>
      </c>
      <c r="I1330" s="431" t="s">
        <v>2258</v>
      </c>
      <c r="J1330" s="432">
        <v>46234</v>
      </c>
    </row>
    <row r="1331" spans="1:10">
      <c r="A1331" s="431">
        <v>1370</v>
      </c>
      <c r="B1331" s="431" t="s">
        <v>2253</v>
      </c>
      <c r="C1331" s="431" t="s">
        <v>2254</v>
      </c>
      <c r="D1331" s="431" t="s">
        <v>4854</v>
      </c>
      <c r="E1331" s="431" t="s">
        <v>4855</v>
      </c>
      <c r="F1331" s="431">
        <v>20299</v>
      </c>
      <c r="G1331" s="431" t="s">
        <v>4837</v>
      </c>
      <c r="H1331" s="431" t="s">
        <v>2257</v>
      </c>
      <c r="I1331" s="431" t="s">
        <v>2258</v>
      </c>
      <c r="J1331" s="432">
        <v>46234</v>
      </c>
    </row>
    <row r="1332" spans="1:10">
      <c r="A1332" s="431">
        <v>1371</v>
      </c>
      <c r="B1332" s="431" t="s">
        <v>2253</v>
      </c>
      <c r="C1332" s="431" t="s">
        <v>2254</v>
      </c>
      <c r="D1332" s="431" t="s">
        <v>4856</v>
      </c>
      <c r="E1332" s="431" t="s">
        <v>4857</v>
      </c>
      <c r="F1332" s="431">
        <v>24182</v>
      </c>
      <c r="G1332" s="431" t="s">
        <v>4837</v>
      </c>
      <c r="H1332" s="431" t="s">
        <v>2257</v>
      </c>
      <c r="I1332" s="431" t="s">
        <v>2258</v>
      </c>
      <c r="J1332" s="432">
        <v>46234</v>
      </c>
    </row>
    <row r="1333" spans="1:10">
      <c r="A1333" s="431">
        <v>1372</v>
      </c>
      <c r="B1333" s="431" t="s">
        <v>2253</v>
      </c>
      <c r="C1333" s="431" t="s">
        <v>2254</v>
      </c>
      <c r="D1333" s="431" t="s">
        <v>4858</v>
      </c>
      <c r="E1333" s="431" t="s">
        <v>4859</v>
      </c>
      <c r="F1333" s="431">
        <v>23900</v>
      </c>
      <c r="G1333" s="431" t="s">
        <v>4837</v>
      </c>
      <c r="H1333" s="431" t="s">
        <v>2257</v>
      </c>
      <c r="I1333" s="431" t="s">
        <v>2258</v>
      </c>
      <c r="J1333" s="432">
        <v>46234</v>
      </c>
    </row>
    <row r="1334" spans="1:10">
      <c r="A1334" s="431">
        <v>1373</v>
      </c>
      <c r="B1334" s="431" t="s">
        <v>2253</v>
      </c>
      <c r="C1334" s="431" t="s">
        <v>2254</v>
      </c>
      <c r="D1334" s="431" t="s">
        <v>4860</v>
      </c>
      <c r="E1334" s="431" t="s">
        <v>4861</v>
      </c>
      <c r="F1334" s="431">
        <v>23000</v>
      </c>
      <c r="G1334" s="431" t="s">
        <v>4837</v>
      </c>
      <c r="H1334" s="431" t="s">
        <v>2257</v>
      </c>
      <c r="I1334" s="431" t="s">
        <v>2258</v>
      </c>
      <c r="J1334" s="432">
        <v>46234</v>
      </c>
    </row>
    <row r="1335" spans="1:10">
      <c r="A1335" s="431">
        <v>1374</v>
      </c>
      <c r="B1335" s="431" t="s">
        <v>2253</v>
      </c>
      <c r="C1335" s="431" t="s">
        <v>2254</v>
      </c>
      <c r="D1335" s="431" t="s">
        <v>4862</v>
      </c>
      <c r="E1335" s="431" t="s">
        <v>4863</v>
      </c>
      <c r="F1335" s="431">
        <v>22500</v>
      </c>
      <c r="G1335" s="431" t="s">
        <v>4837</v>
      </c>
      <c r="H1335" s="431" t="s">
        <v>2257</v>
      </c>
      <c r="I1335" s="431" t="s">
        <v>2258</v>
      </c>
      <c r="J1335" s="432">
        <v>46234</v>
      </c>
    </row>
    <row r="1336" spans="1:10">
      <c r="A1336" s="431">
        <v>1375</v>
      </c>
      <c r="B1336" s="431" t="s">
        <v>2253</v>
      </c>
      <c r="C1336" s="431" t="s">
        <v>2254</v>
      </c>
      <c r="D1336" s="431" t="s">
        <v>4864</v>
      </c>
      <c r="E1336" s="431" t="s">
        <v>4865</v>
      </c>
      <c r="F1336" s="431">
        <v>21500</v>
      </c>
      <c r="G1336" s="431" t="s">
        <v>4837</v>
      </c>
      <c r="H1336" s="431" t="s">
        <v>2257</v>
      </c>
      <c r="I1336" s="431" t="s">
        <v>2258</v>
      </c>
      <c r="J1336" s="432">
        <v>46234</v>
      </c>
    </row>
    <row r="1337" spans="1:10">
      <c r="A1337" s="431">
        <v>1376</v>
      </c>
      <c r="B1337" s="431" t="s">
        <v>2253</v>
      </c>
      <c r="C1337" s="431" t="s">
        <v>2254</v>
      </c>
      <c r="D1337" s="431" t="s">
        <v>4866</v>
      </c>
      <c r="E1337" s="431" t="s">
        <v>4867</v>
      </c>
      <c r="F1337" s="431">
        <v>20600</v>
      </c>
      <c r="G1337" s="431" t="s">
        <v>4837</v>
      </c>
      <c r="H1337" s="431" t="s">
        <v>2257</v>
      </c>
      <c r="I1337" s="431" t="s">
        <v>2258</v>
      </c>
      <c r="J1337" s="432">
        <v>46234</v>
      </c>
    </row>
    <row r="1338" spans="1:10">
      <c r="A1338" s="431">
        <v>1377</v>
      </c>
      <c r="B1338" s="431" t="s">
        <v>2253</v>
      </c>
      <c r="C1338" s="431" t="s">
        <v>2254</v>
      </c>
      <c r="D1338" s="431" t="s">
        <v>4868</v>
      </c>
      <c r="E1338" s="431" t="s">
        <v>4869</v>
      </c>
      <c r="F1338" s="431">
        <v>26500</v>
      </c>
      <c r="G1338" s="431" t="s">
        <v>4837</v>
      </c>
      <c r="H1338" s="431" t="s">
        <v>2257</v>
      </c>
      <c r="I1338" s="431" t="s">
        <v>2258</v>
      </c>
      <c r="J1338" s="432">
        <v>46234</v>
      </c>
    </row>
    <row r="1339" spans="1:10">
      <c r="A1339" s="431">
        <v>1378</v>
      </c>
      <c r="B1339" s="431" t="s">
        <v>2253</v>
      </c>
      <c r="C1339" s="431" t="s">
        <v>2254</v>
      </c>
      <c r="D1339" s="431" t="s">
        <v>4870</v>
      </c>
      <c r="E1339" s="431" t="s">
        <v>4871</v>
      </c>
      <c r="F1339" s="431">
        <v>20237</v>
      </c>
      <c r="G1339" s="431" t="s">
        <v>4837</v>
      </c>
      <c r="H1339" s="431" t="s">
        <v>2257</v>
      </c>
      <c r="I1339" s="431" t="s">
        <v>2258</v>
      </c>
      <c r="J1339" s="432">
        <v>46234</v>
      </c>
    </row>
    <row r="1340" spans="1:10">
      <c r="A1340" s="431">
        <v>1379</v>
      </c>
      <c r="B1340" s="431" t="s">
        <v>2253</v>
      </c>
      <c r="C1340" s="431" t="s">
        <v>2254</v>
      </c>
      <c r="D1340" s="431" t="s">
        <v>4872</v>
      </c>
      <c r="E1340" s="431" t="s">
        <v>4873</v>
      </c>
      <c r="F1340" s="431">
        <v>24108</v>
      </c>
      <c r="G1340" s="431" t="s">
        <v>4837</v>
      </c>
      <c r="H1340" s="431" t="s">
        <v>2257</v>
      </c>
      <c r="I1340" s="431" t="s">
        <v>2258</v>
      </c>
      <c r="J1340" s="432">
        <v>46234</v>
      </c>
    </row>
    <row r="1341" spans="1:10">
      <c r="A1341" s="431">
        <v>1380</v>
      </c>
      <c r="B1341" s="431" t="s">
        <v>2253</v>
      </c>
      <c r="C1341" s="431" t="s">
        <v>2254</v>
      </c>
      <c r="D1341" s="431" t="s">
        <v>4874</v>
      </c>
      <c r="E1341" s="431" t="s">
        <v>4875</v>
      </c>
      <c r="F1341" s="431">
        <v>24300</v>
      </c>
      <c r="G1341" s="431" t="s">
        <v>4837</v>
      </c>
      <c r="H1341" s="431" t="s">
        <v>2257</v>
      </c>
      <c r="I1341" s="431" t="s">
        <v>2258</v>
      </c>
      <c r="J1341" s="432">
        <v>46234</v>
      </c>
    </row>
    <row r="1342" spans="1:10">
      <c r="A1342" s="431">
        <v>1381</v>
      </c>
      <c r="B1342" s="431" t="s">
        <v>2253</v>
      </c>
      <c r="C1342" s="431" t="s">
        <v>2254</v>
      </c>
      <c r="D1342" s="431" t="s">
        <v>4876</v>
      </c>
      <c r="E1342" s="431" t="s">
        <v>4877</v>
      </c>
      <c r="F1342" s="431">
        <v>22600</v>
      </c>
      <c r="G1342" s="431" t="s">
        <v>4837</v>
      </c>
      <c r="H1342" s="431" t="s">
        <v>2257</v>
      </c>
      <c r="I1342" s="431" t="s">
        <v>2258</v>
      </c>
      <c r="J1342" s="432">
        <v>46234</v>
      </c>
    </row>
    <row r="1343" spans="1:10">
      <c r="A1343" s="431">
        <v>1382</v>
      </c>
      <c r="B1343" s="431" t="s">
        <v>2253</v>
      </c>
      <c r="C1343" s="431" t="s">
        <v>2254</v>
      </c>
      <c r="D1343" s="431" t="s">
        <v>4878</v>
      </c>
      <c r="E1343" s="431" t="s">
        <v>4879</v>
      </c>
      <c r="F1343" s="431">
        <v>21600</v>
      </c>
      <c r="G1343" s="431" t="s">
        <v>4837</v>
      </c>
      <c r="H1343" s="431" t="s">
        <v>2257</v>
      </c>
      <c r="I1343" s="431" t="s">
        <v>2258</v>
      </c>
      <c r="J1343" s="432">
        <v>46234</v>
      </c>
    </row>
    <row r="1344" spans="1:10">
      <c r="A1344" s="431">
        <v>1383</v>
      </c>
      <c r="B1344" s="431" t="s">
        <v>2253</v>
      </c>
      <c r="C1344" s="431" t="s">
        <v>2254</v>
      </c>
      <c r="D1344" s="431" t="s">
        <v>4880</v>
      </c>
      <c r="E1344" s="431" t="s">
        <v>4881</v>
      </c>
      <c r="F1344" s="431">
        <v>20900</v>
      </c>
      <c r="G1344" s="431" t="s">
        <v>4837</v>
      </c>
      <c r="H1344" s="431" t="s">
        <v>2257</v>
      </c>
      <c r="I1344" s="431" t="s">
        <v>2258</v>
      </c>
      <c r="J1344" s="432">
        <v>46234</v>
      </c>
    </row>
    <row r="1345" spans="1:10">
      <c r="A1345" s="431">
        <v>1384</v>
      </c>
      <c r="B1345" s="431" t="s">
        <v>2253</v>
      </c>
      <c r="C1345" s="431" t="s">
        <v>2254</v>
      </c>
      <c r="D1345" s="431" t="s">
        <v>4882</v>
      </c>
      <c r="E1345" s="431" t="s">
        <v>4883</v>
      </c>
      <c r="F1345" s="431">
        <v>20500</v>
      </c>
      <c r="G1345" s="431" t="s">
        <v>4837</v>
      </c>
      <c r="H1345" s="431" t="s">
        <v>2257</v>
      </c>
      <c r="I1345" s="431" t="s">
        <v>2258</v>
      </c>
      <c r="J1345" s="432">
        <v>46234</v>
      </c>
    </row>
    <row r="1346" spans="1:10">
      <c r="A1346" s="431">
        <v>1385</v>
      </c>
      <c r="B1346" s="431" t="s">
        <v>2253</v>
      </c>
      <c r="C1346" s="431" t="s">
        <v>2254</v>
      </c>
      <c r="D1346" s="431" t="s">
        <v>4884</v>
      </c>
      <c r="E1346" s="431" t="s">
        <v>4885</v>
      </c>
      <c r="F1346" s="431">
        <v>25800</v>
      </c>
      <c r="G1346" s="431" t="s">
        <v>4837</v>
      </c>
      <c r="H1346" s="431" t="s">
        <v>2257</v>
      </c>
      <c r="I1346" s="431" t="s">
        <v>2258</v>
      </c>
      <c r="J1346" s="432">
        <v>46234</v>
      </c>
    </row>
    <row r="1347" spans="1:10">
      <c r="A1347" s="431">
        <v>1386</v>
      </c>
      <c r="B1347" s="431" t="s">
        <v>2253</v>
      </c>
      <c r="C1347" s="431" t="s">
        <v>2254</v>
      </c>
      <c r="D1347" s="431" t="s">
        <v>4886</v>
      </c>
      <c r="E1347" s="431" t="s">
        <v>4887</v>
      </c>
      <c r="F1347" s="431">
        <v>25500</v>
      </c>
      <c r="G1347" s="431" t="s">
        <v>4837</v>
      </c>
      <c r="H1347" s="431" t="s">
        <v>2257</v>
      </c>
      <c r="I1347" s="431" t="s">
        <v>2258</v>
      </c>
      <c r="J1347" s="432">
        <v>46234</v>
      </c>
    </row>
    <row r="1348" spans="1:10">
      <c r="A1348" s="431">
        <v>1387</v>
      </c>
      <c r="B1348" s="431" t="s">
        <v>2253</v>
      </c>
      <c r="C1348" s="431" t="s">
        <v>2254</v>
      </c>
      <c r="D1348" s="431" t="s">
        <v>4888</v>
      </c>
      <c r="E1348" s="431" t="s">
        <v>4889</v>
      </c>
      <c r="F1348" s="431">
        <v>24600</v>
      </c>
      <c r="G1348" s="431" t="s">
        <v>4837</v>
      </c>
      <c r="H1348" s="431" t="s">
        <v>2257</v>
      </c>
      <c r="I1348" s="431" t="s">
        <v>2258</v>
      </c>
      <c r="J1348" s="432">
        <v>46234</v>
      </c>
    </row>
    <row r="1349" spans="1:10">
      <c r="A1349" s="431">
        <v>1388</v>
      </c>
      <c r="B1349" s="431" t="s">
        <v>2253</v>
      </c>
      <c r="C1349" s="431" t="s">
        <v>2254</v>
      </c>
      <c r="D1349" s="431" t="s">
        <v>4890</v>
      </c>
      <c r="E1349" s="431" t="s">
        <v>4891</v>
      </c>
      <c r="F1349" s="431">
        <v>23500</v>
      </c>
      <c r="G1349" s="431" t="s">
        <v>4837</v>
      </c>
      <c r="H1349" s="431" t="s">
        <v>2257</v>
      </c>
      <c r="I1349" s="431" t="s">
        <v>2258</v>
      </c>
      <c r="J1349" s="432">
        <v>46234</v>
      </c>
    </row>
    <row r="1350" spans="1:10">
      <c r="A1350" s="431">
        <v>1389</v>
      </c>
      <c r="B1350" s="431" t="s">
        <v>2253</v>
      </c>
      <c r="C1350" s="431" t="s">
        <v>2254</v>
      </c>
      <c r="D1350" s="431" t="s">
        <v>4892</v>
      </c>
      <c r="E1350" s="431" t="s">
        <v>4893</v>
      </c>
      <c r="F1350" s="431">
        <v>22800</v>
      </c>
      <c r="G1350" s="431" t="s">
        <v>4837</v>
      </c>
      <c r="H1350" s="431" t="s">
        <v>2257</v>
      </c>
      <c r="I1350" s="431" t="s">
        <v>2258</v>
      </c>
      <c r="J1350" s="432">
        <v>46234</v>
      </c>
    </row>
    <row r="1351" spans="1:10">
      <c r="A1351" s="431">
        <v>1390</v>
      </c>
      <c r="B1351" s="431" t="s">
        <v>2253</v>
      </c>
      <c r="C1351" s="431" t="s">
        <v>2254</v>
      </c>
      <c r="D1351" s="431" t="s">
        <v>4894</v>
      </c>
      <c r="E1351" s="431" t="s">
        <v>4895</v>
      </c>
      <c r="F1351" s="431">
        <v>21900</v>
      </c>
      <c r="G1351" s="431" t="s">
        <v>4837</v>
      </c>
      <c r="H1351" s="431" t="s">
        <v>2257</v>
      </c>
      <c r="I1351" s="431" t="s">
        <v>2258</v>
      </c>
      <c r="J1351" s="432">
        <v>46234</v>
      </c>
    </row>
    <row r="1352" spans="1:10">
      <c r="A1352" s="431">
        <v>1391</v>
      </c>
      <c r="B1352" s="431" t="s">
        <v>2253</v>
      </c>
      <c r="C1352" s="431" t="s">
        <v>2254</v>
      </c>
      <c r="D1352" s="431" t="s">
        <v>4896</v>
      </c>
      <c r="E1352" s="431" t="s">
        <v>4897</v>
      </c>
      <c r="F1352" s="431">
        <v>24900</v>
      </c>
      <c r="G1352" s="431" t="s">
        <v>4837</v>
      </c>
      <c r="H1352" s="431" t="s">
        <v>2257</v>
      </c>
      <c r="I1352" s="431" t="s">
        <v>2258</v>
      </c>
      <c r="J1352" s="432">
        <v>46234</v>
      </c>
    </row>
    <row r="1353" spans="1:10">
      <c r="A1353" s="431">
        <v>1392</v>
      </c>
      <c r="B1353" s="431" t="s">
        <v>2253</v>
      </c>
      <c r="C1353" s="431" t="s">
        <v>2254</v>
      </c>
      <c r="D1353" s="431" t="s">
        <v>4898</v>
      </c>
      <c r="E1353" s="431" t="s">
        <v>4899</v>
      </c>
      <c r="F1353" s="431">
        <v>23800</v>
      </c>
      <c r="G1353" s="431" t="s">
        <v>4837</v>
      </c>
      <c r="H1353" s="431" t="s">
        <v>2257</v>
      </c>
      <c r="I1353" s="431" t="s">
        <v>2258</v>
      </c>
      <c r="J1353" s="432">
        <v>46234</v>
      </c>
    </row>
    <row r="1354" spans="1:10">
      <c r="A1354" s="431">
        <v>1393</v>
      </c>
      <c r="B1354" s="431" t="s">
        <v>2253</v>
      </c>
      <c r="C1354" s="431" t="s">
        <v>2254</v>
      </c>
      <c r="D1354" s="431" t="s">
        <v>4900</v>
      </c>
      <c r="E1354" s="431" t="s">
        <v>4901</v>
      </c>
      <c r="F1354" s="431">
        <v>22500</v>
      </c>
      <c r="G1354" s="431" t="s">
        <v>4837</v>
      </c>
      <c r="H1354" s="431" t="s">
        <v>2257</v>
      </c>
      <c r="I1354" s="431" t="s">
        <v>2258</v>
      </c>
      <c r="J1354" s="432">
        <v>46234</v>
      </c>
    </row>
    <row r="1355" spans="1:10">
      <c r="A1355" s="431">
        <v>1394</v>
      </c>
      <c r="B1355" s="431" t="s">
        <v>2253</v>
      </c>
      <c r="C1355" s="431" t="s">
        <v>2254</v>
      </c>
      <c r="D1355" s="431" t="s">
        <v>4902</v>
      </c>
      <c r="E1355" s="431" t="s">
        <v>4903</v>
      </c>
      <c r="F1355" s="431">
        <v>21900</v>
      </c>
      <c r="G1355" s="431" t="s">
        <v>4837</v>
      </c>
      <c r="H1355" s="431" t="s">
        <v>2257</v>
      </c>
      <c r="I1355" s="431" t="s">
        <v>2258</v>
      </c>
      <c r="J1355" s="432">
        <v>46234</v>
      </c>
    </row>
    <row r="1356" spans="1:10">
      <c r="A1356" s="431">
        <v>1395</v>
      </c>
      <c r="B1356" s="431" t="s">
        <v>2253</v>
      </c>
      <c r="C1356" s="431" t="s">
        <v>2254</v>
      </c>
      <c r="D1356" s="431" t="s">
        <v>4904</v>
      </c>
      <c r="E1356" s="431" t="s">
        <v>4905</v>
      </c>
      <c r="F1356" s="431">
        <v>21000</v>
      </c>
      <c r="G1356" s="431" t="s">
        <v>4837</v>
      </c>
      <c r="H1356" s="431" t="s">
        <v>2257</v>
      </c>
      <c r="I1356" s="431" t="s">
        <v>2258</v>
      </c>
      <c r="J1356" s="432">
        <v>46234</v>
      </c>
    </row>
    <row r="1357" spans="1:10">
      <c r="A1357" s="431">
        <v>1396</v>
      </c>
      <c r="B1357" s="431" t="s">
        <v>2253</v>
      </c>
      <c r="C1357" s="431" t="s">
        <v>2254</v>
      </c>
      <c r="D1357" s="431" t="s">
        <v>4906</v>
      </c>
      <c r="E1357" s="431" t="s">
        <v>4907</v>
      </c>
      <c r="F1357" s="431">
        <v>12373</v>
      </c>
      <c r="G1357" s="431" t="s">
        <v>4837</v>
      </c>
      <c r="H1357" s="431" t="s">
        <v>2257</v>
      </c>
      <c r="I1357" s="431" t="s">
        <v>2258</v>
      </c>
      <c r="J1357" s="432">
        <v>46234</v>
      </c>
    </row>
    <row r="1358" spans="1:10">
      <c r="A1358" s="431">
        <v>1397</v>
      </c>
      <c r="B1358" s="431" t="s">
        <v>2253</v>
      </c>
      <c r="C1358" s="431" t="s">
        <v>2254</v>
      </c>
      <c r="D1358" s="431" t="s">
        <v>4908</v>
      </c>
      <c r="E1358" s="431" t="s">
        <v>4909</v>
      </c>
      <c r="F1358" s="431">
        <v>17676</v>
      </c>
      <c r="G1358" s="431" t="s">
        <v>4837</v>
      </c>
      <c r="H1358" s="431" t="s">
        <v>2257</v>
      </c>
      <c r="I1358" s="431" t="s">
        <v>2258</v>
      </c>
      <c r="J1358" s="432">
        <v>46234</v>
      </c>
    </row>
    <row r="1359" spans="1:10">
      <c r="A1359" s="431">
        <v>1398</v>
      </c>
      <c r="B1359" s="431" t="s">
        <v>2253</v>
      </c>
      <c r="C1359" s="431" t="s">
        <v>2254</v>
      </c>
      <c r="D1359" s="431" t="s">
        <v>4910</v>
      </c>
      <c r="E1359" s="431" t="s">
        <v>4911</v>
      </c>
      <c r="F1359" s="431">
        <v>23200</v>
      </c>
      <c r="G1359" s="431" t="s">
        <v>4837</v>
      </c>
      <c r="H1359" s="431" t="s">
        <v>2257</v>
      </c>
      <c r="I1359" s="431" t="s">
        <v>2258</v>
      </c>
      <c r="J1359" s="432">
        <v>46234</v>
      </c>
    </row>
    <row r="1360" spans="1:10">
      <c r="A1360" s="431">
        <v>1399</v>
      </c>
      <c r="B1360" s="431" t="s">
        <v>2253</v>
      </c>
      <c r="C1360" s="431" t="s">
        <v>2254</v>
      </c>
      <c r="D1360" s="431" t="s">
        <v>4912</v>
      </c>
      <c r="E1360" s="431" t="s">
        <v>4913</v>
      </c>
      <c r="F1360" s="431">
        <v>22800</v>
      </c>
      <c r="G1360" s="431" t="s">
        <v>4837</v>
      </c>
      <c r="H1360" s="431" t="s">
        <v>2257</v>
      </c>
      <c r="I1360" s="431" t="s">
        <v>2258</v>
      </c>
      <c r="J1360" s="432">
        <v>46234</v>
      </c>
    </row>
    <row r="1361" spans="1:10">
      <c r="A1361" s="431">
        <v>1400</v>
      </c>
      <c r="B1361" s="431" t="s">
        <v>2253</v>
      </c>
      <c r="C1361" s="431" t="s">
        <v>2254</v>
      </c>
      <c r="D1361" s="431" t="s">
        <v>4914</v>
      </c>
      <c r="E1361" s="431" t="s">
        <v>4915</v>
      </c>
      <c r="F1361" s="431">
        <v>21900</v>
      </c>
      <c r="G1361" s="431" t="s">
        <v>4837</v>
      </c>
      <c r="H1361" s="431" t="s">
        <v>2257</v>
      </c>
      <c r="I1361" s="431" t="s">
        <v>2258</v>
      </c>
      <c r="J1361" s="432">
        <v>46234</v>
      </c>
    </row>
    <row r="1362" spans="1:10">
      <c r="A1362" s="431">
        <v>1401</v>
      </c>
      <c r="B1362" s="431" t="s">
        <v>2253</v>
      </c>
      <c r="C1362" s="431" t="s">
        <v>2254</v>
      </c>
      <c r="D1362" s="431" t="s">
        <v>4916</v>
      </c>
      <c r="E1362" s="431" t="s">
        <v>4917</v>
      </c>
      <c r="F1362" s="431">
        <v>21000</v>
      </c>
      <c r="G1362" s="431" t="s">
        <v>4837</v>
      </c>
      <c r="H1362" s="431" t="s">
        <v>2257</v>
      </c>
      <c r="I1362" s="431" t="s">
        <v>2258</v>
      </c>
      <c r="J1362" s="432">
        <v>46234</v>
      </c>
    </row>
    <row r="1363" spans="1:10">
      <c r="A1363" s="431">
        <v>1402</v>
      </c>
      <c r="B1363" s="431" t="s">
        <v>2253</v>
      </c>
      <c r="C1363" s="431" t="s">
        <v>2254</v>
      </c>
      <c r="D1363" s="431" t="s">
        <v>4918</v>
      </c>
      <c r="E1363" s="431" t="s">
        <v>4919</v>
      </c>
      <c r="F1363" s="431">
        <v>20900</v>
      </c>
      <c r="G1363" s="431" t="s">
        <v>4837</v>
      </c>
      <c r="H1363" s="431" t="s">
        <v>2257</v>
      </c>
      <c r="I1363" s="431" t="s">
        <v>2258</v>
      </c>
      <c r="J1363" s="432">
        <v>46234</v>
      </c>
    </row>
    <row r="1364" spans="1:10">
      <c r="A1364" s="431">
        <v>1403</v>
      </c>
      <c r="B1364" s="431" t="s">
        <v>2253</v>
      </c>
      <c r="C1364" s="431" t="s">
        <v>2254</v>
      </c>
      <c r="D1364" s="431" t="s">
        <v>4920</v>
      </c>
      <c r="E1364" s="431" t="s">
        <v>4921</v>
      </c>
      <c r="F1364" s="431">
        <v>21000</v>
      </c>
      <c r="G1364" s="431" t="s">
        <v>4837</v>
      </c>
      <c r="H1364" s="431" t="s">
        <v>2257</v>
      </c>
      <c r="I1364" s="431" t="s">
        <v>2258</v>
      </c>
      <c r="J1364" s="432">
        <v>46234</v>
      </c>
    </row>
    <row r="1365" spans="1:10">
      <c r="A1365" s="431">
        <v>1404</v>
      </c>
      <c r="B1365" s="431" t="s">
        <v>2253</v>
      </c>
      <c r="C1365" s="431" t="s">
        <v>2254</v>
      </c>
      <c r="D1365" s="431" t="s">
        <v>4922</v>
      </c>
      <c r="E1365" s="431" t="s">
        <v>4923</v>
      </c>
      <c r="F1365" s="431">
        <v>15590</v>
      </c>
      <c r="G1365" s="431" t="s">
        <v>4837</v>
      </c>
      <c r="H1365" s="431" t="s">
        <v>2257</v>
      </c>
      <c r="I1365" s="431" t="s">
        <v>2258</v>
      </c>
      <c r="J1365" s="432">
        <v>46234</v>
      </c>
    </row>
    <row r="1366" spans="1:10">
      <c r="A1366" s="431">
        <v>1405</v>
      </c>
      <c r="B1366" s="431" t="s">
        <v>2253</v>
      </c>
      <c r="C1366" s="431" t="s">
        <v>2254</v>
      </c>
      <c r="D1366" s="431" t="s">
        <v>4924</v>
      </c>
      <c r="E1366" s="431" t="s">
        <v>4925</v>
      </c>
      <c r="F1366" s="431">
        <v>19512</v>
      </c>
      <c r="G1366" s="431" t="s">
        <v>4837</v>
      </c>
      <c r="H1366" s="431" t="s">
        <v>2257</v>
      </c>
      <c r="I1366" s="431" t="s">
        <v>2258</v>
      </c>
      <c r="J1366" s="432">
        <v>46234</v>
      </c>
    </row>
    <row r="1367" spans="1:10">
      <c r="A1367" s="431">
        <v>1406</v>
      </c>
      <c r="B1367" s="431" t="s">
        <v>2253</v>
      </c>
      <c r="C1367" s="431" t="s">
        <v>2254</v>
      </c>
      <c r="D1367" s="431" t="s">
        <v>4926</v>
      </c>
      <c r="E1367" s="431" t="s">
        <v>4927</v>
      </c>
      <c r="F1367" s="431">
        <v>23900</v>
      </c>
      <c r="G1367" s="431" t="s">
        <v>4837</v>
      </c>
      <c r="H1367" s="431" t="s">
        <v>2257</v>
      </c>
      <c r="I1367" s="431" t="s">
        <v>2258</v>
      </c>
      <c r="J1367" s="432">
        <v>46234</v>
      </c>
    </row>
    <row r="1368" spans="1:10">
      <c r="A1368" s="431">
        <v>1407</v>
      </c>
      <c r="B1368" s="431" t="s">
        <v>2253</v>
      </c>
      <c r="C1368" s="431" t="s">
        <v>2254</v>
      </c>
      <c r="D1368" s="431" t="s">
        <v>4928</v>
      </c>
      <c r="E1368" s="431" t="s">
        <v>4929</v>
      </c>
      <c r="F1368" s="431">
        <v>22800</v>
      </c>
      <c r="G1368" s="431" t="s">
        <v>4837</v>
      </c>
      <c r="H1368" s="431" t="s">
        <v>2257</v>
      </c>
      <c r="I1368" s="431" t="s">
        <v>2258</v>
      </c>
      <c r="J1368" s="432">
        <v>46234</v>
      </c>
    </row>
    <row r="1369" spans="1:10">
      <c r="A1369" s="431">
        <v>1408</v>
      </c>
      <c r="B1369" s="431" t="s">
        <v>2253</v>
      </c>
      <c r="C1369" s="431" t="s">
        <v>2254</v>
      </c>
      <c r="D1369" s="431" t="s">
        <v>4930</v>
      </c>
      <c r="E1369" s="431" t="s">
        <v>4931</v>
      </c>
      <c r="F1369" s="431">
        <v>21900</v>
      </c>
      <c r="G1369" s="431" t="s">
        <v>4837</v>
      </c>
      <c r="H1369" s="431" t="s">
        <v>2257</v>
      </c>
      <c r="I1369" s="431" t="s">
        <v>2258</v>
      </c>
      <c r="J1369" s="432">
        <v>46234</v>
      </c>
    </row>
    <row r="1370" spans="1:10">
      <c r="A1370" s="431">
        <v>1409</v>
      </c>
      <c r="B1370" s="431" t="s">
        <v>2253</v>
      </c>
      <c r="C1370" s="431" t="s">
        <v>2254</v>
      </c>
      <c r="D1370" s="431" t="s">
        <v>4932</v>
      </c>
      <c r="E1370" s="431" t="s">
        <v>4933</v>
      </c>
      <c r="F1370" s="431">
        <v>20500</v>
      </c>
      <c r="G1370" s="431" t="s">
        <v>4837</v>
      </c>
      <c r="H1370" s="431" t="s">
        <v>2257</v>
      </c>
      <c r="I1370" s="431" t="s">
        <v>2258</v>
      </c>
      <c r="J1370" s="432">
        <v>46234</v>
      </c>
    </row>
    <row r="1371" spans="1:10">
      <c r="A1371" s="431">
        <v>1410</v>
      </c>
      <c r="B1371" s="431" t="s">
        <v>2253</v>
      </c>
      <c r="C1371" s="431" t="s">
        <v>2254</v>
      </c>
      <c r="D1371" s="431" t="s">
        <v>4934</v>
      </c>
      <c r="E1371" s="431" t="s">
        <v>4935</v>
      </c>
      <c r="F1371" s="431">
        <v>19800</v>
      </c>
      <c r="G1371" s="431" t="s">
        <v>4837</v>
      </c>
      <c r="H1371" s="431" t="s">
        <v>2257</v>
      </c>
      <c r="I1371" s="431" t="s">
        <v>2258</v>
      </c>
      <c r="J1371" s="432">
        <v>46234</v>
      </c>
    </row>
    <row r="1372" spans="1:10">
      <c r="A1372" s="431">
        <v>1411</v>
      </c>
      <c r="B1372" s="431" t="s">
        <v>2253</v>
      </c>
      <c r="C1372" s="431" t="s">
        <v>2254</v>
      </c>
      <c r="D1372" s="431" t="s">
        <v>4936</v>
      </c>
      <c r="E1372" s="431" t="s">
        <v>4937</v>
      </c>
      <c r="F1372" s="431">
        <v>22000</v>
      </c>
      <c r="G1372" s="431" t="s">
        <v>4837</v>
      </c>
      <c r="H1372" s="431" t="s">
        <v>2257</v>
      </c>
      <c r="I1372" s="431" t="s">
        <v>2258</v>
      </c>
      <c r="J1372" s="432">
        <v>46234</v>
      </c>
    </row>
    <row r="1373" spans="1:10">
      <c r="A1373" s="431">
        <v>1412</v>
      </c>
      <c r="B1373" s="431" t="s">
        <v>2253</v>
      </c>
      <c r="C1373" s="431" t="s">
        <v>2254</v>
      </c>
      <c r="D1373" s="431" t="s">
        <v>4938</v>
      </c>
      <c r="E1373" s="431" t="s">
        <v>4939</v>
      </c>
      <c r="F1373" s="431">
        <v>20199</v>
      </c>
      <c r="G1373" s="431" t="s">
        <v>4837</v>
      </c>
      <c r="H1373" s="431" t="s">
        <v>2257</v>
      </c>
      <c r="I1373" s="431" t="s">
        <v>2258</v>
      </c>
      <c r="J1373" s="432">
        <v>46234</v>
      </c>
    </row>
    <row r="1374" spans="1:10">
      <c r="A1374" s="431">
        <v>1413</v>
      </c>
      <c r="B1374" s="431" t="s">
        <v>2253</v>
      </c>
      <c r="C1374" s="431" t="s">
        <v>2254</v>
      </c>
      <c r="D1374" s="431" t="s">
        <v>4940</v>
      </c>
      <c r="E1374" s="431" t="s">
        <v>4941</v>
      </c>
      <c r="F1374" s="431">
        <v>22447</v>
      </c>
      <c r="G1374" s="431" t="s">
        <v>4837</v>
      </c>
      <c r="H1374" s="431" t="s">
        <v>2257</v>
      </c>
      <c r="I1374" s="431" t="s">
        <v>2258</v>
      </c>
      <c r="J1374" s="432">
        <v>46234</v>
      </c>
    </row>
    <row r="1375" spans="1:10">
      <c r="A1375" s="431">
        <v>1414</v>
      </c>
      <c r="B1375" s="431" t="s">
        <v>2253</v>
      </c>
      <c r="C1375" s="431" t="s">
        <v>2254</v>
      </c>
      <c r="D1375" s="431" t="s">
        <v>4942</v>
      </c>
      <c r="E1375" s="431" t="s">
        <v>4943</v>
      </c>
      <c r="F1375" s="431">
        <v>23900</v>
      </c>
      <c r="G1375" s="431" t="s">
        <v>4837</v>
      </c>
      <c r="H1375" s="431" t="s">
        <v>2257</v>
      </c>
      <c r="I1375" s="431" t="s">
        <v>2258</v>
      </c>
      <c r="J1375" s="432">
        <v>46234</v>
      </c>
    </row>
    <row r="1376" spans="1:10">
      <c r="A1376" s="431">
        <v>1415</v>
      </c>
      <c r="B1376" s="431" t="s">
        <v>2253</v>
      </c>
      <c r="C1376" s="431" t="s">
        <v>2254</v>
      </c>
      <c r="D1376" s="431" t="s">
        <v>4944</v>
      </c>
      <c r="E1376" s="431" t="s">
        <v>4945</v>
      </c>
      <c r="F1376" s="431">
        <v>23200</v>
      </c>
      <c r="G1376" s="431" t="s">
        <v>4837</v>
      </c>
      <c r="H1376" s="431" t="s">
        <v>2257</v>
      </c>
      <c r="I1376" s="431" t="s">
        <v>2258</v>
      </c>
      <c r="J1376" s="432">
        <v>46234</v>
      </c>
    </row>
    <row r="1377" spans="1:10">
      <c r="A1377" s="431">
        <v>1416</v>
      </c>
      <c r="B1377" s="431" t="s">
        <v>2253</v>
      </c>
      <c r="C1377" s="431" t="s">
        <v>2254</v>
      </c>
      <c r="D1377" s="431" t="s">
        <v>4946</v>
      </c>
      <c r="E1377" s="431" t="s">
        <v>4947</v>
      </c>
      <c r="F1377" s="431">
        <v>21500</v>
      </c>
      <c r="G1377" s="431" t="s">
        <v>4837</v>
      </c>
      <c r="H1377" s="431" t="s">
        <v>2257</v>
      </c>
      <c r="I1377" s="431" t="s">
        <v>2258</v>
      </c>
      <c r="J1377" s="432">
        <v>46234</v>
      </c>
    </row>
    <row r="1378" spans="1:10">
      <c r="A1378" s="431">
        <v>1417</v>
      </c>
      <c r="B1378" s="431" t="s">
        <v>2253</v>
      </c>
      <c r="C1378" s="431" t="s">
        <v>2254</v>
      </c>
      <c r="D1378" s="431" t="s">
        <v>4948</v>
      </c>
      <c r="E1378" s="431" t="s">
        <v>4949</v>
      </c>
      <c r="F1378" s="431">
        <v>20850</v>
      </c>
      <c r="G1378" s="431" t="s">
        <v>4837</v>
      </c>
      <c r="H1378" s="431" t="s">
        <v>2257</v>
      </c>
      <c r="I1378" s="431" t="s">
        <v>2258</v>
      </c>
      <c r="J1378" s="432">
        <v>46234</v>
      </c>
    </row>
    <row r="1379" spans="1:10">
      <c r="A1379" s="431">
        <v>1418</v>
      </c>
      <c r="B1379" s="431" t="s">
        <v>2253</v>
      </c>
      <c r="C1379" s="431" t="s">
        <v>2254</v>
      </c>
      <c r="D1379" s="431" t="s">
        <v>4950</v>
      </c>
      <c r="E1379" s="431" t="s">
        <v>4951</v>
      </c>
      <c r="F1379" s="431">
        <v>19900</v>
      </c>
      <c r="G1379" s="431" t="s">
        <v>4837</v>
      </c>
      <c r="H1379" s="431" t="s">
        <v>2257</v>
      </c>
      <c r="I1379" s="431" t="s">
        <v>2258</v>
      </c>
      <c r="J1379" s="432">
        <v>46234</v>
      </c>
    </row>
    <row r="1380" spans="1:10">
      <c r="A1380" s="431">
        <v>1419</v>
      </c>
      <c r="B1380" s="431" t="s">
        <v>2253</v>
      </c>
      <c r="C1380" s="431" t="s">
        <v>2254</v>
      </c>
      <c r="D1380" s="431" t="s">
        <v>4952</v>
      </c>
      <c r="E1380" s="431" t="s">
        <v>4953</v>
      </c>
      <c r="F1380" s="431">
        <v>22500</v>
      </c>
      <c r="G1380" s="431" t="s">
        <v>4837</v>
      </c>
      <c r="H1380" s="431" t="s">
        <v>2257</v>
      </c>
      <c r="I1380" s="431" t="s">
        <v>2258</v>
      </c>
      <c r="J1380" s="432">
        <v>46234</v>
      </c>
    </row>
    <row r="1381" spans="1:10">
      <c r="A1381" s="431">
        <v>1420</v>
      </c>
      <c r="B1381" s="431" t="s">
        <v>2253</v>
      </c>
      <c r="C1381" s="431" t="s">
        <v>2254</v>
      </c>
      <c r="D1381" s="431" t="s">
        <v>4954</v>
      </c>
      <c r="E1381" s="431" t="s">
        <v>4955</v>
      </c>
      <c r="F1381" s="431">
        <v>22792</v>
      </c>
      <c r="G1381" s="431" t="s">
        <v>4837</v>
      </c>
      <c r="H1381" s="431" t="s">
        <v>2257</v>
      </c>
      <c r="I1381" s="431" t="s">
        <v>2258</v>
      </c>
      <c r="J1381" s="432">
        <v>46234</v>
      </c>
    </row>
    <row r="1382" spans="1:10">
      <c r="A1382" s="431">
        <v>1421</v>
      </c>
      <c r="B1382" s="431" t="s">
        <v>2253</v>
      </c>
      <c r="C1382" s="431" t="s">
        <v>2254</v>
      </c>
      <c r="D1382" s="431" t="s">
        <v>4956</v>
      </c>
      <c r="E1382" s="431" t="s">
        <v>4957</v>
      </c>
      <c r="F1382" s="431">
        <v>24000</v>
      </c>
      <c r="G1382" s="431" t="s">
        <v>4837</v>
      </c>
      <c r="H1382" s="431" t="s">
        <v>2257</v>
      </c>
      <c r="I1382" s="431" t="s">
        <v>2258</v>
      </c>
      <c r="J1382" s="432">
        <v>46234</v>
      </c>
    </row>
    <row r="1383" spans="1:10">
      <c r="A1383" s="431">
        <v>1422</v>
      </c>
      <c r="B1383" s="431" t="s">
        <v>2253</v>
      </c>
      <c r="C1383" s="431" t="s">
        <v>2254</v>
      </c>
      <c r="D1383" s="431" t="s">
        <v>4958</v>
      </c>
      <c r="E1383" s="431" t="s">
        <v>4959</v>
      </c>
      <c r="F1383" s="431">
        <v>23800</v>
      </c>
      <c r="G1383" s="431" t="s">
        <v>4837</v>
      </c>
      <c r="H1383" s="431" t="s">
        <v>2257</v>
      </c>
      <c r="I1383" s="431" t="s">
        <v>2258</v>
      </c>
      <c r="J1383" s="432">
        <v>46234</v>
      </c>
    </row>
    <row r="1384" spans="1:10">
      <c r="A1384" s="431">
        <v>1423</v>
      </c>
      <c r="B1384" s="431" t="s">
        <v>2253</v>
      </c>
      <c r="C1384" s="431" t="s">
        <v>2254</v>
      </c>
      <c r="D1384" s="431" t="s">
        <v>4960</v>
      </c>
      <c r="E1384" s="431" t="s">
        <v>4961</v>
      </c>
      <c r="F1384" s="431">
        <v>22800</v>
      </c>
      <c r="G1384" s="431" t="s">
        <v>4837</v>
      </c>
      <c r="H1384" s="431" t="s">
        <v>2257</v>
      </c>
      <c r="I1384" s="431" t="s">
        <v>2258</v>
      </c>
      <c r="J1384" s="432">
        <v>46234</v>
      </c>
    </row>
    <row r="1385" spans="1:10">
      <c r="A1385" s="431">
        <v>1424</v>
      </c>
      <c r="B1385" s="431" t="s">
        <v>2253</v>
      </c>
      <c r="C1385" s="431" t="s">
        <v>2254</v>
      </c>
      <c r="D1385" s="431" t="s">
        <v>4962</v>
      </c>
      <c r="E1385" s="431" t="s">
        <v>4963</v>
      </c>
      <c r="F1385" s="431">
        <v>22000</v>
      </c>
      <c r="G1385" s="431" t="s">
        <v>4837</v>
      </c>
      <c r="H1385" s="431" t="s">
        <v>2257</v>
      </c>
      <c r="I1385" s="431" t="s">
        <v>2258</v>
      </c>
      <c r="J1385" s="432">
        <v>46234</v>
      </c>
    </row>
    <row r="1386" spans="1:10">
      <c r="A1386" s="431">
        <v>1425</v>
      </c>
      <c r="B1386" s="431" t="s">
        <v>2253</v>
      </c>
      <c r="C1386" s="431" t="s">
        <v>2254</v>
      </c>
      <c r="D1386" s="431" t="s">
        <v>4964</v>
      </c>
      <c r="E1386" s="431" t="s">
        <v>4965</v>
      </c>
      <c r="F1386" s="431">
        <v>21000</v>
      </c>
      <c r="G1386" s="431" t="s">
        <v>4837</v>
      </c>
      <c r="H1386" s="431" t="s">
        <v>2257</v>
      </c>
      <c r="I1386" s="431" t="s">
        <v>2258</v>
      </c>
      <c r="J1386" s="432">
        <v>46234</v>
      </c>
    </row>
    <row r="1387" spans="1:10">
      <c r="A1387" s="431">
        <v>1426</v>
      </c>
      <c r="B1387" s="431" t="s">
        <v>2253</v>
      </c>
      <c r="C1387" s="431" t="s">
        <v>2254</v>
      </c>
      <c r="D1387" s="431" t="s">
        <v>4966</v>
      </c>
      <c r="E1387" s="431" t="s">
        <v>4967</v>
      </c>
      <c r="F1387" s="431">
        <v>20000</v>
      </c>
      <c r="G1387" s="431" t="s">
        <v>4837</v>
      </c>
      <c r="H1387" s="431" t="s">
        <v>2257</v>
      </c>
      <c r="I1387" s="431" t="s">
        <v>2258</v>
      </c>
      <c r="J1387" s="432">
        <v>46234</v>
      </c>
    </row>
    <row r="1388" spans="1:10">
      <c r="A1388" s="431">
        <v>1427</v>
      </c>
      <c r="B1388" s="431" t="s">
        <v>2253</v>
      </c>
      <c r="C1388" s="431" t="s">
        <v>2254</v>
      </c>
      <c r="D1388" s="431" t="s">
        <v>4968</v>
      </c>
      <c r="E1388" s="431" t="s">
        <v>4969</v>
      </c>
      <c r="F1388" s="431">
        <v>23000</v>
      </c>
      <c r="G1388" s="431" t="s">
        <v>4837</v>
      </c>
      <c r="H1388" s="431" t="s">
        <v>2257</v>
      </c>
      <c r="I1388" s="431" t="s">
        <v>2258</v>
      </c>
      <c r="J1388" s="432">
        <v>46234</v>
      </c>
    </row>
    <row r="1389" spans="1:10">
      <c r="A1389" s="431">
        <v>1428</v>
      </c>
      <c r="B1389" s="431" t="s">
        <v>2253</v>
      </c>
      <c r="C1389" s="431" t="s">
        <v>2254</v>
      </c>
      <c r="D1389" s="431" t="s">
        <v>4970</v>
      </c>
      <c r="E1389" s="431" t="s">
        <v>4971</v>
      </c>
      <c r="F1389" s="431">
        <v>25500</v>
      </c>
      <c r="G1389" s="431" t="s">
        <v>4837</v>
      </c>
      <c r="H1389" s="431" t="s">
        <v>2257</v>
      </c>
      <c r="I1389" s="431" t="s">
        <v>2258</v>
      </c>
      <c r="J1389" s="432">
        <v>46234</v>
      </c>
    </row>
    <row r="1390" spans="1:10">
      <c r="A1390" s="431">
        <v>1429</v>
      </c>
      <c r="B1390" s="431" t="s">
        <v>2253</v>
      </c>
      <c r="C1390" s="431" t="s">
        <v>2254</v>
      </c>
      <c r="D1390" s="431" t="s">
        <v>4972</v>
      </c>
      <c r="E1390" s="431" t="s">
        <v>4973</v>
      </c>
      <c r="F1390" s="431">
        <v>24800</v>
      </c>
      <c r="G1390" s="431" t="s">
        <v>4837</v>
      </c>
      <c r="H1390" s="431" t="s">
        <v>2257</v>
      </c>
      <c r="I1390" s="431" t="s">
        <v>2258</v>
      </c>
      <c r="J1390" s="432">
        <v>46234</v>
      </c>
    </row>
    <row r="1391" spans="1:10">
      <c r="A1391" s="431">
        <v>1430</v>
      </c>
      <c r="B1391" s="431" t="s">
        <v>2253</v>
      </c>
      <c r="C1391" s="431" t="s">
        <v>2254</v>
      </c>
      <c r="D1391" s="431" t="s">
        <v>4974</v>
      </c>
      <c r="E1391" s="431" t="s">
        <v>4975</v>
      </c>
      <c r="F1391" s="431">
        <v>24500</v>
      </c>
      <c r="G1391" s="431" t="s">
        <v>4837</v>
      </c>
      <c r="H1391" s="431" t="s">
        <v>2257</v>
      </c>
      <c r="I1391" s="431" t="s">
        <v>2258</v>
      </c>
      <c r="J1391" s="432">
        <v>46234</v>
      </c>
    </row>
    <row r="1392" spans="1:10">
      <c r="A1392" s="431">
        <v>1431</v>
      </c>
      <c r="B1392" s="431" t="s">
        <v>2253</v>
      </c>
      <c r="C1392" s="431" t="s">
        <v>2254</v>
      </c>
      <c r="D1392" s="431" t="s">
        <v>4976</v>
      </c>
      <c r="E1392" s="431" t="s">
        <v>4977</v>
      </c>
      <c r="F1392" s="431">
        <v>23900</v>
      </c>
      <c r="G1392" s="431" t="s">
        <v>4837</v>
      </c>
      <c r="H1392" s="431" t="s">
        <v>2257</v>
      </c>
      <c r="I1392" s="431" t="s">
        <v>2258</v>
      </c>
      <c r="J1392" s="432">
        <v>46234</v>
      </c>
    </row>
    <row r="1393" spans="1:10">
      <c r="A1393" s="431">
        <v>1432</v>
      </c>
      <c r="B1393" s="431" t="s">
        <v>2253</v>
      </c>
      <c r="C1393" s="431" t="s">
        <v>2254</v>
      </c>
      <c r="D1393" s="431" t="s">
        <v>4978</v>
      </c>
      <c r="E1393" s="431" t="s">
        <v>4979</v>
      </c>
      <c r="F1393" s="431">
        <v>22900</v>
      </c>
      <c r="G1393" s="431" t="s">
        <v>4837</v>
      </c>
      <c r="H1393" s="431" t="s">
        <v>2257</v>
      </c>
      <c r="I1393" s="431" t="s">
        <v>2258</v>
      </c>
      <c r="J1393" s="432">
        <v>46234</v>
      </c>
    </row>
    <row r="1394" spans="1:10">
      <c r="A1394" s="431">
        <v>1433</v>
      </c>
      <c r="B1394" s="431" t="s">
        <v>2253</v>
      </c>
      <c r="C1394" s="431" t="s">
        <v>2254</v>
      </c>
      <c r="D1394" s="431" t="s">
        <v>4980</v>
      </c>
      <c r="E1394" s="431" t="s">
        <v>4981</v>
      </c>
      <c r="F1394" s="431">
        <v>21000</v>
      </c>
      <c r="G1394" s="431" t="s">
        <v>4837</v>
      </c>
      <c r="H1394" s="431" t="s">
        <v>2257</v>
      </c>
      <c r="I1394" s="431" t="s">
        <v>2258</v>
      </c>
      <c r="J1394" s="432">
        <v>46234</v>
      </c>
    </row>
    <row r="1395" spans="1:10">
      <c r="A1395" s="431">
        <v>1434</v>
      </c>
      <c r="B1395" s="431" t="s">
        <v>2253</v>
      </c>
      <c r="C1395" s="431" t="s">
        <v>2254</v>
      </c>
      <c r="D1395" s="431" t="s">
        <v>4982</v>
      </c>
      <c r="E1395" s="431" t="s">
        <v>4983</v>
      </c>
      <c r="F1395" s="431">
        <v>20500</v>
      </c>
      <c r="G1395" s="431" t="s">
        <v>4837</v>
      </c>
      <c r="H1395" s="431" t="s">
        <v>2257</v>
      </c>
      <c r="I1395" s="431" t="s">
        <v>2258</v>
      </c>
      <c r="J1395" s="432">
        <v>46234</v>
      </c>
    </row>
    <row r="1396" spans="1:10">
      <c r="A1396" s="431">
        <v>1435</v>
      </c>
      <c r="B1396" s="431" t="s">
        <v>2253</v>
      </c>
      <c r="C1396" s="431" t="s">
        <v>2254</v>
      </c>
      <c r="D1396" s="431" t="s">
        <v>4984</v>
      </c>
      <c r="E1396" s="431" t="s">
        <v>4985</v>
      </c>
      <c r="F1396" s="431">
        <v>24500</v>
      </c>
      <c r="G1396" s="431" t="s">
        <v>4837</v>
      </c>
      <c r="H1396" s="431" t="s">
        <v>2257</v>
      </c>
      <c r="I1396" s="431" t="s">
        <v>2258</v>
      </c>
      <c r="J1396" s="432">
        <v>46234</v>
      </c>
    </row>
    <row r="1397" spans="1:10">
      <c r="A1397" s="431">
        <v>1436</v>
      </c>
      <c r="B1397" s="431" t="s">
        <v>2253</v>
      </c>
      <c r="C1397" s="431" t="s">
        <v>2254</v>
      </c>
      <c r="D1397" s="431" t="s">
        <v>4986</v>
      </c>
      <c r="E1397" s="431" t="s">
        <v>4987</v>
      </c>
      <c r="F1397" s="431">
        <v>21387</v>
      </c>
      <c r="G1397" s="431" t="s">
        <v>4837</v>
      </c>
      <c r="H1397" s="431" t="s">
        <v>2257</v>
      </c>
      <c r="I1397" s="431" t="s">
        <v>2258</v>
      </c>
      <c r="J1397" s="432">
        <v>46234</v>
      </c>
    </row>
    <row r="1398" spans="1:10">
      <c r="A1398" s="431">
        <v>1437</v>
      </c>
      <c r="B1398" s="431" t="s">
        <v>2253</v>
      </c>
      <c r="C1398" s="431" t="s">
        <v>2254</v>
      </c>
      <c r="D1398" s="431" t="s">
        <v>4988</v>
      </c>
      <c r="E1398" s="431" t="s">
        <v>4989</v>
      </c>
      <c r="F1398" s="431">
        <v>23950</v>
      </c>
      <c r="G1398" s="431" t="s">
        <v>4837</v>
      </c>
      <c r="H1398" s="431" t="s">
        <v>2257</v>
      </c>
      <c r="I1398" s="431" t="s">
        <v>2258</v>
      </c>
      <c r="J1398" s="432">
        <v>46234</v>
      </c>
    </row>
    <row r="1399" spans="1:10">
      <c r="A1399" s="431">
        <v>1438</v>
      </c>
      <c r="B1399" s="431" t="s">
        <v>2253</v>
      </c>
      <c r="C1399" s="431" t="s">
        <v>2254</v>
      </c>
      <c r="D1399" s="431" t="s">
        <v>4990</v>
      </c>
      <c r="E1399" s="431" t="s">
        <v>4991</v>
      </c>
      <c r="F1399" s="431">
        <v>23100</v>
      </c>
      <c r="G1399" s="431" t="s">
        <v>4837</v>
      </c>
      <c r="H1399" s="431" t="s">
        <v>2257</v>
      </c>
      <c r="I1399" s="431" t="s">
        <v>2258</v>
      </c>
      <c r="J1399" s="432">
        <v>46234</v>
      </c>
    </row>
    <row r="1400" spans="1:10">
      <c r="A1400" s="431">
        <v>1439</v>
      </c>
      <c r="B1400" s="431" t="s">
        <v>2253</v>
      </c>
      <c r="C1400" s="431" t="s">
        <v>2254</v>
      </c>
      <c r="D1400" s="431" t="s">
        <v>4992</v>
      </c>
      <c r="E1400" s="431" t="s">
        <v>4993</v>
      </c>
      <c r="F1400" s="431">
        <v>22500</v>
      </c>
      <c r="G1400" s="431" t="s">
        <v>4837</v>
      </c>
      <c r="H1400" s="431" t="s">
        <v>2257</v>
      </c>
      <c r="I1400" s="431" t="s">
        <v>2258</v>
      </c>
      <c r="J1400" s="432">
        <v>46234</v>
      </c>
    </row>
    <row r="1401" spans="1:10">
      <c r="A1401" s="431">
        <v>1440</v>
      </c>
      <c r="B1401" s="431" t="s">
        <v>2253</v>
      </c>
      <c r="C1401" s="431" t="s">
        <v>2254</v>
      </c>
      <c r="D1401" s="431" t="s">
        <v>4994</v>
      </c>
      <c r="E1401" s="431" t="s">
        <v>4995</v>
      </c>
      <c r="F1401" s="431">
        <v>21750</v>
      </c>
      <c r="G1401" s="431" t="s">
        <v>4837</v>
      </c>
      <c r="H1401" s="431" t="s">
        <v>2257</v>
      </c>
      <c r="I1401" s="431" t="s">
        <v>2258</v>
      </c>
      <c r="J1401" s="432">
        <v>46234</v>
      </c>
    </row>
    <row r="1402" spans="1:10">
      <c r="A1402" s="431">
        <v>1441</v>
      </c>
      <c r="B1402" s="431" t="s">
        <v>2253</v>
      </c>
      <c r="C1402" s="431" t="s">
        <v>2254</v>
      </c>
      <c r="D1402" s="431" t="s">
        <v>4996</v>
      </c>
      <c r="E1402" s="431" t="s">
        <v>4997</v>
      </c>
      <c r="F1402" s="431">
        <v>21223</v>
      </c>
      <c r="G1402" s="431" t="s">
        <v>4837</v>
      </c>
      <c r="H1402" s="431" t="s">
        <v>2257</v>
      </c>
      <c r="I1402" s="431" t="s">
        <v>2258</v>
      </c>
      <c r="J1402" s="432">
        <v>46234</v>
      </c>
    </row>
    <row r="1403" spans="1:10">
      <c r="A1403" s="431">
        <v>1442</v>
      </c>
      <c r="B1403" s="431" t="s">
        <v>2253</v>
      </c>
      <c r="C1403" s="431" t="s">
        <v>2254</v>
      </c>
      <c r="D1403" s="431" t="s">
        <v>4998</v>
      </c>
      <c r="E1403" s="431" t="s">
        <v>4999</v>
      </c>
      <c r="F1403" s="431">
        <v>24850</v>
      </c>
      <c r="G1403" s="431" t="s">
        <v>4837</v>
      </c>
      <c r="H1403" s="431" t="s">
        <v>2257</v>
      </c>
      <c r="I1403" s="431" t="s">
        <v>2258</v>
      </c>
      <c r="J1403" s="432">
        <v>46234</v>
      </c>
    </row>
    <row r="1404" spans="1:10">
      <c r="A1404" s="431">
        <v>1443</v>
      </c>
      <c r="B1404" s="431" t="s">
        <v>2253</v>
      </c>
      <c r="C1404" s="431" t="s">
        <v>2254</v>
      </c>
      <c r="D1404" s="431" t="s">
        <v>5000</v>
      </c>
      <c r="E1404" s="431" t="s">
        <v>5001</v>
      </c>
      <c r="F1404" s="431">
        <v>23500</v>
      </c>
      <c r="G1404" s="431" t="s">
        <v>4837</v>
      </c>
      <c r="H1404" s="431" t="s">
        <v>2257</v>
      </c>
      <c r="I1404" s="431" t="s">
        <v>2258</v>
      </c>
      <c r="J1404" s="432">
        <v>46234</v>
      </c>
    </row>
    <row r="1405" spans="1:10">
      <c r="A1405" s="431">
        <v>1444</v>
      </c>
      <c r="B1405" s="431" t="s">
        <v>2253</v>
      </c>
      <c r="C1405" s="431" t="s">
        <v>2254</v>
      </c>
      <c r="D1405" s="431" t="s">
        <v>5002</v>
      </c>
      <c r="E1405" s="431" t="s">
        <v>5003</v>
      </c>
      <c r="F1405" s="431">
        <v>23200</v>
      </c>
      <c r="G1405" s="431" t="s">
        <v>4837</v>
      </c>
      <c r="H1405" s="431" t="s">
        <v>2257</v>
      </c>
      <c r="I1405" s="431" t="s">
        <v>2258</v>
      </c>
      <c r="J1405" s="432">
        <v>46234</v>
      </c>
    </row>
    <row r="1406" spans="1:10">
      <c r="A1406" s="431">
        <v>1445</v>
      </c>
      <c r="B1406" s="431" t="s">
        <v>2253</v>
      </c>
      <c r="C1406" s="431" t="s">
        <v>2254</v>
      </c>
      <c r="D1406" s="431" t="s">
        <v>5004</v>
      </c>
      <c r="E1406" s="431" t="s">
        <v>5005</v>
      </c>
      <c r="F1406" s="431">
        <v>22850</v>
      </c>
      <c r="G1406" s="431" t="s">
        <v>4837</v>
      </c>
      <c r="H1406" s="431" t="s">
        <v>2257</v>
      </c>
      <c r="I1406" s="431" t="s">
        <v>2258</v>
      </c>
      <c r="J1406" s="432">
        <v>46234</v>
      </c>
    </row>
    <row r="1407" spans="1:10">
      <c r="A1407" s="431">
        <v>1446</v>
      </c>
      <c r="B1407" s="431" t="s">
        <v>2253</v>
      </c>
      <c r="C1407" s="431" t="s">
        <v>2254</v>
      </c>
      <c r="D1407" s="431" t="s">
        <v>5006</v>
      </c>
      <c r="E1407" s="431" t="s">
        <v>5007</v>
      </c>
      <c r="F1407" s="431">
        <v>25500</v>
      </c>
      <c r="G1407" s="431" t="s">
        <v>4837</v>
      </c>
      <c r="H1407" s="431" t="s">
        <v>2257</v>
      </c>
      <c r="I1407" s="431" t="s">
        <v>2258</v>
      </c>
      <c r="J1407" s="432">
        <v>46234</v>
      </c>
    </row>
    <row r="1408" spans="1:10">
      <c r="A1408" s="431">
        <v>1447</v>
      </c>
      <c r="B1408" s="431" t="s">
        <v>2253</v>
      </c>
      <c r="C1408" s="431" t="s">
        <v>2254</v>
      </c>
      <c r="D1408" s="431" t="s">
        <v>5008</v>
      </c>
      <c r="E1408" s="431" t="s">
        <v>5009</v>
      </c>
      <c r="F1408" s="431">
        <v>24700</v>
      </c>
      <c r="G1408" s="431" t="s">
        <v>4837</v>
      </c>
      <c r="H1408" s="431" t="s">
        <v>2257</v>
      </c>
      <c r="I1408" s="431" t="s">
        <v>2258</v>
      </c>
      <c r="J1408" s="432">
        <v>46234</v>
      </c>
    </row>
    <row r="1409" spans="1:10">
      <c r="A1409" s="431">
        <v>1448</v>
      </c>
      <c r="B1409" s="431" t="s">
        <v>2253</v>
      </c>
      <c r="C1409" s="431" t="s">
        <v>2254</v>
      </c>
      <c r="D1409" s="431" t="s">
        <v>5010</v>
      </c>
      <c r="E1409" s="431" t="s">
        <v>5011</v>
      </c>
      <c r="F1409" s="431">
        <v>23200</v>
      </c>
      <c r="G1409" s="431" t="s">
        <v>4837</v>
      </c>
      <c r="H1409" s="431" t="s">
        <v>2257</v>
      </c>
      <c r="I1409" s="431" t="s">
        <v>2258</v>
      </c>
      <c r="J1409" s="432">
        <v>46234</v>
      </c>
    </row>
    <row r="1410" spans="1:10">
      <c r="A1410" s="431">
        <v>1449</v>
      </c>
      <c r="B1410" s="431" t="s">
        <v>2253</v>
      </c>
      <c r="C1410" s="431" t="s">
        <v>2254</v>
      </c>
      <c r="D1410" s="431" t="s">
        <v>5012</v>
      </c>
      <c r="E1410" s="431" t="s">
        <v>5013</v>
      </c>
      <c r="F1410" s="431">
        <v>22500</v>
      </c>
      <c r="G1410" s="431" t="s">
        <v>4837</v>
      </c>
      <c r="H1410" s="431" t="s">
        <v>2257</v>
      </c>
      <c r="I1410" s="431" t="s">
        <v>2258</v>
      </c>
      <c r="J1410" s="432">
        <v>46234</v>
      </c>
    </row>
    <row r="1411" spans="1:10">
      <c r="A1411" s="431">
        <v>1450</v>
      </c>
      <c r="B1411" s="431" t="s">
        <v>2253</v>
      </c>
      <c r="C1411" s="431" t="s">
        <v>2254</v>
      </c>
      <c r="D1411" s="431" t="s">
        <v>5014</v>
      </c>
      <c r="E1411" s="431" t="s">
        <v>5015</v>
      </c>
      <c r="F1411" s="431">
        <v>21900</v>
      </c>
      <c r="G1411" s="431" t="s">
        <v>4837</v>
      </c>
      <c r="H1411" s="431" t="s">
        <v>2257</v>
      </c>
      <c r="I1411" s="431" t="s">
        <v>2258</v>
      </c>
      <c r="J1411" s="432">
        <v>46234</v>
      </c>
    </row>
    <row r="1412" spans="1:10">
      <c r="A1412" s="431">
        <v>1451</v>
      </c>
      <c r="B1412" s="431" t="s">
        <v>2253</v>
      </c>
      <c r="C1412" s="431" t="s">
        <v>2254</v>
      </c>
      <c r="D1412" s="431" t="s">
        <v>5016</v>
      </c>
      <c r="E1412" s="431" t="s">
        <v>5017</v>
      </c>
      <c r="F1412" s="431">
        <v>20110</v>
      </c>
      <c r="G1412" s="431" t="s">
        <v>4837</v>
      </c>
      <c r="H1412" s="431" t="s">
        <v>2257</v>
      </c>
      <c r="I1412" s="431" t="s">
        <v>2258</v>
      </c>
      <c r="J1412" s="432">
        <v>46234</v>
      </c>
    </row>
    <row r="1413" spans="1:10">
      <c r="A1413" s="431">
        <v>1452</v>
      </c>
      <c r="B1413" s="431" t="s">
        <v>2253</v>
      </c>
      <c r="C1413" s="431" t="s">
        <v>2254</v>
      </c>
      <c r="D1413" s="431" t="s">
        <v>5018</v>
      </c>
      <c r="E1413" s="431" t="s">
        <v>5019</v>
      </c>
      <c r="F1413" s="431">
        <v>23500</v>
      </c>
      <c r="G1413" s="431" t="s">
        <v>4837</v>
      </c>
      <c r="H1413" s="431" t="s">
        <v>2257</v>
      </c>
      <c r="I1413" s="431" t="s">
        <v>2258</v>
      </c>
      <c r="J1413" s="432">
        <v>46234</v>
      </c>
    </row>
    <row r="1414" spans="1:10">
      <c r="A1414" s="431">
        <v>1453</v>
      </c>
      <c r="B1414" s="431" t="s">
        <v>2253</v>
      </c>
      <c r="C1414" s="431" t="s">
        <v>2254</v>
      </c>
      <c r="D1414" s="431" t="s">
        <v>5020</v>
      </c>
      <c r="E1414" s="431" t="s">
        <v>5021</v>
      </c>
      <c r="F1414" s="431">
        <v>22600</v>
      </c>
      <c r="G1414" s="431" t="s">
        <v>4837</v>
      </c>
      <c r="H1414" s="431" t="s">
        <v>2257</v>
      </c>
      <c r="I1414" s="431" t="s">
        <v>2258</v>
      </c>
      <c r="J1414" s="432">
        <v>46234</v>
      </c>
    </row>
    <row r="1415" spans="1:10">
      <c r="A1415" s="431">
        <v>1454</v>
      </c>
      <c r="B1415" s="431" t="s">
        <v>2253</v>
      </c>
      <c r="C1415" s="431" t="s">
        <v>2254</v>
      </c>
      <c r="D1415" s="431" t="s">
        <v>5022</v>
      </c>
      <c r="E1415" s="431" t="s">
        <v>5023</v>
      </c>
      <c r="F1415" s="431">
        <v>21400</v>
      </c>
      <c r="G1415" s="431" t="s">
        <v>4837</v>
      </c>
      <c r="H1415" s="431" t="s">
        <v>2257</v>
      </c>
      <c r="I1415" s="431" t="s">
        <v>2258</v>
      </c>
      <c r="J1415" s="432">
        <v>46234</v>
      </c>
    </row>
    <row r="1416" spans="1:10">
      <c r="A1416" s="431">
        <v>1455</v>
      </c>
      <c r="B1416" s="431" t="s">
        <v>2253</v>
      </c>
      <c r="C1416" s="431" t="s">
        <v>2254</v>
      </c>
      <c r="D1416" s="431" t="s">
        <v>5024</v>
      </c>
      <c r="E1416" s="431" t="s">
        <v>5025</v>
      </c>
      <c r="F1416" s="431">
        <v>24800</v>
      </c>
      <c r="G1416" s="431" t="s">
        <v>4837</v>
      </c>
      <c r="H1416" s="431" t="s">
        <v>2257</v>
      </c>
      <c r="I1416" s="431" t="s">
        <v>2258</v>
      </c>
      <c r="J1416" s="432">
        <v>46234</v>
      </c>
    </row>
    <row r="1417" spans="1:10">
      <c r="A1417" s="431">
        <v>1456</v>
      </c>
      <c r="B1417" s="431" t="s">
        <v>2253</v>
      </c>
      <c r="C1417" s="431" t="s">
        <v>2254</v>
      </c>
      <c r="D1417" s="431" t="s">
        <v>5026</v>
      </c>
      <c r="E1417" s="431" t="s">
        <v>5027</v>
      </c>
      <c r="F1417" s="431">
        <v>23950</v>
      </c>
      <c r="G1417" s="431" t="s">
        <v>4837</v>
      </c>
      <c r="H1417" s="431" t="s">
        <v>2257</v>
      </c>
      <c r="I1417" s="431" t="s">
        <v>2258</v>
      </c>
      <c r="J1417" s="432">
        <v>46234</v>
      </c>
    </row>
    <row r="1418" spans="1:10">
      <c r="A1418" s="431">
        <v>1457</v>
      </c>
      <c r="B1418" s="431" t="s">
        <v>2253</v>
      </c>
      <c r="C1418" s="431" t="s">
        <v>2254</v>
      </c>
      <c r="D1418" s="431" t="s">
        <v>5028</v>
      </c>
      <c r="E1418" s="431" t="s">
        <v>5029</v>
      </c>
      <c r="F1418" s="431">
        <v>23100</v>
      </c>
      <c r="G1418" s="431" t="s">
        <v>4837</v>
      </c>
      <c r="H1418" s="431" t="s">
        <v>2257</v>
      </c>
      <c r="I1418" s="431" t="s">
        <v>2258</v>
      </c>
      <c r="J1418" s="432">
        <v>46234</v>
      </c>
    </row>
    <row r="1419" spans="1:10">
      <c r="A1419" s="431">
        <v>1458</v>
      </c>
      <c r="B1419" s="431" t="s">
        <v>2253</v>
      </c>
      <c r="C1419" s="431" t="s">
        <v>2254</v>
      </c>
      <c r="D1419" s="431" t="s">
        <v>5030</v>
      </c>
      <c r="E1419" s="431" t="s">
        <v>5031</v>
      </c>
      <c r="F1419" s="431">
        <v>21915</v>
      </c>
      <c r="G1419" s="431" t="s">
        <v>4837</v>
      </c>
      <c r="H1419" s="431" t="s">
        <v>2257</v>
      </c>
      <c r="I1419" s="431" t="s">
        <v>2258</v>
      </c>
      <c r="J1419" s="432">
        <v>46234</v>
      </c>
    </row>
    <row r="1420" spans="1:10">
      <c r="A1420" s="431">
        <v>1459</v>
      </c>
      <c r="B1420" s="431" t="s">
        <v>2253</v>
      </c>
      <c r="C1420" s="431" t="s">
        <v>2254</v>
      </c>
      <c r="D1420" s="431" t="s">
        <v>5032</v>
      </c>
      <c r="E1420" s="431" t="s">
        <v>5033</v>
      </c>
      <c r="F1420" s="431">
        <v>19775</v>
      </c>
      <c r="G1420" s="431" t="s">
        <v>4837</v>
      </c>
      <c r="H1420" s="431" t="s">
        <v>2257</v>
      </c>
      <c r="I1420" s="431" t="s">
        <v>2258</v>
      </c>
      <c r="J1420" s="432">
        <v>46234</v>
      </c>
    </row>
    <row r="1421" spans="1:10">
      <c r="A1421" s="431">
        <v>1460</v>
      </c>
      <c r="B1421" s="431" t="s">
        <v>2253</v>
      </c>
      <c r="C1421" s="431" t="s">
        <v>2254</v>
      </c>
      <c r="D1421" s="431" t="s">
        <v>5034</v>
      </c>
      <c r="E1421" s="431" t="s">
        <v>5035</v>
      </c>
      <c r="F1421" s="431">
        <v>19010</v>
      </c>
      <c r="G1421" s="431" t="s">
        <v>4837</v>
      </c>
      <c r="H1421" s="431" t="s">
        <v>2257</v>
      </c>
      <c r="I1421" s="431" t="s">
        <v>2258</v>
      </c>
      <c r="J1421" s="432">
        <v>46234</v>
      </c>
    </row>
    <row r="1422" spans="1:10">
      <c r="A1422" s="431">
        <v>1461</v>
      </c>
      <c r="B1422" s="431" t="s">
        <v>2253</v>
      </c>
      <c r="C1422" s="431" t="s">
        <v>2254</v>
      </c>
      <c r="D1422" s="431" t="s">
        <v>5036</v>
      </c>
      <c r="E1422" s="431" t="s">
        <v>5037</v>
      </c>
      <c r="F1422" s="431">
        <v>18100</v>
      </c>
      <c r="G1422" s="431" t="s">
        <v>4837</v>
      </c>
      <c r="H1422" s="431" t="s">
        <v>2257</v>
      </c>
      <c r="I1422" s="431" t="s">
        <v>2258</v>
      </c>
      <c r="J1422" s="432">
        <v>46234</v>
      </c>
    </row>
    <row r="1423" spans="1:10">
      <c r="A1423" s="431">
        <v>1462</v>
      </c>
      <c r="B1423" s="431" t="s">
        <v>2253</v>
      </c>
      <c r="C1423" s="431" t="s">
        <v>2254</v>
      </c>
      <c r="D1423" s="431" t="s">
        <v>5038</v>
      </c>
      <c r="E1423" s="431" t="s">
        <v>5039</v>
      </c>
      <c r="F1423" s="431">
        <v>17950</v>
      </c>
      <c r="G1423" s="431" t="s">
        <v>4837</v>
      </c>
      <c r="H1423" s="431" t="s">
        <v>2257</v>
      </c>
      <c r="I1423" s="431" t="s">
        <v>2258</v>
      </c>
      <c r="J1423" s="432">
        <v>46234</v>
      </c>
    </row>
    <row r="1424" spans="1:10">
      <c r="A1424" s="431">
        <v>1463</v>
      </c>
      <c r="B1424" s="431" t="s">
        <v>2253</v>
      </c>
      <c r="C1424" s="431" t="s">
        <v>2254</v>
      </c>
      <c r="D1424" s="431" t="s">
        <v>5040</v>
      </c>
      <c r="E1424" s="431" t="s">
        <v>5041</v>
      </c>
      <c r="F1424" s="431">
        <v>24850</v>
      </c>
      <c r="G1424" s="431" t="s">
        <v>4837</v>
      </c>
      <c r="H1424" s="431" t="s">
        <v>2257</v>
      </c>
      <c r="I1424" s="431" t="s">
        <v>2258</v>
      </c>
      <c r="J1424" s="432">
        <v>46234</v>
      </c>
    </row>
    <row r="1425" spans="1:10">
      <c r="A1425" s="431">
        <v>1464</v>
      </c>
      <c r="B1425" s="431" t="s">
        <v>2253</v>
      </c>
      <c r="C1425" s="431" t="s">
        <v>2254</v>
      </c>
      <c r="D1425" s="431" t="s">
        <v>5042</v>
      </c>
      <c r="E1425" s="431" t="s">
        <v>5043</v>
      </c>
      <c r="F1425" s="431">
        <v>23500</v>
      </c>
      <c r="G1425" s="431" t="s">
        <v>4837</v>
      </c>
      <c r="H1425" s="431" t="s">
        <v>2257</v>
      </c>
      <c r="I1425" s="431" t="s">
        <v>2258</v>
      </c>
      <c r="J1425" s="432">
        <v>46234</v>
      </c>
    </row>
    <row r="1426" spans="1:10">
      <c r="A1426" s="431">
        <v>1465</v>
      </c>
      <c r="B1426" s="431" t="s">
        <v>2253</v>
      </c>
      <c r="C1426" s="431" t="s">
        <v>2254</v>
      </c>
      <c r="D1426" s="431" t="s">
        <v>5044</v>
      </c>
      <c r="E1426" s="431" t="s">
        <v>5045</v>
      </c>
      <c r="F1426" s="431">
        <v>21915</v>
      </c>
      <c r="G1426" s="431" t="s">
        <v>4837</v>
      </c>
      <c r="H1426" s="431" t="s">
        <v>2257</v>
      </c>
      <c r="I1426" s="431" t="s">
        <v>2258</v>
      </c>
      <c r="J1426" s="432">
        <v>46234</v>
      </c>
    </row>
    <row r="1427" spans="1:10">
      <c r="A1427" s="431">
        <v>1466</v>
      </c>
      <c r="B1427" s="431" t="s">
        <v>2253</v>
      </c>
      <c r="C1427" s="431" t="s">
        <v>2254</v>
      </c>
      <c r="D1427" s="431" t="s">
        <v>5046</v>
      </c>
      <c r="E1427" s="431" t="s">
        <v>5047</v>
      </c>
      <c r="F1427" s="431">
        <v>19775</v>
      </c>
      <c r="G1427" s="431" t="s">
        <v>4837</v>
      </c>
      <c r="H1427" s="431" t="s">
        <v>2257</v>
      </c>
      <c r="I1427" s="431" t="s">
        <v>2258</v>
      </c>
      <c r="J1427" s="432">
        <v>46234</v>
      </c>
    </row>
    <row r="1428" spans="1:10">
      <c r="A1428" s="431">
        <v>1467</v>
      </c>
      <c r="B1428" s="431" t="s">
        <v>2253</v>
      </c>
      <c r="C1428" s="431" t="s">
        <v>2254</v>
      </c>
      <c r="D1428" s="431" t="s">
        <v>5048</v>
      </c>
      <c r="E1428" s="431" t="s">
        <v>5049</v>
      </c>
      <c r="F1428" s="431">
        <v>19010</v>
      </c>
      <c r="G1428" s="431" t="s">
        <v>4837</v>
      </c>
      <c r="H1428" s="431" t="s">
        <v>2257</v>
      </c>
      <c r="I1428" s="431" t="s">
        <v>2258</v>
      </c>
      <c r="J1428" s="432">
        <v>46234</v>
      </c>
    </row>
    <row r="1429" spans="1:10">
      <c r="A1429" s="431">
        <v>1468</v>
      </c>
      <c r="B1429" s="431" t="s">
        <v>2253</v>
      </c>
      <c r="C1429" s="431" t="s">
        <v>2254</v>
      </c>
      <c r="D1429" s="431" t="s">
        <v>5050</v>
      </c>
      <c r="E1429" s="431" t="s">
        <v>5051</v>
      </c>
      <c r="F1429" s="431">
        <v>18100</v>
      </c>
      <c r="G1429" s="431" t="s">
        <v>4837</v>
      </c>
      <c r="H1429" s="431" t="s">
        <v>2257</v>
      </c>
      <c r="I1429" s="431" t="s">
        <v>2258</v>
      </c>
      <c r="J1429" s="432">
        <v>46234</v>
      </c>
    </row>
    <row r="1430" spans="1:10">
      <c r="A1430" s="431">
        <v>1469</v>
      </c>
      <c r="B1430" s="431" t="s">
        <v>2253</v>
      </c>
      <c r="C1430" s="431" t="s">
        <v>2254</v>
      </c>
      <c r="D1430" s="431" t="s">
        <v>5052</v>
      </c>
      <c r="E1430" s="431" t="s">
        <v>5053</v>
      </c>
      <c r="F1430" s="431">
        <v>17950</v>
      </c>
      <c r="G1430" s="431" t="s">
        <v>4837</v>
      </c>
      <c r="H1430" s="431" t="s">
        <v>2257</v>
      </c>
      <c r="I1430" s="431" t="s">
        <v>2258</v>
      </c>
      <c r="J1430" s="432">
        <v>46234</v>
      </c>
    </row>
    <row r="1431" spans="1:10">
      <c r="A1431" s="431">
        <v>1470</v>
      </c>
      <c r="B1431" s="431" t="s">
        <v>2253</v>
      </c>
      <c r="C1431" s="431" t="s">
        <v>2254</v>
      </c>
      <c r="D1431" s="431" t="s">
        <v>5054</v>
      </c>
      <c r="E1431" s="431" t="s">
        <v>5055</v>
      </c>
      <c r="F1431" s="431">
        <v>18100</v>
      </c>
      <c r="G1431" s="431" t="s">
        <v>4837</v>
      </c>
      <c r="H1431" s="431" t="s">
        <v>2257</v>
      </c>
      <c r="I1431" s="431" t="s">
        <v>2258</v>
      </c>
      <c r="J1431" s="432">
        <v>46234</v>
      </c>
    </row>
    <row r="1432" spans="1:10">
      <c r="A1432" s="431">
        <v>1471</v>
      </c>
      <c r="B1432" s="431" t="s">
        <v>2253</v>
      </c>
      <c r="C1432" s="431" t="s">
        <v>2254</v>
      </c>
      <c r="D1432" s="431" t="s">
        <v>5056</v>
      </c>
      <c r="E1432" s="431" t="s">
        <v>5057</v>
      </c>
      <c r="F1432" s="431">
        <v>17950</v>
      </c>
      <c r="G1432" s="431" t="s">
        <v>4837</v>
      </c>
      <c r="H1432" s="431" t="s">
        <v>2257</v>
      </c>
      <c r="I1432" s="431" t="s">
        <v>2258</v>
      </c>
      <c r="J1432" s="432">
        <v>46234</v>
      </c>
    </row>
    <row r="1433" spans="1:10">
      <c r="A1433" s="431">
        <v>1472</v>
      </c>
      <c r="B1433" s="431" t="s">
        <v>2253</v>
      </c>
      <c r="C1433" s="431" t="s">
        <v>2254</v>
      </c>
      <c r="D1433" s="431" t="s">
        <v>5058</v>
      </c>
      <c r="E1433" s="431" t="s">
        <v>5059</v>
      </c>
      <c r="F1433" s="431">
        <v>13511</v>
      </c>
      <c r="G1433" s="431" t="s">
        <v>46</v>
      </c>
      <c r="H1433" s="431" t="s">
        <v>2257</v>
      </c>
      <c r="I1433" s="431" t="s">
        <v>2258</v>
      </c>
      <c r="J1433" s="432">
        <v>46234</v>
      </c>
    </row>
    <row r="1434" spans="1:10">
      <c r="A1434" s="431">
        <v>1473</v>
      </c>
      <c r="B1434" s="431" t="s">
        <v>2253</v>
      </c>
      <c r="C1434" s="431" t="s">
        <v>2254</v>
      </c>
      <c r="D1434" s="431" t="s">
        <v>5060</v>
      </c>
      <c r="E1434" s="431" t="s">
        <v>5061</v>
      </c>
      <c r="F1434" s="431">
        <v>27023</v>
      </c>
      <c r="G1434" s="431" t="s">
        <v>46</v>
      </c>
      <c r="H1434" s="431" t="s">
        <v>2257</v>
      </c>
      <c r="I1434" s="431" t="s">
        <v>2258</v>
      </c>
      <c r="J1434" s="432">
        <v>46234</v>
      </c>
    </row>
    <row r="1435" spans="1:10">
      <c r="A1435" s="431">
        <v>1474</v>
      </c>
      <c r="B1435" s="431" t="s">
        <v>2253</v>
      </c>
      <c r="C1435" s="431" t="s">
        <v>2254</v>
      </c>
      <c r="D1435" s="431" t="s">
        <v>5062</v>
      </c>
      <c r="E1435" s="431" t="s">
        <v>5063</v>
      </c>
      <c r="F1435" s="431">
        <v>40534</v>
      </c>
      <c r="G1435" s="431" t="s">
        <v>46</v>
      </c>
      <c r="H1435" s="431" t="s">
        <v>2257</v>
      </c>
      <c r="I1435" s="431" t="s">
        <v>2258</v>
      </c>
      <c r="J1435" s="432">
        <v>46234</v>
      </c>
    </row>
    <row r="1436" spans="1:10">
      <c r="A1436" s="431">
        <v>1475</v>
      </c>
      <c r="B1436" s="431" t="s">
        <v>2253</v>
      </c>
      <c r="C1436" s="431" t="s">
        <v>2254</v>
      </c>
      <c r="D1436" s="431" t="s">
        <v>5064</v>
      </c>
      <c r="E1436" s="431" t="s">
        <v>5065</v>
      </c>
      <c r="F1436" s="431">
        <v>54045</v>
      </c>
      <c r="G1436" s="431" t="s">
        <v>46</v>
      </c>
      <c r="H1436" s="431" t="s">
        <v>2257</v>
      </c>
      <c r="I1436" s="431" t="s">
        <v>2258</v>
      </c>
      <c r="J1436" s="432">
        <v>46234</v>
      </c>
    </row>
    <row r="1437" spans="1:10">
      <c r="A1437" s="431">
        <v>1476</v>
      </c>
      <c r="B1437" s="431" t="s">
        <v>2253</v>
      </c>
      <c r="C1437" s="431" t="s">
        <v>2254</v>
      </c>
      <c r="D1437" s="431" t="s">
        <v>5066</v>
      </c>
      <c r="E1437" s="431" t="s">
        <v>5067</v>
      </c>
      <c r="F1437" s="431">
        <v>67556</v>
      </c>
      <c r="G1437" s="431" t="s">
        <v>46</v>
      </c>
      <c r="H1437" s="431" t="s">
        <v>2257</v>
      </c>
      <c r="I1437" s="431" t="s">
        <v>2258</v>
      </c>
      <c r="J1437" s="432">
        <v>46234</v>
      </c>
    </row>
    <row r="1438" spans="1:10">
      <c r="A1438" s="431">
        <v>1477</v>
      </c>
      <c r="B1438" s="431" t="s">
        <v>2253</v>
      </c>
      <c r="C1438" s="431" t="s">
        <v>2254</v>
      </c>
      <c r="D1438" s="431" t="s">
        <v>5068</v>
      </c>
      <c r="E1438" s="431" t="s">
        <v>5069</v>
      </c>
      <c r="F1438" s="431">
        <v>81068</v>
      </c>
      <c r="G1438" s="431" t="s">
        <v>46</v>
      </c>
      <c r="H1438" s="431" t="s">
        <v>2257</v>
      </c>
      <c r="I1438" s="431" t="s">
        <v>2258</v>
      </c>
      <c r="J1438" s="432">
        <v>46234</v>
      </c>
    </row>
    <row r="1439" spans="1:10">
      <c r="A1439" s="431">
        <v>1478</v>
      </c>
      <c r="B1439" s="431" t="s">
        <v>2253</v>
      </c>
      <c r="C1439" s="431" t="s">
        <v>2254</v>
      </c>
      <c r="D1439" s="431" t="s">
        <v>5070</v>
      </c>
      <c r="E1439" s="431" t="s">
        <v>5071</v>
      </c>
      <c r="F1439" s="431">
        <v>94578</v>
      </c>
      <c r="G1439" s="431" t="s">
        <v>46</v>
      </c>
      <c r="H1439" s="431" t="s">
        <v>2257</v>
      </c>
      <c r="I1439" s="431" t="s">
        <v>2258</v>
      </c>
      <c r="J1439" s="432">
        <v>46234</v>
      </c>
    </row>
    <row r="1440" spans="1:10">
      <c r="A1440" s="431">
        <v>1479</v>
      </c>
      <c r="B1440" s="431" t="s">
        <v>2253</v>
      </c>
      <c r="C1440" s="431" t="s">
        <v>2254</v>
      </c>
      <c r="D1440" s="431" t="s">
        <v>5072</v>
      </c>
      <c r="E1440" s="431" t="s">
        <v>5073</v>
      </c>
      <c r="F1440" s="431">
        <v>108089</v>
      </c>
      <c r="G1440" s="431" t="s">
        <v>46</v>
      </c>
      <c r="H1440" s="431" t="s">
        <v>2257</v>
      </c>
      <c r="I1440" s="431" t="s">
        <v>2258</v>
      </c>
      <c r="J1440" s="432">
        <v>46234</v>
      </c>
    </row>
    <row r="1441" spans="1:10">
      <c r="A1441" s="431">
        <v>1480</v>
      </c>
      <c r="B1441" s="431" t="s">
        <v>2253</v>
      </c>
      <c r="C1441" s="431" t="s">
        <v>2254</v>
      </c>
      <c r="D1441" s="431" t="s">
        <v>5074</v>
      </c>
      <c r="E1441" s="431" t="s">
        <v>5075</v>
      </c>
      <c r="F1441" s="431">
        <v>121600</v>
      </c>
      <c r="G1441" s="431" t="s">
        <v>46</v>
      </c>
      <c r="H1441" s="431" t="s">
        <v>2257</v>
      </c>
      <c r="I1441" s="431" t="s">
        <v>2258</v>
      </c>
      <c r="J1441" s="432">
        <v>46234</v>
      </c>
    </row>
    <row r="1442" spans="1:10">
      <c r="A1442" s="431">
        <v>1481</v>
      </c>
      <c r="B1442" s="431" t="s">
        <v>2253</v>
      </c>
      <c r="C1442" s="431" t="s">
        <v>2254</v>
      </c>
      <c r="D1442" s="431" t="s">
        <v>5076</v>
      </c>
      <c r="E1442" s="431" t="s">
        <v>5077</v>
      </c>
      <c r="F1442" s="431">
        <v>135112</v>
      </c>
      <c r="G1442" s="431" t="s">
        <v>46</v>
      </c>
      <c r="H1442" s="431" t="s">
        <v>2257</v>
      </c>
      <c r="I1442" s="431" t="s">
        <v>2258</v>
      </c>
      <c r="J1442" s="432">
        <v>46234</v>
      </c>
    </row>
    <row r="1443" spans="1:10">
      <c r="A1443" s="431">
        <v>1482</v>
      </c>
      <c r="B1443" s="431" t="s">
        <v>2253</v>
      </c>
      <c r="C1443" s="431" t="s">
        <v>2254</v>
      </c>
      <c r="D1443" s="431" t="s">
        <v>5078</v>
      </c>
      <c r="E1443" s="431" t="s">
        <v>5079</v>
      </c>
      <c r="F1443" s="431">
        <v>148623</v>
      </c>
      <c r="G1443" s="431" t="s">
        <v>46</v>
      </c>
      <c r="H1443" s="431" t="s">
        <v>2257</v>
      </c>
      <c r="I1443" s="431" t="s">
        <v>2258</v>
      </c>
      <c r="J1443" s="432">
        <v>46234</v>
      </c>
    </row>
    <row r="1444" spans="1:10">
      <c r="A1444" s="431">
        <v>1483</v>
      </c>
      <c r="B1444" s="431" t="s">
        <v>2253</v>
      </c>
      <c r="C1444" s="431" t="s">
        <v>2254</v>
      </c>
      <c r="D1444" s="431" t="s">
        <v>5080</v>
      </c>
      <c r="E1444" s="431" t="s">
        <v>5081</v>
      </c>
      <c r="F1444" s="431">
        <v>162134</v>
      </c>
      <c r="G1444" s="431" t="s">
        <v>46</v>
      </c>
      <c r="H1444" s="431" t="s">
        <v>2257</v>
      </c>
      <c r="I1444" s="431" t="s">
        <v>2258</v>
      </c>
      <c r="J1444" s="432">
        <v>46234</v>
      </c>
    </row>
    <row r="1445" spans="1:10">
      <c r="A1445" s="431">
        <v>1484</v>
      </c>
      <c r="B1445" s="431" t="s">
        <v>2253</v>
      </c>
      <c r="C1445" s="431" t="s">
        <v>2254</v>
      </c>
      <c r="D1445" s="431" t="s">
        <v>5082</v>
      </c>
      <c r="E1445" s="431" t="s">
        <v>5083</v>
      </c>
      <c r="F1445" s="431">
        <v>175645</v>
      </c>
      <c r="G1445" s="431" t="s">
        <v>46</v>
      </c>
      <c r="H1445" s="431" t="s">
        <v>2257</v>
      </c>
      <c r="I1445" s="431" t="s">
        <v>2258</v>
      </c>
      <c r="J1445" s="432">
        <v>46234</v>
      </c>
    </row>
    <row r="1446" spans="1:10">
      <c r="A1446" s="431">
        <v>1485</v>
      </c>
      <c r="B1446" s="431" t="s">
        <v>2253</v>
      </c>
      <c r="C1446" s="431" t="s">
        <v>2254</v>
      </c>
      <c r="D1446" s="431" t="s">
        <v>5084</v>
      </c>
      <c r="E1446" s="431" t="s">
        <v>5085</v>
      </c>
      <c r="F1446" s="431">
        <v>175645</v>
      </c>
      <c r="G1446" s="431" t="s">
        <v>46</v>
      </c>
      <c r="H1446" s="431" t="s">
        <v>2257</v>
      </c>
      <c r="I1446" s="431" t="s">
        <v>2258</v>
      </c>
      <c r="J1446" s="432">
        <v>46234</v>
      </c>
    </row>
    <row r="1447" spans="1:10">
      <c r="A1447" s="431">
        <v>1486</v>
      </c>
      <c r="B1447" s="431" t="s">
        <v>2253</v>
      </c>
      <c r="C1447" s="431" t="s">
        <v>2254</v>
      </c>
      <c r="D1447" s="431" t="s">
        <v>5086</v>
      </c>
      <c r="E1447" s="431" t="s">
        <v>5087</v>
      </c>
      <c r="F1447" s="431">
        <v>189157</v>
      </c>
      <c r="G1447" s="431" t="s">
        <v>46</v>
      </c>
      <c r="H1447" s="431" t="s">
        <v>2257</v>
      </c>
      <c r="I1447" s="431" t="s">
        <v>2258</v>
      </c>
      <c r="J1447" s="432">
        <v>46234</v>
      </c>
    </row>
    <row r="1448" spans="1:10">
      <c r="A1448" s="431">
        <v>1487</v>
      </c>
      <c r="B1448" s="431" t="s">
        <v>2253</v>
      </c>
      <c r="C1448" s="431" t="s">
        <v>2254</v>
      </c>
      <c r="D1448" s="431" t="s">
        <v>5088</v>
      </c>
      <c r="E1448" s="431" t="s">
        <v>5089</v>
      </c>
      <c r="F1448" s="431">
        <v>202668</v>
      </c>
      <c r="G1448" s="431" t="s">
        <v>46</v>
      </c>
      <c r="H1448" s="431" t="s">
        <v>2257</v>
      </c>
      <c r="I1448" s="431" t="s">
        <v>2258</v>
      </c>
      <c r="J1448" s="432">
        <v>46234</v>
      </c>
    </row>
    <row r="1449" spans="1:10">
      <c r="A1449" s="431">
        <v>1488</v>
      </c>
      <c r="B1449" s="431" t="s">
        <v>2253</v>
      </c>
      <c r="C1449" s="431" t="s">
        <v>2254</v>
      </c>
      <c r="D1449" s="431" t="s">
        <v>5090</v>
      </c>
      <c r="E1449" s="431" t="s">
        <v>5091</v>
      </c>
      <c r="F1449" s="431">
        <v>216179</v>
      </c>
      <c r="G1449" s="431" t="s">
        <v>46</v>
      </c>
      <c r="H1449" s="431" t="s">
        <v>2257</v>
      </c>
      <c r="I1449" s="431" t="s">
        <v>2258</v>
      </c>
      <c r="J1449" s="432">
        <v>46234</v>
      </c>
    </row>
    <row r="1450" spans="1:10">
      <c r="A1450" s="431">
        <v>1489</v>
      </c>
      <c r="B1450" s="431" t="s">
        <v>2253</v>
      </c>
      <c r="C1450" s="431" t="s">
        <v>2254</v>
      </c>
      <c r="D1450" s="431" t="s">
        <v>5092</v>
      </c>
      <c r="E1450" s="431" t="s">
        <v>5093</v>
      </c>
      <c r="F1450" s="431">
        <v>229691</v>
      </c>
      <c r="G1450" s="431" t="s">
        <v>46</v>
      </c>
      <c r="H1450" s="431" t="s">
        <v>2257</v>
      </c>
      <c r="I1450" s="431" t="s">
        <v>2258</v>
      </c>
      <c r="J1450" s="432">
        <v>46234</v>
      </c>
    </row>
    <row r="1451" spans="1:10">
      <c r="A1451" s="431">
        <v>1490</v>
      </c>
      <c r="B1451" s="431" t="s">
        <v>2253</v>
      </c>
      <c r="C1451" s="431" t="s">
        <v>2254</v>
      </c>
      <c r="D1451" s="431" t="s">
        <v>5094</v>
      </c>
      <c r="E1451" s="431" t="s">
        <v>5095</v>
      </c>
      <c r="F1451" s="431">
        <v>243202</v>
      </c>
      <c r="G1451" s="431" t="s">
        <v>46</v>
      </c>
      <c r="H1451" s="431" t="s">
        <v>2257</v>
      </c>
      <c r="I1451" s="431" t="s">
        <v>2258</v>
      </c>
      <c r="J1451" s="432">
        <v>46234</v>
      </c>
    </row>
    <row r="1452" spans="1:10">
      <c r="A1452" s="431">
        <v>1491</v>
      </c>
      <c r="B1452" s="431" t="s">
        <v>2253</v>
      </c>
      <c r="C1452" s="431" t="s">
        <v>2254</v>
      </c>
      <c r="D1452" s="431" t="s">
        <v>5096</v>
      </c>
      <c r="E1452" s="431" t="s">
        <v>5097</v>
      </c>
      <c r="F1452" s="431">
        <v>243202</v>
      </c>
      <c r="G1452" s="431" t="s">
        <v>46</v>
      </c>
      <c r="H1452" s="431" t="s">
        <v>2257</v>
      </c>
      <c r="I1452" s="431" t="s">
        <v>2258</v>
      </c>
      <c r="J1452" s="432">
        <v>46234</v>
      </c>
    </row>
    <row r="1453" spans="1:10">
      <c r="A1453" s="431">
        <v>1492</v>
      </c>
      <c r="B1453" s="431" t="s">
        <v>2253</v>
      </c>
      <c r="C1453" s="431" t="s">
        <v>2254</v>
      </c>
      <c r="D1453" s="431" t="s">
        <v>5098</v>
      </c>
      <c r="E1453" s="431" t="s">
        <v>5099</v>
      </c>
      <c r="F1453" s="431">
        <v>256713</v>
      </c>
      <c r="G1453" s="431" t="s">
        <v>46</v>
      </c>
      <c r="H1453" s="431" t="s">
        <v>2257</v>
      </c>
      <c r="I1453" s="431" t="s">
        <v>2258</v>
      </c>
      <c r="J1453" s="432">
        <v>46234</v>
      </c>
    </row>
    <row r="1454" spans="1:10">
      <c r="A1454" s="431">
        <v>1493</v>
      </c>
      <c r="B1454" s="431" t="s">
        <v>2253</v>
      </c>
      <c r="C1454" s="431" t="s">
        <v>2254</v>
      </c>
      <c r="D1454" s="431" t="s">
        <v>5100</v>
      </c>
      <c r="E1454" s="431" t="s">
        <v>5101</v>
      </c>
      <c r="F1454" s="431">
        <v>270224</v>
      </c>
      <c r="G1454" s="431" t="s">
        <v>46</v>
      </c>
      <c r="H1454" s="431" t="s">
        <v>2257</v>
      </c>
      <c r="I1454" s="431" t="s">
        <v>2258</v>
      </c>
      <c r="J1454" s="432">
        <v>46234</v>
      </c>
    </row>
    <row r="1455" spans="1:10">
      <c r="A1455" s="431">
        <v>1494</v>
      </c>
      <c r="B1455" s="431" t="s">
        <v>2253</v>
      </c>
      <c r="C1455" s="431" t="s">
        <v>2254</v>
      </c>
      <c r="D1455" s="431" t="s">
        <v>5102</v>
      </c>
      <c r="E1455" s="431" t="s">
        <v>5103</v>
      </c>
      <c r="F1455" s="431">
        <v>283735</v>
      </c>
      <c r="G1455" s="431" t="s">
        <v>46</v>
      </c>
      <c r="H1455" s="431" t="s">
        <v>2257</v>
      </c>
      <c r="I1455" s="431" t="s">
        <v>2258</v>
      </c>
      <c r="J1455" s="432">
        <v>46234</v>
      </c>
    </row>
    <row r="1456" spans="1:10">
      <c r="A1456" s="431">
        <v>1495</v>
      </c>
      <c r="B1456" s="431" t="s">
        <v>2253</v>
      </c>
      <c r="C1456" s="431" t="s">
        <v>2254</v>
      </c>
      <c r="D1456" s="431" t="s">
        <v>5104</v>
      </c>
      <c r="E1456" s="431" t="s">
        <v>5105</v>
      </c>
      <c r="F1456" s="431">
        <v>297246</v>
      </c>
      <c r="G1456" s="431" t="s">
        <v>46</v>
      </c>
      <c r="H1456" s="431" t="s">
        <v>2257</v>
      </c>
      <c r="I1456" s="431" t="s">
        <v>2258</v>
      </c>
      <c r="J1456" s="432">
        <v>46234</v>
      </c>
    </row>
    <row r="1457" spans="1:10">
      <c r="A1457" s="431">
        <v>1496</v>
      </c>
      <c r="B1457" s="431" t="s">
        <v>2253</v>
      </c>
      <c r="C1457" s="431" t="s">
        <v>2254</v>
      </c>
      <c r="D1457" s="431" t="s">
        <v>5106</v>
      </c>
      <c r="E1457" s="431" t="s">
        <v>5107</v>
      </c>
      <c r="F1457" s="431">
        <v>310757</v>
      </c>
      <c r="G1457" s="431" t="s">
        <v>46</v>
      </c>
      <c r="H1457" s="431" t="s">
        <v>2257</v>
      </c>
      <c r="I1457" s="431" t="s">
        <v>2258</v>
      </c>
      <c r="J1457" s="432">
        <v>46234</v>
      </c>
    </row>
    <row r="1458" spans="1:10">
      <c r="A1458" s="431">
        <v>1497</v>
      </c>
      <c r="B1458" s="431" t="s">
        <v>2253</v>
      </c>
      <c r="C1458" s="431" t="s">
        <v>2254</v>
      </c>
      <c r="D1458" s="431" t="s">
        <v>5108</v>
      </c>
      <c r="E1458" s="431" t="s">
        <v>5109</v>
      </c>
      <c r="F1458" s="431">
        <v>324268</v>
      </c>
      <c r="G1458" s="431" t="s">
        <v>46</v>
      </c>
      <c r="H1458" s="431" t="s">
        <v>2257</v>
      </c>
      <c r="I1458" s="431" t="s">
        <v>2258</v>
      </c>
      <c r="J1458" s="432">
        <v>46234</v>
      </c>
    </row>
    <row r="1459" spans="1:10">
      <c r="A1459" s="431">
        <v>1498</v>
      </c>
      <c r="B1459" s="431" t="s">
        <v>2253</v>
      </c>
      <c r="C1459" s="431" t="s">
        <v>2254</v>
      </c>
      <c r="D1459" s="431" t="s">
        <v>5110</v>
      </c>
      <c r="E1459" s="431" t="s">
        <v>5111</v>
      </c>
      <c r="F1459" s="431">
        <v>337780</v>
      </c>
      <c r="G1459" s="431" t="s">
        <v>46</v>
      </c>
      <c r="H1459" s="431" t="s">
        <v>2257</v>
      </c>
      <c r="I1459" s="431" t="s">
        <v>2258</v>
      </c>
      <c r="J1459" s="432">
        <v>46234</v>
      </c>
    </row>
    <row r="1460" spans="1:10">
      <c r="A1460" s="431">
        <v>1499</v>
      </c>
      <c r="B1460" s="431" t="s">
        <v>2253</v>
      </c>
      <c r="C1460" s="431" t="s">
        <v>2254</v>
      </c>
      <c r="D1460" s="431" t="s">
        <v>5112</v>
      </c>
      <c r="E1460" s="431" t="s">
        <v>5113</v>
      </c>
      <c r="F1460" s="431">
        <v>351291</v>
      </c>
      <c r="G1460" s="431" t="s">
        <v>46</v>
      </c>
      <c r="H1460" s="431" t="s">
        <v>2257</v>
      </c>
      <c r="I1460" s="431" t="s">
        <v>2258</v>
      </c>
      <c r="J1460" s="432">
        <v>46234</v>
      </c>
    </row>
    <row r="1461" spans="1:10">
      <c r="A1461" s="431">
        <v>1500</v>
      </c>
      <c r="B1461" s="431" t="s">
        <v>2253</v>
      </c>
      <c r="C1461" s="431" t="s">
        <v>2254</v>
      </c>
      <c r="D1461" s="431" t="s">
        <v>5114</v>
      </c>
      <c r="E1461" s="431" t="s">
        <v>5115</v>
      </c>
      <c r="F1461" s="431">
        <v>364802</v>
      </c>
      <c r="G1461" s="431" t="s">
        <v>46</v>
      </c>
      <c r="H1461" s="431" t="s">
        <v>2257</v>
      </c>
      <c r="I1461" s="431" t="s">
        <v>2258</v>
      </c>
      <c r="J1461" s="432">
        <v>46234</v>
      </c>
    </row>
    <row r="1462" spans="1:10">
      <c r="A1462" s="431">
        <v>1501</v>
      </c>
      <c r="B1462" s="431" t="s">
        <v>2253</v>
      </c>
      <c r="C1462" s="431" t="s">
        <v>2254</v>
      </c>
      <c r="D1462" s="431" t="s">
        <v>5116</v>
      </c>
      <c r="E1462" s="431" t="s">
        <v>5117</v>
      </c>
      <c r="F1462" s="431">
        <v>378314</v>
      </c>
      <c r="G1462" s="431" t="s">
        <v>46</v>
      </c>
      <c r="H1462" s="431" t="s">
        <v>2257</v>
      </c>
      <c r="I1462" s="431" t="s">
        <v>2258</v>
      </c>
      <c r="J1462" s="432">
        <v>46234</v>
      </c>
    </row>
    <row r="1463" spans="1:10">
      <c r="A1463" s="431">
        <v>1502</v>
      </c>
      <c r="B1463" s="431" t="s">
        <v>2253</v>
      </c>
      <c r="C1463" s="431" t="s">
        <v>2254</v>
      </c>
      <c r="D1463" s="431" t="s">
        <v>5118</v>
      </c>
      <c r="E1463" s="431" t="s">
        <v>5119</v>
      </c>
      <c r="F1463" s="431">
        <v>391825</v>
      </c>
      <c r="G1463" s="431" t="s">
        <v>46</v>
      </c>
      <c r="H1463" s="431" t="s">
        <v>2257</v>
      </c>
      <c r="I1463" s="431" t="s">
        <v>2258</v>
      </c>
      <c r="J1463" s="432">
        <v>46234</v>
      </c>
    </row>
    <row r="1464" spans="1:10">
      <c r="A1464" s="431">
        <v>1503</v>
      </c>
      <c r="B1464" s="431" t="s">
        <v>2253</v>
      </c>
      <c r="C1464" s="431" t="s">
        <v>2254</v>
      </c>
      <c r="D1464" s="431" t="s">
        <v>5120</v>
      </c>
      <c r="E1464" s="431" t="s">
        <v>5121</v>
      </c>
      <c r="F1464" s="431">
        <v>405336</v>
      </c>
      <c r="G1464" s="431" t="s">
        <v>46</v>
      </c>
      <c r="H1464" s="431" t="s">
        <v>2257</v>
      </c>
      <c r="I1464" s="431" t="s">
        <v>2258</v>
      </c>
      <c r="J1464" s="432">
        <v>46234</v>
      </c>
    </row>
    <row r="1465" spans="1:10">
      <c r="A1465" s="431">
        <v>1504</v>
      </c>
      <c r="B1465" s="431" t="s">
        <v>2253</v>
      </c>
      <c r="C1465" s="431" t="s">
        <v>2254</v>
      </c>
      <c r="D1465" s="431" t="s">
        <v>5122</v>
      </c>
      <c r="E1465" s="431" t="s">
        <v>5123</v>
      </c>
      <c r="F1465" s="431">
        <v>418847</v>
      </c>
      <c r="G1465" s="431" t="s">
        <v>46</v>
      </c>
      <c r="H1465" s="431" t="s">
        <v>2257</v>
      </c>
      <c r="I1465" s="431" t="s">
        <v>2258</v>
      </c>
      <c r="J1465" s="432">
        <v>46234</v>
      </c>
    </row>
    <row r="1466" spans="1:10">
      <c r="A1466" s="431">
        <v>1505</v>
      </c>
      <c r="B1466" s="431" t="s">
        <v>2253</v>
      </c>
      <c r="C1466" s="431" t="s">
        <v>2254</v>
      </c>
      <c r="D1466" s="431" t="s">
        <v>5124</v>
      </c>
      <c r="E1466" s="431" t="s">
        <v>5125</v>
      </c>
      <c r="F1466" s="431">
        <v>432359</v>
      </c>
      <c r="G1466" s="431" t="s">
        <v>46</v>
      </c>
      <c r="H1466" s="431" t="s">
        <v>2257</v>
      </c>
      <c r="I1466" s="431" t="s">
        <v>2258</v>
      </c>
      <c r="J1466" s="432">
        <v>46234</v>
      </c>
    </row>
    <row r="1467" spans="1:10">
      <c r="A1467" s="431">
        <v>1506</v>
      </c>
      <c r="B1467" s="431" t="s">
        <v>2253</v>
      </c>
      <c r="C1467" s="431" t="s">
        <v>2254</v>
      </c>
      <c r="D1467" s="431" t="s">
        <v>5126</v>
      </c>
      <c r="E1467" s="431" t="s">
        <v>5127</v>
      </c>
      <c r="F1467" s="431">
        <v>445870</v>
      </c>
      <c r="G1467" s="431" t="s">
        <v>46</v>
      </c>
      <c r="H1467" s="431" t="s">
        <v>2257</v>
      </c>
      <c r="I1467" s="431" t="s">
        <v>2258</v>
      </c>
      <c r="J1467" s="432">
        <v>46234</v>
      </c>
    </row>
    <row r="1468" spans="1:10">
      <c r="A1468" s="431">
        <v>1507</v>
      </c>
      <c r="B1468" s="431" t="s">
        <v>2253</v>
      </c>
      <c r="C1468" s="431" t="s">
        <v>2254</v>
      </c>
      <c r="D1468" s="431" t="s">
        <v>5128</v>
      </c>
      <c r="E1468" s="431" t="s">
        <v>5129</v>
      </c>
      <c r="F1468" s="431">
        <v>459380</v>
      </c>
      <c r="G1468" s="431" t="s">
        <v>46</v>
      </c>
      <c r="H1468" s="431" t="s">
        <v>2257</v>
      </c>
      <c r="I1468" s="431" t="s">
        <v>2258</v>
      </c>
      <c r="J1468" s="432">
        <v>46234</v>
      </c>
    </row>
    <row r="1469" spans="1:10">
      <c r="A1469" s="431">
        <v>1508</v>
      </c>
      <c r="B1469" s="431" t="s">
        <v>2253</v>
      </c>
      <c r="C1469" s="431" t="s">
        <v>2254</v>
      </c>
      <c r="D1469" s="431" t="s">
        <v>5130</v>
      </c>
      <c r="E1469" s="431" t="s">
        <v>5131</v>
      </c>
      <c r="F1469" s="431">
        <v>472891</v>
      </c>
      <c r="G1469" s="431" t="s">
        <v>46</v>
      </c>
      <c r="H1469" s="431" t="s">
        <v>2257</v>
      </c>
      <c r="I1469" s="431" t="s">
        <v>2258</v>
      </c>
      <c r="J1469" s="432">
        <v>46234</v>
      </c>
    </row>
    <row r="1470" spans="1:10">
      <c r="A1470" s="431">
        <v>1509</v>
      </c>
      <c r="B1470" s="431" t="s">
        <v>2253</v>
      </c>
      <c r="C1470" s="431" t="s">
        <v>2254</v>
      </c>
      <c r="D1470" s="431" t="s">
        <v>5132</v>
      </c>
      <c r="E1470" s="431" t="s">
        <v>5133</v>
      </c>
      <c r="F1470" s="431">
        <v>486403</v>
      </c>
      <c r="G1470" s="431" t="s">
        <v>46</v>
      </c>
      <c r="H1470" s="431" t="s">
        <v>2257</v>
      </c>
      <c r="I1470" s="431" t="s">
        <v>2258</v>
      </c>
      <c r="J1470" s="432">
        <v>46234</v>
      </c>
    </row>
    <row r="1471" spans="1:10">
      <c r="A1471" s="431">
        <v>1510</v>
      </c>
      <c r="B1471" s="431" t="s">
        <v>2253</v>
      </c>
      <c r="C1471" s="431" t="s">
        <v>2254</v>
      </c>
      <c r="D1471" s="431" t="s">
        <v>5134</v>
      </c>
      <c r="E1471" s="431" t="s">
        <v>5135</v>
      </c>
      <c r="F1471" s="431">
        <v>499914</v>
      </c>
      <c r="G1471" s="431" t="s">
        <v>46</v>
      </c>
      <c r="H1471" s="431" t="s">
        <v>2257</v>
      </c>
      <c r="I1471" s="431" t="s">
        <v>2258</v>
      </c>
      <c r="J1471" s="432">
        <v>46234</v>
      </c>
    </row>
    <row r="1472" spans="1:10">
      <c r="A1472" s="431">
        <v>1511</v>
      </c>
      <c r="B1472" s="431" t="s">
        <v>2253</v>
      </c>
      <c r="C1472" s="431" t="s">
        <v>2254</v>
      </c>
      <c r="D1472" s="431" t="s">
        <v>5136</v>
      </c>
      <c r="E1472" s="431" t="s">
        <v>5137</v>
      </c>
      <c r="F1472" s="431">
        <v>513425</v>
      </c>
      <c r="G1472" s="431" t="s">
        <v>46</v>
      </c>
      <c r="H1472" s="431" t="s">
        <v>2257</v>
      </c>
      <c r="I1472" s="431" t="s">
        <v>2258</v>
      </c>
      <c r="J1472" s="432">
        <v>46234</v>
      </c>
    </row>
    <row r="1473" spans="1:10">
      <c r="A1473" s="431">
        <v>1512</v>
      </c>
      <c r="B1473" s="431" t="s">
        <v>2253</v>
      </c>
      <c r="C1473" s="431" t="s">
        <v>2254</v>
      </c>
      <c r="D1473" s="431" t="s">
        <v>5138</v>
      </c>
      <c r="E1473" s="431" t="s">
        <v>5139</v>
      </c>
      <c r="F1473" s="431">
        <v>526936</v>
      </c>
      <c r="G1473" s="431" t="s">
        <v>46</v>
      </c>
      <c r="H1473" s="431" t="s">
        <v>2257</v>
      </c>
      <c r="I1473" s="431" t="s">
        <v>2258</v>
      </c>
      <c r="J1473" s="432">
        <v>46234</v>
      </c>
    </row>
    <row r="1474" spans="1:10">
      <c r="A1474" s="431">
        <v>1513</v>
      </c>
      <c r="B1474" s="431" t="s">
        <v>2253</v>
      </c>
      <c r="C1474" s="431" t="s">
        <v>2254</v>
      </c>
      <c r="D1474" s="431" t="s">
        <v>5140</v>
      </c>
      <c r="E1474" s="431" t="s">
        <v>5141</v>
      </c>
      <c r="F1474" s="431">
        <v>540448</v>
      </c>
      <c r="G1474" s="431" t="s">
        <v>46</v>
      </c>
      <c r="H1474" s="431" t="s">
        <v>2257</v>
      </c>
      <c r="I1474" s="431" t="s">
        <v>2258</v>
      </c>
      <c r="J1474" s="432">
        <v>46234</v>
      </c>
    </row>
    <row r="1475" spans="1:10">
      <c r="A1475" s="431">
        <v>1514</v>
      </c>
      <c r="B1475" s="431" t="s">
        <v>2253</v>
      </c>
      <c r="C1475" s="431" t="s">
        <v>2254</v>
      </c>
      <c r="D1475" s="431" t="s">
        <v>5142</v>
      </c>
      <c r="E1475" s="431" t="s">
        <v>5143</v>
      </c>
      <c r="F1475" s="431">
        <v>553959</v>
      </c>
      <c r="G1475" s="431" t="s">
        <v>46</v>
      </c>
      <c r="H1475" s="431" t="s">
        <v>2257</v>
      </c>
      <c r="I1475" s="431" t="s">
        <v>2258</v>
      </c>
      <c r="J1475" s="432">
        <v>46234</v>
      </c>
    </row>
    <row r="1476" spans="1:10">
      <c r="A1476" s="431">
        <v>1515</v>
      </c>
      <c r="B1476" s="431" t="s">
        <v>2253</v>
      </c>
      <c r="C1476" s="431" t="s">
        <v>2254</v>
      </c>
      <c r="D1476" s="431" t="s">
        <v>5144</v>
      </c>
      <c r="E1476" s="431" t="s">
        <v>5145</v>
      </c>
      <c r="F1476" s="431">
        <v>567470</v>
      </c>
      <c r="G1476" s="431" t="s">
        <v>46</v>
      </c>
      <c r="H1476" s="431" t="s">
        <v>2257</v>
      </c>
      <c r="I1476" s="431" t="s">
        <v>2258</v>
      </c>
      <c r="J1476" s="432">
        <v>46234</v>
      </c>
    </row>
    <row r="1477" spans="1:10">
      <c r="A1477" s="431">
        <v>1516</v>
      </c>
      <c r="B1477" s="431" t="s">
        <v>2253</v>
      </c>
      <c r="C1477" s="431" t="s">
        <v>2254</v>
      </c>
      <c r="D1477" s="431" t="s">
        <v>5146</v>
      </c>
      <c r="E1477" s="431" t="s">
        <v>5147</v>
      </c>
      <c r="F1477" s="431">
        <v>580982</v>
      </c>
      <c r="G1477" s="431" t="s">
        <v>46</v>
      </c>
      <c r="H1477" s="431" t="s">
        <v>2257</v>
      </c>
      <c r="I1477" s="431" t="s">
        <v>2258</v>
      </c>
      <c r="J1477" s="432">
        <v>46234</v>
      </c>
    </row>
    <row r="1478" spans="1:10">
      <c r="A1478" s="431">
        <v>1517</v>
      </c>
      <c r="B1478" s="431" t="s">
        <v>2253</v>
      </c>
      <c r="C1478" s="431" t="s">
        <v>2254</v>
      </c>
      <c r="D1478" s="431" t="s">
        <v>5148</v>
      </c>
      <c r="E1478" s="431" t="s">
        <v>5149</v>
      </c>
      <c r="F1478" s="431">
        <v>594493</v>
      </c>
      <c r="G1478" s="431" t="s">
        <v>46</v>
      </c>
      <c r="H1478" s="431" t="s">
        <v>2257</v>
      </c>
      <c r="I1478" s="431" t="s">
        <v>2258</v>
      </c>
      <c r="J1478" s="432">
        <v>46234</v>
      </c>
    </row>
    <row r="1479" spans="1:10">
      <c r="A1479" s="431">
        <v>1518</v>
      </c>
      <c r="B1479" s="431" t="s">
        <v>2253</v>
      </c>
      <c r="C1479" s="431" t="s">
        <v>2254</v>
      </c>
      <c r="D1479" s="431" t="s">
        <v>5150</v>
      </c>
      <c r="E1479" s="431" t="s">
        <v>5151</v>
      </c>
      <c r="F1479" s="431">
        <v>608004</v>
      </c>
      <c r="G1479" s="431" t="s">
        <v>46</v>
      </c>
      <c r="H1479" s="431" t="s">
        <v>2257</v>
      </c>
      <c r="I1479" s="431" t="s">
        <v>2258</v>
      </c>
      <c r="J1479" s="432">
        <v>46234</v>
      </c>
    </row>
    <row r="1480" spans="1:10">
      <c r="A1480" s="431">
        <v>1519</v>
      </c>
      <c r="B1480" s="431" t="s">
        <v>2253</v>
      </c>
      <c r="C1480" s="431" t="s">
        <v>2254</v>
      </c>
      <c r="D1480" s="431" t="s">
        <v>5152</v>
      </c>
      <c r="E1480" s="431" t="s">
        <v>5153</v>
      </c>
      <c r="F1480" s="431">
        <v>860000</v>
      </c>
      <c r="G1480" s="431" t="s">
        <v>46</v>
      </c>
      <c r="H1480" s="431" t="s">
        <v>2257</v>
      </c>
      <c r="I1480" s="431" t="s">
        <v>2258</v>
      </c>
      <c r="J1480" s="432">
        <v>46234</v>
      </c>
    </row>
    <row r="1481" spans="1:10">
      <c r="A1481" s="431">
        <v>1520</v>
      </c>
      <c r="B1481" s="431" t="s">
        <v>2253</v>
      </c>
      <c r="C1481" s="431" t="s">
        <v>2254</v>
      </c>
      <c r="D1481" s="431" t="s">
        <v>5154</v>
      </c>
      <c r="E1481" s="431" t="s">
        <v>5155</v>
      </c>
      <c r="F1481" s="431">
        <v>76728</v>
      </c>
      <c r="G1481" s="431" t="s">
        <v>46</v>
      </c>
      <c r="H1481" s="431" t="s">
        <v>2257</v>
      </c>
      <c r="I1481" s="431" t="s">
        <v>2258</v>
      </c>
      <c r="J1481" s="432">
        <v>46234</v>
      </c>
    </row>
    <row r="1482" spans="1:10">
      <c r="A1482" s="431">
        <v>1521</v>
      </c>
      <c r="B1482" s="431" t="s">
        <v>2253</v>
      </c>
      <c r="C1482" s="431" t="s">
        <v>2254</v>
      </c>
      <c r="D1482" s="431" t="s">
        <v>5156</v>
      </c>
      <c r="E1482" s="431" t="s">
        <v>5157</v>
      </c>
      <c r="F1482" s="431">
        <v>153457</v>
      </c>
      <c r="G1482" s="431" t="s">
        <v>46</v>
      </c>
      <c r="H1482" s="431" t="s">
        <v>2257</v>
      </c>
      <c r="I1482" s="431" t="s">
        <v>2258</v>
      </c>
      <c r="J1482" s="432">
        <v>46234</v>
      </c>
    </row>
    <row r="1483" spans="1:10">
      <c r="A1483" s="431">
        <v>1522</v>
      </c>
      <c r="B1483" s="431" t="s">
        <v>2253</v>
      </c>
      <c r="C1483" s="431" t="s">
        <v>2254</v>
      </c>
      <c r="D1483" s="431" t="s">
        <v>5158</v>
      </c>
      <c r="E1483" s="431" t="s">
        <v>5159</v>
      </c>
      <c r="F1483" s="431">
        <v>221250</v>
      </c>
      <c r="G1483" s="431" t="s">
        <v>46</v>
      </c>
      <c r="H1483" s="431" t="s">
        <v>2257</v>
      </c>
      <c r="I1483" s="431" t="s">
        <v>2258</v>
      </c>
      <c r="J1483" s="432">
        <v>46234</v>
      </c>
    </row>
    <row r="1484" spans="1:10">
      <c r="A1484" s="431">
        <v>1523</v>
      </c>
      <c r="B1484" s="431" t="s">
        <v>2253</v>
      </c>
      <c r="C1484" s="431" t="s">
        <v>2254</v>
      </c>
      <c r="D1484" s="431" t="s">
        <v>5160</v>
      </c>
      <c r="E1484" s="431" t="s">
        <v>5161</v>
      </c>
      <c r="F1484" s="431">
        <v>222500</v>
      </c>
      <c r="G1484" s="431" t="s">
        <v>46</v>
      </c>
      <c r="H1484" s="431" t="s">
        <v>2257</v>
      </c>
      <c r="I1484" s="431" t="s">
        <v>2258</v>
      </c>
      <c r="J1484" s="432">
        <v>46234</v>
      </c>
    </row>
    <row r="1485" spans="1:10">
      <c r="A1485" s="431">
        <v>1524</v>
      </c>
      <c r="B1485" s="431" t="s">
        <v>2253</v>
      </c>
      <c r="C1485" s="431" t="s">
        <v>2254</v>
      </c>
      <c r="D1485" s="431" t="s">
        <v>5162</v>
      </c>
      <c r="E1485" s="431" t="s">
        <v>5163</v>
      </c>
      <c r="F1485" s="431">
        <v>255810</v>
      </c>
      <c r="G1485" s="431" t="s">
        <v>46</v>
      </c>
      <c r="H1485" s="431" t="s">
        <v>2257</v>
      </c>
      <c r="I1485" s="431" t="s">
        <v>2258</v>
      </c>
      <c r="J1485" s="432">
        <v>46234</v>
      </c>
    </row>
    <row r="1486" spans="1:10">
      <c r="A1486" s="431">
        <v>1525</v>
      </c>
      <c r="B1486" s="431" t="s">
        <v>2253</v>
      </c>
      <c r="C1486" s="431" t="s">
        <v>2254</v>
      </c>
      <c r="D1486" s="431" t="s">
        <v>5164</v>
      </c>
      <c r="E1486" s="431" t="s">
        <v>5165</v>
      </c>
      <c r="F1486" s="431">
        <v>299650</v>
      </c>
      <c r="G1486" s="431" t="s">
        <v>46</v>
      </c>
      <c r="H1486" s="431" t="s">
        <v>2257</v>
      </c>
      <c r="I1486" s="431" t="s">
        <v>2258</v>
      </c>
      <c r="J1486" s="432">
        <v>46234</v>
      </c>
    </row>
    <row r="1487" spans="1:10">
      <c r="A1487" s="431">
        <v>1526</v>
      </c>
      <c r="B1487" s="431" t="s">
        <v>2253</v>
      </c>
      <c r="C1487" s="431" t="s">
        <v>2254</v>
      </c>
      <c r="D1487" s="431" t="s">
        <v>5166</v>
      </c>
      <c r="E1487" s="431" t="s">
        <v>5167</v>
      </c>
      <c r="F1487" s="431">
        <v>334722</v>
      </c>
      <c r="G1487" s="431" t="s">
        <v>46</v>
      </c>
      <c r="H1487" s="431" t="s">
        <v>2257</v>
      </c>
      <c r="I1487" s="431" t="s">
        <v>2258</v>
      </c>
      <c r="J1487" s="432">
        <v>46234</v>
      </c>
    </row>
    <row r="1488" spans="1:10">
      <c r="A1488" s="431">
        <v>1527</v>
      </c>
      <c r="B1488" s="431" t="s">
        <v>2253</v>
      </c>
      <c r="C1488" s="431" t="s">
        <v>2254</v>
      </c>
      <c r="D1488" s="431" t="s">
        <v>5168</v>
      </c>
      <c r="E1488" s="431" t="s">
        <v>5169</v>
      </c>
      <c r="F1488" s="431">
        <v>337445</v>
      </c>
      <c r="G1488" s="431" t="s">
        <v>46</v>
      </c>
      <c r="H1488" s="431" t="s">
        <v>2257</v>
      </c>
      <c r="I1488" s="431" t="s">
        <v>2258</v>
      </c>
      <c r="J1488" s="432">
        <v>46234</v>
      </c>
    </row>
    <row r="1489" spans="1:10">
      <c r="A1489" s="431">
        <v>1528</v>
      </c>
      <c r="B1489" s="431" t="s">
        <v>2253</v>
      </c>
      <c r="C1489" s="431" t="s">
        <v>2254</v>
      </c>
      <c r="D1489" s="431" t="s">
        <v>5170</v>
      </c>
      <c r="E1489" s="431" t="s">
        <v>5171</v>
      </c>
      <c r="F1489" s="431">
        <v>388231</v>
      </c>
      <c r="G1489" s="431" t="s">
        <v>46</v>
      </c>
      <c r="H1489" s="431" t="s">
        <v>2257</v>
      </c>
      <c r="I1489" s="431" t="s">
        <v>2258</v>
      </c>
      <c r="J1489" s="432">
        <v>46234</v>
      </c>
    </row>
    <row r="1490" spans="1:10">
      <c r="A1490" s="431">
        <v>1529</v>
      </c>
      <c r="B1490" s="431" t="s">
        <v>2253</v>
      </c>
      <c r="C1490" s="431" t="s">
        <v>2254</v>
      </c>
      <c r="D1490" s="431" t="s">
        <v>5172</v>
      </c>
      <c r="E1490" s="431" t="s">
        <v>5173</v>
      </c>
      <c r="F1490" s="431">
        <v>399550</v>
      </c>
      <c r="G1490" s="431" t="s">
        <v>46</v>
      </c>
      <c r="H1490" s="431" t="s">
        <v>2257</v>
      </c>
      <c r="I1490" s="431" t="s">
        <v>2258</v>
      </c>
      <c r="J1490" s="432">
        <v>46234</v>
      </c>
    </row>
    <row r="1491" spans="1:10">
      <c r="A1491" s="431">
        <v>1530</v>
      </c>
      <c r="B1491" s="431" t="s">
        <v>2253</v>
      </c>
      <c r="C1491" s="431" t="s">
        <v>2254</v>
      </c>
      <c r="D1491" s="431" t="s">
        <v>5174</v>
      </c>
      <c r="E1491" s="431" t="s">
        <v>5175</v>
      </c>
      <c r="F1491" s="431">
        <v>533445</v>
      </c>
      <c r="G1491" s="431" t="s">
        <v>46</v>
      </c>
      <c r="H1491" s="431" t="s">
        <v>2257</v>
      </c>
      <c r="I1491" s="431" t="s">
        <v>2258</v>
      </c>
      <c r="J1491" s="432">
        <v>46234</v>
      </c>
    </row>
    <row r="1492" spans="1:10">
      <c r="A1492" s="431">
        <v>1531</v>
      </c>
      <c r="B1492" s="431" t="s">
        <v>2253</v>
      </c>
      <c r="C1492" s="431" t="s">
        <v>2254</v>
      </c>
      <c r="D1492" s="431" t="s">
        <v>5176</v>
      </c>
      <c r="E1492" s="431" t="s">
        <v>5177</v>
      </c>
      <c r="F1492" s="431">
        <v>533445</v>
      </c>
      <c r="G1492" s="431" t="s">
        <v>46</v>
      </c>
      <c r="H1492" s="431" t="s">
        <v>2257</v>
      </c>
      <c r="I1492" s="431" t="s">
        <v>2258</v>
      </c>
      <c r="J1492" s="432">
        <v>46234</v>
      </c>
    </row>
    <row r="1493" spans="1:10">
      <c r="A1493" s="431">
        <v>1532</v>
      </c>
      <c r="B1493" s="431" t="s">
        <v>2253</v>
      </c>
      <c r="C1493" s="431" t="s">
        <v>2254</v>
      </c>
      <c r="D1493" s="431" t="s">
        <v>5178</v>
      </c>
      <c r="E1493" s="431" t="s">
        <v>5179</v>
      </c>
      <c r="F1493" s="431">
        <v>533445</v>
      </c>
      <c r="G1493" s="431" t="s">
        <v>46</v>
      </c>
      <c r="H1493" s="431" t="s">
        <v>2257</v>
      </c>
      <c r="I1493" s="431" t="s">
        <v>2258</v>
      </c>
      <c r="J1493" s="432">
        <v>46234</v>
      </c>
    </row>
    <row r="1494" spans="1:10">
      <c r="A1494" s="431">
        <v>1533</v>
      </c>
      <c r="B1494" s="431" t="s">
        <v>2253</v>
      </c>
      <c r="C1494" s="431" t="s">
        <v>2254</v>
      </c>
      <c r="D1494" s="431" t="s">
        <v>5180</v>
      </c>
      <c r="E1494" s="431" t="s">
        <v>5181</v>
      </c>
      <c r="F1494" s="431">
        <v>533445</v>
      </c>
      <c r="G1494" s="431" t="s">
        <v>46</v>
      </c>
      <c r="H1494" s="431" t="s">
        <v>2257</v>
      </c>
      <c r="I1494" s="431" t="s">
        <v>2258</v>
      </c>
      <c r="J1494" s="432">
        <v>46234</v>
      </c>
    </row>
    <row r="1495" spans="1:10">
      <c r="A1495" s="431">
        <v>1534</v>
      </c>
      <c r="B1495" s="431" t="s">
        <v>2253</v>
      </c>
      <c r="C1495" s="431" t="s">
        <v>2254</v>
      </c>
      <c r="D1495" s="431" t="s">
        <v>5182</v>
      </c>
      <c r="E1495" s="431" t="s">
        <v>5183</v>
      </c>
      <c r="F1495" s="431">
        <v>533445</v>
      </c>
      <c r="G1495" s="431" t="s">
        <v>46</v>
      </c>
      <c r="H1495" s="431" t="s">
        <v>2257</v>
      </c>
      <c r="I1495" s="431" t="s">
        <v>2258</v>
      </c>
      <c r="J1495" s="432">
        <v>46234</v>
      </c>
    </row>
    <row r="1496" spans="1:10">
      <c r="A1496" s="431">
        <v>1535</v>
      </c>
      <c r="B1496" s="431" t="s">
        <v>2253</v>
      </c>
      <c r="C1496" s="431" t="s">
        <v>2254</v>
      </c>
      <c r="D1496" s="431" t="s">
        <v>5184</v>
      </c>
      <c r="E1496" s="431" t="s">
        <v>5185</v>
      </c>
      <c r="F1496" s="431">
        <v>533445</v>
      </c>
      <c r="G1496" s="431" t="s">
        <v>46</v>
      </c>
      <c r="H1496" s="431" t="s">
        <v>2257</v>
      </c>
      <c r="I1496" s="431" t="s">
        <v>2258</v>
      </c>
      <c r="J1496" s="432">
        <v>46234</v>
      </c>
    </row>
    <row r="1497" spans="1:10">
      <c r="A1497" s="431">
        <v>1536</v>
      </c>
      <c r="B1497" s="431" t="s">
        <v>2253</v>
      </c>
      <c r="C1497" s="431" t="s">
        <v>2254</v>
      </c>
      <c r="D1497" s="431" t="s">
        <v>5186</v>
      </c>
      <c r="E1497" s="431" t="s">
        <v>5187</v>
      </c>
      <c r="F1497" s="431">
        <v>564350</v>
      </c>
      <c r="G1497" s="431" t="s">
        <v>46</v>
      </c>
      <c r="H1497" s="431" t="s">
        <v>2257</v>
      </c>
      <c r="I1497" s="431" t="s">
        <v>2258</v>
      </c>
      <c r="J1497" s="432">
        <v>46234</v>
      </c>
    </row>
    <row r="1498" spans="1:10">
      <c r="A1498" s="431">
        <v>1537</v>
      </c>
      <c r="B1498" s="431" t="s">
        <v>2253</v>
      </c>
      <c r="C1498" s="431" t="s">
        <v>2254</v>
      </c>
      <c r="D1498" s="431" t="s">
        <v>5188</v>
      </c>
      <c r="E1498" s="431" t="s">
        <v>5189</v>
      </c>
      <c r="F1498" s="431">
        <v>564350</v>
      </c>
      <c r="G1498" s="431" t="s">
        <v>46</v>
      </c>
      <c r="H1498" s="431" t="s">
        <v>2257</v>
      </c>
      <c r="I1498" s="431" t="s">
        <v>2258</v>
      </c>
      <c r="J1498" s="432">
        <v>46234</v>
      </c>
    </row>
    <row r="1499" spans="1:10">
      <c r="A1499" s="431">
        <v>1538</v>
      </c>
      <c r="B1499" s="431" t="s">
        <v>2253</v>
      </c>
      <c r="C1499" s="431" t="s">
        <v>2254</v>
      </c>
      <c r="D1499" s="431" t="s">
        <v>5190</v>
      </c>
      <c r="E1499" s="431" t="s">
        <v>5191</v>
      </c>
      <c r="F1499" s="431">
        <v>564350</v>
      </c>
      <c r="G1499" s="431" t="s">
        <v>46</v>
      </c>
      <c r="H1499" s="431" t="s">
        <v>2257</v>
      </c>
      <c r="I1499" s="431" t="s">
        <v>2258</v>
      </c>
      <c r="J1499" s="432">
        <v>46234</v>
      </c>
    </row>
    <row r="1500" spans="1:10">
      <c r="A1500" s="431">
        <v>1539</v>
      </c>
      <c r="B1500" s="431" t="s">
        <v>2253</v>
      </c>
      <c r="C1500" s="431" t="s">
        <v>2254</v>
      </c>
      <c r="D1500" s="431" t="s">
        <v>5192</v>
      </c>
      <c r="E1500" s="431" t="s">
        <v>5193</v>
      </c>
      <c r="F1500" s="431">
        <v>564350</v>
      </c>
      <c r="G1500" s="431" t="s">
        <v>46</v>
      </c>
      <c r="H1500" s="431" t="s">
        <v>2257</v>
      </c>
      <c r="I1500" s="431" t="s">
        <v>2258</v>
      </c>
      <c r="J1500" s="432">
        <v>46234</v>
      </c>
    </row>
    <row r="1501" spans="1:10">
      <c r="A1501" s="431">
        <v>1540</v>
      </c>
      <c r="B1501" s="431" t="s">
        <v>2253</v>
      </c>
      <c r="C1501" s="431" t="s">
        <v>2254</v>
      </c>
      <c r="D1501" s="431" t="s">
        <v>5194</v>
      </c>
      <c r="E1501" s="431" t="s">
        <v>5195</v>
      </c>
      <c r="F1501" s="431">
        <v>564350</v>
      </c>
      <c r="G1501" s="431" t="s">
        <v>46</v>
      </c>
      <c r="H1501" s="431" t="s">
        <v>2257</v>
      </c>
      <c r="I1501" s="431" t="s">
        <v>2258</v>
      </c>
      <c r="J1501" s="432">
        <v>46234</v>
      </c>
    </row>
    <row r="1502" spans="1:10">
      <c r="A1502" s="431">
        <v>1541</v>
      </c>
      <c r="B1502" s="431" t="s">
        <v>2253</v>
      </c>
      <c r="C1502" s="431" t="s">
        <v>2254</v>
      </c>
      <c r="D1502" s="431" t="s">
        <v>5196</v>
      </c>
      <c r="E1502" s="431" t="s">
        <v>5197</v>
      </c>
      <c r="F1502" s="431">
        <v>705800</v>
      </c>
      <c r="G1502" s="431" t="s">
        <v>46</v>
      </c>
      <c r="H1502" s="431" t="s">
        <v>2257</v>
      </c>
      <c r="I1502" s="431" t="s">
        <v>2258</v>
      </c>
      <c r="J1502" s="432">
        <v>46234</v>
      </c>
    </row>
    <row r="1503" spans="1:10">
      <c r="A1503" s="431">
        <v>1542</v>
      </c>
      <c r="B1503" s="431" t="s">
        <v>2253</v>
      </c>
      <c r="C1503" s="431" t="s">
        <v>2254</v>
      </c>
      <c r="D1503" s="431" t="s">
        <v>5198</v>
      </c>
      <c r="E1503" s="431" t="s">
        <v>5199</v>
      </c>
      <c r="F1503" s="431">
        <v>705800</v>
      </c>
      <c r="G1503" s="431" t="s">
        <v>46</v>
      </c>
      <c r="H1503" s="431" t="s">
        <v>2257</v>
      </c>
      <c r="I1503" s="431" t="s">
        <v>2258</v>
      </c>
      <c r="J1503" s="432">
        <v>46234</v>
      </c>
    </row>
    <row r="1504" spans="1:10">
      <c r="A1504" s="431">
        <v>1543</v>
      </c>
      <c r="B1504" s="431" t="s">
        <v>2253</v>
      </c>
      <c r="C1504" s="431" t="s">
        <v>2254</v>
      </c>
      <c r="D1504" s="431" t="s">
        <v>5200</v>
      </c>
      <c r="E1504" s="431" t="s">
        <v>5201</v>
      </c>
      <c r="F1504" s="431">
        <v>705800</v>
      </c>
      <c r="G1504" s="431" t="s">
        <v>46</v>
      </c>
      <c r="H1504" s="431" t="s">
        <v>2257</v>
      </c>
      <c r="I1504" s="431" t="s">
        <v>2258</v>
      </c>
      <c r="J1504" s="432">
        <v>46234</v>
      </c>
    </row>
    <row r="1505" spans="1:10">
      <c r="A1505" s="431">
        <v>1544</v>
      </c>
      <c r="B1505" s="431" t="s">
        <v>2253</v>
      </c>
      <c r="C1505" s="431" t="s">
        <v>2254</v>
      </c>
      <c r="D1505" s="431" t="s">
        <v>5202</v>
      </c>
      <c r="E1505" s="431" t="s">
        <v>5203</v>
      </c>
      <c r="F1505" s="431">
        <v>705800</v>
      </c>
      <c r="G1505" s="431" t="s">
        <v>46</v>
      </c>
      <c r="H1505" s="431" t="s">
        <v>2257</v>
      </c>
      <c r="I1505" s="431" t="s">
        <v>2258</v>
      </c>
      <c r="J1505" s="432">
        <v>46234</v>
      </c>
    </row>
    <row r="1506" spans="1:10">
      <c r="A1506" s="431">
        <v>1545</v>
      </c>
      <c r="B1506" s="431" t="s">
        <v>2253</v>
      </c>
      <c r="C1506" s="431" t="s">
        <v>2254</v>
      </c>
      <c r="D1506" s="431" t="s">
        <v>5204</v>
      </c>
      <c r="E1506" s="431" t="s">
        <v>5205</v>
      </c>
      <c r="F1506" s="431">
        <v>705800</v>
      </c>
      <c r="G1506" s="431" t="s">
        <v>46</v>
      </c>
      <c r="H1506" s="431" t="s">
        <v>2257</v>
      </c>
      <c r="I1506" s="431" t="s">
        <v>2258</v>
      </c>
      <c r="J1506" s="432">
        <v>46234</v>
      </c>
    </row>
    <row r="1507" spans="1:10">
      <c r="A1507" s="431">
        <v>1546</v>
      </c>
      <c r="B1507" s="431" t="s">
        <v>2253</v>
      </c>
      <c r="C1507" s="431" t="s">
        <v>2254</v>
      </c>
      <c r="D1507" s="431" t="s">
        <v>5206</v>
      </c>
      <c r="E1507" s="431" t="s">
        <v>5207</v>
      </c>
      <c r="F1507" s="431">
        <v>1994937</v>
      </c>
      <c r="G1507" s="431" t="s">
        <v>46</v>
      </c>
      <c r="H1507" s="431" t="s">
        <v>2257</v>
      </c>
      <c r="I1507" s="431" t="s">
        <v>2258</v>
      </c>
      <c r="J1507" s="432">
        <v>46234</v>
      </c>
    </row>
    <row r="1508" spans="1:10">
      <c r="A1508" s="431">
        <v>1547</v>
      </c>
      <c r="B1508" s="431" t="s">
        <v>2253</v>
      </c>
      <c r="C1508" s="431" t="s">
        <v>2254</v>
      </c>
      <c r="D1508" s="431" t="s">
        <v>5208</v>
      </c>
      <c r="E1508" s="431" t="s">
        <v>5209</v>
      </c>
      <c r="F1508" s="431">
        <v>2071666</v>
      </c>
      <c r="G1508" s="431" t="s">
        <v>46</v>
      </c>
      <c r="H1508" s="431" t="s">
        <v>2257</v>
      </c>
      <c r="I1508" s="431" t="s">
        <v>2258</v>
      </c>
      <c r="J1508" s="432">
        <v>46234</v>
      </c>
    </row>
    <row r="1509" spans="1:10">
      <c r="A1509" s="431">
        <v>1548</v>
      </c>
      <c r="B1509" s="431" t="s">
        <v>2253</v>
      </c>
      <c r="C1509" s="431" t="s">
        <v>2254</v>
      </c>
      <c r="D1509" s="431" t="s">
        <v>5210</v>
      </c>
      <c r="E1509" s="431" t="s">
        <v>5211</v>
      </c>
      <c r="F1509" s="431">
        <v>2148394</v>
      </c>
      <c r="G1509" s="431" t="s">
        <v>46</v>
      </c>
      <c r="H1509" s="431" t="s">
        <v>2257</v>
      </c>
      <c r="I1509" s="431" t="s">
        <v>2258</v>
      </c>
      <c r="J1509" s="432">
        <v>46234</v>
      </c>
    </row>
    <row r="1510" spans="1:10">
      <c r="A1510" s="431">
        <v>1549</v>
      </c>
      <c r="B1510" s="431" t="s">
        <v>2253</v>
      </c>
      <c r="C1510" s="431" t="s">
        <v>2254</v>
      </c>
      <c r="D1510" s="431" t="s">
        <v>5212</v>
      </c>
      <c r="E1510" s="431" t="s">
        <v>5213</v>
      </c>
      <c r="F1510" s="431">
        <v>2225123</v>
      </c>
      <c r="G1510" s="431" t="s">
        <v>46</v>
      </c>
      <c r="H1510" s="431" t="s">
        <v>2257</v>
      </c>
      <c r="I1510" s="431" t="s">
        <v>2258</v>
      </c>
      <c r="J1510" s="432">
        <v>46234</v>
      </c>
    </row>
    <row r="1511" spans="1:10">
      <c r="A1511" s="431">
        <v>1550</v>
      </c>
      <c r="B1511" s="431" t="s">
        <v>2253</v>
      </c>
      <c r="C1511" s="431" t="s">
        <v>2254</v>
      </c>
      <c r="D1511" s="431" t="s">
        <v>5214</v>
      </c>
      <c r="E1511" s="431" t="s">
        <v>5215</v>
      </c>
      <c r="F1511" s="431">
        <v>2301850</v>
      </c>
      <c r="G1511" s="431" t="s">
        <v>46</v>
      </c>
      <c r="H1511" s="431" t="s">
        <v>2257</v>
      </c>
      <c r="I1511" s="431" t="s">
        <v>2258</v>
      </c>
      <c r="J1511" s="432">
        <v>46234</v>
      </c>
    </row>
    <row r="1512" spans="1:10">
      <c r="A1512" s="431">
        <v>1551</v>
      </c>
      <c r="B1512" s="431" t="s">
        <v>2253</v>
      </c>
      <c r="C1512" s="431" t="s">
        <v>2254</v>
      </c>
      <c r="D1512" s="431" t="s">
        <v>5216</v>
      </c>
      <c r="E1512" s="431" t="s">
        <v>5217</v>
      </c>
      <c r="F1512" s="431">
        <v>783590</v>
      </c>
      <c r="G1512" s="431" t="s">
        <v>46</v>
      </c>
      <c r="H1512" s="431" t="s">
        <v>2257</v>
      </c>
      <c r="I1512" s="431" t="s">
        <v>2258</v>
      </c>
      <c r="J1512" s="432">
        <v>46234</v>
      </c>
    </row>
    <row r="1513" spans="1:10">
      <c r="A1513" s="431">
        <v>1552</v>
      </c>
      <c r="B1513" s="431" t="s">
        <v>2253</v>
      </c>
      <c r="C1513" s="431" t="s">
        <v>2254</v>
      </c>
      <c r="D1513" s="431" t="s">
        <v>5218</v>
      </c>
      <c r="E1513" s="431" t="s">
        <v>5219</v>
      </c>
      <c r="F1513" s="431">
        <v>783590</v>
      </c>
      <c r="G1513" s="431" t="s">
        <v>46</v>
      </c>
      <c r="H1513" s="431" t="s">
        <v>2257</v>
      </c>
      <c r="I1513" s="431" t="s">
        <v>2258</v>
      </c>
      <c r="J1513" s="432">
        <v>46234</v>
      </c>
    </row>
    <row r="1514" spans="1:10">
      <c r="A1514" s="431">
        <v>1553</v>
      </c>
      <c r="B1514" s="431" t="s">
        <v>2253</v>
      </c>
      <c r="C1514" s="431" t="s">
        <v>2254</v>
      </c>
      <c r="D1514" s="431" t="s">
        <v>5220</v>
      </c>
      <c r="E1514" s="431" t="s">
        <v>5221</v>
      </c>
      <c r="F1514" s="431">
        <v>783590</v>
      </c>
      <c r="G1514" s="431" t="s">
        <v>46</v>
      </c>
      <c r="H1514" s="431" t="s">
        <v>2257</v>
      </c>
      <c r="I1514" s="431" t="s">
        <v>2258</v>
      </c>
      <c r="J1514" s="432">
        <v>46234</v>
      </c>
    </row>
    <row r="1515" spans="1:10">
      <c r="A1515" s="431">
        <v>1554</v>
      </c>
      <c r="B1515" s="431" t="s">
        <v>2253</v>
      </c>
      <c r="C1515" s="431" t="s">
        <v>2254</v>
      </c>
      <c r="D1515" s="431" t="s">
        <v>5222</v>
      </c>
      <c r="E1515" s="431" t="s">
        <v>5223</v>
      </c>
      <c r="F1515" s="431">
        <v>783590</v>
      </c>
      <c r="G1515" s="431" t="s">
        <v>46</v>
      </c>
      <c r="H1515" s="431" t="s">
        <v>2257</v>
      </c>
      <c r="I1515" s="431" t="s">
        <v>2258</v>
      </c>
      <c r="J1515" s="432">
        <v>46234</v>
      </c>
    </row>
    <row r="1516" spans="1:10">
      <c r="A1516" s="431">
        <v>1555</v>
      </c>
      <c r="B1516" s="431" t="s">
        <v>2253</v>
      </c>
      <c r="C1516" s="431" t="s">
        <v>2254</v>
      </c>
      <c r="D1516" s="431" t="s">
        <v>5224</v>
      </c>
      <c r="E1516" s="431" t="s">
        <v>5225</v>
      </c>
      <c r="F1516" s="431">
        <v>783590</v>
      </c>
      <c r="G1516" s="431" t="s">
        <v>46</v>
      </c>
      <c r="H1516" s="431" t="s">
        <v>2257</v>
      </c>
      <c r="I1516" s="431" t="s">
        <v>2258</v>
      </c>
      <c r="J1516" s="432">
        <v>46234</v>
      </c>
    </row>
    <row r="1517" spans="1:10">
      <c r="A1517" s="431">
        <v>1556</v>
      </c>
      <c r="B1517" s="431" t="s">
        <v>2253</v>
      </c>
      <c r="C1517" s="431" t="s">
        <v>2254</v>
      </c>
      <c r="D1517" s="431" t="s">
        <v>5226</v>
      </c>
      <c r="E1517" s="431" t="s">
        <v>5227</v>
      </c>
      <c r="F1517" s="431">
        <v>974553</v>
      </c>
      <c r="G1517" s="431" t="s">
        <v>46</v>
      </c>
      <c r="H1517" s="431" t="s">
        <v>2257</v>
      </c>
      <c r="I1517" s="431" t="s">
        <v>2258</v>
      </c>
      <c r="J1517" s="432">
        <v>46234</v>
      </c>
    </row>
    <row r="1518" spans="1:10">
      <c r="A1518" s="431">
        <v>1557</v>
      </c>
      <c r="B1518" s="431" t="s">
        <v>2253</v>
      </c>
      <c r="C1518" s="431" t="s">
        <v>2254</v>
      </c>
      <c r="D1518" s="431" t="s">
        <v>5228</v>
      </c>
      <c r="E1518" s="431" t="s">
        <v>5229</v>
      </c>
      <c r="F1518" s="431">
        <v>974553</v>
      </c>
      <c r="G1518" s="431" t="s">
        <v>46</v>
      </c>
      <c r="H1518" s="431" t="s">
        <v>2257</v>
      </c>
      <c r="I1518" s="431" t="s">
        <v>2258</v>
      </c>
      <c r="J1518" s="432">
        <v>46234</v>
      </c>
    </row>
    <row r="1519" spans="1:10">
      <c r="A1519" s="431">
        <v>1558</v>
      </c>
      <c r="B1519" s="431" t="s">
        <v>2253</v>
      </c>
      <c r="C1519" s="431" t="s">
        <v>2254</v>
      </c>
      <c r="D1519" s="431" t="s">
        <v>5230</v>
      </c>
      <c r="E1519" s="431" t="s">
        <v>5231</v>
      </c>
      <c r="F1519" s="431">
        <v>974553</v>
      </c>
      <c r="G1519" s="431" t="s">
        <v>46</v>
      </c>
      <c r="H1519" s="431" t="s">
        <v>2257</v>
      </c>
      <c r="I1519" s="431" t="s">
        <v>2258</v>
      </c>
      <c r="J1519" s="432">
        <v>46234</v>
      </c>
    </row>
    <row r="1520" spans="1:10">
      <c r="A1520" s="431">
        <v>1559</v>
      </c>
      <c r="B1520" s="431" t="s">
        <v>2253</v>
      </c>
      <c r="C1520" s="431" t="s">
        <v>2254</v>
      </c>
      <c r="D1520" s="431" t="s">
        <v>5232</v>
      </c>
      <c r="E1520" s="431" t="s">
        <v>5233</v>
      </c>
      <c r="F1520" s="431">
        <v>974553</v>
      </c>
      <c r="G1520" s="431" t="s">
        <v>46</v>
      </c>
      <c r="H1520" s="431" t="s">
        <v>2257</v>
      </c>
      <c r="I1520" s="431" t="s">
        <v>2258</v>
      </c>
      <c r="J1520" s="432">
        <v>46234</v>
      </c>
    </row>
    <row r="1521" spans="1:10">
      <c r="A1521" s="431">
        <v>1560</v>
      </c>
      <c r="B1521" s="431" t="s">
        <v>2253</v>
      </c>
      <c r="C1521" s="431" t="s">
        <v>2254</v>
      </c>
      <c r="D1521" s="431" t="s">
        <v>5234</v>
      </c>
      <c r="E1521" s="431" t="s">
        <v>5235</v>
      </c>
      <c r="F1521" s="431">
        <v>974553</v>
      </c>
      <c r="G1521" s="431" t="s">
        <v>46</v>
      </c>
      <c r="H1521" s="431" t="s">
        <v>2257</v>
      </c>
      <c r="I1521" s="431" t="s">
        <v>2258</v>
      </c>
      <c r="J1521" s="432">
        <v>46234</v>
      </c>
    </row>
    <row r="1522" spans="1:10">
      <c r="A1522" s="431">
        <v>1561</v>
      </c>
      <c r="B1522" s="431" t="s">
        <v>2253</v>
      </c>
      <c r="C1522" s="431" t="s">
        <v>2254</v>
      </c>
      <c r="D1522" s="431" t="s">
        <v>5236</v>
      </c>
      <c r="E1522" s="431" t="s">
        <v>5237</v>
      </c>
      <c r="F1522" s="431">
        <v>998775</v>
      </c>
      <c r="G1522" s="431" t="s">
        <v>46</v>
      </c>
      <c r="H1522" s="431" t="s">
        <v>2257</v>
      </c>
      <c r="I1522" s="431" t="s">
        <v>2258</v>
      </c>
      <c r="J1522" s="432">
        <v>46234</v>
      </c>
    </row>
    <row r="1523" spans="1:10">
      <c r="A1523" s="431">
        <v>1562</v>
      </c>
      <c r="B1523" s="431" t="s">
        <v>2253</v>
      </c>
      <c r="C1523" s="431" t="s">
        <v>2254</v>
      </c>
      <c r="D1523" s="431" t="s">
        <v>5238</v>
      </c>
      <c r="E1523" s="431" t="s">
        <v>5239</v>
      </c>
      <c r="F1523" s="431">
        <v>998775</v>
      </c>
      <c r="G1523" s="431" t="s">
        <v>46</v>
      </c>
      <c r="H1523" s="431" t="s">
        <v>2257</v>
      </c>
      <c r="I1523" s="431" t="s">
        <v>2258</v>
      </c>
      <c r="J1523" s="432">
        <v>46234</v>
      </c>
    </row>
    <row r="1524" spans="1:10">
      <c r="A1524" s="431">
        <v>1563</v>
      </c>
      <c r="B1524" s="431" t="s">
        <v>2253</v>
      </c>
      <c r="C1524" s="431" t="s">
        <v>2254</v>
      </c>
      <c r="D1524" s="431" t="s">
        <v>5240</v>
      </c>
      <c r="E1524" s="431" t="s">
        <v>5241</v>
      </c>
      <c r="F1524" s="431">
        <v>998775</v>
      </c>
      <c r="G1524" s="431" t="s">
        <v>46</v>
      </c>
      <c r="H1524" s="431" t="s">
        <v>2257</v>
      </c>
      <c r="I1524" s="431" t="s">
        <v>2258</v>
      </c>
      <c r="J1524" s="432">
        <v>46234</v>
      </c>
    </row>
    <row r="1525" spans="1:10">
      <c r="A1525" s="431">
        <v>1564</v>
      </c>
      <c r="B1525" s="431" t="s">
        <v>2253</v>
      </c>
      <c r="C1525" s="431" t="s">
        <v>2254</v>
      </c>
      <c r="D1525" s="431" t="s">
        <v>5242</v>
      </c>
      <c r="E1525" s="431" t="s">
        <v>5243</v>
      </c>
      <c r="F1525" s="431">
        <v>998775</v>
      </c>
      <c r="G1525" s="431" t="s">
        <v>46</v>
      </c>
      <c r="H1525" s="431" t="s">
        <v>2257</v>
      </c>
      <c r="I1525" s="431" t="s">
        <v>2258</v>
      </c>
      <c r="J1525" s="432">
        <v>46234</v>
      </c>
    </row>
    <row r="1526" spans="1:10">
      <c r="A1526" s="431">
        <v>1565</v>
      </c>
      <c r="B1526" s="431" t="s">
        <v>2253</v>
      </c>
      <c r="C1526" s="431" t="s">
        <v>2254</v>
      </c>
      <c r="D1526" s="431" t="s">
        <v>5244</v>
      </c>
      <c r="E1526" s="431" t="s">
        <v>5245</v>
      </c>
      <c r="F1526" s="431">
        <v>998775</v>
      </c>
      <c r="G1526" s="431" t="s">
        <v>46</v>
      </c>
      <c r="H1526" s="431" t="s">
        <v>2257</v>
      </c>
      <c r="I1526" s="431" t="s">
        <v>2258</v>
      </c>
      <c r="J1526" s="432">
        <v>46234</v>
      </c>
    </row>
    <row r="1527" spans="1:10">
      <c r="A1527" s="431">
        <v>1566</v>
      </c>
      <c r="B1527" s="431" t="s">
        <v>2253</v>
      </c>
      <c r="C1527" s="431" t="s">
        <v>2254</v>
      </c>
      <c r="D1527" s="431" t="s">
        <v>5246</v>
      </c>
      <c r="E1527" s="431" t="s">
        <v>5247</v>
      </c>
      <c r="F1527" s="431">
        <v>13232</v>
      </c>
      <c r="G1527" s="431" t="s">
        <v>46</v>
      </c>
      <c r="H1527" s="431" t="s">
        <v>2257</v>
      </c>
      <c r="I1527" s="431" t="s">
        <v>2258</v>
      </c>
      <c r="J1527" s="432">
        <v>46234</v>
      </c>
    </row>
    <row r="1528" spans="1:10">
      <c r="A1528" s="431">
        <v>1567</v>
      </c>
      <c r="B1528" s="431" t="s">
        <v>2253</v>
      </c>
      <c r="C1528" s="431" t="s">
        <v>2254</v>
      </c>
      <c r="D1528" s="431" t="s">
        <v>5248</v>
      </c>
      <c r="E1528" s="431" t="s">
        <v>5249</v>
      </c>
      <c r="F1528" s="431">
        <v>13232</v>
      </c>
      <c r="G1528" s="431" t="s">
        <v>46</v>
      </c>
      <c r="H1528" s="431" t="s">
        <v>2257</v>
      </c>
      <c r="I1528" s="431" t="s">
        <v>2258</v>
      </c>
      <c r="J1528" s="432">
        <v>46234</v>
      </c>
    </row>
    <row r="1529" spans="1:10">
      <c r="A1529" s="431">
        <v>1568</v>
      </c>
      <c r="B1529" s="431" t="s">
        <v>2253</v>
      </c>
      <c r="C1529" s="431" t="s">
        <v>2254</v>
      </c>
      <c r="D1529" s="431" t="s">
        <v>5250</v>
      </c>
      <c r="E1529" s="431" t="s">
        <v>5251</v>
      </c>
      <c r="F1529" s="431">
        <v>15277</v>
      </c>
      <c r="G1529" s="431" t="s">
        <v>46</v>
      </c>
      <c r="H1529" s="431" t="s">
        <v>2257</v>
      </c>
      <c r="I1529" s="431" t="s">
        <v>2258</v>
      </c>
      <c r="J1529" s="432">
        <v>46234</v>
      </c>
    </row>
    <row r="1530" spans="1:10">
      <c r="A1530" s="431">
        <v>1569</v>
      </c>
      <c r="B1530" s="431" t="s">
        <v>2253</v>
      </c>
      <c r="C1530" s="431" t="s">
        <v>2254</v>
      </c>
      <c r="D1530" s="431" t="s">
        <v>5252</v>
      </c>
      <c r="E1530" s="431" t="s">
        <v>5253</v>
      </c>
      <c r="F1530" s="431">
        <v>16419</v>
      </c>
      <c r="G1530" s="431" t="s">
        <v>46</v>
      </c>
      <c r="H1530" s="431" t="s">
        <v>2257</v>
      </c>
      <c r="I1530" s="431" t="s">
        <v>2258</v>
      </c>
      <c r="J1530" s="432">
        <v>46234</v>
      </c>
    </row>
    <row r="1531" spans="1:10">
      <c r="A1531" s="431">
        <v>1570</v>
      </c>
      <c r="B1531" s="431" t="s">
        <v>2253</v>
      </c>
      <c r="C1531" s="431" t="s">
        <v>2254</v>
      </c>
      <c r="D1531" s="431" t="s">
        <v>5254</v>
      </c>
      <c r="E1531" s="431" t="s">
        <v>5255</v>
      </c>
      <c r="F1531" s="431">
        <v>20350</v>
      </c>
      <c r="G1531" s="431" t="s">
        <v>46</v>
      </c>
      <c r="H1531" s="431" t="s">
        <v>2257</v>
      </c>
      <c r="I1531" s="431" t="s">
        <v>2258</v>
      </c>
      <c r="J1531" s="432">
        <v>46234</v>
      </c>
    </row>
    <row r="1532" spans="1:10">
      <c r="A1532" s="431">
        <v>1571</v>
      </c>
      <c r="B1532" s="431" t="s">
        <v>2253</v>
      </c>
      <c r="C1532" s="431" t="s">
        <v>2254</v>
      </c>
      <c r="D1532" s="431" t="s">
        <v>5256</v>
      </c>
      <c r="E1532" s="431" t="s">
        <v>5257</v>
      </c>
      <c r="F1532" s="431">
        <v>22515</v>
      </c>
      <c r="G1532" s="431" t="s">
        <v>46</v>
      </c>
      <c r="H1532" s="431" t="s">
        <v>2257</v>
      </c>
      <c r="I1532" s="431" t="s">
        <v>2258</v>
      </c>
      <c r="J1532" s="432">
        <v>46234</v>
      </c>
    </row>
    <row r="1533" spans="1:10">
      <c r="A1533" s="431">
        <v>1572</v>
      </c>
      <c r="B1533" s="431" t="s">
        <v>2253</v>
      </c>
      <c r="C1533" s="431" t="s">
        <v>2254</v>
      </c>
      <c r="D1533" s="431" t="s">
        <v>5258</v>
      </c>
      <c r="E1533" s="431" t="s">
        <v>5259</v>
      </c>
      <c r="F1533" s="431">
        <v>28530</v>
      </c>
      <c r="G1533" s="431" t="s">
        <v>46</v>
      </c>
      <c r="H1533" s="431" t="s">
        <v>2257</v>
      </c>
      <c r="I1533" s="431" t="s">
        <v>2258</v>
      </c>
      <c r="J1533" s="432">
        <v>46234</v>
      </c>
    </row>
    <row r="1534" spans="1:10">
      <c r="A1534" s="431">
        <v>1573</v>
      </c>
      <c r="B1534" s="431" t="s">
        <v>2253</v>
      </c>
      <c r="C1534" s="431" t="s">
        <v>2254</v>
      </c>
      <c r="D1534" s="431" t="s">
        <v>5260</v>
      </c>
      <c r="E1534" s="431" t="s">
        <v>5261</v>
      </c>
      <c r="F1534" s="431">
        <v>31537</v>
      </c>
      <c r="G1534" s="431" t="s">
        <v>46</v>
      </c>
      <c r="H1534" s="431" t="s">
        <v>2257</v>
      </c>
      <c r="I1534" s="431" t="s">
        <v>2258</v>
      </c>
      <c r="J1534" s="432">
        <v>46234</v>
      </c>
    </row>
    <row r="1535" spans="1:10">
      <c r="A1535" s="431">
        <v>1574</v>
      </c>
      <c r="B1535" s="431" t="s">
        <v>2253</v>
      </c>
      <c r="C1535" s="431" t="s">
        <v>2254</v>
      </c>
      <c r="D1535" s="431" t="s">
        <v>5262</v>
      </c>
      <c r="E1535" s="431" t="s">
        <v>5263</v>
      </c>
      <c r="F1535" s="431">
        <v>31537</v>
      </c>
      <c r="G1535" s="431" t="s">
        <v>46</v>
      </c>
      <c r="H1535" s="431" t="s">
        <v>2257</v>
      </c>
      <c r="I1535" s="431" t="s">
        <v>2258</v>
      </c>
      <c r="J1535" s="432">
        <v>46234</v>
      </c>
    </row>
    <row r="1536" spans="1:10">
      <c r="A1536" s="431">
        <v>1575</v>
      </c>
      <c r="B1536" s="431" t="s">
        <v>2253</v>
      </c>
      <c r="C1536" s="431" t="s">
        <v>2254</v>
      </c>
      <c r="D1536" s="431" t="s">
        <v>5264</v>
      </c>
      <c r="E1536" s="431" t="s">
        <v>5265</v>
      </c>
      <c r="F1536" s="431">
        <v>31537</v>
      </c>
      <c r="G1536" s="431" t="s">
        <v>46</v>
      </c>
      <c r="H1536" s="431" t="s">
        <v>2257</v>
      </c>
      <c r="I1536" s="431" t="s">
        <v>2258</v>
      </c>
      <c r="J1536" s="432">
        <v>46234</v>
      </c>
    </row>
    <row r="1537" spans="1:10">
      <c r="A1537" s="431">
        <v>1576</v>
      </c>
      <c r="B1537" s="431" t="s">
        <v>2253</v>
      </c>
      <c r="C1537" s="431" t="s">
        <v>2254</v>
      </c>
      <c r="D1537" s="431" t="s">
        <v>5266</v>
      </c>
      <c r="E1537" s="431" t="s">
        <v>5267</v>
      </c>
      <c r="F1537" s="431">
        <v>37352</v>
      </c>
      <c r="G1537" s="431" t="s">
        <v>46</v>
      </c>
      <c r="H1537" s="431" t="s">
        <v>2257</v>
      </c>
      <c r="I1537" s="431" t="s">
        <v>2258</v>
      </c>
      <c r="J1537" s="432">
        <v>46234</v>
      </c>
    </row>
    <row r="1538" spans="1:10">
      <c r="A1538" s="431">
        <v>1577</v>
      </c>
      <c r="B1538" s="431" t="s">
        <v>2253</v>
      </c>
      <c r="C1538" s="431" t="s">
        <v>2254</v>
      </c>
      <c r="D1538" s="431" t="s">
        <v>5268</v>
      </c>
      <c r="E1538" s="431" t="s">
        <v>5269</v>
      </c>
      <c r="F1538" s="431">
        <v>37352</v>
      </c>
      <c r="G1538" s="431" t="s">
        <v>46</v>
      </c>
      <c r="H1538" s="431" t="s">
        <v>2257</v>
      </c>
      <c r="I1538" s="431" t="s">
        <v>2258</v>
      </c>
      <c r="J1538" s="432">
        <v>46234</v>
      </c>
    </row>
    <row r="1539" spans="1:10">
      <c r="A1539" s="431">
        <v>1578</v>
      </c>
      <c r="B1539" s="431" t="s">
        <v>2253</v>
      </c>
      <c r="C1539" s="431" t="s">
        <v>2254</v>
      </c>
      <c r="D1539" s="431" t="s">
        <v>5270</v>
      </c>
      <c r="E1539" s="431" t="s">
        <v>5271</v>
      </c>
      <c r="F1539" s="431">
        <v>44810</v>
      </c>
      <c r="G1539" s="431" t="s">
        <v>46</v>
      </c>
      <c r="H1539" s="431" t="s">
        <v>2257</v>
      </c>
      <c r="I1539" s="431" t="s">
        <v>2258</v>
      </c>
      <c r="J1539" s="432">
        <v>46234</v>
      </c>
    </row>
    <row r="1540" spans="1:10">
      <c r="A1540" s="431">
        <v>1579</v>
      </c>
      <c r="B1540" s="431" t="s">
        <v>2253</v>
      </c>
      <c r="C1540" s="431" t="s">
        <v>2254</v>
      </c>
      <c r="D1540" s="431" t="s">
        <v>5272</v>
      </c>
      <c r="E1540" s="431" t="s">
        <v>5273</v>
      </c>
      <c r="F1540" s="431">
        <v>44810</v>
      </c>
      <c r="G1540" s="431" t="s">
        <v>46</v>
      </c>
      <c r="H1540" s="431" t="s">
        <v>2257</v>
      </c>
      <c r="I1540" s="431" t="s">
        <v>2258</v>
      </c>
      <c r="J1540" s="432">
        <v>46234</v>
      </c>
    </row>
    <row r="1541" spans="1:10">
      <c r="A1541" s="431">
        <v>1580</v>
      </c>
      <c r="B1541" s="431" t="s">
        <v>2253</v>
      </c>
      <c r="C1541" s="431" t="s">
        <v>2254</v>
      </c>
      <c r="D1541" s="431" t="s">
        <v>5274</v>
      </c>
      <c r="E1541" s="431" t="s">
        <v>5275</v>
      </c>
      <c r="F1541" s="431">
        <v>44810</v>
      </c>
      <c r="G1541" s="431" t="s">
        <v>46</v>
      </c>
      <c r="H1541" s="431" t="s">
        <v>2257</v>
      </c>
      <c r="I1541" s="431" t="s">
        <v>2258</v>
      </c>
      <c r="J1541" s="432">
        <v>46234</v>
      </c>
    </row>
    <row r="1542" spans="1:10">
      <c r="A1542" s="431">
        <v>1581</v>
      </c>
      <c r="B1542" s="431" t="s">
        <v>2253</v>
      </c>
      <c r="C1542" s="431" t="s">
        <v>2254</v>
      </c>
      <c r="D1542" s="431" t="s">
        <v>5276</v>
      </c>
      <c r="E1542" s="431" t="s">
        <v>5277</v>
      </c>
      <c r="F1542" s="431">
        <v>44810</v>
      </c>
      <c r="G1542" s="431" t="s">
        <v>46</v>
      </c>
      <c r="H1542" s="431" t="s">
        <v>2257</v>
      </c>
      <c r="I1542" s="431" t="s">
        <v>2258</v>
      </c>
      <c r="J1542" s="432">
        <v>46234</v>
      </c>
    </row>
    <row r="1543" spans="1:10">
      <c r="A1543" s="431">
        <v>1582</v>
      </c>
      <c r="B1543" s="431" t="s">
        <v>2253</v>
      </c>
      <c r="C1543" s="431" t="s">
        <v>2254</v>
      </c>
      <c r="D1543" s="431" t="s">
        <v>5278</v>
      </c>
      <c r="E1543" s="431" t="s">
        <v>5279</v>
      </c>
      <c r="F1543" s="431">
        <v>897842</v>
      </c>
      <c r="G1543" s="431" t="s">
        <v>46</v>
      </c>
      <c r="H1543" s="431" t="s">
        <v>2257</v>
      </c>
      <c r="I1543" s="431" t="s">
        <v>2258</v>
      </c>
      <c r="J1543" s="432">
        <v>46234</v>
      </c>
    </row>
    <row r="1544" spans="1:10">
      <c r="A1544" s="431">
        <v>1583</v>
      </c>
      <c r="B1544" s="431" t="s">
        <v>2253</v>
      </c>
      <c r="C1544" s="431" t="s">
        <v>2254</v>
      </c>
      <c r="D1544" s="431" t="s">
        <v>5280</v>
      </c>
      <c r="E1544" s="431" t="s">
        <v>5281</v>
      </c>
      <c r="F1544" s="431">
        <v>940000</v>
      </c>
      <c r="G1544" s="431" t="s">
        <v>46</v>
      </c>
      <c r="H1544" s="431" t="s">
        <v>2257</v>
      </c>
      <c r="I1544" s="431" t="s">
        <v>2258</v>
      </c>
      <c r="J1544" s="432">
        <v>46234</v>
      </c>
    </row>
    <row r="1545" spans="1:10">
      <c r="A1545" s="431">
        <v>1584</v>
      </c>
      <c r="B1545" s="431" t="s">
        <v>2253</v>
      </c>
      <c r="C1545" s="431" t="s">
        <v>2254</v>
      </c>
      <c r="D1545" s="431" t="s">
        <v>5282</v>
      </c>
      <c r="E1545" s="431" t="s">
        <v>5283</v>
      </c>
      <c r="F1545" s="431">
        <v>967310</v>
      </c>
      <c r="G1545" s="431" t="s">
        <v>46</v>
      </c>
      <c r="H1545" s="431" t="s">
        <v>2257</v>
      </c>
      <c r="I1545" s="431" t="s">
        <v>2258</v>
      </c>
      <c r="J1545" s="432">
        <v>46234</v>
      </c>
    </row>
    <row r="1546" spans="1:10">
      <c r="A1546" s="431">
        <v>1585</v>
      </c>
      <c r="B1546" s="431" t="s">
        <v>2253</v>
      </c>
      <c r="C1546" s="431" t="s">
        <v>2254</v>
      </c>
      <c r="D1546" s="431" t="s">
        <v>5284</v>
      </c>
      <c r="E1546" s="431" t="s">
        <v>5285</v>
      </c>
      <c r="F1546" s="431">
        <v>1080000</v>
      </c>
      <c r="G1546" s="431" t="s">
        <v>46</v>
      </c>
      <c r="H1546" s="431" t="s">
        <v>2257</v>
      </c>
      <c r="I1546" s="431" t="s">
        <v>2258</v>
      </c>
      <c r="J1546" s="432">
        <v>46234</v>
      </c>
    </row>
    <row r="1547" spans="1:10">
      <c r="A1547" s="431">
        <v>1586</v>
      </c>
      <c r="B1547" s="431" t="s">
        <v>2253</v>
      </c>
      <c r="C1547" s="431" t="s">
        <v>2254</v>
      </c>
      <c r="D1547" s="431" t="s">
        <v>5286</v>
      </c>
      <c r="E1547" s="431" t="s">
        <v>5287</v>
      </c>
      <c r="F1547" s="431">
        <v>1120000</v>
      </c>
      <c r="G1547" s="431" t="s">
        <v>46</v>
      </c>
      <c r="H1547" s="431" t="s">
        <v>2257</v>
      </c>
      <c r="I1547" s="431" t="s">
        <v>2258</v>
      </c>
      <c r="J1547" s="432">
        <v>46234</v>
      </c>
    </row>
    <row r="1548" spans="1:10">
      <c r="A1548" s="431">
        <v>1587</v>
      </c>
      <c r="B1548" s="431" t="s">
        <v>2253</v>
      </c>
      <c r="C1548" s="431" t="s">
        <v>2254</v>
      </c>
      <c r="D1548" s="431" t="s">
        <v>5288</v>
      </c>
      <c r="E1548" s="431" t="s">
        <v>5289</v>
      </c>
      <c r="F1548" s="431">
        <v>1188628</v>
      </c>
      <c r="G1548" s="431" t="s">
        <v>46</v>
      </c>
      <c r="H1548" s="431" t="s">
        <v>2257</v>
      </c>
      <c r="I1548" s="431" t="s">
        <v>2258</v>
      </c>
      <c r="J1548" s="432">
        <v>46234</v>
      </c>
    </row>
    <row r="1549" spans="1:10">
      <c r="A1549" s="431">
        <v>1588</v>
      </c>
      <c r="B1549" s="431" t="s">
        <v>2253</v>
      </c>
      <c r="C1549" s="431" t="s">
        <v>2254</v>
      </c>
      <c r="D1549" s="431" t="s">
        <v>5290</v>
      </c>
      <c r="E1549" s="431" t="s">
        <v>5291</v>
      </c>
      <c r="F1549" s="431">
        <v>1225000</v>
      </c>
      <c r="G1549" s="431" t="s">
        <v>46</v>
      </c>
      <c r="H1549" s="431" t="s">
        <v>2257</v>
      </c>
      <c r="I1549" s="431" t="s">
        <v>2258</v>
      </c>
      <c r="J1549" s="432">
        <v>46234</v>
      </c>
    </row>
    <row r="1550" spans="1:10">
      <c r="A1550" s="431">
        <v>1589</v>
      </c>
      <c r="B1550" s="431" t="s">
        <v>2253</v>
      </c>
      <c r="C1550" s="431" t="s">
        <v>2254</v>
      </c>
      <c r="D1550" s="431" t="s">
        <v>5292</v>
      </c>
      <c r="E1550" s="431" t="s">
        <v>5293</v>
      </c>
      <c r="F1550" s="431">
        <v>1235610</v>
      </c>
      <c r="G1550" s="431" t="s">
        <v>46</v>
      </c>
      <c r="H1550" s="431" t="s">
        <v>2257</v>
      </c>
      <c r="I1550" s="431" t="s">
        <v>2258</v>
      </c>
      <c r="J1550" s="432">
        <v>46234</v>
      </c>
    </row>
    <row r="1551" spans="1:10">
      <c r="A1551" s="431">
        <v>1590</v>
      </c>
      <c r="B1551" s="431" t="s">
        <v>2253</v>
      </c>
      <c r="C1551" s="431" t="s">
        <v>2254</v>
      </c>
      <c r="D1551" s="431" t="s">
        <v>5294</v>
      </c>
      <c r="E1551" s="431" t="s">
        <v>5295</v>
      </c>
      <c r="F1551" s="431">
        <v>1255010</v>
      </c>
      <c r="G1551" s="431" t="s">
        <v>46</v>
      </c>
      <c r="H1551" s="431" t="s">
        <v>2257</v>
      </c>
      <c r="I1551" s="431" t="s">
        <v>2258</v>
      </c>
      <c r="J1551" s="432">
        <v>46234</v>
      </c>
    </row>
    <row r="1552" spans="1:10">
      <c r="A1552" s="431">
        <v>1591</v>
      </c>
      <c r="B1552" s="431" t="s">
        <v>2253</v>
      </c>
      <c r="C1552" s="431" t="s">
        <v>2254</v>
      </c>
      <c r="D1552" s="431" t="s">
        <v>5296</v>
      </c>
      <c r="E1552" s="431" t="s">
        <v>5297</v>
      </c>
      <c r="F1552" s="431">
        <v>1266600</v>
      </c>
      <c r="G1552" s="431" t="s">
        <v>46</v>
      </c>
      <c r="H1552" s="431" t="s">
        <v>2257</v>
      </c>
      <c r="I1552" s="431" t="s">
        <v>2258</v>
      </c>
      <c r="J1552" s="432">
        <v>46234</v>
      </c>
    </row>
    <row r="1553" spans="1:10">
      <c r="A1553" s="431">
        <v>1592</v>
      </c>
      <c r="B1553" s="431" t="s">
        <v>2253</v>
      </c>
      <c r="C1553" s="431" t="s">
        <v>2254</v>
      </c>
      <c r="D1553" s="431" t="s">
        <v>5298</v>
      </c>
      <c r="E1553" s="431" t="s">
        <v>5299</v>
      </c>
      <c r="F1553" s="431">
        <v>1295000</v>
      </c>
      <c r="G1553" s="431" t="s">
        <v>46</v>
      </c>
      <c r="H1553" s="431" t="s">
        <v>2257</v>
      </c>
      <c r="I1553" s="431" t="s">
        <v>2258</v>
      </c>
      <c r="J1553" s="432">
        <v>46234</v>
      </c>
    </row>
    <row r="1554" spans="1:10">
      <c r="A1554" s="431">
        <v>1593</v>
      </c>
      <c r="B1554" s="431" t="s">
        <v>2253</v>
      </c>
      <c r="C1554" s="431" t="s">
        <v>2254</v>
      </c>
      <c r="D1554" s="431" t="s">
        <v>5300</v>
      </c>
      <c r="E1554" s="431" t="s">
        <v>5301</v>
      </c>
      <c r="F1554" s="431">
        <v>7636</v>
      </c>
      <c r="G1554" s="431" t="s">
        <v>46</v>
      </c>
      <c r="H1554" s="431" t="s">
        <v>2257</v>
      </c>
      <c r="I1554" s="431" t="s">
        <v>2258</v>
      </c>
      <c r="J1554" s="432">
        <v>46234</v>
      </c>
    </row>
    <row r="1555" spans="1:10">
      <c r="A1555" s="431">
        <v>1594</v>
      </c>
      <c r="B1555" s="431" t="s">
        <v>2253</v>
      </c>
      <c r="C1555" s="431" t="s">
        <v>2254</v>
      </c>
      <c r="D1555" s="431" t="s">
        <v>5302</v>
      </c>
      <c r="E1555" s="431" t="s">
        <v>5303</v>
      </c>
      <c r="F1555" s="431">
        <v>8832</v>
      </c>
      <c r="G1555" s="431" t="s">
        <v>46</v>
      </c>
      <c r="H1555" s="431" t="s">
        <v>2257</v>
      </c>
      <c r="I1555" s="431" t="s">
        <v>2258</v>
      </c>
      <c r="J1555" s="432">
        <v>46234</v>
      </c>
    </row>
    <row r="1556" spans="1:10">
      <c r="A1556" s="431">
        <v>1595</v>
      </c>
      <c r="B1556" s="431" t="s">
        <v>2253</v>
      </c>
      <c r="C1556" s="431" t="s">
        <v>2254</v>
      </c>
      <c r="D1556" s="431" t="s">
        <v>5304</v>
      </c>
      <c r="E1556" s="431" t="s">
        <v>5305</v>
      </c>
      <c r="F1556" s="431">
        <v>5480</v>
      </c>
      <c r="G1556" s="431" t="s">
        <v>46</v>
      </c>
      <c r="H1556" s="431" t="s">
        <v>2257</v>
      </c>
      <c r="I1556" s="431" t="s">
        <v>2258</v>
      </c>
      <c r="J1556" s="432">
        <v>46234</v>
      </c>
    </row>
    <row r="1557" spans="1:10">
      <c r="A1557" s="431">
        <v>1596</v>
      </c>
      <c r="B1557" s="431" t="s">
        <v>2253</v>
      </c>
      <c r="C1557" s="431" t="s">
        <v>2254</v>
      </c>
      <c r="D1557" s="431" t="s">
        <v>5306</v>
      </c>
      <c r="E1557" s="431" t="s">
        <v>5307</v>
      </c>
      <c r="F1557" s="431">
        <v>5650</v>
      </c>
      <c r="G1557" s="431" t="s">
        <v>46</v>
      </c>
      <c r="H1557" s="431" t="s">
        <v>2257</v>
      </c>
      <c r="I1557" s="431" t="s">
        <v>2258</v>
      </c>
      <c r="J1557" s="432">
        <v>46234</v>
      </c>
    </row>
    <row r="1558" spans="1:10">
      <c r="A1558" s="431">
        <v>1597</v>
      </c>
      <c r="B1558" s="431" t="s">
        <v>2253</v>
      </c>
      <c r="C1558" s="431" t="s">
        <v>2254</v>
      </c>
      <c r="D1558" s="431" t="s">
        <v>5308</v>
      </c>
      <c r="E1558" s="431" t="s">
        <v>5309</v>
      </c>
      <c r="F1558" s="431">
        <v>6670</v>
      </c>
      <c r="G1558" s="431" t="s">
        <v>46</v>
      </c>
      <c r="H1558" s="431" t="s">
        <v>2257</v>
      </c>
      <c r="I1558" s="431" t="s">
        <v>2258</v>
      </c>
      <c r="J1558" s="432">
        <v>46234</v>
      </c>
    </row>
    <row r="1559" spans="1:10">
      <c r="A1559" s="431">
        <v>1598</v>
      </c>
      <c r="B1559" s="431" t="s">
        <v>2253</v>
      </c>
      <c r="C1559" s="431" t="s">
        <v>2254</v>
      </c>
      <c r="D1559" s="431" t="s">
        <v>5310</v>
      </c>
      <c r="E1559" s="431" t="s">
        <v>5311</v>
      </c>
      <c r="F1559" s="431">
        <v>8570</v>
      </c>
      <c r="G1559" s="431" t="s">
        <v>46</v>
      </c>
      <c r="H1559" s="431" t="s">
        <v>2257</v>
      </c>
      <c r="I1559" s="431" t="s">
        <v>2258</v>
      </c>
      <c r="J1559" s="432">
        <v>46234</v>
      </c>
    </row>
    <row r="1560" spans="1:10">
      <c r="A1560" s="431">
        <v>1599</v>
      </c>
      <c r="B1560" s="431" t="s">
        <v>2253</v>
      </c>
      <c r="C1560" s="431" t="s">
        <v>2254</v>
      </c>
      <c r="D1560" s="431" t="s">
        <v>5312</v>
      </c>
      <c r="E1560" s="431" t="s">
        <v>5313</v>
      </c>
      <c r="F1560" s="431">
        <v>17538</v>
      </c>
      <c r="G1560" s="431" t="s">
        <v>46</v>
      </c>
      <c r="H1560" s="431" t="s">
        <v>2257</v>
      </c>
      <c r="I1560" s="431" t="s">
        <v>2258</v>
      </c>
      <c r="J1560" s="432">
        <v>46234</v>
      </c>
    </row>
    <row r="1561" spans="1:10">
      <c r="A1561" s="431">
        <v>1600</v>
      </c>
      <c r="B1561" s="431" t="s">
        <v>2253</v>
      </c>
      <c r="C1561" s="431" t="s">
        <v>2254</v>
      </c>
      <c r="D1561" s="431" t="s">
        <v>5314</v>
      </c>
      <c r="E1561" s="431" t="s">
        <v>5315</v>
      </c>
      <c r="F1561" s="431">
        <v>10330</v>
      </c>
      <c r="G1561" s="431" t="s">
        <v>46</v>
      </c>
      <c r="H1561" s="431" t="s">
        <v>2257</v>
      </c>
      <c r="I1561" s="431" t="s">
        <v>2258</v>
      </c>
      <c r="J1561" s="432">
        <v>46234</v>
      </c>
    </row>
    <row r="1562" spans="1:10">
      <c r="A1562" s="431">
        <v>1601</v>
      </c>
      <c r="B1562" s="431" t="s">
        <v>2253</v>
      </c>
      <c r="C1562" s="431" t="s">
        <v>2254</v>
      </c>
      <c r="D1562" s="431" t="s">
        <v>5316</v>
      </c>
      <c r="E1562" s="431" t="s">
        <v>5317</v>
      </c>
      <c r="F1562" s="431">
        <v>18620</v>
      </c>
      <c r="G1562" s="431" t="s">
        <v>46</v>
      </c>
      <c r="H1562" s="431" t="s">
        <v>2257</v>
      </c>
      <c r="I1562" s="431" t="s">
        <v>2258</v>
      </c>
      <c r="J1562" s="432">
        <v>46234</v>
      </c>
    </row>
    <row r="1563" spans="1:10">
      <c r="A1563" s="431">
        <v>1602</v>
      </c>
      <c r="B1563" s="431" t="s">
        <v>2253</v>
      </c>
      <c r="C1563" s="431" t="s">
        <v>2254</v>
      </c>
      <c r="D1563" s="431" t="s">
        <v>5318</v>
      </c>
      <c r="E1563" s="431" t="s">
        <v>5319</v>
      </c>
      <c r="F1563" s="431">
        <v>19640</v>
      </c>
      <c r="G1563" s="431" t="s">
        <v>46</v>
      </c>
      <c r="H1563" s="431" t="s">
        <v>2257</v>
      </c>
      <c r="I1563" s="431" t="s">
        <v>2258</v>
      </c>
      <c r="J1563" s="432">
        <v>46234</v>
      </c>
    </row>
    <row r="1564" spans="1:10">
      <c r="A1564" s="431">
        <v>1603</v>
      </c>
      <c r="B1564" s="431" t="s">
        <v>2253</v>
      </c>
      <c r="C1564" s="431" t="s">
        <v>2254</v>
      </c>
      <c r="D1564" s="431" t="s">
        <v>5320</v>
      </c>
      <c r="E1564" s="431" t="s">
        <v>5321</v>
      </c>
      <c r="F1564" s="431">
        <v>32640</v>
      </c>
      <c r="G1564" s="431" t="s">
        <v>46</v>
      </c>
      <c r="H1564" s="431" t="s">
        <v>2257</v>
      </c>
      <c r="I1564" s="431" t="s">
        <v>2258</v>
      </c>
      <c r="J1564" s="432">
        <v>46234</v>
      </c>
    </row>
    <row r="1565" spans="1:10">
      <c r="A1565" s="431">
        <v>1604</v>
      </c>
      <c r="B1565" s="431" t="s">
        <v>2253</v>
      </c>
      <c r="C1565" s="431" t="s">
        <v>2254</v>
      </c>
      <c r="D1565" s="431" t="s">
        <v>5322</v>
      </c>
      <c r="E1565" s="431" t="s">
        <v>5323</v>
      </c>
      <c r="F1565" s="431">
        <v>33600</v>
      </c>
      <c r="G1565" s="431" t="s">
        <v>46</v>
      </c>
      <c r="H1565" s="431" t="s">
        <v>2257</v>
      </c>
      <c r="I1565" s="431" t="s">
        <v>2258</v>
      </c>
      <c r="J1565" s="432">
        <v>46234</v>
      </c>
    </row>
    <row r="1566" spans="1:10">
      <c r="A1566" s="431">
        <v>1605</v>
      </c>
      <c r="B1566" s="431" t="s">
        <v>2253</v>
      </c>
      <c r="C1566" s="431" t="s">
        <v>2254</v>
      </c>
      <c r="D1566" s="431" t="s">
        <v>5324</v>
      </c>
      <c r="E1566" s="431" t="s">
        <v>5325</v>
      </c>
      <c r="F1566" s="431">
        <v>37290</v>
      </c>
      <c r="G1566" s="431" t="s">
        <v>46</v>
      </c>
      <c r="H1566" s="431" t="s">
        <v>2257</v>
      </c>
      <c r="I1566" s="431" t="s">
        <v>2258</v>
      </c>
      <c r="J1566" s="432">
        <v>46234</v>
      </c>
    </row>
    <row r="1567" spans="1:10">
      <c r="A1567" s="431">
        <v>1606</v>
      </c>
      <c r="B1567" s="431" t="s">
        <v>2253</v>
      </c>
      <c r="C1567" s="431" t="s">
        <v>2254</v>
      </c>
      <c r="D1567" s="431" t="s">
        <v>5326</v>
      </c>
      <c r="E1567" s="431" t="s">
        <v>5327</v>
      </c>
      <c r="F1567" s="431">
        <v>47800</v>
      </c>
      <c r="G1567" s="431" t="s">
        <v>46</v>
      </c>
      <c r="H1567" s="431" t="s">
        <v>2257</v>
      </c>
      <c r="I1567" s="431" t="s">
        <v>2258</v>
      </c>
      <c r="J1567" s="432">
        <v>46234</v>
      </c>
    </row>
    <row r="1568" spans="1:10">
      <c r="A1568" s="431">
        <v>1607</v>
      </c>
      <c r="B1568" s="431" t="s">
        <v>2253</v>
      </c>
      <c r="C1568" s="431" t="s">
        <v>2254</v>
      </c>
      <c r="D1568" s="431" t="s">
        <v>5328</v>
      </c>
      <c r="E1568" s="431" t="s">
        <v>5329</v>
      </c>
      <c r="F1568" s="431">
        <v>50000</v>
      </c>
      <c r="G1568" s="431" t="s">
        <v>46</v>
      </c>
      <c r="H1568" s="431" t="s">
        <v>2257</v>
      </c>
      <c r="I1568" s="431" t="s">
        <v>2258</v>
      </c>
      <c r="J1568" s="432">
        <v>46234</v>
      </c>
    </row>
    <row r="1569" spans="1:10">
      <c r="A1569" s="431">
        <v>1608</v>
      </c>
      <c r="B1569" s="431" t="s">
        <v>2253</v>
      </c>
      <c r="C1569" s="431" t="s">
        <v>2254</v>
      </c>
      <c r="D1569" s="431" t="s">
        <v>5330</v>
      </c>
      <c r="E1569" s="431" t="s">
        <v>5331</v>
      </c>
      <c r="F1569" s="431">
        <v>75600</v>
      </c>
      <c r="G1569" s="431" t="s">
        <v>46</v>
      </c>
      <c r="H1569" s="431" t="s">
        <v>2257</v>
      </c>
      <c r="I1569" s="431" t="s">
        <v>2258</v>
      </c>
      <c r="J1569" s="432">
        <v>46234</v>
      </c>
    </row>
    <row r="1570" spans="1:10">
      <c r="A1570" s="431">
        <v>1609</v>
      </c>
      <c r="B1570" s="431" t="s">
        <v>2253</v>
      </c>
      <c r="C1570" s="431" t="s">
        <v>2254</v>
      </c>
      <c r="D1570" s="431" t="s">
        <v>5332</v>
      </c>
      <c r="E1570" s="431" t="s">
        <v>5333</v>
      </c>
      <c r="F1570" s="431">
        <v>89900</v>
      </c>
      <c r="G1570" s="431" t="s">
        <v>46</v>
      </c>
      <c r="H1570" s="431" t="s">
        <v>2257</v>
      </c>
      <c r="I1570" s="431" t="s">
        <v>2258</v>
      </c>
      <c r="J1570" s="432">
        <v>46234</v>
      </c>
    </row>
    <row r="1571" spans="1:10">
      <c r="A1571" s="431">
        <v>1610</v>
      </c>
      <c r="B1571" s="431" t="s">
        <v>2253</v>
      </c>
      <c r="C1571" s="431" t="s">
        <v>2254</v>
      </c>
      <c r="D1571" s="431" t="s">
        <v>5334</v>
      </c>
      <c r="E1571" s="431" t="s">
        <v>5335</v>
      </c>
      <c r="F1571" s="431">
        <v>111800</v>
      </c>
      <c r="G1571" s="431" t="s">
        <v>46</v>
      </c>
      <c r="H1571" s="431" t="s">
        <v>2257</v>
      </c>
      <c r="I1571" s="431" t="s">
        <v>2258</v>
      </c>
      <c r="J1571" s="432">
        <v>46234</v>
      </c>
    </row>
    <row r="1572" spans="1:10">
      <c r="A1572" s="431">
        <v>1611</v>
      </c>
      <c r="B1572" s="431" t="s">
        <v>2253</v>
      </c>
      <c r="C1572" s="431" t="s">
        <v>2254</v>
      </c>
      <c r="D1572" s="431" t="s">
        <v>5336</v>
      </c>
      <c r="E1572" s="431" t="s">
        <v>5337</v>
      </c>
      <c r="F1572" s="431">
        <v>144900</v>
      </c>
      <c r="G1572" s="431" t="s">
        <v>46</v>
      </c>
      <c r="H1572" s="431" t="s">
        <v>2257</v>
      </c>
      <c r="I1572" s="431" t="s">
        <v>2258</v>
      </c>
      <c r="J1572" s="432">
        <v>46234</v>
      </c>
    </row>
    <row r="1573" spans="1:10">
      <c r="A1573" s="431">
        <v>1612</v>
      </c>
      <c r="B1573" s="431" t="s">
        <v>2253</v>
      </c>
      <c r="C1573" s="431" t="s">
        <v>2254</v>
      </c>
      <c r="D1573" s="431" t="s">
        <v>5338</v>
      </c>
      <c r="E1573" s="431" t="s">
        <v>5339</v>
      </c>
      <c r="F1573" s="431">
        <v>184100</v>
      </c>
      <c r="G1573" s="431" t="s">
        <v>46</v>
      </c>
      <c r="H1573" s="431" t="s">
        <v>2257</v>
      </c>
      <c r="I1573" s="431" t="s">
        <v>2258</v>
      </c>
      <c r="J1573" s="432">
        <v>46234</v>
      </c>
    </row>
    <row r="1574" spans="1:10">
      <c r="A1574" s="431">
        <v>1613</v>
      </c>
      <c r="B1574" s="431" t="s">
        <v>2253</v>
      </c>
      <c r="C1574" s="431" t="s">
        <v>2254</v>
      </c>
      <c r="D1574" s="431" t="s">
        <v>5340</v>
      </c>
      <c r="E1574" s="431" t="s">
        <v>5341</v>
      </c>
      <c r="F1574" s="431">
        <v>201100</v>
      </c>
      <c r="G1574" s="431" t="s">
        <v>46</v>
      </c>
      <c r="H1574" s="431" t="s">
        <v>2257</v>
      </c>
      <c r="I1574" s="431" t="s">
        <v>2258</v>
      </c>
      <c r="J1574" s="432">
        <v>46234</v>
      </c>
    </row>
    <row r="1575" spans="1:10">
      <c r="A1575" s="431">
        <v>1614</v>
      </c>
      <c r="B1575" s="431" t="s">
        <v>2253</v>
      </c>
      <c r="C1575" s="431" t="s">
        <v>2254</v>
      </c>
      <c r="D1575" s="431" t="s">
        <v>5342</v>
      </c>
      <c r="E1575" s="431" t="s">
        <v>5343</v>
      </c>
      <c r="F1575" s="431">
        <v>286300</v>
      </c>
      <c r="G1575" s="431" t="s">
        <v>46</v>
      </c>
      <c r="H1575" s="431" t="s">
        <v>2257</v>
      </c>
      <c r="I1575" s="431" t="s">
        <v>2258</v>
      </c>
      <c r="J1575" s="432">
        <v>46234</v>
      </c>
    </row>
    <row r="1576" spans="1:10">
      <c r="A1576" s="431">
        <v>1615</v>
      </c>
      <c r="B1576" s="431" t="s">
        <v>2253</v>
      </c>
      <c r="C1576" s="431" t="s">
        <v>2254</v>
      </c>
      <c r="D1576" s="431" t="s">
        <v>5344</v>
      </c>
      <c r="E1576" s="431" t="s">
        <v>5345</v>
      </c>
      <c r="F1576" s="431">
        <v>340700</v>
      </c>
      <c r="G1576" s="431" t="s">
        <v>46</v>
      </c>
      <c r="H1576" s="431" t="s">
        <v>2257</v>
      </c>
      <c r="I1576" s="431" t="s">
        <v>2258</v>
      </c>
      <c r="J1576" s="432">
        <v>46234</v>
      </c>
    </row>
    <row r="1577" spans="1:10">
      <c r="A1577" s="431">
        <v>1616</v>
      </c>
      <c r="B1577" s="431" t="s">
        <v>2253</v>
      </c>
      <c r="C1577" s="431" t="s">
        <v>2254</v>
      </c>
      <c r="D1577" s="431" t="s">
        <v>5346</v>
      </c>
      <c r="E1577" s="431" t="s">
        <v>5347</v>
      </c>
      <c r="F1577" s="431">
        <v>369800</v>
      </c>
      <c r="G1577" s="431" t="s">
        <v>46</v>
      </c>
      <c r="H1577" s="431" t="s">
        <v>2257</v>
      </c>
      <c r="I1577" s="431" t="s">
        <v>2258</v>
      </c>
      <c r="J1577" s="432">
        <v>46234</v>
      </c>
    </row>
    <row r="1578" spans="1:10">
      <c r="A1578" s="431">
        <v>1617</v>
      </c>
      <c r="B1578" s="431" t="s">
        <v>2253</v>
      </c>
      <c r="C1578" s="431" t="s">
        <v>2254</v>
      </c>
      <c r="D1578" s="431" t="s">
        <v>5348</v>
      </c>
      <c r="E1578" s="431" t="s">
        <v>5349</v>
      </c>
      <c r="F1578" s="431">
        <v>389400</v>
      </c>
      <c r="G1578" s="431" t="s">
        <v>46</v>
      </c>
      <c r="H1578" s="431" t="s">
        <v>2257</v>
      </c>
      <c r="I1578" s="431" t="s">
        <v>2258</v>
      </c>
      <c r="J1578" s="432">
        <v>46234</v>
      </c>
    </row>
    <row r="1579" spans="1:10">
      <c r="A1579" s="431">
        <v>1618</v>
      </c>
      <c r="B1579" s="431" t="s">
        <v>2253</v>
      </c>
      <c r="C1579" s="431" t="s">
        <v>2254</v>
      </c>
      <c r="D1579" s="431" t="s">
        <v>5350</v>
      </c>
      <c r="E1579" s="431" t="s">
        <v>5351</v>
      </c>
      <c r="F1579" s="431">
        <v>413000</v>
      </c>
      <c r="G1579" s="431" t="s">
        <v>46</v>
      </c>
      <c r="H1579" s="431" t="s">
        <v>2257</v>
      </c>
      <c r="I1579" s="431" t="s">
        <v>2258</v>
      </c>
      <c r="J1579" s="432">
        <v>46234</v>
      </c>
    </row>
    <row r="1580" spans="1:10">
      <c r="A1580" s="431">
        <v>1619</v>
      </c>
      <c r="B1580" s="431" t="s">
        <v>2253</v>
      </c>
      <c r="C1580" s="431" t="s">
        <v>2254</v>
      </c>
      <c r="D1580" s="431" t="s">
        <v>5352</v>
      </c>
      <c r="E1580" s="431" t="s">
        <v>5353</v>
      </c>
      <c r="F1580" s="431">
        <v>481400</v>
      </c>
      <c r="G1580" s="431" t="s">
        <v>46</v>
      </c>
      <c r="H1580" s="431" t="s">
        <v>2257</v>
      </c>
      <c r="I1580" s="431" t="s">
        <v>2258</v>
      </c>
      <c r="J1580" s="432">
        <v>46234</v>
      </c>
    </row>
    <row r="1581" spans="1:10">
      <c r="A1581" s="431">
        <v>1620</v>
      </c>
      <c r="B1581" s="431" t="s">
        <v>2253</v>
      </c>
      <c r="C1581" s="431" t="s">
        <v>2254</v>
      </c>
      <c r="D1581" s="431" t="s">
        <v>5354</v>
      </c>
      <c r="E1581" s="431" t="s">
        <v>5355</v>
      </c>
      <c r="F1581" s="431">
        <v>498100</v>
      </c>
      <c r="G1581" s="431" t="s">
        <v>46</v>
      </c>
      <c r="H1581" s="431" t="s">
        <v>2257</v>
      </c>
      <c r="I1581" s="431" t="s">
        <v>2258</v>
      </c>
      <c r="J1581" s="432">
        <v>46234</v>
      </c>
    </row>
    <row r="1582" spans="1:10">
      <c r="A1582" s="431">
        <v>1621</v>
      </c>
      <c r="B1582" s="431" t="s">
        <v>2253</v>
      </c>
      <c r="C1582" s="431" t="s">
        <v>2254</v>
      </c>
      <c r="D1582" s="431" t="s">
        <v>5356</v>
      </c>
      <c r="E1582" s="431" t="s">
        <v>5357</v>
      </c>
      <c r="F1582" s="431">
        <v>528500</v>
      </c>
      <c r="G1582" s="431" t="s">
        <v>46</v>
      </c>
      <c r="H1582" s="431" t="s">
        <v>2257</v>
      </c>
      <c r="I1582" s="431" t="s">
        <v>2258</v>
      </c>
      <c r="J1582" s="432">
        <v>46234</v>
      </c>
    </row>
    <row r="1583" spans="1:10">
      <c r="A1583" s="431">
        <v>1622</v>
      </c>
      <c r="B1583" s="431" t="s">
        <v>2253</v>
      </c>
      <c r="C1583" s="431" t="s">
        <v>2254</v>
      </c>
      <c r="D1583" s="431" t="s">
        <v>5358</v>
      </c>
      <c r="E1583" s="431" t="s">
        <v>5359</v>
      </c>
      <c r="F1583" s="431">
        <v>565800</v>
      </c>
      <c r="G1583" s="431" t="s">
        <v>46</v>
      </c>
      <c r="H1583" s="431" t="s">
        <v>2257</v>
      </c>
      <c r="I1583" s="431" t="s">
        <v>2258</v>
      </c>
      <c r="J1583" s="432">
        <v>46234</v>
      </c>
    </row>
    <row r="1584" spans="1:10">
      <c r="A1584" s="431">
        <v>1623</v>
      </c>
      <c r="B1584" s="431" t="s">
        <v>2253</v>
      </c>
      <c r="C1584" s="431" t="s">
        <v>2254</v>
      </c>
      <c r="D1584" s="431" t="s">
        <v>5360</v>
      </c>
      <c r="E1584" s="431" t="s">
        <v>5361</v>
      </c>
      <c r="F1584" s="431">
        <v>6988</v>
      </c>
      <c r="G1584" s="431" t="s">
        <v>46</v>
      </c>
      <c r="H1584" s="431" t="s">
        <v>2257</v>
      </c>
      <c r="I1584" s="431" t="s">
        <v>2258</v>
      </c>
      <c r="J1584" s="432">
        <v>46234</v>
      </c>
    </row>
    <row r="1585" spans="1:10">
      <c r="A1585" s="431">
        <v>1624</v>
      </c>
      <c r="B1585" s="431" t="s">
        <v>2253</v>
      </c>
      <c r="C1585" s="431" t="s">
        <v>2254</v>
      </c>
      <c r="D1585" s="431" t="s">
        <v>5362</v>
      </c>
      <c r="E1585" s="431" t="s">
        <v>5363</v>
      </c>
      <c r="F1585" s="431">
        <v>5100</v>
      </c>
      <c r="G1585" s="431" t="s">
        <v>46</v>
      </c>
      <c r="H1585" s="431" t="s">
        <v>2257</v>
      </c>
      <c r="I1585" s="431" t="s">
        <v>2258</v>
      </c>
      <c r="J1585" s="432">
        <v>46234</v>
      </c>
    </row>
    <row r="1586" spans="1:10">
      <c r="A1586" s="431">
        <v>1625</v>
      </c>
      <c r="B1586" s="431" t="s">
        <v>2253</v>
      </c>
      <c r="C1586" s="431" t="s">
        <v>2254</v>
      </c>
      <c r="D1586" s="431" t="s">
        <v>5364</v>
      </c>
      <c r="E1586" s="431" t="s">
        <v>5365</v>
      </c>
      <c r="F1586" s="431">
        <v>5400</v>
      </c>
      <c r="G1586" s="431" t="s">
        <v>46</v>
      </c>
      <c r="H1586" s="431" t="s">
        <v>2257</v>
      </c>
      <c r="I1586" s="431" t="s">
        <v>2258</v>
      </c>
      <c r="J1586" s="432">
        <v>46234</v>
      </c>
    </row>
    <row r="1587" spans="1:10">
      <c r="A1587" s="431">
        <v>1626</v>
      </c>
      <c r="B1587" s="431" t="s">
        <v>2253</v>
      </c>
      <c r="C1587" s="431" t="s">
        <v>2254</v>
      </c>
      <c r="D1587" s="431" t="s">
        <v>5366</v>
      </c>
      <c r="E1587" s="431" t="s">
        <v>5367</v>
      </c>
      <c r="F1587" s="431">
        <v>6750</v>
      </c>
      <c r="G1587" s="431" t="s">
        <v>46</v>
      </c>
      <c r="H1587" s="431" t="s">
        <v>2257</v>
      </c>
      <c r="I1587" s="431" t="s">
        <v>2258</v>
      </c>
      <c r="J1587" s="432">
        <v>46234</v>
      </c>
    </row>
    <row r="1588" spans="1:10">
      <c r="A1588" s="431">
        <v>1627</v>
      </c>
      <c r="B1588" s="431" t="s">
        <v>2253</v>
      </c>
      <c r="C1588" s="431" t="s">
        <v>2254</v>
      </c>
      <c r="D1588" s="431" t="s">
        <v>5368</v>
      </c>
      <c r="E1588" s="431" t="s">
        <v>5369</v>
      </c>
      <c r="F1588" s="431">
        <v>8000</v>
      </c>
      <c r="G1588" s="431" t="s">
        <v>46</v>
      </c>
      <c r="H1588" s="431" t="s">
        <v>2257</v>
      </c>
      <c r="I1588" s="431" t="s">
        <v>2258</v>
      </c>
      <c r="J1588" s="432">
        <v>46234</v>
      </c>
    </row>
    <row r="1589" spans="1:10">
      <c r="A1589" s="431">
        <v>1628</v>
      </c>
      <c r="B1589" s="431" t="s">
        <v>2253</v>
      </c>
      <c r="C1589" s="431" t="s">
        <v>2254</v>
      </c>
      <c r="D1589" s="431" t="s">
        <v>5370</v>
      </c>
      <c r="E1589" s="431" t="s">
        <v>5371</v>
      </c>
      <c r="F1589" s="431">
        <v>9400</v>
      </c>
      <c r="G1589" s="431" t="s">
        <v>46</v>
      </c>
      <c r="H1589" s="431" t="s">
        <v>2257</v>
      </c>
      <c r="I1589" s="431" t="s">
        <v>2258</v>
      </c>
      <c r="J1589" s="432">
        <v>46234</v>
      </c>
    </row>
    <row r="1590" spans="1:10">
      <c r="A1590" s="431">
        <v>1629</v>
      </c>
      <c r="B1590" s="431" t="s">
        <v>2253</v>
      </c>
      <c r="C1590" s="431" t="s">
        <v>2254</v>
      </c>
      <c r="D1590" s="431" t="s">
        <v>5372</v>
      </c>
      <c r="E1590" s="431" t="s">
        <v>5373</v>
      </c>
      <c r="F1590" s="431">
        <v>17492</v>
      </c>
      <c r="G1590" s="431" t="s">
        <v>46</v>
      </c>
      <c r="H1590" s="431" t="s">
        <v>2257</v>
      </c>
      <c r="I1590" s="431" t="s">
        <v>2258</v>
      </c>
      <c r="J1590" s="432">
        <v>46234</v>
      </c>
    </row>
    <row r="1591" spans="1:10">
      <c r="A1591" s="431">
        <v>1630</v>
      </c>
      <c r="B1591" s="431" t="s">
        <v>2253</v>
      </c>
      <c r="C1591" s="431" t="s">
        <v>2254</v>
      </c>
      <c r="D1591" s="431" t="s">
        <v>5374</v>
      </c>
      <c r="E1591" s="431" t="s">
        <v>5375</v>
      </c>
      <c r="F1591" s="431">
        <v>12600</v>
      </c>
      <c r="G1591" s="431" t="s">
        <v>46</v>
      </c>
      <c r="H1591" s="431" t="s">
        <v>2257</v>
      </c>
      <c r="I1591" s="431" t="s">
        <v>2258</v>
      </c>
      <c r="J1591" s="432">
        <v>46234</v>
      </c>
    </row>
    <row r="1592" spans="1:10">
      <c r="A1592" s="431">
        <v>1631</v>
      </c>
      <c r="B1592" s="431" t="s">
        <v>2253</v>
      </c>
      <c r="C1592" s="431" t="s">
        <v>2254</v>
      </c>
      <c r="D1592" s="431" t="s">
        <v>5376</v>
      </c>
      <c r="E1592" s="431" t="s">
        <v>5377</v>
      </c>
      <c r="F1592" s="431">
        <v>17900</v>
      </c>
      <c r="G1592" s="431" t="s">
        <v>46</v>
      </c>
      <c r="H1592" s="431" t="s">
        <v>2257</v>
      </c>
      <c r="I1592" s="431" t="s">
        <v>2258</v>
      </c>
      <c r="J1592" s="432">
        <v>46234</v>
      </c>
    </row>
    <row r="1593" spans="1:10">
      <c r="A1593" s="431">
        <v>1632</v>
      </c>
      <c r="B1593" s="431" t="s">
        <v>2253</v>
      </c>
      <c r="C1593" s="431" t="s">
        <v>2254</v>
      </c>
      <c r="D1593" s="431" t="s">
        <v>5378</v>
      </c>
      <c r="E1593" s="431" t="s">
        <v>5379</v>
      </c>
      <c r="F1593" s="431">
        <v>20150</v>
      </c>
      <c r="G1593" s="431" t="s">
        <v>46</v>
      </c>
      <c r="H1593" s="431" t="s">
        <v>2257</v>
      </c>
      <c r="I1593" s="431" t="s">
        <v>2258</v>
      </c>
      <c r="J1593" s="432">
        <v>46234</v>
      </c>
    </row>
    <row r="1594" spans="1:10">
      <c r="A1594" s="431">
        <v>1633</v>
      </c>
      <c r="B1594" s="431" t="s">
        <v>2253</v>
      </c>
      <c r="C1594" s="431" t="s">
        <v>2254</v>
      </c>
      <c r="D1594" s="431" t="s">
        <v>5380</v>
      </c>
      <c r="E1594" s="431" t="s">
        <v>5381</v>
      </c>
      <c r="F1594" s="431">
        <v>32150</v>
      </c>
      <c r="G1594" s="431" t="s">
        <v>46</v>
      </c>
      <c r="H1594" s="431" t="s">
        <v>2257</v>
      </c>
      <c r="I1594" s="431" t="s">
        <v>2258</v>
      </c>
      <c r="J1594" s="432">
        <v>46234</v>
      </c>
    </row>
    <row r="1595" spans="1:10">
      <c r="A1595" s="431">
        <v>1634</v>
      </c>
      <c r="B1595" s="431" t="s">
        <v>2253</v>
      </c>
      <c r="C1595" s="431" t="s">
        <v>2254</v>
      </c>
      <c r="D1595" s="431" t="s">
        <v>5382</v>
      </c>
      <c r="E1595" s="431" t="s">
        <v>5383</v>
      </c>
      <c r="F1595" s="431">
        <v>33450</v>
      </c>
      <c r="G1595" s="431" t="s">
        <v>46</v>
      </c>
      <c r="H1595" s="431" t="s">
        <v>2257</v>
      </c>
      <c r="I1595" s="431" t="s">
        <v>2258</v>
      </c>
      <c r="J1595" s="432">
        <v>46234</v>
      </c>
    </row>
    <row r="1596" spans="1:10">
      <c r="A1596" s="431">
        <v>1635</v>
      </c>
      <c r="B1596" s="431" t="s">
        <v>2253</v>
      </c>
      <c r="C1596" s="431" t="s">
        <v>2254</v>
      </c>
      <c r="D1596" s="431" t="s">
        <v>5384</v>
      </c>
      <c r="E1596" s="431" t="s">
        <v>5385</v>
      </c>
      <c r="F1596" s="431">
        <v>41950</v>
      </c>
      <c r="G1596" s="431" t="s">
        <v>46</v>
      </c>
      <c r="H1596" s="431" t="s">
        <v>2257</v>
      </c>
      <c r="I1596" s="431" t="s">
        <v>2258</v>
      </c>
      <c r="J1596" s="432">
        <v>46234</v>
      </c>
    </row>
    <row r="1597" spans="1:10">
      <c r="A1597" s="431">
        <v>1636</v>
      </c>
      <c r="B1597" s="431" t="s">
        <v>2253</v>
      </c>
      <c r="C1597" s="431" t="s">
        <v>2254</v>
      </c>
      <c r="D1597" s="431" t="s">
        <v>5386</v>
      </c>
      <c r="E1597" s="431" t="s">
        <v>5387</v>
      </c>
      <c r="F1597" s="431">
        <v>52280</v>
      </c>
      <c r="G1597" s="431" t="s">
        <v>46</v>
      </c>
      <c r="H1597" s="431" t="s">
        <v>2257</v>
      </c>
      <c r="I1597" s="431" t="s">
        <v>2258</v>
      </c>
      <c r="J1597" s="432">
        <v>46234</v>
      </c>
    </row>
    <row r="1598" spans="1:10">
      <c r="A1598" s="431">
        <v>1637</v>
      </c>
      <c r="B1598" s="431" t="s">
        <v>2253</v>
      </c>
      <c r="C1598" s="431" t="s">
        <v>2254</v>
      </c>
      <c r="D1598" s="431" t="s">
        <v>5388</v>
      </c>
      <c r="E1598" s="431" t="s">
        <v>5389</v>
      </c>
      <c r="F1598" s="431">
        <v>56800</v>
      </c>
      <c r="G1598" s="431" t="s">
        <v>46</v>
      </c>
      <c r="H1598" s="431" t="s">
        <v>2257</v>
      </c>
      <c r="I1598" s="431" t="s">
        <v>2258</v>
      </c>
      <c r="J1598" s="432">
        <v>46234</v>
      </c>
    </row>
    <row r="1599" spans="1:10">
      <c r="A1599" s="431">
        <v>1638</v>
      </c>
      <c r="B1599" s="431" t="s">
        <v>2253</v>
      </c>
      <c r="C1599" s="431" t="s">
        <v>2254</v>
      </c>
      <c r="D1599" s="431" t="s">
        <v>5390</v>
      </c>
      <c r="E1599" s="431" t="s">
        <v>5391</v>
      </c>
      <c r="F1599" s="431">
        <v>79200</v>
      </c>
      <c r="G1599" s="431" t="s">
        <v>46</v>
      </c>
      <c r="H1599" s="431" t="s">
        <v>2257</v>
      </c>
      <c r="I1599" s="431" t="s">
        <v>2258</v>
      </c>
      <c r="J1599" s="432">
        <v>46234</v>
      </c>
    </row>
    <row r="1600" spans="1:10">
      <c r="A1600" s="431">
        <v>1639</v>
      </c>
      <c r="B1600" s="431" t="s">
        <v>2253</v>
      </c>
      <c r="C1600" s="431" t="s">
        <v>2254</v>
      </c>
      <c r="D1600" s="431" t="s">
        <v>5392</v>
      </c>
      <c r="E1600" s="431" t="s">
        <v>5393</v>
      </c>
      <c r="F1600" s="431">
        <v>88800</v>
      </c>
      <c r="G1600" s="431" t="s">
        <v>46</v>
      </c>
      <c r="H1600" s="431" t="s">
        <v>2257</v>
      </c>
      <c r="I1600" s="431" t="s">
        <v>2258</v>
      </c>
      <c r="J1600" s="432">
        <v>46234</v>
      </c>
    </row>
    <row r="1601" spans="1:10">
      <c r="A1601" s="431">
        <v>1640</v>
      </c>
      <c r="B1601" s="431" t="s">
        <v>2253</v>
      </c>
      <c r="C1601" s="431" t="s">
        <v>2254</v>
      </c>
      <c r="D1601" s="431" t="s">
        <v>5394</v>
      </c>
      <c r="E1601" s="431" t="s">
        <v>5395</v>
      </c>
      <c r="F1601" s="431">
        <v>104360</v>
      </c>
      <c r="G1601" s="431" t="s">
        <v>46</v>
      </c>
      <c r="H1601" s="431" t="s">
        <v>2257</v>
      </c>
      <c r="I1601" s="431" t="s">
        <v>2258</v>
      </c>
      <c r="J1601" s="432">
        <v>46234</v>
      </c>
    </row>
    <row r="1602" spans="1:10">
      <c r="A1602" s="431">
        <v>1641</v>
      </c>
      <c r="B1602" s="431" t="s">
        <v>2253</v>
      </c>
      <c r="C1602" s="431" t="s">
        <v>2254</v>
      </c>
      <c r="D1602" s="431" t="s">
        <v>5396</v>
      </c>
      <c r="E1602" s="431" t="s">
        <v>5397</v>
      </c>
      <c r="F1602" s="431">
        <v>137240</v>
      </c>
      <c r="G1602" s="431" t="s">
        <v>46</v>
      </c>
      <c r="H1602" s="431" t="s">
        <v>2257</v>
      </c>
      <c r="I1602" s="431" t="s">
        <v>2258</v>
      </c>
      <c r="J1602" s="432">
        <v>46234</v>
      </c>
    </row>
    <row r="1603" spans="1:10">
      <c r="A1603" s="431">
        <v>1642</v>
      </c>
      <c r="B1603" s="431" t="s">
        <v>2253</v>
      </c>
      <c r="C1603" s="431" t="s">
        <v>2254</v>
      </c>
      <c r="D1603" s="431" t="s">
        <v>5398</v>
      </c>
      <c r="E1603" s="431" t="s">
        <v>5399</v>
      </c>
      <c r="F1603" s="431">
        <v>170890</v>
      </c>
      <c r="G1603" s="431" t="s">
        <v>46</v>
      </c>
      <c r="H1603" s="431" t="s">
        <v>2257</v>
      </c>
      <c r="I1603" s="431" t="s">
        <v>2258</v>
      </c>
      <c r="J1603" s="432">
        <v>46234</v>
      </c>
    </row>
    <row r="1604" spans="1:10">
      <c r="A1604" s="431">
        <v>1643</v>
      </c>
      <c r="B1604" s="431" t="s">
        <v>2253</v>
      </c>
      <c r="C1604" s="431" t="s">
        <v>2254</v>
      </c>
      <c r="D1604" s="431" t="s">
        <v>5400</v>
      </c>
      <c r="E1604" s="431" t="s">
        <v>5401</v>
      </c>
      <c r="F1604" s="431">
        <v>197800</v>
      </c>
      <c r="G1604" s="431" t="s">
        <v>46</v>
      </c>
      <c r="H1604" s="431" t="s">
        <v>2257</v>
      </c>
      <c r="I1604" s="431" t="s">
        <v>2258</v>
      </c>
      <c r="J1604" s="432">
        <v>46234</v>
      </c>
    </row>
    <row r="1605" spans="1:10">
      <c r="A1605" s="431">
        <v>1644</v>
      </c>
      <c r="B1605" s="431" t="s">
        <v>2253</v>
      </c>
      <c r="C1605" s="431" t="s">
        <v>2254</v>
      </c>
      <c r="D1605" s="431" t="s">
        <v>5402</v>
      </c>
      <c r="E1605" s="431" t="s">
        <v>5403</v>
      </c>
      <c r="F1605" s="431">
        <v>244800</v>
      </c>
      <c r="G1605" s="431" t="s">
        <v>46</v>
      </c>
      <c r="H1605" s="431" t="s">
        <v>2257</v>
      </c>
      <c r="I1605" s="431" t="s">
        <v>2258</v>
      </c>
      <c r="J1605" s="432">
        <v>46234</v>
      </c>
    </row>
    <row r="1606" spans="1:10">
      <c r="A1606" s="431">
        <v>1645</v>
      </c>
      <c r="B1606" s="431" t="s">
        <v>2253</v>
      </c>
      <c r="C1606" s="431" t="s">
        <v>2254</v>
      </c>
      <c r="D1606" s="431" t="s">
        <v>5404</v>
      </c>
      <c r="E1606" s="431" t="s">
        <v>5405</v>
      </c>
      <c r="F1606" s="431">
        <v>287000</v>
      </c>
      <c r="G1606" s="431" t="s">
        <v>46</v>
      </c>
      <c r="H1606" s="431" t="s">
        <v>2257</v>
      </c>
      <c r="I1606" s="431" t="s">
        <v>2258</v>
      </c>
      <c r="J1606" s="432">
        <v>46234</v>
      </c>
    </row>
    <row r="1607" spans="1:10">
      <c r="A1607" s="431">
        <v>1646</v>
      </c>
      <c r="B1607" s="431" t="s">
        <v>2253</v>
      </c>
      <c r="C1607" s="431" t="s">
        <v>2254</v>
      </c>
      <c r="D1607" s="431" t="s">
        <v>5406</v>
      </c>
      <c r="E1607" s="431" t="s">
        <v>5407</v>
      </c>
      <c r="F1607" s="431">
        <v>345600</v>
      </c>
      <c r="G1607" s="431" t="s">
        <v>46</v>
      </c>
      <c r="H1607" s="431" t="s">
        <v>2257</v>
      </c>
      <c r="I1607" s="431" t="s">
        <v>2258</v>
      </c>
      <c r="J1607" s="432">
        <v>46234</v>
      </c>
    </row>
    <row r="1608" spans="1:10">
      <c r="A1608" s="431">
        <v>1647</v>
      </c>
      <c r="B1608" s="431" t="s">
        <v>2253</v>
      </c>
      <c r="C1608" s="431" t="s">
        <v>2254</v>
      </c>
      <c r="D1608" s="431" t="s">
        <v>5408</v>
      </c>
      <c r="E1608" s="431" t="s">
        <v>5409</v>
      </c>
      <c r="F1608" s="431">
        <v>360000</v>
      </c>
      <c r="G1608" s="431" t="s">
        <v>46</v>
      </c>
      <c r="H1608" s="431" t="s">
        <v>2257</v>
      </c>
      <c r="I1608" s="431" t="s">
        <v>2258</v>
      </c>
      <c r="J1608" s="432">
        <v>46234</v>
      </c>
    </row>
    <row r="1609" spans="1:10">
      <c r="A1609" s="431">
        <v>1648</v>
      </c>
      <c r="B1609" s="431" t="s">
        <v>2253</v>
      </c>
      <c r="C1609" s="431" t="s">
        <v>2254</v>
      </c>
      <c r="D1609" s="431" t="s">
        <v>5410</v>
      </c>
      <c r="E1609" s="431" t="s">
        <v>5411</v>
      </c>
      <c r="F1609" s="431">
        <v>378800</v>
      </c>
      <c r="G1609" s="431" t="s">
        <v>46</v>
      </c>
      <c r="H1609" s="431" t="s">
        <v>2257</v>
      </c>
      <c r="I1609" s="431" t="s">
        <v>2258</v>
      </c>
      <c r="J1609" s="432">
        <v>46234</v>
      </c>
    </row>
    <row r="1610" spans="1:10">
      <c r="A1610" s="431">
        <v>1649</v>
      </c>
      <c r="B1610" s="431" t="s">
        <v>2253</v>
      </c>
      <c r="C1610" s="431" t="s">
        <v>2254</v>
      </c>
      <c r="D1610" s="431" t="s">
        <v>5412</v>
      </c>
      <c r="E1610" s="431" t="s">
        <v>5413</v>
      </c>
      <c r="F1610" s="431">
        <v>474100</v>
      </c>
      <c r="G1610" s="431" t="s">
        <v>46</v>
      </c>
      <c r="H1610" s="431" t="s">
        <v>2257</v>
      </c>
      <c r="I1610" s="431" t="s">
        <v>2258</v>
      </c>
      <c r="J1610" s="432">
        <v>46234</v>
      </c>
    </row>
    <row r="1611" spans="1:10">
      <c r="A1611" s="431">
        <v>1650</v>
      </c>
      <c r="B1611" s="431" t="s">
        <v>2253</v>
      </c>
      <c r="C1611" s="431" t="s">
        <v>2254</v>
      </c>
      <c r="D1611" s="431" t="s">
        <v>5414</v>
      </c>
      <c r="E1611" s="431" t="s">
        <v>5415</v>
      </c>
      <c r="F1611" s="431">
        <v>514900</v>
      </c>
      <c r="G1611" s="431" t="s">
        <v>46</v>
      </c>
      <c r="H1611" s="431" t="s">
        <v>2257</v>
      </c>
      <c r="I1611" s="431" t="s">
        <v>2258</v>
      </c>
      <c r="J1611" s="432">
        <v>46234</v>
      </c>
    </row>
    <row r="1612" spans="1:10">
      <c r="A1612" s="431">
        <v>1651</v>
      </c>
      <c r="B1612" s="431" t="s">
        <v>2253</v>
      </c>
      <c r="C1612" s="431" t="s">
        <v>2254</v>
      </c>
      <c r="D1612" s="431" t="s">
        <v>5416</v>
      </c>
      <c r="E1612" s="431" t="s">
        <v>5417</v>
      </c>
      <c r="F1612" s="431">
        <v>515200</v>
      </c>
      <c r="G1612" s="431" t="s">
        <v>46</v>
      </c>
      <c r="H1612" s="431" t="s">
        <v>2257</v>
      </c>
      <c r="I1612" s="431" t="s">
        <v>2258</v>
      </c>
      <c r="J1612" s="432">
        <v>46234</v>
      </c>
    </row>
    <row r="1613" spans="1:10">
      <c r="A1613" s="431">
        <v>1652</v>
      </c>
      <c r="B1613" s="431" t="s">
        <v>2253</v>
      </c>
      <c r="C1613" s="431" t="s">
        <v>2254</v>
      </c>
      <c r="D1613" s="431" t="s">
        <v>5418</v>
      </c>
      <c r="E1613" s="431" t="s">
        <v>5419</v>
      </c>
      <c r="F1613" s="431">
        <v>596400</v>
      </c>
      <c r="G1613" s="431" t="s">
        <v>46</v>
      </c>
      <c r="H1613" s="431" t="s">
        <v>2257</v>
      </c>
      <c r="I1613" s="431" t="s">
        <v>2258</v>
      </c>
      <c r="J1613" s="432">
        <v>46234</v>
      </c>
    </row>
    <row r="1614" spans="1:10">
      <c r="A1614" s="431">
        <v>1653</v>
      </c>
      <c r="B1614" s="431" t="s">
        <v>2253</v>
      </c>
      <c r="C1614" s="431" t="s">
        <v>2254</v>
      </c>
      <c r="D1614" s="431" t="s">
        <v>5420</v>
      </c>
      <c r="E1614" s="431" t="s">
        <v>5421</v>
      </c>
      <c r="F1614" s="431">
        <v>10336</v>
      </c>
      <c r="G1614" s="431" t="s">
        <v>46</v>
      </c>
      <c r="H1614" s="431" t="s">
        <v>2257</v>
      </c>
      <c r="I1614" s="431" t="s">
        <v>2258</v>
      </c>
      <c r="J1614" s="432">
        <v>46234</v>
      </c>
    </row>
    <row r="1615" spans="1:10">
      <c r="A1615" s="431">
        <v>1654</v>
      </c>
      <c r="B1615" s="431" t="s">
        <v>2253</v>
      </c>
      <c r="C1615" s="431" t="s">
        <v>2254</v>
      </c>
      <c r="D1615" s="431" t="s">
        <v>5422</v>
      </c>
      <c r="E1615" s="431" t="s">
        <v>5423</v>
      </c>
      <c r="F1615" s="431">
        <v>5790</v>
      </c>
      <c r="G1615" s="431" t="s">
        <v>46</v>
      </c>
      <c r="H1615" s="431" t="s">
        <v>2257</v>
      </c>
      <c r="I1615" s="431" t="s">
        <v>2258</v>
      </c>
      <c r="J1615" s="432">
        <v>46234</v>
      </c>
    </row>
    <row r="1616" spans="1:10">
      <c r="A1616" s="431">
        <v>1655</v>
      </c>
      <c r="B1616" s="431" t="s">
        <v>2253</v>
      </c>
      <c r="C1616" s="431" t="s">
        <v>2254</v>
      </c>
      <c r="D1616" s="431" t="s">
        <v>5424</v>
      </c>
      <c r="E1616" s="431" t="s">
        <v>5425</v>
      </c>
      <c r="F1616" s="431">
        <v>6520</v>
      </c>
      <c r="G1616" s="431" t="s">
        <v>46</v>
      </c>
      <c r="H1616" s="431" t="s">
        <v>2257</v>
      </c>
      <c r="I1616" s="431" t="s">
        <v>2258</v>
      </c>
      <c r="J1616" s="432">
        <v>46234</v>
      </c>
    </row>
    <row r="1617" spans="1:10">
      <c r="A1617" s="431">
        <v>1656</v>
      </c>
      <c r="B1617" s="431" t="s">
        <v>2253</v>
      </c>
      <c r="C1617" s="431" t="s">
        <v>2254</v>
      </c>
      <c r="D1617" s="431" t="s">
        <v>5426</v>
      </c>
      <c r="E1617" s="431" t="s">
        <v>5427</v>
      </c>
      <c r="F1617" s="431">
        <v>7750</v>
      </c>
      <c r="G1617" s="431" t="s">
        <v>46</v>
      </c>
      <c r="H1617" s="431" t="s">
        <v>2257</v>
      </c>
      <c r="I1617" s="431" t="s">
        <v>2258</v>
      </c>
      <c r="J1617" s="432">
        <v>46234</v>
      </c>
    </row>
    <row r="1618" spans="1:10">
      <c r="A1618" s="431">
        <v>1657</v>
      </c>
      <c r="B1618" s="431" t="s">
        <v>2253</v>
      </c>
      <c r="C1618" s="431" t="s">
        <v>2254</v>
      </c>
      <c r="D1618" s="431" t="s">
        <v>5428</v>
      </c>
      <c r="E1618" s="431" t="s">
        <v>5429</v>
      </c>
      <c r="F1618" s="431">
        <v>10100</v>
      </c>
      <c r="G1618" s="431" t="s">
        <v>46</v>
      </c>
      <c r="H1618" s="431" t="s">
        <v>2257</v>
      </c>
      <c r="I1618" s="431" t="s">
        <v>2258</v>
      </c>
      <c r="J1618" s="432">
        <v>46234</v>
      </c>
    </row>
    <row r="1619" spans="1:10">
      <c r="A1619" s="431">
        <v>1658</v>
      </c>
      <c r="B1619" s="431" t="s">
        <v>2253</v>
      </c>
      <c r="C1619" s="431" t="s">
        <v>2254</v>
      </c>
      <c r="D1619" s="431" t="s">
        <v>5430</v>
      </c>
      <c r="E1619" s="431" t="s">
        <v>5431</v>
      </c>
      <c r="F1619" s="431">
        <v>11570</v>
      </c>
      <c r="G1619" s="431" t="s">
        <v>46</v>
      </c>
      <c r="H1619" s="431" t="s">
        <v>2257</v>
      </c>
      <c r="I1619" s="431" t="s">
        <v>2258</v>
      </c>
      <c r="J1619" s="432">
        <v>46234</v>
      </c>
    </row>
    <row r="1620" spans="1:10">
      <c r="A1620" s="431">
        <v>1659</v>
      </c>
      <c r="B1620" s="431" t="s">
        <v>2253</v>
      </c>
      <c r="C1620" s="431" t="s">
        <v>2254</v>
      </c>
      <c r="D1620" s="431" t="s">
        <v>5432</v>
      </c>
      <c r="E1620" s="431" t="s">
        <v>5433</v>
      </c>
      <c r="F1620" s="431">
        <v>29131</v>
      </c>
      <c r="G1620" s="431" t="s">
        <v>46</v>
      </c>
      <c r="H1620" s="431" t="s">
        <v>2573</v>
      </c>
      <c r="I1620" s="431" t="s">
        <v>2574</v>
      </c>
      <c r="J1620" s="432">
        <v>46234</v>
      </c>
    </row>
    <row r="1621" spans="1:10">
      <c r="A1621" s="431">
        <v>1660</v>
      </c>
      <c r="B1621" s="431" t="s">
        <v>2253</v>
      </c>
      <c r="C1621" s="431" t="s">
        <v>2254</v>
      </c>
      <c r="D1621" s="431" t="s">
        <v>5434</v>
      </c>
      <c r="E1621" s="431" t="s">
        <v>5435</v>
      </c>
      <c r="F1621" s="431">
        <v>17840</v>
      </c>
      <c r="G1621" s="431" t="s">
        <v>46</v>
      </c>
      <c r="H1621" s="431" t="s">
        <v>2257</v>
      </c>
      <c r="I1621" s="431" t="s">
        <v>2258</v>
      </c>
      <c r="J1621" s="432">
        <v>46234</v>
      </c>
    </row>
    <row r="1622" spans="1:10">
      <c r="A1622" s="431">
        <v>1661</v>
      </c>
      <c r="B1622" s="431" t="s">
        <v>2253</v>
      </c>
      <c r="C1622" s="431" t="s">
        <v>2254</v>
      </c>
      <c r="D1622" s="431" t="s">
        <v>5436</v>
      </c>
      <c r="E1622" s="431" t="s">
        <v>5437</v>
      </c>
      <c r="F1622" s="431">
        <v>21540</v>
      </c>
      <c r="G1622" s="431" t="s">
        <v>46</v>
      </c>
      <c r="H1622" s="431" t="s">
        <v>2257</v>
      </c>
      <c r="I1622" s="431" t="s">
        <v>2258</v>
      </c>
      <c r="J1622" s="432">
        <v>46234</v>
      </c>
    </row>
    <row r="1623" spans="1:10">
      <c r="A1623" s="431">
        <v>1662</v>
      </c>
      <c r="B1623" s="431" t="s">
        <v>2253</v>
      </c>
      <c r="C1623" s="431" t="s">
        <v>2254</v>
      </c>
      <c r="D1623" s="431" t="s">
        <v>5438</v>
      </c>
      <c r="E1623" s="431" t="s">
        <v>5439</v>
      </c>
      <c r="F1623" s="431">
        <v>31780</v>
      </c>
      <c r="G1623" s="431" t="s">
        <v>46</v>
      </c>
      <c r="H1623" s="431" t="s">
        <v>2257</v>
      </c>
      <c r="I1623" s="431" t="s">
        <v>2258</v>
      </c>
      <c r="J1623" s="432">
        <v>46234</v>
      </c>
    </row>
    <row r="1624" spans="1:10">
      <c r="A1624" s="431">
        <v>1663</v>
      </c>
      <c r="B1624" s="431" t="s">
        <v>2253</v>
      </c>
      <c r="C1624" s="431" t="s">
        <v>2254</v>
      </c>
      <c r="D1624" s="431" t="s">
        <v>5440</v>
      </c>
      <c r="E1624" s="431" t="s">
        <v>5441</v>
      </c>
      <c r="F1624" s="431">
        <v>36100</v>
      </c>
      <c r="G1624" s="431" t="s">
        <v>46</v>
      </c>
      <c r="H1624" s="431" t="s">
        <v>2257</v>
      </c>
      <c r="I1624" s="431" t="s">
        <v>2258</v>
      </c>
      <c r="J1624" s="432">
        <v>46234</v>
      </c>
    </row>
    <row r="1625" spans="1:10">
      <c r="A1625" s="431">
        <v>1664</v>
      </c>
      <c r="B1625" s="431" t="s">
        <v>2253</v>
      </c>
      <c r="C1625" s="431" t="s">
        <v>2254</v>
      </c>
      <c r="D1625" s="431" t="s">
        <v>5442</v>
      </c>
      <c r="E1625" s="431" t="s">
        <v>5443</v>
      </c>
      <c r="F1625" s="431">
        <v>39100</v>
      </c>
      <c r="G1625" s="431" t="s">
        <v>46</v>
      </c>
      <c r="H1625" s="431" t="s">
        <v>2257</v>
      </c>
      <c r="I1625" s="431" t="s">
        <v>2258</v>
      </c>
      <c r="J1625" s="432">
        <v>46234</v>
      </c>
    </row>
    <row r="1626" spans="1:10">
      <c r="A1626" s="431">
        <v>1665</v>
      </c>
      <c r="B1626" s="431" t="s">
        <v>2253</v>
      </c>
      <c r="C1626" s="431" t="s">
        <v>2254</v>
      </c>
      <c r="D1626" s="431" t="s">
        <v>5444</v>
      </c>
      <c r="E1626" s="431" t="s">
        <v>5445</v>
      </c>
      <c r="F1626" s="431">
        <v>51000</v>
      </c>
      <c r="G1626" s="431" t="s">
        <v>46</v>
      </c>
      <c r="H1626" s="431" t="s">
        <v>2257</v>
      </c>
      <c r="I1626" s="431" t="s">
        <v>2258</v>
      </c>
      <c r="J1626" s="432">
        <v>46234</v>
      </c>
    </row>
    <row r="1627" spans="1:10">
      <c r="A1627" s="431">
        <v>1666</v>
      </c>
      <c r="B1627" s="431" t="s">
        <v>2253</v>
      </c>
      <c r="C1627" s="431" t="s">
        <v>2254</v>
      </c>
      <c r="D1627" s="431" t="s">
        <v>5446</v>
      </c>
      <c r="E1627" s="431" t="s">
        <v>5447</v>
      </c>
      <c r="F1627" s="431">
        <v>68180</v>
      </c>
      <c r="G1627" s="431" t="s">
        <v>46</v>
      </c>
      <c r="H1627" s="431" t="s">
        <v>2257</v>
      </c>
      <c r="I1627" s="431" t="s">
        <v>2258</v>
      </c>
      <c r="J1627" s="432">
        <v>46234</v>
      </c>
    </row>
    <row r="1628" spans="1:10">
      <c r="A1628" s="431">
        <v>1667</v>
      </c>
      <c r="B1628" s="431" t="s">
        <v>2253</v>
      </c>
      <c r="C1628" s="431" t="s">
        <v>2254</v>
      </c>
      <c r="D1628" s="431" t="s">
        <v>5448</v>
      </c>
      <c r="E1628" s="431" t="s">
        <v>5449</v>
      </c>
      <c r="F1628" s="431">
        <v>74570</v>
      </c>
      <c r="G1628" s="431" t="s">
        <v>46</v>
      </c>
      <c r="H1628" s="431" t="s">
        <v>2257</v>
      </c>
      <c r="I1628" s="431" t="s">
        <v>2258</v>
      </c>
      <c r="J1628" s="432">
        <v>46234</v>
      </c>
    </row>
    <row r="1629" spans="1:10">
      <c r="A1629" s="431">
        <v>1668</v>
      </c>
      <c r="B1629" s="431" t="s">
        <v>2253</v>
      </c>
      <c r="C1629" s="431" t="s">
        <v>2254</v>
      </c>
      <c r="D1629" s="431" t="s">
        <v>5450</v>
      </c>
      <c r="E1629" s="431" t="s">
        <v>5451</v>
      </c>
      <c r="F1629" s="431">
        <v>103800</v>
      </c>
      <c r="G1629" s="431" t="s">
        <v>46</v>
      </c>
      <c r="H1629" s="431" t="s">
        <v>2257</v>
      </c>
      <c r="I1629" s="431" t="s">
        <v>2258</v>
      </c>
      <c r="J1629" s="432">
        <v>46234</v>
      </c>
    </row>
    <row r="1630" spans="1:10">
      <c r="A1630" s="431">
        <v>1669</v>
      </c>
      <c r="B1630" s="431" t="s">
        <v>2253</v>
      </c>
      <c r="C1630" s="431" t="s">
        <v>2254</v>
      </c>
      <c r="D1630" s="431" t="s">
        <v>5452</v>
      </c>
      <c r="E1630" s="431" t="s">
        <v>5453</v>
      </c>
      <c r="F1630" s="431">
        <v>130400</v>
      </c>
      <c r="G1630" s="431" t="s">
        <v>46</v>
      </c>
      <c r="H1630" s="431" t="s">
        <v>2257</v>
      </c>
      <c r="I1630" s="431" t="s">
        <v>2258</v>
      </c>
      <c r="J1630" s="432">
        <v>46234</v>
      </c>
    </row>
    <row r="1631" spans="1:10">
      <c r="A1631" s="431">
        <v>1670</v>
      </c>
      <c r="B1631" s="431" t="s">
        <v>2253</v>
      </c>
      <c r="C1631" s="431" t="s">
        <v>2254</v>
      </c>
      <c r="D1631" s="431" t="s">
        <v>5454</v>
      </c>
      <c r="E1631" s="431" t="s">
        <v>5455</v>
      </c>
      <c r="F1631" s="431">
        <v>163300</v>
      </c>
      <c r="G1631" s="431" t="s">
        <v>46</v>
      </c>
      <c r="H1631" s="431" t="s">
        <v>2257</v>
      </c>
      <c r="I1631" s="431" t="s">
        <v>2258</v>
      </c>
      <c r="J1631" s="432">
        <v>46234</v>
      </c>
    </row>
    <row r="1632" spans="1:10">
      <c r="A1632" s="431">
        <v>1671</v>
      </c>
      <c r="B1632" s="431" t="s">
        <v>2253</v>
      </c>
      <c r="C1632" s="431" t="s">
        <v>2254</v>
      </c>
      <c r="D1632" s="431" t="s">
        <v>5456</v>
      </c>
      <c r="E1632" s="431" t="s">
        <v>5457</v>
      </c>
      <c r="F1632" s="431">
        <v>187500</v>
      </c>
      <c r="G1632" s="431" t="s">
        <v>46</v>
      </c>
      <c r="H1632" s="431" t="s">
        <v>2257</v>
      </c>
      <c r="I1632" s="431" t="s">
        <v>2258</v>
      </c>
      <c r="J1632" s="432">
        <v>46234</v>
      </c>
    </row>
    <row r="1633" spans="1:10">
      <c r="A1633" s="431">
        <v>1672</v>
      </c>
      <c r="B1633" s="431" t="s">
        <v>2253</v>
      </c>
      <c r="C1633" s="431" t="s">
        <v>2254</v>
      </c>
      <c r="D1633" s="431" t="s">
        <v>5458</v>
      </c>
      <c r="E1633" s="431" t="s">
        <v>5459</v>
      </c>
      <c r="F1633" s="431">
        <v>219100</v>
      </c>
      <c r="G1633" s="431" t="s">
        <v>46</v>
      </c>
      <c r="H1633" s="431" t="s">
        <v>2257</v>
      </c>
      <c r="I1633" s="431" t="s">
        <v>2258</v>
      </c>
      <c r="J1633" s="432">
        <v>46234</v>
      </c>
    </row>
    <row r="1634" spans="1:10">
      <c r="A1634" s="431">
        <v>1673</v>
      </c>
      <c r="B1634" s="431" t="s">
        <v>2253</v>
      </c>
      <c r="C1634" s="431" t="s">
        <v>2254</v>
      </c>
      <c r="D1634" s="431" t="s">
        <v>5460</v>
      </c>
      <c r="E1634" s="431" t="s">
        <v>5461</v>
      </c>
      <c r="F1634" s="431">
        <v>274200</v>
      </c>
      <c r="G1634" s="431" t="s">
        <v>46</v>
      </c>
      <c r="H1634" s="431" t="s">
        <v>2257</v>
      </c>
      <c r="I1634" s="431" t="s">
        <v>2258</v>
      </c>
      <c r="J1634" s="432">
        <v>46234</v>
      </c>
    </row>
    <row r="1635" spans="1:10">
      <c r="A1635" s="431">
        <v>1674</v>
      </c>
      <c r="B1635" s="431" t="s">
        <v>2253</v>
      </c>
      <c r="C1635" s="431" t="s">
        <v>2254</v>
      </c>
      <c r="D1635" s="431" t="s">
        <v>5462</v>
      </c>
      <c r="E1635" s="431" t="s">
        <v>5463</v>
      </c>
      <c r="F1635" s="431">
        <v>305700</v>
      </c>
      <c r="G1635" s="431" t="s">
        <v>46</v>
      </c>
      <c r="H1635" s="431" t="s">
        <v>2257</v>
      </c>
      <c r="I1635" s="431" t="s">
        <v>2258</v>
      </c>
      <c r="J1635" s="432">
        <v>46234</v>
      </c>
    </row>
    <row r="1636" spans="1:10">
      <c r="A1636" s="431">
        <v>1675</v>
      </c>
      <c r="B1636" s="431" t="s">
        <v>2253</v>
      </c>
      <c r="C1636" s="431" t="s">
        <v>2254</v>
      </c>
      <c r="D1636" s="431" t="s">
        <v>5464</v>
      </c>
      <c r="E1636" s="431" t="s">
        <v>5465</v>
      </c>
      <c r="F1636" s="431">
        <v>356900</v>
      </c>
      <c r="G1636" s="431" t="s">
        <v>46</v>
      </c>
      <c r="H1636" s="431" t="s">
        <v>2257</v>
      </c>
      <c r="I1636" s="431" t="s">
        <v>2258</v>
      </c>
      <c r="J1636" s="432">
        <v>46234</v>
      </c>
    </row>
    <row r="1637" spans="1:10">
      <c r="A1637" s="431">
        <v>1676</v>
      </c>
      <c r="B1637" s="431" t="s">
        <v>2253</v>
      </c>
      <c r="C1637" s="431" t="s">
        <v>2254</v>
      </c>
      <c r="D1637" s="431" t="s">
        <v>5466</v>
      </c>
      <c r="E1637" s="431" t="s">
        <v>5467</v>
      </c>
      <c r="F1637" s="431">
        <v>405100</v>
      </c>
      <c r="G1637" s="431" t="s">
        <v>46</v>
      </c>
      <c r="H1637" s="431" t="s">
        <v>2257</v>
      </c>
      <c r="I1637" s="431" t="s">
        <v>2258</v>
      </c>
      <c r="J1637" s="432">
        <v>46234</v>
      </c>
    </row>
    <row r="1638" spans="1:10">
      <c r="A1638" s="431">
        <v>1677</v>
      </c>
      <c r="B1638" s="431" t="s">
        <v>2253</v>
      </c>
      <c r="C1638" s="431" t="s">
        <v>2254</v>
      </c>
      <c r="D1638" s="431" t="s">
        <v>5468</v>
      </c>
      <c r="E1638" s="431" t="s">
        <v>5469</v>
      </c>
      <c r="F1638" s="431">
        <v>459100</v>
      </c>
      <c r="G1638" s="431" t="s">
        <v>46</v>
      </c>
      <c r="H1638" s="431" t="s">
        <v>2257</v>
      </c>
      <c r="I1638" s="431" t="s">
        <v>2258</v>
      </c>
      <c r="J1638" s="432">
        <v>46234</v>
      </c>
    </row>
    <row r="1639" spans="1:10">
      <c r="A1639" s="431">
        <v>1678</v>
      </c>
      <c r="B1639" s="431" t="s">
        <v>2253</v>
      </c>
      <c r="C1639" s="431" t="s">
        <v>2254</v>
      </c>
      <c r="D1639" s="431" t="s">
        <v>5470</v>
      </c>
      <c r="E1639" s="431" t="s">
        <v>5471</v>
      </c>
      <c r="F1639" s="431">
        <v>491500</v>
      </c>
      <c r="G1639" s="431" t="s">
        <v>46</v>
      </c>
      <c r="H1639" s="431" t="s">
        <v>2257</v>
      </c>
      <c r="I1639" s="431" t="s">
        <v>2258</v>
      </c>
      <c r="J1639" s="432">
        <v>46234</v>
      </c>
    </row>
    <row r="1640" spans="1:10">
      <c r="A1640" s="431">
        <v>1679</v>
      </c>
      <c r="B1640" s="431" t="s">
        <v>2253</v>
      </c>
      <c r="C1640" s="431" t="s">
        <v>2254</v>
      </c>
      <c r="D1640" s="431" t="s">
        <v>5472</v>
      </c>
      <c r="E1640" s="431" t="s">
        <v>5473</v>
      </c>
      <c r="F1640" s="431">
        <v>506200</v>
      </c>
      <c r="G1640" s="431" t="s">
        <v>46</v>
      </c>
      <c r="H1640" s="431" t="s">
        <v>2257</v>
      </c>
      <c r="I1640" s="431" t="s">
        <v>2258</v>
      </c>
      <c r="J1640" s="432">
        <v>46234</v>
      </c>
    </row>
    <row r="1641" spans="1:10">
      <c r="A1641" s="431">
        <v>1680</v>
      </c>
      <c r="B1641" s="431" t="s">
        <v>2253</v>
      </c>
      <c r="C1641" s="431" t="s">
        <v>2254</v>
      </c>
      <c r="D1641" s="431" t="s">
        <v>5474</v>
      </c>
      <c r="E1641" s="431" t="s">
        <v>5475</v>
      </c>
      <c r="F1641" s="431">
        <v>541300</v>
      </c>
      <c r="G1641" s="431" t="s">
        <v>46</v>
      </c>
      <c r="H1641" s="431" t="s">
        <v>2257</v>
      </c>
      <c r="I1641" s="431" t="s">
        <v>2258</v>
      </c>
      <c r="J1641" s="432">
        <v>46234</v>
      </c>
    </row>
    <row r="1642" spans="1:10">
      <c r="A1642" s="431">
        <v>1681</v>
      </c>
      <c r="B1642" s="431" t="s">
        <v>2253</v>
      </c>
      <c r="C1642" s="431" t="s">
        <v>2254</v>
      </c>
      <c r="D1642" s="431" t="s">
        <v>5476</v>
      </c>
      <c r="E1642" s="431" t="s">
        <v>5477</v>
      </c>
      <c r="F1642" s="431">
        <v>629300</v>
      </c>
      <c r="G1642" s="431" t="s">
        <v>46</v>
      </c>
      <c r="H1642" s="431" t="s">
        <v>2257</v>
      </c>
      <c r="I1642" s="431" t="s">
        <v>2258</v>
      </c>
      <c r="J1642" s="432">
        <v>46234</v>
      </c>
    </row>
    <row r="1643" spans="1:10">
      <c r="A1643" s="431">
        <v>1682</v>
      </c>
      <c r="B1643" s="431" t="s">
        <v>2253</v>
      </c>
      <c r="C1643" s="431" t="s">
        <v>2254</v>
      </c>
      <c r="D1643" s="431" t="s">
        <v>5478</v>
      </c>
      <c r="E1643" s="431" t="s">
        <v>5479</v>
      </c>
      <c r="F1643" s="431">
        <v>779000</v>
      </c>
      <c r="G1643" s="431" t="s">
        <v>46</v>
      </c>
      <c r="H1643" s="431" t="s">
        <v>2257</v>
      </c>
      <c r="I1643" s="431" t="s">
        <v>2258</v>
      </c>
      <c r="J1643" s="432">
        <v>46234</v>
      </c>
    </row>
    <row r="1644" spans="1:10">
      <c r="A1644" s="431">
        <v>1683</v>
      </c>
      <c r="B1644" s="431" t="s">
        <v>2253</v>
      </c>
      <c r="C1644" s="431" t="s">
        <v>2254</v>
      </c>
      <c r="D1644" s="431" t="s">
        <v>5480</v>
      </c>
      <c r="E1644" s="431" t="s">
        <v>5481</v>
      </c>
      <c r="F1644" s="431">
        <v>12500</v>
      </c>
      <c r="G1644" s="431" t="s">
        <v>46</v>
      </c>
      <c r="H1644" s="431" t="s">
        <v>2257</v>
      </c>
      <c r="I1644" s="431" t="s">
        <v>2258</v>
      </c>
      <c r="J1644" s="432">
        <v>46234</v>
      </c>
    </row>
    <row r="1645" spans="1:10">
      <c r="A1645" s="431">
        <v>1684</v>
      </c>
      <c r="B1645" s="431" t="s">
        <v>2253</v>
      </c>
      <c r="C1645" s="431" t="s">
        <v>2254</v>
      </c>
      <c r="D1645" s="431" t="s">
        <v>5482</v>
      </c>
      <c r="E1645" s="431" t="s">
        <v>5483</v>
      </c>
      <c r="F1645" s="431">
        <v>13615</v>
      </c>
      <c r="G1645" s="431" t="s">
        <v>46</v>
      </c>
      <c r="H1645" s="431" t="s">
        <v>2257</v>
      </c>
      <c r="I1645" s="431" t="s">
        <v>2258</v>
      </c>
      <c r="J1645" s="432">
        <v>46234</v>
      </c>
    </row>
    <row r="1646" spans="1:10">
      <c r="A1646" s="431">
        <v>1685</v>
      </c>
      <c r="B1646" s="431" t="s">
        <v>2253</v>
      </c>
      <c r="C1646" s="431" t="s">
        <v>2254</v>
      </c>
      <c r="D1646" s="431" t="s">
        <v>5484</v>
      </c>
      <c r="E1646" s="431" t="s">
        <v>5485</v>
      </c>
      <c r="F1646" s="431">
        <v>16751</v>
      </c>
      <c r="G1646" s="431" t="s">
        <v>46</v>
      </c>
      <c r="H1646" s="431" t="s">
        <v>2257</v>
      </c>
      <c r="I1646" s="431" t="s">
        <v>2258</v>
      </c>
      <c r="J1646" s="432">
        <v>46234</v>
      </c>
    </row>
    <row r="1647" spans="1:10">
      <c r="A1647" s="431">
        <v>1686</v>
      </c>
      <c r="B1647" s="431" t="s">
        <v>2253</v>
      </c>
      <c r="C1647" s="431" t="s">
        <v>2254</v>
      </c>
      <c r="D1647" s="431" t="s">
        <v>5486</v>
      </c>
      <c r="E1647" s="431" t="s">
        <v>5487</v>
      </c>
      <c r="F1647" s="431">
        <v>20385</v>
      </c>
      <c r="G1647" s="431" t="s">
        <v>46</v>
      </c>
      <c r="H1647" s="431" t="s">
        <v>2257</v>
      </c>
      <c r="I1647" s="431" t="s">
        <v>2258</v>
      </c>
      <c r="J1647" s="432">
        <v>46234</v>
      </c>
    </row>
    <row r="1648" spans="1:10">
      <c r="A1648" s="431">
        <v>1687</v>
      </c>
      <c r="B1648" s="431" t="s">
        <v>2253</v>
      </c>
      <c r="C1648" s="431" t="s">
        <v>2254</v>
      </c>
      <c r="D1648" s="431" t="s">
        <v>5488</v>
      </c>
      <c r="E1648" s="431" t="s">
        <v>5489</v>
      </c>
      <c r="F1648" s="431">
        <v>23621</v>
      </c>
      <c r="G1648" s="431" t="s">
        <v>46</v>
      </c>
      <c r="H1648" s="431" t="s">
        <v>2257</v>
      </c>
      <c r="I1648" s="431" t="s">
        <v>2258</v>
      </c>
      <c r="J1648" s="432">
        <v>46234</v>
      </c>
    </row>
    <row r="1649" spans="1:10">
      <c r="A1649" s="431">
        <v>1688</v>
      </c>
      <c r="B1649" s="431" t="s">
        <v>2253</v>
      </c>
      <c r="C1649" s="431" t="s">
        <v>2254</v>
      </c>
      <c r="D1649" s="431" t="s">
        <v>5490</v>
      </c>
      <c r="E1649" s="431" t="s">
        <v>5491</v>
      </c>
      <c r="F1649" s="431">
        <v>31262</v>
      </c>
      <c r="G1649" s="431" t="s">
        <v>46</v>
      </c>
      <c r="H1649" s="431" t="s">
        <v>2257</v>
      </c>
      <c r="I1649" s="431" t="s">
        <v>2258</v>
      </c>
      <c r="J1649" s="432">
        <v>46234</v>
      </c>
    </row>
    <row r="1650" spans="1:10">
      <c r="A1650" s="431">
        <v>1689</v>
      </c>
      <c r="B1650" s="431" t="s">
        <v>2253</v>
      </c>
      <c r="C1650" s="431" t="s">
        <v>2254</v>
      </c>
      <c r="D1650" s="431" t="s">
        <v>5492</v>
      </c>
      <c r="E1650" s="431" t="s">
        <v>5493</v>
      </c>
      <c r="F1650" s="431">
        <v>48084</v>
      </c>
      <c r="G1650" s="431" t="s">
        <v>46</v>
      </c>
      <c r="H1650" s="431" t="s">
        <v>2257</v>
      </c>
      <c r="I1650" s="431" t="s">
        <v>2258</v>
      </c>
      <c r="J1650" s="432">
        <v>46234</v>
      </c>
    </row>
    <row r="1651" spans="1:10">
      <c r="A1651" s="431">
        <v>1690</v>
      </c>
      <c r="B1651" s="431" t="s">
        <v>2253</v>
      </c>
      <c r="C1651" s="431" t="s">
        <v>2254</v>
      </c>
      <c r="D1651" s="431" t="s">
        <v>5494</v>
      </c>
      <c r="E1651" s="431" t="s">
        <v>5495</v>
      </c>
      <c r="F1651" s="431">
        <v>51901</v>
      </c>
      <c r="G1651" s="431" t="s">
        <v>46</v>
      </c>
      <c r="H1651" s="431" t="s">
        <v>2257</v>
      </c>
      <c r="I1651" s="431" t="s">
        <v>2258</v>
      </c>
      <c r="J1651" s="432">
        <v>46234</v>
      </c>
    </row>
    <row r="1652" spans="1:10">
      <c r="A1652" s="431">
        <v>1691</v>
      </c>
      <c r="B1652" s="431" t="s">
        <v>2253</v>
      </c>
      <c r="C1652" s="431" t="s">
        <v>2254</v>
      </c>
      <c r="D1652" s="431" t="s">
        <v>5496</v>
      </c>
      <c r="E1652" s="431" t="s">
        <v>5497</v>
      </c>
      <c r="F1652" s="431">
        <v>63198</v>
      </c>
      <c r="G1652" s="431" t="s">
        <v>46</v>
      </c>
      <c r="H1652" s="431" t="s">
        <v>2257</v>
      </c>
      <c r="I1652" s="431" t="s">
        <v>2258</v>
      </c>
      <c r="J1652" s="432">
        <v>46234</v>
      </c>
    </row>
    <row r="1653" spans="1:10">
      <c r="A1653" s="431">
        <v>1692</v>
      </c>
      <c r="B1653" s="431" t="s">
        <v>2253</v>
      </c>
      <c r="C1653" s="431" t="s">
        <v>2254</v>
      </c>
      <c r="D1653" s="431" t="s">
        <v>5498</v>
      </c>
      <c r="E1653" s="431" t="s">
        <v>5499</v>
      </c>
      <c r="F1653" s="431">
        <v>77930</v>
      </c>
      <c r="G1653" s="431" t="s">
        <v>46</v>
      </c>
      <c r="H1653" s="431" t="s">
        <v>2257</v>
      </c>
      <c r="I1653" s="431" t="s">
        <v>2258</v>
      </c>
      <c r="J1653" s="432">
        <v>46234</v>
      </c>
    </row>
    <row r="1654" spans="1:10">
      <c r="A1654" s="431">
        <v>1693</v>
      </c>
      <c r="B1654" s="431" t="s">
        <v>2253</v>
      </c>
      <c r="C1654" s="431" t="s">
        <v>2254</v>
      </c>
      <c r="D1654" s="431" t="s">
        <v>5500</v>
      </c>
      <c r="E1654" s="431" t="s">
        <v>5501</v>
      </c>
      <c r="F1654" s="431">
        <v>101342</v>
      </c>
      <c r="G1654" s="431" t="s">
        <v>46</v>
      </c>
      <c r="H1654" s="431" t="s">
        <v>2257</v>
      </c>
      <c r="I1654" s="431" t="s">
        <v>2258</v>
      </c>
      <c r="J1654" s="432">
        <v>46234</v>
      </c>
    </row>
    <row r="1655" spans="1:10">
      <c r="A1655" s="431">
        <v>1694</v>
      </c>
      <c r="B1655" s="431" t="s">
        <v>2253</v>
      </c>
      <c r="C1655" s="431" t="s">
        <v>2254</v>
      </c>
      <c r="D1655" s="431" t="s">
        <v>5502</v>
      </c>
      <c r="E1655" s="431" t="s">
        <v>5503</v>
      </c>
      <c r="F1655" s="431">
        <v>106874</v>
      </c>
      <c r="G1655" s="431" t="s">
        <v>46</v>
      </c>
      <c r="H1655" s="431" t="s">
        <v>2257</v>
      </c>
      <c r="I1655" s="431" t="s">
        <v>2258</v>
      </c>
      <c r="J1655" s="432">
        <v>46234</v>
      </c>
    </row>
    <row r="1656" spans="1:10">
      <c r="A1656" s="431">
        <v>1695</v>
      </c>
      <c r="B1656" s="431" t="s">
        <v>2253</v>
      </c>
      <c r="C1656" s="431" t="s">
        <v>2254</v>
      </c>
      <c r="D1656" s="431" t="s">
        <v>5504</v>
      </c>
      <c r="E1656" s="431" t="s">
        <v>5505</v>
      </c>
      <c r="F1656" s="431">
        <v>149035</v>
      </c>
      <c r="G1656" s="431" t="s">
        <v>46</v>
      </c>
      <c r="H1656" s="431" t="s">
        <v>2257</v>
      </c>
      <c r="I1656" s="431" t="s">
        <v>2258</v>
      </c>
      <c r="J1656" s="432">
        <v>46234</v>
      </c>
    </row>
    <row r="1657" spans="1:10">
      <c r="A1657" s="431">
        <v>1696</v>
      </c>
      <c r="B1657" s="431" t="s">
        <v>2253</v>
      </c>
      <c r="C1657" s="431" t="s">
        <v>2254</v>
      </c>
      <c r="D1657" s="431" t="s">
        <v>5506</v>
      </c>
      <c r="E1657" s="431" t="s">
        <v>5507</v>
      </c>
      <c r="F1657" s="431">
        <v>191257</v>
      </c>
      <c r="G1657" s="431" t="s">
        <v>46</v>
      </c>
      <c r="H1657" s="431" t="s">
        <v>2257</v>
      </c>
      <c r="I1657" s="431" t="s">
        <v>2258</v>
      </c>
      <c r="J1657" s="432">
        <v>46234</v>
      </c>
    </row>
    <row r="1658" spans="1:10">
      <c r="A1658" s="431">
        <v>1697</v>
      </c>
      <c r="B1658" s="431" t="s">
        <v>2253</v>
      </c>
      <c r="C1658" s="431" t="s">
        <v>2254</v>
      </c>
      <c r="D1658" s="431" t="s">
        <v>5508</v>
      </c>
      <c r="E1658" s="431" t="s">
        <v>5509</v>
      </c>
      <c r="F1658" s="431">
        <v>229942</v>
      </c>
      <c r="G1658" s="431" t="s">
        <v>46</v>
      </c>
      <c r="H1658" s="431" t="s">
        <v>2257</v>
      </c>
      <c r="I1658" s="431" t="s">
        <v>2258</v>
      </c>
      <c r="J1658" s="432">
        <v>46234</v>
      </c>
    </row>
    <row r="1659" spans="1:10">
      <c r="A1659" s="431">
        <v>1698</v>
      </c>
      <c r="B1659" s="431" t="s">
        <v>2253</v>
      </c>
      <c r="C1659" s="431" t="s">
        <v>2254</v>
      </c>
      <c r="D1659" s="431" t="s">
        <v>5510</v>
      </c>
      <c r="E1659" s="431" t="s">
        <v>5511</v>
      </c>
      <c r="F1659" s="431">
        <v>289198</v>
      </c>
      <c r="G1659" s="431" t="s">
        <v>46</v>
      </c>
      <c r="H1659" s="431" t="s">
        <v>2257</v>
      </c>
      <c r="I1659" s="431" t="s">
        <v>2258</v>
      </c>
      <c r="J1659" s="432">
        <v>46234</v>
      </c>
    </row>
    <row r="1660" spans="1:10">
      <c r="A1660" s="431">
        <v>1699</v>
      </c>
      <c r="B1660" s="431" t="s">
        <v>2253</v>
      </c>
      <c r="C1660" s="431" t="s">
        <v>2254</v>
      </c>
      <c r="D1660" s="431" t="s">
        <v>5512</v>
      </c>
      <c r="E1660" s="431" t="s">
        <v>5513</v>
      </c>
      <c r="F1660" s="431">
        <v>310450</v>
      </c>
      <c r="G1660" s="431" t="s">
        <v>46</v>
      </c>
      <c r="H1660" s="431" t="s">
        <v>2257</v>
      </c>
      <c r="I1660" s="431" t="s">
        <v>2258</v>
      </c>
      <c r="J1660" s="432">
        <v>46234</v>
      </c>
    </row>
    <row r="1661" spans="1:10">
      <c r="A1661" s="431">
        <v>1700</v>
      </c>
      <c r="B1661" s="431" t="s">
        <v>2253</v>
      </c>
      <c r="C1661" s="431" t="s">
        <v>2254</v>
      </c>
      <c r="D1661" s="431" t="s">
        <v>5514</v>
      </c>
      <c r="E1661" s="431" t="s">
        <v>5515</v>
      </c>
      <c r="F1661" s="431">
        <v>404858</v>
      </c>
      <c r="G1661" s="431" t="s">
        <v>46</v>
      </c>
      <c r="H1661" s="431" t="s">
        <v>2257</v>
      </c>
      <c r="I1661" s="431" t="s">
        <v>2258</v>
      </c>
      <c r="J1661" s="432">
        <v>46234</v>
      </c>
    </row>
    <row r="1662" spans="1:10">
      <c r="A1662" s="431">
        <v>1701</v>
      </c>
      <c r="B1662" s="431" t="s">
        <v>2253</v>
      </c>
      <c r="C1662" s="431" t="s">
        <v>2254</v>
      </c>
      <c r="D1662" s="431" t="s">
        <v>5516</v>
      </c>
      <c r="E1662" s="431" t="s">
        <v>5517</v>
      </c>
      <c r="F1662" s="431">
        <v>445528</v>
      </c>
      <c r="G1662" s="431" t="s">
        <v>46</v>
      </c>
      <c r="H1662" s="431" t="s">
        <v>2257</v>
      </c>
      <c r="I1662" s="431" t="s">
        <v>2258</v>
      </c>
      <c r="J1662" s="432">
        <v>46234</v>
      </c>
    </row>
    <row r="1663" spans="1:10">
      <c r="A1663" s="431">
        <v>1702</v>
      </c>
      <c r="B1663" s="431" t="s">
        <v>2253</v>
      </c>
      <c r="C1663" s="431" t="s">
        <v>2254</v>
      </c>
      <c r="D1663" s="431" t="s">
        <v>5518</v>
      </c>
      <c r="E1663" s="431" t="s">
        <v>5519</v>
      </c>
      <c r="F1663" s="431">
        <v>542376</v>
      </c>
      <c r="G1663" s="431" t="s">
        <v>46</v>
      </c>
      <c r="H1663" s="431" t="s">
        <v>2257</v>
      </c>
      <c r="I1663" s="431" t="s">
        <v>2258</v>
      </c>
      <c r="J1663" s="432">
        <v>46234</v>
      </c>
    </row>
    <row r="1664" spans="1:10">
      <c r="A1664" s="431">
        <v>1703</v>
      </c>
      <c r="B1664" s="431" t="s">
        <v>2253</v>
      </c>
      <c r="C1664" s="431" t="s">
        <v>2254</v>
      </c>
      <c r="D1664" s="431" t="s">
        <v>5520</v>
      </c>
      <c r="E1664" s="431" t="s">
        <v>5521</v>
      </c>
      <c r="F1664" s="431">
        <v>673465</v>
      </c>
      <c r="G1664" s="431" t="s">
        <v>46</v>
      </c>
      <c r="H1664" s="431" t="s">
        <v>2257</v>
      </c>
      <c r="I1664" s="431" t="s">
        <v>2258</v>
      </c>
      <c r="J1664" s="432">
        <v>46234</v>
      </c>
    </row>
    <row r="1665" spans="1:10">
      <c r="A1665" s="431">
        <v>1704</v>
      </c>
      <c r="B1665" s="431" t="s">
        <v>2253</v>
      </c>
      <c r="C1665" s="431" t="s">
        <v>2254</v>
      </c>
      <c r="D1665" s="431" t="s">
        <v>5522</v>
      </c>
      <c r="E1665" s="431" t="s">
        <v>5523</v>
      </c>
      <c r="F1665" s="431">
        <v>800878</v>
      </c>
      <c r="G1665" s="431" t="s">
        <v>46</v>
      </c>
      <c r="H1665" s="431" t="s">
        <v>2257</v>
      </c>
      <c r="I1665" s="431" t="s">
        <v>2258</v>
      </c>
      <c r="J1665" s="432">
        <v>46234</v>
      </c>
    </row>
    <row r="1666" spans="1:10">
      <c r="A1666" s="431">
        <v>1705</v>
      </c>
      <c r="B1666" s="431" t="s">
        <v>2253</v>
      </c>
      <c r="C1666" s="431" t="s">
        <v>2254</v>
      </c>
      <c r="D1666" s="431" t="s">
        <v>5524</v>
      </c>
      <c r="E1666" s="431" t="s">
        <v>5525</v>
      </c>
      <c r="F1666" s="431">
        <v>917570</v>
      </c>
      <c r="G1666" s="431" t="s">
        <v>46</v>
      </c>
      <c r="H1666" s="431" t="s">
        <v>2257</v>
      </c>
      <c r="I1666" s="431" t="s">
        <v>2258</v>
      </c>
      <c r="J1666" s="432">
        <v>46234</v>
      </c>
    </row>
    <row r="1667" spans="1:10">
      <c r="A1667" s="431">
        <v>1706</v>
      </c>
      <c r="B1667" s="431" t="s">
        <v>2253</v>
      </c>
      <c r="C1667" s="431" t="s">
        <v>2254</v>
      </c>
      <c r="D1667" s="431" t="s">
        <v>5526</v>
      </c>
      <c r="E1667" s="431" t="s">
        <v>5527</v>
      </c>
      <c r="F1667" s="431">
        <v>1160936</v>
      </c>
      <c r="G1667" s="431" t="s">
        <v>46</v>
      </c>
      <c r="H1667" s="431" t="s">
        <v>2257</v>
      </c>
      <c r="I1667" s="431" t="s">
        <v>2258</v>
      </c>
      <c r="J1667" s="432">
        <v>46234</v>
      </c>
    </row>
    <row r="1668" spans="1:10">
      <c r="A1668" s="431">
        <v>1707</v>
      </c>
      <c r="B1668" s="431" t="s">
        <v>2253</v>
      </c>
      <c r="C1668" s="431" t="s">
        <v>2254</v>
      </c>
      <c r="D1668" s="431" t="s">
        <v>5528</v>
      </c>
      <c r="E1668" s="431" t="s">
        <v>5529</v>
      </c>
      <c r="F1668" s="431">
        <v>1243677</v>
      </c>
      <c r="G1668" s="431" t="s">
        <v>46</v>
      </c>
      <c r="H1668" s="431" t="s">
        <v>2257</v>
      </c>
      <c r="I1668" s="431" t="s">
        <v>2258</v>
      </c>
      <c r="J1668" s="432">
        <v>46234</v>
      </c>
    </row>
    <row r="1669" spans="1:10">
      <c r="A1669" s="431">
        <v>1708</v>
      </c>
      <c r="B1669" s="431" t="s">
        <v>2253</v>
      </c>
      <c r="C1669" s="431" t="s">
        <v>2254</v>
      </c>
      <c r="D1669" s="431" t="s">
        <v>5530</v>
      </c>
      <c r="E1669" s="431" t="s">
        <v>5531</v>
      </c>
      <c r="F1669" s="431">
        <v>1747314</v>
      </c>
      <c r="G1669" s="431" t="s">
        <v>46</v>
      </c>
      <c r="H1669" s="431" t="s">
        <v>2257</v>
      </c>
      <c r="I1669" s="431" t="s">
        <v>2258</v>
      </c>
      <c r="J1669" s="432">
        <v>46234</v>
      </c>
    </row>
    <row r="1670" spans="1:10">
      <c r="A1670" s="431">
        <v>1709</v>
      </c>
      <c r="B1670" s="431" t="s">
        <v>2253</v>
      </c>
      <c r="C1670" s="431" t="s">
        <v>2254</v>
      </c>
      <c r="D1670" s="431" t="s">
        <v>5532</v>
      </c>
      <c r="E1670" s="431" t="s">
        <v>5533</v>
      </c>
      <c r="F1670" s="431">
        <v>2550000</v>
      </c>
      <c r="G1670" s="431" t="s">
        <v>46</v>
      </c>
      <c r="H1670" s="431" t="s">
        <v>2257</v>
      </c>
      <c r="I1670" s="431" t="s">
        <v>2258</v>
      </c>
      <c r="J1670" s="432">
        <v>46234</v>
      </c>
    </row>
    <row r="1671" spans="1:10">
      <c r="A1671" s="431">
        <v>1710</v>
      </c>
      <c r="B1671" s="431" t="s">
        <v>2253</v>
      </c>
      <c r="C1671" s="431" t="s">
        <v>2254</v>
      </c>
      <c r="D1671" s="431" t="s">
        <v>5534</v>
      </c>
      <c r="E1671" s="431" t="s">
        <v>5535</v>
      </c>
      <c r="F1671" s="431">
        <v>2850000</v>
      </c>
      <c r="G1671" s="431" t="s">
        <v>46</v>
      </c>
      <c r="H1671" s="431" t="s">
        <v>2257</v>
      </c>
      <c r="I1671" s="431" t="s">
        <v>2258</v>
      </c>
      <c r="J1671" s="432">
        <v>46234</v>
      </c>
    </row>
    <row r="1672" spans="1:10">
      <c r="A1672" s="431">
        <v>1711</v>
      </c>
      <c r="B1672" s="431" t="s">
        <v>5536</v>
      </c>
      <c r="C1672" s="431" t="s">
        <v>2254</v>
      </c>
      <c r="D1672" s="431" t="s">
        <v>5537</v>
      </c>
      <c r="E1672" s="431" t="s">
        <v>5538</v>
      </c>
      <c r="F1672" s="431">
        <v>15798</v>
      </c>
      <c r="G1672" s="431" t="s">
        <v>1532</v>
      </c>
      <c r="H1672" s="431" t="s">
        <v>2257</v>
      </c>
      <c r="I1672" s="431" t="s">
        <v>2258</v>
      </c>
      <c r="J1672" s="432">
        <v>46234</v>
      </c>
    </row>
    <row r="1673" spans="1:10">
      <c r="A1673" s="431">
        <v>1712</v>
      </c>
      <c r="B1673" s="431" t="s">
        <v>5536</v>
      </c>
      <c r="C1673" s="431" t="s">
        <v>2254</v>
      </c>
      <c r="D1673" s="431" t="s">
        <v>5539</v>
      </c>
      <c r="E1673" s="431" t="s">
        <v>5540</v>
      </c>
      <c r="F1673" s="431">
        <v>8173</v>
      </c>
      <c r="G1673" s="431" t="s">
        <v>1532</v>
      </c>
      <c r="H1673" s="431" t="s">
        <v>2257</v>
      </c>
      <c r="I1673" s="431" t="s">
        <v>2258</v>
      </c>
      <c r="J1673" s="432">
        <v>46234</v>
      </c>
    </row>
    <row r="1674" spans="1:10">
      <c r="A1674" s="431">
        <v>1713</v>
      </c>
      <c r="B1674" s="431" t="s">
        <v>5536</v>
      </c>
      <c r="C1674" s="431" t="s">
        <v>2254</v>
      </c>
      <c r="D1674" s="431" t="s">
        <v>5541</v>
      </c>
      <c r="E1674" s="431" t="s">
        <v>5542</v>
      </c>
      <c r="F1674" s="431">
        <v>3000</v>
      </c>
      <c r="G1674" s="431" t="s">
        <v>5543</v>
      </c>
      <c r="H1674" s="431" t="s">
        <v>2257</v>
      </c>
      <c r="I1674" s="431" t="s">
        <v>2258</v>
      </c>
      <c r="J1674" s="432">
        <v>46234</v>
      </c>
    </row>
    <row r="1675" spans="1:10">
      <c r="A1675" s="431">
        <v>1714</v>
      </c>
      <c r="B1675" s="431" t="s">
        <v>5536</v>
      </c>
      <c r="C1675" s="431" t="s">
        <v>2254</v>
      </c>
      <c r="D1675" s="431" t="s">
        <v>5544</v>
      </c>
      <c r="E1675" s="431" t="s">
        <v>5545</v>
      </c>
      <c r="F1675" s="431">
        <v>600</v>
      </c>
      <c r="G1675" s="431" t="s">
        <v>5543</v>
      </c>
      <c r="H1675" s="431" t="s">
        <v>2257</v>
      </c>
      <c r="I1675" s="431" t="s">
        <v>2258</v>
      </c>
      <c r="J1675" s="432">
        <v>46234</v>
      </c>
    </row>
    <row r="1676" spans="1:10">
      <c r="A1676" s="431">
        <v>1715</v>
      </c>
      <c r="B1676" s="431" t="s">
        <v>5536</v>
      </c>
      <c r="C1676" s="431" t="s">
        <v>2254</v>
      </c>
      <c r="D1676" s="431" t="s">
        <v>5546</v>
      </c>
      <c r="E1676" s="431" t="s">
        <v>5547</v>
      </c>
      <c r="F1676" s="431">
        <v>923</v>
      </c>
      <c r="G1676" s="431" t="s">
        <v>21</v>
      </c>
      <c r="H1676" s="431" t="s">
        <v>2257</v>
      </c>
      <c r="I1676" s="431" t="s">
        <v>2258</v>
      </c>
      <c r="J1676" s="432">
        <v>46234</v>
      </c>
    </row>
    <row r="1677" spans="1:10">
      <c r="A1677" s="431">
        <v>1716</v>
      </c>
      <c r="B1677" s="431" t="s">
        <v>5536</v>
      </c>
      <c r="C1677" s="431" t="s">
        <v>2254</v>
      </c>
      <c r="D1677" s="431" t="s">
        <v>5548</v>
      </c>
      <c r="E1677" s="431" t="s">
        <v>5549</v>
      </c>
      <c r="F1677" s="431">
        <v>1200</v>
      </c>
      <c r="G1677" s="431" t="s">
        <v>21</v>
      </c>
      <c r="H1677" s="431" t="s">
        <v>2257</v>
      </c>
      <c r="I1677" s="431" t="s">
        <v>2258</v>
      </c>
      <c r="J1677" s="432">
        <v>46234</v>
      </c>
    </row>
    <row r="1678" spans="1:10">
      <c r="A1678" s="431">
        <v>1717</v>
      </c>
      <c r="B1678" s="431" t="s">
        <v>5536</v>
      </c>
      <c r="C1678" s="431" t="s">
        <v>2254</v>
      </c>
      <c r="D1678" s="431" t="s">
        <v>5550</v>
      </c>
      <c r="E1678" s="431" t="s">
        <v>5551</v>
      </c>
      <c r="F1678" s="431">
        <v>1025</v>
      </c>
      <c r="G1678" s="431" t="s">
        <v>21</v>
      </c>
      <c r="H1678" s="431" t="s">
        <v>2257</v>
      </c>
      <c r="I1678" s="431" t="s">
        <v>2258</v>
      </c>
      <c r="J1678" s="432">
        <v>46234</v>
      </c>
    </row>
    <row r="1679" spans="1:10">
      <c r="A1679" s="431">
        <v>1718</v>
      </c>
      <c r="B1679" s="431" t="s">
        <v>5536</v>
      </c>
      <c r="C1679" s="431" t="s">
        <v>2254</v>
      </c>
      <c r="D1679" s="431" t="s">
        <v>5552</v>
      </c>
      <c r="E1679" s="431" t="s">
        <v>5553</v>
      </c>
      <c r="F1679" s="431">
        <v>1300</v>
      </c>
      <c r="G1679" s="431" t="s">
        <v>21</v>
      </c>
      <c r="H1679" s="431" t="s">
        <v>2257</v>
      </c>
      <c r="I1679" s="431" t="s">
        <v>2258</v>
      </c>
      <c r="J1679" s="432">
        <v>46234</v>
      </c>
    </row>
    <row r="1680" spans="1:10">
      <c r="A1680" s="431">
        <v>1719</v>
      </c>
      <c r="B1680" s="431" t="s">
        <v>5536</v>
      </c>
      <c r="C1680" s="431" t="s">
        <v>2254</v>
      </c>
      <c r="D1680" s="431" t="s">
        <v>5554</v>
      </c>
      <c r="E1680" s="431" t="s">
        <v>5555</v>
      </c>
      <c r="F1680" s="431">
        <v>1050</v>
      </c>
      <c r="G1680" s="431" t="s">
        <v>21</v>
      </c>
      <c r="H1680" s="431" t="s">
        <v>2257</v>
      </c>
      <c r="I1680" s="431" t="s">
        <v>2258</v>
      </c>
      <c r="J1680" s="432">
        <v>46234</v>
      </c>
    </row>
    <row r="1681" spans="1:10">
      <c r="A1681" s="431">
        <v>1720</v>
      </c>
      <c r="B1681" s="431" t="s">
        <v>5536</v>
      </c>
      <c r="C1681" s="431" t="s">
        <v>2254</v>
      </c>
      <c r="D1681" s="431" t="s">
        <v>5556</v>
      </c>
      <c r="E1681" s="431" t="s">
        <v>5557</v>
      </c>
      <c r="F1681" s="431">
        <v>1400</v>
      </c>
      <c r="G1681" s="431" t="s">
        <v>21</v>
      </c>
      <c r="H1681" s="431" t="s">
        <v>2257</v>
      </c>
      <c r="I1681" s="431" t="s">
        <v>2258</v>
      </c>
      <c r="J1681" s="432">
        <v>46234</v>
      </c>
    </row>
    <row r="1682" spans="1:10">
      <c r="A1682" s="431">
        <v>1721</v>
      </c>
      <c r="B1682" s="431" t="s">
        <v>5536</v>
      </c>
      <c r="C1682" s="431" t="s">
        <v>2254</v>
      </c>
      <c r="D1682" s="431" t="s">
        <v>5558</v>
      </c>
      <c r="E1682" s="431" t="s">
        <v>5559</v>
      </c>
      <c r="F1682" s="431">
        <v>1100</v>
      </c>
      <c r="G1682" s="431" t="s">
        <v>21</v>
      </c>
      <c r="H1682" s="431" t="s">
        <v>2257</v>
      </c>
      <c r="I1682" s="431" t="s">
        <v>2258</v>
      </c>
      <c r="J1682" s="432">
        <v>46234</v>
      </c>
    </row>
    <row r="1683" spans="1:10">
      <c r="A1683" s="431">
        <v>1722</v>
      </c>
      <c r="B1683" s="431" t="s">
        <v>5536</v>
      </c>
      <c r="C1683" s="431" t="s">
        <v>2254</v>
      </c>
      <c r="D1683" s="431" t="s">
        <v>5560</v>
      </c>
      <c r="E1683" s="431" t="s">
        <v>5561</v>
      </c>
      <c r="F1683" s="431">
        <v>1500</v>
      </c>
      <c r="G1683" s="431" t="s">
        <v>21</v>
      </c>
      <c r="H1683" s="431" t="s">
        <v>2257</v>
      </c>
      <c r="I1683" s="431" t="s">
        <v>2258</v>
      </c>
      <c r="J1683" s="432">
        <v>46234</v>
      </c>
    </row>
    <row r="1684" spans="1:10">
      <c r="A1684" s="431">
        <v>1723</v>
      </c>
      <c r="B1684" s="431" t="s">
        <v>5536</v>
      </c>
      <c r="C1684" s="431" t="s">
        <v>2254</v>
      </c>
      <c r="D1684" s="431" t="s">
        <v>5562</v>
      </c>
      <c r="E1684" s="431" t="s">
        <v>5563</v>
      </c>
      <c r="F1684" s="431">
        <v>4941</v>
      </c>
      <c r="G1684" s="431" t="s">
        <v>21</v>
      </c>
      <c r="H1684" s="431" t="s">
        <v>2257</v>
      </c>
      <c r="I1684" s="431" t="s">
        <v>2258</v>
      </c>
      <c r="J1684" s="432">
        <v>46234</v>
      </c>
    </row>
    <row r="1685" spans="1:10">
      <c r="A1685" s="431">
        <v>1724</v>
      </c>
      <c r="B1685" s="431" t="s">
        <v>5536</v>
      </c>
      <c r="C1685" s="431" t="s">
        <v>2254</v>
      </c>
      <c r="D1685" s="431" t="s">
        <v>5564</v>
      </c>
      <c r="E1685" s="431" t="s">
        <v>5565</v>
      </c>
      <c r="F1685" s="431">
        <v>2401</v>
      </c>
      <c r="G1685" s="431" t="s">
        <v>21</v>
      </c>
      <c r="H1685" s="431" t="s">
        <v>2257</v>
      </c>
      <c r="I1685" s="431" t="s">
        <v>2258</v>
      </c>
      <c r="J1685" s="432">
        <v>46234</v>
      </c>
    </row>
    <row r="1686" spans="1:10">
      <c r="A1686" s="431">
        <v>1725</v>
      </c>
      <c r="B1686" s="431" t="s">
        <v>5536</v>
      </c>
      <c r="C1686" s="431" t="s">
        <v>2254</v>
      </c>
      <c r="D1686" s="431" t="s">
        <v>5566</v>
      </c>
      <c r="E1686" s="431" t="s">
        <v>5567</v>
      </c>
      <c r="F1686" s="431">
        <v>2628</v>
      </c>
      <c r="G1686" s="431" t="s">
        <v>21</v>
      </c>
      <c r="H1686" s="431" t="s">
        <v>2257</v>
      </c>
      <c r="I1686" s="431" t="s">
        <v>2258</v>
      </c>
      <c r="J1686" s="432">
        <v>46234</v>
      </c>
    </row>
    <row r="1687" spans="1:10">
      <c r="A1687" s="431">
        <v>1726</v>
      </c>
      <c r="B1687" s="431" t="s">
        <v>5536</v>
      </c>
      <c r="C1687" s="431" t="s">
        <v>2254</v>
      </c>
      <c r="D1687" s="431" t="s">
        <v>5568</v>
      </c>
      <c r="E1687" s="431" t="s">
        <v>5569</v>
      </c>
      <c r="F1687" s="431">
        <v>518</v>
      </c>
      <c r="G1687" s="431" t="s">
        <v>46</v>
      </c>
      <c r="H1687" s="431" t="s">
        <v>2257</v>
      </c>
      <c r="I1687" s="431" t="s">
        <v>2258</v>
      </c>
      <c r="J1687" s="432">
        <v>46234</v>
      </c>
    </row>
    <row r="1688" spans="1:10">
      <c r="A1688" s="431">
        <v>1727</v>
      </c>
      <c r="B1688" s="431" t="s">
        <v>5536</v>
      </c>
      <c r="C1688" s="431" t="s">
        <v>2254</v>
      </c>
      <c r="D1688" s="431" t="s">
        <v>5570</v>
      </c>
      <c r="E1688" s="431" t="s">
        <v>5571</v>
      </c>
      <c r="F1688" s="431">
        <v>203</v>
      </c>
      <c r="G1688" s="431" t="s">
        <v>46</v>
      </c>
      <c r="H1688" s="431" t="s">
        <v>2257</v>
      </c>
      <c r="I1688" s="431" t="s">
        <v>2258</v>
      </c>
      <c r="J1688" s="432">
        <v>46234</v>
      </c>
    </row>
    <row r="1689" spans="1:10">
      <c r="A1689" s="431">
        <v>1728</v>
      </c>
      <c r="B1689" s="431" t="s">
        <v>5536</v>
      </c>
      <c r="C1689" s="431" t="s">
        <v>2254</v>
      </c>
      <c r="D1689" s="431" t="s">
        <v>5572</v>
      </c>
      <c r="E1689" s="431" t="s">
        <v>5573</v>
      </c>
      <c r="F1689" s="431">
        <v>63</v>
      </c>
      <c r="G1689" s="431" t="s">
        <v>46</v>
      </c>
      <c r="H1689" s="431" t="s">
        <v>2257</v>
      </c>
      <c r="I1689" s="431" t="s">
        <v>2258</v>
      </c>
      <c r="J1689" s="432">
        <v>46234</v>
      </c>
    </row>
    <row r="1690" spans="1:10">
      <c r="A1690" s="431">
        <v>1729</v>
      </c>
      <c r="B1690" s="431" t="s">
        <v>5536</v>
      </c>
      <c r="C1690" s="431" t="s">
        <v>2254</v>
      </c>
      <c r="D1690" s="431" t="s">
        <v>5574</v>
      </c>
      <c r="E1690" s="431" t="s">
        <v>5575</v>
      </c>
      <c r="F1690" s="431">
        <v>494</v>
      </c>
      <c r="G1690" s="431" t="s">
        <v>328</v>
      </c>
      <c r="H1690" s="431" t="s">
        <v>2257</v>
      </c>
      <c r="I1690" s="431" t="s">
        <v>2258</v>
      </c>
      <c r="J1690" s="432">
        <v>46234</v>
      </c>
    </row>
    <row r="1691" spans="1:10">
      <c r="A1691" s="431">
        <v>1730</v>
      </c>
      <c r="B1691" s="431" t="s">
        <v>5536</v>
      </c>
      <c r="C1691" s="431" t="s">
        <v>2254</v>
      </c>
      <c r="D1691" s="431" t="s">
        <v>5576</v>
      </c>
      <c r="E1691" s="431" t="s">
        <v>5577</v>
      </c>
      <c r="F1691" s="431">
        <v>2087</v>
      </c>
      <c r="G1691" s="431" t="s">
        <v>26</v>
      </c>
      <c r="H1691" s="431" t="s">
        <v>2257</v>
      </c>
      <c r="I1691" s="431" t="s">
        <v>2258</v>
      </c>
      <c r="J1691" s="432">
        <v>46234</v>
      </c>
    </row>
    <row r="1692" spans="1:10">
      <c r="A1692" s="431">
        <v>1731</v>
      </c>
      <c r="B1692" s="431" t="s">
        <v>5536</v>
      </c>
      <c r="C1692" s="431" t="s">
        <v>2254</v>
      </c>
      <c r="D1692" s="431" t="s">
        <v>5578</v>
      </c>
      <c r="E1692" s="431" t="s">
        <v>5579</v>
      </c>
      <c r="F1692" s="431">
        <v>10000</v>
      </c>
      <c r="G1692" s="431" t="s">
        <v>1532</v>
      </c>
      <c r="H1692" s="431" t="s">
        <v>2257</v>
      </c>
      <c r="I1692" s="431" t="s">
        <v>2258</v>
      </c>
      <c r="J1692" s="432">
        <v>46234</v>
      </c>
    </row>
    <row r="1693" spans="1:10">
      <c r="A1693" s="431">
        <v>1732</v>
      </c>
      <c r="B1693" s="431" t="s">
        <v>5536</v>
      </c>
      <c r="C1693" s="431" t="s">
        <v>2254</v>
      </c>
      <c r="D1693" s="431" t="s">
        <v>5580</v>
      </c>
      <c r="E1693" s="431" t="s">
        <v>5581</v>
      </c>
      <c r="F1693" s="431">
        <v>5000</v>
      </c>
      <c r="G1693" s="431" t="s">
        <v>1532</v>
      </c>
      <c r="H1693" s="431" t="s">
        <v>2257</v>
      </c>
      <c r="I1693" s="431" t="s">
        <v>2258</v>
      </c>
      <c r="J1693" s="432">
        <v>46234</v>
      </c>
    </row>
    <row r="1694" spans="1:10">
      <c r="A1694" s="431">
        <v>1733</v>
      </c>
      <c r="B1694" s="431" t="s">
        <v>5536</v>
      </c>
      <c r="C1694" s="431" t="s">
        <v>2254</v>
      </c>
      <c r="D1694" s="431" t="s">
        <v>5582</v>
      </c>
      <c r="E1694" s="431" t="s">
        <v>5583</v>
      </c>
      <c r="F1694" s="431">
        <v>2000</v>
      </c>
      <c r="G1694" s="431" t="s">
        <v>1532</v>
      </c>
      <c r="H1694" s="431" t="s">
        <v>2257</v>
      </c>
      <c r="I1694" s="431" t="s">
        <v>2258</v>
      </c>
      <c r="J1694" s="432">
        <v>46234</v>
      </c>
    </row>
    <row r="1695" spans="1:10">
      <c r="A1695" s="431">
        <v>1734</v>
      </c>
      <c r="B1695" s="431" t="s">
        <v>5536</v>
      </c>
      <c r="C1695" s="431" t="s">
        <v>2254</v>
      </c>
      <c r="D1695" s="431" t="s">
        <v>5584</v>
      </c>
      <c r="E1695" s="431" t="s">
        <v>5585</v>
      </c>
      <c r="F1695" s="431">
        <v>9703</v>
      </c>
      <c r="G1695" s="431" t="s">
        <v>5586</v>
      </c>
      <c r="H1695" s="431" t="s">
        <v>2257</v>
      </c>
      <c r="I1695" s="431" t="s">
        <v>2258</v>
      </c>
      <c r="J1695" s="432">
        <v>46234</v>
      </c>
    </row>
    <row r="1696" spans="1:10">
      <c r="A1696" s="431">
        <v>1735</v>
      </c>
      <c r="B1696" s="431" t="s">
        <v>5536</v>
      </c>
      <c r="C1696" s="431" t="s">
        <v>2254</v>
      </c>
      <c r="D1696" s="431" t="s">
        <v>5587</v>
      </c>
      <c r="E1696" s="431" t="s">
        <v>5588</v>
      </c>
      <c r="F1696" s="431">
        <v>11131</v>
      </c>
      <c r="G1696" s="431" t="s">
        <v>5586</v>
      </c>
      <c r="H1696" s="431" t="s">
        <v>2257</v>
      </c>
      <c r="I1696" s="431" t="s">
        <v>2258</v>
      </c>
      <c r="J1696" s="432">
        <v>46234</v>
      </c>
    </row>
    <row r="1697" spans="1:10">
      <c r="A1697" s="431">
        <v>1736</v>
      </c>
      <c r="B1697" s="431" t="s">
        <v>5536</v>
      </c>
      <c r="C1697" s="431" t="s">
        <v>2254</v>
      </c>
      <c r="D1697" s="431" t="s">
        <v>5589</v>
      </c>
      <c r="E1697" s="431" t="s">
        <v>5590</v>
      </c>
      <c r="F1697" s="431">
        <v>11790</v>
      </c>
      <c r="G1697" s="431" t="s">
        <v>5586</v>
      </c>
      <c r="H1697" s="431" t="s">
        <v>2257</v>
      </c>
      <c r="I1697" s="431" t="s">
        <v>2258</v>
      </c>
      <c r="J1697" s="432">
        <v>46234</v>
      </c>
    </row>
    <row r="1698" spans="1:10">
      <c r="A1698" s="431">
        <v>1737</v>
      </c>
      <c r="B1698" s="431" t="s">
        <v>5536</v>
      </c>
      <c r="C1698" s="431" t="s">
        <v>2254</v>
      </c>
      <c r="D1698" s="431" t="s">
        <v>5591</v>
      </c>
      <c r="E1698" s="431" t="s">
        <v>5592</v>
      </c>
      <c r="F1698" s="431">
        <v>4147</v>
      </c>
      <c r="G1698" s="431" t="s">
        <v>5586</v>
      </c>
      <c r="H1698" s="431" t="s">
        <v>2257</v>
      </c>
      <c r="I1698" s="431" t="s">
        <v>2258</v>
      </c>
      <c r="J1698" s="432">
        <v>46234</v>
      </c>
    </row>
    <row r="1699" spans="1:10">
      <c r="A1699" s="431">
        <v>1738</v>
      </c>
      <c r="B1699" s="431" t="s">
        <v>5536</v>
      </c>
      <c r="C1699" s="431" t="s">
        <v>2254</v>
      </c>
      <c r="D1699" s="431" t="s">
        <v>5593</v>
      </c>
      <c r="E1699" s="431" t="s">
        <v>5594</v>
      </c>
      <c r="F1699" s="431">
        <v>9</v>
      </c>
      <c r="G1699" s="431" t="s">
        <v>328</v>
      </c>
      <c r="H1699" s="431" t="s">
        <v>2257</v>
      </c>
      <c r="I1699" s="431" t="s">
        <v>2258</v>
      </c>
      <c r="J1699" s="432">
        <v>46234</v>
      </c>
    </row>
    <row r="1700" spans="1:10">
      <c r="A1700" s="431">
        <v>1739</v>
      </c>
      <c r="B1700" s="431" t="s">
        <v>5536</v>
      </c>
      <c r="C1700" s="431" t="s">
        <v>2254</v>
      </c>
      <c r="D1700" s="431" t="s">
        <v>5595</v>
      </c>
      <c r="E1700" s="431" t="s">
        <v>5596</v>
      </c>
      <c r="F1700" s="431">
        <v>5</v>
      </c>
      <c r="G1700" s="431" t="s">
        <v>328</v>
      </c>
      <c r="H1700" s="431" t="s">
        <v>2257</v>
      </c>
      <c r="I1700" s="431" t="s">
        <v>2258</v>
      </c>
      <c r="J1700" s="432">
        <v>46234</v>
      </c>
    </row>
    <row r="1701" spans="1:10">
      <c r="A1701" s="431">
        <v>1740</v>
      </c>
      <c r="B1701" s="431" t="s">
        <v>5536</v>
      </c>
      <c r="C1701" s="431" t="s">
        <v>2254</v>
      </c>
      <c r="D1701" s="431" t="s">
        <v>5597</v>
      </c>
      <c r="E1701" s="431" t="s">
        <v>5598</v>
      </c>
      <c r="F1701" s="431">
        <v>1294</v>
      </c>
      <c r="G1701" s="431" t="s">
        <v>1532</v>
      </c>
      <c r="H1701" s="431" t="s">
        <v>2257</v>
      </c>
      <c r="I1701" s="431" t="s">
        <v>2258</v>
      </c>
      <c r="J1701" s="432">
        <v>46234</v>
      </c>
    </row>
    <row r="1702" spans="1:10">
      <c r="A1702" s="431">
        <v>1741</v>
      </c>
      <c r="B1702" s="431" t="s">
        <v>5536</v>
      </c>
      <c r="C1702" s="431" t="s">
        <v>2254</v>
      </c>
      <c r="D1702" s="431" t="s">
        <v>5599</v>
      </c>
      <c r="E1702" s="431" t="s">
        <v>5600</v>
      </c>
      <c r="F1702" s="431">
        <v>808</v>
      </c>
      <c r="G1702" s="431" t="s">
        <v>1532</v>
      </c>
      <c r="H1702" s="431" t="s">
        <v>2573</v>
      </c>
      <c r="I1702" s="431" t="s">
        <v>2574</v>
      </c>
      <c r="J1702" s="432">
        <v>46234</v>
      </c>
    </row>
    <row r="1703" spans="1:10">
      <c r="A1703" s="431">
        <v>1742</v>
      </c>
      <c r="B1703" s="431" t="s">
        <v>5536</v>
      </c>
      <c r="C1703" s="431" t="s">
        <v>2254</v>
      </c>
      <c r="D1703" s="431" t="s">
        <v>5601</v>
      </c>
      <c r="E1703" s="431" t="s">
        <v>5602</v>
      </c>
      <c r="F1703" s="431">
        <v>33989</v>
      </c>
      <c r="G1703" s="431" t="s">
        <v>1532</v>
      </c>
      <c r="H1703" s="431" t="s">
        <v>2257</v>
      </c>
      <c r="I1703" s="431" t="s">
        <v>2258</v>
      </c>
      <c r="J1703" s="432">
        <v>46234</v>
      </c>
    </row>
    <row r="1704" spans="1:10">
      <c r="A1704" s="431">
        <v>1743</v>
      </c>
      <c r="B1704" s="431" t="s">
        <v>5536</v>
      </c>
      <c r="C1704" s="433" t="s">
        <v>2254</v>
      </c>
      <c r="D1704" s="431" t="s">
        <v>5603</v>
      </c>
      <c r="E1704" s="431" t="s">
        <v>5604</v>
      </c>
      <c r="F1704" s="431">
        <v>29</v>
      </c>
      <c r="G1704" s="431" t="s">
        <v>328</v>
      </c>
      <c r="H1704" s="431" t="s">
        <v>2257</v>
      </c>
      <c r="I1704" s="431" t="s">
        <v>2258</v>
      </c>
      <c r="J1704" s="432">
        <v>46234</v>
      </c>
    </row>
    <row r="1705" spans="1:10">
      <c r="A1705" s="431">
        <v>1744</v>
      </c>
      <c r="B1705" s="431" t="s">
        <v>5536</v>
      </c>
      <c r="C1705" s="433" t="s">
        <v>2254</v>
      </c>
      <c r="D1705" s="431" t="s">
        <v>5605</v>
      </c>
      <c r="E1705" s="431" t="s">
        <v>5606</v>
      </c>
      <c r="F1705" s="431">
        <v>65</v>
      </c>
      <c r="G1705" s="431" t="s">
        <v>328</v>
      </c>
      <c r="H1705" s="431" t="s">
        <v>2257</v>
      </c>
      <c r="I1705" s="431" t="s">
        <v>2258</v>
      </c>
      <c r="J1705" s="432">
        <v>46234</v>
      </c>
    </row>
    <row r="1706" spans="1:10">
      <c r="A1706" s="431">
        <v>1745</v>
      </c>
      <c r="B1706" s="431" t="s">
        <v>5536</v>
      </c>
      <c r="C1706" s="433" t="s">
        <v>2254</v>
      </c>
      <c r="D1706" s="431" t="s">
        <v>5607</v>
      </c>
      <c r="E1706" s="431" t="s">
        <v>5608</v>
      </c>
      <c r="F1706" s="431">
        <v>50</v>
      </c>
      <c r="G1706" s="431" t="s">
        <v>328</v>
      </c>
      <c r="H1706" s="431" t="s">
        <v>2257</v>
      </c>
      <c r="I1706" s="431" t="s">
        <v>2258</v>
      </c>
      <c r="J1706" s="432">
        <v>46234</v>
      </c>
    </row>
    <row r="1707" spans="1:10">
      <c r="A1707" s="431">
        <v>1746</v>
      </c>
      <c r="B1707" s="431" t="s">
        <v>5536</v>
      </c>
      <c r="C1707" s="433" t="s">
        <v>2254</v>
      </c>
      <c r="D1707" s="431" t="s">
        <v>5609</v>
      </c>
      <c r="E1707" s="431" t="s">
        <v>5610</v>
      </c>
      <c r="F1707" s="431">
        <v>0</v>
      </c>
      <c r="G1707" s="431" t="s">
        <v>5611</v>
      </c>
      <c r="H1707" s="431" t="s">
        <v>2257</v>
      </c>
      <c r="I1707" s="431" t="s">
        <v>2258</v>
      </c>
      <c r="J1707" s="432">
        <v>46234</v>
      </c>
    </row>
    <row r="1708" spans="1:10">
      <c r="A1708" s="431">
        <v>1747</v>
      </c>
      <c r="B1708" s="431" t="s">
        <v>5536</v>
      </c>
      <c r="C1708" s="433" t="s">
        <v>2254</v>
      </c>
      <c r="D1708" s="431" t="s">
        <v>5612</v>
      </c>
      <c r="E1708" s="431" t="s">
        <v>5613</v>
      </c>
      <c r="F1708" s="431">
        <v>0</v>
      </c>
      <c r="G1708" s="431" t="s">
        <v>5611</v>
      </c>
      <c r="H1708" s="431" t="s">
        <v>2257</v>
      </c>
      <c r="I1708" s="431" t="s">
        <v>2258</v>
      </c>
      <c r="J1708" s="432">
        <v>46234</v>
      </c>
    </row>
    <row r="1709" spans="1:10">
      <c r="A1709" s="431">
        <v>1748</v>
      </c>
      <c r="B1709" s="431" t="s">
        <v>5536</v>
      </c>
      <c r="C1709" s="433" t="s">
        <v>2254</v>
      </c>
      <c r="D1709" s="431" t="s">
        <v>5614</v>
      </c>
      <c r="E1709" s="431" t="s">
        <v>5615</v>
      </c>
      <c r="F1709" s="431">
        <v>1</v>
      </c>
      <c r="G1709" s="431" t="s">
        <v>5611</v>
      </c>
      <c r="H1709" s="431" t="s">
        <v>2257</v>
      </c>
      <c r="I1709" s="431" t="s">
        <v>2258</v>
      </c>
      <c r="J1709" s="432">
        <v>46234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8</vt:i4>
      </vt:variant>
    </vt:vector>
  </HeadingPairs>
  <TitlesOfParts>
    <vt:vector size="57" baseType="lpstr">
      <vt:lpstr>GWD DR Abstract</vt:lpstr>
      <vt:lpstr>GWD MR Abstract</vt:lpstr>
      <vt:lpstr>ARS Filter Media</vt:lpstr>
      <vt:lpstr>BW Casing Pipes</vt:lpstr>
      <vt:lpstr>BW Casing Pipe Erection Charge</vt:lpstr>
      <vt:lpstr>Electrical Essentials</vt:lpstr>
      <vt:lpstr>GI on Wall PRICE</vt:lpstr>
      <vt:lpstr>GI wo Trench</vt:lpstr>
      <vt:lpstr>GI With Trench PRICE</vt:lpstr>
      <vt:lpstr>GI Works</vt:lpstr>
      <vt:lpstr>Gravel for TWC</vt:lpstr>
      <vt:lpstr>Gutter&amp;Clamp</vt:lpstr>
      <vt:lpstr>HP Erection and Pullout</vt:lpstr>
      <vt:lpstr>HP Repair Labour</vt:lpstr>
      <vt:lpstr>HP Repair Spares</vt:lpstr>
      <vt:lpstr>Hydrants</vt:lpstr>
      <vt:lpstr>Iron Structure</vt:lpstr>
      <vt:lpstr>Lock</vt:lpstr>
      <vt:lpstr>Metallic PH</vt:lpstr>
      <vt:lpstr>Motor Starter GWD</vt:lpstr>
      <vt:lpstr>Motor Starter Monoblock</vt:lpstr>
      <vt:lpstr>Motor Starter PRICE</vt:lpstr>
      <vt:lpstr>Other Fittings PRICE</vt:lpstr>
      <vt:lpstr>Panel Board</vt:lpstr>
      <vt:lpstr>Pump Cover</vt:lpstr>
      <vt:lpstr>Pump Erection </vt:lpstr>
      <vt:lpstr>Pump Pullout</vt:lpstr>
      <vt:lpstr>PVC Fittings</vt:lpstr>
      <vt:lpstr>PVC Fittings PRICE</vt:lpstr>
      <vt:lpstr>PVC on Wall (Concealed) PRICE</vt:lpstr>
      <vt:lpstr>PVC on Wall PRICE</vt:lpstr>
      <vt:lpstr>PVC on Wall</vt:lpstr>
      <vt:lpstr>PVC wo Trench PRICE</vt:lpstr>
      <vt:lpstr>PVC wo Trench</vt:lpstr>
      <vt:lpstr>PVC With Trench PRICE</vt:lpstr>
      <vt:lpstr>PVC With Trench</vt:lpstr>
      <vt:lpstr>Scaffolding</vt:lpstr>
      <vt:lpstr>Services</vt:lpstr>
      <vt:lpstr>Three Core Cable PRICE</vt:lpstr>
      <vt:lpstr>TW Casing Pipes</vt:lpstr>
      <vt:lpstr>UG Cable PRICE</vt:lpstr>
      <vt:lpstr>Water Meter</vt:lpstr>
      <vt:lpstr>Water Tank</vt:lpstr>
      <vt:lpstr>Well Protection</vt:lpstr>
      <vt:lpstr>WTP</vt:lpstr>
      <vt:lpstr>zCost Index</vt:lpstr>
      <vt:lpstr>zDerived</vt:lpstr>
      <vt:lpstr>zLMR</vt:lpstr>
      <vt:lpstr>zPAMR Gen ID 40</vt:lpstr>
      <vt:lpstr>CostIndex</vt:lpstr>
      <vt:lpstr>DerivedCodes</vt:lpstr>
      <vt:lpstr>DerivedRates</vt:lpstr>
      <vt:lpstr>District</vt:lpstr>
      <vt:lpstr>LMRCodes</vt:lpstr>
      <vt:lpstr>LMRRates</vt:lpstr>
      <vt:lpstr>MRCodes</vt:lpstr>
      <vt:lpstr>MRRates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2026-10-02T15:24:51Z</dcterms:modified>
</cp:coreProperties>
</file>